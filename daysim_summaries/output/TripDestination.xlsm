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0" yWindow="0" windowWidth="28950" windowHeight="15690"/>
  </bookViews>
  <sheets>
    <sheet name="TLFD_Home" sheetId="3" r:id="rId1"/>
    <sheet name="TDFD_Home" sheetId="4" r:id="rId2"/>
    <sheet name="TLFD_Work" sheetId="8" r:id="rId3"/>
    <sheet name="TDFD_Work" sheetId="9" r:id="rId4"/>
    <sheet name="TLFD_School" sheetId="11" r:id="rId5"/>
    <sheet name="TDFD_School" sheetId="12" r:id="rId6"/>
    <sheet name="TLFD_Escort" sheetId="13" r:id="rId7"/>
    <sheet name="TDFD_Escort" sheetId="14" r:id="rId8"/>
    <sheet name="TLFD_PerBus" sheetId="15" r:id="rId9"/>
    <sheet name="TDFD_PerBus" sheetId="16" r:id="rId10"/>
    <sheet name="TLFD_Shop" sheetId="17" r:id="rId11"/>
    <sheet name="TDFD_Shop" sheetId="18" r:id="rId12"/>
    <sheet name="TLFD_Meal" sheetId="19" r:id="rId13"/>
    <sheet name="TDFD_Meal" sheetId="20" r:id="rId14"/>
    <sheet name="TLFD_SocRec" sheetId="21" r:id="rId15"/>
    <sheet name="TDFD_SocRec" sheetId="22" r:id="rId16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</definedNames>
  <calcPr calcId="171027"/>
</workbook>
</file>

<file path=xl/calcChain.xml><?xml version="1.0" encoding="utf-8"?>
<calcChain xmlns="http://schemas.openxmlformats.org/spreadsheetml/2006/main">
  <c r="Z16" i="3" l="1"/>
  <c r="V16" i="3"/>
  <c r="Z17" i="3"/>
  <c r="V17" i="3"/>
  <c r="Z15" i="3"/>
  <c r="V15" i="3"/>
  <c r="Z14" i="3"/>
  <c r="V14" i="3"/>
  <c r="Z13" i="3"/>
  <c r="V13" i="3"/>
  <c r="Z12" i="3"/>
  <c r="V12" i="3"/>
  <c r="Z11" i="3"/>
  <c r="V11" i="3"/>
  <c r="Z10" i="3"/>
  <c r="V10" i="3"/>
  <c r="F102" i="22" l="1"/>
  <c r="G102" i="22" s="1"/>
  <c r="B102" i="22"/>
  <c r="C65" i="22" s="1"/>
  <c r="F102" i="21"/>
  <c r="B102" i="21"/>
  <c r="F102" i="20"/>
  <c r="G102" i="20" s="1"/>
  <c r="B102" i="20"/>
  <c r="C101" i="20" s="1"/>
  <c r="F102" i="19"/>
  <c r="B102" i="19"/>
  <c r="F102" i="18"/>
  <c r="G48" i="18" s="1"/>
  <c r="B102" i="18"/>
  <c r="C93" i="18" s="1"/>
  <c r="F102" i="17"/>
  <c r="B102" i="17"/>
  <c r="F102" i="16"/>
  <c r="G89" i="16" s="1"/>
  <c r="B102" i="16"/>
  <c r="C37" i="16" s="1"/>
  <c r="F102" i="15"/>
  <c r="B102" i="15"/>
  <c r="F102" i="14"/>
  <c r="G65" i="14" s="1"/>
  <c r="B102" i="14"/>
  <c r="C34" i="14" s="1"/>
  <c r="F102" i="13"/>
  <c r="B102" i="13"/>
  <c r="F102" i="12"/>
  <c r="G102" i="12" s="1"/>
  <c r="B102" i="12"/>
  <c r="C34" i="12" s="1"/>
  <c r="F102" i="11"/>
  <c r="B102" i="11"/>
  <c r="F102" i="9"/>
  <c r="G78" i="9" s="1"/>
  <c r="B102" i="9"/>
  <c r="C61" i="9" s="1"/>
  <c r="F102" i="8"/>
  <c r="B102" i="8"/>
  <c r="G12" i="22" l="1"/>
  <c r="G32" i="22"/>
  <c r="G34" i="22"/>
  <c r="G36" i="22"/>
  <c r="C30" i="15"/>
  <c r="U14" i="3"/>
  <c r="W14" i="3" s="1"/>
  <c r="G29" i="21"/>
  <c r="Y17" i="3"/>
  <c r="G27" i="15"/>
  <c r="Y14" i="3"/>
  <c r="AA14" i="3" s="1"/>
  <c r="G89" i="17"/>
  <c r="Y15" i="3"/>
  <c r="AA15" i="3" s="1"/>
  <c r="G81" i="19"/>
  <c r="Y16" i="3"/>
  <c r="AA16" i="3" s="1"/>
  <c r="C92" i="17"/>
  <c r="U15" i="3"/>
  <c r="W15" i="3" s="1"/>
  <c r="G38" i="22"/>
  <c r="C46" i="8"/>
  <c r="U11" i="3"/>
  <c r="W11" i="3" s="1"/>
  <c r="C40" i="22"/>
  <c r="C100" i="19"/>
  <c r="U16" i="3"/>
  <c r="W16" i="3" s="1"/>
  <c r="G51" i="8"/>
  <c r="Y11" i="3"/>
  <c r="AA11" i="3" s="1"/>
  <c r="C12" i="11"/>
  <c r="U12" i="3"/>
  <c r="W12" i="3" s="1"/>
  <c r="G57" i="13"/>
  <c r="Y13" i="3"/>
  <c r="AA13" i="3" s="1"/>
  <c r="C99" i="21"/>
  <c r="U17" i="3"/>
  <c r="G67" i="11"/>
  <c r="Y12" i="3"/>
  <c r="AA12" i="3" s="1"/>
  <c r="C38" i="13"/>
  <c r="U13" i="3"/>
  <c r="W13" i="3" s="1"/>
  <c r="C33" i="20"/>
  <c r="C32" i="20"/>
  <c r="C34" i="20"/>
  <c r="C30" i="20"/>
  <c r="G40" i="22"/>
  <c r="C42" i="22"/>
  <c r="C43" i="22"/>
  <c r="C37" i="20"/>
  <c r="C31" i="20"/>
  <c r="C38" i="20"/>
  <c r="G18" i="22"/>
  <c r="G22" i="22"/>
  <c r="C23" i="22"/>
  <c r="G29" i="20"/>
  <c r="G24" i="22"/>
  <c r="G69" i="20"/>
  <c r="G44" i="22"/>
  <c r="C73" i="20"/>
  <c r="C47" i="22"/>
  <c r="C74" i="20"/>
  <c r="G48" i="22"/>
  <c r="C39" i="20"/>
  <c r="C72" i="20"/>
  <c r="C45" i="22"/>
  <c r="C75" i="20"/>
  <c r="C50" i="22"/>
  <c r="C76" i="20"/>
  <c r="G50" i="22"/>
  <c r="C79" i="20"/>
  <c r="G54" i="22"/>
  <c r="G81" i="8"/>
  <c r="G12" i="12"/>
  <c r="C22" i="22"/>
  <c r="C13" i="12"/>
  <c r="C16" i="12"/>
  <c r="C18" i="12"/>
  <c r="C60" i="12"/>
  <c r="C64" i="12"/>
  <c r="C48" i="22"/>
  <c r="C53" i="22"/>
  <c r="C11" i="22"/>
  <c r="C15" i="22"/>
  <c r="C16" i="22"/>
  <c r="C18" i="22"/>
  <c r="C68" i="12"/>
  <c r="C62" i="12"/>
  <c r="C88" i="20"/>
  <c r="C66" i="12"/>
  <c r="C90" i="20"/>
  <c r="C91" i="20"/>
  <c r="G12" i="17"/>
  <c r="G33" i="17"/>
  <c r="C34" i="17"/>
  <c r="C92" i="20"/>
  <c r="C94" i="20"/>
  <c r="G58" i="22"/>
  <c r="C33" i="18"/>
  <c r="C59" i="22"/>
  <c r="C12" i="17"/>
  <c r="C35" i="17"/>
  <c r="G83" i="8"/>
  <c r="C36" i="17"/>
  <c r="G87" i="8"/>
  <c r="C37" i="17"/>
  <c r="C61" i="22"/>
  <c r="C40" i="17"/>
  <c r="C41" i="17"/>
  <c r="G94" i="16"/>
  <c r="G97" i="8"/>
  <c r="C82" i="17"/>
  <c r="G50" i="18"/>
  <c r="C84" i="17"/>
  <c r="G60" i="22"/>
  <c r="G89" i="8"/>
  <c r="G99" i="8"/>
  <c r="C13" i="22"/>
  <c r="C62" i="22"/>
  <c r="C14" i="22"/>
  <c r="G62" i="22"/>
  <c r="G21" i="20"/>
  <c r="G14" i="22"/>
  <c r="G64" i="22"/>
  <c r="C28" i="20"/>
  <c r="G99" i="13"/>
  <c r="G19" i="13"/>
  <c r="C29" i="20"/>
  <c r="C45" i="20"/>
  <c r="G42" i="15"/>
  <c r="C58" i="20"/>
  <c r="C47" i="20"/>
  <c r="G38" i="15"/>
  <c r="C94" i="18"/>
  <c r="C59" i="20"/>
  <c r="C95" i="20"/>
  <c r="C85" i="17"/>
  <c r="C102" i="20"/>
  <c r="C46" i="20"/>
  <c r="C57" i="20"/>
  <c r="C60" i="20"/>
  <c r="G74" i="9"/>
  <c r="C50" i="20"/>
  <c r="G40" i="15"/>
  <c r="C44" i="15"/>
  <c r="G72" i="9"/>
  <c r="G45" i="15"/>
  <c r="C61" i="20"/>
  <c r="G46" i="15"/>
  <c r="C11" i="20"/>
  <c r="G61" i="20"/>
  <c r="G76" i="9"/>
  <c r="G49" i="15"/>
  <c r="C12" i="20"/>
  <c r="C62" i="20"/>
  <c r="G16" i="22"/>
  <c r="G66" i="22"/>
  <c r="C70" i="12"/>
  <c r="C56" i="20"/>
  <c r="G50" i="15"/>
  <c r="C15" i="20"/>
  <c r="C65" i="20"/>
  <c r="G96" i="22"/>
  <c r="C100" i="12"/>
  <c r="C40" i="20"/>
  <c r="C44" i="20"/>
  <c r="G51" i="15"/>
  <c r="C16" i="20"/>
  <c r="C66" i="20"/>
  <c r="G98" i="22"/>
  <c r="G43" i="15"/>
  <c r="G56" i="15"/>
  <c r="C17" i="20"/>
  <c r="C67" i="20"/>
  <c r="C19" i="22"/>
  <c r="G100" i="22"/>
  <c r="C41" i="20"/>
  <c r="G85" i="15"/>
  <c r="C18" i="20"/>
  <c r="C68" i="20"/>
  <c r="C96" i="20"/>
  <c r="C12" i="12"/>
  <c r="C19" i="20"/>
  <c r="C69" i="20"/>
  <c r="C63" i="22"/>
  <c r="C64" i="22"/>
  <c r="C24" i="22"/>
  <c r="C27" i="22"/>
  <c r="C29" i="22"/>
  <c r="C66" i="22"/>
  <c r="C90" i="22"/>
  <c r="C98" i="22"/>
  <c r="C94" i="22"/>
  <c r="C37" i="22"/>
  <c r="C34" i="22"/>
  <c r="C35" i="22"/>
  <c r="C38" i="22"/>
  <c r="C39" i="22"/>
  <c r="C84" i="21"/>
  <c r="C32" i="21"/>
  <c r="C33" i="21"/>
  <c r="G37" i="20"/>
  <c r="G45" i="20"/>
  <c r="C98" i="20"/>
  <c r="G89" i="19"/>
  <c r="G14" i="19"/>
  <c r="G22" i="19"/>
  <c r="G46" i="19"/>
  <c r="G54" i="19"/>
  <c r="G57" i="19"/>
  <c r="G41" i="19"/>
  <c r="G62" i="19"/>
  <c r="G86" i="19"/>
  <c r="G65" i="19"/>
  <c r="G70" i="19"/>
  <c r="C42" i="19"/>
  <c r="C56" i="19"/>
  <c r="C92" i="19"/>
  <c r="C54" i="19"/>
  <c r="C62" i="19"/>
  <c r="C12" i="19"/>
  <c r="C52" i="19"/>
  <c r="C64" i="19"/>
  <c r="C22" i="19"/>
  <c r="C46" i="19"/>
  <c r="C66" i="19"/>
  <c r="C84" i="19"/>
  <c r="C14" i="19"/>
  <c r="C86" i="19"/>
  <c r="C44" i="19"/>
  <c r="C88" i="19"/>
  <c r="G70" i="18"/>
  <c r="G12" i="18"/>
  <c r="G14" i="18"/>
  <c r="G32" i="18"/>
  <c r="G22" i="18"/>
  <c r="G40" i="18"/>
  <c r="G52" i="18"/>
  <c r="G42" i="18"/>
  <c r="G20" i="18"/>
  <c r="G44" i="18"/>
  <c r="C44" i="18"/>
  <c r="C48" i="18"/>
  <c r="C95" i="18"/>
  <c r="C41" i="18"/>
  <c r="C43" i="18"/>
  <c r="C50" i="18"/>
  <c r="C71" i="18"/>
  <c r="C53" i="18"/>
  <c r="C11" i="18"/>
  <c r="C72" i="18"/>
  <c r="C97" i="18"/>
  <c r="C73" i="18"/>
  <c r="C76" i="18"/>
  <c r="C77" i="18"/>
  <c r="C36" i="18"/>
  <c r="C12" i="18"/>
  <c r="C19" i="18"/>
  <c r="C20" i="18"/>
  <c r="C80" i="18"/>
  <c r="C34" i="18"/>
  <c r="C45" i="18"/>
  <c r="C15" i="18"/>
  <c r="C83" i="18"/>
  <c r="C96" i="18"/>
  <c r="C42" i="18"/>
  <c r="C49" i="18"/>
  <c r="C78" i="18"/>
  <c r="C79" i="18"/>
  <c r="C21" i="18"/>
  <c r="C90" i="18"/>
  <c r="C22" i="18"/>
  <c r="C91" i="18"/>
  <c r="C92" i="18"/>
  <c r="C89" i="17"/>
  <c r="C86" i="17"/>
  <c r="G98" i="16"/>
  <c r="G36" i="16"/>
  <c r="G37" i="16"/>
  <c r="G39" i="16"/>
  <c r="C41" i="16"/>
  <c r="C89" i="16"/>
  <c r="C94" i="16"/>
  <c r="G93" i="15"/>
  <c r="G96" i="15"/>
  <c r="G97" i="15"/>
  <c r="G94" i="15"/>
  <c r="G98" i="15"/>
  <c r="G99" i="15"/>
  <c r="G101" i="15"/>
  <c r="C94" i="15"/>
  <c r="C86" i="15"/>
  <c r="G12" i="14"/>
  <c r="G45" i="14"/>
  <c r="G98" i="14"/>
  <c r="G19" i="14"/>
  <c r="G46" i="14"/>
  <c r="G48" i="14"/>
  <c r="G47" i="14"/>
  <c r="G49" i="14"/>
  <c r="G13" i="14"/>
  <c r="G21" i="14"/>
  <c r="G44" i="14"/>
  <c r="G50" i="14"/>
  <c r="G51" i="14"/>
  <c r="G18" i="14"/>
  <c r="G83" i="14"/>
  <c r="G87" i="14"/>
  <c r="G85" i="14"/>
  <c r="G90" i="14"/>
  <c r="G20" i="14"/>
  <c r="G52" i="14"/>
  <c r="G56" i="14"/>
  <c r="G92" i="14"/>
  <c r="G94" i="14"/>
  <c r="C46" i="14"/>
  <c r="C50" i="14"/>
  <c r="C82" i="14"/>
  <c r="C14" i="14"/>
  <c r="C84" i="14"/>
  <c r="C18" i="14"/>
  <c r="C93" i="14"/>
  <c r="G59" i="13"/>
  <c r="G21" i="13"/>
  <c r="G64" i="13"/>
  <c r="G49" i="13"/>
  <c r="G51" i="13"/>
  <c r="G65" i="13"/>
  <c r="G41" i="13"/>
  <c r="G43" i="13"/>
  <c r="G67" i="13"/>
  <c r="G22" i="13"/>
  <c r="G48" i="13"/>
  <c r="G70" i="13"/>
  <c r="G25" i="13"/>
  <c r="G32" i="13"/>
  <c r="G62" i="13"/>
  <c r="G72" i="13"/>
  <c r="G40" i="13"/>
  <c r="G38" i="13"/>
  <c r="G83" i="13"/>
  <c r="G80" i="13"/>
  <c r="G86" i="13"/>
  <c r="G75" i="13"/>
  <c r="G16" i="13"/>
  <c r="G88" i="13"/>
  <c r="G30" i="13"/>
  <c r="G17" i="13"/>
  <c r="G96" i="13"/>
  <c r="G24" i="13"/>
  <c r="G26" i="13"/>
  <c r="G27" i="13"/>
  <c r="G33" i="13"/>
  <c r="G81" i="13"/>
  <c r="G18" i="13"/>
  <c r="G97" i="13"/>
  <c r="C30" i="13"/>
  <c r="C76" i="12"/>
  <c r="C80" i="12"/>
  <c r="C84" i="12"/>
  <c r="C86" i="12"/>
  <c r="C82" i="12"/>
  <c r="C89" i="12"/>
  <c r="C92" i="12"/>
  <c r="C72" i="12"/>
  <c r="C74" i="12"/>
  <c r="C97" i="12"/>
  <c r="G22" i="11"/>
  <c r="G24" i="11"/>
  <c r="G25" i="11"/>
  <c r="G49" i="11"/>
  <c r="G51" i="11"/>
  <c r="G20" i="11"/>
  <c r="G52" i="11"/>
  <c r="G59" i="11"/>
  <c r="G19" i="11"/>
  <c r="G21" i="11"/>
  <c r="G60" i="11"/>
  <c r="G62" i="11"/>
  <c r="G92" i="11"/>
  <c r="G100" i="11"/>
  <c r="G94" i="11"/>
  <c r="G95" i="11"/>
  <c r="G63" i="11"/>
  <c r="G96" i="11"/>
  <c r="G97" i="11"/>
  <c r="G99" i="11"/>
  <c r="C54" i="11"/>
  <c r="C58" i="11"/>
  <c r="C62" i="11"/>
  <c r="C18" i="11"/>
  <c r="C22" i="11"/>
  <c r="C94" i="11"/>
  <c r="C20" i="11"/>
  <c r="C98" i="11"/>
  <c r="G24" i="9"/>
  <c r="G36" i="9"/>
  <c r="G14" i="9"/>
  <c r="G38" i="9"/>
  <c r="G40" i="9"/>
  <c r="G42" i="9"/>
  <c r="G44" i="9"/>
  <c r="G48" i="9"/>
  <c r="G50" i="9"/>
  <c r="G52" i="9"/>
  <c r="G54" i="9"/>
  <c r="G58" i="9"/>
  <c r="G60" i="9"/>
  <c r="G70" i="9"/>
  <c r="C17" i="9"/>
  <c r="C41" i="9"/>
  <c r="C33" i="9"/>
  <c r="C44" i="9"/>
  <c r="C28" i="9"/>
  <c r="C49" i="9"/>
  <c r="C25" i="9"/>
  <c r="C52" i="9"/>
  <c r="C12" i="9"/>
  <c r="G12" i="8"/>
  <c r="G15" i="8"/>
  <c r="G25" i="8"/>
  <c r="G29" i="8"/>
  <c r="G31" i="8"/>
  <c r="G33" i="8"/>
  <c r="G35" i="8"/>
  <c r="G13" i="8"/>
  <c r="G37" i="8"/>
  <c r="G14" i="8"/>
  <c r="G39" i="8"/>
  <c r="G69" i="8"/>
  <c r="G71" i="8"/>
  <c r="G73" i="8"/>
  <c r="G75" i="8"/>
  <c r="G77" i="8"/>
  <c r="G79" i="8"/>
  <c r="C25" i="8"/>
  <c r="C34" i="8"/>
  <c r="C86" i="8"/>
  <c r="C15" i="8"/>
  <c r="C33" i="8"/>
  <c r="C14" i="8"/>
  <c r="C94" i="8"/>
  <c r="C37" i="8"/>
  <c r="C39" i="8"/>
  <c r="C29" i="8"/>
  <c r="C31" i="8"/>
  <c r="C36" i="8"/>
  <c r="C70" i="8"/>
  <c r="C38" i="8"/>
  <c r="C30" i="8"/>
  <c r="C12" i="8"/>
  <c r="C81" i="8"/>
  <c r="C13" i="8"/>
  <c r="C54" i="13"/>
  <c r="C46" i="13"/>
  <c r="C30" i="21"/>
  <c r="C98" i="21"/>
  <c r="C31" i="21"/>
  <c r="C102" i="21"/>
  <c r="C66" i="21"/>
  <c r="C37" i="21"/>
  <c r="C65" i="21"/>
  <c r="C36" i="21"/>
  <c r="C64" i="21"/>
  <c r="C35" i="21"/>
  <c r="C96" i="21"/>
  <c r="C57" i="21"/>
  <c r="C28" i="21"/>
  <c r="C95" i="21"/>
  <c r="C56" i="21"/>
  <c r="C27" i="21"/>
  <c r="C91" i="21"/>
  <c r="C55" i="21"/>
  <c r="C26" i="21"/>
  <c r="C54" i="21"/>
  <c r="C92" i="21"/>
  <c r="C25" i="21"/>
  <c r="C88" i="21"/>
  <c r="C53" i="21"/>
  <c r="C24" i="21"/>
  <c r="C89" i="21"/>
  <c r="C85" i="21"/>
  <c r="C52" i="21"/>
  <c r="C23" i="21"/>
  <c r="C50" i="21"/>
  <c r="C21" i="21"/>
  <c r="C81" i="21"/>
  <c r="C20" i="21"/>
  <c r="C73" i="21"/>
  <c r="C44" i="21"/>
  <c r="C15" i="21"/>
  <c r="C72" i="21"/>
  <c r="C43" i="21"/>
  <c r="C14" i="21"/>
  <c r="C68" i="21"/>
  <c r="C39" i="21"/>
  <c r="G99" i="21"/>
  <c r="G55" i="21"/>
  <c r="G26" i="21"/>
  <c r="G81" i="21"/>
  <c r="G49" i="21"/>
  <c r="C31" i="16"/>
  <c r="C69" i="16"/>
  <c r="C29" i="16"/>
  <c r="C65" i="16"/>
  <c r="C38" i="17"/>
  <c r="C34" i="21"/>
  <c r="G102" i="16"/>
  <c r="G29" i="16"/>
  <c r="G28" i="16"/>
  <c r="G27" i="16"/>
  <c r="G67" i="16"/>
  <c r="G65" i="16"/>
  <c r="G63" i="16"/>
  <c r="G26" i="16"/>
  <c r="G59" i="16"/>
  <c r="G23" i="16"/>
  <c r="G57" i="16"/>
  <c r="G22" i="16"/>
  <c r="G92" i="16"/>
  <c r="G49" i="16"/>
  <c r="G17" i="16"/>
  <c r="G91" i="16"/>
  <c r="C39" i="17"/>
  <c r="C38" i="21"/>
  <c r="C102" i="17"/>
  <c r="C68" i="17"/>
  <c r="C33" i="17"/>
  <c r="C15" i="17"/>
  <c r="C65" i="17"/>
  <c r="C14" i="17"/>
  <c r="C66" i="17"/>
  <c r="C32" i="17"/>
  <c r="C31" i="17"/>
  <c r="C63" i="17"/>
  <c r="C30" i="17"/>
  <c r="C13" i="17"/>
  <c r="C60" i="17"/>
  <c r="C58" i="17"/>
  <c r="C27" i="17"/>
  <c r="C11" i="17"/>
  <c r="C97" i="17"/>
  <c r="C50" i="17"/>
  <c r="C24" i="17"/>
  <c r="C93" i="17"/>
  <c r="C49" i="17"/>
  <c r="C40" i="21"/>
  <c r="G63" i="17"/>
  <c r="G13" i="17"/>
  <c r="G14" i="17"/>
  <c r="G31" i="17"/>
  <c r="G27" i="17"/>
  <c r="G11" i="17"/>
  <c r="G23" i="17"/>
  <c r="C41" i="21"/>
  <c r="G15" i="17"/>
  <c r="C42" i="17"/>
  <c r="C42" i="21"/>
  <c r="C45" i="21"/>
  <c r="C46" i="21"/>
  <c r="C47" i="21"/>
  <c r="C48" i="21"/>
  <c r="C49" i="21"/>
  <c r="C51" i="21"/>
  <c r="C58" i="21"/>
  <c r="G11" i="15"/>
  <c r="C24" i="15"/>
  <c r="G16" i="16"/>
  <c r="G69" i="16"/>
  <c r="C20" i="17"/>
  <c r="C54" i="17"/>
  <c r="C101" i="18"/>
  <c r="C100" i="18"/>
  <c r="C69" i="18"/>
  <c r="C47" i="18"/>
  <c r="C99" i="18"/>
  <c r="C98" i="18"/>
  <c r="C68" i="18"/>
  <c r="C46" i="18"/>
  <c r="C89" i="18"/>
  <c r="C61" i="18"/>
  <c r="C40" i="18"/>
  <c r="C87" i="18"/>
  <c r="C38" i="18"/>
  <c r="C88" i="18"/>
  <c r="C39" i="18"/>
  <c r="C18" i="18"/>
  <c r="C60" i="18"/>
  <c r="C17" i="18"/>
  <c r="C86" i="18"/>
  <c r="C85" i="18"/>
  <c r="C37" i="18"/>
  <c r="C16" i="18"/>
  <c r="C59" i="18"/>
  <c r="C84" i="18"/>
  <c r="C58" i="18"/>
  <c r="C82" i="18"/>
  <c r="C35" i="18"/>
  <c r="C14" i="18"/>
  <c r="C81" i="18"/>
  <c r="C56" i="18"/>
  <c r="C13" i="18"/>
  <c r="C75" i="18"/>
  <c r="C52" i="18"/>
  <c r="C74" i="18"/>
  <c r="C51" i="18"/>
  <c r="C30" i="18"/>
  <c r="C60" i="21"/>
  <c r="G101" i="11"/>
  <c r="G89" i="11"/>
  <c r="G57" i="11"/>
  <c r="G28" i="11"/>
  <c r="G87" i="11"/>
  <c r="G27" i="11"/>
  <c r="G88" i="11"/>
  <c r="G56" i="11"/>
  <c r="G55" i="11"/>
  <c r="G86" i="11"/>
  <c r="G54" i="11"/>
  <c r="G26" i="11"/>
  <c r="G23" i="11"/>
  <c r="G75" i="11"/>
  <c r="G43" i="11"/>
  <c r="G18" i="11"/>
  <c r="C49" i="16"/>
  <c r="G102" i="11"/>
  <c r="C17" i="17"/>
  <c r="G23" i="14"/>
  <c r="G32" i="11"/>
  <c r="C47" i="17"/>
  <c r="G13" i="16"/>
  <c r="C34" i="11"/>
  <c r="G41" i="8"/>
  <c r="G15" i="16"/>
  <c r="G59" i="14"/>
  <c r="G17" i="8"/>
  <c r="G45" i="8"/>
  <c r="G36" i="11"/>
  <c r="G73" i="11"/>
  <c r="C24" i="12"/>
  <c r="G28" i="14"/>
  <c r="G60" i="14"/>
  <c r="G24" i="15"/>
  <c r="G66" i="15"/>
  <c r="G18" i="16"/>
  <c r="G71" i="16"/>
  <c r="G20" i="17"/>
  <c r="C55" i="17"/>
  <c r="C54" i="18"/>
  <c r="G102" i="18"/>
  <c r="G68" i="18"/>
  <c r="G46" i="18"/>
  <c r="G18" i="18"/>
  <c r="G38" i="18"/>
  <c r="G60" i="18"/>
  <c r="G16" i="18"/>
  <c r="G58" i="18"/>
  <c r="G36" i="18"/>
  <c r="G56" i="18"/>
  <c r="G34" i="18"/>
  <c r="G30" i="18"/>
  <c r="C61" i="21"/>
  <c r="G43" i="16"/>
  <c r="C26" i="11"/>
  <c r="G51" i="16"/>
  <c r="G30" i="11"/>
  <c r="C52" i="17"/>
  <c r="G16" i="8"/>
  <c r="G58" i="14"/>
  <c r="G65" i="15"/>
  <c r="C18" i="8"/>
  <c r="G16" i="9"/>
  <c r="G37" i="11"/>
  <c r="C74" i="11"/>
  <c r="C26" i="12"/>
  <c r="G29" i="14"/>
  <c r="G61" i="14"/>
  <c r="G25" i="15"/>
  <c r="G67" i="15"/>
  <c r="G19" i="16"/>
  <c r="C73" i="16"/>
  <c r="C21" i="17"/>
  <c r="C57" i="17"/>
  <c r="C23" i="18"/>
  <c r="G54" i="18"/>
  <c r="G61" i="21"/>
  <c r="G64" i="11"/>
  <c r="G53" i="14"/>
  <c r="C66" i="11"/>
  <c r="G58" i="15"/>
  <c r="G31" i="11"/>
  <c r="C62" i="13"/>
  <c r="C70" i="11"/>
  <c r="C102" i="8"/>
  <c r="C62" i="8"/>
  <c r="C28" i="8"/>
  <c r="C11" i="8"/>
  <c r="C26" i="8"/>
  <c r="C24" i="8"/>
  <c r="C44" i="8"/>
  <c r="G34" i="11"/>
  <c r="G64" i="15"/>
  <c r="G27" i="14"/>
  <c r="G18" i="8"/>
  <c r="G47" i="8"/>
  <c r="C100" i="9"/>
  <c r="C20" i="9"/>
  <c r="C38" i="11"/>
  <c r="G76" i="11"/>
  <c r="C30" i="12"/>
  <c r="C30" i="14"/>
  <c r="G63" i="14"/>
  <c r="G26" i="15"/>
  <c r="G69" i="15"/>
  <c r="G20" i="16"/>
  <c r="G73" i="16"/>
  <c r="G21" i="17"/>
  <c r="C61" i="17"/>
  <c r="C24" i="18"/>
  <c r="C55" i="18"/>
  <c r="C62" i="21"/>
  <c r="C16" i="17"/>
  <c r="C45" i="17"/>
  <c r="C20" i="12"/>
  <c r="G22" i="15"/>
  <c r="C70" i="13"/>
  <c r="C19" i="8"/>
  <c r="C49" i="8"/>
  <c r="G102" i="9"/>
  <c r="G68" i="9"/>
  <c r="G22" i="9"/>
  <c r="G20" i="9"/>
  <c r="G66" i="9"/>
  <c r="G64" i="9"/>
  <c r="G62" i="9"/>
  <c r="G18" i="9"/>
  <c r="G56" i="9"/>
  <c r="G12" i="9"/>
  <c r="G46" i="9"/>
  <c r="G38" i="11"/>
  <c r="C78" i="11"/>
  <c r="C32" i="12"/>
  <c r="C78" i="13"/>
  <c r="G30" i="14"/>
  <c r="G64" i="14"/>
  <c r="C70" i="15"/>
  <c r="C21" i="16"/>
  <c r="G75" i="16"/>
  <c r="C22" i="17"/>
  <c r="C62" i="17"/>
  <c r="G24" i="18"/>
  <c r="C57" i="18"/>
  <c r="C11" i="21"/>
  <c r="C63" i="21"/>
  <c r="G102" i="15"/>
  <c r="G91" i="15"/>
  <c r="G21" i="15"/>
  <c r="G89" i="15"/>
  <c r="G19" i="15"/>
  <c r="G90" i="15"/>
  <c r="G54" i="15"/>
  <c r="G53" i="15"/>
  <c r="G88" i="15"/>
  <c r="G18" i="15"/>
  <c r="G86" i="15"/>
  <c r="G83" i="15"/>
  <c r="G48" i="15"/>
  <c r="G14" i="15"/>
  <c r="G82" i="15"/>
  <c r="G13" i="15"/>
  <c r="G75" i="15"/>
  <c r="G41" i="15"/>
  <c r="C46" i="17"/>
  <c r="C13" i="16"/>
  <c r="G16" i="15"/>
  <c r="G26" i="14"/>
  <c r="G19" i="17"/>
  <c r="G72" i="11"/>
  <c r="G19" i="8"/>
  <c r="G49" i="8"/>
  <c r="G11" i="11"/>
  <c r="G39" i="11"/>
  <c r="G78" i="11"/>
  <c r="C20" i="13"/>
  <c r="G32" i="14"/>
  <c r="G29" i="15"/>
  <c r="G70" i="15"/>
  <c r="G21" i="16"/>
  <c r="C77" i="16"/>
  <c r="G22" i="17"/>
  <c r="C69" i="17"/>
  <c r="C25" i="18"/>
  <c r="C62" i="18"/>
  <c r="C18" i="19"/>
  <c r="C94" i="19"/>
  <c r="C12" i="21"/>
  <c r="C67" i="21"/>
  <c r="G41" i="16"/>
  <c r="G29" i="11"/>
  <c r="G69" i="14"/>
  <c r="G42" i="14"/>
  <c r="G17" i="14"/>
  <c r="G41" i="14"/>
  <c r="G15" i="14"/>
  <c r="G14" i="14"/>
  <c r="G16" i="14"/>
  <c r="G67" i="14"/>
  <c r="G40" i="14"/>
  <c r="G62" i="14"/>
  <c r="G37" i="14"/>
  <c r="G11" i="14"/>
  <c r="G36" i="14"/>
  <c r="G57" i="14"/>
  <c r="G31" i="14"/>
  <c r="G12" i="16"/>
  <c r="G24" i="14"/>
  <c r="C61" i="16"/>
  <c r="C42" i="12"/>
  <c r="C40" i="12"/>
  <c r="C38" i="12"/>
  <c r="C36" i="12"/>
  <c r="C94" i="12"/>
  <c r="C28" i="12"/>
  <c r="C78" i="12"/>
  <c r="G61" i="16"/>
  <c r="C20" i="8"/>
  <c r="G26" i="9"/>
  <c r="G40" i="11"/>
  <c r="G79" i="11"/>
  <c r="C44" i="12"/>
  <c r="G33" i="14"/>
  <c r="G71" i="14"/>
  <c r="G72" i="15"/>
  <c r="G24" i="16"/>
  <c r="G77" i="16"/>
  <c r="C23" i="17"/>
  <c r="C70" i="17"/>
  <c r="C26" i="18"/>
  <c r="G62" i="18"/>
  <c r="C20" i="19"/>
  <c r="C13" i="21"/>
  <c r="C69" i="21"/>
  <c r="C54" i="15"/>
  <c r="C56" i="15"/>
  <c r="C52" i="15"/>
  <c r="C20" i="15"/>
  <c r="C48" i="15"/>
  <c r="C54" i="14"/>
  <c r="G59" i="15"/>
  <c r="C58" i="14"/>
  <c r="C21" i="8"/>
  <c r="C54" i="8"/>
  <c r="G12" i="11"/>
  <c r="G41" i="11"/>
  <c r="G80" i="11"/>
  <c r="C46" i="12"/>
  <c r="C22" i="13"/>
  <c r="G73" i="14"/>
  <c r="G30" i="15"/>
  <c r="G73" i="15"/>
  <c r="G25" i="16"/>
  <c r="G79" i="16"/>
  <c r="G24" i="17"/>
  <c r="C71" i="17"/>
  <c r="G26" i="18"/>
  <c r="C63" i="18"/>
  <c r="C102" i="19"/>
  <c r="C50" i="19"/>
  <c r="C96" i="19"/>
  <c r="C48" i="19"/>
  <c r="C80" i="19"/>
  <c r="C36" i="19"/>
  <c r="C78" i="19"/>
  <c r="C32" i="19"/>
  <c r="C34" i="19"/>
  <c r="C76" i="19"/>
  <c r="C72" i="19"/>
  <c r="C30" i="19"/>
  <c r="C70" i="19"/>
  <c r="C26" i="19"/>
  <c r="C68" i="19"/>
  <c r="C60" i="19"/>
  <c r="C58" i="19"/>
  <c r="C16" i="19"/>
  <c r="C16" i="21"/>
  <c r="C70" i="21"/>
  <c r="C102" i="11"/>
  <c r="C28" i="11"/>
  <c r="C82" i="11"/>
  <c r="C50" i="11"/>
  <c r="C66" i="14"/>
  <c r="C68" i="14"/>
  <c r="C42" i="14"/>
  <c r="C62" i="14"/>
  <c r="C97" i="14"/>
  <c r="C30" i="11"/>
  <c r="G57" i="15"/>
  <c r="G22" i="14"/>
  <c r="G17" i="17"/>
  <c r="C16" i="15"/>
  <c r="G47" i="17"/>
  <c r="C16" i="8"/>
  <c r="G17" i="15"/>
  <c r="G101" i="8"/>
  <c r="G11" i="8"/>
  <c r="G27" i="8"/>
  <c r="G26" i="8"/>
  <c r="G61" i="8"/>
  <c r="G59" i="8"/>
  <c r="G57" i="8"/>
  <c r="G53" i="8"/>
  <c r="G91" i="8"/>
  <c r="G20" i="8"/>
  <c r="C53" i="17"/>
  <c r="C22" i="12"/>
  <c r="G21" i="8"/>
  <c r="G55" i="8"/>
  <c r="G28" i="9"/>
  <c r="G13" i="11"/>
  <c r="C42" i="11"/>
  <c r="G81" i="11"/>
  <c r="C48" i="12"/>
  <c r="C86" i="13"/>
  <c r="G34" i="14"/>
  <c r="C74" i="14"/>
  <c r="G32" i="15"/>
  <c r="G74" i="15"/>
  <c r="G30" i="16"/>
  <c r="C81" i="16"/>
  <c r="C25" i="17"/>
  <c r="G71" i="17"/>
  <c r="C27" i="18"/>
  <c r="C64" i="18"/>
  <c r="G101" i="19"/>
  <c r="G97" i="19"/>
  <c r="G49" i="19"/>
  <c r="G94" i="19"/>
  <c r="G78" i="19"/>
  <c r="G33" i="19"/>
  <c r="G73" i="19"/>
  <c r="G30" i="19"/>
  <c r="G25" i="19"/>
  <c r="G17" i="19"/>
  <c r="C17" i="21"/>
  <c r="C71" i="21"/>
  <c r="C43" i="17"/>
  <c r="G65" i="11"/>
  <c r="C53" i="16"/>
  <c r="G54" i="14"/>
  <c r="C18" i="17"/>
  <c r="G33" i="11"/>
  <c r="C57" i="16"/>
  <c r="G14" i="16"/>
  <c r="C22" i="8"/>
  <c r="C57" i="8"/>
  <c r="G30" i="9"/>
  <c r="C14" i="11"/>
  <c r="G44" i="11"/>
  <c r="G83" i="11"/>
  <c r="C50" i="12"/>
  <c r="C24" i="13"/>
  <c r="G35" i="14"/>
  <c r="G75" i="14"/>
  <c r="G33" i="15"/>
  <c r="G77" i="15"/>
  <c r="G31" i="16"/>
  <c r="G81" i="16"/>
  <c r="G25" i="17"/>
  <c r="C74" i="17"/>
  <c r="C28" i="18"/>
  <c r="C65" i="18"/>
  <c r="C24" i="19"/>
  <c r="C18" i="21"/>
  <c r="C74" i="21"/>
  <c r="G45" i="16"/>
  <c r="C44" i="17"/>
  <c r="G61" i="15"/>
  <c r="G25" i="14"/>
  <c r="G18" i="17"/>
  <c r="C26" i="14"/>
  <c r="C19" i="17"/>
  <c r="G71" i="11"/>
  <c r="G35" i="11"/>
  <c r="G22" i="8"/>
  <c r="G63" i="8"/>
  <c r="G32" i="9"/>
  <c r="G14" i="11"/>
  <c r="C46" i="11"/>
  <c r="G84" i="11"/>
  <c r="C52" i="12"/>
  <c r="C38" i="14"/>
  <c r="C76" i="14"/>
  <c r="G34" i="15"/>
  <c r="C78" i="15"/>
  <c r="G32" i="16"/>
  <c r="G83" i="16"/>
  <c r="C26" i="17"/>
  <c r="C77" i="17"/>
  <c r="G28" i="18"/>
  <c r="C66" i="18"/>
  <c r="C28" i="19"/>
  <c r="G18" i="21"/>
  <c r="C75" i="21"/>
  <c r="C22" i="14"/>
  <c r="G11" i="16"/>
  <c r="C12" i="15"/>
  <c r="G55" i="14"/>
  <c r="G55" i="16"/>
  <c r="C62" i="15"/>
  <c r="G62" i="15"/>
  <c r="G43" i="8"/>
  <c r="C23" i="8"/>
  <c r="C65" i="8"/>
  <c r="G15" i="11"/>
  <c r="G46" i="11"/>
  <c r="C86" i="11"/>
  <c r="C54" i="12"/>
  <c r="C94" i="13"/>
  <c r="G38" i="14"/>
  <c r="G77" i="14"/>
  <c r="G35" i="15"/>
  <c r="G78" i="15"/>
  <c r="G33" i="16"/>
  <c r="C85" i="16"/>
  <c r="G26" i="17"/>
  <c r="C78" i="17"/>
  <c r="C29" i="18"/>
  <c r="G66" i="18"/>
  <c r="C38" i="19"/>
  <c r="C19" i="21"/>
  <c r="C76" i="21"/>
  <c r="G47" i="16"/>
  <c r="G68" i="11"/>
  <c r="C59" i="21"/>
  <c r="G23" i="8"/>
  <c r="G65" i="8"/>
  <c r="G34" i="9"/>
  <c r="G16" i="11"/>
  <c r="G47" i="11"/>
  <c r="C90" i="11"/>
  <c r="C56" i="12"/>
  <c r="G39" i="14"/>
  <c r="G79" i="14"/>
  <c r="G37" i="15"/>
  <c r="G80" i="15"/>
  <c r="G34" i="16"/>
  <c r="G85" i="16"/>
  <c r="C28" i="17"/>
  <c r="C79" i="17"/>
  <c r="C31" i="18"/>
  <c r="C67" i="18"/>
  <c r="G38" i="19"/>
  <c r="C22" i="21"/>
  <c r="C78" i="21"/>
  <c r="C45" i="16"/>
  <c r="G16" i="17"/>
  <c r="G53" i="16"/>
  <c r="G70" i="11"/>
  <c r="C17" i="8"/>
  <c r="G24" i="8"/>
  <c r="G67" i="8"/>
  <c r="C36" i="9"/>
  <c r="G17" i="11"/>
  <c r="G48" i="11"/>
  <c r="G91" i="11"/>
  <c r="C58" i="12"/>
  <c r="G43" i="14"/>
  <c r="G81" i="14"/>
  <c r="C38" i="15"/>
  <c r="G81" i="15"/>
  <c r="G35" i="16"/>
  <c r="G87" i="16"/>
  <c r="C29" i="17"/>
  <c r="C81" i="17"/>
  <c r="C32" i="18"/>
  <c r="C70" i="18"/>
  <c r="C40" i="19"/>
  <c r="C29" i="21"/>
  <c r="C79" i="21"/>
  <c r="C68" i="22"/>
  <c r="G42" i="22"/>
  <c r="G68" i="22"/>
  <c r="C70" i="22"/>
  <c r="G70" i="22"/>
  <c r="C72" i="22"/>
  <c r="G72" i="22"/>
  <c r="C13" i="20"/>
  <c r="C42" i="20"/>
  <c r="C70" i="20"/>
  <c r="G20" i="22"/>
  <c r="C46" i="22"/>
  <c r="G14" i="12"/>
  <c r="G35" i="13"/>
  <c r="G91" i="13"/>
  <c r="C14" i="20"/>
  <c r="C43" i="20"/>
  <c r="C71" i="20"/>
  <c r="C21" i="22"/>
  <c r="G46" i="22"/>
  <c r="C74" i="22"/>
  <c r="G74" i="22"/>
  <c r="C76" i="22"/>
  <c r="G76" i="22"/>
  <c r="C78" i="22"/>
  <c r="G78" i="22"/>
  <c r="C80" i="22"/>
  <c r="C20" i="20"/>
  <c r="C48" i="20"/>
  <c r="C77" i="20"/>
  <c r="C26" i="22"/>
  <c r="C51" i="22"/>
  <c r="G46" i="13"/>
  <c r="C21" i="20"/>
  <c r="C49" i="20"/>
  <c r="G77" i="20"/>
  <c r="G26" i="22"/>
  <c r="G52" i="22"/>
  <c r="G80" i="22"/>
  <c r="C82" i="22"/>
  <c r="C22" i="20"/>
  <c r="C51" i="20"/>
  <c r="C80" i="20"/>
  <c r="G28" i="22"/>
  <c r="C54" i="22"/>
  <c r="G82" i="22"/>
  <c r="C84" i="22"/>
  <c r="C30" i="22"/>
  <c r="C55" i="22"/>
  <c r="G84" i="22"/>
  <c r="C86" i="22"/>
  <c r="C23" i="20"/>
  <c r="C52" i="20"/>
  <c r="C82" i="20"/>
  <c r="C53" i="20"/>
  <c r="G54" i="13"/>
  <c r="G53" i="20"/>
  <c r="G30" i="22"/>
  <c r="G13" i="13"/>
  <c r="G56" i="13"/>
  <c r="C26" i="20"/>
  <c r="C54" i="20"/>
  <c r="C86" i="20"/>
  <c r="C31" i="22"/>
  <c r="G56" i="22"/>
  <c r="G86" i="22"/>
  <c r="C24" i="20"/>
  <c r="C83" i="20"/>
  <c r="G11" i="13"/>
  <c r="C25" i="20"/>
  <c r="C84" i="20"/>
  <c r="C56" i="22"/>
  <c r="G14" i="13"/>
  <c r="C27" i="20"/>
  <c r="C55" i="20"/>
  <c r="C87" i="20"/>
  <c r="C32" i="22"/>
  <c r="C58" i="22"/>
  <c r="G88" i="22"/>
  <c r="G90" i="22"/>
  <c r="G92" i="22"/>
  <c r="G94" i="22"/>
  <c r="C35" i="20"/>
  <c r="C63" i="20"/>
  <c r="C99" i="20"/>
  <c r="C36" i="20"/>
  <c r="C64" i="20"/>
  <c r="C100" i="20"/>
  <c r="C68" i="9"/>
  <c r="C77" i="9"/>
  <c r="C81" i="9"/>
  <c r="C97" i="9"/>
  <c r="C41" i="8"/>
  <c r="C89" i="8"/>
  <c r="C97" i="8"/>
  <c r="C13" i="9"/>
  <c r="C16" i="9"/>
  <c r="C21" i="9"/>
  <c r="C24" i="9"/>
  <c r="C29" i="9"/>
  <c r="C32" i="9"/>
  <c r="C37" i="9"/>
  <c r="C40" i="9"/>
  <c r="C45" i="9"/>
  <c r="C48" i="9"/>
  <c r="C53" i="9"/>
  <c r="C60" i="9"/>
  <c r="C69" i="9"/>
  <c r="C76" i="9"/>
  <c r="C84" i="9"/>
  <c r="C89" i="9"/>
  <c r="C94" i="9"/>
  <c r="C102" i="9"/>
  <c r="C99" i="9"/>
  <c r="C95" i="9"/>
  <c r="C91" i="9"/>
  <c r="C87" i="9"/>
  <c r="C83" i="9"/>
  <c r="C79" i="9"/>
  <c r="C74" i="9"/>
  <c r="C71" i="9"/>
  <c r="C66" i="9"/>
  <c r="C63" i="9"/>
  <c r="C58" i="9"/>
  <c r="C55" i="9"/>
  <c r="C73" i="8"/>
  <c r="C78" i="8"/>
  <c r="C11" i="9"/>
  <c r="C14" i="9"/>
  <c r="C19" i="9"/>
  <c r="C22" i="9"/>
  <c r="C27" i="9"/>
  <c r="C30" i="9"/>
  <c r="C35" i="9"/>
  <c r="C38" i="9"/>
  <c r="C43" i="9"/>
  <c r="C46" i="9"/>
  <c r="C51" i="9"/>
  <c r="C54" i="9"/>
  <c r="C57" i="9"/>
  <c r="C64" i="9"/>
  <c r="C67" i="9"/>
  <c r="C70" i="9"/>
  <c r="C73" i="9"/>
  <c r="C80" i="9"/>
  <c r="C85" i="9"/>
  <c r="C90" i="9"/>
  <c r="C96" i="9"/>
  <c r="C101" i="9"/>
  <c r="C86" i="9"/>
  <c r="C92" i="9"/>
  <c r="C15" i="9"/>
  <c r="C18" i="9"/>
  <c r="C23" i="9"/>
  <c r="C26" i="9"/>
  <c r="C31" i="9"/>
  <c r="C34" i="9"/>
  <c r="C39" i="9"/>
  <c r="C42" i="9"/>
  <c r="C47" i="9"/>
  <c r="C50" i="9"/>
  <c r="C56" i="9"/>
  <c r="C59" i="9"/>
  <c r="C62" i="9"/>
  <c r="C65" i="9"/>
  <c r="C72" i="9"/>
  <c r="C75" i="9"/>
  <c r="C78" i="9"/>
  <c r="C82" i="9"/>
  <c r="C88" i="9"/>
  <c r="C93" i="9"/>
  <c r="C98" i="9"/>
  <c r="C102" i="12"/>
  <c r="C99" i="12"/>
  <c r="C95" i="12"/>
  <c r="C91" i="12"/>
  <c r="C87" i="12"/>
  <c r="C102" i="13"/>
  <c r="C98" i="13"/>
  <c r="C90" i="13"/>
  <c r="C82" i="13"/>
  <c r="C74" i="13"/>
  <c r="C66" i="13"/>
  <c r="C58" i="13"/>
  <c r="C50" i="13"/>
  <c r="C42" i="13"/>
  <c r="C34" i="13"/>
  <c r="C26" i="13"/>
  <c r="C18" i="13"/>
  <c r="C96" i="13"/>
  <c r="C88" i="13"/>
  <c r="C80" i="13"/>
  <c r="C72" i="13"/>
  <c r="C64" i="13"/>
  <c r="C56" i="13"/>
  <c r="C48" i="13"/>
  <c r="C40" i="13"/>
  <c r="C32" i="13"/>
  <c r="C102" i="14"/>
  <c r="C99" i="14"/>
  <c r="C94" i="14"/>
  <c r="C91" i="14"/>
  <c r="C95" i="14"/>
  <c r="C92" i="14"/>
  <c r="C88" i="14"/>
  <c r="C83" i="14"/>
  <c r="C80" i="14"/>
  <c r="C75" i="14"/>
  <c r="C72" i="14"/>
  <c r="C67" i="14"/>
  <c r="C100" i="14"/>
  <c r="C96" i="14"/>
  <c r="C89" i="14"/>
  <c r="C86" i="14"/>
  <c r="C81" i="14"/>
  <c r="C78" i="14"/>
  <c r="C73" i="14"/>
  <c r="C70" i="14"/>
  <c r="C65" i="14"/>
  <c r="C63" i="14"/>
  <c r="C61" i="14"/>
  <c r="C59" i="14"/>
  <c r="C57" i="14"/>
  <c r="C55" i="14"/>
  <c r="C53" i="14"/>
  <c r="C51" i="14"/>
  <c r="C49" i="14"/>
  <c r="C47" i="14"/>
  <c r="C45" i="14"/>
  <c r="C43" i="14"/>
  <c r="C41" i="14"/>
  <c r="C39" i="14"/>
  <c r="C37" i="14"/>
  <c r="C35" i="14"/>
  <c r="C33" i="14"/>
  <c r="C31" i="14"/>
  <c r="C29" i="14"/>
  <c r="C27" i="14"/>
  <c r="C25" i="14"/>
  <c r="C23" i="14"/>
  <c r="C21" i="14"/>
  <c r="C19" i="14"/>
  <c r="C17" i="14"/>
  <c r="C15" i="14"/>
  <c r="C13" i="14"/>
  <c r="C11" i="14"/>
  <c r="C36" i="11"/>
  <c r="C44" i="11"/>
  <c r="C52" i="11"/>
  <c r="C60" i="11"/>
  <c r="C68" i="11"/>
  <c r="C76" i="11"/>
  <c r="C84" i="11"/>
  <c r="C92" i="11"/>
  <c r="C100" i="11"/>
  <c r="C15" i="12"/>
  <c r="C19" i="12"/>
  <c r="C23" i="12"/>
  <c r="C27" i="12"/>
  <c r="C31" i="12"/>
  <c r="C35" i="12"/>
  <c r="C39" i="12"/>
  <c r="C43" i="12"/>
  <c r="C47" i="12"/>
  <c r="C51" i="12"/>
  <c r="C55" i="12"/>
  <c r="C59" i="12"/>
  <c r="C63" i="12"/>
  <c r="C67" i="12"/>
  <c r="C71" i="12"/>
  <c r="C75" i="12"/>
  <c r="C79" i="12"/>
  <c r="C83" i="12"/>
  <c r="C88" i="12"/>
  <c r="C93" i="12"/>
  <c r="C98" i="12"/>
  <c r="C14" i="13"/>
  <c r="C28" i="13"/>
  <c r="C44" i="13"/>
  <c r="C60" i="13"/>
  <c r="C76" i="13"/>
  <c r="C92" i="13"/>
  <c r="G102" i="13"/>
  <c r="G100" i="13"/>
  <c r="G95" i="13"/>
  <c r="G92" i="13"/>
  <c r="G87" i="13"/>
  <c r="G84" i="13"/>
  <c r="G79" i="13"/>
  <c r="G76" i="13"/>
  <c r="G71" i="13"/>
  <c r="G68" i="13"/>
  <c r="G63" i="13"/>
  <c r="G60" i="13"/>
  <c r="G55" i="13"/>
  <c r="G52" i="13"/>
  <c r="G47" i="13"/>
  <c r="G44" i="13"/>
  <c r="G39" i="13"/>
  <c r="G36" i="13"/>
  <c r="G31" i="13"/>
  <c r="G28" i="13"/>
  <c r="G23" i="13"/>
  <c r="G20" i="13"/>
  <c r="G15" i="13"/>
  <c r="G12" i="13"/>
  <c r="G101" i="13"/>
  <c r="G98" i="13"/>
  <c r="G93" i="13"/>
  <c r="G90" i="13"/>
  <c r="G85" i="13"/>
  <c r="G82" i="13"/>
  <c r="G77" i="13"/>
  <c r="G74" i="13"/>
  <c r="G69" i="13"/>
  <c r="G66" i="13"/>
  <c r="G61" i="13"/>
  <c r="G58" i="13"/>
  <c r="G53" i="13"/>
  <c r="G50" i="13"/>
  <c r="G45" i="13"/>
  <c r="G42" i="13"/>
  <c r="G37" i="13"/>
  <c r="G34" i="13"/>
  <c r="G29" i="13"/>
  <c r="C16" i="14"/>
  <c r="C24" i="14"/>
  <c r="C32" i="14"/>
  <c r="C40" i="14"/>
  <c r="C48" i="14"/>
  <c r="C56" i="14"/>
  <c r="C64" i="14"/>
  <c r="C71" i="14"/>
  <c r="C79" i="14"/>
  <c r="C87" i="14"/>
  <c r="C98" i="14"/>
  <c r="C16" i="11"/>
  <c r="C24" i="11"/>
  <c r="C32" i="11"/>
  <c r="C40" i="11"/>
  <c r="G42" i="11"/>
  <c r="G45" i="11"/>
  <c r="C48" i="11"/>
  <c r="G50" i="11"/>
  <c r="G53" i="11"/>
  <c r="C56" i="11"/>
  <c r="G58" i="11"/>
  <c r="G61" i="11"/>
  <c r="C64" i="11"/>
  <c r="G66" i="11"/>
  <c r="G69" i="11"/>
  <c r="C72" i="11"/>
  <c r="G74" i="11"/>
  <c r="G77" i="11"/>
  <c r="C80" i="11"/>
  <c r="G82" i="11"/>
  <c r="G85" i="11"/>
  <c r="C88" i="11"/>
  <c r="G90" i="11"/>
  <c r="G93" i="11"/>
  <c r="C96" i="11"/>
  <c r="G98" i="11"/>
  <c r="C11" i="12"/>
  <c r="C14" i="12"/>
  <c r="C17" i="12"/>
  <c r="C21" i="12"/>
  <c r="C25" i="12"/>
  <c r="C29" i="12"/>
  <c r="C33" i="12"/>
  <c r="C37" i="12"/>
  <c r="C41" i="12"/>
  <c r="C45" i="12"/>
  <c r="C49" i="12"/>
  <c r="C53" i="12"/>
  <c r="C57" i="12"/>
  <c r="C61" i="12"/>
  <c r="C65" i="12"/>
  <c r="C69" i="12"/>
  <c r="C73" i="12"/>
  <c r="C77" i="12"/>
  <c r="C81" i="12"/>
  <c r="C85" i="12"/>
  <c r="C90" i="12"/>
  <c r="C96" i="12"/>
  <c r="C101" i="12"/>
  <c r="C12" i="13"/>
  <c r="C16" i="13"/>
  <c r="C36" i="13"/>
  <c r="C52" i="13"/>
  <c r="C68" i="13"/>
  <c r="G73" i="13"/>
  <c r="G78" i="13"/>
  <c r="C84" i="13"/>
  <c r="G89" i="13"/>
  <c r="G94" i="13"/>
  <c r="C100" i="13"/>
  <c r="C12" i="14"/>
  <c r="C20" i="14"/>
  <c r="C28" i="14"/>
  <c r="C36" i="14"/>
  <c r="C44" i="14"/>
  <c r="C52" i="14"/>
  <c r="C60" i="14"/>
  <c r="C69" i="14"/>
  <c r="C77" i="14"/>
  <c r="C85" i="14"/>
  <c r="C90" i="14"/>
  <c r="C101" i="14"/>
  <c r="C22" i="15"/>
  <c r="C36" i="15"/>
  <c r="C40" i="15"/>
  <c r="C17" i="16"/>
  <c r="C25" i="16"/>
  <c r="C33" i="16"/>
  <c r="C39" i="16"/>
  <c r="C43" i="16"/>
  <c r="C47" i="16"/>
  <c r="C51" i="16"/>
  <c r="C55" i="16"/>
  <c r="C59" i="16"/>
  <c r="C63" i="16"/>
  <c r="C67" i="16"/>
  <c r="C71" i="16"/>
  <c r="C75" i="16"/>
  <c r="C79" i="16"/>
  <c r="C83" i="16"/>
  <c r="C87" i="16"/>
  <c r="C97" i="16"/>
  <c r="C102" i="15"/>
  <c r="C98" i="15"/>
  <c r="C90" i="15"/>
  <c r="C82" i="15"/>
  <c r="C74" i="15"/>
  <c r="C66" i="15"/>
  <c r="C58" i="15"/>
  <c r="C50" i="15"/>
  <c r="C42" i="15"/>
  <c r="C34" i="15"/>
  <c r="C26" i="15"/>
  <c r="C18" i="15"/>
  <c r="C100" i="15"/>
  <c r="C92" i="15"/>
  <c r="C84" i="15"/>
  <c r="C76" i="15"/>
  <c r="C68" i="15"/>
  <c r="C15" i="16"/>
  <c r="C23" i="16"/>
  <c r="C101" i="16"/>
  <c r="C98" i="16"/>
  <c r="C95" i="16"/>
  <c r="C93" i="16"/>
  <c r="C91" i="16"/>
  <c r="C102" i="16"/>
  <c r="C92" i="16"/>
  <c r="C100" i="16"/>
  <c r="C99" i="16"/>
  <c r="C96" i="16"/>
  <c r="C90" i="16"/>
  <c r="C88" i="16"/>
  <c r="C86" i="16"/>
  <c r="C84" i="16"/>
  <c r="C82" i="16"/>
  <c r="C80" i="16"/>
  <c r="C78" i="16"/>
  <c r="C76" i="16"/>
  <c r="C74" i="16"/>
  <c r="C72" i="16"/>
  <c r="C70" i="16"/>
  <c r="C68" i="16"/>
  <c r="C66" i="16"/>
  <c r="C64" i="16"/>
  <c r="C62" i="16"/>
  <c r="C60" i="16"/>
  <c r="C58" i="16"/>
  <c r="C56" i="16"/>
  <c r="C54" i="16"/>
  <c r="C52" i="16"/>
  <c r="C50" i="16"/>
  <c r="C48" i="16"/>
  <c r="C46" i="16"/>
  <c r="C44" i="16"/>
  <c r="C42" i="16"/>
  <c r="C40" i="16"/>
  <c r="C38" i="16"/>
  <c r="C36" i="16"/>
  <c r="C34" i="16"/>
  <c r="C32" i="16"/>
  <c r="C30" i="16"/>
  <c r="C28" i="16"/>
  <c r="C26" i="16"/>
  <c r="C24" i="16"/>
  <c r="C22" i="16"/>
  <c r="C20" i="16"/>
  <c r="C18" i="16"/>
  <c r="C16" i="16"/>
  <c r="C14" i="16"/>
  <c r="C12" i="16"/>
  <c r="G102" i="14"/>
  <c r="G96" i="14"/>
  <c r="G88" i="14"/>
  <c r="G86" i="14"/>
  <c r="G84" i="14"/>
  <c r="G82" i="14"/>
  <c r="G80" i="14"/>
  <c r="G78" i="14"/>
  <c r="G76" i="14"/>
  <c r="G74" i="14"/>
  <c r="G72" i="14"/>
  <c r="G70" i="14"/>
  <c r="G68" i="14"/>
  <c r="G66" i="14"/>
  <c r="C14" i="15"/>
  <c r="C28" i="15"/>
  <c r="C32" i="15"/>
  <c r="C46" i="15"/>
  <c r="C60" i="15"/>
  <c r="C64" i="15"/>
  <c r="C72" i="15"/>
  <c r="C80" i="15"/>
  <c r="C88" i="15"/>
  <c r="C96" i="15"/>
  <c r="C11" i="16"/>
  <c r="C19" i="16"/>
  <c r="C27" i="16"/>
  <c r="C35" i="16"/>
  <c r="G91" i="17"/>
  <c r="G87" i="17"/>
  <c r="G73" i="17"/>
  <c r="G67" i="17"/>
  <c r="G59" i="17"/>
  <c r="G51" i="17"/>
  <c r="G43" i="17"/>
  <c r="G35" i="17"/>
  <c r="G83" i="17"/>
  <c r="G79" i="17"/>
  <c r="G69" i="17"/>
  <c r="G61" i="17"/>
  <c r="G53" i="17"/>
  <c r="G45" i="17"/>
  <c r="G37" i="17"/>
  <c r="G29" i="17"/>
  <c r="G95" i="17"/>
  <c r="G81" i="17"/>
  <c r="G65" i="17"/>
  <c r="G57" i="17"/>
  <c r="G49" i="17"/>
  <c r="G41" i="17"/>
  <c r="G12" i="15"/>
  <c r="G15" i="15"/>
  <c r="G20" i="15"/>
  <c r="G23" i="15"/>
  <c r="G28" i="15"/>
  <c r="G31" i="15"/>
  <c r="G36" i="15"/>
  <c r="G39" i="15"/>
  <c r="G44" i="15"/>
  <c r="G47" i="15"/>
  <c r="G52" i="15"/>
  <c r="G55" i="15"/>
  <c r="G60" i="15"/>
  <c r="G63" i="15"/>
  <c r="G68" i="15"/>
  <c r="G71" i="15"/>
  <c r="G76" i="15"/>
  <c r="G79" i="15"/>
  <c r="G84" i="15"/>
  <c r="G87" i="15"/>
  <c r="G92" i="15"/>
  <c r="G95" i="15"/>
  <c r="G100" i="15"/>
  <c r="G38" i="16"/>
  <c r="G40" i="16"/>
  <c r="G42" i="16"/>
  <c r="G44" i="16"/>
  <c r="G46" i="16"/>
  <c r="G48" i="16"/>
  <c r="G50" i="16"/>
  <c r="G52" i="16"/>
  <c r="G54" i="16"/>
  <c r="G56" i="16"/>
  <c r="G58" i="16"/>
  <c r="G60" i="16"/>
  <c r="G62" i="16"/>
  <c r="G64" i="16"/>
  <c r="G66" i="16"/>
  <c r="G68" i="16"/>
  <c r="G70" i="16"/>
  <c r="G72" i="16"/>
  <c r="G74" i="16"/>
  <c r="G76" i="16"/>
  <c r="G78" i="16"/>
  <c r="G80" i="16"/>
  <c r="G82" i="16"/>
  <c r="G84" i="16"/>
  <c r="G86" i="16"/>
  <c r="G88" i="16"/>
  <c r="G90" i="16"/>
  <c r="G93" i="16"/>
  <c r="G96" i="16"/>
  <c r="G39" i="17"/>
  <c r="G55" i="17"/>
  <c r="G75" i="17"/>
  <c r="G11" i="19"/>
  <c r="G16" i="19"/>
  <c r="G19" i="19"/>
  <c r="G24" i="19"/>
  <c r="G27" i="19"/>
  <c r="G32" i="19"/>
  <c r="G35" i="19"/>
  <c r="G40" i="19"/>
  <c r="G43" i="19"/>
  <c r="G48" i="19"/>
  <c r="G51" i="19"/>
  <c r="G56" i="19"/>
  <c r="G59" i="19"/>
  <c r="G64" i="19"/>
  <c r="G67" i="19"/>
  <c r="G72" i="19"/>
  <c r="G75" i="19"/>
  <c r="G80" i="19"/>
  <c r="G83" i="19"/>
  <c r="G88" i="19"/>
  <c r="G91" i="19"/>
  <c r="G96" i="19"/>
  <c r="G99" i="19"/>
  <c r="G11" i="20"/>
  <c r="G13" i="20"/>
  <c r="G15" i="20"/>
  <c r="G23" i="20"/>
  <c r="G31" i="20"/>
  <c r="G39" i="20"/>
  <c r="G47" i="20"/>
  <c r="G55" i="20"/>
  <c r="G63" i="20"/>
  <c r="G71" i="20"/>
  <c r="G79" i="20"/>
  <c r="G12" i="21"/>
  <c r="G20" i="21"/>
  <c r="G31" i="21"/>
  <c r="G37" i="21"/>
  <c r="G57" i="21"/>
  <c r="G63" i="21"/>
  <c r="G69" i="21"/>
  <c r="C48" i="17"/>
  <c r="C51" i="17"/>
  <c r="C56" i="17"/>
  <c r="C59" i="17"/>
  <c r="C64" i="17"/>
  <c r="C67" i="17"/>
  <c r="C73" i="17"/>
  <c r="C76" i="17"/>
  <c r="C87" i="17"/>
  <c r="C90" i="17"/>
  <c r="C94" i="17"/>
  <c r="C98" i="17"/>
  <c r="G64" i="18"/>
  <c r="G12" i="19"/>
  <c r="G15" i="19"/>
  <c r="G20" i="19"/>
  <c r="G23" i="19"/>
  <c r="G28" i="19"/>
  <c r="G31" i="19"/>
  <c r="G36" i="19"/>
  <c r="G39" i="19"/>
  <c r="G44" i="19"/>
  <c r="G47" i="19"/>
  <c r="G52" i="19"/>
  <c r="G55" i="19"/>
  <c r="G60" i="19"/>
  <c r="G63" i="19"/>
  <c r="G68" i="19"/>
  <c r="G71" i="19"/>
  <c r="C74" i="19"/>
  <c r="G76" i="19"/>
  <c r="G79" i="19"/>
  <c r="C82" i="19"/>
  <c r="G84" i="19"/>
  <c r="G87" i="19"/>
  <c r="C90" i="19"/>
  <c r="G92" i="19"/>
  <c r="G95" i="19"/>
  <c r="C98" i="19"/>
  <c r="G100" i="19"/>
  <c r="G102" i="19"/>
  <c r="G12" i="20"/>
  <c r="G14" i="20"/>
  <c r="G19" i="20"/>
  <c r="G27" i="20"/>
  <c r="G35" i="20"/>
  <c r="G43" i="20"/>
  <c r="G51" i="20"/>
  <c r="G59" i="20"/>
  <c r="G67" i="20"/>
  <c r="G75" i="20"/>
  <c r="C78" i="20"/>
  <c r="C81" i="20"/>
  <c r="C85" i="20"/>
  <c r="C89" i="20"/>
  <c r="C93" i="20"/>
  <c r="C97" i="20"/>
  <c r="G16" i="21"/>
  <c r="G24" i="21"/>
  <c r="G41" i="21"/>
  <c r="G47" i="21"/>
  <c r="G53" i="21"/>
  <c r="G73" i="21"/>
  <c r="C77" i="21"/>
  <c r="G79" i="21"/>
  <c r="C82" i="21"/>
  <c r="C86" i="21"/>
  <c r="G89" i="21"/>
  <c r="C93" i="21"/>
  <c r="C97" i="21"/>
  <c r="C100" i="21"/>
  <c r="C95" i="17"/>
  <c r="C101" i="17"/>
  <c r="G13" i="19"/>
  <c r="G18" i="19"/>
  <c r="G21" i="19"/>
  <c r="G26" i="19"/>
  <c r="G29" i="19"/>
  <c r="G34" i="19"/>
  <c r="G37" i="19"/>
  <c r="G42" i="19"/>
  <c r="G45" i="19"/>
  <c r="G50" i="19"/>
  <c r="G53" i="19"/>
  <c r="G58" i="19"/>
  <c r="G61" i="19"/>
  <c r="G66" i="19"/>
  <c r="G69" i="19"/>
  <c r="G74" i="19"/>
  <c r="G77" i="19"/>
  <c r="G82" i="19"/>
  <c r="G85" i="19"/>
  <c r="G90" i="19"/>
  <c r="G93" i="19"/>
  <c r="G98" i="19"/>
  <c r="G17" i="20"/>
  <c r="G25" i="20"/>
  <c r="G33" i="20"/>
  <c r="G41" i="20"/>
  <c r="G49" i="20"/>
  <c r="G57" i="20"/>
  <c r="G65" i="20"/>
  <c r="G73" i="20"/>
  <c r="G14" i="21"/>
  <c r="G22" i="21"/>
  <c r="G33" i="21"/>
  <c r="G39" i="21"/>
  <c r="G45" i="21"/>
  <c r="G65" i="21"/>
  <c r="G71" i="21"/>
  <c r="G77" i="21"/>
  <c r="C80" i="21"/>
  <c r="C83" i="21"/>
  <c r="C87" i="21"/>
  <c r="C90" i="21"/>
  <c r="C94" i="21"/>
  <c r="G97" i="21"/>
  <c r="C101" i="21"/>
  <c r="G11" i="21"/>
  <c r="G13" i="21"/>
  <c r="G15" i="21"/>
  <c r="G17" i="21"/>
  <c r="G19" i="21"/>
  <c r="G21" i="21"/>
  <c r="G23" i="21"/>
  <c r="G25" i="21"/>
  <c r="G27" i="21"/>
  <c r="G35" i="21"/>
  <c r="G43" i="21"/>
  <c r="G51" i="21"/>
  <c r="G59" i="21"/>
  <c r="G67" i="21"/>
  <c r="G75" i="21"/>
  <c r="G83" i="21"/>
  <c r="G91" i="21"/>
  <c r="C12" i="22"/>
  <c r="C17" i="22"/>
  <c r="C20" i="22"/>
  <c r="C25" i="22"/>
  <c r="C28" i="22"/>
  <c r="C33" i="22"/>
  <c r="C36" i="22"/>
  <c r="C41" i="22"/>
  <c r="C44" i="22"/>
  <c r="C49" i="22"/>
  <c r="C52" i="22"/>
  <c r="C57" i="22"/>
  <c r="C60" i="22"/>
  <c r="G100" i="21"/>
  <c r="G98" i="21"/>
  <c r="G96" i="21"/>
  <c r="G94" i="21"/>
  <c r="G92" i="21"/>
  <c r="G90" i="21"/>
  <c r="G88" i="21"/>
  <c r="G86" i="21"/>
  <c r="G84" i="21"/>
  <c r="G82" i="21"/>
  <c r="G80" i="21"/>
  <c r="G78" i="21"/>
  <c r="G76" i="21"/>
  <c r="G74" i="21"/>
  <c r="G72" i="21"/>
  <c r="G70" i="21"/>
  <c r="G68" i="21"/>
  <c r="G66" i="21"/>
  <c r="G64" i="21"/>
  <c r="G62" i="21"/>
  <c r="G60" i="21"/>
  <c r="G58" i="21"/>
  <c r="G56" i="21"/>
  <c r="G54" i="21"/>
  <c r="G52" i="21"/>
  <c r="G50" i="21"/>
  <c r="G48" i="21"/>
  <c r="G46" i="21"/>
  <c r="G44" i="21"/>
  <c r="G42" i="21"/>
  <c r="G40" i="21"/>
  <c r="G38" i="21"/>
  <c r="G36" i="21"/>
  <c r="G34" i="21"/>
  <c r="G32" i="21"/>
  <c r="G30" i="21"/>
  <c r="G28" i="21"/>
  <c r="C101" i="22"/>
  <c r="C99" i="22"/>
  <c r="C97" i="22"/>
  <c r="C95" i="22"/>
  <c r="C93" i="22"/>
  <c r="C91" i="22"/>
  <c r="C89" i="22"/>
  <c r="C87" i="22"/>
  <c r="C85" i="22"/>
  <c r="C83" i="22"/>
  <c r="C81" i="22"/>
  <c r="C79" i="22"/>
  <c r="C77" i="22"/>
  <c r="C75" i="22"/>
  <c r="C73" i="22"/>
  <c r="C71" i="22"/>
  <c r="C69" i="22"/>
  <c r="C67" i="22"/>
  <c r="G87" i="21"/>
  <c r="G95" i="21"/>
  <c r="G102" i="21"/>
  <c r="C102" i="22"/>
  <c r="G85" i="21"/>
  <c r="G93" i="21"/>
  <c r="G101" i="21"/>
  <c r="C88" i="22"/>
  <c r="C92" i="22"/>
  <c r="C96" i="22"/>
  <c r="C100" i="22"/>
  <c r="G11" i="22"/>
  <c r="G13" i="22"/>
  <c r="G15" i="22"/>
  <c r="G17" i="22"/>
  <c r="G19" i="22"/>
  <c r="G21" i="22"/>
  <c r="G23" i="22"/>
  <c r="G25" i="22"/>
  <c r="G27" i="22"/>
  <c r="G29" i="22"/>
  <c r="G31" i="22"/>
  <c r="G33" i="22"/>
  <c r="G35" i="22"/>
  <c r="G37" i="22"/>
  <c r="G39" i="22"/>
  <c r="G41" i="22"/>
  <c r="G43" i="22"/>
  <c r="G45" i="22"/>
  <c r="G47" i="22"/>
  <c r="G49" i="22"/>
  <c r="G51" i="22"/>
  <c r="G53" i="22"/>
  <c r="G55" i="22"/>
  <c r="G57" i="22"/>
  <c r="G59" i="22"/>
  <c r="G61" i="22"/>
  <c r="G63" i="22"/>
  <c r="G65" i="22"/>
  <c r="G67" i="22"/>
  <c r="G69" i="22"/>
  <c r="G71" i="22"/>
  <c r="G73" i="22"/>
  <c r="G75" i="22"/>
  <c r="G77" i="22"/>
  <c r="G79" i="22"/>
  <c r="G81" i="22"/>
  <c r="G83" i="22"/>
  <c r="G85" i="22"/>
  <c r="G87" i="22"/>
  <c r="G89" i="22"/>
  <c r="G91" i="22"/>
  <c r="G93" i="22"/>
  <c r="G95" i="22"/>
  <c r="G97" i="22"/>
  <c r="G99" i="22"/>
  <c r="G101" i="22"/>
  <c r="C11" i="19"/>
  <c r="C13" i="19"/>
  <c r="C15" i="19"/>
  <c r="C17" i="19"/>
  <c r="C19" i="19"/>
  <c r="C21" i="19"/>
  <c r="C23" i="19"/>
  <c r="C25" i="19"/>
  <c r="C27" i="19"/>
  <c r="C29" i="19"/>
  <c r="C31" i="19"/>
  <c r="C33" i="19"/>
  <c r="C35" i="19"/>
  <c r="C37" i="19"/>
  <c r="C39" i="19"/>
  <c r="C41" i="19"/>
  <c r="C43" i="19"/>
  <c r="C45" i="19"/>
  <c r="C47" i="19"/>
  <c r="C49" i="19"/>
  <c r="C51" i="19"/>
  <c r="C53" i="19"/>
  <c r="C55" i="19"/>
  <c r="C57" i="19"/>
  <c r="C59" i="19"/>
  <c r="C61" i="19"/>
  <c r="C63" i="19"/>
  <c r="C65" i="19"/>
  <c r="C67" i="19"/>
  <c r="C69" i="19"/>
  <c r="C71" i="19"/>
  <c r="C73" i="19"/>
  <c r="C75" i="19"/>
  <c r="C77" i="19"/>
  <c r="C79" i="19"/>
  <c r="C81" i="19"/>
  <c r="C83" i="19"/>
  <c r="C85" i="19"/>
  <c r="C87" i="19"/>
  <c r="C89" i="19"/>
  <c r="C91" i="19"/>
  <c r="C93" i="19"/>
  <c r="C95" i="19"/>
  <c r="C97" i="19"/>
  <c r="C99" i="19"/>
  <c r="C101" i="19"/>
  <c r="G16" i="20"/>
  <c r="G18" i="20"/>
  <c r="G20" i="20"/>
  <c r="G22" i="20"/>
  <c r="G24" i="20"/>
  <c r="G26" i="20"/>
  <c r="G28" i="20"/>
  <c r="G30" i="20"/>
  <c r="G32" i="20"/>
  <c r="G34" i="20"/>
  <c r="G36" i="20"/>
  <c r="G38" i="20"/>
  <c r="G40" i="20"/>
  <c r="G42" i="20"/>
  <c r="G44" i="20"/>
  <c r="G46" i="20"/>
  <c r="G48" i="20"/>
  <c r="G50" i="20"/>
  <c r="G52" i="20"/>
  <c r="G54" i="20"/>
  <c r="G56" i="20"/>
  <c r="G58" i="20"/>
  <c r="G60" i="20"/>
  <c r="G62" i="20"/>
  <c r="G64" i="20"/>
  <c r="G66" i="20"/>
  <c r="G68" i="20"/>
  <c r="G70" i="20"/>
  <c r="G72" i="20"/>
  <c r="G74" i="20"/>
  <c r="G76" i="20"/>
  <c r="G78" i="20"/>
  <c r="G80" i="20"/>
  <c r="G82" i="20"/>
  <c r="G84" i="20"/>
  <c r="G86" i="20"/>
  <c r="G88" i="20"/>
  <c r="G90" i="20"/>
  <c r="G92" i="20"/>
  <c r="G94" i="20"/>
  <c r="G96" i="20"/>
  <c r="G98" i="20"/>
  <c r="G100" i="20"/>
  <c r="G81" i="20"/>
  <c r="G83" i="20"/>
  <c r="G85" i="20"/>
  <c r="G87" i="20"/>
  <c r="G89" i="20"/>
  <c r="G91" i="20"/>
  <c r="G93" i="20"/>
  <c r="G95" i="20"/>
  <c r="G97" i="20"/>
  <c r="G99" i="20"/>
  <c r="G101" i="20"/>
  <c r="C99" i="17"/>
  <c r="G100" i="17"/>
  <c r="G98" i="17"/>
  <c r="G96" i="17"/>
  <c r="G94" i="17"/>
  <c r="G92" i="17"/>
  <c r="G90" i="17"/>
  <c r="G88" i="17"/>
  <c r="G86" i="17"/>
  <c r="G84" i="17"/>
  <c r="G82" i="17"/>
  <c r="G80" i="17"/>
  <c r="G78" i="17"/>
  <c r="G76" i="17"/>
  <c r="G74" i="17"/>
  <c r="G72" i="17"/>
  <c r="G70" i="17"/>
  <c r="G68" i="17"/>
  <c r="G66" i="17"/>
  <c r="G64" i="17"/>
  <c r="G62" i="17"/>
  <c r="G60" i="17"/>
  <c r="G58" i="17"/>
  <c r="G56" i="17"/>
  <c r="G54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102" i="17"/>
  <c r="G101" i="17"/>
  <c r="G99" i="17"/>
  <c r="G97" i="17"/>
  <c r="C72" i="17"/>
  <c r="C75" i="17"/>
  <c r="G77" i="17"/>
  <c r="C80" i="17"/>
  <c r="C83" i="17"/>
  <c r="G85" i="17"/>
  <c r="C88" i="17"/>
  <c r="C91" i="17"/>
  <c r="G93" i="17"/>
  <c r="C96" i="17"/>
  <c r="C100" i="17"/>
  <c r="G72" i="18"/>
  <c r="G74" i="18"/>
  <c r="G76" i="18"/>
  <c r="G78" i="18"/>
  <c r="G80" i="18"/>
  <c r="G82" i="18"/>
  <c r="G84" i="18"/>
  <c r="G86" i="18"/>
  <c r="G88" i="18"/>
  <c r="G90" i="18"/>
  <c r="G92" i="18"/>
  <c r="G94" i="18"/>
  <c r="G96" i="18"/>
  <c r="G98" i="18"/>
  <c r="G100" i="18"/>
  <c r="C102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G43" i="18"/>
  <c r="G45" i="18"/>
  <c r="G47" i="18"/>
  <c r="G49" i="18"/>
  <c r="G51" i="18"/>
  <c r="G53" i="18"/>
  <c r="G55" i="18"/>
  <c r="G57" i="18"/>
  <c r="G59" i="18"/>
  <c r="G61" i="18"/>
  <c r="G63" i="18"/>
  <c r="G65" i="18"/>
  <c r="G67" i="18"/>
  <c r="G69" i="18"/>
  <c r="G71" i="18"/>
  <c r="G73" i="18"/>
  <c r="G75" i="18"/>
  <c r="G77" i="18"/>
  <c r="G79" i="18"/>
  <c r="G81" i="18"/>
  <c r="G83" i="18"/>
  <c r="G85" i="18"/>
  <c r="G87" i="18"/>
  <c r="G89" i="18"/>
  <c r="G91" i="18"/>
  <c r="G93" i="18"/>
  <c r="G95" i="18"/>
  <c r="G97" i="18"/>
  <c r="G99" i="18"/>
  <c r="G101" i="18"/>
  <c r="C11" i="15"/>
  <c r="C13" i="15"/>
  <c r="C15" i="15"/>
  <c r="C17" i="15"/>
  <c r="C19" i="15"/>
  <c r="C21" i="15"/>
  <c r="C23" i="15"/>
  <c r="C25" i="15"/>
  <c r="C27" i="15"/>
  <c r="C29" i="15"/>
  <c r="C31" i="15"/>
  <c r="C33" i="15"/>
  <c r="C35" i="15"/>
  <c r="C37" i="15"/>
  <c r="C39" i="15"/>
  <c r="C41" i="15"/>
  <c r="C43" i="15"/>
  <c r="C45" i="15"/>
  <c r="C47" i="15"/>
  <c r="C49" i="15"/>
  <c r="C51" i="15"/>
  <c r="C53" i="15"/>
  <c r="C55" i="15"/>
  <c r="C57" i="15"/>
  <c r="C59" i="15"/>
  <c r="C61" i="15"/>
  <c r="C63" i="15"/>
  <c r="C65" i="15"/>
  <c r="C67" i="15"/>
  <c r="C69" i="15"/>
  <c r="C71" i="15"/>
  <c r="C73" i="15"/>
  <c r="C75" i="15"/>
  <c r="C77" i="15"/>
  <c r="C79" i="15"/>
  <c r="C81" i="15"/>
  <c r="C83" i="15"/>
  <c r="C85" i="15"/>
  <c r="C87" i="15"/>
  <c r="C89" i="15"/>
  <c r="C91" i="15"/>
  <c r="C93" i="15"/>
  <c r="C95" i="15"/>
  <c r="C97" i="15"/>
  <c r="C99" i="15"/>
  <c r="C101" i="15"/>
  <c r="G100" i="16"/>
  <c r="G95" i="16"/>
  <c r="G97" i="16"/>
  <c r="G99" i="16"/>
  <c r="G101" i="16"/>
  <c r="C11" i="13"/>
  <c r="C1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57" i="13"/>
  <c r="C59" i="13"/>
  <c r="C61" i="13"/>
  <c r="C63" i="13"/>
  <c r="C65" i="13"/>
  <c r="C67" i="13"/>
  <c r="C69" i="13"/>
  <c r="C71" i="13"/>
  <c r="C73" i="13"/>
  <c r="C75" i="13"/>
  <c r="C77" i="13"/>
  <c r="C79" i="13"/>
  <c r="C81" i="13"/>
  <c r="C83" i="13"/>
  <c r="C85" i="13"/>
  <c r="C87" i="13"/>
  <c r="C89" i="13"/>
  <c r="C91" i="13"/>
  <c r="C93" i="13"/>
  <c r="C95" i="13"/>
  <c r="C97" i="13"/>
  <c r="C99" i="13"/>
  <c r="C101" i="13"/>
  <c r="G100" i="14"/>
  <c r="G89" i="14"/>
  <c r="G91" i="14"/>
  <c r="G93" i="14"/>
  <c r="G95" i="14"/>
  <c r="G97" i="14"/>
  <c r="G99" i="14"/>
  <c r="G101" i="14"/>
  <c r="G11" i="12"/>
  <c r="G15" i="12"/>
  <c r="G17" i="12"/>
  <c r="G21" i="12"/>
  <c r="G25" i="12"/>
  <c r="G29" i="12"/>
  <c r="G47" i="12"/>
  <c r="C11" i="11"/>
  <c r="C13" i="11"/>
  <c r="C15" i="11"/>
  <c r="C17" i="11"/>
  <c r="C19" i="11"/>
  <c r="C21" i="11"/>
  <c r="C23" i="11"/>
  <c r="C25" i="11"/>
  <c r="C27" i="11"/>
  <c r="C29" i="11"/>
  <c r="C31" i="11"/>
  <c r="C33" i="11"/>
  <c r="C35" i="11"/>
  <c r="C37" i="11"/>
  <c r="C39" i="11"/>
  <c r="C41" i="11"/>
  <c r="C43" i="11"/>
  <c r="C45" i="11"/>
  <c r="C47" i="11"/>
  <c r="C49" i="11"/>
  <c r="C51" i="11"/>
  <c r="C53" i="11"/>
  <c r="C55" i="11"/>
  <c r="C57" i="11"/>
  <c r="C59" i="11"/>
  <c r="C61" i="11"/>
  <c r="C63" i="11"/>
  <c r="C65" i="11"/>
  <c r="C67" i="11"/>
  <c r="C69" i="11"/>
  <c r="C71" i="11"/>
  <c r="C73" i="11"/>
  <c r="C75" i="11"/>
  <c r="C77" i="11"/>
  <c r="C79" i="11"/>
  <c r="C81" i="11"/>
  <c r="C83" i="11"/>
  <c r="C85" i="11"/>
  <c r="C87" i="11"/>
  <c r="C89" i="11"/>
  <c r="C91" i="11"/>
  <c r="C93" i="11"/>
  <c r="C95" i="11"/>
  <c r="C97" i="11"/>
  <c r="C99" i="11"/>
  <c r="C101" i="11"/>
  <c r="G16" i="12"/>
  <c r="G18" i="12"/>
  <c r="G20" i="12"/>
  <c r="G22" i="12"/>
  <c r="G24" i="12"/>
  <c r="G26" i="12"/>
  <c r="G28" i="12"/>
  <c r="G30" i="12"/>
  <c r="G32" i="12"/>
  <c r="G34" i="12"/>
  <c r="G36" i="12"/>
  <c r="G38" i="12"/>
  <c r="G40" i="12"/>
  <c r="G42" i="12"/>
  <c r="G44" i="12"/>
  <c r="G46" i="12"/>
  <c r="G48" i="12"/>
  <c r="G50" i="12"/>
  <c r="G52" i="12"/>
  <c r="G54" i="12"/>
  <c r="G56" i="12"/>
  <c r="G58" i="12"/>
  <c r="G60" i="12"/>
  <c r="G62" i="12"/>
  <c r="G64" i="12"/>
  <c r="G66" i="12"/>
  <c r="G68" i="12"/>
  <c r="G70" i="12"/>
  <c r="G72" i="12"/>
  <c r="G74" i="12"/>
  <c r="G76" i="12"/>
  <c r="G78" i="12"/>
  <c r="G80" i="12"/>
  <c r="G82" i="12"/>
  <c r="G84" i="12"/>
  <c r="G86" i="12"/>
  <c r="G88" i="12"/>
  <c r="G90" i="12"/>
  <c r="G92" i="12"/>
  <c r="G94" i="12"/>
  <c r="G96" i="12"/>
  <c r="G98" i="12"/>
  <c r="G100" i="12"/>
  <c r="G13" i="12"/>
  <c r="G19" i="12"/>
  <c r="G23" i="12"/>
  <c r="G27" i="12"/>
  <c r="G31" i="12"/>
  <c r="G33" i="12"/>
  <c r="G35" i="12"/>
  <c r="G37" i="12"/>
  <c r="G39" i="12"/>
  <c r="G41" i="12"/>
  <c r="G43" i="12"/>
  <c r="G45" i="12"/>
  <c r="G49" i="12"/>
  <c r="G51" i="12"/>
  <c r="G53" i="12"/>
  <c r="G55" i="12"/>
  <c r="G57" i="12"/>
  <c r="G59" i="12"/>
  <c r="G61" i="12"/>
  <c r="G63" i="12"/>
  <c r="G65" i="12"/>
  <c r="G67" i="12"/>
  <c r="G69" i="12"/>
  <c r="G71" i="12"/>
  <c r="G73" i="12"/>
  <c r="G75" i="12"/>
  <c r="G77" i="12"/>
  <c r="G79" i="12"/>
  <c r="G81" i="12"/>
  <c r="G83" i="12"/>
  <c r="G85" i="12"/>
  <c r="G87" i="12"/>
  <c r="G89" i="12"/>
  <c r="G91" i="12"/>
  <c r="G93" i="12"/>
  <c r="G95" i="12"/>
  <c r="G97" i="12"/>
  <c r="G99" i="12"/>
  <c r="G101" i="12"/>
  <c r="C42" i="8"/>
  <c r="C45" i="8"/>
  <c r="C50" i="8"/>
  <c r="C53" i="8"/>
  <c r="C58" i="8"/>
  <c r="C61" i="8"/>
  <c r="C66" i="8"/>
  <c r="C69" i="8"/>
  <c r="C74" i="8"/>
  <c r="C77" i="8"/>
  <c r="C82" i="8"/>
  <c r="C85" i="8"/>
  <c r="C90" i="8"/>
  <c r="C93" i="8"/>
  <c r="G95" i="8"/>
  <c r="C98" i="8"/>
  <c r="C101" i="8"/>
  <c r="G102" i="8"/>
  <c r="C27" i="8"/>
  <c r="C32" i="8"/>
  <c r="C35" i="8"/>
  <c r="C40" i="8"/>
  <c r="C43" i="8"/>
  <c r="C48" i="8"/>
  <c r="C51" i="8"/>
  <c r="C56" i="8"/>
  <c r="C59" i="8"/>
  <c r="C64" i="8"/>
  <c r="C67" i="8"/>
  <c r="C72" i="8"/>
  <c r="C75" i="8"/>
  <c r="C80" i="8"/>
  <c r="C83" i="8"/>
  <c r="G85" i="8"/>
  <c r="C88" i="8"/>
  <c r="C91" i="8"/>
  <c r="G93" i="8"/>
  <c r="C96" i="8"/>
  <c r="C99" i="8"/>
  <c r="C47" i="8"/>
  <c r="C52" i="8"/>
  <c r="C55" i="8"/>
  <c r="C60" i="8"/>
  <c r="C63" i="8"/>
  <c r="C68" i="8"/>
  <c r="C71" i="8"/>
  <c r="C76" i="8"/>
  <c r="C79" i="8"/>
  <c r="C84" i="8"/>
  <c r="C87" i="8"/>
  <c r="C92" i="8"/>
  <c r="C95" i="8"/>
  <c r="C100" i="8"/>
  <c r="G100" i="8"/>
  <c r="G98" i="8"/>
  <c r="G96" i="8"/>
  <c r="G94" i="8"/>
  <c r="G92" i="8"/>
  <c r="G90" i="8"/>
  <c r="G88" i="8"/>
  <c r="G86" i="8"/>
  <c r="G84" i="8"/>
  <c r="G82" i="8"/>
  <c r="G80" i="8"/>
  <c r="G78" i="8"/>
  <c r="G76" i="8"/>
  <c r="G74" i="8"/>
  <c r="G72" i="8"/>
  <c r="G70" i="8"/>
  <c r="G68" i="8"/>
  <c r="G66" i="8"/>
  <c r="G64" i="8"/>
  <c r="G62" i="8"/>
  <c r="G60" i="8"/>
  <c r="G58" i="8"/>
  <c r="G56" i="8"/>
  <c r="G54" i="8"/>
  <c r="G52" i="8"/>
  <c r="G50" i="8"/>
  <c r="G48" i="8"/>
  <c r="G46" i="8"/>
  <c r="G44" i="8"/>
  <c r="G42" i="8"/>
  <c r="G40" i="8"/>
  <c r="G38" i="8"/>
  <c r="G36" i="8"/>
  <c r="G34" i="8"/>
  <c r="G32" i="8"/>
  <c r="G30" i="8"/>
  <c r="G28" i="8"/>
  <c r="G80" i="9"/>
  <c r="G82" i="9"/>
  <c r="G84" i="9"/>
  <c r="G86" i="9"/>
  <c r="G88" i="9"/>
  <c r="G90" i="9"/>
  <c r="G92" i="9"/>
  <c r="G94" i="9"/>
  <c r="G96" i="9"/>
  <c r="G98" i="9"/>
  <c r="G100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F102" i="4"/>
  <c r="G101" i="4" s="1"/>
  <c r="B102" i="4"/>
  <c r="C100" i="4" s="1"/>
  <c r="F102" i="3"/>
  <c r="B102" i="3"/>
  <c r="C13" i="3" l="1"/>
  <c r="U10" i="3"/>
  <c r="W10" i="3" s="1"/>
  <c r="G102" i="3"/>
  <c r="Y10" i="3"/>
  <c r="AA10" i="3" s="1"/>
  <c r="AA17" i="3"/>
  <c r="W17" i="3"/>
  <c r="W18" i="3" s="1"/>
  <c r="U18" i="3"/>
  <c r="U19" i="3" s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AA18" i="3" l="1"/>
  <c r="Y18" i="3"/>
  <c r="Y19" i="3" s="1"/>
  <c r="W19" i="3"/>
  <c r="V19" i="3" s="1"/>
  <c r="V18" i="3"/>
  <c r="AA19" i="3"/>
  <c r="Z18" i="3" l="1"/>
  <c r="Z19" i="3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<sst xmlns="http://schemas.openxmlformats.org/spreadsheetml/2006/main" count="303" uniqueCount="49">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</sst>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  <xf numFmtId="43" fontId="3" fillId="0" borderId="0" applyFont="0" applyFill="0" applyBorder="0" applyAlignment="0" applyProtection="0"/>
  </cellStyleXfs>
  <cellXfs count="380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165" fontId="0" fillId="0" borderId="0" xfId="8" applyNumberFormat="1" applyFont="1"/>
    <xf numFmtId="0" fontId="0" fillId="0" borderId="3" xfId="0" applyBorder="1"/>
    <xf numFmtId="0" fontId="1" fillId="0" borderId="3" xfId="0" applyFont="1" applyBorder="1"/>
    <xf numFmtId="165" fontId="1" fillId="0" borderId="3" xfId="8" applyNumberFormat="1" applyFont="1" applyBorder="1"/>
    <xf numFmtId="2" fontId="1" fillId="0" borderId="3" xfId="0" applyNumberFormat="1" applyFont="1" applyBorder="1"/>
    <xf numFmtId="43" fontId="1" fillId="0" borderId="3" xfId="0" applyNumberFormat="1" applyFont="1" applyBorder="1"/>
    <xf numFmtId="165" fontId="1" fillId="0" borderId="3" xfId="0" applyNumberFormat="1" applyFont="1" applyBorder="1"/>
  </cellXfs>
  <cellStyles count="9">
    <cellStyle name="Comma" xfId="8" builtinId="3"/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3.8236086732527902E-2</c:v>
                </c:pt>
                <c:pt idx="1">
                  <c:v>5.8195697299397414E-2</c:v>
                </c:pt>
                <c:pt idx="2">
                  <c:v>7.0891230043307024E-2</c:v>
                </c:pt>
                <c:pt idx="3">
                  <c:v>9.7272902644978093E-2</c:v>
                </c:pt>
                <c:pt idx="4">
                  <c:v>0.16885762538443519</c:v>
                </c:pt>
                <c:pt idx="5">
                  <c:v>0.1011755251985029</c:v>
                </c:pt>
                <c:pt idx="6">
                  <c:v>0.11301178667116919</c:v>
                </c:pt>
                <c:pt idx="7">
                  <c:v>4.8770989350988926E-2</c:v>
                </c:pt>
                <c:pt idx="8">
                  <c:v>5.3059886439917908E-2</c:v>
                </c:pt>
                <c:pt idx="9">
                  <c:v>2.7506633266139165E-2</c:v>
                </c:pt>
                <c:pt idx="10">
                  <c:v>5.1573572684993227E-2</c:v>
                </c:pt>
                <c:pt idx="11">
                  <c:v>1.8234000612110796E-2</c:v>
                </c:pt>
                <c:pt idx="12">
                  <c:v>1.1717969916541686E-2</c:v>
                </c:pt>
                <c:pt idx="13">
                  <c:v>1.1546937642355417E-2</c:v>
                </c:pt>
                <c:pt idx="14">
                  <c:v>1.3472505390533523E-2</c:v>
                </c:pt>
                <c:pt idx="15">
                  <c:v>1.1608526064597842E-2</c:v>
                </c:pt>
                <c:pt idx="16">
                  <c:v>1.7816252301041755E-2</c:v>
                </c:pt>
                <c:pt idx="17">
                  <c:v>1.2077662128500907E-2</c:v>
                </c:pt>
                <c:pt idx="18">
                  <c:v>1.0588301312970071E-2</c:v>
                </c:pt>
                <c:pt idx="19">
                  <c:v>5.3465788209901242E-3</c:v>
                </c:pt>
                <c:pt idx="20">
                  <c:v>5.3118155838205007E-3</c:v>
                </c:pt>
                <c:pt idx="21">
                  <c:v>5.1441850698081097E-3</c:v>
                </c:pt>
                <c:pt idx="22">
                  <c:v>4.7413815013258448E-3</c:v>
                </c:pt>
                <c:pt idx="23">
                  <c:v>7.0152115500568624E-3</c:v>
                </c:pt>
                <c:pt idx="24">
                  <c:v>6.1231532210864218E-3</c:v>
                </c:pt>
                <c:pt idx="25">
                  <c:v>2.5491533907980109E-3</c:v>
                </c:pt>
                <c:pt idx="26">
                  <c:v>4.0435432553542145E-3</c:v>
                </c:pt>
                <c:pt idx="27">
                  <c:v>1.728311034681229E-3</c:v>
                </c:pt>
                <c:pt idx="28">
                  <c:v>2.1653624803671472E-3</c:v>
                </c:pt>
                <c:pt idx="29">
                  <c:v>9.878336596957785E-4</c:v>
                </c:pt>
                <c:pt idx="30">
                  <c:v>1.6315377580754481E-3</c:v>
                </c:pt>
                <c:pt idx="31">
                  <c:v>6.0972242211191708E-4</c:v>
                </c:pt>
                <c:pt idx="32">
                  <c:v>8.8042627325432467E-4</c:v>
                </c:pt>
                <c:pt idx="33">
                  <c:v>1.2399149412124586E-3</c:v>
                </c:pt>
                <c:pt idx="34">
                  <c:v>1.3432440665445749E-3</c:v>
                </c:pt>
                <c:pt idx="35">
                  <c:v>4.8629597530361216E-4</c:v>
                </c:pt>
                <c:pt idx="36">
                  <c:v>7.887169084308199E-4</c:v>
                </c:pt>
                <c:pt idx="37">
                  <c:v>6.904831558018973E-4</c:v>
                </c:pt>
                <c:pt idx="38">
                  <c:v>1.0744979037459444E-3</c:v>
                </c:pt>
                <c:pt idx="39">
                  <c:v>7.997051524749817E-4</c:v>
                </c:pt>
                <c:pt idx="40">
                  <c:v>4.3133738943703791E-4</c:v>
                </c:pt>
                <c:pt idx="41">
                  <c:v>6.7822176129992242E-4</c:v>
                </c:pt>
                <c:pt idx="42">
                  <c:v>2.8144295873249131E-4</c:v>
                </c:pt>
                <c:pt idx="43">
                  <c:v>6.7544529909828888E-4</c:v>
                </c:pt>
                <c:pt idx="44">
                  <c:v>4.3882579231041378E-4</c:v>
                </c:pt>
                <c:pt idx="45">
                  <c:v>7.5672656755772328E-5</c:v>
                </c:pt>
                <c:pt idx="46">
                  <c:v>1.0329816418748322E-3</c:v>
                </c:pt>
                <c:pt idx="47">
                  <c:v>8.6720278890497549E-4</c:v>
                </c:pt>
                <c:pt idx="48">
                  <c:v>1.0650311363165733E-4</c:v>
                </c:pt>
                <c:pt idx="49">
                  <c:v>9.1525435552847342E-4</c:v>
                </c:pt>
                <c:pt idx="50">
                  <c:v>1.0788051647521869E-4</c:v>
                </c:pt>
                <c:pt idx="51">
                  <c:v>1.6511953634138643E-4</c:v>
                </c:pt>
                <c:pt idx="52">
                  <c:v>1.8356357959930196E-4</c:v>
                </c:pt>
                <c:pt idx="53">
                  <c:v>8.7685821460497236E-4</c:v>
                </c:pt>
                <c:pt idx="54">
                  <c:v>2.2957963554981416E-4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1.2097287413979261E-4</c:v>
                </c:pt>
                <c:pt idx="59">
                  <c:v>8.6301580407603556E-5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0.12724424135768994</c:v>
                </c:pt>
                <c:pt idx="1">
                  <c:v>0.10434784725798567</c:v>
                </c:pt>
                <c:pt idx="2">
                  <c:v>6.5007069974463469E-2</c:v>
                </c:pt>
                <c:pt idx="3">
                  <c:v>4.0796774847065384E-2</c:v>
                </c:pt>
                <c:pt idx="4">
                  <c:v>0.13279703989281366</c:v>
                </c:pt>
                <c:pt idx="5">
                  <c:v>7.5420387800556613E-2</c:v>
                </c:pt>
                <c:pt idx="6">
                  <c:v>7.3547811911440927E-2</c:v>
                </c:pt>
                <c:pt idx="7">
                  <c:v>4.9209816283647852E-2</c:v>
                </c:pt>
                <c:pt idx="8">
                  <c:v>5.6691483189611001E-2</c:v>
                </c:pt>
                <c:pt idx="9">
                  <c:v>2.4434572024844212E-2</c:v>
                </c:pt>
                <c:pt idx="10">
                  <c:v>2.6550436402438631E-2</c:v>
                </c:pt>
                <c:pt idx="11">
                  <c:v>2.2609170638296105E-2</c:v>
                </c:pt>
                <c:pt idx="12">
                  <c:v>2.5577699470823674E-2</c:v>
                </c:pt>
                <c:pt idx="13">
                  <c:v>1.7727626350576141E-2</c:v>
                </c:pt>
                <c:pt idx="14">
                  <c:v>1.7057525669522199E-2</c:v>
                </c:pt>
                <c:pt idx="15">
                  <c:v>1.6592711847264439E-2</c:v>
                </c:pt>
                <c:pt idx="16">
                  <c:v>1.7943641180628783E-2</c:v>
                </c:pt>
                <c:pt idx="17">
                  <c:v>1.414173449544283E-2</c:v>
                </c:pt>
                <c:pt idx="18">
                  <c:v>1.2477623115890067E-2</c:v>
                </c:pt>
                <c:pt idx="19">
                  <c:v>8.0300754222208445E-3</c:v>
                </c:pt>
                <c:pt idx="20">
                  <c:v>7.0687582053500109E-3</c:v>
                </c:pt>
                <c:pt idx="21">
                  <c:v>7.0355684175660415E-3</c:v>
                </c:pt>
                <c:pt idx="22">
                  <c:v>6.1045157036326752E-3</c:v>
                </c:pt>
                <c:pt idx="23">
                  <c:v>6.5777063796757561E-3</c:v>
                </c:pt>
                <c:pt idx="24">
                  <c:v>5.2322061969962905E-3</c:v>
                </c:pt>
                <c:pt idx="25">
                  <c:v>4.5789814371878382E-3</c:v>
                </c:pt>
                <c:pt idx="26">
                  <c:v>4.2239344344672854E-3</c:v>
                </c:pt>
                <c:pt idx="27">
                  <c:v>4.1782071955558647E-3</c:v>
                </c:pt>
                <c:pt idx="28">
                  <c:v>3.7487236958327038E-3</c:v>
                </c:pt>
                <c:pt idx="29">
                  <c:v>2.7075091014733994E-3</c:v>
                </c:pt>
                <c:pt idx="30">
                  <c:v>2.3079149208987031E-3</c:v>
                </c:pt>
                <c:pt idx="31">
                  <c:v>2.1166903492773055E-3</c:v>
                </c:pt>
                <c:pt idx="32">
                  <c:v>1.8663312279581584E-3</c:v>
                </c:pt>
                <c:pt idx="33">
                  <c:v>1.4634989973842387E-3</c:v>
                </c:pt>
                <c:pt idx="34">
                  <c:v>1.4179996696069427E-3</c:v>
                </c:pt>
                <c:pt idx="35">
                  <c:v>1.24097925794906E-3</c:v>
                </c:pt>
                <c:pt idx="36">
                  <c:v>1.1618486208703027E-3</c:v>
                </c:pt>
                <c:pt idx="37">
                  <c:v>1.0671188260754619E-3</c:v>
                </c:pt>
                <c:pt idx="38">
                  <c:v>9.5963805855211538E-4</c:v>
                </c:pt>
                <c:pt idx="39">
                  <c:v>9.8078564648369543E-4</c:v>
                </c:pt>
                <c:pt idx="40">
                  <c:v>7.0948208054194344E-4</c:v>
                </c:pt>
                <c:pt idx="41">
                  <c:v>6.3699345007290319E-4</c:v>
                </c:pt>
                <c:pt idx="42">
                  <c:v>5.1617396423654508E-4</c:v>
                </c:pt>
                <c:pt idx="43">
                  <c:v>4.2272720305844654E-4</c:v>
                </c:pt>
                <c:pt idx="44">
                  <c:v>3.7443728450321741E-4</c:v>
                </c:pt>
                <c:pt idx="45">
                  <c:v>4.1449223210905065E-4</c:v>
                </c:pt>
                <c:pt idx="46">
                  <c:v>3.702524095484441E-4</c:v>
                </c:pt>
                <c:pt idx="47">
                  <c:v>3.412756047575208E-4</c:v>
                </c:pt>
                <c:pt idx="48">
                  <c:v>2.271479299585371E-4</c:v>
                </c:pt>
                <c:pt idx="49">
                  <c:v>2.1569116566482182E-4</c:v>
                </c:pt>
                <c:pt idx="50">
                  <c:v>1.8876816881175894E-4</c:v>
                </c:pt>
                <c:pt idx="51">
                  <c:v>1.5480877203586749E-4</c:v>
                </c:pt>
                <c:pt idx="52">
                  <c:v>1.6432345399290896E-4</c:v>
                </c:pt>
                <c:pt idx="53">
                  <c:v>1.355185208966892E-4</c:v>
                </c:pt>
                <c:pt idx="54">
                  <c:v>1.1079251176031526E-4</c:v>
                </c:pt>
                <c:pt idx="55">
                  <c:v>9.5690828452519206E-5</c:v>
                </c:pt>
                <c:pt idx="56">
                  <c:v>1.0415403329173678E-4</c:v>
                </c:pt>
                <c:pt idx="57">
                  <c:v>8.1426167433341608E-5</c:v>
                </c:pt>
                <c:pt idx="58">
                  <c:v>5.2684210282124388E-5</c:v>
                </c:pt>
                <c:pt idx="59">
                  <c:v>5.3837048721159736E-5</c:v>
                </c:pt>
                <c:pt idx="60">
                  <c:v>4.7468040211373287E-5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1.1520591836113835E-3</c:v>
                </c:pt>
                <c:pt idx="1">
                  <c:v>3.2823665731806458E-3</c:v>
                </c:pt>
                <c:pt idx="2">
                  <c:v>4.8030301928631012E-3</c:v>
                </c:pt>
                <c:pt idx="3">
                  <c:v>7.178388057394851E-3</c:v>
                </c:pt>
                <c:pt idx="4">
                  <c:v>5.8610394295050133E-3</c:v>
                </c:pt>
                <c:pt idx="5">
                  <c:v>1.3217378667197181E-2</c:v>
                </c:pt>
                <c:pt idx="6">
                  <c:v>1.199838168494834E-2</c:v>
                </c:pt>
                <c:pt idx="7">
                  <c:v>1.4335265229524862E-2</c:v>
                </c:pt>
                <c:pt idx="8">
                  <c:v>1.1013317726597917E-2</c:v>
                </c:pt>
                <c:pt idx="9">
                  <c:v>1.6656328049919178E-2</c:v>
                </c:pt>
                <c:pt idx="10">
                  <c:v>9.2323699373679062E-3</c:v>
                </c:pt>
                <c:pt idx="11">
                  <c:v>1.4054491354216034E-2</c:v>
                </c:pt>
                <c:pt idx="12">
                  <c:v>1.9981645959129483E-2</c:v>
                </c:pt>
                <c:pt idx="13">
                  <c:v>1.9022497515499313E-2</c:v>
                </c:pt>
                <c:pt idx="14">
                  <c:v>1.339284182292734E-2</c:v>
                </c:pt>
                <c:pt idx="15">
                  <c:v>8.3944410053314947E-3</c:v>
                </c:pt>
                <c:pt idx="16">
                  <c:v>3.4106856851808941E-2</c:v>
                </c:pt>
                <c:pt idx="17">
                  <c:v>2.0967294660688186E-2</c:v>
                </c:pt>
                <c:pt idx="18">
                  <c:v>6.4640991931875849E-2</c:v>
                </c:pt>
                <c:pt idx="19">
                  <c:v>3.8923564678889383E-2</c:v>
                </c:pt>
                <c:pt idx="20">
                  <c:v>5.771479789334328E-2</c:v>
                </c:pt>
                <c:pt idx="21">
                  <c:v>4.9665678307372015E-2</c:v>
                </c:pt>
                <c:pt idx="22">
                  <c:v>4.325311964068803E-2</c:v>
                </c:pt>
                <c:pt idx="23">
                  <c:v>2.7228175262631146E-2</c:v>
                </c:pt>
                <c:pt idx="24">
                  <c:v>3.2389638302866092E-2</c:v>
                </c:pt>
                <c:pt idx="25">
                  <c:v>2.2212784079585542E-2</c:v>
                </c:pt>
                <c:pt idx="26">
                  <c:v>5.6118249793503897E-2</c:v>
                </c:pt>
                <c:pt idx="27">
                  <c:v>1.4418973404381807E-2</c:v>
                </c:pt>
                <c:pt idx="28">
                  <c:v>2.2565264963531978E-2</c:v>
                </c:pt>
                <c:pt idx="29">
                  <c:v>2.0003660979708328E-2</c:v>
                </c:pt>
                <c:pt idx="30">
                  <c:v>1.4777811140685954E-2</c:v>
                </c:pt>
                <c:pt idx="31">
                  <c:v>1.1178617809549781E-2</c:v>
                </c:pt>
                <c:pt idx="32">
                  <c:v>1.1729314475392553E-2</c:v>
                </c:pt>
                <c:pt idx="33">
                  <c:v>1.0436507520170961E-2</c:v>
                </c:pt>
                <c:pt idx="34">
                  <c:v>1.8208570237731338E-2</c:v>
                </c:pt>
                <c:pt idx="35">
                  <c:v>7.9243915344174923E-3</c:v>
                </c:pt>
                <c:pt idx="36">
                  <c:v>1.1244758776609949E-2</c:v>
                </c:pt>
                <c:pt idx="37">
                  <c:v>1.3781191827820819E-2</c:v>
                </c:pt>
                <c:pt idx="38">
                  <c:v>1.5972981835236624E-2</c:v>
                </c:pt>
                <c:pt idx="39">
                  <c:v>5.1170557392510793E-3</c:v>
                </c:pt>
                <c:pt idx="40">
                  <c:v>8.4653023475767808E-3</c:v>
                </c:pt>
                <c:pt idx="41">
                  <c:v>5.3633806649946289E-3</c:v>
                </c:pt>
                <c:pt idx="42">
                  <c:v>4.3505559257213085E-3</c:v>
                </c:pt>
                <c:pt idx="43">
                  <c:v>3.4858359360051432E-3</c:v>
                </c:pt>
                <c:pt idx="44">
                  <c:v>2.9620570223669231E-3</c:v>
                </c:pt>
                <c:pt idx="45">
                  <c:v>3.9808514865644448E-2</c:v>
                </c:pt>
                <c:pt idx="46">
                  <c:v>4.038163030117151E-3</c:v>
                </c:pt>
                <c:pt idx="47">
                  <c:v>4.1814912436694196E-3</c:v>
                </c:pt>
                <c:pt idx="48">
                  <c:v>5.3572064376473374E-3</c:v>
                </c:pt>
                <c:pt idx="49">
                  <c:v>3.1212066718373198E-3</c:v>
                </c:pt>
                <c:pt idx="50">
                  <c:v>1.6714412326665502E-3</c:v>
                </c:pt>
                <c:pt idx="51">
                  <c:v>3.8730333811435899E-3</c:v>
                </c:pt>
                <c:pt idx="52">
                  <c:v>3.4752412903841139E-3</c:v>
                </c:pt>
                <c:pt idx="53">
                  <c:v>3.9996395963273784E-4</c:v>
                </c:pt>
                <c:pt idx="54">
                  <c:v>6.5969000011507377E-3</c:v>
                </c:pt>
                <c:pt idx="55">
                  <c:v>5.7911991902158725E-4</c:v>
                </c:pt>
                <c:pt idx="56">
                  <c:v>1.4118405888683674E-3</c:v>
                </c:pt>
                <c:pt idx="57">
                  <c:v>7.7787905282415421E-4</c:v>
                </c:pt>
                <c:pt idx="58">
                  <c:v>2.6375836739332462E-3</c:v>
                </c:pt>
                <c:pt idx="59">
                  <c:v>3.1759069083167925E-3</c:v>
                </c:pt>
                <c:pt idx="60">
                  <c:v>4.3954320650886137E-3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4.2585100712246226E-3</c:v>
                </c:pt>
                <c:pt idx="1">
                  <c:v>1.4987199998653871E-2</c:v>
                </c:pt>
                <c:pt idx="2">
                  <c:v>1.9729896354925988E-2</c:v>
                </c:pt>
                <c:pt idx="3">
                  <c:v>2.2641738731799116E-2</c:v>
                </c:pt>
                <c:pt idx="4">
                  <c:v>2.4357497809957027E-2</c:v>
                </c:pt>
                <c:pt idx="5">
                  <c:v>2.487932028432098E-2</c:v>
                </c:pt>
                <c:pt idx="6">
                  <c:v>2.4512143118752241E-2</c:v>
                </c:pt>
                <c:pt idx="7">
                  <c:v>2.3782305984456853E-2</c:v>
                </c:pt>
                <c:pt idx="8">
                  <c:v>2.2489341722053746E-2</c:v>
                </c:pt>
                <c:pt idx="9">
                  <c:v>2.0865600102677736E-2</c:v>
                </c:pt>
                <c:pt idx="10">
                  <c:v>1.9493881002288709E-2</c:v>
                </c:pt>
                <c:pt idx="11">
                  <c:v>1.7686952514570052E-2</c:v>
                </c:pt>
                <c:pt idx="12">
                  <c:v>1.6709015010986546E-2</c:v>
                </c:pt>
                <c:pt idx="13">
                  <c:v>1.475903504133155E-2</c:v>
                </c:pt>
                <c:pt idx="14">
                  <c:v>1.3235579986782582E-2</c:v>
                </c:pt>
                <c:pt idx="15">
                  <c:v>1.3277457932016021E-2</c:v>
                </c:pt>
                <c:pt idx="16">
                  <c:v>1.1921142641858104E-2</c:v>
                </c:pt>
                <c:pt idx="17">
                  <c:v>1.1068550334971889E-2</c:v>
                </c:pt>
                <c:pt idx="18">
                  <c:v>9.253735372975197E-2</c:v>
                </c:pt>
                <c:pt idx="19">
                  <c:v>3.2734585066764507E-2</c:v>
                </c:pt>
                <c:pt idx="20">
                  <c:v>3.2643019197033989E-2</c:v>
                </c:pt>
                <c:pt idx="21">
                  <c:v>4.3626436615742663E-2</c:v>
                </c:pt>
                <c:pt idx="22">
                  <c:v>3.6445704720650104E-2</c:v>
                </c:pt>
                <c:pt idx="23">
                  <c:v>3.4519455073565977E-2</c:v>
                </c:pt>
                <c:pt idx="24">
                  <c:v>2.8062752057956324E-2</c:v>
                </c:pt>
                <c:pt idx="25">
                  <c:v>2.5131034753473596E-2</c:v>
                </c:pt>
                <c:pt idx="26">
                  <c:v>2.7174354290022639E-2</c:v>
                </c:pt>
                <c:pt idx="27">
                  <c:v>2.06525558912392E-2</c:v>
                </c:pt>
                <c:pt idx="28">
                  <c:v>2.0282759801138587E-2</c:v>
                </c:pt>
                <c:pt idx="29">
                  <c:v>1.9009416644367127E-2</c:v>
                </c:pt>
                <c:pt idx="30">
                  <c:v>2.2476128984929563E-2</c:v>
                </c:pt>
                <c:pt idx="31">
                  <c:v>1.5967563799349518E-2</c:v>
                </c:pt>
                <c:pt idx="32">
                  <c:v>1.263431048949034E-2</c:v>
                </c:pt>
                <c:pt idx="33">
                  <c:v>1.6824660838331867E-2</c:v>
                </c:pt>
                <c:pt idx="34">
                  <c:v>1.674017934154505E-2</c:v>
                </c:pt>
                <c:pt idx="35">
                  <c:v>1.4881974976058011E-2</c:v>
                </c:pt>
                <c:pt idx="36">
                  <c:v>1.051421947351731E-2</c:v>
                </c:pt>
                <c:pt idx="37">
                  <c:v>8.8392212559084502E-3</c:v>
                </c:pt>
                <c:pt idx="38">
                  <c:v>8.7736653532833019E-3</c:v>
                </c:pt>
                <c:pt idx="39">
                  <c:v>1.0431556496744506E-2</c:v>
                </c:pt>
                <c:pt idx="40">
                  <c:v>1.2537950544244888E-2</c:v>
                </c:pt>
                <c:pt idx="41">
                  <c:v>6.6651319244822984E-3</c:v>
                </c:pt>
                <c:pt idx="42">
                  <c:v>6.0510246395311714E-3</c:v>
                </c:pt>
                <c:pt idx="43">
                  <c:v>6.4815357150787168E-3</c:v>
                </c:pt>
                <c:pt idx="44">
                  <c:v>5.4965695208890573E-3</c:v>
                </c:pt>
                <c:pt idx="45">
                  <c:v>4.9418693343111107E-3</c:v>
                </c:pt>
                <c:pt idx="46">
                  <c:v>4.9069465280908381E-3</c:v>
                </c:pt>
                <c:pt idx="47">
                  <c:v>4.6089653391826226E-3</c:v>
                </c:pt>
                <c:pt idx="48">
                  <c:v>4.9695128794382398E-3</c:v>
                </c:pt>
                <c:pt idx="49">
                  <c:v>3.658204912047415E-3</c:v>
                </c:pt>
                <c:pt idx="50">
                  <c:v>3.3523374735416971E-3</c:v>
                </c:pt>
                <c:pt idx="51">
                  <c:v>4.0710229401309571E-3</c:v>
                </c:pt>
                <c:pt idx="52">
                  <c:v>3.0214105702299492E-3</c:v>
                </c:pt>
                <c:pt idx="53">
                  <c:v>3.0947655559866939E-3</c:v>
                </c:pt>
                <c:pt idx="54">
                  <c:v>2.2376916622467344E-3</c:v>
                </c:pt>
                <c:pt idx="55">
                  <c:v>2.2044879557260289E-3</c:v>
                </c:pt>
                <c:pt idx="56">
                  <c:v>3.383999252509649E-3</c:v>
                </c:pt>
                <c:pt idx="57">
                  <c:v>2.2504253881933931E-3</c:v>
                </c:pt>
                <c:pt idx="58">
                  <c:v>2.0433504736125803E-3</c:v>
                </c:pt>
                <c:pt idx="59">
                  <c:v>1.9436185222912843E-3</c:v>
                </c:pt>
                <c:pt idx="60">
                  <c:v>1.6485674681959348E-3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4.3350897587176453E-2</c:v>
                </c:pt>
                <c:pt idx="1">
                  <c:v>4.0964048004621383E-2</c:v>
                </c:pt>
                <c:pt idx="2">
                  <c:v>3.4030946650605388E-2</c:v>
                </c:pt>
                <c:pt idx="3">
                  <c:v>6.1107633294971181E-2</c:v>
                </c:pt>
                <c:pt idx="4">
                  <c:v>0.11461934173110985</c:v>
                </c:pt>
                <c:pt idx="5">
                  <c:v>8.2689148775625249E-2</c:v>
                </c:pt>
                <c:pt idx="6">
                  <c:v>7.5025355273952654E-2</c:v>
                </c:pt>
                <c:pt idx="7">
                  <c:v>5.1015080509191402E-2</c:v>
                </c:pt>
                <c:pt idx="8">
                  <c:v>6.0636123713288845E-2</c:v>
                </c:pt>
                <c:pt idx="9">
                  <c:v>3.8362186505982186E-2</c:v>
                </c:pt>
                <c:pt idx="10">
                  <c:v>5.6039289838937911E-2</c:v>
                </c:pt>
                <c:pt idx="11">
                  <c:v>3.1412041498785341E-2</c:v>
                </c:pt>
                <c:pt idx="12">
                  <c:v>2.8320493772279569E-2</c:v>
                </c:pt>
                <c:pt idx="13">
                  <c:v>2.3968400746099006E-2</c:v>
                </c:pt>
                <c:pt idx="14">
                  <c:v>1.5251687906304068E-2</c:v>
                </c:pt>
                <c:pt idx="15">
                  <c:v>2.373658686325935E-2</c:v>
                </c:pt>
                <c:pt idx="16">
                  <c:v>2.6153401933238316E-2</c:v>
                </c:pt>
                <c:pt idx="17">
                  <c:v>2.1122050459274257E-2</c:v>
                </c:pt>
                <c:pt idx="18">
                  <c:v>2.5421502754384394E-2</c:v>
                </c:pt>
                <c:pt idx="19">
                  <c:v>1.4576217497007098E-2</c:v>
                </c:pt>
                <c:pt idx="20">
                  <c:v>1.3506529406207057E-2</c:v>
                </c:pt>
                <c:pt idx="21">
                  <c:v>1.2501670281594596E-2</c:v>
                </c:pt>
                <c:pt idx="22">
                  <c:v>1.0883645839426468E-2</c:v>
                </c:pt>
                <c:pt idx="23">
                  <c:v>1.0444219728167904E-2</c:v>
                </c:pt>
                <c:pt idx="24">
                  <c:v>8.4782146108721649E-3</c:v>
                </c:pt>
                <c:pt idx="25">
                  <c:v>6.5622073241969449E-3</c:v>
                </c:pt>
                <c:pt idx="26">
                  <c:v>7.0758819566800867E-3</c:v>
                </c:pt>
                <c:pt idx="27">
                  <c:v>5.7851088707189099E-3</c:v>
                </c:pt>
                <c:pt idx="28">
                  <c:v>4.7068909969254988E-3</c:v>
                </c:pt>
                <c:pt idx="29">
                  <c:v>3.0273845658872422E-3</c:v>
                </c:pt>
                <c:pt idx="30">
                  <c:v>4.2494242526683965E-3</c:v>
                </c:pt>
                <c:pt idx="31">
                  <c:v>3.6920161319539974E-3</c:v>
                </c:pt>
                <c:pt idx="32">
                  <c:v>1.6421349270643944E-3</c:v>
                </c:pt>
                <c:pt idx="33">
                  <c:v>2.4140565087486243E-3</c:v>
                </c:pt>
                <c:pt idx="34">
                  <c:v>6.1180271648847741E-3</c:v>
                </c:pt>
                <c:pt idx="35">
                  <c:v>2.0283118602045201E-3</c:v>
                </c:pt>
                <c:pt idx="36">
                  <c:v>3.1322379069327437E-3</c:v>
                </c:pt>
                <c:pt idx="37">
                  <c:v>2.3311251628552044E-3</c:v>
                </c:pt>
                <c:pt idx="38">
                  <c:v>3.2625609578060119E-3</c:v>
                </c:pt>
                <c:pt idx="39">
                  <c:v>1.5197843997540959E-3</c:v>
                </c:pt>
                <c:pt idx="40">
                  <c:v>1.6903617759272879E-3</c:v>
                </c:pt>
                <c:pt idx="41">
                  <c:v>1.8514477944162799E-3</c:v>
                </c:pt>
                <c:pt idx="42">
                  <c:v>2.6635161883616494E-4</c:v>
                </c:pt>
                <c:pt idx="43">
                  <c:v>7.8365272688785028E-4</c:v>
                </c:pt>
                <c:pt idx="44">
                  <c:v>2.0845265271744341E-3</c:v>
                </c:pt>
                <c:pt idx="45">
                  <c:v>1.0027415200176382E-3</c:v>
                </c:pt>
                <c:pt idx="46">
                  <c:v>3.0386586780140236E-4</c:v>
                </c:pt>
                <c:pt idx="47">
                  <c:v>2.7686927500679666E-3</c:v>
                </c:pt>
                <c:pt idx="48">
                  <c:v>1.5524519986301871E-3</c:v>
                </c:pt>
                <c:pt idx="49">
                  <c:v>2.1713246608085946E-4</c:v>
                </c:pt>
                <c:pt idx="50">
                  <c:v>5.1701177826402359E-4</c:v>
                </c:pt>
                <c:pt idx="51">
                  <c:v>2.494372632501389E-4</c:v>
                </c:pt>
                <c:pt idx="52">
                  <c:v>9.6723968161660794E-4</c:v>
                </c:pt>
                <c:pt idx="53">
                  <c:v>2.0361044925377203E-4</c:v>
                </c:pt>
                <c:pt idx="54">
                  <c:v>4.3687590986753557E-4</c:v>
                </c:pt>
                <c:pt idx="55">
                  <c:v>7.0949967296781271E-4</c:v>
                </c:pt>
                <c:pt idx="56">
                  <c:v>1.303699415208944E-3</c:v>
                </c:pt>
                <c:pt idx="57">
                  <c:v>5.5919775896026464E-4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0.10229521415816091</c:v>
                </c:pt>
                <c:pt idx="1">
                  <c:v>6.608565632180724E-2</c:v>
                </c:pt>
                <c:pt idx="2">
                  <c:v>4.4383729511472729E-2</c:v>
                </c:pt>
                <c:pt idx="3">
                  <c:v>3.1483731773175233E-2</c:v>
                </c:pt>
                <c:pt idx="4">
                  <c:v>8.915515700823666E-2</c:v>
                </c:pt>
                <c:pt idx="5">
                  <c:v>7.5520432621462588E-2</c:v>
                </c:pt>
                <c:pt idx="6">
                  <c:v>6.622327653087369E-2</c:v>
                </c:pt>
                <c:pt idx="7">
                  <c:v>4.815331973254261E-2</c:v>
                </c:pt>
                <c:pt idx="8">
                  <c:v>5.6722327573962859E-2</c:v>
                </c:pt>
                <c:pt idx="9">
                  <c:v>3.0850982687460331E-2</c:v>
                </c:pt>
                <c:pt idx="10">
                  <c:v>3.5047984990147892E-2</c:v>
                </c:pt>
                <c:pt idx="11">
                  <c:v>3.024333700338672E-2</c:v>
                </c:pt>
                <c:pt idx="12">
                  <c:v>3.0982516822288145E-2</c:v>
                </c:pt>
                <c:pt idx="13">
                  <c:v>2.5384350703026297E-2</c:v>
                </c:pt>
                <c:pt idx="14">
                  <c:v>2.5670344518424901E-2</c:v>
                </c:pt>
                <c:pt idx="15">
                  <c:v>2.2880734862941891E-2</c:v>
                </c:pt>
                <c:pt idx="16">
                  <c:v>2.5611447252816378E-2</c:v>
                </c:pt>
                <c:pt idx="17">
                  <c:v>2.0225467223766325E-2</c:v>
                </c:pt>
                <c:pt idx="18">
                  <c:v>1.677841644470866E-2</c:v>
                </c:pt>
                <c:pt idx="19">
                  <c:v>1.6083387779002568E-2</c:v>
                </c:pt>
                <c:pt idx="20">
                  <c:v>1.4622410099645473E-2</c:v>
                </c:pt>
                <c:pt idx="21">
                  <c:v>1.2217284136292294E-2</c:v>
                </c:pt>
                <c:pt idx="22">
                  <c:v>1.0783656020202799E-2</c:v>
                </c:pt>
                <c:pt idx="23">
                  <c:v>9.7701820674039614E-3</c:v>
                </c:pt>
                <c:pt idx="24">
                  <c:v>1.1570049877691549E-2</c:v>
                </c:pt>
                <c:pt idx="25">
                  <c:v>9.0114098446517736E-3</c:v>
                </c:pt>
                <c:pt idx="26">
                  <c:v>7.6775736014759819E-3</c:v>
                </c:pt>
                <c:pt idx="27">
                  <c:v>6.5262442379182186E-3</c:v>
                </c:pt>
                <c:pt idx="28">
                  <c:v>5.2797104907007317E-3</c:v>
                </c:pt>
                <c:pt idx="29">
                  <c:v>6.0191560067688931E-3</c:v>
                </c:pt>
                <c:pt idx="30">
                  <c:v>4.3315530459672943E-3</c:v>
                </c:pt>
                <c:pt idx="31">
                  <c:v>4.1426275334107117E-3</c:v>
                </c:pt>
                <c:pt idx="32">
                  <c:v>3.7283760232185424E-3</c:v>
                </c:pt>
                <c:pt idx="33">
                  <c:v>3.483913410578042E-3</c:v>
                </c:pt>
                <c:pt idx="34">
                  <c:v>2.7599653140198033E-3</c:v>
                </c:pt>
                <c:pt idx="35">
                  <c:v>2.806046064719524E-3</c:v>
                </c:pt>
                <c:pt idx="36">
                  <c:v>2.9150681452592116E-3</c:v>
                </c:pt>
                <c:pt idx="37">
                  <c:v>2.3372326373859525E-3</c:v>
                </c:pt>
                <c:pt idx="38">
                  <c:v>2.4555243044678625E-3</c:v>
                </c:pt>
                <c:pt idx="39">
                  <c:v>2.4188481076582026E-3</c:v>
                </c:pt>
                <c:pt idx="40">
                  <c:v>1.4780666461077711E-3</c:v>
                </c:pt>
                <c:pt idx="41">
                  <c:v>1.8680426953403227E-3</c:v>
                </c:pt>
                <c:pt idx="42">
                  <c:v>1.4147823714457069E-3</c:v>
                </c:pt>
                <c:pt idx="43">
                  <c:v>9.2126220409218071E-4</c:v>
                </c:pt>
                <c:pt idx="44">
                  <c:v>1.0305461091230353E-3</c:v>
                </c:pt>
                <c:pt idx="45">
                  <c:v>1.2114843889901863E-3</c:v>
                </c:pt>
                <c:pt idx="46">
                  <c:v>8.3168680814254398E-4</c:v>
                </c:pt>
                <c:pt idx="47">
                  <c:v>7.620553159533713E-4</c:v>
                </c:pt>
                <c:pt idx="48">
                  <c:v>8.111553467344977E-4</c:v>
                </c:pt>
                <c:pt idx="49">
                  <c:v>5.5174973757655965E-4</c:v>
                </c:pt>
                <c:pt idx="50">
                  <c:v>4.3526021389469609E-4</c:v>
                </c:pt>
                <c:pt idx="51">
                  <c:v>5.358001531885967E-4</c:v>
                </c:pt>
                <c:pt idx="52">
                  <c:v>4.4458982368002253E-4</c:v>
                </c:pt>
                <c:pt idx="53">
                  <c:v>3.4306706888526757E-4</c:v>
                </c:pt>
                <c:pt idx="54">
                  <c:v>3.3560070246093163E-4</c:v>
                </c:pt>
                <c:pt idx="55">
                  <c:v>2.9227661020985151E-4</c:v>
                </c:pt>
                <c:pt idx="56">
                  <c:v>3.2349130905753631E-4</c:v>
                </c:pt>
                <c:pt idx="57">
                  <c:v>2.4055335920320506E-4</c:v>
                </c:pt>
                <c:pt idx="58">
                  <c:v>1.9787953348377322E-4</c:v>
                </c:pt>
                <c:pt idx="59">
                  <c:v>1.4060076993973559E-4</c:v>
                </c:pt>
                <c:pt idx="60">
                  <c:v>1.3403745021068047E-4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5.0976018773326421E-4</c:v>
                </c:pt>
                <c:pt idx="1">
                  <c:v>7.5889516367453301E-4</c:v>
                </c:pt>
                <c:pt idx="2">
                  <c:v>3.0040143019223662E-3</c:v>
                </c:pt>
                <c:pt idx="3">
                  <c:v>1.8749009186536383E-3</c:v>
                </c:pt>
                <c:pt idx="4">
                  <c:v>5.0594805929866215E-3</c:v>
                </c:pt>
                <c:pt idx="5">
                  <c:v>1.37955379963598E-2</c:v>
                </c:pt>
                <c:pt idx="6">
                  <c:v>1.1987847147793168E-2</c:v>
                </c:pt>
                <c:pt idx="7">
                  <c:v>1.2030039698227295E-2</c:v>
                </c:pt>
                <c:pt idx="8">
                  <c:v>7.3839074963944181E-3</c:v>
                </c:pt>
                <c:pt idx="9">
                  <c:v>1.7836473748381459E-2</c:v>
                </c:pt>
                <c:pt idx="10">
                  <c:v>6.3823251749068133E-3</c:v>
                </c:pt>
                <c:pt idx="11">
                  <c:v>1.4396909731323395E-2</c:v>
                </c:pt>
                <c:pt idx="12">
                  <c:v>1.0107945006456724E-2</c:v>
                </c:pt>
                <c:pt idx="13">
                  <c:v>1.0648566430076807E-2</c:v>
                </c:pt>
                <c:pt idx="14">
                  <c:v>1.1880051167044397E-2</c:v>
                </c:pt>
                <c:pt idx="15">
                  <c:v>9.8264895193360107E-3</c:v>
                </c:pt>
                <c:pt idx="16">
                  <c:v>1.6807097102083172E-2</c:v>
                </c:pt>
                <c:pt idx="17">
                  <c:v>9.7511778498767226E-3</c:v>
                </c:pt>
                <c:pt idx="18">
                  <c:v>4.6676447814153865E-2</c:v>
                </c:pt>
                <c:pt idx="19">
                  <c:v>3.0123237581621949E-2</c:v>
                </c:pt>
                <c:pt idx="20">
                  <c:v>3.4860110233020256E-2</c:v>
                </c:pt>
                <c:pt idx="21">
                  <c:v>4.7453956169726717E-2</c:v>
                </c:pt>
                <c:pt idx="22">
                  <c:v>3.2159982143700756E-2</c:v>
                </c:pt>
                <c:pt idx="23">
                  <c:v>2.7900418019341035E-2</c:v>
                </c:pt>
                <c:pt idx="24">
                  <c:v>3.7013573910480324E-2</c:v>
                </c:pt>
                <c:pt idx="25">
                  <c:v>2.264879460486225E-2</c:v>
                </c:pt>
                <c:pt idx="26">
                  <c:v>3.6226244682296307E-2</c:v>
                </c:pt>
                <c:pt idx="27">
                  <c:v>2.4501799204792073E-2</c:v>
                </c:pt>
                <c:pt idx="28">
                  <c:v>2.7500900780965253E-2</c:v>
                </c:pt>
                <c:pt idx="29">
                  <c:v>2.2728060092624874E-2</c:v>
                </c:pt>
                <c:pt idx="30">
                  <c:v>2.5690704568350375E-2</c:v>
                </c:pt>
                <c:pt idx="31">
                  <c:v>1.7361334712889712E-2</c:v>
                </c:pt>
                <c:pt idx="32">
                  <c:v>1.8531651256158656E-2</c:v>
                </c:pt>
                <c:pt idx="33">
                  <c:v>2.081973526267035E-2</c:v>
                </c:pt>
                <c:pt idx="34">
                  <c:v>2.9063009398100276E-2</c:v>
                </c:pt>
                <c:pt idx="35">
                  <c:v>1.8701601225951461E-2</c:v>
                </c:pt>
                <c:pt idx="36">
                  <c:v>1.3113100072795297E-2</c:v>
                </c:pt>
                <c:pt idx="37">
                  <c:v>1.7402603886907196E-2</c:v>
                </c:pt>
                <c:pt idx="38">
                  <c:v>2.2029233859835066E-2</c:v>
                </c:pt>
                <c:pt idx="39">
                  <c:v>1.1831276989094457E-2</c:v>
                </c:pt>
                <c:pt idx="40">
                  <c:v>1.005818599877456E-2</c:v>
                </c:pt>
                <c:pt idx="41">
                  <c:v>1.5073451608597523E-2</c:v>
                </c:pt>
                <c:pt idx="42">
                  <c:v>7.3862875346109467E-3</c:v>
                </c:pt>
                <c:pt idx="43">
                  <c:v>1.0306626804415055E-2</c:v>
                </c:pt>
                <c:pt idx="44">
                  <c:v>7.24124309328944E-3</c:v>
                </c:pt>
                <c:pt idx="45">
                  <c:v>3.4533736844136916E-2</c:v>
                </c:pt>
                <c:pt idx="46">
                  <c:v>9.9791041510519998E-3</c:v>
                </c:pt>
                <c:pt idx="47">
                  <c:v>8.5790993785921244E-3</c:v>
                </c:pt>
                <c:pt idx="48">
                  <c:v>7.4169928306962599E-3</c:v>
                </c:pt>
                <c:pt idx="49">
                  <c:v>4.7913337177387981E-3</c:v>
                </c:pt>
                <c:pt idx="50">
                  <c:v>5.9404559129806753E-3</c:v>
                </c:pt>
                <c:pt idx="51">
                  <c:v>4.5939179600581323E-3</c:v>
                </c:pt>
                <c:pt idx="52">
                  <c:v>6.5667686848019814E-3</c:v>
                </c:pt>
                <c:pt idx="53">
                  <c:v>5.1386451510872927E-3</c:v>
                </c:pt>
                <c:pt idx="54">
                  <c:v>4.3482007760616403E-3</c:v>
                </c:pt>
                <c:pt idx="55">
                  <c:v>6.1376500951985024E-3</c:v>
                </c:pt>
                <c:pt idx="56">
                  <c:v>3.2246420618066512E-3</c:v>
                </c:pt>
                <c:pt idx="57">
                  <c:v>1.9611028103021112E-3</c:v>
                </c:pt>
                <c:pt idx="58">
                  <c:v>2.276982589139893E-3</c:v>
                </c:pt>
                <c:pt idx="59">
                  <c:v>2.9270799524444566E-3</c:v>
                </c:pt>
                <c:pt idx="60">
                  <c:v>2.8233676696514734E-3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2.0609983409438006E-3</c:v>
                </c:pt>
                <c:pt idx="1">
                  <c:v>1.3291013510841533E-2</c:v>
                </c:pt>
                <c:pt idx="2">
                  <c:v>1.5026193680043157E-2</c:v>
                </c:pt>
                <c:pt idx="3">
                  <c:v>1.6443328863691542E-2</c:v>
                </c:pt>
                <c:pt idx="4">
                  <c:v>1.7610363367489789E-2</c:v>
                </c:pt>
                <c:pt idx="5">
                  <c:v>1.7711562007729501E-2</c:v>
                </c:pt>
                <c:pt idx="6">
                  <c:v>1.8149653395014377E-2</c:v>
                </c:pt>
                <c:pt idx="7">
                  <c:v>1.6844265566293065E-2</c:v>
                </c:pt>
                <c:pt idx="8">
                  <c:v>1.651853101133861E-2</c:v>
                </c:pt>
                <c:pt idx="9">
                  <c:v>1.6401278751709738E-2</c:v>
                </c:pt>
                <c:pt idx="10">
                  <c:v>1.5669745712709751E-2</c:v>
                </c:pt>
                <c:pt idx="11">
                  <c:v>1.4131392926088223E-2</c:v>
                </c:pt>
                <c:pt idx="12">
                  <c:v>1.3747943219652635E-2</c:v>
                </c:pt>
                <c:pt idx="13">
                  <c:v>1.2879952538608647E-2</c:v>
                </c:pt>
                <c:pt idx="14">
                  <c:v>1.1324816310338423E-2</c:v>
                </c:pt>
                <c:pt idx="15">
                  <c:v>1.0901983632623898E-2</c:v>
                </c:pt>
                <c:pt idx="16">
                  <c:v>1.0474212192942983E-2</c:v>
                </c:pt>
                <c:pt idx="17">
                  <c:v>9.8645344429619513E-3</c:v>
                </c:pt>
                <c:pt idx="18">
                  <c:v>5.547758054175865E-2</c:v>
                </c:pt>
                <c:pt idx="19">
                  <c:v>2.6497692953072451E-2</c:v>
                </c:pt>
                <c:pt idx="20">
                  <c:v>2.5429561672495531E-2</c:v>
                </c:pt>
                <c:pt idx="21">
                  <c:v>4.0271130052245668E-2</c:v>
                </c:pt>
                <c:pt idx="22">
                  <c:v>3.3729528791305821E-2</c:v>
                </c:pt>
                <c:pt idx="23">
                  <c:v>3.2436766142613732E-2</c:v>
                </c:pt>
                <c:pt idx="24">
                  <c:v>2.6830491264289276E-2</c:v>
                </c:pt>
                <c:pt idx="25">
                  <c:v>2.5765185852545686E-2</c:v>
                </c:pt>
                <c:pt idx="26">
                  <c:v>2.7987699846054145E-2</c:v>
                </c:pt>
                <c:pt idx="27">
                  <c:v>1.8649529597009069E-2</c:v>
                </c:pt>
                <c:pt idx="28">
                  <c:v>2.7013192921352958E-2</c:v>
                </c:pt>
                <c:pt idx="29">
                  <c:v>2.27811538601649E-2</c:v>
                </c:pt>
                <c:pt idx="30">
                  <c:v>2.3199494816019677E-2</c:v>
                </c:pt>
                <c:pt idx="31">
                  <c:v>2.2640245615433065E-2</c:v>
                </c:pt>
                <c:pt idx="32">
                  <c:v>1.7356634947203388E-2</c:v>
                </c:pt>
                <c:pt idx="33">
                  <c:v>2.0296590807717979E-2</c:v>
                </c:pt>
                <c:pt idx="34">
                  <c:v>1.748725318164273E-2</c:v>
                </c:pt>
                <c:pt idx="35">
                  <c:v>2.1947667772630981E-2</c:v>
                </c:pt>
                <c:pt idx="36">
                  <c:v>1.6060742305684553E-2</c:v>
                </c:pt>
                <c:pt idx="37">
                  <c:v>1.4132803624927684E-2</c:v>
                </c:pt>
                <c:pt idx="38">
                  <c:v>1.3080198686809168E-2</c:v>
                </c:pt>
                <c:pt idx="39">
                  <c:v>1.3697711927588098E-2</c:v>
                </c:pt>
                <c:pt idx="40">
                  <c:v>1.5207613512339515E-2</c:v>
                </c:pt>
                <c:pt idx="41">
                  <c:v>1.0617724819993946E-2</c:v>
                </c:pt>
                <c:pt idx="42">
                  <c:v>1.1691123602748694E-2</c:v>
                </c:pt>
                <c:pt idx="43">
                  <c:v>1.1554372833645557E-2</c:v>
                </c:pt>
                <c:pt idx="44">
                  <c:v>6.9842892233344337E-3</c:v>
                </c:pt>
                <c:pt idx="45">
                  <c:v>8.7152173603183246E-3</c:v>
                </c:pt>
                <c:pt idx="46">
                  <c:v>9.4160345940103463E-3</c:v>
                </c:pt>
                <c:pt idx="47">
                  <c:v>9.7899240362813115E-3</c:v>
                </c:pt>
                <c:pt idx="48">
                  <c:v>6.5940441744373633E-3</c:v>
                </c:pt>
                <c:pt idx="49">
                  <c:v>6.6934541674146131E-3</c:v>
                </c:pt>
                <c:pt idx="50">
                  <c:v>5.5435887491199869E-3</c:v>
                </c:pt>
                <c:pt idx="51">
                  <c:v>5.620979374042343E-3</c:v>
                </c:pt>
                <c:pt idx="52">
                  <c:v>5.0958731436564677E-3</c:v>
                </c:pt>
                <c:pt idx="53">
                  <c:v>4.8843802266305665E-3</c:v>
                </c:pt>
                <c:pt idx="54">
                  <c:v>4.0659273489377368E-3</c:v>
                </c:pt>
                <c:pt idx="55">
                  <c:v>5.4476291799853095E-3</c:v>
                </c:pt>
                <c:pt idx="56">
                  <c:v>4.2308129950550978E-3</c:v>
                </c:pt>
                <c:pt idx="57">
                  <c:v>4.3530837902861505E-3</c:v>
                </c:pt>
                <c:pt idx="58">
                  <c:v>4.5353542816687223E-3</c:v>
                </c:pt>
                <c:pt idx="59">
                  <c:v>4.9118075991980278E-3</c:v>
                </c:pt>
                <c:pt idx="60">
                  <c:v>3.566566199043096E-3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6.7908804863944364E-2</c:v>
                </c:pt>
                <c:pt idx="1">
                  <c:v>5.0332260930260102E-2</c:v>
                </c:pt>
                <c:pt idx="2">
                  <c:v>6.4507688338137734E-2</c:v>
                </c:pt>
                <c:pt idx="3">
                  <c:v>9.5332250844830213E-2</c:v>
                </c:pt>
                <c:pt idx="4">
                  <c:v>0.20234716945580231</c:v>
                </c:pt>
                <c:pt idx="5">
                  <c:v>8.5410977927769027E-2</c:v>
                </c:pt>
                <c:pt idx="6">
                  <c:v>0.14274259339946485</c:v>
                </c:pt>
                <c:pt idx="7">
                  <c:v>5.3596581290139451E-2</c:v>
                </c:pt>
                <c:pt idx="8">
                  <c:v>4.5283578361986404E-2</c:v>
                </c:pt>
                <c:pt idx="9">
                  <c:v>3.4154977371809031E-2</c:v>
                </c:pt>
                <c:pt idx="10">
                  <c:v>6.0641853624114943E-2</c:v>
                </c:pt>
                <c:pt idx="11">
                  <c:v>1.1745761089692474E-2</c:v>
                </c:pt>
                <c:pt idx="12">
                  <c:v>8.9814146376595589E-3</c:v>
                </c:pt>
                <c:pt idx="13">
                  <c:v>6.3888568889515704E-3</c:v>
                </c:pt>
                <c:pt idx="14">
                  <c:v>6.2271882821414793E-3</c:v>
                </c:pt>
                <c:pt idx="15">
                  <c:v>3.1458703056568694E-3</c:v>
                </c:pt>
                <c:pt idx="16">
                  <c:v>1.1986737757805612E-2</c:v>
                </c:pt>
                <c:pt idx="17">
                  <c:v>7.2217516854610276E-3</c:v>
                </c:pt>
                <c:pt idx="18">
                  <c:v>7.044405115650753E-3</c:v>
                </c:pt>
                <c:pt idx="19">
                  <c:v>2.0770411798038684E-3</c:v>
                </c:pt>
                <c:pt idx="20">
                  <c:v>1.9366959719289319E-3</c:v>
                </c:pt>
                <c:pt idx="21">
                  <c:v>9.1799754716662789E-3</c:v>
                </c:pt>
                <c:pt idx="22">
                  <c:v>2.5268726331390923E-3</c:v>
                </c:pt>
                <c:pt idx="23">
                  <c:v>1.100414413466964E-2</c:v>
                </c:pt>
                <c:pt idx="24">
                  <c:v>2.05682651540962E-4</c:v>
                </c:pt>
                <c:pt idx="25">
                  <c:v>1.2489394586892781E-3</c:v>
                </c:pt>
                <c:pt idx="26">
                  <c:v>1.2131687341140614E-3</c:v>
                </c:pt>
                <c:pt idx="27">
                  <c:v>2.0912689731751384E-5</c:v>
                </c:pt>
                <c:pt idx="28">
                  <c:v>1.9737428357836087E-3</c:v>
                </c:pt>
                <c:pt idx="29">
                  <c:v>3.5421573165624737E-4</c:v>
                </c:pt>
                <c:pt idx="30">
                  <c:v>0</c:v>
                </c:pt>
                <c:pt idx="31">
                  <c:v>0</c:v>
                </c:pt>
                <c:pt idx="32">
                  <c:v>1.8267056671200007E-5</c:v>
                </c:pt>
                <c:pt idx="33">
                  <c:v>0</c:v>
                </c:pt>
                <c:pt idx="34">
                  <c:v>6.8482439812463146E-4</c:v>
                </c:pt>
                <c:pt idx="35">
                  <c:v>1.169240757492463E-5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5.9193351078352793E-6</c:v>
                </c:pt>
                <c:pt idx="40">
                  <c:v>6.3208403961574398E-6</c:v>
                </c:pt>
                <c:pt idx="41">
                  <c:v>0</c:v>
                </c:pt>
                <c:pt idx="42">
                  <c:v>3.8969658760836819E-4</c:v>
                </c:pt>
                <c:pt idx="43">
                  <c:v>4.0313855447715661E-4</c:v>
                </c:pt>
                <c:pt idx="44">
                  <c:v>0</c:v>
                </c:pt>
                <c:pt idx="45">
                  <c:v>0</c:v>
                </c:pt>
                <c:pt idx="46">
                  <c:v>1.6378296472056497E-3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0.16592453667924209</c:v>
                </c:pt>
                <c:pt idx="1">
                  <c:v>0.15923520862484197</c:v>
                </c:pt>
                <c:pt idx="2">
                  <c:v>8.9461585236019131E-2</c:v>
                </c:pt>
                <c:pt idx="3">
                  <c:v>5.4039662388868821E-2</c:v>
                </c:pt>
                <c:pt idx="4">
                  <c:v>0.1664752411995073</c:v>
                </c:pt>
                <c:pt idx="5">
                  <c:v>7.3893127299166986E-2</c:v>
                </c:pt>
                <c:pt idx="6">
                  <c:v>7.3603982769866738E-2</c:v>
                </c:pt>
                <c:pt idx="7">
                  <c:v>4.4593650233945056E-2</c:v>
                </c:pt>
                <c:pt idx="8">
                  <c:v>4.3319782989813128E-2</c:v>
                </c:pt>
                <c:pt idx="9">
                  <c:v>2.7485198774681207E-2</c:v>
                </c:pt>
                <c:pt idx="10">
                  <c:v>1.8111313969076209E-2</c:v>
                </c:pt>
                <c:pt idx="11">
                  <c:v>1.6804262770250562E-2</c:v>
                </c:pt>
                <c:pt idx="12">
                  <c:v>1.3360154875011724E-2</c:v>
                </c:pt>
                <c:pt idx="13">
                  <c:v>8.9516710390722502E-3</c:v>
                </c:pt>
                <c:pt idx="14">
                  <c:v>8.5630489417325689E-3</c:v>
                </c:pt>
                <c:pt idx="15">
                  <c:v>6.1146270308431077E-3</c:v>
                </c:pt>
                <c:pt idx="16">
                  <c:v>5.7633041981523733E-3</c:v>
                </c:pt>
                <c:pt idx="17">
                  <c:v>4.9095960627862046E-3</c:v>
                </c:pt>
                <c:pt idx="18">
                  <c:v>3.5517821830254462E-3</c:v>
                </c:pt>
                <c:pt idx="19">
                  <c:v>2.5921911207259134E-3</c:v>
                </c:pt>
                <c:pt idx="20">
                  <c:v>1.913867523322647E-3</c:v>
                </c:pt>
                <c:pt idx="21">
                  <c:v>1.680279416366638E-3</c:v>
                </c:pt>
                <c:pt idx="22">
                  <c:v>9.9586455916852025E-4</c:v>
                </c:pt>
                <c:pt idx="23">
                  <c:v>1.3563427406377184E-3</c:v>
                </c:pt>
                <c:pt idx="24">
                  <c:v>1.2873223588372501E-3</c:v>
                </c:pt>
                <c:pt idx="25">
                  <c:v>9.7658948595063231E-4</c:v>
                </c:pt>
                <c:pt idx="26">
                  <c:v>9.9911483381855842E-4</c:v>
                </c:pt>
                <c:pt idx="27">
                  <c:v>6.4549859031036514E-4</c:v>
                </c:pt>
                <c:pt idx="28">
                  <c:v>4.3377239743089317E-4</c:v>
                </c:pt>
                <c:pt idx="29">
                  <c:v>6.6574213177619508E-4</c:v>
                </c:pt>
                <c:pt idx="30">
                  <c:v>3.9599251921907785E-4</c:v>
                </c:pt>
                <c:pt idx="31">
                  <c:v>3.0532592468462689E-4</c:v>
                </c:pt>
                <c:pt idx="32">
                  <c:v>2.668987562219181E-4</c:v>
                </c:pt>
                <c:pt idx="33">
                  <c:v>2.6704710214161577E-4</c:v>
                </c:pt>
                <c:pt idx="34">
                  <c:v>1.7846221585349686E-4</c:v>
                </c:pt>
                <c:pt idx="35">
                  <c:v>1.3410895324182876E-4</c:v>
                </c:pt>
                <c:pt idx="36">
                  <c:v>1.0297282238305151E-4</c:v>
                </c:pt>
                <c:pt idx="37">
                  <c:v>1.4366454539794555E-4</c:v>
                </c:pt>
                <c:pt idx="38">
                  <c:v>4.8977670316955014E-5</c:v>
                </c:pt>
                <c:pt idx="39">
                  <c:v>6.2898685174959839E-5</c:v>
                </c:pt>
                <c:pt idx="40">
                  <c:v>3.2845393508847206E-5</c:v>
                </c:pt>
                <c:pt idx="41">
                  <c:v>3.8690405633008042E-5</c:v>
                </c:pt>
                <c:pt idx="42">
                  <c:v>3.7549389665242479E-5</c:v>
                </c:pt>
                <c:pt idx="43">
                  <c:v>4.9411807346840916E-5</c:v>
                </c:pt>
                <c:pt idx="44">
                  <c:v>2.147829296044732E-5</c:v>
                </c:pt>
                <c:pt idx="45">
                  <c:v>7.424242420776627E-5</c:v>
                </c:pt>
                <c:pt idx="46">
                  <c:v>2.7899812887509578E-5</c:v>
                </c:pt>
                <c:pt idx="47">
                  <c:v>3.1172320792387201E-5</c:v>
                </c:pt>
                <c:pt idx="48">
                  <c:v>3.1456597510472786E-5</c:v>
                </c:pt>
                <c:pt idx="49">
                  <c:v>1.342981949935888E-5</c:v>
                </c:pt>
                <c:pt idx="50">
                  <c:v>1.7906425999145174E-6</c:v>
                </c:pt>
                <c:pt idx="51">
                  <c:v>8.9532129995725872E-7</c:v>
                </c:pt>
                <c:pt idx="52">
                  <c:v>0</c:v>
                </c:pt>
                <c:pt idx="53">
                  <c:v>1.2168992500168134E-5</c:v>
                </c:pt>
                <c:pt idx="54">
                  <c:v>6.023070563348837E-6</c:v>
                </c:pt>
                <c:pt idx="55">
                  <c:v>0</c:v>
                </c:pt>
                <c:pt idx="56">
                  <c:v>2.9844043331908626E-7</c:v>
                </c:pt>
                <c:pt idx="57">
                  <c:v>5.9756497078331679E-6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8.156350282673492E-3</c:v>
                </c:pt>
                <c:pt idx="2">
                  <c:v>6.8145609813907559E-3</c:v>
                </c:pt>
                <c:pt idx="3">
                  <c:v>1.4230797282412447E-2</c:v>
                </c:pt>
                <c:pt idx="4">
                  <c:v>1.0782005828019798E-2</c:v>
                </c:pt>
                <c:pt idx="5">
                  <c:v>8.9122035466190682E-3</c:v>
                </c:pt>
                <c:pt idx="6">
                  <c:v>8.7185302939005154E-3</c:v>
                </c:pt>
                <c:pt idx="7">
                  <c:v>1.628655697829668E-2</c:v>
                </c:pt>
                <c:pt idx="8">
                  <c:v>3.9059268496487954E-3</c:v>
                </c:pt>
                <c:pt idx="9">
                  <c:v>1.404400204859528E-2</c:v>
                </c:pt>
                <c:pt idx="10">
                  <c:v>8.3782112783444881E-3</c:v>
                </c:pt>
                <c:pt idx="11">
                  <c:v>1.6176340952326389E-2</c:v>
                </c:pt>
                <c:pt idx="12">
                  <c:v>3.5714752295633805E-2</c:v>
                </c:pt>
                <c:pt idx="13">
                  <c:v>1.1082988615131477E-2</c:v>
                </c:pt>
                <c:pt idx="14">
                  <c:v>1.6656497446691503E-2</c:v>
                </c:pt>
                <c:pt idx="15">
                  <c:v>3.8640665940122111E-3</c:v>
                </c:pt>
                <c:pt idx="16">
                  <c:v>3.9470246796736198E-2</c:v>
                </c:pt>
                <c:pt idx="17">
                  <c:v>1.8142270877281777E-2</c:v>
                </c:pt>
                <c:pt idx="18">
                  <c:v>0.10352030239184527</c:v>
                </c:pt>
                <c:pt idx="19">
                  <c:v>3.7705673872785943E-2</c:v>
                </c:pt>
                <c:pt idx="20">
                  <c:v>6.2675113675186189E-2</c:v>
                </c:pt>
                <c:pt idx="21">
                  <c:v>4.3768441486318484E-2</c:v>
                </c:pt>
                <c:pt idx="22">
                  <c:v>3.7184477296968381E-2</c:v>
                </c:pt>
                <c:pt idx="23">
                  <c:v>1.7217310633650763E-2</c:v>
                </c:pt>
                <c:pt idx="24">
                  <c:v>3.5708769349073792E-2</c:v>
                </c:pt>
                <c:pt idx="25">
                  <c:v>3.4050097702522569E-2</c:v>
                </c:pt>
                <c:pt idx="26">
                  <c:v>7.5578255777844591E-2</c:v>
                </c:pt>
                <c:pt idx="27">
                  <c:v>1.1669069471582237E-2</c:v>
                </c:pt>
                <c:pt idx="28">
                  <c:v>2.1393386884766937E-2</c:v>
                </c:pt>
                <c:pt idx="29">
                  <c:v>1.7511851826455715E-2</c:v>
                </c:pt>
                <c:pt idx="30">
                  <c:v>1.8164293684885039E-2</c:v>
                </c:pt>
                <c:pt idx="31">
                  <c:v>1.5304623438427537E-2</c:v>
                </c:pt>
                <c:pt idx="32">
                  <c:v>6.6257879451451489E-3</c:v>
                </c:pt>
                <c:pt idx="33">
                  <c:v>1.0525344903903817E-2</c:v>
                </c:pt>
                <c:pt idx="34">
                  <c:v>2.2701703283748365E-2</c:v>
                </c:pt>
                <c:pt idx="35">
                  <c:v>5.5420482161368766E-3</c:v>
                </c:pt>
                <c:pt idx="36">
                  <c:v>5.8738532199427533E-3</c:v>
                </c:pt>
                <c:pt idx="37">
                  <c:v>1.1863802433481388E-2</c:v>
                </c:pt>
                <c:pt idx="38">
                  <c:v>1.6185728421689305E-2</c:v>
                </c:pt>
                <c:pt idx="39">
                  <c:v>3.2737425601384474E-3</c:v>
                </c:pt>
                <c:pt idx="40">
                  <c:v>1.1297737866831949E-3</c:v>
                </c:pt>
                <c:pt idx="41">
                  <c:v>8.2949344961728774E-3</c:v>
                </c:pt>
                <c:pt idx="42">
                  <c:v>1.8001743364519905E-3</c:v>
                </c:pt>
                <c:pt idx="43">
                  <c:v>1.3456408174427419E-3</c:v>
                </c:pt>
                <c:pt idx="44">
                  <c:v>1.3729207237601828E-3</c:v>
                </c:pt>
                <c:pt idx="45">
                  <c:v>4.2931962230227549E-2</c:v>
                </c:pt>
                <c:pt idx="46">
                  <c:v>6.3664649595323404E-3</c:v>
                </c:pt>
                <c:pt idx="47">
                  <c:v>4.868653097138154E-3</c:v>
                </c:pt>
                <c:pt idx="48">
                  <c:v>2.8766108689490533E-3</c:v>
                </c:pt>
                <c:pt idx="49">
                  <c:v>1.2439107382505048E-3</c:v>
                </c:pt>
                <c:pt idx="50">
                  <c:v>4.0656239082332386E-4</c:v>
                </c:pt>
                <c:pt idx="51">
                  <c:v>1.6353673182068545E-3</c:v>
                </c:pt>
                <c:pt idx="52">
                  <c:v>1.2570749147342937E-3</c:v>
                </c:pt>
                <c:pt idx="53">
                  <c:v>0</c:v>
                </c:pt>
                <c:pt idx="54">
                  <c:v>2.4149174871741846E-3</c:v>
                </c:pt>
                <c:pt idx="55">
                  <c:v>3.749735808769989E-3</c:v>
                </c:pt>
                <c:pt idx="56">
                  <c:v>0</c:v>
                </c:pt>
                <c:pt idx="57">
                  <c:v>0</c:v>
                </c:pt>
                <c:pt idx="58">
                  <c:v>1.8267056671200007E-5</c:v>
                </c:pt>
                <c:pt idx="59">
                  <c:v>7.4713735066074527E-4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9.5097453300096383E-4</c:v>
                </c:pt>
                <c:pt idx="1">
                  <c:v>1.9881408754822968E-2</c:v>
                </c:pt>
                <c:pt idx="2">
                  <c:v>2.7458373580893113E-2</c:v>
                </c:pt>
                <c:pt idx="3">
                  <c:v>3.3201005109935566E-2</c:v>
                </c:pt>
                <c:pt idx="4">
                  <c:v>3.5726234086203477E-2</c:v>
                </c:pt>
                <c:pt idx="5">
                  <c:v>3.6265821350906884E-2</c:v>
                </c:pt>
                <c:pt idx="6">
                  <c:v>3.5384609557121895E-2</c:v>
                </c:pt>
                <c:pt idx="7">
                  <c:v>3.3637585353548438E-2</c:v>
                </c:pt>
                <c:pt idx="8">
                  <c:v>3.0467613070430406E-2</c:v>
                </c:pt>
                <c:pt idx="9">
                  <c:v>2.8266815231295303E-2</c:v>
                </c:pt>
                <c:pt idx="10">
                  <c:v>2.5283531419564759E-2</c:v>
                </c:pt>
                <c:pt idx="11">
                  <c:v>2.2151221912782033E-2</c:v>
                </c:pt>
                <c:pt idx="12">
                  <c:v>2.1055848121872261E-2</c:v>
                </c:pt>
                <c:pt idx="13">
                  <c:v>1.7812343090934792E-2</c:v>
                </c:pt>
                <c:pt idx="14">
                  <c:v>1.5537939137786672E-2</c:v>
                </c:pt>
                <c:pt idx="15">
                  <c:v>1.6406009882232519E-2</c:v>
                </c:pt>
                <c:pt idx="16">
                  <c:v>1.4079344228423329E-2</c:v>
                </c:pt>
                <c:pt idx="17">
                  <c:v>1.4006781154253401E-2</c:v>
                </c:pt>
                <c:pt idx="18">
                  <c:v>0.12201259744755591</c:v>
                </c:pt>
                <c:pt idx="19">
                  <c:v>3.2833751907420362E-2</c:v>
                </c:pt>
                <c:pt idx="20">
                  <c:v>2.8121853685674901E-2</c:v>
                </c:pt>
                <c:pt idx="21">
                  <c:v>4.1680980668162067E-2</c:v>
                </c:pt>
                <c:pt idx="22">
                  <c:v>3.5237689487998734E-2</c:v>
                </c:pt>
                <c:pt idx="23">
                  <c:v>3.5154854212195039E-2</c:v>
                </c:pt>
                <c:pt idx="24">
                  <c:v>2.8930800701811893E-2</c:v>
                </c:pt>
                <c:pt idx="25">
                  <c:v>2.1510974908763719E-2</c:v>
                </c:pt>
                <c:pt idx="26">
                  <c:v>2.4687548438908278E-2</c:v>
                </c:pt>
                <c:pt idx="27">
                  <c:v>1.2866110721769811E-2</c:v>
                </c:pt>
                <c:pt idx="28">
                  <c:v>1.8101798650829677E-2</c:v>
                </c:pt>
                <c:pt idx="29">
                  <c:v>1.4526626652419217E-2</c:v>
                </c:pt>
                <c:pt idx="30">
                  <c:v>1.2266837793110174E-2</c:v>
                </c:pt>
                <c:pt idx="31">
                  <c:v>1.1787236440546611E-2</c:v>
                </c:pt>
                <c:pt idx="32">
                  <c:v>8.9176350993564937E-3</c:v>
                </c:pt>
                <c:pt idx="33">
                  <c:v>1.3344931263022847E-2</c:v>
                </c:pt>
                <c:pt idx="34">
                  <c:v>9.5279096664907699E-3</c:v>
                </c:pt>
                <c:pt idx="35">
                  <c:v>6.4294300063962688E-3</c:v>
                </c:pt>
                <c:pt idx="36">
                  <c:v>6.1628279410508007E-3</c:v>
                </c:pt>
                <c:pt idx="37">
                  <c:v>4.6081948975220726E-3</c:v>
                </c:pt>
                <c:pt idx="38">
                  <c:v>5.2672189202168616E-3</c:v>
                </c:pt>
                <c:pt idx="39">
                  <c:v>4.4307623351464084E-3</c:v>
                </c:pt>
                <c:pt idx="40">
                  <c:v>4.4469413517308253E-3</c:v>
                </c:pt>
                <c:pt idx="41">
                  <c:v>3.6175728117433283E-3</c:v>
                </c:pt>
                <c:pt idx="42">
                  <c:v>2.6073380628803566E-3</c:v>
                </c:pt>
                <c:pt idx="43">
                  <c:v>3.2878897951599834E-3</c:v>
                </c:pt>
                <c:pt idx="44">
                  <c:v>2.3913549797502614E-3</c:v>
                </c:pt>
                <c:pt idx="45">
                  <c:v>2.8542998880355824E-3</c:v>
                </c:pt>
                <c:pt idx="46">
                  <c:v>2.755970967073348E-3</c:v>
                </c:pt>
                <c:pt idx="47">
                  <c:v>2.4824351850223744E-3</c:v>
                </c:pt>
                <c:pt idx="48">
                  <c:v>2.1554630676807606E-3</c:v>
                </c:pt>
                <c:pt idx="49">
                  <c:v>3.1173591320779611E-3</c:v>
                </c:pt>
                <c:pt idx="50">
                  <c:v>1.6699834110575616E-3</c:v>
                </c:pt>
                <c:pt idx="51">
                  <c:v>1.5339468622178607E-3</c:v>
                </c:pt>
                <c:pt idx="52">
                  <c:v>1.4057283867527945E-3</c:v>
                </c:pt>
                <c:pt idx="53">
                  <c:v>1.5170333767540198E-3</c:v>
                </c:pt>
                <c:pt idx="54">
                  <c:v>1.315505914100135E-3</c:v>
                </c:pt>
                <c:pt idx="55">
                  <c:v>1.1264690824916539E-3</c:v>
                </c:pt>
                <c:pt idx="56">
                  <c:v>1.1057740042423041E-3</c:v>
                </c:pt>
                <c:pt idx="57">
                  <c:v>8.4220755577644102E-4</c:v>
                </c:pt>
                <c:pt idx="58">
                  <c:v>1.2266240914705618E-3</c:v>
                </c:pt>
                <c:pt idx="59">
                  <c:v>9.0460872314928155E-4</c:v>
                </c:pt>
                <c:pt idx="60">
                  <c:v>8.623443702777037E-4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3.3002917508857768E-2</c:v>
                </c:pt>
                <c:pt idx="1">
                  <c:v>5.6307505392293629E-2</c:v>
                </c:pt>
                <c:pt idx="2">
                  <c:v>5.8695532575694383E-2</c:v>
                </c:pt>
                <c:pt idx="3">
                  <c:v>9.7013422472779096E-2</c:v>
                </c:pt>
                <c:pt idx="4">
                  <c:v>0.18803542031521206</c:v>
                </c:pt>
                <c:pt idx="5">
                  <c:v>8.9868904327683727E-2</c:v>
                </c:pt>
                <c:pt idx="6">
                  <c:v>0.10698932365645929</c:v>
                </c:pt>
                <c:pt idx="7">
                  <c:v>8.6745635356909379E-2</c:v>
                </c:pt>
                <c:pt idx="8">
                  <c:v>4.0614525094790611E-2</c:v>
                </c:pt>
                <c:pt idx="9">
                  <c:v>2.558747267793016E-2</c:v>
                </c:pt>
                <c:pt idx="10">
                  <c:v>6.9293528856708211E-2</c:v>
                </c:pt>
                <c:pt idx="11">
                  <c:v>1.887642628104674E-2</c:v>
                </c:pt>
                <c:pt idx="12">
                  <c:v>1.358509470802244E-2</c:v>
                </c:pt>
                <c:pt idx="13">
                  <c:v>1.2821977035172835E-2</c:v>
                </c:pt>
                <c:pt idx="14">
                  <c:v>6.2991970692787029E-3</c:v>
                </c:pt>
                <c:pt idx="15">
                  <c:v>9.9269798065905208E-3</c:v>
                </c:pt>
                <c:pt idx="16">
                  <c:v>8.6996728631704226E-3</c:v>
                </c:pt>
                <c:pt idx="17">
                  <c:v>1.4009534165986584E-2</c:v>
                </c:pt>
                <c:pt idx="18">
                  <c:v>1.5253503865507643E-2</c:v>
                </c:pt>
                <c:pt idx="19">
                  <c:v>4.5944733573741207E-3</c:v>
                </c:pt>
                <c:pt idx="20">
                  <c:v>6.3578166303427741E-3</c:v>
                </c:pt>
                <c:pt idx="21">
                  <c:v>4.7172411067765638E-3</c:v>
                </c:pt>
                <c:pt idx="22">
                  <c:v>4.4260177767830701E-3</c:v>
                </c:pt>
                <c:pt idx="23">
                  <c:v>5.7961590886962486E-3</c:v>
                </c:pt>
                <c:pt idx="24">
                  <c:v>1.5115561072714481E-3</c:v>
                </c:pt>
                <c:pt idx="25">
                  <c:v>1.2645963083644E-3</c:v>
                </c:pt>
                <c:pt idx="26">
                  <c:v>4.0365064043205301E-4</c:v>
                </c:pt>
                <c:pt idx="27">
                  <c:v>2.8578463701409659E-3</c:v>
                </c:pt>
                <c:pt idx="28">
                  <c:v>1.8317804399917315E-3</c:v>
                </c:pt>
                <c:pt idx="29">
                  <c:v>8.9284526438880216E-4</c:v>
                </c:pt>
                <c:pt idx="30">
                  <c:v>0</c:v>
                </c:pt>
                <c:pt idx="31">
                  <c:v>4.9578957916005504E-4</c:v>
                </c:pt>
                <c:pt idx="32">
                  <c:v>1.2819194689799393E-4</c:v>
                </c:pt>
                <c:pt idx="33">
                  <c:v>9.6718777203385145E-4</c:v>
                </c:pt>
                <c:pt idx="34">
                  <c:v>6.7610980625911164E-3</c:v>
                </c:pt>
                <c:pt idx="35">
                  <c:v>6.1173313172016867E-4</c:v>
                </c:pt>
                <c:pt idx="36">
                  <c:v>0</c:v>
                </c:pt>
                <c:pt idx="37">
                  <c:v>1.648766731029229E-4</c:v>
                </c:pt>
                <c:pt idx="38">
                  <c:v>9.6416415419641171E-4</c:v>
                </c:pt>
                <c:pt idx="39">
                  <c:v>1.4299693205245885E-3</c:v>
                </c:pt>
                <c:pt idx="40">
                  <c:v>0</c:v>
                </c:pt>
                <c:pt idx="41">
                  <c:v>0</c:v>
                </c:pt>
                <c:pt idx="42">
                  <c:v>2.5499406287262619E-4</c:v>
                </c:pt>
                <c:pt idx="43">
                  <c:v>6.3858571714947836E-4</c:v>
                </c:pt>
                <c:pt idx="44">
                  <c:v>3.117797563518088E-4</c:v>
                </c:pt>
                <c:pt idx="45">
                  <c:v>2.766257567489554E-4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4.4607575561073375E-4</c:v>
                </c:pt>
                <c:pt idx="53">
                  <c:v>3.6944361598241738E-6</c:v>
                </c:pt>
                <c:pt idx="54">
                  <c:v>0</c:v>
                </c:pt>
                <c:pt idx="55">
                  <c:v>0</c:v>
                </c:pt>
                <c:pt idx="56">
                  <c:v>1.9945983993852241E-4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0.1451556796250083</c:v>
                </c:pt>
                <c:pt idx="1">
                  <c:v>0.12865081391958455</c:v>
                </c:pt>
                <c:pt idx="2">
                  <c:v>7.9065907115129369E-2</c:v>
                </c:pt>
                <c:pt idx="3">
                  <c:v>4.856413566536967E-2</c:v>
                </c:pt>
                <c:pt idx="4">
                  <c:v>0.14777652307927786</c:v>
                </c:pt>
                <c:pt idx="5">
                  <c:v>7.4330672840005232E-2</c:v>
                </c:pt>
                <c:pt idx="6">
                  <c:v>6.877614967820915E-2</c:v>
                </c:pt>
                <c:pt idx="7">
                  <c:v>4.3473583630169767E-2</c:v>
                </c:pt>
                <c:pt idx="8">
                  <c:v>4.2188468936550524E-2</c:v>
                </c:pt>
                <c:pt idx="9">
                  <c:v>2.2913361160160579E-2</c:v>
                </c:pt>
                <c:pt idx="10">
                  <c:v>2.300187460801608E-2</c:v>
                </c:pt>
                <c:pt idx="11">
                  <c:v>1.9255701535937444E-2</c:v>
                </c:pt>
                <c:pt idx="12">
                  <c:v>1.9009372681442482E-2</c:v>
                </c:pt>
                <c:pt idx="13">
                  <c:v>1.4176571169687856E-2</c:v>
                </c:pt>
                <c:pt idx="14">
                  <c:v>1.326567468941693E-2</c:v>
                </c:pt>
                <c:pt idx="15">
                  <c:v>1.4128004784105841E-2</c:v>
                </c:pt>
                <c:pt idx="16">
                  <c:v>1.6073578833813371E-2</c:v>
                </c:pt>
                <c:pt idx="17">
                  <c:v>1.2795903375863183E-2</c:v>
                </c:pt>
                <c:pt idx="18">
                  <c:v>7.9071205012614387E-3</c:v>
                </c:pt>
                <c:pt idx="19">
                  <c:v>6.4572936333544854E-3</c:v>
                </c:pt>
                <c:pt idx="20">
                  <c:v>7.0522565129877745E-3</c:v>
                </c:pt>
                <c:pt idx="21">
                  <c:v>5.6168726757572767E-3</c:v>
                </c:pt>
                <c:pt idx="22">
                  <c:v>4.1912431696516546E-3</c:v>
                </c:pt>
                <c:pt idx="23">
                  <c:v>4.0449146333368944E-3</c:v>
                </c:pt>
                <c:pt idx="24">
                  <c:v>4.1689977325348807E-3</c:v>
                </c:pt>
                <c:pt idx="25">
                  <c:v>3.4001453315511466E-3</c:v>
                </c:pt>
                <c:pt idx="26">
                  <c:v>2.8261478433122579E-3</c:v>
                </c:pt>
                <c:pt idx="27">
                  <c:v>3.1286402869187247E-3</c:v>
                </c:pt>
                <c:pt idx="28">
                  <c:v>2.496289779871803E-3</c:v>
                </c:pt>
                <c:pt idx="29">
                  <c:v>2.5703840012764809E-3</c:v>
                </c:pt>
                <c:pt idx="30">
                  <c:v>1.8084753642706836E-3</c:v>
                </c:pt>
                <c:pt idx="31">
                  <c:v>1.5651073960602873E-3</c:v>
                </c:pt>
                <c:pt idx="32">
                  <c:v>1.4841224934946443E-3</c:v>
                </c:pt>
                <c:pt idx="33">
                  <c:v>1.1376999303692103E-3</c:v>
                </c:pt>
                <c:pt idx="34">
                  <c:v>9.3881379540812038E-4</c:v>
                </c:pt>
                <c:pt idx="35">
                  <c:v>8.142352373369478E-4</c:v>
                </c:pt>
                <c:pt idx="36">
                  <c:v>8.1051545068454344E-4</c:v>
                </c:pt>
                <c:pt idx="37">
                  <c:v>5.5052264805410117E-4</c:v>
                </c:pt>
                <c:pt idx="38">
                  <c:v>6.0637462174833599E-4</c:v>
                </c:pt>
                <c:pt idx="39">
                  <c:v>6.8914513320398121E-4</c:v>
                </c:pt>
                <c:pt idx="40">
                  <c:v>4.0083514725736705E-4</c:v>
                </c:pt>
                <c:pt idx="41">
                  <c:v>4.9794458190203085E-4</c:v>
                </c:pt>
                <c:pt idx="42">
                  <c:v>3.2879888399680023E-4</c:v>
                </c:pt>
                <c:pt idx="43">
                  <c:v>2.4081622287856367E-4</c:v>
                </c:pt>
                <c:pt idx="44">
                  <c:v>2.1431342441618689E-4</c:v>
                </c:pt>
                <c:pt idx="45">
                  <c:v>2.1899037708918024E-4</c:v>
                </c:pt>
                <c:pt idx="46">
                  <c:v>1.9365640494343805E-4</c:v>
                </c:pt>
                <c:pt idx="47">
                  <c:v>1.0974270044633802E-4</c:v>
                </c:pt>
                <c:pt idx="48">
                  <c:v>8.558508587375204E-5</c:v>
                </c:pt>
                <c:pt idx="49">
                  <c:v>1.6986505947522024E-4</c:v>
                </c:pt>
                <c:pt idx="50">
                  <c:v>8.2341274272142788E-5</c:v>
                </c:pt>
                <c:pt idx="51">
                  <c:v>5.2068737956456939E-5</c:v>
                </c:pt>
                <c:pt idx="52">
                  <c:v>5.6117738197733299E-5</c:v>
                </c:pt>
                <c:pt idx="53">
                  <c:v>8.2333813233147923E-5</c:v>
                </c:pt>
                <c:pt idx="54">
                  <c:v>1.0363384717508483E-4</c:v>
                </c:pt>
                <c:pt idx="55">
                  <c:v>3.266850029886983E-5</c:v>
                </c:pt>
                <c:pt idx="56">
                  <c:v>3.4673448106845926E-5</c:v>
                </c:pt>
                <c:pt idx="57">
                  <c:v>6.5421256897561623E-5</c:v>
                </c:pt>
                <c:pt idx="58">
                  <c:v>2.444099971760229E-5</c:v>
                </c:pt>
                <c:pt idx="59">
                  <c:v>1.653661478364701E-5</c:v>
                </c:pt>
                <c:pt idx="60">
                  <c:v>3.2889502582231362E-5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5.1645030969883401E-3</c:v>
                </c:pt>
                <c:pt idx="1">
                  <c:v>6.1512934716305197E-3</c:v>
                </c:pt>
                <c:pt idx="2">
                  <c:v>6.1599232138814693E-3</c:v>
                </c:pt>
                <c:pt idx="3">
                  <c:v>8.9576542149645434E-3</c:v>
                </c:pt>
                <c:pt idx="4">
                  <c:v>1.2637098679265307E-2</c:v>
                </c:pt>
                <c:pt idx="5">
                  <c:v>1.4072213702253828E-2</c:v>
                </c:pt>
                <c:pt idx="6">
                  <c:v>1.4396306717130568E-2</c:v>
                </c:pt>
                <c:pt idx="7">
                  <c:v>1.908532223430388E-2</c:v>
                </c:pt>
                <c:pt idx="8">
                  <c:v>1.0623944813816446E-2</c:v>
                </c:pt>
                <c:pt idx="9">
                  <c:v>2.0791191375690424E-2</c:v>
                </c:pt>
                <c:pt idx="10">
                  <c:v>1.0471630261524591E-2</c:v>
                </c:pt>
                <c:pt idx="11">
                  <c:v>1.4943443346575925E-2</c:v>
                </c:pt>
                <c:pt idx="12">
                  <c:v>2.1489871541964266E-2</c:v>
                </c:pt>
                <c:pt idx="13">
                  <c:v>1.2274959959544607E-2</c:v>
                </c:pt>
                <c:pt idx="14">
                  <c:v>1.5914639550305025E-2</c:v>
                </c:pt>
                <c:pt idx="15">
                  <c:v>9.1979157512538951E-3</c:v>
                </c:pt>
                <c:pt idx="16">
                  <c:v>4.309808516079916E-2</c:v>
                </c:pt>
                <c:pt idx="17">
                  <c:v>1.6604835931584339E-2</c:v>
                </c:pt>
                <c:pt idx="18">
                  <c:v>8.3280003089701821E-2</c:v>
                </c:pt>
                <c:pt idx="19">
                  <c:v>3.3432086276516983E-2</c:v>
                </c:pt>
                <c:pt idx="20">
                  <c:v>5.6313133079049997E-2</c:v>
                </c:pt>
                <c:pt idx="21">
                  <c:v>5.7880051313527657E-2</c:v>
                </c:pt>
                <c:pt idx="22">
                  <c:v>4.2702172456846703E-2</c:v>
                </c:pt>
                <c:pt idx="23">
                  <c:v>2.4401217588933103E-2</c:v>
                </c:pt>
                <c:pt idx="24">
                  <c:v>3.9747039382930782E-2</c:v>
                </c:pt>
                <c:pt idx="25">
                  <c:v>4.0006255230759923E-2</c:v>
                </c:pt>
                <c:pt idx="26">
                  <c:v>5.4729637009397973E-2</c:v>
                </c:pt>
                <c:pt idx="27">
                  <c:v>1.2321045521130376E-2</c:v>
                </c:pt>
                <c:pt idx="28">
                  <c:v>2.9414536389487336E-2</c:v>
                </c:pt>
                <c:pt idx="29">
                  <c:v>2.8277627720174611E-2</c:v>
                </c:pt>
                <c:pt idx="30">
                  <c:v>1.0756295208275443E-2</c:v>
                </c:pt>
                <c:pt idx="31">
                  <c:v>1.2670117208746509E-2</c:v>
                </c:pt>
                <c:pt idx="32">
                  <c:v>9.3843474123203631E-3</c:v>
                </c:pt>
                <c:pt idx="33">
                  <c:v>9.5293851576014436E-3</c:v>
                </c:pt>
                <c:pt idx="34">
                  <c:v>1.8923966884096578E-2</c:v>
                </c:pt>
                <c:pt idx="35">
                  <c:v>4.5801693702826511E-3</c:v>
                </c:pt>
                <c:pt idx="36">
                  <c:v>7.1096586836436439E-3</c:v>
                </c:pt>
                <c:pt idx="37">
                  <c:v>1.0790483960131091E-2</c:v>
                </c:pt>
                <c:pt idx="38">
                  <c:v>8.4641644005295329E-3</c:v>
                </c:pt>
                <c:pt idx="39">
                  <c:v>6.4487685130528768E-3</c:v>
                </c:pt>
                <c:pt idx="40">
                  <c:v>3.1879036347039745E-3</c:v>
                </c:pt>
                <c:pt idx="41">
                  <c:v>4.1418197264450731E-3</c:v>
                </c:pt>
                <c:pt idx="42">
                  <c:v>3.3451985397053761E-3</c:v>
                </c:pt>
                <c:pt idx="43">
                  <c:v>1.587674726566817E-3</c:v>
                </c:pt>
                <c:pt idx="44">
                  <c:v>4.556915391801938E-3</c:v>
                </c:pt>
                <c:pt idx="45">
                  <c:v>4.8901550131140357E-2</c:v>
                </c:pt>
                <c:pt idx="46">
                  <c:v>4.2009790072001282E-3</c:v>
                </c:pt>
                <c:pt idx="47">
                  <c:v>8.6818041271543981E-4</c:v>
                </c:pt>
                <c:pt idx="48">
                  <c:v>6.2866263164710065E-3</c:v>
                </c:pt>
                <c:pt idx="49">
                  <c:v>2.3801045978379199E-3</c:v>
                </c:pt>
                <c:pt idx="50">
                  <c:v>2.6119479031090485E-4</c:v>
                </c:pt>
                <c:pt idx="51">
                  <c:v>2.4518255475528073E-3</c:v>
                </c:pt>
                <c:pt idx="52">
                  <c:v>7.3852144461299173E-4</c:v>
                </c:pt>
                <c:pt idx="53">
                  <c:v>1.0671982268045308E-3</c:v>
                </c:pt>
                <c:pt idx="54">
                  <c:v>9.7973341398017153E-4</c:v>
                </c:pt>
                <c:pt idx="55">
                  <c:v>1.8123722670677458E-3</c:v>
                </c:pt>
                <c:pt idx="56">
                  <c:v>5.5390061442666733E-5</c:v>
                </c:pt>
                <c:pt idx="57">
                  <c:v>4.6899183107104257E-3</c:v>
                </c:pt>
                <c:pt idx="58">
                  <c:v>1.3518909812850251E-3</c:v>
                </c:pt>
                <c:pt idx="59">
                  <c:v>8.4832267277625841E-4</c:v>
                </c:pt>
                <c:pt idx="60">
                  <c:v>1.4147514805686529E-3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6.5628640083524791E-3</c:v>
                </c:pt>
                <c:pt idx="1">
                  <c:v>2.337530949481862E-2</c:v>
                </c:pt>
                <c:pt idx="2">
                  <c:v>2.9206059811539554E-2</c:v>
                </c:pt>
                <c:pt idx="3">
                  <c:v>3.2520240157672756E-2</c:v>
                </c:pt>
                <c:pt idx="4">
                  <c:v>3.4871383710208675E-2</c:v>
                </c:pt>
                <c:pt idx="5">
                  <c:v>3.4722380643962249E-2</c:v>
                </c:pt>
                <c:pt idx="6">
                  <c:v>3.2389483322103819E-2</c:v>
                </c:pt>
                <c:pt idx="7">
                  <c:v>3.0918343402377493E-2</c:v>
                </c:pt>
                <c:pt idx="8">
                  <c:v>2.8499823691551834E-2</c:v>
                </c:pt>
                <c:pt idx="9">
                  <c:v>2.5736337610844526E-2</c:v>
                </c:pt>
                <c:pt idx="10">
                  <c:v>2.3347681407905958E-2</c:v>
                </c:pt>
                <c:pt idx="11">
                  <c:v>2.0193329758613814E-2</c:v>
                </c:pt>
                <c:pt idx="12">
                  <c:v>1.7984476514746547E-2</c:v>
                </c:pt>
                <c:pt idx="13">
                  <c:v>1.5960512064765522E-2</c:v>
                </c:pt>
                <c:pt idx="14">
                  <c:v>1.3425827831189327E-2</c:v>
                </c:pt>
                <c:pt idx="15">
                  <c:v>1.3677514290600731E-2</c:v>
                </c:pt>
                <c:pt idx="16">
                  <c:v>1.1900093309907709E-2</c:v>
                </c:pt>
                <c:pt idx="17">
                  <c:v>1.0406025983502931E-2</c:v>
                </c:pt>
                <c:pt idx="18">
                  <c:v>0.10174902618709952</c:v>
                </c:pt>
                <c:pt idx="19">
                  <c:v>3.201383974688695E-2</c:v>
                </c:pt>
                <c:pt idx="20">
                  <c:v>2.9091804368660445E-2</c:v>
                </c:pt>
                <c:pt idx="21">
                  <c:v>4.4091312597357511E-2</c:v>
                </c:pt>
                <c:pt idx="22">
                  <c:v>3.380994095192117E-2</c:v>
                </c:pt>
                <c:pt idx="23">
                  <c:v>3.2660155733984966E-2</c:v>
                </c:pt>
                <c:pt idx="24">
                  <c:v>2.6269625071853694E-2</c:v>
                </c:pt>
                <c:pt idx="25">
                  <c:v>2.0981635828746348E-2</c:v>
                </c:pt>
                <c:pt idx="26">
                  <c:v>2.2628353366929484E-2</c:v>
                </c:pt>
                <c:pt idx="27">
                  <c:v>1.4818900237875221E-2</c:v>
                </c:pt>
                <c:pt idx="28">
                  <c:v>1.743582180608835E-2</c:v>
                </c:pt>
                <c:pt idx="29">
                  <c:v>1.7555581534380214E-2</c:v>
                </c:pt>
                <c:pt idx="30">
                  <c:v>1.6471822030303816E-2</c:v>
                </c:pt>
                <c:pt idx="31">
                  <c:v>1.425376830303015E-2</c:v>
                </c:pt>
                <c:pt idx="32">
                  <c:v>9.7105002387958429E-3</c:v>
                </c:pt>
                <c:pt idx="33">
                  <c:v>1.6382503474856043E-2</c:v>
                </c:pt>
                <c:pt idx="34">
                  <c:v>1.3209397092691129E-2</c:v>
                </c:pt>
                <c:pt idx="35">
                  <c:v>9.896512236228925E-3</c:v>
                </c:pt>
                <c:pt idx="36">
                  <c:v>9.8490267240800133E-3</c:v>
                </c:pt>
                <c:pt idx="37">
                  <c:v>7.6080166223451802E-3</c:v>
                </c:pt>
                <c:pt idx="38">
                  <c:v>6.9980829875254278E-3</c:v>
                </c:pt>
                <c:pt idx="39">
                  <c:v>7.5660859909281678E-3</c:v>
                </c:pt>
                <c:pt idx="40">
                  <c:v>1.0680413465960961E-2</c:v>
                </c:pt>
                <c:pt idx="41">
                  <c:v>4.9223005982574446E-3</c:v>
                </c:pt>
                <c:pt idx="42">
                  <c:v>4.2459483842105256E-3</c:v>
                </c:pt>
                <c:pt idx="43">
                  <c:v>4.9025384717997864E-3</c:v>
                </c:pt>
                <c:pt idx="44">
                  <c:v>4.4992029807359741E-3</c:v>
                </c:pt>
                <c:pt idx="45">
                  <c:v>4.4309258692624611E-3</c:v>
                </c:pt>
                <c:pt idx="46">
                  <c:v>4.1832813596305004E-3</c:v>
                </c:pt>
                <c:pt idx="47">
                  <c:v>3.9044136762901444E-3</c:v>
                </c:pt>
                <c:pt idx="48">
                  <c:v>4.2769422956992036E-3</c:v>
                </c:pt>
                <c:pt idx="49">
                  <c:v>2.9845613266491653E-3</c:v>
                </c:pt>
                <c:pt idx="50">
                  <c:v>2.0520616811554467E-3</c:v>
                </c:pt>
                <c:pt idx="51">
                  <c:v>2.9400800286963108E-3</c:v>
                </c:pt>
                <c:pt idx="52">
                  <c:v>1.9328780258602027E-3</c:v>
                </c:pt>
                <c:pt idx="53">
                  <c:v>2.0725493382435932E-3</c:v>
                </c:pt>
                <c:pt idx="54">
                  <c:v>1.6256973124906312E-3</c:v>
                </c:pt>
                <c:pt idx="55">
                  <c:v>1.5314406454207054E-3</c:v>
                </c:pt>
                <c:pt idx="56">
                  <c:v>2.1623419995356295E-3</c:v>
                </c:pt>
                <c:pt idx="57">
                  <c:v>1.3207391811412199E-3</c:v>
                </c:pt>
                <c:pt idx="58">
                  <c:v>1.6311338664233743E-3</c:v>
                </c:pt>
                <c:pt idx="59">
                  <c:v>1.5212157853694041E-3</c:v>
                </c:pt>
                <c:pt idx="60">
                  <c:v>1.0881789216316729E-3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4.6236776287227423E-2</c:v>
                </c:pt>
                <c:pt idx="1">
                  <c:v>5.5250373803324829E-2</c:v>
                </c:pt>
                <c:pt idx="2">
                  <c:v>5.4676008544177361E-2</c:v>
                </c:pt>
                <c:pt idx="3">
                  <c:v>0.10375520218227008</c:v>
                </c:pt>
                <c:pt idx="4">
                  <c:v>0.16719262715896963</c:v>
                </c:pt>
                <c:pt idx="5">
                  <c:v>0.11247916584262117</c:v>
                </c:pt>
                <c:pt idx="6">
                  <c:v>0.10637190774336562</c:v>
                </c:pt>
                <c:pt idx="7">
                  <c:v>5.2288370337056474E-2</c:v>
                </c:pt>
                <c:pt idx="8">
                  <c:v>4.4333120987080712E-2</c:v>
                </c:pt>
                <c:pt idx="9">
                  <c:v>3.4065074345841204E-2</c:v>
                </c:pt>
                <c:pt idx="10">
                  <c:v>6.4809027817503001E-2</c:v>
                </c:pt>
                <c:pt idx="11">
                  <c:v>1.9865062069024664E-2</c:v>
                </c:pt>
                <c:pt idx="12">
                  <c:v>1.7768425516007387E-2</c:v>
                </c:pt>
                <c:pt idx="13">
                  <c:v>9.7992022281244012E-3</c:v>
                </c:pt>
                <c:pt idx="14">
                  <c:v>1.0027525123324804E-2</c:v>
                </c:pt>
                <c:pt idx="15">
                  <c:v>9.5597876220541011E-3</c:v>
                </c:pt>
                <c:pt idx="16">
                  <c:v>1.676873476910256E-2</c:v>
                </c:pt>
                <c:pt idx="17">
                  <c:v>7.719047744009974E-3</c:v>
                </c:pt>
                <c:pt idx="18">
                  <c:v>7.9193555086085887E-3</c:v>
                </c:pt>
                <c:pt idx="19">
                  <c:v>1.0177924592792873E-2</c:v>
                </c:pt>
                <c:pt idx="20">
                  <c:v>4.810063850485451E-3</c:v>
                </c:pt>
                <c:pt idx="21">
                  <c:v>5.0168059821366524E-3</c:v>
                </c:pt>
                <c:pt idx="22">
                  <c:v>6.9866698410087948E-3</c:v>
                </c:pt>
                <c:pt idx="23">
                  <c:v>7.8409471073127499E-3</c:v>
                </c:pt>
                <c:pt idx="24">
                  <c:v>5.843594384326616E-4</c:v>
                </c:pt>
                <c:pt idx="25">
                  <c:v>9.4437427219455487E-4</c:v>
                </c:pt>
                <c:pt idx="26">
                  <c:v>7.5274374559130793E-4</c:v>
                </c:pt>
                <c:pt idx="27">
                  <c:v>1.3154828742594183E-3</c:v>
                </c:pt>
                <c:pt idx="28">
                  <c:v>1.8273382394998537E-3</c:v>
                </c:pt>
                <c:pt idx="29">
                  <c:v>5.7160245319095053E-4</c:v>
                </c:pt>
                <c:pt idx="30">
                  <c:v>8.638885626260852E-4</c:v>
                </c:pt>
                <c:pt idx="31">
                  <c:v>1.4660043288270705E-3</c:v>
                </c:pt>
                <c:pt idx="32">
                  <c:v>5.5446143996892719E-4</c:v>
                </c:pt>
                <c:pt idx="33">
                  <c:v>1.0555975859775479E-3</c:v>
                </c:pt>
                <c:pt idx="34">
                  <c:v>7.8911416509754712E-4</c:v>
                </c:pt>
                <c:pt idx="35">
                  <c:v>8.1596731247037218E-4</c:v>
                </c:pt>
                <c:pt idx="36">
                  <c:v>5.9099308238915252E-4</c:v>
                </c:pt>
                <c:pt idx="37">
                  <c:v>3.1086440969103018E-4</c:v>
                </c:pt>
                <c:pt idx="38">
                  <c:v>2.5015606542897654E-6</c:v>
                </c:pt>
                <c:pt idx="39">
                  <c:v>2.1566497253746605E-4</c:v>
                </c:pt>
                <c:pt idx="40">
                  <c:v>1.1050656854427181E-3</c:v>
                </c:pt>
                <c:pt idx="41">
                  <c:v>1.3455651905487605E-3</c:v>
                </c:pt>
                <c:pt idx="42">
                  <c:v>0</c:v>
                </c:pt>
                <c:pt idx="43">
                  <c:v>7.8192604757303344E-5</c:v>
                </c:pt>
                <c:pt idx="44">
                  <c:v>6.1284429473405712E-4</c:v>
                </c:pt>
                <c:pt idx="45">
                  <c:v>0</c:v>
                </c:pt>
                <c:pt idx="46">
                  <c:v>8.3422744392536228E-4</c:v>
                </c:pt>
                <c:pt idx="47">
                  <c:v>2.8040254591594309E-3</c:v>
                </c:pt>
                <c:pt idx="48">
                  <c:v>1.1647348669123168E-4</c:v>
                </c:pt>
                <c:pt idx="49">
                  <c:v>2.2153250016249796E-4</c:v>
                </c:pt>
                <c:pt idx="50">
                  <c:v>2.4742904908839076E-4</c:v>
                </c:pt>
                <c:pt idx="51">
                  <c:v>5.1582922070878976E-5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4.1805770107798695E-4</c:v>
                </c:pt>
                <c:pt idx="57">
                  <c:v>3.5663458588991079E-4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0.17928024764085004</c:v>
                </c:pt>
                <c:pt idx="1">
                  <c:v>0.13318083647939272</c:v>
                </c:pt>
                <c:pt idx="2">
                  <c:v>7.8799514648044494E-2</c:v>
                </c:pt>
                <c:pt idx="3">
                  <c:v>4.7545673225154725E-2</c:v>
                </c:pt>
                <c:pt idx="4">
                  <c:v>0.13996143304647951</c:v>
                </c:pt>
                <c:pt idx="5">
                  <c:v>7.4730646237913811E-2</c:v>
                </c:pt>
                <c:pt idx="6">
                  <c:v>6.6416031047895799E-2</c:v>
                </c:pt>
                <c:pt idx="7">
                  <c:v>4.2932888235548743E-2</c:v>
                </c:pt>
                <c:pt idx="8">
                  <c:v>4.4454484974050502E-2</c:v>
                </c:pt>
                <c:pt idx="9">
                  <c:v>2.2645678711475038E-2</c:v>
                </c:pt>
                <c:pt idx="10">
                  <c:v>2.2776044091353954E-2</c:v>
                </c:pt>
                <c:pt idx="11">
                  <c:v>1.6824010608991736E-2</c:v>
                </c:pt>
                <c:pt idx="12">
                  <c:v>1.7570371298317396E-2</c:v>
                </c:pt>
                <c:pt idx="13">
                  <c:v>1.2060480861269773E-2</c:v>
                </c:pt>
                <c:pt idx="14">
                  <c:v>1.2602943875777119E-2</c:v>
                </c:pt>
                <c:pt idx="15">
                  <c:v>1.3189820835558525E-2</c:v>
                </c:pt>
                <c:pt idx="16">
                  <c:v>1.312956344086456E-2</c:v>
                </c:pt>
                <c:pt idx="17">
                  <c:v>1.0009610300923512E-2</c:v>
                </c:pt>
                <c:pt idx="18">
                  <c:v>6.9664424285122619E-3</c:v>
                </c:pt>
                <c:pt idx="19">
                  <c:v>5.4890199094475636E-3</c:v>
                </c:pt>
                <c:pt idx="20">
                  <c:v>5.3290143186682289E-3</c:v>
                </c:pt>
                <c:pt idx="21">
                  <c:v>4.4539300700310912E-3</c:v>
                </c:pt>
                <c:pt idx="22">
                  <c:v>3.5057502877172083E-3</c:v>
                </c:pt>
                <c:pt idx="23">
                  <c:v>3.2915600626011892E-3</c:v>
                </c:pt>
                <c:pt idx="24">
                  <c:v>3.2508439947217765E-3</c:v>
                </c:pt>
                <c:pt idx="25">
                  <c:v>2.8602364459228429E-3</c:v>
                </c:pt>
                <c:pt idx="26">
                  <c:v>2.1759246018333541E-3</c:v>
                </c:pt>
                <c:pt idx="27">
                  <c:v>2.146761872925011E-3</c:v>
                </c:pt>
                <c:pt idx="28">
                  <c:v>1.6802439367284434E-3</c:v>
                </c:pt>
                <c:pt idx="29">
                  <c:v>1.6893705647611145E-3</c:v>
                </c:pt>
                <c:pt idx="30">
                  <c:v>1.4147002661810178E-3</c:v>
                </c:pt>
                <c:pt idx="31">
                  <c:v>1.025604151566414E-3</c:v>
                </c:pt>
                <c:pt idx="32">
                  <c:v>9.7085222051636127E-4</c:v>
                </c:pt>
                <c:pt idx="33">
                  <c:v>7.0090148050638899E-4</c:v>
                </c:pt>
                <c:pt idx="34">
                  <c:v>6.4301138096972243E-4</c:v>
                </c:pt>
                <c:pt idx="35">
                  <c:v>5.8166712053667918E-4</c:v>
                </c:pt>
                <c:pt idx="36">
                  <c:v>6.3875103585843776E-4</c:v>
                </c:pt>
                <c:pt idx="37">
                  <c:v>3.5520000797349362E-4</c:v>
                </c:pt>
                <c:pt idx="38">
                  <c:v>4.274863183073916E-4</c:v>
                </c:pt>
                <c:pt idx="39">
                  <c:v>4.3457184355882855E-4</c:v>
                </c:pt>
                <c:pt idx="40">
                  <c:v>3.3098751155891907E-4</c:v>
                </c:pt>
                <c:pt idx="41">
                  <c:v>3.0739394809356767E-4</c:v>
                </c:pt>
                <c:pt idx="42">
                  <c:v>1.593372125939984E-4</c:v>
                </c:pt>
                <c:pt idx="43">
                  <c:v>9.7053343256912525E-5</c:v>
                </c:pt>
                <c:pt idx="44">
                  <c:v>1.2041925867816264E-4</c:v>
                </c:pt>
                <c:pt idx="45">
                  <c:v>1.0411819010608522E-4</c:v>
                </c:pt>
                <c:pt idx="46">
                  <c:v>8.6802251202930595E-5</c:v>
                </c:pt>
                <c:pt idx="47">
                  <c:v>8.521477782445197E-5</c:v>
                </c:pt>
                <c:pt idx="48">
                  <c:v>7.5720452744081388E-5</c:v>
                </c:pt>
                <c:pt idx="49">
                  <c:v>7.0443599537906452E-5</c:v>
                </c:pt>
                <c:pt idx="50">
                  <c:v>3.5695481459926516E-5</c:v>
                </c:pt>
                <c:pt idx="51">
                  <c:v>6.0847158951951064E-5</c:v>
                </c:pt>
                <c:pt idx="52">
                  <c:v>4.7132289516234522E-5</c:v>
                </c:pt>
                <c:pt idx="53">
                  <c:v>2.5232468424423526E-5</c:v>
                </c:pt>
                <c:pt idx="54">
                  <c:v>4.0004542348645681E-5</c:v>
                </c:pt>
                <c:pt idx="55">
                  <c:v>3.1468102966068869E-5</c:v>
                </c:pt>
                <c:pt idx="56">
                  <c:v>2.5620019772368799E-5</c:v>
                </c:pt>
                <c:pt idx="57">
                  <c:v>4.8715019729424132E-5</c:v>
                </c:pt>
                <c:pt idx="58">
                  <c:v>2.1883408864793683E-5</c:v>
                </c:pt>
                <c:pt idx="59">
                  <c:v>1.7377370838153357E-5</c:v>
                </c:pt>
                <c:pt idx="60">
                  <c:v>5.404375730466307E-6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2.8933720157589254E-3</c:v>
                </c:pt>
                <c:pt idx="2">
                  <c:v>3.4795066537710953E-3</c:v>
                </c:pt>
                <c:pt idx="3">
                  <c:v>7.6095222191293133E-3</c:v>
                </c:pt>
                <c:pt idx="4">
                  <c:v>7.5149476247249334E-3</c:v>
                </c:pt>
                <c:pt idx="5">
                  <c:v>1.8764804394540573E-2</c:v>
                </c:pt>
                <c:pt idx="6">
                  <c:v>1.5462678678827998E-2</c:v>
                </c:pt>
                <c:pt idx="7">
                  <c:v>1.4350377164324468E-2</c:v>
                </c:pt>
                <c:pt idx="8">
                  <c:v>8.9998730959956977E-3</c:v>
                </c:pt>
                <c:pt idx="9">
                  <c:v>1.4539372732777448E-2</c:v>
                </c:pt>
                <c:pt idx="10">
                  <c:v>7.072178165728818E-3</c:v>
                </c:pt>
                <c:pt idx="11">
                  <c:v>1.6701373641807567E-2</c:v>
                </c:pt>
                <c:pt idx="12">
                  <c:v>1.1070971096952426E-2</c:v>
                </c:pt>
                <c:pt idx="13">
                  <c:v>2.2485768677039667E-2</c:v>
                </c:pt>
                <c:pt idx="14">
                  <c:v>1.6325877670931199E-2</c:v>
                </c:pt>
                <c:pt idx="15">
                  <c:v>9.7475462501301052E-3</c:v>
                </c:pt>
                <c:pt idx="16">
                  <c:v>3.9666973529359328E-2</c:v>
                </c:pt>
                <c:pt idx="17">
                  <c:v>2.5362533890850938E-2</c:v>
                </c:pt>
                <c:pt idx="18">
                  <c:v>6.1678818505154685E-2</c:v>
                </c:pt>
                <c:pt idx="19">
                  <c:v>4.5446814365543424E-2</c:v>
                </c:pt>
                <c:pt idx="20">
                  <c:v>6.1393222011641824E-2</c:v>
                </c:pt>
                <c:pt idx="21">
                  <c:v>6.3266255877520952E-2</c:v>
                </c:pt>
                <c:pt idx="22">
                  <c:v>3.6770334226551751E-2</c:v>
                </c:pt>
                <c:pt idx="23">
                  <c:v>2.754551980728601E-2</c:v>
                </c:pt>
                <c:pt idx="24">
                  <c:v>4.381531254847975E-2</c:v>
                </c:pt>
                <c:pt idx="25">
                  <c:v>1.9479266874167345E-2</c:v>
                </c:pt>
                <c:pt idx="26">
                  <c:v>6.1202465064054655E-2</c:v>
                </c:pt>
                <c:pt idx="27">
                  <c:v>1.3086557031743617E-2</c:v>
                </c:pt>
                <c:pt idx="28">
                  <c:v>1.8462286928969847E-2</c:v>
                </c:pt>
                <c:pt idx="29">
                  <c:v>1.8183095976323154E-2</c:v>
                </c:pt>
                <c:pt idx="30">
                  <c:v>6.8204279497087253E-3</c:v>
                </c:pt>
                <c:pt idx="31">
                  <c:v>1.366257793300696E-2</c:v>
                </c:pt>
                <c:pt idx="32">
                  <c:v>8.0993101653116101E-3</c:v>
                </c:pt>
                <c:pt idx="33">
                  <c:v>1.5001690132754824E-2</c:v>
                </c:pt>
                <c:pt idx="34">
                  <c:v>2.0537579518927478E-2</c:v>
                </c:pt>
                <c:pt idx="35">
                  <c:v>1.3589959456011389E-2</c:v>
                </c:pt>
                <c:pt idx="36">
                  <c:v>6.356419636551299E-3</c:v>
                </c:pt>
                <c:pt idx="37">
                  <c:v>1.3471190402816528E-2</c:v>
                </c:pt>
                <c:pt idx="38">
                  <c:v>1.2081172076688984E-2</c:v>
                </c:pt>
                <c:pt idx="39">
                  <c:v>5.6186942476181686E-3</c:v>
                </c:pt>
                <c:pt idx="40">
                  <c:v>9.6391589117468448E-3</c:v>
                </c:pt>
                <c:pt idx="41">
                  <c:v>9.6491634720670127E-3</c:v>
                </c:pt>
                <c:pt idx="42">
                  <c:v>2.7075393227497897E-3</c:v>
                </c:pt>
                <c:pt idx="43">
                  <c:v>2.4621368015688896E-3</c:v>
                </c:pt>
                <c:pt idx="44">
                  <c:v>3.0364921776072666E-3</c:v>
                </c:pt>
                <c:pt idx="45">
                  <c:v>5.3198214529758488E-2</c:v>
                </c:pt>
                <c:pt idx="46">
                  <c:v>3.5657827547294946E-3</c:v>
                </c:pt>
                <c:pt idx="47">
                  <c:v>2.7591273444230124E-3</c:v>
                </c:pt>
                <c:pt idx="48">
                  <c:v>6.0076489034505771E-4</c:v>
                </c:pt>
                <c:pt idx="49">
                  <c:v>1.7309595829634609E-3</c:v>
                </c:pt>
                <c:pt idx="50">
                  <c:v>1.523978981023303E-3</c:v>
                </c:pt>
                <c:pt idx="51">
                  <c:v>7.6373747073917649E-4</c:v>
                </c:pt>
                <c:pt idx="52">
                  <c:v>9.260706199473881E-4</c:v>
                </c:pt>
                <c:pt idx="53">
                  <c:v>1.9454162142719632E-3</c:v>
                </c:pt>
                <c:pt idx="54">
                  <c:v>3.657664843737096E-3</c:v>
                </c:pt>
                <c:pt idx="55">
                  <c:v>0</c:v>
                </c:pt>
                <c:pt idx="56">
                  <c:v>1.0391057027146218E-3</c:v>
                </c:pt>
                <c:pt idx="57">
                  <c:v>8.4804016581307388E-4</c:v>
                </c:pt>
                <c:pt idx="58">
                  <c:v>3.2429833554041641E-3</c:v>
                </c:pt>
                <c:pt idx="59">
                  <c:v>2.8526089276259864E-3</c:v>
                </c:pt>
                <c:pt idx="60">
                  <c:v>2.7126113779701744E-3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8.9696356391212421E-3</c:v>
                </c:pt>
                <c:pt idx="1">
                  <c:v>2.791026490921231E-2</c:v>
                </c:pt>
                <c:pt idx="2">
                  <c:v>3.2261031727567016E-2</c:v>
                </c:pt>
                <c:pt idx="3">
                  <c:v>3.4976112310629963E-2</c:v>
                </c:pt>
                <c:pt idx="4">
                  <c:v>3.5644612070358489E-2</c:v>
                </c:pt>
                <c:pt idx="5">
                  <c:v>3.5584464619722457E-2</c:v>
                </c:pt>
                <c:pt idx="6">
                  <c:v>3.3840656864004046E-2</c:v>
                </c:pt>
                <c:pt idx="7">
                  <c:v>3.1365091089399985E-2</c:v>
                </c:pt>
                <c:pt idx="8">
                  <c:v>2.8761058490577002E-2</c:v>
                </c:pt>
                <c:pt idx="9">
                  <c:v>2.6125529115047664E-2</c:v>
                </c:pt>
                <c:pt idx="10">
                  <c:v>2.3551202576091688E-2</c:v>
                </c:pt>
                <c:pt idx="11">
                  <c:v>2.0542032842397012E-2</c:v>
                </c:pt>
                <c:pt idx="12">
                  <c:v>1.8866720900746523E-2</c:v>
                </c:pt>
                <c:pt idx="13">
                  <c:v>1.639863668372761E-2</c:v>
                </c:pt>
                <c:pt idx="14">
                  <c:v>1.4493867387300855E-2</c:v>
                </c:pt>
                <c:pt idx="15">
                  <c:v>1.3867002117913805E-2</c:v>
                </c:pt>
                <c:pt idx="16">
                  <c:v>1.2399172727738059E-2</c:v>
                </c:pt>
                <c:pt idx="17">
                  <c:v>1.0741363824968127E-2</c:v>
                </c:pt>
                <c:pt idx="18">
                  <c:v>9.5542490140950523E-2</c:v>
                </c:pt>
                <c:pt idx="19">
                  <c:v>3.2633142288872853E-2</c:v>
                </c:pt>
                <c:pt idx="20">
                  <c:v>2.743099032918388E-2</c:v>
                </c:pt>
                <c:pt idx="21">
                  <c:v>4.3588395047101894E-2</c:v>
                </c:pt>
                <c:pt idx="22">
                  <c:v>3.3503009807947702E-2</c:v>
                </c:pt>
                <c:pt idx="23">
                  <c:v>3.1940818637915883E-2</c:v>
                </c:pt>
                <c:pt idx="24">
                  <c:v>2.5960811147599242E-2</c:v>
                </c:pt>
                <c:pt idx="25">
                  <c:v>2.1236866601085775E-2</c:v>
                </c:pt>
                <c:pt idx="26">
                  <c:v>2.2693541172501559E-2</c:v>
                </c:pt>
                <c:pt idx="27">
                  <c:v>1.3942491092223829E-2</c:v>
                </c:pt>
                <c:pt idx="28">
                  <c:v>1.679132572506694E-2</c:v>
                </c:pt>
                <c:pt idx="29">
                  <c:v>1.784046191953011E-2</c:v>
                </c:pt>
                <c:pt idx="30">
                  <c:v>1.4921099742159428E-2</c:v>
                </c:pt>
                <c:pt idx="31">
                  <c:v>1.3655340708068311E-2</c:v>
                </c:pt>
                <c:pt idx="32">
                  <c:v>9.6122618626779607E-3</c:v>
                </c:pt>
                <c:pt idx="33">
                  <c:v>1.4962467393658052E-2</c:v>
                </c:pt>
                <c:pt idx="34">
                  <c:v>1.2864310318296221E-2</c:v>
                </c:pt>
                <c:pt idx="35">
                  <c:v>8.8466722673815074E-3</c:v>
                </c:pt>
                <c:pt idx="36">
                  <c:v>9.2570894865536667E-3</c:v>
                </c:pt>
                <c:pt idx="37">
                  <c:v>6.6516428615811312E-3</c:v>
                </c:pt>
                <c:pt idx="38">
                  <c:v>6.568782128445221E-3</c:v>
                </c:pt>
                <c:pt idx="39">
                  <c:v>6.8664328166143504E-3</c:v>
                </c:pt>
                <c:pt idx="40">
                  <c:v>9.7240499974779095E-3</c:v>
                </c:pt>
                <c:pt idx="41">
                  <c:v>4.3775100823579619E-3</c:v>
                </c:pt>
                <c:pt idx="42">
                  <c:v>4.0381789504571443E-3</c:v>
                </c:pt>
                <c:pt idx="43">
                  <c:v>4.2896378840867871E-3</c:v>
                </c:pt>
                <c:pt idx="44">
                  <c:v>4.1102171951164571E-3</c:v>
                </c:pt>
                <c:pt idx="45">
                  <c:v>3.9352728698423562E-3</c:v>
                </c:pt>
                <c:pt idx="46">
                  <c:v>3.5896009303787849E-3</c:v>
                </c:pt>
                <c:pt idx="47">
                  <c:v>3.3925015253738564E-3</c:v>
                </c:pt>
                <c:pt idx="48">
                  <c:v>3.3433655856137351E-3</c:v>
                </c:pt>
                <c:pt idx="49">
                  <c:v>2.6352721374284498E-3</c:v>
                </c:pt>
                <c:pt idx="50">
                  <c:v>1.9942284831262077E-3</c:v>
                </c:pt>
                <c:pt idx="51">
                  <c:v>2.7383752784047128E-3</c:v>
                </c:pt>
                <c:pt idx="52">
                  <c:v>1.7274094638143947E-3</c:v>
                </c:pt>
                <c:pt idx="53">
                  <c:v>1.8555457669139049E-3</c:v>
                </c:pt>
                <c:pt idx="54">
                  <c:v>1.4719693657029036E-3</c:v>
                </c:pt>
                <c:pt idx="55">
                  <c:v>1.3436407702950061E-3</c:v>
                </c:pt>
                <c:pt idx="56">
                  <c:v>1.8797298705948331E-3</c:v>
                </c:pt>
                <c:pt idx="57">
                  <c:v>1.2918257736479392E-3</c:v>
                </c:pt>
                <c:pt idx="58">
                  <c:v>1.6240209895285354E-3</c:v>
                </c:pt>
                <c:pt idx="59">
                  <c:v>1.4258690674774947E-3</c:v>
                </c:pt>
                <c:pt idx="60">
                  <c:v>1.078704262863507E-3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5.5843831184551433E-2</c:v>
                </c:pt>
                <c:pt idx="1">
                  <c:v>6.2462572276479902E-2</c:v>
                </c:pt>
                <c:pt idx="2">
                  <c:v>6.9899523237605454E-2</c:v>
                </c:pt>
                <c:pt idx="3">
                  <c:v>0.11114010146962439</c:v>
                </c:pt>
                <c:pt idx="4">
                  <c:v>0.20382237910013989</c:v>
                </c:pt>
                <c:pt idx="5">
                  <c:v>0.11340717592690662</c:v>
                </c:pt>
                <c:pt idx="6">
                  <c:v>0.11607164937768556</c:v>
                </c:pt>
                <c:pt idx="7">
                  <c:v>5.2801367708764986E-2</c:v>
                </c:pt>
                <c:pt idx="8">
                  <c:v>4.051973667103146E-2</c:v>
                </c:pt>
                <c:pt idx="9">
                  <c:v>2.2950711339252135E-2</c:v>
                </c:pt>
                <c:pt idx="10">
                  <c:v>5.6812597017551425E-2</c:v>
                </c:pt>
                <c:pt idx="11">
                  <c:v>7.5573865957259088E-3</c:v>
                </c:pt>
                <c:pt idx="12">
                  <c:v>1.102687590890921E-2</c:v>
                </c:pt>
                <c:pt idx="13">
                  <c:v>6.9940630980751886E-3</c:v>
                </c:pt>
                <c:pt idx="14">
                  <c:v>9.5890045541807481E-3</c:v>
                </c:pt>
                <c:pt idx="15">
                  <c:v>9.008858124204806E-3</c:v>
                </c:pt>
                <c:pt idx="16">
                  <c:v>1.232955382937851E-2</c:v>
                </c:pt>
                <c:pt idx="17">
                  <c:v>4.3465495237543202E-3</c:v>
                </c:pt>
                <c:pt idx="18">
                  <c:v>4.9252410689496059E-3</c:v>
                </c:pt>
                <c:pt idx="19">
                  <c:v>2.8459160297066954E-3</c:v>
                </c:pt>
                <c:pt idx="20">
                  <c:v>3.9615823579337841E-3</c:v>
                </c:pt>
                <c:pt idx="21">
                  <c:v>1.6383971625726849E-3</c:v>
                </c:pt>
                <c:pt idx="22">
                  <c:v>2.6966692081005594E-3</c:v>
                </c:pt>
                <c:pt idx="23">
                  <c:v>1.3602373180612709E-3</c:v>
                </c:pt>
                <c:pt idx="24">
                  <c:v>1.2281179872400667E-3</c:v>
                </c:pt>
                <c:pt idx="25">
                  <c:v>2.1405507397082805E-3</c:v>
                </c:pt>
                <c:pt idx="26">
                  <c:v>1.3601822349799603E-3</c:v>
                </c:pt>
                <c:pt idx="27">
                  <c:v>8.0181218823552184E-4</c:v>
                </c:pt>
                <c:pt idx="28">
                  <c:v>3.5433606580560539E-4</c:v>
                </c:pt>
                <c:pt idx="29">
                  <c:v>2.134711774934021E-4</c:v>
                </c:pt>
                <c:pt idx="30">
                  <c:v>2.6219467130926311E-4</c:v>
                </c:pt>
                <c:pt idx="31">
                  <c:v>1.1100622944222771E-3</c:v>
                </c:pt>
                <c:pt idx="32">
                  <c:v>1.27997476059289E-3</c:v>
                </c:pt>
                <c:pt idx="33">
                  <c:v>1.3903445790619358E-4</c:v>
                </c:pt>
                <c:pt idx="34">
                  <c:v>1.2365773466281113E-4</c:v>
                </c:pt>
                <c:pt idx="35">
                  <c:v>4.9345150652888687E-4</c:v>
                </c:pt>
                <c:pt idx="36">
                  <c:v>3.136826037058863E-4</c:v>
                </c:pt>
                <c:pt idx="37">
                  <c:v>0</c:v>
                </c:pt>
                <c:pt idx="38">
                  <c:v>3.2032352671131607E-4</c:v>
                </c:pt>
                <c:pt idx="39">
                  <c:v>3.2710400076910195E-4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2.2629981209936507E-6</c:v>
                </c:pt>
                <c:pt idx="44">
                  <c:v>2.5047666381381711E-3</c:v>
                </c:pt>
                <c:pt idx="45">
                  <c:v>1.2335490858160023E-4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5.7750724904701034E-4</c:v>
                </c:pt>
                <c:pt idx="51">
                  <c:v>0</c:v>
                </c:pt>
                <c:pt idx="52">
                  <c:v>0</c:v>
                </c:pt>
                <c:pt idx="53">
                  <c:v>2.5779088628579013E-4</c:v>
                </c:pt>
                <c:pt idx="54">
                  <c:v>9.194749395880714E-4</c:v>
                </c:pt>
                <c:pt idx="55">
                  <c:v>0</c:v>
                </c:pt>
                <c:pt idx="56">
                  <c:v>3.2942431541475945E-4</c:v>
                </c:pt>
                <c:pt idx="57">
                  <c:v>2.8055078443233204E-4</c:v>
                </c:pt>
                <c:pt idx="58">
                  <c:v>0</c:v>
                </c:pt>
                <c:pt idx="59">
                  <c:v>1.1068447151613751E-4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0.20892520479121104</c:v>
                </c:pt>
                <c:pt idx="1">
                  <c:v>0.13532668136806866</c:v>
                </c:pt>
                <c:pt idx="2">
                  <c:v>8.0652440735645967E-2</c:v>
                </c:pt>
                <c:pt idx="3">
                  <c:v>4.8277797821483122E-2</c:v>
                </c:pt>
                <c:pt idx="4">
                  <c:v>0.13065560850352809</c:v>
                </c:pt>
                <c:pt idx="5">
                  <c:v>7.1888409673512441E-2</c:v>
                </c:pt>
                <c:pt idx="6">
                  <c:v>6.2609812161244907E-2</c:v>
                </c:pt>
                <c:pt idx="7">
                  <c:v>4.0906533146756574E-2</c:v>
                </c:pt>
                <c:pt idx="8">
                  <c:v>4.2426581757580101E-2</c:v>
                </c:pt>
                <c:pt idx="9">
                  <c:v>2.2335998113734747E-2</c:v>
                </c:pt>
                <c:pt idx="10">
                  <c:v>2.5974210872970242E-2</c:v>
                </c:pt>
                <c:pt idx="11">
                  <c:v>1.5973585438169364E-2</c:v>
                </c:pt>
                <c:pt idx="12">
                  <c:v>1.8246962358365905E-2</c:v>
                </c:pt>
                <c:pt idx="13">
                  <c:v>1.2937424071293195E-2</c:v>
                </c:pt>
                <c:pt idx="14">
                  <c:v>1.0621271484053629E-2</c:v>
                </c:pt>
                <c:pt idx="15">
                  <c:v>1.2563954726701861E-2</c:v>
                </c:pt>
                <c:pt idx="16">
                  <c:v>1.3513074547608906E-2</c:v>
                </c:pt>
                <c:pt idx="17">
                  <c:v>8.8974591858267341E-3</c:v>
                </c:pt>
                <c:pt idx="18">
                  <c:v>4.8742573129986859E-3</c:v>
                </c:pt>
                <c:pt idx="19">
                  <c:v>3.9243632124336672E-3</c:v>
                </c:pt>
                <c:pt idx="20">
                  <c:v>4.7064682708030207E-3</c:v>
                </c:pt>
                <c:pt idx="21">
                  <c:v>3.468449222926568E-3</c:v>
                </c:pt>
                <c:pt idx="22">
                  <c:v>2.2997634907780951E-3</c:v>
                </c:pt>
                <c:pt idx="23">
                  <c:v>2.3712535822221449E-3</c:v>
                </c:pt>
                <c:pt idx="24">
                  <c:v>2.2813717639368946E-3</c:v>
                </c:pt>
                <c:pt idx="25">
                  <c:v>1.9223945880748404E-3</c:v>
                </c:pt>
                <c:pt idx="26">
                  <c:v>1.4245911549645319E-3</c:v>
                </c:pt>
                <c:pt idx="27">
                  <c:v>1.5876281249008718E-3</c:v>
                </c:pt>
                <c:pt idx="28">
                  <c:v>1.0445113128018239E-3</c:v>
                </c:pt>
                <c:pt idx="29">
                  <c:v>1.2199788159898426E-3</c:v>
                </c:pt>
                <c:pt idx="30">
                  <c:v>9.3720365651489296E-4</c:v>
                </c:pt>
                <c:pt idx="31">
                  <c:v>8.3821751991447371E-4</c:v>
                </c:pt>
                <c:pt idx="32">
                  <c:v>5.7068907108645203E-4</c:v>
                </c:pt>
                <c:pt idx="33">
                  <c:v>5.4585437943761774E-4</c:v>
                </c:pt>
                <c:pt idx="34">
                  <c:v>4.0559879259624749E-4</c:v>
                </c:pt>
                <c:pt idx="35">
                  <c:v>4.002081070665049E-4</c:v>
                </c:pt>
                <c:pt idx="36">
                  <c:v>4.5185023325780338E-4</c:v>
                </c:pt>
                <c:pt idx="37">
                  <c:v>2.6867446623779219E-4</c:v>
                </c:pt>
                <c:pt idx="38">
                  <c:v>3.0323456831778562E-4</c:v>
                </c:pt>
                <c:pt idx="39">
                  <c:v>2.3792317064808143E-4</c:v>
                </c:pt>
                <c:pt idx="40">
                  <c:v>1.6283587997392292E-4</c:v>
                </c:pt>
                <c:pt idx="41">
                  <c:v>1.837991075803475E-4</c:v>
                </c:pt>
                <c:pt idx="42">
                  <c:v>1.2282733061917597E-4</c:v>
                </c:pt>
                <c:pt idx="43">
                  <c:v>8.2176736453355703E-5</c:v>
                </c:pt>
                <c:pt idx="44">
                  <c:v>1.1331094041671709E-4</c:v>
                </c:pt>
                <c:pt idx="45">
                  <c:v>5.7506230376035144E-5</c:v>
                </c:pt>
                <c:pt idx="46">
                  <c:v>5.5342674490395427E-5</c:v>
                </c:pt>
                <c:pt idx="47">
                  <c:v>5.5898248073066096E-5</c:v>
                </c:pt>
                <c:pt idx="48">
                  <c:v>6.5851675650656683E-5</c:v>
                </c:pt>
                <c:pt idx="49">
                  <c:v>5.4701332556096522E-5</c:v>
                </c:pt>
                <c:pt idx="50">
                  <c:v>3.6300108503442377E-5</c:v>
                </c:pt>
                <c:pt idx="51">
                  <c:v>3.5472432860557106E-5</c:v>
                </c:pt>
                <c:pt idx="52">
                  <c:v>4.5845200742073028E-5</c:v>
                </c:pt>
                <c:pt idx="53">
                  <c:v>1.4159130313496484E-5</c:v>
                </c:pt>
                <c:pt idx="54">
                  <c:v>1.3870008580414749E-5</c:v>
                </c:pt>
                <c:pt idx="55">
                  <c:v>1.2836273424756163E-5</c:v>
                </c:pt>
                <c:pt idx="56">
                  <c:v>1.1071780902386019E-6</c:v>
                </c:pt>
                <c:pt idx="57">
                  <c:v>6.3782830933957117E-6</c:v>
                </c:pt>
                <c:pt idx="58">
                  <c:v>2.5850612935596928E-6</c:v>
                </c:pt>
                <c:pt idx="59">
                  <c:v>3.6905936341286727E-7</c:v>
                </c:pt>
                <c:pt idx="60">
                  <c:v>1.2533148886624971E-5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9.4990692580052547E-4</c:v>
                </c:pt>
                <c:pt idx="1">
                  <c:v>9.0592393102139354E-4</c:v>
                </c:pt>
                <c:pt idx="2">
                  <c:v>3.7555370150790246E-3</c:v>
                </c:pt>
                <c:pt idx="3">
                  <c:v>9.2962583154463617E-3</c:v>
                </c:pt>
                <c:pt idx="4">
                  <c:v>1.2330218942352561E-2</c:v>
                </c:pt>
                <c:pt idx="5">
                  <c:v>2.6595062208307031E-2</c:v>
                </c:pt>
                <c:pt idx="6">
                  <c:v>1.1864694141534061E-2</c:v>
                </c:pt>
                <c:pt idx="7">
                  <c:v>1.9685706655212486E-2</c:v>
                </c:pt>
                <c:pt idx="8">
                  <c:v>8.1640696444560054E-3</c:v>
                </c:pt>
                <c:pt idx="9">
                  <c:v>2.0641499816105299E-2</c:v>
                </c:pt>
                <c:pt idx="10">
                  <c:v>7.0399576025592424E-3</c:v>
                </c:pt>
                <c:pt idx="11">
                  <c:v>9.5120949407863521E-3</c:v>
                </c:pt>
                <c:pt idx="12">
                  <c:v>2.1429520218760351E-2</c:v>
                </c:pt>
                <c:pt idx="13">
                  <c:v>2.58173402585994E-2</c:v>
                </c:pt>
                <c:pt idx="14">
                  <c:v>1.3724267989209392E-2</c:v>
                </c:pt>
                <c:pt idx="15">
                  <c:v>1.2639615540393192E-2</c:v>
                </c:pt>
                <c:pt idx="16">
                  <c:v>4.0796368096260069E-2</c:v>
                </c:pt>
                <c:pt idx="17">
                  <c:v>2.9102649840886993E-2</c:v>
                </c:pt>
                <c:pt idx="18">
                  <c:v>8.9242469226963037E-2</c:v>
                </c:pt>
                <c:pt idx="19">
                  <c:v>4.4579412272870378E-2</c:v>
                </c:pt>
                <c:pt idx="20">
                  <c:v>7.2085903372928223E-2</c:v>
                </c:pt>
                <c:pt idx="21">
                  <c:v>6.5547818675991285E-2</c:v>
                </c:pt>
                <c:pt idx="22">
                  <c:v>4.1096056494361946E-2</c:v>
                </c:pt>
                <c:pt idx="23">
                  <c:v>3.1916072637966336E-2</c:v>
                </c:pt>
                <c:pt idx="24">
                  <c:v>3.8844868219717436E-2</c:v>
                </c:pt>
                <c:pt idx="25">
                  <c:v>1.5450675528489447E-2</c:v>
                </c:pt>
                <c:pt idx="26">
                  <c:v>5.9790824529366772E-2</c:v>
                </c:pt>
                <c:pt idx="27">
                  <c:v>8.6045985266105639E-3</c:v>
                </c:pt>
                <c:pt idx="28">
                  <c:v>1.7686097225813019E-2</c:v>
                </c:pt>
                <c:pt idx="29">
                  <c:v>9.3578355915040819E-3</c:v>
                </c:pt>
                <c:pt idx="30">
                  <c:v>9.6040592423160282E-3</c:v>
                </c:pt>
                <c:pt idx="31">
                  <c:v>5.5177195494510783E-3</c:v>
                </c:pt>
                <c:pt idx="32">
                  <c:v>1.2989816029893159E-2</c:v>
                </c:pt>
                <c:pt idx="33">
                  <c:v>5.6005963004291167E-3</c:v>
                </c:pt>
                <c:pt idx="34">
                  <c:v>1.1647286306960105E-2</c:v>
                </c:pt>
                <c:pt idx="35">
                  <c:v>8.7487515238437799E-3</c:v>
                </c:pt>
                <c:pt idx="36">
                  <c:v>4.3319464199289993E-3</c:v>
                </c:pt>
                <c:pt idx="37">
                  <c:v>1.2987423456141196E-2</c:v>
                </c:pt>
                <c:pt idx="38">
                  <c:v>8.6691901106968113E-3</c:v>
                </c:pt>
                <c:pt idx="39">
                  <c:v>1.904760059749912E-3</c:v>
                </c:pt>
                <c:pt idx="40">
                  <c:v>2.9584281789222133E-3</c:v>
                </c:pt>
                <c:pt idx="41">
                  <c:v>3.4237307940261441E-3</c:v>
                </c:pt>
                <c:pt idx="42">
                  <c:v>1.3905428964656797E-3</c:v>
                </c:pt>
                <c:pt idx="43">
                  <c:v>1.3268743886028166E-3</c:v>
                </c:pt>
                <c:pt idx="44">
                  <c:v>1.6432720008175111E-3</c:v>
                </c:pt>
                <c:pt idx="45">
                  <c:v>4.9569683486680456E-2</c:v>
                </c:pt>
                <c:pt idx="46">
                  <c:v>4.6453454986251641E-3</c:v>
                </c:pt>
                <c:pt idx="47">
                  <c:v>1.4252711263155163E-3</c:v>
                </c:pt>
                <c:pt idx="48">
                  <c:v>9.1450246881070475E-4</c:v>
                </c:pt>
                <c:pt idx="49">
                  <c:v>1.9581662115165238E-3</c:v>
                </c:pt>
                <c:pt idx="50">
                  <c:v>5.2143196242836057E-4</c:v>
                </c:pt>
                <c:pt idx="51">
                  <c:v>4.010301906371896E-4</c:v>
                </c:pt>
                <c:pt idx="52">
                  <c:v>6.3170344773330767E-3</c:v>
                </c:pt>
                <c:pt idx="53">
                  <c:v>7.2680702200471001E-4</c:v>
                </c:pt>
                <c:pt idx="54">
                  <c:v>2.8651111012567695E-3</c:v>
                </c:pt>
                <c:pt idx="55">
                  <c:v>3.2658952105125787E-4</c:v>
                </c:pt>
                <c:pt idx="56">
                  <c:v>5.240235581600786E-5</c:v>
                </c:pt>
                <c:pt idx="57">
                  <c:v>7.768342583079086E-4</c:v>
                </c:pt>
                <c:pt idx="58">
                  <c:v>2.4068932868501623E-3</c:v>
                </c:pt>
                <c:pt idx="59">
                  <c:v>7.4110882243809731E-4</c:v>
                </c:pt>
                <c:pt idx="60">
                  <c:v>2.981915721074666E-3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1.5018720910572238E-2</c:v>
                </c:pt>
                <c:pt idx="1">
                  <c:v>3.4774385872218247E-2</c:v>
                </c:pt>
                <c:pt idx="2">
                  <c:v>3.5971488459224946E-2</c:v>
                </c:pt>
                <c:pt idx="3">
                  <c:v>3.7107860972833355E-2</c:v>
                </c:pt>
                <c:pt idx="4">
                  <c:v>3.8335184660298505E-2</c:v>
                </c:pt>
                <c:pt idx="5">
                  <c:v>3.7149056790886488E-2</c:v>
                </c:pt>
                <c:pt idx="6">
                  <c:v>3.5038689282912941E-2</c:v>
                </c:pt>
                <c:pt idx="7">
                  <c:v>3.2084356861792063E-2</c:v>
                </c:pt>
                <c:pt idx="8">
                  <c:v>2.9092363647231945E-2</c:v>
                </c:pt>
                <c:pt idx="9">
                  <c:v>2.5795028701808494E-2</c:v>
                </c:pt>
                <c:pt idx="10">
                  <c:v>2.3533231288333095E-2</c:v>
                </c:pt>
                <c:pt idx="11">
                  <c:v>2.1048663570045551E-2</c:v>
                </c:pt>
                <c:pt idx="12">
                  <c:v>1.8818542808875145E-2</c:v>
                </c:pt>
                <c:pt idx="13">
                  <c:v>1.7496994474544208E-2</c:v>
                </c:pt>
                <c:pt idx="14">
                  <c:v>1.4653730545151983E-2</c:v>
                </c:pt>
                <c:pt idx="15">
                  <c:v>1.4108497128656437E-2</c:v>
                </c:pt>
                <c:pt idx="16">
                  <c:v>1.2454377237368043E-2</c:v>
                </c:pt>
                <c:pt idx="17">
                  <c:v>1.0915092573353774E-2</c:v>
                </c:pt>
                <c:pt idx="18">
                  <c:v>8.7615901312591435E-2</c:v>
                </c:pt>
                <c:pt idx="19">
                  <c:v>3.1601159103761378E-2</c:v>
                </c:pt>
                <c:pt idx="20">
                  <c:v>2.7308298154749461E-2</c:v>
                </c:pt>
                <c:pt idx="21">
                  <c:v>3.955256558662705E-2</c:v>
                </c:pt>
                <c:pt idx="22">
                  <c:v>3.1081896223171868E-2</c:v>
                </c:pt>
                <c:pt idx="23">
                  <c:v>3.0469985266775874E-2</c:v>
                </c:pt>
                <c:pt idx="24">
                  <c:v>2.321167233519476E-2</c:v>
                </c:pt>
                <c:pt idx="25">
                  <c:v>1.9393093250969631E-2</c:v>
                </c:pt>
                <c:pt idx="26">
                  <c:v>2.2043127390807327E-2</c:v>
                </c:pt>
                <c:pt idx="27">
                  <c:v>1.4633935533049494E-2</c:v>
                </c:pt>
                <c:pt idx="28">
                  <c:v>1.5706451759597846E-2</c:v>
                </c:pt>
                <c:pt idx="29">
                  <c:v>1.711308128586227E-2</c:v>
                </c:pt>
                <c:pt idx="30">
                  <c:v>1.5861759714395043E-2</c:v>
                </c:pt>
                <c:pt idx="31">
                  <c:v>1.4911591596569308E-2</c:v>
                </c:pt>
                <c:pt idx="32">
                  <c:v>9.0246639548384033E-3</c:v>
                </c:pt>
                <c:pt idx="33">
                  <c:v>1.8999326754969854E-2</c:v>
                </c:pt>
                <c:pt idx="34">
                  <c:v>1.3358221161182402E-2</c:v>
                </c:pt>
                <c:pt idx="35">
                  <c:v>7.7319051853637858E-3</c:v>
                </c:pt>
                <c:pt idx="36">
                  <c:v>8.7759954129450375E-3</c:v>
                </c:pt>
                <c:pt idx="37">
                  <c:v>5.7731296576659921E-3</c:v>
                </c:pt>
                <c:pt idx="38">
                  <c:v>5.9729573668470971E-3</c:v>
                </c:pt>
                <c:pt idx="39">
                  <c:v>6.8010208835386507E-3</c:v>
                </c:pt>
                <c:pt idx="40">
                  <c:v>9.692887691384891E-3</c:v>
                </c:pt>
                <c:pt idx="41">
                  <c:v>3.5538437266785842E-3</c:v>
                </c:pt>
                <c:pt idx="42">
                  <c:v>3.239511857171798E-3</c:v>
                </c:pt>
                <c:pt idx="43">
                  <c:v>3.7205148696817748E-3</c:v>
                </c:pt>
                <c:pt idx="44">
                  <c:v>3.6930675781463793E-3</c:v>
                </c:pt>
                <c:pt idx="45">
                  <c:v>3.280875877705335E-3</c:v>
                </c:pt>
                <c:pt idx="46">
                  <c:v>2.8791337123389876E-3</c:v>
                </c:pt>
                <c:pt idx="47">
                  <c:v>3.03046493803995E-3</c:v>
                </c:pt>
                <c:pt idx="48">
                  <c:v>3.947665486578978E-3</c:v>
                </c:pt>
                <c:pt idx="49">
                  <c:v>2.447181342063729E-3</c:v>
                </c:pt>
                <c:pt idx="50">
                  <c:v>1.5719228626983068E-3</c:v>
                </c:pt>
                <c:pt idx="51">
                  <c:v>2.6533762214509828E-3</c:v>
                </c:pt>
                <c:pt idx="52">
                  <c:v>1.4794117207659573E-3</c:v>
                </c:pt>
                <c:pt idx="53">
                  <c:v>1.4694762851423611E-3</c:v>
                </c:pt>
                <c:pt idx="54">
                  <c:v>1.1200039262717169E-3</c:v>
                </c:pt>
                <c:pt idx="55">
                  <c:v>1.1302778980915584E-3</c:v>
                </c:pt>
                <c:pt idx="56">
                  <c:v>2.1124755999732112E-3</c:v>
                </c:pt>
                <c:pt idx="57">
                  <c:v>9.4423202641570278E-4</c:v>
                </c:pt>
                <c:pt idx="58">
                  <c:v>1.3504357369259644E-3</c:v>
                </c:pt>
                <c:pt idx="59">
                  <c:v>1.4208999885670166E-3</c:v>
                </c:pt>
                <c:pt idx="60">
                  <c:v>8.008237585049613E-4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0.12049175269376761</c:v>
                </c:pt>
                <c:pt idx="1">
                  <c:v>8.0779756980852269E-2</c:v>
                </c:pt>
                <c:pt idx="2">
                  <c:v>6.8001725294796408E-2</c:v>
                </c:pt>
                <c:pt idx="3">
                  <c:v>0.13389993618831017</c:v>
                </c:pt>
                <c:pt idx="4">
                  <c:v>0.19089327819405463</c:v>
                </c:pt>
                <c:pt idx="5">
                  <c:v>0.11738273653336104</c:v>
                </c:pt>
                <c:pt idx="6">
                  <c:v>7.6687444013630229E-2</c:v>
                </c:pt>
                <c:pt idx="7">
                  <c:v>2.4897112455285968E-2</c:v>
                </c:pt>
                <c:pt idx="8">
                  <c:v>3.4600668926060792E-2</c:v>
                </c:pt>
                <c:pt idx="9">
                  <c:v>1.554355798375473E-2</c:v>
                </c:pt>
                <c:pt idx="10">
                  <c:v>4.618190974796834E-2</c:v>
                </c:pt>
                <c:pt idx="11">
                  <c:v>9.4554118375037178E-3</c:v>
                </c:pt>
                <c:pt idx="12">
                  <c:v>8.0812910784510642E-3</c:v>
                </c:pt>
                <c:pt idx="13">
                  <c:v>1.6750178389906396E-2</c:v>
                </c:pt>
                <c:pt idx="14">
                  <c:v>4.7320592727653678E-3</c:v>
                </c:pt>
                <c:pt idx="15">
                  <c:v>1.2470014223277126E-2</c:v>
                </c:pt>
                <c:pt idx="16">
                  <c:v>9.558645987785443E-3</c:v>
                </c:pt>
                <c:pt idx="17">
                  <c:v>3.1309704574170815E-3</c:v>
                </c:pt>
                <c:pt idx="18">
                  <c:v>5.5579624117697759E-3</c:v>
                </c:pt>
                <c:pt idx="19">
                  <c:v>4.8571098507676342E-4</c:v>
                </c:pt>
                <c:pt idx="20">
                  <c:v>1.3122835039455498E-3</c:v>
                </c:pt>
                <c:pt idx="21">
                  <c:v>3.0291780640073211E-3</c:v>
                </c:pt>
                <c:pt idx="22">
                  <c:v>2.8654632216249679E-3</c:v>
                </c:pt>
                <c:pt idx="23">
                  <c:v>2.1386815399655349E-3</c:v>
                </c:pt>
                <c:pt idx="24">
                  <c:v>8.8985922522342585E-4</c:v>
                </c:pt>
                <c:pt idx="25">
                  <c:v>1.4019512646280261E-3</c:v>
                </c:pt>
                <c:pt idx="26">
                  <c:v>1.3584717793717776E-3</c:v>
                </c:pt>
                <c:pt idx="27">
                  <c:v>3.6997578844681227E-4</c:v>
                </c:pt>
                <c:pt idx="28">
                  <c:v>1.145974308257985E-3</c:v>
                </c:pt>
                <c:pt idx="29">
                  <c:v>0</c:v>
                </c:pt>
                <c:pt idx="30">
                  <c:v>0</c:v>
                </c:pt>
                <c:pt idx="31">
                  <c:v>7.4499480921572537E-5</c:v>
                </c:pt>
                <c:pt idx="32">
                  <c:v>3.5141123722922703E-4</c:v>
                </c:pt>
                <c:pt idx="33">
                  <c:v>1.6913195980317847E-4</c:v>
                </c:pt>
                <c:pt idx="34">
                  <c:v>1.6232586634583174E-3</c:v>
                </c:pt>
                <c:pt idx="35">
                  <c:v>4.1375971255318386E-4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4.3239695717107085E-4</c:v>
                </c:pt>
                <c:pt idx="40">
                  <c:v>5.0495652789884441E-4</c:v>
                </c:pt>
                <c:pt idx="41">
                  <c:v>1.7319306104241537E-3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4.6138256188913877E-4</c:v>
                </c:pt>
                <c:pt idx="48">
                  <c:v>0</c:v>
                </c:pt>
                <c:pt idx="49">
                  <c:v>0</c:v>
                </c:pt>
                <c:pt idx="50">
                  <c:v>1.7017930936340188E-5</c:v>
                </c:pt>
                <c:pt idx="51">
                  <c:v>5.0452355333682363E-5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5.5498177470095129E-6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0.24534571233780858</c:v>
                </c:pt>
                <c:pt idx="1">
                  <c:v>0.15380495612249656</c:v>
                </c:pt>
                <c:pt idx="2">
                  <c:v>8.5842693619274449E-2</c:v>
                </c:pt>
                <c:pt idx="3">
                  <c:v>4.7747619489515621E-2</c:v>
                </c:pt>
                <c:pt idx="4">
                  <c:v>0.14017207229720122</c:v>
                </c:pt>
                <c:pt idx="5">
                  <c:v>6.7300741491505431E-2</c:v>
                </c:pt>
                <c:pt idx="6">
                  <c:v>5.9116111621660562E-2</c:v>
                </c:pt>
                <c:pt idx="7">
                  <c:v>3.6026401655373366E-2</c:v>
                </c:pt>
                <c:pt idx="8">
                  <c:v>3.44786288905529E-2</c:v>
                </c:pt>
                <c:pt idx="9">
                  <c:v>1.7298482382075785E-2</c:v>
                </c:pt>
                <c:pt idx="10">
                  <c:v>1.6115817441071476E-2</c:v>
                </c:pt>
                <c:pt idx="11">
                  <c:v>1.189905810177007E-2</c:v>
                </c:pt>
                <c:pt idx="12">
                  <c:v>1.2439777600719109E-2</c:v>
                </c:pt>
                <c:pt idx="13">
                  <c:v>8.4207595998937752E-3</c:v>
                </c:pt>
                <c:pt idx="14">
                  <c:v>8.1733796131999853E-3</c:v>
                </c:pt>
                <c:pt idx="15">
                  <c:v>8.0384288841558061E-3</c:v>
                </c:pt>
                <c:pt idx="16">
                  <c:v>7.8842452103889699E-3</c:v>
                </c:pt>
                <c:pt idx="17">
                  <c:v>5.6590115239571696E-3</c:v>
                </c:pt>
                <c:pt idx="18">
                  <c:v>4.4560702564159574E-3</c:v>
                </c:pt>
                <c:pt idx="19">
                  <c:v>4.1239110852440853E-3</c:v>
                </c:pt>
                <c:pt idx="20">
                  <c:v>3.441544493678709E-3</c:v>
                </c:pt>
                <c:pt idx="21">
                  <c:v>2.7952527654266281E-3</c:v>
                </c:pt>
                <c:pt idx="22">
                  <c:v>2.2751416422211635E-3</c:v>
                </c:pt>
                <c:pt idx="23">
                  <c:v>2.3400164376920799E-3</c:v>
                </c:pt>
                <c:pt idx="24">
                  <c:v>2.3793723537544323E-3</c:v>
                </c:pt>
                <c:pt idx="25">
                  <c:v>2.0426315060084886E-3</c:v>
                </c:pt>
                <c:pt idx="26">
                  <c:v>1.3800331315285456E-3</c:v>
                </c:pt>
                <c:pt idx="27">
                  <c:v>1.3935536335689257E-3</c:v>
                </c:pt>
                <c:pt idx="28">
                  <c:v>9.9973942776356581E-4</c:v>
                </c:pt>
                <c:pt idx="29">
                  <c:v>1.064459150079759E-3</c:v>
                </c:pt>
                <c:pt idx="30">
                  <c:v>6.3444029844723731E-4</c:v>
                </c:pt>
                <c:pt idx="31">
                  <c:v>6.5788532884742659E-4</c:v>
                </c:pt>
                <c:pt idx="32">
                  <c:v>4.9991529955841245E-4</c:v>
                </c:pt>
                <c:pt idx="33">
                  <c:v>5.1441215370455647E-4</c:v>
                </c:pt>
                <c:pt idx="34">
                  <c:v>3.6996961991508427E-4</c:v>
                </c:pt>
                <c:pt idx="35">
                  <c:v>3.9379835510630271E-4</c:v>
                </c:pt>
                <c:pt idx="36">
                  <c:v>4.8015787618135088E-4</c:v>
                </c:pt>
                <c:pt idx="37">
                  <c:v>2.8473797816507061E-4</c:v>
                </c:pt>
                <c:pt idx="38">
                  <c:v>3.3410851630333684E-4</c:v>
                </c:pt>
                <c:pt idx="39">
                  <c:v>2.4545011410448023E-4</c:v>
                </c:pt>
                <c:pt idx="40">
                  <c:v>1.486248387644037E-4</c:v>
                </c:pt>
                <c:pt idx="41">
                  <c:v>2.601160161932579E-4</c:v>
                </c:pt>
                <c:pt idx="42">
                  <c:v>1.0454106394005319E-4</c:v>
                </c:pt>
                <c:pt idx="43">
                  <c:v>8.0282720617618747E-5</c:v>
                </c:pt>
                <c:pt idx="44">
                  <c:v>8.3475448007002464E-5</c:v>
                </c:pt>
                <c:pt idx="45">
                  <c:v>6.5606791072708595E-5</c:v>
                </c:pt>
                <c:pt idx="46">
                  <c:v>6.935002068200051E-5</c:v>
                </c:pt>
                <c:pt idx="47">
                  <c:v>3.8616840757866672E-5</c:v>
                </c:pt>
                <c:pt idx="48">
                  <c:v>3.5050269899904067E-5</c:v>
                </c:pt>
                <c:pt idx="49">
                  <c:v>5.3682254410458106E-5</c:v>
                </c:pt>
                <c:pt idx="50">
                  <c:v>5.0894473214212022E-5</c:v>
                </c:pt>
                <c:pt idx="51">
                  <c:v>3.1099384900435371E-5</c:v>
                </c:pt>
                <c:pt idx="52">
                  <c:v>3.7426876713356112E-5</c:v>
                </c:pt>
                <c:pt idx="53">
                  <c:v>2.7159148130915254E-5</c:v>
                </c:pt>
                <c:pt idx="54">
                  <c:v>1.8604294075035719E-5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1.2628774973955182E-5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2.3437457431708345E-4</c:v>
                </c:pt>
                <c:pt idx="2">
                  <c:v>1.5238115561758364E-3</c:v>
                </c:pt>
                <c:pt idx="3">
                  <c:v>1.2202951508955511E-2</c:v>
                </c:pt>
                <c:pt idx="4">
                  <c:v>1.0621013724945052E-2</c:v>
                </c:pt>
                <c:pt idx="5">
                  <c:v>2.5440347920877824E-2</c:v>
                </c:pt>
                <c:pt idx="6">
                  <c:v>2.0470459801236126E-2</c:v>
                </c:pt>
                <c:pt idx="7">
                  <c:v>2.3423668634067588E-2</c:v>
                </c:pt>
                <c:pt idx="8">
                  <c:v>1.3939643752029817E-2</c:v>
                </c:pt>
                <c:pt idx="9">
                  <c:v>3.2880143089351443E-2</c:v>
                </c:pt>
                <c:pt idx="10">
                  <c:v>1.0384669616977807E-2</c:v>
                </c:pt>
                <c:pt idx="11">
                  <c:v>1.5197866890334944E-2</c:v>
                </c:pt>
                <c:pt idx="12">
                  <c:v>1.5061535912517967E-2</c:v>
                </c:pt>
                <c:pt idx="13">
                  <c:v>2.8722774419301426E-2</c:v>
                </c:pt>
                <c:pt idx="14">
                  <c:v>2.9932576669336325E-2</c:v>
                </c:pt>
                <c:pt idx="15">
                  <c:v>2.4039964738992222E-2</c:v>
                </c:pt>
                <c:pt idx="16">
                  <c:v>3.6114929204905652E-2</c:v>
                </c:pt>
                <c:pt idx="17">
                  <c:v>2.2118265815047077E-2</c:v>
                </c:pt>
                <c:pt idx="18">
                  <c:v>7.7454753541735477E-2</c:v>
                </c:pt>
                <c:pt idx="19">
                  <c:v>4.2204630958494846E-2</c:v>
                </c:pt>
                <c:pt idx="20">
                  <c:v>8.122465540068538E-2</c:v>
                </c:pt>
                <c:pt idx="21">
                  <c:v>4.8324642088993827E-2</c:v>
                </c:pt>
                <c:pt idx="22">
                  <c:v>3.7900420865020927E-2</c:v>
                </c:pt>
                <c:pt idx="23">
                  <c:v>1.7498416310622822E-2</c:v>
                </c:pt>
                <c:pt idx="24">
                  <c:v>2.6145051354282522E-2</c:v>
                </c:pt>
                <c:pt idx="25">
                  <c:v>2.2126876978634025E-2</c:v>
                </c:pt>
                <c:pt idx="26">
                  <c:v>3.292587593525715E-2</c:v>
                </c:pt>
                <c:pt idx="27">
                  <c:v>1.6833741558432636E-2</c:v>
                </c:pt>
                <c:pt idx="28">
                  <c:v>1.6761075487677374E-2</c:v>
                </c:pt>
                <c:pt idx="29">
                  <c:v>1.2293513793541747E-2</c:v>
                </c:pt>
                <c:pt idx="30">
                  <c:v>1.123239238291792E-2</c:v>
                </c:pt>
                <c:pt idx="31">
                  <c:v>6.4757781595168769E-3</c:v>
                </c:pt>
                <c:pt idx="32">
                  <c:v>3.5203353167542438E-3</c:v>
                </c:pt>
                <c:pt idx="33">
                  <c:v>1.0019561802714416E-2</c:v>
                </c:pt>
                <c:pt idx="34">
                  <c:v>1.3340663437289168E-2</c:v>
                </c:pt>
                <c:pt idx="35">
                  <c:v>3.4922333253570555E-3</c:v>
                </c:pt>
                <c:pt idx="36">
                  <c:v>4.3440946508051482E-3</c:v>
                </c:pt>
                <c:pt idx="37">
                  <c:v>5.313078018730222E-3</c:v>
                </c:pt>
                <c:pt idx="38">
                  <c:v>8.9423018411654859E-3</c:v>
                </c:pt>
                <c:pt idx="39">
                  <c:v>8.7677744788658158E-3</c:v>
                </c:pt>
                <c:pt idx="40">
                  <c:v>2.6335204025266915E-3</c:v>
                </c:pt>
                <c:pt idx="41">
                  <c:v>1.6446118527026247E-3</c:v>
                </c:pt>
                <c:pt idx="42">
                  <c:v>1.8972724014916001E-3</c:v>
                </c:pt>
                <c:pt idx="43">
                  <c:v>2.0153542881545285E-4</c:v>
                </c:pt>
                <c:pt idx="44">
                  <c:v>2.0270857605111572E-3</c:v>
                </c:pt>
                <c:pt idx="45">
                  <c:v>4.2262496814412062E-2</c:v>
                </c:pt>
                <c:pt idx="46">
                  <c:v>3.2095736245178349E-3</c:v>
                </c:pt>
                <c:pt idx="47">
                  <c:v>1.109767740090035E-3</c:v>
                </c:pt>
                <c:pt idx="48">
                  <c:v>1.8403876278514574E-3</c:v>
                </c:pt>
                <c:pt idx="49">
                  <c:v>1.5911796434228027E-3</c:v>
                </c:pt>
                <c:pt idx="50">
                  <c:v>6.9635680670331285E-4</c:v>
                </c:pt>
                <c:pt idx="51">
                  <c:v>2.1991877959133882E-3</c:v>
                </c:pt>
                <c:pt idx="52">
                  <c:v>2.8599592723330346E-3</c:v>
                </c:pt>
                <c:pt idx="53">
                  <c:v>1.9746699006875442E-3</c:v>
                </c:pt>
                <c:pt idx="54">
                  <c:v>6.007937558721115E-4</c:v>
                </c:pt>
                <c:pt idx="55">
                  <c:v>0</c:v>
                </c:pt>
                <c:pt idx="56">
                  <c:v>1.7056558421970119E-3</c:v>
                </c:pt>
                <c:pt idx="57">
                  <c:v>4.9256110305866097E-4</c:v>
                </c:pt>
                <c:pt idx="58">
                  <c:v>4.8474318764347437E-4</c:v>
                </c:pt>
                <c:pt idx="59">
                  <c:v>6.0570573874355353E-3</c:v>
                </c:pt>
                <c:pt idx="60">
                  <c:v>5.747862282570626E-3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1.2302906288300521E-2</c:v>
                </c:pt>
                <c:pt idx="1">
                  <c:v>3.6036349026365648E-2</c:v>
                </c:pt>
                <c:pt idx="2">
                  <c:v>4.0125243250272613E-2</c:v>
                </c:pt>
                <c:pt idx="3">
                  <c:v>4.2709388086105443E-2</c:v>
                </c:pt>
                <c:pt idx="4">
                  <c:v>4.3410659727628025E-2</c:v>
                </c:pt>
                <c:pt idx="5">
                  <c:v>4.3095240598017545E-2</c:v>
                </c:pt>
                <c:pt idx="6">
                  <c:v>3.9935345164084146E-2</c:v>
                </c:pt>
                <c:pt idx="7">
                  <c:v>3.6656669451906723E-2</c:v>
                </c:pt>
                <c:pt idx="8">
                  <c:v>3.3846478627479672E-2</c:v>
                </c:pt>
                <c:pt idx="9">
                  <c:v>2.9277742035232722E-2</c:v>
                </c:pt>
                <c:pt idx="10">
                  <c:v>2.6233953009595443E-2</c:v>
                </c:pt>
                <c:pt idx="11">
                  <c:v>2.2902916373462701E-2</c:v>
                </c:pt>
                <c:pt idx="12">
                  <c:v>2.0945829357682525E-2</c:v>
                </c:pt>
                <c:pt idx="13">
                  <c:v>1.8686813249427489E-2</c:v>
                </c:pt>
                <c:pt idx="14">
                  <c:v>1.4793246438406505E-2</c:v>
                </c:pt>
                <c:pt idx="15">
                  <c:v>1.461959883271585E-2</c:v>
                </c:pt>
                <c:pt idx="16">
                  <c:v>1.247070906640679E-2</c:v>
                </c:pt>
                <c:pt idx="17">
                  <c:v>1.1855721444488897E-2</c:v>
                </c:pt>
                <c:pt idx="18">
                  <c:v>9.782762170888698E-2</c:v>
                </c:pt>
                <c:pt idx="19">
                  <c:v>3.1807292987848748E-2</c:v>
                </c:pt>
                <c:pt idx="20">
                  <c:v>2.6791582854571856E-2</c:v>
                </c:pt>
                <c:pt idx="21">
                  <c:v>4.2028951544419546E-2</c:v>
                </c:pt>
                <c:pt idx="22">
                  <c:v>3.0315965816476571E-2</c:v>
                </c:pt>
                <c:pt idx="23">
                  <c:v>2.8583715169476404E-2</c:v>
                </c:pt>
                <c:pt idx="24">
                  <c:v>2.3845394062600337E-2</c:v>
                </c:pt>
                <c:pt idx="25">
                  <c:v>1.8961540249123485E-2</c:v>
                </c:pt>
                <c:pt idx="26">
                  <c:v>1.8872675688188314E-2</c:v>
                </c:pt>
                <c:pt idx="27">
                  <c:v>1.2321969736605813E-2</c:v>
                </c:pt>
                <c:pt idx="28">
                  <c:v>1.351736987157452E-2</c:v>
                </c:pt>
                <c:pt idx="29">
                  <c:v>1.3647451595743234E-2</c:v>
                </c:pt>
                <c:pt idx="30">
                  <c:v>1.0795168154626741E-2</c:v>
                </c:pt>
                <c:pt idx="31">
                  <c:v>1.0538606008395776E-2</c:v>
                </c:pt>
                <c:pt idx="32">
                  <c:v>7.6114977894714952E-3</c:v>
                </c:pt>
                <c:pt idx="33">
                  <c:v>1.0112921967647437E-2</c:v>
                </c:pt>
                <c:pt idx="34">
                  <c:v>8.4073454417702715E-3</c:v>
                </c:pt>
                <c:pt idx="35">
                  <c:v>6.1067200392329992E-3</c:v>
                </c:pt>
                <c:pt idx="36">
                  <c:v>6.4280345155095821E-3</c:v>
                </c:pt>
                <c:pt idx="37">
                  <c:v>4.8244718502125031E-3</c:v>
                </c:pt>
                <c:pt idx="38">
                  <c:v>4.5493727170962586E-3</c:v>
                </c:pt>
                <c:pt idx="39">
                  <c:v>5.0704377697437181E-3</c:v>
                </c:pt>
                <c:pt idx="40">
                  <c:v>5.7203253430210396E-3</c:v>
                </c:pt>
                <c:pt idx="41">
                  <c:v>3.478922212824974E-3</c:v>
                </c:pt>
                <c:pt idx="42">
                  <c:v>3.2978942788261449E-3</c:v>
                </c:pt>
                <c:pt idx="43">
                  <c:v>2.7795659084948218E-3</c:v>
                </c:pt>
                <c:pt idx="44">
                  <c:v>2.8213765394857751E-3</c:v>
                </c:pt>
                <c:pt idx="45">
                  <c:v>3.2173304573754886E-3</c:v>
                </c:pt>
                <c:pt idx="46">
                  <c:v>2.335470056728703E-3</c:v>
                </c:pt>
                <c:pt idx="47">
                  <c:v>2.4249812156672572E-3</c:v>
                </c:pt>
                <c:pt idx="48">
                  <c:v>2.3432978254783131E-3</c:v>
                </c:pt>
                <c:pt idx="49">
                  <c:v>1.97854041746092E-3</c:v>
                </c:pt>
                <c:pt idx="50">
                  <c:v>1.6146081747290552E-3</c:v>
                </c:pt>
                <c:pt idx="51">
                  <c:v>1.5522410370893624E-3</c:v>
                </c:pt>
                <c:pt idx="52">
                  <c:v>1.2553582880190728E-3</c:v>
                </c:pt>
                <c:pt idx="53">
                  <c:v>1.1072257779858148E-3</c:v>
                </c:pt>
                <c:pt idx="54">
                  <c:v>1.0386458406724801E-3</c:v>
                </c:pt>
                <c:pt idx="55">
                  <c:v>9.820649643110383E-4</c:v>
                </c:pt>
                <c:pt idx="56">
                  <c:v>1.1714497631574563E-3</c:v>
                </c:pt>
                <c:pt idx="57">
                  <c:v>1.0603425943503597E-3</c:v>
                </c:pt>
                <c:pt idx="58">
                  <c:v>1.2666344135137261E-3</c:v>
                </c:pt>
                <c:pt idx="59">
                  <c:v>1.095759722486236E-3</c:v>
                </c:pt>
                <c:pt idx="60">
                  <c:v>8.7685656282903606E-4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5.2146290719061919E-2</c:v>
                </c:pt>
                <c:pt idx="1">
                  <c:v>8.4588131389252585E-2</c:v>
                </c:pt>
                <c:pt idx="2">
                  <c:v>9.3158896183770726E-2</c:v>
                </c:pt>
                <c:pt idx="3">
                  <c:v>9.9096146066588939E-2</c:v>
                </c:pt>
                <c:pt idx="4">
                  <c:v>0.15760963891123325</c:v>
                </c:pt>
                <c:pt idx="5">
                  <c:v>0.10595355900341841</c:v>
                </c:pt>
                <c:pt idx="6">
                  <c:v>9.9579252827036918E-2</c:v>
                </c:pt>
                <c:pt idx="7">
                  <c:v>4.6547439814434169E-2</c:v>
                </c:pt>
                <c:pt idx="8">
                  <c:v>3.8496560844793561E-2</c:v>
                </c:pt>
                <c:pt idx="9">
                  <c:v>3.0977557636269203E-2</c:v>
                </c:pt>
                <c:pt idx="10">
                  <c:v>4.0953301079401275E-2</c:v>
                </c:pt>
                <c:pt idx="11">
                  <c:v>1.1936720534662859E-2</c:v>
                </c:pt>
                <c:pt idx="12">
                  <c:v>2.3958525492174084E-2</c:v>
                </c:pt>
                <c:pt idx="13">
                  <c:v>1.1024714891821885E-2</c:v>
                </c:pt>
                <c:pt idx="14">
                  <c:v>9.4941118926001617E-3</c:v>
                </c:pt>
                <c:pt idx="15">
                  <c:v>1.4205112228725919E-2</c:v>
                </c:pt>
                <c:pt idx="16">
                  <c:v>1.3046370957517563E-2</c:v>
                </c:pt>
                <c:pt idx="17">
                  <c:v>7.6247861193617693E-3</c:v>
                </c:pt>
                <c:pt idx="18">
                  <c:v>6.3883197503428945E-3</c:v>
                </c:pt>
                <c:pt idx="19">
                  <c:v>3.3392104215356887E-3</c:v>
                </c:pt>
                <c:pt idx="20">
                  <c:v>3.6904285062535611E-3</c:v>
                </c:pt>
                <c:pt idx="21">
                  <c:v>2.3599814924849119E-3</c:v>
                </c:pt>
                <c:pt idx="22">
                  <c:v>2.8495040175413851E-3</c:v>
                </c:pt>
                <c:pt idx="23">
                  <c:v>6.0841443173274079E-3</c:v>
                </c:pt>
                <c:pt idx="24">
                  <c:v>5.8286627692899608E-3</c:v>
                </c:pt>
                <c:pt idx="25">
                  <c:v>2.0661629672828661E-3</c:v>
                </c:pt>
                <c:pt idx="26">
                  <c:v>5.5488427161080947E-3</c:v>
                </c:pt>
                <c:pt idx="27">
                  <c:v>1.2193362286474592E-3</c:v>
                </c:pt>
                <c:pt idx="28">
                  <c:v>3.741663609677057E-4</c:v>
                </c:pt>
                <c:pt idx="29">
                  <c:v>6.8134397583786163E-4</c:v>
                </c:pt>
                <c:pt idx="30">
                  <c:v>2.1509212019839728E-4</c:v>
                </c:pt>
                <c:pt idx="31">
                  <c:v>9.8212965757951774E-4</c:v>
                </c:pt>
                <c:pt idx="32">
                  <c:v>8.132027872145511E-4</c:v>
                </c:pt>
                <c:pt idx="33">
                  <c:v>8.068190787764841E-4</c:v>
                </c:pt>
                <c:pt idx="34">
                  <c:v>1.2819671686343003E-3</c:v>
                </c:pt>
                <c:pt idx="35">
                  <c:v>7.3507511268701973E-4</c:v>
                </c:pt>
                <c:pt idx="36">
                  <c:v>1.2529182646009321E-3</c:v>
                </c:pt>
                <c:pt idx="37">
                  <c:v>2.5527080806393265E-4</c:v>
                </c:pt>
                <c:pt idx="38">
                  <c:v>4.0857021423047334E-4</c:v>
                </c:pt>
                <c:pt idx="39">
                  <c:v>7.4819762554532803E-4</c:v>
                </c:pt>
                <c:pt idx="40">
                  <c:v>1.9694839415620424E-4</c:v>
                </c:pt>
                <c:pt idx="41">
                  <c:v>8.5575360772893489E-4</c:v>
                </c:pt>
                <c:pt idx="42">
                  <c:v>2.5537204452163765E-4</c:v>
                </c:pt>
                <c:pt idx="43">
                  <c:v>1.0032606717464531E-3</c:v>
                </c:pt>
                <c:pt idx="44">
                  <c:v>2.4042755236549406E-3</c:v>
                </c:pt>
                <c:pt idx="45">
                  <c:v>0</c:v>
                </c:pt>
                <c:pt idx="46">
                  <c:v>0</c:v>
                </c:pt>
                <c:pt idx="47">
                  <c:v>4.7084229670210171E-4</c:v>
                </c:pt>
                <c:pt idx="48">
                  <c:v>0</c:v>
                </c:pt>
                <c:pt idx="49">
                  <c:v>3.9143545114959612E-4</c:v>
                </c:pt>
                <c:pt idx="50">
                  <c:v>0</c:v>
                </c:pt>
                <c:pt idx="51">
                  <c:v>2.2717147448967487E-4</c:v>
                </c:pt>
                <c:pt idx="52">
                  <c:v>1.0608198941065893E-4</c:v>
                </c:pt>
                <c:pt idx="53">
                  <c:v>4.1418355949091794E-4</c:v>
                </c:pt>
                <c:pt idx="54">
                  <c:v>6.8906259835305292E-4</c:v>
                </c:pt>
                <c:pt idx="55">
                  <c:v>0</c:v>
                </c:pt>
                <c:pt idx="56">
                  <c:v>1.072047547565926E-3</c:v>
                </c:pt>
                <c:pt idx="57">
                  <c:v>3.1768607684895973E-4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0.13402081845571487</c:v>
                </c:pt>
                <c:pt idx="1">
                  <c:v>0.10677577082536296</c:v>
                </c:pt>
                <c:pt idx="2">
                  <c:v>6.5910630052718161E-2</c:v>
                </c:pt>
                <c:pt idx="3">
                  <c:v>4.0959325086057825E-2</c:v>
                </c:pt>
                <c:pt idx="4">
                  <c:v>0.14223131775763009</c:v>
                </c:pt>
                <c:pt idx="5">
                  <c:v>8.122657247557101E-2</c:v>
                </c:pt>
                <c:pt idx="6">
                  <c:v>7.560903242303571E-2</c:v>
                </c:pt>
                <c:pt idx="7">
                  <c:v>4.7949679850997566E-2</c:v>
                </c:pt>
                <c:pt idx="8">
                  <c:v>5.545316508159126E-2</c:v>
                </c:pt>
                <c:pt idx="9">
                  <c:v>2.8078302450321675E-2</c:v>
                </c:pt>
                <c:pt idx="10">
                  <c:v>2.6317315449455179E-2</c:v>
                </c:pt>
                <c:pt idx="11">
                  <c:v>2.32330086478123E-2</c:v>
                </c:pt>
                <c:pt idx="12">
                  <c:v>2.1761463283028321E-2</c:v>
                </c:pt>
                <c:pt idx="13">
                  <c:v>1.5482569167172592E-2</c:v>
                </c:pt>
                <c:pt idx="14">
                  <c:v>1.6277944605610131E-2</c:v>
                </c:pt>
                <c:pt idx="15">
                  <c:v>1.8939765084604477E-2</c:v>
                </c:pt>
                <c:pt idx="16">
                  <c:v>1.6449549435701902E-2</c:v>
                </c:pt>
                <c:pt idx="17">
                  <c:v>1.3877633134806132E-2</c:v>
                </c:pt>
                <c:pt idx="18">
                  <c:v>9.7691217190492997E-3</c:v>
                </c:pt>
                <c:pt idx="19">
                  <c:v>6.9895450973693624E-3</c:v>
                </c:pt>
                <c:pt idx="20">
                  <c:v>6.5630376974543884E-3</c:v>
                </c:pt>
                <c:pt idx="21">
                  <c:v>5.5701004974149856E-3</c:v>
                </c:pt>
                <c:pt idx="22">
                  <c:v>4.8711017443060171E-3</c:v>
                </c:pt>
                <c:pt idx="23">
                  <c:v>4.5237963184161642E-3</c:v>
                </c:pt>
                <c:pt idx="24">
                  <c:v>4.6522360997232779E-3</c:v>
                </c:pt>
                <c:pt idx="25">
                  <c:v>3.3208617775339396E-3</c:v>
                </c:pt>
                <c:pt idx="26">
                  <c:v>2.9197574121404457E-3</c:v>
                </c:pt>
                <c:pt idx="27">
                  <c:v>3.0025965213206105E-3</c:v>
                </c:pt>
                <c:pt idx="28">
                  <c:v>2.3246631302485375E-3</c:v>
                </c:pt>
                <c:pt idx="29">
                  <c:v>2.4848706670633301E-3</c:v>
                </c:pt>
                <c:pt idx="30">
                  <c:v>1.9464448940880142E-3</c:v>
                </c:pt>
                <c:pt idx="31">
                  <c:v>1.4460105840724943E-3</c:v>
                </c:pt>
                <c:pt idx="32">
                  <c:v>1.2765101267343743E-3</c:v>
                </c:pt>
                <c:pt idx="33">
                  <c:v>1.1336796790403262E-3</c:v>
                </c:pt>
                <c:pt idx="34">
                  <c:v>8.3309763553110147E-4</c:v>
                </c:pt>
                <c:pt idx="35">
                  <c:v>7.5390118554472592E-4</c:v>
                </c:pt>
                <c:pt idx="36">
                  <c:v>6.8174437526629305E-4</c:v>
                </c:pt>
                <c:pt idx="37">
                  <c:v>6.703323257754505E-4</c:v>
                </c:pt>
                <c:pt idx="38">
                  <c:v>5.1525619756640688E-4</c:v>
                </c:pt>
                <c:pt idx="39">
                  <c:v>5.4730525625331814E-4</c:v>
                </c:pt>
                <c:pt idx="40">
                  <c:v>4.012254336858681E-4</c:v>
                </c:pt>
                <c:pt idx="41">
                  <c:v>3.5689806633160842E-4</c:v>
                </c:pt>
                <c:pt idx="42">
                  <c:v>2.8160199177375793E-4</c:v>
                </c:pt>
                <c:pt idx="43">
                  <c:v>2.2395855717019571E-4</c:v>
                </c:pt>
                <c:pt idx="44">
                  <c:v>1.7681256173755091E-4</c:v>
                </c:pt>
                <c:pt idx="45">
                  <c:v>1.9401599223955015E-4</c:v>
                </c:pt>
                <c:pt idx="46">
                  <c:v>1.4191701266931281E-4</c:v>
                </c:pt>
                <c:pt idx="47">
                  <c:v>1.2868404655803304E-4</c:v>
                </c:pt>
                <c:pt idx="48">
                  <c:v>1.4346343168616081E-4</c:v>
                </c:pt>
                <c:pt idx="49">
                  <c:v>1.0600929480261626E-4</c:v>
                </c:pt>
                <c:pt idx="50">
                  <c:v>9.8829523548451349E-5</c:v>
                </c:pt>
                <c:pt idx="51">
                  <c:v>9.2643082172819493E-5</c:v>
                </c:pt>
                <c:pt idx="52">
                  <c:v>4.9541382931240745E-5</c:v>
                </c:pt>
                <c:pt idx="53">
                  <c:v>3.754746747132103E-5</c:v>
                </c:pt>
                <c:pt idx="54">
                  <c:v>3.0229175647324296E-5</c:v>
                </c:pt>
                <c:pt idx="55">
                  <c:v>3.4016318521281387E-5</c:v>
                </c:pt>
                <c:pt idx="56">
                  <c:v>2.0177709013390818E-5</c:v>
                </c:pt>
                <c:pt idx="57">
                  <c:v>4.2856159544716466E-5</c:v>
                </c:pt>
                <c:pt idx="58">
                  <c:v>3.4531081366250878E-6</c:v>
                </c:pt>
                <c:pt idx="59">
                  <c:v>1.4900978798242955E-5</c:v>
                </c:pt>
                <c:pt idx="60">
                  <c:v>9.0547087260379704E-6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2.1581793258237288E-4</c:v>
                </c:pt>
                <c:pt idx="1">
                  <c:v>1.4132563567125416E-3</c:v>
                </c:pt>
                <c:pt idx="2">
                  <c:v>2.3665349844541146E-3</c:v>
                </c:pt>
                <c:pt idx="3">
                  <c:v>3.8505155145574905E-3</c:v>
                </c:pt>
                <c:pt idx="4">
                  <c:v>9.7282952441512076E-3</c:v>
                </c:pt>
                <c:pt idx="5">
                  <c:v>9.5390850415084764E-3</c:v>
                </c:pt>
                <c:pt idx="6">
                  <c:v>1.2144303975221702E-2</c:v>
                </c:pt>
                <c:pt idx="7">
                  <c:v>1.5088570600175169E-2</c:v>
                </c:pt>
                <c:pt idx="8">
                  <c:v>1.011255491500208E-2</c:v>
                </c:pt>
                <c:pt idx="9">
                  <c:v>2.2877773883781021E-2</c:v>
                </c:pt>
                <c:pt idx="10">
                  <c:v>9.7757986346551241E-3</c:v>
                </c:pt>
                <c:pt idx="11">
                  <c:v>8.3908461239534295E-3</c:v>
                </c:pt>
                <c:pt idx="12">
                  <c:v>2.1122636468141692E-2</c:v>
                </c:pt>
                <c:pt idx="13">
                  <c:v>1.8169286116262166E-2</c:v>
                </c:pt>
                <c:pt idx="14">
                  <c:v>1.0874125460800061E-2</c:v>
                </c:pt>
                <c:pt idx="15">
                  <c:v>7.1022752107275915E-3</c:v>
                </c:pt>
                <c:pt idx="16">
                  <c:v>2.6153394623269103E-2</c:v>
                </c:pt>
                <c:pt idx="17">
                  <c:v>1.4776755773111308E-2</c:v>
                </c:pt>
                <c:pt idx="18">
                  <c:v>4.9758939256356334E-2</c:v>
                </c:pt>
                <c:pt idx="19">
                  <c:v>4.6541534233061031E-2</c:v>
                </c:pt>
                <c:pt idx="20">
                  <c:v>4.8080084961462641E-2</c:v>
                </c:pt>
                <c:pt idx="21">
                  <c:v>4.0009520955167341E-2</c:v>
                </c:pt>
                <c:pt idx="22">
                  <c:v>4.0380317701470728E-2</c:v>
                </c:pt>
                <c:pt idx="23">
                  <c:v>2.978997176834227E-2</c:v>
                </c:pt>
                <c:pt idx="24">
                  <c:v>2.4570242990063117E-2</c:v>
                </c:pt>
                <c:pt idx="25">
                  <c:v>1.8332198973965274E-2</c:v>
                </c:pt>
                <c:pt idx="26">
                  <c:v>4.9616693491331208E-2</c:v>
                </c:pt>
                <c:pt idx="27">
                  <c:v>1.6898734307042976E-2</c:v>
                </c:pt>
                <c:pt idx="28">
                  <c:v>1.3024504653098215E-2</c:v>
                </c:pt>
                <c:pt idx="29">
                  <c:v>2.5409380969636922E-2</c:v>
                </c:pt>
                <c:pt idx="30">
                  <c:v>1.493630255188514E-2</c:v>
                </c:pt>
                <c:pt idx="31">
                  <c:v>1.3923888527900061E-2</c:v>
                </c:pt>
                <c:pt idx="32">
                  <c:v>1.1388583209380881E-2</c:v>
                </c:pt>
                <c:pt idx="33">
                  <c:v>8.13347083249049E-3</c:v>
                </c:pt>
                <c:pt idx="34">
                  <c:v>1.3653760390715405E-2</c:v>
                </c:pt>
                <c:pt idx="35">
                  <c:v>1.1464995484158842E-2</c:v>
                </c:pt>
                <c:pt idx="36">
                  <c:v>1.1400338523483999E-2</c:v>
                </c:pt>
                <c:pt idx="37">
                  <c:v>1.0219081184731646E-2</c:v>
                </c:pt>
                <c:pt idx="38">
                  <c:v>1.0744129637350145E-2</c:v>
                </c:pt>
                <c:pt idx="39">
                  <c:v>2.4418235295627774E-3</c:v>
                </c:pt>
                <c:pt idx="40">
                  <c:v>4.2652655717450071E-3</c:v>
                </c:pt>
                <c:pt idx="41">
                  <c:v>3.134897854676241E-3</c:v>
                </c:pt>
                <c:pt idx="42">
                  <c:v>4.7180767943195701E-3</c:v>
                </c:pt>
                <c:pt idx="43">
                  <c:v>1.9841604293581111E-3</c:v>
                </c:pt>
                <c:pt idx="44">
                  <c:v>1.463641335148848E-3</c:v>
                </c:pt>
                <c:pt idx="45">
                  <c:v>3.1612972011236251E-2</c:v>
                </c:pt>
                <c:pt idx="46">
                  <c:v>4.0569862092052402E-3</c:v>
                </c:pt>
                <c:pt idx="47">
                  <c:v>2.3027316924652207E-3</c:v>
                </c:pt>
                <c:pt idx="48">
                  <c:v>1.0258868647506563E-2</c:v>
                </c:pt>
                <c:pt idx="49">
                  <c:v>4.2547438951988431E-3</c:v>
                </c:pt>
                <c:pt idx="50">
                  <c:v>4.3685189168085967E-4</c:v>
                </c:pt>
                <c:pt idx="51">
                  <c:v>6.4247974550560799E-3</c:v>
                </c:pt>
                <c:pt idx="52">
                  <c:v>2.9171589079648864E-3</c:v>
                </c:pt>
                <c:pt idx="53">
                  <c:v>8.6760200957840912E-4</c:v>
                </c:pt>
                <c:pt idx="54">
                  <c:v>1.3334457617232429E-2</c:v>
                </c:pt>
                <c:pt idx="55">
                  <c:v>1.9601505193139911E-4</c:v>
                </c:pt>
                <c:pt idx="56">
                  <c:v>4.8032291529719511E-3</c:v>
                </c:pt>
                <c:pt idx="57">
                  <c:v>1.1937832617094659E-3</c:v>
                </c:pt>
                <c:pt idx="58">
                  <c:v>2.0820343751435208E-3</c:v>
                </c:pt>
                <c:pt idx="59">
                  <c:v>1.1683095105346925E-2</c:v>
                </c:pt>
                <c:pt idx="60">
                  <c:v>8.8397946532188954E-3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3.5186295576946154E-3</c:v>
                </c:pt>
                <c:pt idx="1">
                  <c:v>1.4365639821386531E-2</c:v>
                </c:pt>
                <c:pt idx="2">
                  <c:v>1.7472311459626685E-2</c:v>
                </c:pt>
                <c:pt idx="3">
                  <c:v>2.0377861044797118E-2</c:v>
                </c:pt>
                <c:pt idx="4">
                  <c:v>2.2154553659847063E-2</c:v>
                </c:pt>
                <c:pt idx="5">
                  <c:v>2.3483373161989368E-2</c:v>
                </c:pt>
                <c:pt idx="6">
                  <c:v>2.2959368948418719E-2</c:v>
                </c:pt>
                <c:pt idx="7">
                  <c:v>2.2543140070328375E-2</c:v>
                </c:pt>
                <c:pt idx="8">
                  <c:v>2.1842029816222817E-2</c:v>
                </c:pt>
                <c:pt idx="9">
                  <c:v>2.149230875978449E-2</c:v>
                </c:pt>
                <c:pt idx="10">
                  <c:v>1.9949045092498757E-2</c:v>
                </c:pt>
                <c:pt idx="11">
                  <c:v>1.8400915385650259E-2</c:v>
                </c:pt>
                <c:pt idx="12">
                  <c:v>1.7729269890481358E-2</c:v>
                </c:pt>
                <c:pt idx="13">
                  <c:v>1.5420342082676451E-2</c:v>
                </c:pt>
                <c:pt idx="14">
                  <c:v>1.406728605328258E-2</c:v>
                </c:pt>
                <c:pt idx="15">
                  <c:v>1.3974470824932554E-2</c:v>
                </c:pt>
                <c:pt idx="16">
                  <c:v>1.21172959491851E-2</c:v>
                </c:pt>
                <c:pt idx="17">
                  <c:v>1.1205425341870006E-2</c:v>
                </c:pt>
                <c:pt idx="18">
                  <c:v>9.5203661332470033E-2</c:v>
                </c:pt>
                <c:pt idx="19">
                  <c:v>3.6641582338115763E-2</c:v>
                </c:pt>
                <c:pt idx="20">
                  <c:v>3.3697250473362611E-2</c:v>
                </c:pt>
                <c:pt idx="21">
                  <c:v>4.8317322295592942E-2</c:v>
                </c:pt>
                <c:pt idx="22">
                  <c:v>4.0961494227623074E-2</c:v>
                </c:pt>
                <c:pt idx="23">
                  <c:v>3.4968205882155705E-2</c:v>
                </c:pt>
                <c:pt idx="24">
                  <c:v>2.9676102095351875E-2</c:v>
                </c:pt>
                <c:pt idx="25">
                  <c:v>2.8015068003825992E-2</c:v>
                </c:pt>
                <c:pt idx="26">
                  <c:v>2.6469939393102444E-2</c:v>
                </c:pt>
                <c:pt idx="27">
                  <c:v>1.8482391711461692E-2</c:v>
                </c:pt>
                <c:pt idx="28">
                  <c:v>2.1190220279817158E-2</c:v>
                </c:pt>
                <c:pt idx="29">
                  <c:v>2.1332086967537144E-2</c:v>
                </c:pt>
                <c:pt idx="30">
                  <c:v>2.0655216992734541E-2</c:v>
                </c:pt>
                <c:pt idx="31">
                  <c:v>1.7057654932279245E-2</c:v>
                </c:pt>
                <c:pt idx="32">
                  <c:v>1.301547393252421E-2</c:v>
                </c:pt>
                <c:pt idx="33">
                  <c:v>1.7687116531083642E-2</c:v>
                </c:pt>
                <c:pt idx="34">
                  <c:v>1.4437067501036958E-2</c:v>
                </c:pt>
                <c:pt idx="35">
                  <c:v>1.2852769790164668E-2</c:v>
                </c:pt>
                <c:pt idx="36">
                  <c:v>1.0689398168715888E-2</c:v>
                </c:pt>
                <c:pt idx="37">
                  <c:v>8.7829108501445066E-3</c:v>
                </c:pt>
                <c:pt idx="38">
                  <c:v>8.3568533329358152E-3</c:v>
                </c:pt>
                <c:pt idx="39">
                  <c:v>9.048550432224696E-3</c:v>
                </c:pt>
                <c:pt idx="40">
                  <c:v>1.1392095847716898E-2</c:v>
                </c:pt>
                <c:pt idx="41">
                  <c:v>6.0435498133825484E-3</c:v>
                </c:pt>
                <c:pt idx="42">
                  <c:v>5.3920263978937816E-3</c:v>
                </c:pt>
                <c:pt idx="43">
                  <c:v>5.4439620896130662E-3</c:v>
                </c:pt>
                <c:pt idx="44">
                  <c:v>5.2095826662201406E-3</c:v>
                </c:pt>
                <c:pt idx="45">
                  <c:v>5.3643363213778722E-3</c:v>
                </c:pt>
                <c:pt idx="46">
                  <c:v>4.9572641817269576E-3</c:v>
                </c:pt>
                <c:pt idx="47">
                  <c:v>3.9052070756750482E-3</c:v>
                </c:pt>
                <c:pt idx="48">
                  <c:v>4.7081035182988786E-3</c:v>
                </c:pt>
                <c:pt idx="49">
                  <c:v>3.0607644295332454E-3</c:v>
                </c:pt>
                <c:pt idx="50">
                  <c:v>2.7974521118021905E-3</c:v>
                </c:pt>
                <c:pt idx="51">
                  <c:v>3.3300166189851339E-3</c:v>
                </c:pt>
                <c:pt idx="52">
                  <c:v>2.4255663433528549E-3</c:v>
                </c:pt>
                <c:pt idx="53">
                  <c:v>2.5445635300409939E-3</c:v>
                </c:pt>
                <c:pt idx="54">
                  <c:v>1.7976515061103489E-3</c:v>
                </c:pt>
                <c:pt idx="55">
                  <c:v>1.9354893073313512E-3</c:v>
                </c:pt>
                <c:pt idx="56">
                  <c:v>2.684387988625421E-3</c:v>
                </c:pt>
                <c:pt idx="57">
                  <c:v>1.6092653578594646E-3</c:v>
                </c:pt>
                <c:pt idx="58">
                  <c:v>2.0147242360010857E-3</c:v>
                </c:pt>
                <c:pt idx="59">
                  <c:v>1.5738125122926716E-3</c:v>
                </c:pt>
                <c:pt idx="60">
                  <c:v>1.4746181686067393E-3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02"/>
  <sheetViews>
    <sheetView tabSelected="1" workbookViewId="0">
      <selection activeCell="Y24" sqref="Y24"/>
    </sheetView>
  </sheetViews>
  <sheetFormatPr defaultRowHeight="15" x14ac:dyDescent="0.25"/>
  <cols>
    <col min="1" max="1" width="13.5703125" customWidth="1" collapsed="1"/>
    <col min="2" max="2" width="9.5703125" bestFit="1" customWidth="1" collapsed="1"/>
    <col min="20" max="20" width="15.28515625" bestFit="1" customWidth="1" collapsed="1"/>
    <col min="21" max="21" width="14.28515625" bestFit="1" customWidth="1" collapsed="1"/>
    <col min="23" max="23" width="12.28515625" bestFit="1" customWidth="1" collapsed="1"/>
    <col min="25" max="25" width="14.28515625" bestFit="1" customWidth="1" collapsed="1"/>
    <col min="27" max="27" width="12.28515625" bestFit="1" customWidth="1" collapsed="1"/>
  </cols>
  <sheetData>
    <row r="1" spans="1:27" x14ac:dyDescent="0.25">
      <c r="A1" t="s">
        <v>1</v>
      </c>
    </row>
    <row r="2" spans="1:27" x14ac:dyDescent="0.25">
      <c r="A2" t="s">
        <v>19</v>
      </c>
    </row>
    <row r="3" spans="1:27" x14ac:dyDescent="0.25">
      <c r="A3" t="s">
        <v>20</v>
      </c>
    </row>
    <row r="4" spans="1:27" x14ac:dyDescent="0.25">
      <c r="A4" t="s">
        <v>4</v>
      </c>
    </row>
    <row r="5" spans="1:27" x14ac:dyDescent="0.25">
      <c r="A5" t="s">
        <v>6</v>
      </c>
    </row>
    <row r="7" spans="1:27" x14ac:dyDescent="0.25">
      <c r="A7" t="s">
        <v>9</v>
      </c>
      <c r="T7" t="s">
        <v>23</v>
      </c>
    </row>
    <row r="8" spans="1:27" x14ac:dyDescent="0.25">
      <c r="U8" t="s">
        <v>17</v>
      </c>
      <c r="Y8" t="s">
        <v>13</v>
      </c>
    </row>
    <row r="9" spans="1:27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5883365.0002111141</v>
      </c>
      <c r="V10" s="6">
        <f>K11</f>
        <v>7.371756103631701</v>
      </c>
      <c r="W10" s="373">
        <f>U10*V10</f>
        <v>43370731.850199401</v>
      </c>
      <c r="Y10" s="373">
        <f>F102</f>
        <v>5806420.2419204814</v>
      </c>
      <c r="Z10" s="6">
        <f>L11</f>
        <v>7.5933178625143265</v>
      </c>
      <c r="AA10" s="373">
        <f>Y10*Z10</f>
        <v>44089994.54023955</v>
      </c>
    </row>
    <row r="11" spans="1:27" x14ac:dyDescent="0.25">
      <c r="A11">
        <v>0</v>
      </c>
      <c r="B11" s="6">
        <v>224956.8544271912</v>
      </c>
      <c r="C11" s="9">
        <f>B11/B$102</f>
        <v>3.8236086732527902E-2</v>
      </c>
      <c r="E11" s="10">
        <v>0</v>
      </c>
      <c r="F11" s="100">
        <v>737810.32955629076</v>
      </c>
      <c r="G11" s="9">
        <f>F11/F$102</f>
        <v>0.12706802105530327</v>
      </c>
      <c r="K11" s="6">
        <v>7.371756103631701</v>
      </c>
      <c r="L11" s="6">
        <v>7.5933178625143265</v>
      </c>
      <c r="S11" t="s">
        <v>42</v>
      </c>
      <c r="T11" t="s">
        <v>27</v>
      </c>
      <c r="U11" s="373">
        <f>TLFD_Work!B102</f>
        <v>2267462.7752703466</v>
      </c>
      <c r="V11" s="6">
        <f>TLFD_Work!K11</f>
        <v>10.388893204831918</v>
      </c>
      <c r="W11" s="373">
        <f t="shared" ref="W11:W16" si="0">U11*V11</f>
        <v>23556428.618215427</v>
      </c>
      <c r="Y11" s="373">
        <f>TLFD_Work!F102</f>
        <v>2231017.6067132233</v>
      </c>
      <c r="Z11" s="6">
        <f>TLFD_Work!L11</f>
        <v>10.371359742689341</v>
      </c>
      <c r="AA11" s="373">
        <f t="shared" ref="AA11:AA16" si="1">Y11*Z11</f>
        <v>23138686.191496644</v>
      </c>
    </row>
    <row r="12" spans="1:27" x14ac:dyDescent="0.25">
      <c r="A12">
        <v>1</v>
      </c>
      <c r="B12" s="6">
        <v>342386.52865415521</v>
      </c>
      <c r="C12" s="9">
        <f>B12/B$102</f>
        <v>5.8195697299397414E-2</v>
      </c>
      <c r="E12" s="11">
        <v>1</v>
      </c>
      <c r="F12" s="101">
        <v>605503.77893233637</v>
      </c>
      <c r="G12" s="9">
        <f>F12/F$102</f>
        <v>0.104281769783178</v>
      </c>
      <c r="K12" s="6"/>
      <c r="L12" s="370"/>
      <c r="S12" t="s">
        <v>43</v>
      </c>
      <c r="T12" t="s">
        <v>28</v>
      </c>
      <c r="U12" s="373">
        <f>TLFD_School!B102</f>
        <v>871719.52693974599</v>
      </c>
      <c r="V12" s="6">
        <f>TLFD_School!K11</f>
        <v>6.0348967635956425</v>
      </c>
      <c r="W12" s="373">
        <f t="shared" si="0"/>
        <v>5260737.351891798</v>
      </c>
      <c r="Y12" s="373">
        <f>TLFD_School!F102</f>
        <v>837688.10150702752</v>
      </c>
      <c r="Z12" s="6">
        <f>TLFD_School!L11</f>
        <v>4.8065854878794987</v>
      </c>
      <c r="AA12" s="373">
        <f t="shared" si="1"/>
        <v>4026419.4720730069</v>
      </c>
    </row>
    <row r="13" spans="1:27" x14ac:dyDescent="0.25">
      <c r="A13">
        <v>2</v>
      </c>
      <c r="B13" s="6">
        <v>417078.9816587072</v>
      </c>
      <c r="C13" s="9">
        <f t="shared" ref="C13:C76" si="2">B13/B$102</f>
        <v>7.0891230043307024E-2</v>
      </c>
      <c r="E13" s="12">
        <v>2</v>
      </c>
      <c r="F13" s="102">
        <v>376822.98801523627</v>
      </c>
      <c r="G13" s="9">
        <f t="shared" ref="G13:G76" si="3">F13/F$102</f>
        <v>6.489764300811296E-2</v>
      </c>
      <c r="S13" t="s">
        <v>44</v>
      </c>
      <c r="T13" t="s">
        <v>29</v>
      </c>
      <c r="U13" s="373">
        <f>TLFD_Escort!B102</f>
        <v>1243423.8409518562</v>
      </c>
      <c r="V13" s="6">
        <f>TLFD_Escort!K11</f>
        <v>6.8939569474179567</v>
      </c>
      <c r="W13" s="373">
        <f t="shared" si="0"/>
        <v>8572110.4269151688</v>
      </c>
      <c r="Y13" s="373">
        <f>TLFD_Escort!F102</f>
        <v>1237496.0541000664</v>
      </c>
      <c r="Z13" s="6">
        <f>TLFD_Escort!L11</f>
        <v>6.5170439117178942</v>
      </c>
      <c r="AA13" s="373">
        <f t="shared" si="1"/>
        <v>8064816.1251477553</v>
      </c>
    </row>
    <row r="14" spans="1:27" x14ac:dyDescent="0.25">
      <c r="A14">
        <v>3</v>
      </c>
      <c r="B14" s="6">
        <v>572291.99089040724</v>
      </c>
      <c r="C14" s="9">
        <f t="shared" si="2"/>
        <v>9.7272902644978093E-2</v>
      </c>
      <c r="E14" s="13">
        <v>3</v>
      </c>
      <c r="F14" s="103">
        <v>237755.50978293698</v>
      </c>
      <c r="G14" s="9">
        <f t="shared" si="3"/>
        <v>4.0947003468060905E-2</v>
      </c>
      <c r="S14" t="s">
        <v>45</v>
      </c>
      <c r="T14" t="s">
        <v>30</v>
      </c>
      <c r="U14" s="373">
        <f>TLFD_PerBus!B102</f>
        <v>1836353.6347289735</v>
      </c>
      <c r="V14" s="6">
        <f>TLFD_PerBus!K11</f>
        <v>7.1866380900758235</v>
      </c>
      <c r="W14" s="373">
        <f t="shared" si="0"/>
        <v>13197208.978192426</v>
      </c>
      <c r="Y14" s="373">
        <f>TLFD_PerBus!F102</f>
        <v>1850352.4733905145</v>
      </c>
      <c r="Z14" s="6">
        <f>TLFD_PerBus!L11</f>
        <v>5.8731970169838847</v>
      </c>
      <c r="AA14" s="373">
        <f t="shared" si="1"/>
        <v>10867484.627085922</v>
      </c>
    </row>
    <row r="15" spans="1:27" x14ac:dyDescent="0.25">
      <c r="A15">
        <v>4</v>
      </c>
      <c r="B15" s="6">
        <v>993451.04320554575</v>
      </c>
      <c r="C15" s="9">
        <f t="shared" si="2"/>
        <v>0.16885762538443519</v>
      </c>
      <c r="E15" s="14">
        <v>4</v>
      </c>
      <c r="F15" s="104">
        <v>776719.70507466118</v>
      </c>
      <c r="G15" s="9">
        <f t="shared" si="3"/>
        <v>0.13376911637690214</v>
      </c>
      <c r="S15" t="s">
        <v>46</v>
      </c>
      <c r="T15" t="s">
        <v>31</v>
      </c>
      <c r="U15" s="373">
        <f>TLFD_Shop!B102</f>
        <v>2029939.8207113619</v>
      </c>
      <c r="V15" s="6">
        <f>TLFD_Shop!K11</f>
        <v>5.9155464547576937</v>
      </c>
      <c r="W15" s="373">
        <f t="shared" si="0"/>
        <v>12008203.309780566</v>
      </c>
      <c r="Y15" s="373">
        <f>TLFD_Shop!F102</f>
        <v>2032193.3931289364</v>
      </c>
      <c r="Z15" s="6">
        <f>TLFD_Shop!L11</f>
        <v>5.396894886436912</v>
      </c>
      <c r="AA15" s="373">
        <f t="shared" si="1"/>
        <v>10967534.131628433</v>
      </c>
    </row>
    <row r="16" spans="1:27" x14ac:dyDescent="0.25">
      <c r="A16">
        <v>5</v>
      </c>
      <c r="B16" s="6">
        <v>595252.54383084958</v>
      </c>
      <c r="C16" s="9">
        <f t="shared" si="2"/>
        <v>0.1011755251985029</v>
      </c>
      <c r="E16" s="15">
        <v>5</v>
      </c>
      <c r="F16" s="105">
        <v>447613.94300806767</v>
      </c>
      <c r="G16" s="9">
        <f t="shared" si="3"/>
        <v>7.7089484460053259E-2</v>
      </c>
      <c r="S16" t="s">
        <v>34</v>
      </c>
      <c r="T16" t="s">
        <v>48</v>
      </c>
      <c r="U16" s="6">
        <f>TLFD_Meal!B102</f>
        <v>827729.88400841015</v>
      </c>
      <c r="V16" s="6">
        <f>TLFD_Meal!K11</f>
        <v>5.1336132323735608</v>
      </c>
      <c r="W16" s="373">
        <f t="shared" si="0"/>
        <v>4249245.0853766073</v>
      </c>
      <c r="Y16" s="6">
        <f>TLFD_Meal!F102</f>
        <v>810788.60028539132</v>
      </c>
      <c r="Z16" s="6">
        <f>TLFD_Meal!L11</f>
        <v>4.6800602018233057</v>
      </c>
      <c r="AA16" s="373">
        <f t="shared" si="1"/>
        <v>3794539.4602876841</v>
      </c>
    </row>
    <row r="17" spans="1:28" x14ac:dyDescent="0.25">
      <c r="A17">
        <v>6</v>
      </c>
      <c r="B17" s="6">
        <v>664889.59031248174</v>
      </c>
      <c r="C17" s="9">
        <f t="shared" si="2"/>
        <v>0.11301178667116919</v>
      </c>
      <c r="E17" s="16">
        <v>6</v>
      </c>
      <c r="F17" s="106">
        <v>416743.84310332878</v>
      </c>
      <c r="G17" s="9">
        <f t="shared" si="3"/>
        <v>7.1772938530107175E-2</v>
      </c>
      <c r="S17" t="s">
        <v>47</v>
      </c>
      <c r="T17" t="s">
        <v>32</v>
      </c>
      <c r="U17" s="373">
        <f>TLFD_SocRec!B102</f>
        <v>1706527.5604909635</v>
      </c>
      <c r="V17" s="6">
        <f>TLFD_SocRec!K11</f>
        <v>6.8425498388975505</v>
      </c>
      <c r="W17" s="373">
        <f>U17*V17</f>
        <v>11676999.884111673</v>
      </c>
      <c r="Y17" s="373">
        <f>TLFD_SocRec!F102</f>
        <v>1711238.3033756334</v>
      </c>
      <c r="Z17" s="6">
        <f>TLFD_SocRec!L11</f>
        <v>6.969310913917087</v>
      </c>
      <c r="AA17" s="373">
        <f>Y17*Z17</f>
        <v>11926151.784028761</v>
      </c>
    </row>
    <row r="18" spans="1:28" x14ac:dyDescent="0.25">
      <c r="A18">
        <v>7</v>
      </c>
      <c r="B18" s="6">
        <v>286937.53177327721</v>
      </c>
      <c r="C18" s="9">
        <f t="shared" si="2"/>
        <v>4.8770989350988926E-2</v>
      </c>
      <c r="E18" s="17">
        <v>7</v>
      </c>
      <c r="F18" s="107">
        <v>281168.75294726645</v>
      </c>
      <c r="G18" s="9">
        <f t="shared" si="3"/>
        <v>4.842376907501781E-2</v>
      </c>
      <c r="T18" s="375" t="s">
        <v>35</v>
      </c>
      <c r="U18" s="376">
        <f>SUM(U10:U15)+U17</f>
        <v>15838792.159304362</v>
      </c>
      <c r="V18" s="377">
        <f>W18/U18</f>
        <v>7.4274868459712966</v>
      </c>
      <c r="W18" s="376">
        <f>SUM(W10:W15)+W17</f>
        <v>117642420.41930646</v>
      </c>
      <c r="X18" s="375"/>
      <c r="Y18" s="376">
        <f>SUM(Y10:Y15)+Y17</f>
        <v>15706406.174135882</v>
      </c>
      <c r="Z18" s="377">
        <f>AA18/Y18</f>
        <v>7.1996792657707678</v>
      </c>
      <c r="AA18" s="376">
        <f>SUM(AA10:AA15)+AA17</f>
        <v>113081086.87170008</v>
      </c>
      <c r="AB18" t="s">
        <v>38</v>
      </c>
    </row>
    <row r="19" spans="1:28" x14ac:dyDescent="0.25">
      <c r="A19">
        <v>8</v>
      </c>
      <c r="B19" s="6">
        <v>312170.67879578931</v>
      </c>
      <c r="C19" s="9">
        <f t="shared" si="2"/>
        <v>5.3059886439917908E-2</v>
      </c>
      <c r="E19" s="18">
        <v>8</v>
      </c>
      <c r="F19" s="108">
        <v>322958.918866013</v>
      </c>
      <c r="G19" s="9">
        <f t="shared" si="3"/>
        <v>5.5621003201654917E-2</v>
      </c>
      <c r="S19" s="375" t="s">
        <v>36</v>
      </c>
      <c r="U19" s="378">
        <f>U18+U16</f>
        <v>16666522.043312771</v>
      </c>
      <c r="V19" s="377">
        <f>W19/U19</f>
        <v>7.3135633930049933</v>
      </c>
      <c r="W19" s="379">
        <f>W18+W16</f>
        <v>121891665.50468306</v>
      </c>
      <c r="X19" s="375"/>
      <c r="Y19" s="378">
        <f>Y18+Y16</f>
        <v>16517194.774421275</v>
      </c>
      <c r="Z19" s="377">
        <f>AA19/Y19</f>
        <v>7.075997342659103</v>
      </c>
      <c r="AA19" s="379">
        <f>AA18+AA16</f>
        <v>116875626.33198777</v>
      </c>
      <c r="AB19" t="s">
        <v>37</v>
      </c>
    </row>
    <row r="20" spans="1:28" x14ac:dyDescent="0.25">
      <c r="A20">
        <v>9</v>
      </c>
      <c r="B20" s="6">
        <v>161831.56343164589</v>
      </c>
      <c r="C20" s="9">
        <f t="shared" si="2"/>
        <v>2.7506633266139165E-2</v>
      </c>
      <c r="E20" s="19">
        <v>9</v>
      </c>
      <c r="F20" s="109">
        <v>145349.84931609815</v>
      </c>
      <c r="G20" s="9">
        <f t="shared" si="3"/>
        <v>2.5032609294573464E-2</v>
      </c>
    </row>
    <row r="21" spans="1:28" x14ac:dyDescent="0.25">
      <c r="A21">
        <v>10</v>
      </c>
      <c r="B21" s="6">
        <v>303426.1524707331</v>
      </c>
      <c r="C21" s="9">
        <f t="shared" si="2"/>
        <v>5.1573572684993227E-2</v>
      </c>
      <c r="E21" s="20">
        <v>10</v>
      </c>
      <c r="F21" s="110">
        <v>146993.71161639248</v>
      </c>
      <c r="G21" s="9">
        <f t="shared" si="3"/>
        <v>2.5315720442544837E-2</v>
      </c>
    </row>
    <row r="22" spans="1:28" x14ac:dyDescent="0.25">
      <c r="A22">
        <v>11</v>
      </c>
      <c r="B22" s="6">
        <v>107277.28101512069</v>
      </c>
      <c r="C22" s="9">
        <f t="shared" si="2"/>
        <v>1.8234000612110796E-2</v>
      </c>
      <c r="E22" s="21">
        <v>11</v>
      </c>
      <c r="F22" s="111">
        <v>139415.31850624646</v>
      </c>
      <c r="G22" s="9">
        <f t="shared" si="3"/>
        <v>2.4010545688669383E-2</v>
      </c>
    </row>
    <row r="23" spans="1:28" x14ac:dyDescent="0.25">
      <c r="A23">
        <v>12</v>
      </c>
      <c r="B23" s="6">
        <v>68941.094080508105</v>
      </c>
      <c r="C23" s="9">
        <f t="shared" si="2"/>
        <v>1.1717969916541686E-2</v>
      </c>
      <c r="E23" s="22">
        <v>12</v>
      </c>
      <c r="F23" s="112">
        <v>150932.66349474122</v>
      </c>
      <c r="G23" s="9">
        <f t="shared" si="3"/>
        <v>2.5994099153391632E-2</v>
      </c>
    </row>
    <row r="24" spans="1:28" x14ac:dyDescent="0.25">
      <c r="A24">
        <v>13</v>
      </c>
      <c r="B24" s="6">
        <v>67934.848784654096</v>
      </c>
      <c r="C24" s="9">
        <f t="shared" si="2"/>
        <v>1.1546937642355417E-2</v>
      </c>
      <c r="E24" s="23">
        <v>13</v>
      </c>
      <c r="F24" s="113">
        <v>100322.66254053624</v>
      </c>
      <c r="G24" s="9">
        <f t="shared" si="3"/>
        <v>1.7277885230600254E-2</v>
      </c>
    </row>
    <row r="25" spans="1:28" x14ac:dyDescent="0.25">
      <c r="A25">
        <v>14</v>
      </c>
      <c r="B25" s="6">
        <v>79263.666679820497</v>
      </c>
      <c r="C25" s="9">
        <f t="shared" si="2"/>
        <v>1.3472505390533523E-2</v>
      </c>
      <c r="E25" s="24">
        <v>14</v>
      </c>
      <c r="F25" s="114">
        <v>102808.8101544706</v>
      </c>
      <c r="G25" s="9">
        <f t="shared" si="3"/>
        <v>1.7706057410764753E-2</v>
      </c>
    </row>
    <row r="26" spans="1:28" x14ac:dyDescent="0.25">
      <c r="A26">
        <v>15</v>
      </c>
      <c r="B26" s="6">
        <v>68297.195952493406</v>
      </c>
      <c r="C26" s="9">
        <f t="shared" si="2"/>
        <v>1.1608526064597842E-2</v>
      </c>
      <c r="E26" s="25">
        <v>15</v>
      </c>
      <c r="F26" s="115">
        <v>104680.79815292207</v>
      </c>
      <c r="G26" s="9">
        <f t="shared" si="3"/>
        <v>1.8028457085686025E-2</v>
      </c>
    </row>
    <row r="27" spans="1:28" x14ac:dyDescent="0.25">
      <c r="A27">
        <v>16</v>
      </c>
      <c r="B27" s="6">
        <v>104819.5152228798</v>
      </c>
      <c r="C27" s="9">
        <f t="shared" si="2"/>
        <v>1.7816252301041755E-2</v>
      </c>
      <c r="E27" s="26">
        <v>16</v>
      </c>
      <c r="F27" s="116">
        <v>109535.24668934674</v>
      </c>
      <c r="G27" s="9">
        <f t="shared" si="3"/>
        <v>1.8864505517278543E-2</v>
      </c>
    </row>
    <row r="28" spans="1:28" x14ac:dyDescent="0.25">
      <c r="A28">
        <v>17</v>
      </c>
      <c r="B28" s="6">
        <v>71057.294651197502</v>
      </c>
      <c r="C28" s="9">
        <f t="shared" si="2"/>
        <v>1.2077662128500907E-2</v>
      </c>
      <c r="E28" s="27">
        <v>17</v>
      </c>
      <c r="F28" s="117">
        <v>80745.609352501182</v>
      </c>
      <c r="G28" s="9">
        <f t="shared" si="3"/>
        <v>1.3906263409862056E-2</v>
      </c>
    </row>
    <row r="29" spans="1:28" x14ac:dyDescent="0.25">
      <c r="A29">
        <v>18</v>
      </c>
      <c r="B29" s="6">
        <v>62294.841356417499</v>
      </c>
      <c r="C29" s="9">
        <f t="shared" si="2"/>
        <v>1.0588301312970071E-2</v>
      </c>
      <c r="E29" s="28">
        <v>18</v>
      </c>
      <c r="F29" s="118">
        <v>61068.483795746091</v>
      </c>
      <c r="G29" s="9">
        <f t="shared" si="3"/>
        <v>1.051740681028413E-2</v>
      </c>
    </row>
    <row r="30" spans="1:28" x14ac:dyDescent="0.25">
      <c r="A30">
        <v>19</v>
      </c>
      <c r="B30" s="6">
        <v>31455.874706283299</v>
      </c>
      <c r="C30" s="9">
        <f t="shared" si="2"/>
        <v>5.3465788209901242E-3</v>
      </c>
      <c r="E30" s="29">
        <v>19</v>
      </c>
      <c r="F30" s="119">
        <v>43774.352147705096</v>
      </c>
      <c r="G30" s="9">
        <f t="shared" si="3"/>
        <v>7.5389569345443502E-3</v>
      </c>
    </row>
    <row r="31" spans="1:28" x14ac:dyDescent="0.25">
      <c r="A31">
        <v>20</v>
      </c>
      <c r="B31" s="6">
        <v>31251.3498934255</v>
      </c>
      <c r="C31" s="9">
        <f t="shared" si="2"/>
        <v>5.3118155838205007E-3</v>
      </c>
      <c r="E31" s="30">
        <v>20</v>
      </c>
      <c r="F31" s="120">
        <v>49322.615443594696</v>
      </c>
      <c r="G31" s="9">
        <f t="shared" si="3"/>
        <v>8.4944963314059364E-3</v>
      </c>
    </row>
    <row r="32" spans="1:28" x14ac:dyDescent="0.25">
      <c r="A32">
        <v>21</v>
      </c>
      <c r="B32" s="6">
        <v>30265.1183943176</v>
      </c>
      <c r="C32" s="9">
        <f t="shared" si="2"/>
        <v>5.1441850698081097E-3</v>
      </c>
      <c r="E32" s="31">
        <v>21</v>
      </c>
      <c r="F32" s="121">
        <v>40174.259970297528</v>
      </c>
      <c r="G32" s="9">
        <f t="shared" si="3"/>
        <v>6.9189377097186883E-3</v>
      </c>
    </row>
    <row r="33" spans="1:7" x14ac:dyDescent="0.25">
      <c r="A33">
        <v>22</v>
      </c>
      <c r="B33" s="6">
        <v>27895.2779775489</v>
      </c>
      <c r="C33" s="9">
        <f t="shared" si="2"/>
        <v>4.7413815013258448E-3</v>
      </c>
      <c r="E33" s="32">
        <v>22</v>
      </c>
      <c r="F33" s="122">
        <v>33938.324749900428</v>
      </c>
      <c r="G33" s="9">
        <f t="shared" si="3"/>
        <v>5.8449652859909572E-3</v>
      </c>
    </row>
    <row r="34" spans="1:7" x14ac:dyDescent="0.25">
      <c r="A34">
        <v>23</v>
      </c>
      <c r="B34" s="6">
        <v>41273.0501026813</v>
      </c>
      <c r="C34" s="9">
        <f t="shared" si="2"/>
        <v>7.0152115500568624E-3</v>
      </c>
      <c r="E34" s="33">
        <v>23</v>
      </c>
      <c r="F34" s="123">
        <v>35615.20665438626</v>
      </c>
      <c r="G34" s="9">
        <f t="shared" si="3"/>
        <v>6.1337631742972984E-3</v>
      </c>
    </row>
    <row r="35" spans="1:7" x14ac:dyDescent="0.25">
      <c r="A35">
        <v>24</v>
      </c>
      <c r="B35" s="6">
        <v>36024.745351869802</v>
      </c>
      <c r="C35" s="9">
        <f t="shared" si="2"/>
        <v>6.1231532210864218E-3</v>
      </c>
      <c r="E35" s="34">
        <v>24</v>
      </c>
      <c r="F35" s="124">
        <v>31864.627212529394</v>
      </c>
      <c r="G35" s="9">
        <f t="shared" si="3"/>
        <v>5.4878265583460642E-3</v>
      </c>
    </row>
    <row r="36" spans="1:7" x14ac:dyDescent="0.25">
      <c r="A36">
        <v>25</v>
      </c>
      <c r="B36" s="6">
        <v>14997.599839590501</v>
      </c>
      <c r="C36" s="9">
        <f t="shared" si="2"/>
        <v>2.5491533907980109E-3</v>
      </c>
      <c r="E36" s="35">
        <v>25</v>
      </c>
      <c r="F36" s="125">
        <v>23440.53825907654</v>
      </c>
      <c r="G36" s="9">
        <f t="shared" si="3"/>
        <v>4.0370034001058711E-3</v>
      </c>
    </row>
    <row r="37" spans="1:7" x14ac:dyDescent="0.25">
      <c r="A37">
        <v>26</v>
      </c>
      <c r="B37" s="6">
        <v>23789.640865390698</v>
      </c>
      <c r="C37" s="9">
        <f t="shared" si="2"/>
        <v>4.0435432553542145E-3</v>
      </c>
      <c r="E37" s="36">
        <v>26</v>
      </c>
      <c r="F37" s="126">
        <v>24640.012377937041</v>
      </c>
      <c r="G37" s="9">
        <f t="shared" si="3"/>
        <v>4.2435806144453855E-3</v>
      </c>
    </row>
    <row r="38" spans="1:7" x14ac:dyDescent="0.25">
      <c r="A38">
        <v>27</v>
      </c>
      <c r="B38" s="6">
        <v>10168.2846509222</v>
      </c>
      <c r="C38" s="9">
        <f t="shared" si="2"/>
        <v>1.728311034681229E-3</v>
      </c>
      <c r="E38" s="37">
        <v>27</v>
      </c>
      <c r="F38" s="127">
        <v>23750.514648138836</v>
      </c>
      <c r="G38" s="9">
        <f t="shared" si="3"/>
        <v>4.0903885110946296E-3</v>
      </c>
    </row>
    <row r="39" spans="1:7" x14ac:dyDescent="0.25">
      <c r="A39">
        <v>28</v>
      </c>
      <c r="B39" s="6">
        <v>12739.617829762399</v>
      </c>
      <c r="C39" s="9">
        <f t="shared" si="2"/>
        <v>2.1653624803671472E-3</v>
      </c>
      <c r="E39" s="38">
        <v>28</v>
      </c>
      <c r="F39" s="128">
        <v>18152.505824599422</v>
      </c>
      <c r="G39" s="9">
        <f t="shared" si="3"/>
        <v>3.1262817826281648E-3</v>
      </c>
    </row>
    <row r="40" spans="1:7" x14ac:dyDescent="0.25">
      <c r="A40">
        <v>29</v>
      </c>
      <c r="B40" s="6">
        <v>5811.7859794845999</v>
      </c>
      <c r="C40" s="9">
        <f t="shared" si="2"/>
        <v>9.878336596957785E-4</v>
      </c>
      <c r="E40" s="39">
        <v>29</v>
      </c>
      <c r="F40" s="129">
        <v>19360.4869746767</v>
      </c>
      <c r="G40" s="9">
        <f t="shared" si="3"/>
        <v>3.3343241047040012E-3</v>
      </c>
    </row>
    <row r="41" spans="1:7" x14ac:dyDescent="0.25">
      <c r="A41">
        <v>30</v>
      </c>
      <c r="B41" s="6">
        <v>9598.9321423839992</v>
      </c>
      <c r="C41" s="9">
        <f t="shared" si="2"/>
        <v>1.6315377580754481E-3</v>
      </c>
      <c r="E41" s="40">
        <v>30</v>
      </c>
      <c r="F41" s="130">
        <v>15372.080044273831</v>
      </c>
      <c r="G41" s="9">
        <f t="shared" si="3"/>
        <v>2.6474280888752026E-3</v>
      </c>
    </row>
    <row r="42" spans="1:7" x14ac:dyDescent="0.25">
      <c r="A42">
        <v>31</v>
      </c>
      <c r="B42" s="6">
        <v>3587.2195580972002</v>
      </c>
      <c r="C42" s="9">
        <f t="shared" si="2"/>
        <v>6.0972242211191708E-4</v>
      </c>
      <c r="E42" s="41">
        <v>31</v>
      </c>
      <c r="F42" s="131">
        <v>11575.64042801593</v>
      </c>
      <c r="G42" s="9">
        <f t="shared" si="3"/>
        <v>1.9935932891049701E-3</v>
      </c>
    </row>
    <row r="43" spans="1:7" x14ac:dyDescent="0.25">
      <c r="A43">
        <v>32</v>
      </c>
      <c r="B43" s="6">
        <v>5179.8691213308002</v>
      </c>
      <c r="C43" s="9">
        <f t="shared" si="2"/>
        <v>8.8042627325432467E-4</v>
      </c>
      <c r="E43" s="42">
        <v>32</v>
      </c>
      <c r="F43" s="132">
        <v>11184.210166706596</v>
      </c>
      <c r="G43" s="9">
        <f t="shared" si="3"/>
        <v>1.9261799354377085E-3</v>
      </c>
    </row>
    <row r="44" spans="1:7" x14ac:dyDescent="0.25">
      <c r="A44">
        <v>33</v>
      </c>
      <c r="B44" s="6">
        <v>7294.8721683681997</v>
      </c>
      <c r="C44" s="9">
        <f t="shared" si="2"/>
        <v>1.2399149412124586E-3</v>
      </c>
      <c r="E44" s="43">
        <v>33</v>
      </c>
      <c r="F44" s="133">
        <v>8601.0543716126631</v>
      </c>
      <c r="G44" s="9">
        <f t="shared" si="3"/>
        <v>1.4813007004756261E-3</v>
      </c>
    </row>
    <row r="45" spans="1:7" x14ac:dyDescent="0.25">
      <c r="A45">
        <v>34</v>
      </c>
      <c r="B45" s="6">
        <v>7902.7951278496002</v>
      </c>
      <c r="C45" s="9">
        <f t="shared" si="2"/>
        <v>1.3432440665445749E-3</v>
      </c>
      <c r="E45" s="44">
        <v>34</v>
      </c>
      <c r="F45" s="134">
        <v>7350.0466040517631</v>
      </c>
      <c r="G45" s="9">
        <f t="shared" si="3"/>
        <v>1.2658481986864811E-3</v>
      </c>
    </row>
    <row r="46" spans="1:7" x14ac:dyDescent="0.25">
      <c r="A46">
        <v>35</v>
      </c>
      <c r="B46" s="6">
        <v>2861.0567208448001</v>
      </c>
      <c r="C46" s="9">
        <f t="shared" si="2"/>
        <v>4.8629597530361216E-4</v>
      </c>
      <c r="E46" s="45">
        <v>35</v>
      </c>
      <c r="F46" s="135">
        <v>7658.645447447986</v>
      </c>
      <c r="G46" s="9">
        <f t="shared" si="3"/>
        <v>1.3189960644176314E-3</v>
      </c>
    </row>
    <row r="47" spans="1:7" x14ac:dyDescent="0.25">
      <c r="A47">
        <v>36</v>
      </c>
      <c r="B47" s="6">
        <v>4640.3094541365999</v>
      </c>
      <c r="C47" s="9">
        <f t="shared" si="2"/>
        <v>7.887169084308199E-4</v>
      </c>
      <c r="E47" s="46">
        <v>36</v>
      </c>
      <c r="F47" s="136">
        <v>6409.3828006807335</v>
      </c>
      <c r="G47" s="9">
        <f t="shared" si="3"/>
        <v>1.1038441128334213E-3</v>
      </c>
    </row>
    <row r="48" spans="1:7" x14ac:dyDescent="0.25">
      <c r="A48">
        <v>37</v>
      </c>
      <c r="B48" s="6">
        <v>4062.3644320802</v>
      </c>
      <c r="C48" s="9">
        <f t="shared" si="2"/>
        <v>6.904831558018973E-4</v>
      </c>
      <c r="E48" s="47">
        <v>37</v>
      </c>
      <c r="F48" s="137">
        <v>5757.7467247917957</v>
      </c>
      <c r="G48" s="9">
        <f t="shared" si="3"/>
        <v>9.9161729342680388E-4</v>
      </c>
    </row>
    <row r="49" spans="1:7" x14ac:dyDescent="0.25">
      <c r="A49">
        <v>38</v>
      </c>
      <c r="B49" s="6">
        <v>6321.6633596990996</v>
      </c>
      <c r="C49" s="9">
        <f t="shared" si="2"/>
        <v>1.0744979037459444E-3</v>
      </c>
      <c r="E49" s="48">
        <v>38</v>
      </c>
      <c r="F49" s="138">
        <v>5254.6203479012611</v>
      </c>
      <c r="G49" s="9">
        <f t="shared" si="3"/>
        <v>9.0496728258912388E-4</v>
      </c>
    </row>
    <row r="50" spans="1:7" x14ac:dyDescent="0.25">
      <c r="A50">
        <v>39</v>
      </c>
      <c r="B50" s="6">
        <v>4704.9573045597999</v>
      </c>
      <c r="C50" s="9">
        <f t="shared" si="2"/>
        <v>7.997051524749817E-4</v>
      </c>
      <c r="E50" s="49">
        <v>39</v>
      </c>
      <c r="F50" s="139">
        <v>4722.6710691396811</v>
      </c>
      <c r="G50" s="9">
        <f t="shared" si="3"/>
        <v>8.1335330072107408E-4</v>
      </c>
    </row>
    <row r="51" spans="1:7" x14ac:dyDescent="0.25">
      <c r="A51">
        <v>40</v>
      </c>
      <c r="B51" s="6">
        <v>2537.7153002963</v>
      </c>
      <c r="C51" s="9">
        <f t="shared" si="2"/>
        <v>4.3133738943703791E-4</v>
      </c>
      <c r="E51" s="50">
        <v>40</v>
      </c>
      <c r="F51" s="140">
        <v>3977.770849348085</v>
      </c>
      <c r="G51" s="9">
        <f t="shared" si="3"/>
        <v>6.8506423641710647E-4</v>
      </c>
    </row>
    <row r="52" spans="1:7" x14ac:dyDescent="0.25">
      <c r="A52">
        <v>41</v>
      </c>
      <c r="B52" s="6">
        <v>3990.2261728134999</v>
      </c>
      <c r="C52" s="9">
        <f t="shared" si="2"/>
        <v>6.7822176129992242E-4</v>
      </c>
      <c r="E52" s="51">
        <v>41</v>
      </c>
      <c r="F52" s="141">
        <v>3901.7332096106234</v>
      </c>
      <c r="G52" s="9">
        <f t="shared" si="3"/>
        <v>6.7196879437719098E-4</v>
      </c>
    </row>
    <row r="53" spans="1:7" x14ac:dyDescent="0.25">
      <c r="A53">
        <v>42</v>
      </c>
      <c r="B53" s="6">
        <v>1655.8316529626002</v>
      </c>
      <c r="C53" s="9">
        <f t="shared" si="2"/>
        <v>2.8144295873249131E-4</v>
      </c>
      <c r="E53" s="52">
        <v>42</v>
      </c>
      <c r="F53" s="142">
        <v>3253.3585883834976</v>
      </c>
      <c r="G53" s="9">
        <f t="shared" si="3"/>
        <v>5.6030367297483878E-4</v>
      </c>
    </row>
    <row r="54" spans="1:7" x14ac:dyDescent="0.25">
      <c r="A54">
        <v>43</v>
      </c>
      <c r="B54" s="6">
        <v>3973.8912322720003</v>
      </c>
      <c r="C54" s="9">
        <f t="shared" si="2"/>
        <v>6.7544529909828888E-4</v>
      </c>
      <c r="E54" s="53">
        <v>43</v>
      </c>
      <c r="F54" s="143">
        <v>2350.9724767673265</v>
      </c>
      <c r="G54" s="9">
        <f t="shared" si="3"/>
        <v>4.0489189187411265E-4</v>
      </c>
    </row>
    <row r="55" spans="1:7" x14ac:dyDescent="0.25">
      <c r="A55">
        <v>44</v>
      </c>
      <c r="B55" s="6">
        <v>2581.7723076689999</v>
      </c>
      <c r="C55" s="9">
        <f t="shared" si="2"/>
        <v>4.3882579231041378E-4</v>
      </c>
      <c r="E55" s="54">
        <v>44</v>
      </c>
      <c r="F55" s="144">
        <v>2367.240139214327</v>
      </c>
      <c r="G55" s="9">
        <f t="shared" si="3"/>
        <v>4.076935599878935E-4</v>
      </c>
    </row>
    <row r="56" spans="1:7" x14ac:dyDescent="0.25">
      <c r="A56">
        <v>45</v>
      </c>
      <c r="B56" s="6">
        <v>445.20986022990002</v>
      </c>
      <c r="C56" s="9">
        <f t="shared" si="2"/>
        <v>7.5672656755772328E-5</v>
      </c>
      <c r="E56" s="55">
        <v>45</v>
      </c>
      <c r="F56" s="145">
        <v>2341.6447229916475</v>
      </c>
      <c r="G56" s="9">
        <f t="shared" si="3"/>
        <v>4.0328543671119908E-4</v>
      </c>
    </row>
    <row r="57" spans="1:7" x14ac:dyDescent="0.25">
      <c r="A57">
        <v>46</v>
      </c>
      <c r="B57" s="6">
        <v>6077.4080376669999</v>
      </c>
      <c r="C57" s="9">
        <f t="shared" si="2"/>
        <v>1.0329816418748322E-3</v>
      </c>
      <c r="E57" s="56">
        <v>46</v>
      </c>
      <c r="F57" s="146">
        <v>1868.331104889638</v>
      </c>
      <c r="G57" s="9">
        <f t="shared" si="3"/>
        <v>3.2176987318294496E-4</v>
      </c>
    </row>
    <row r="58" spans="1:7" x14ac:dyDescent="0.25">
      <c r="A58">
        <v>47</v>
      </c>
      <c r="B58" s="6">
        <v>5102.0705363289999</v>
      </c>
      <c r="C58" s="9">
        <f t="shared" si="2"/>
        <v>8.6720278890497549E-4</v>
      </c>
      <c r="E58" s="57">
        <v>47</v>
      </c>
      <c r="F58" s="147">
        <v>1835.1343377894545</v>
      </c>
      <c r="G58" s="9">
        <f t="shared" si="3"/>
        <v>3.1605262129330157E-4</v>
      </c>
    </row>
    <row r="59" spans="1:7" x14ac:dyDescent="0.25">
      <c r="A59">
        <v>48</v>
      </c>
      <c r="B59" s="6">
        <v>626.59669115399993</v>
      </c>
      <c r="C59" s="9">
        <f t="shared" si="2"/>
        <v>1.0650311363165733E-4</v>
      </c>
      <c r="E59" s="58">
        <v>48</v>
      </c>
      <c r="F59" s="148">
        <v>1590.6502783201329</v>
      </c>
      <c r="G59" s="9">
        <f t="shared" si="3"/>
        <v>2.7394680578511193E-4</v>
      </c>
    </row>
    <row r="60" spans="1:7" x14ac:dyDescent="0.25">
      <c r="A60">
        <v>49</v>
      </c>
      <c r="B60" s="6">
        <v>5384.7754416070002</v>
      </c>
      <c r="C60" s="9">
        <f t="shared" si="2"/>
        <v>9.1525435552847342E-4</v>
      </c>
      <c r="E60" s="59">
        <v>49</v>
      </c>
      <c r="F60" s="149">
        <v>1493.27486892971</v>
      </c>
      <c r="G60" s="9">
        <f t="shared" si="3"/>
        <v>2.5717650578384717E-4</v>
      </c>
    </row>
    <row r="61" spans="1:7" x14ac:dyDescent="0.25">
      <c r="A61">
        <v>50</v>
      </c>
      <c r="B61" s="6">
        <v>634.70045483500007</v>
      </c>
      <c r="C61" s="9">
        <f t="shared" si="2"/>
        <v>1.0788051647521869E-4</v>
      </c>
      <c r="E61" s="60">
        <v>50</v>
      </c>
      <c r="F61" s="150">
        <v>969.06258165937606</v>
      </c>
      <c r="G61" s="9">
        <f t="shared" si="3"/>
        <v>1.6689501298288001E-4</v>
      </c>
    </row>
    <row r="62" spans="1:7" x14ac:dyDescent="0.25">
      <c r="A62">
        <v>51</v>
      </c>
      <c r="B62" s="6">
        <v>971.45850096200002</v>
      </c>
      <c r="C62" s="9">
        <f t="shared" si="2"/>
        <v>1.6511953634138643E-4</v>
      </c>
      <c r="E62" s="61">
        <v>51</v>
      </c>
      <c r="F62" s="151">
        <v>1018.4757692353298</v>
      </c>
      <c r="G62" s="9">
        <f t="shared" si="3"/>
        <v>1.7540510793246814E-4</v>
      </c>
    </row>
    <row r="63" spans="1:7" x14ac:dyDescent="0.25">
      <c r="A63">
        <v>52</v>
      </c>
      <c r="B63" s="6">
        <v>1079.971539528</v>
      </c>
      <c r="C63" s="9">
        <f t="shared" si="2"/>
        <v>1.8356357959930196E-4</v>
      </c>
      <c r="E63" s="62">
        <v>52</v>
      </c>
      <c r="F63" s="152">
        <v>1013.8590490646073</v>
      </c>
      <c r="G63" s="9">
        <f t="shared" si="3"/>
        <v>1.7461000182950452E-4</v>
      </c>
    </row>
    <row r="64" spans="1:7" x14ac:dyDescent="0.25">
      <c r="A64">
        <v>53</v>
      </c>
      <c r="B64" s="6">
        <v>5158.8769299545002</v>
      </c>
      <c r="C64" s="9">
        <f t="shared" si="2"/>
        <v>8.7685821460497236E-4</v>
      </c>
      <c r="E64" s="63">
        <v>53</v>
      </c>
      <c r="F64" s="153">
        <v>556.05412484461158</v>
      </c>
      <c r="G64" s="9">
        <f t="shared" si="3"/>
        <v>9.5765394455964476E-5</v>
      </c>
    </row>
    <row r="65" spans="1:7" x14ac:dyDescent="0.25">
      <c r="A65">
        <v>54</v>
      </c>
      <c r="B65" s="6">
        <v>1350.7007925549999</v>
      </c>
      <c r="C65" s="9">
        <f t="shared" si="2"/>
        <v>2.2957963554981416E-4</v>
      </c>
      <c r="E65" s="64">
        <v>54</v>
      </c>
      <c r="F65" s="154">
        <v>605.46326199452869</v>
      </c>
      <c r="G65" s="9">
        <f t="shared" si="3"/>
        <v>1.0427479182841077E-4</v>
      </c>
    </row>
    <row r="66" spans="1:7" x14ac:dyDescent="0.25">
      <c r="A66">
        <v>55</v>
      </c>
      <c r="B66" s="6">
        <v>0</v>
      </c>
      <c r="C66" s="9">
        <f t="shared" si="2"/>
        <v>0</v>
      </c>
      <c r="E66" s="65">
        <v>55</v>
      </c>
      <c r="F66" s="155">
        <v>573.36507311188836</v>
      </c>
      <c r="G66" s="9">
        <f t="shared" si="3"/>
        <v>9.8746740542886906E-5</v>
      </c>
    </row>
    <row r="67" spans="1:7" x14ac:dyDescent="0.25">
      <c r="A67">
        <v>56</v>
      </c>
      <c r="B67" s="6">
        <v>0</v>
      </c>
      <c r="C67" s="9">
        <f t="shared" si="2"/>
        <v>0</v>
      </c>
      <c r="E67" s="66">
        <v>56</v>
      </c>
      <c r="F67" s="156">
        <v>705.9366208489688</v>
      </c>
      <c r="G67" s="9">
        <f t="shared" si="3"/>
        <v>1.2157863045329273E-4</v>
      </c>
    </row>
    <row r="68" spans="1:7" x14ac:dyDescent="0.25">
      <c r="A68">
        <v>57</v>
      </c>
      <c r="B68" s="6">
        <v>0</v>
      </c>
      <c r="C68" s="9">
        <f t="shared" si="2"/>
        <v>0</v>
      </c>
      <c r="E68" s="67">
        <v>57</v>
      </c>
      <c r="F68" s="157">
        <v>594.1487259840718</v>
      </c>
      <c r="G68" s="9">
        <f t="shared" si="3"/>
        <v>1.023261667652833E-4</v>
      </c>
    </row>
    <row r="69" spans="1:7" x14ac:dyDescent="0.25">
      <c r="A69">
        <v>58</v>
      </c>
      <c r="B69" s="6">
        <v>711.727573689</v>
      </c>
      <c r="C69" s="9">
        <f t="shared" si="2"/>
        <v>1.2097287413979261E-4</v>
      </c>
      <c r="E69" s="68">
        <v>58</v>
      </c>
      <c r="F69" s="158">
        <v>243.45243937982102</v>
      </c>
      <c r="G69" s="9">
        <f t="shared" si="3"/>
        <v>4.1928146643980903E-5</v>
      </c>
    </row>
    <row r="70" spans="1:7" x14ac:dyDescent="0.25">
      <c r="A70">
        <v>59</v>
      </c>
      <c r="B70" s="6">
        <v>507.74369763300001</v>
      </c>
      <c r="C70" s="9">
        <f t="shared" si="2"/>
        <v>8.6301580407603556E-5</v>
      </c>
      <c r="E70" s="69">
        <v>59</v>
      </c>
      <c r="F70" s="159">
        <v>240.7654726822376</v>
      </c>
      <c r="G70" s="9">
        <f t="shared" si="3"/>
        <v>4.1465388768106815E-5</v>
      </c>
    </row>
    <row r="71" spans="1:7" x14ac:dyDescent="0.25">
      <c r="A71">
        <v>60</v>
      </c>
      <c r="B71" s="6">
        <v>0</v>
      </c>
      <c r="C71" s="9">
        <f t="shared" si="2"/>
        <v>0</v>
      </c>
      <c r="E71" s="70">
        <v>60</v>
      </c>
      <c r="F71" s="160">
        <v>232.08383598444337</v>
      </c>
      <c r="G71" s="9">
        <f t="shared" si="3"/>
        <v>3.9970209925363813E-5</v>
      </c>
    </row>
    <row r="72" spans="1:7" x14ac:dyDescent="0.25">
      <c r="A72">
        <v>61</v>
      </c>
      <c r="B72" s="6">
        <v>1707.027510072</v>
      </c>
      <c r="C72" s="9">
        <f t="shared" si="2"/>
        <v>2.9014475729633403E-4</v>
      </c>
      <c r="E72" s="71">
        <v>61</v>
      </c>
      <c r="F72" s="161">
        <v>171.44292582229463</v>
      </c>
      <c r="G72" s="9">
        <f t="shared" si="3"/>
        <v>2.9526441194271815E-5</v>
      </c>
    </row>
    <row r="73" spans="1:7" x14ac:dyDescent="0.25">
      <c r="A73">
        <v>62</v>
      </c>
      <c r="B73" s="6">
        <v>413.74078221299999</v>
      </c>
      <c r="C73" s="9">
        <f t="shared" si="2"/>
        <v>7.032383375808804E-5</v>
      </c>
      <c r="E73" s="72">
        <v>62</v>
      </c>
      <c r="F73" s="162">
        <v>142.96356063847961</v>
      </c>
      <c r="G73" s="9">
        <f t="shared" si="3"/>
        <v>2.4621635135247154E-5</v>
      </c>
    </row>
    <row r="74" spans="1:7" x14ac:dyDescent="0.25">
      <c r="A74">
        <v>63</v>
      </c>
      <c r="B74" s="6">
        <v>0</v>
      </c>
      <c r="C74" s="9">
        <f t="shared" si="2"/>
        <v>0</v>
      </c>
      <c r="E74" s="73">
        <v>63</v>
      </c>
      <c r="F74" s="163">
        <v>167.56171265658531</v>
      </c>
      <c r="G74" s="9">
        <f t="shared" si="3"/>
        <v>2.8858006426548977E-5</v>
      </c>
    </row>
    <row r="75" spans="1:7" x14ac:dyDescent="0.25">
      <c r="A75">
        <v>64</v>
      </c>
      <c r="B75" s="6">
        <v>0</v>
      </c>
      <c r="C75" s="9">
        <f t="shared" si="2"/>
        <v>0</v>
      </c>
      <c r="E75" s="74">
        <v>64</v>
      </c>
      <c r="F75" s="164">
        <v>59.434654480249364</v>
      </c>
      <c r="G75" s="9">
        <f t="shared" si="3"/>
        <v>1.023602357458565E-5</v>
      </c>
    </row>
    <row r="76" spans="1:7" x14ac:dyDescent="0.25">
      <c r="A76">
        <v>65</v>
      </c>
      <c r="B76" s="6">
        <v>0</v>
      </c>
      <c r="C76" s="9">
        <f t="shared" si="2"/>
        <v>0</v>
      </c>
      <c r="E76" s="75">
        <v>65</v>
      </c>
      <c r="F76" s="165">
        <v>177.20970524306878</v>
      </c>
      <c r="G76" s="9">
        <f t="shared" si="3"/>
        <v>3.0519614127078141E-5</v>
      </c>
    </row>
    <row r="77" spans="1:7" x14ac:dyDescent="0.25">
      <c r="A77">
        <v>66</v>
      </c>
      <c r="B77" s="6">
        <v>0</v>
      </c>
      <c r="C77" s="9">
        <f t="shared" ref="C77:C102" si="4">B77/B$102</f>
        <v>0</v>
      </c>
      <c r="E77" s="76">
        <v>66</v>
      </c>
      <c r="F77" s="166">
        <v>74.510566737828555</v>
      </c>
      <c r="G77" s="9">
        <f t="shared" ref="G77:G102" si="5">F77/F$102</f>
        <v>1.2832444713506317E-5</v>
      </c>
    </row>
    <row r="78" spans="1:7" x14ac:dyDescent="0.25">
      <c r="A78">
        <v>67</v>
      </c>
      <c r="B78" s="6">
        <v>0</v>
      </c>
      <c r="C78" s="9">
        <f t="shared" si="4"/>
        <v>0</v>
      </c>
      <c r="E78" s="77">
        <v>67</v>
      </c>
      <c r="F78" s="167">
        <v>210.81518968752331</v>
      </c>
      <c r="G78" s="9">
        <f t="shared" si="5"/>
        <v>3.6307256606317544E-5</v>
      </c>
    </row>
    <row r="79" spans="1:7" x14ac:dyDescent="0.25">
      <c r="A79">
        <v>68</v>
      </c>
      <c r="B79" s="6">
        <v>629.76290590999997</v>
      </c>
      <c r="C79" s="9">
        <f t="shared" si="4"/>
        <v>1.0704127754905604E-4</v>
      </c>
      <c r="E79" s="78">
        <v>68</v>
      </c>
      <c r="F79" s="168">
        <v>180.04781653216943</v>
      </c>
      <c r="G79" s="9">
        <f t="shared" si="5"/>
        <v>3.1008402601017796E-5</v>
      </c>
    </row>
    <row r="80" spans="1:7" x14ac:dyDescent="0.25">
      <c r="A80">
        <v>69</v>
      </c>
      <c r="B80" s="6">
        <v>1092.7416628880001</v>
      </c>
      <c r="C80" s="9">
        <f t="shared" si="4"/>
        <v>1.857341271277218E-4</v>
      </c>
      <c r="E80" s="79">
        <v>69</v>
      </c>
      <c r="F80" s="169">
        <v>94.97363463845457</v>
      </c>
      <c r="G80" s="9">
        <f t="shared" si="5"/>
        <v>1.635665878139091E-5</v>
      </c>
    </row>
    <row r="81" spans="1:7" x14ac:dyDescent="0.25">
      <c r="A81">
        <v>70</v>
      </c>
      <c r="B81" s="6">
        <v>0</v>
      </c>
      <c r="C81" s="9">
        <f t="shared" si="4"/>
        <v>0</v>
      </c>
      <c r="E81" s="80">
        <v>70</v>
      </c>
      <c r="F81" s="170">
        <v>125.29041809836762</v>
      </c>
      <c r="G81" s="9">
        <f t="shared" si="5"/>
        <v>2.1577910808764964E-5</v>
      </c>
    </row>
    <row r="82" spans="1:7" x14ac:dyDescent="0.25">
      <c r="A82">
        <v>71</v>
      </c>
      <c r="B82" s="6">
        <v>2000.113239284</v>
      </c>
      <c r="C82" s="9">
        <f t="shared" si="4"/>
        <v>3.3996076041724923E-4</v>
      </c>
      <c r="E82" s="81">
        <v>71</v>
      </c>
      <c r="F82" s="171">
        <v>10.2632450331126</v>
      </c>
      <c r="G82" s="9">
        <f t="shared" si="5"/>
        <v>1.7675684165977656E-6</v>
      </c>
    </row>
    <row r="83" spans="1:7" x14ac:dyDescent="0.25">
      <c r="A83">
        <v>72</v>
      </c>
      <c r="B83" s="6">
        <v>432.73178151799999</v>
      </c>
      <c r="C83" s="9">
        <f t="shared" si="4"/>
        <v>7.3551748277129198E-5</v>
      </c>
      <c r="E83" s="82">
        <v>72</v>
      </c>
      <c r="F83" s="172">
        <v>64.223416541847399</v>
      </c>
      <c r="G83" s="9">
        <f t="shared" si="5"/>
        <v>1.1060759274393376E-5</v>
      </c>
    </row>
    <row r="84" spans="1:7" x14ac:dyDescent="0.25">
      <c r="A84">
        <v>73</v>
      </c>
      <c r="B84" s="6">
        <v>0</v>
      </c>
      <c r="C84" s="9">
        <f t="shared" si="4"/>
        <v>0</v>
      </c>
      <c r="E84" s="83">
        <v>73</v>
      </c>
      <c r="F84" s="173">
        <v>39.977506079354811</v>
      </c>
      <c r="G84" s="9">
        <f t="shared" si="5"/>
        <v>6.8850521343133435E-6</v>
      </c>
    </row>
    <row r="85" spans="1:7" x14ac:dyDescent="0.25">
      <c r="A85">
        <v>74</v>
      </c>
      <c r="B85" s="6">
        <v>0</v>
      </c>
      <c r="C85" s="9">
        <f t="shared" si="4"/>
        <v>0</v>
      </c>
      <c r="E85" s="84">
        <v>74</v>
      </c>
      <c r="F85" s="174">
        <v>39.907781675704477</v>
      </c>
      <c r="G85" s="9">
        <f t="shared" si="5"/>
        <v>6.8730439776961313E-6</v>
      </c>
    </row>
    <row r="86" spans="1:7" x14ac:dyDescent="0.25">
      <c r="A86">
        <v>75</v>
      </c>
      <c r="B86" s="6">
        <v>531.69725021500005</v>
      </c>
      <c r="C86" s="9">
        <f t="shared" si="4"/>
        <v>9.0372983861433223E-5</v>
      </c>
      <c r="E86" s="85">
        <v>75</v>
      </c>
      <c r="F86" s="175">
        <v>23.97058619528741</v>
      </c>
      <c r="G86" s="9">
        <f t="shared" si="5"/>
        <v>4.1282899267654637E-6</v>
      </c>
    </row>
    <row r="87" spans="1:7" x14ac:dyDescent="0.25">
      <c r="A87">
        <v>76</v>
      </c>
      <c r="B87" s="6">
        <v>0</v>
      </c>
      <c r="C87" s="9">
        <f t="shared" si="4"/>
        <v>0</v>
      </c>
      <c r="E87" s="86">
        <v>76</v>
      </c>
      <c r="F87" s="176">
        <v>14.92534447707251</v>
      </c>
      <c r="G87" s="9">
        <f t="shared" si="5"/>
        <v>2.5704898810658477E-6</v>
      </c>
    </row>
    <row r="88" spans="1:7" x14ac:dyDescent="0.25">
      <c r="A88">
        <v>77</v>
      </c>
      <c r="B88" s="6">
        <v>0</v>
      </c>
      <c r="C88" s="9">
        <f t="shared" si="4"/>
        <v>0</v>
      </c>
      <c r="E88" s="87">
        <v>77</v>
      </c>
      <c r="F88" s="177">
        <v>49.896239989989958</v>
      </c>
      <c r="G88" s="9">
        <f t="shared" si="5"/>
        <v>8.5932877592557283E-6</v>
      </c>
    </row>
    <row r="89" spans="1:7" x14ac:dyDescent="0.25">
      <c r="A89">
        <v>78</v>
      </c>
      <c r="B89" s="6">
        <v>1107.419474436</v>
      </c>
      <c r="C89" s="9">
        <f t="shared" si="4"/>
        <v>1.8822892586067025E-4</v>
      </c>
      <c r="E89" s="88">
        <v>78</v>
      </c>
      <c r="F89" s="178">
        <v>29.857142857142861</v>
      </c>
      <c r="G89" s="9">
        <f t="shared" si="5"/>
        <v>5.1420912736532431E-6</v>
      </c>
    </row>
    <row r="90" spans="1:7" x14ac:dyDescent="0.25">
      <c r="A90">
        <v>79</v>
      </c>
      <c r="B90" s="6">
        <v>0</v>
      </c>
      <c r="C90" s="9">
        <f t="shared" si="4"/>
        <v>0</v>
      </c>
      <c r="E90" s="89">
        <v>79</v>
      </c>
      <c r="F90" s="179">
        <v>0</v>
      </c>
      <c r="G90" s="9">
        <f t="shared" si="5"/>
        <v>0</v>
      </c>
    </row>
    <row r="91" spans="1:7" x14ac:dyDescent="0.25">
      <c r="A91">
        <v>80</v>
      </c>
      <c r="B91" s="6">
        <v>0</v>
      </c>
      <c r="C91" s="9">
        <f t="shared" si="4"/>
        <v>0</v>
      </c>
      <c r="E91" s="90">
        <v>80</v>
      </c>
      <c r="F91" s="180">
        <v>9.8684210526315805</v>
      </c>
      <c r="G91" s="9">
        <f t="shared" si="5"/>
        <v>1.6995705859153569E-6</v>
      </c>
    </row>
    <row r="92" spans="1:7" x14ac:dyDescent="0.25">
      <c r="A92">
        <v>81</v>
      </c>
      <c r="B92" s="6">
        <v>779.47223196899995</v>
      </c>
      <c r="C92" s="9">
        <f t="shared" si="4"/>
        <v>1.3248748495818804E-4</v>
      </c>
      <c r="E92" s="91">
        <v>81</v>
      </c>
      <c r="F92" s="181">
        <v>0</v>
      </c>
      <c r="G92" s="9">
        <f t="shared" si="5"/>
        <v>0</v>
      </c>
    </row>
    <row r="93" spans="1:7" x14ac:dyDescent="0.25">
      <c r="A93">
        <v>82</v>
      </c>
      <c r="B93" s="6">
        <v>0</v>
      </c>
      <c r="C93" s="9">
        <f t="shared" si="4"/>
        <v>0</v>
      </c>
      <c r="E93" s="92">
        <v>82</v>
      </c>
      <c r="F93" s="182">
        <v>0</v>
      </c>
      <c r="G93" s="9">
        <f t="shared" si="5"/>
        <v>0</v>
      </c>
    </row>
    <row r="94" spans="1:7" x14ac:dyDescent="0.25">
      <c r="A94">
        <v>83</v>
      </c>
      <c r="B94" s="6">
        <v>351.63070995499999</v>
      </c>
      <c r="C94" s="9">
        <f t="shared" si="4"/>
        <v>5.9766937788558475E-5</v>
      </c>
      <c r="E94" s="93">
        <v>83</v>
      </c>
      <c r="F94" s="183">
        <v>89.983756649587619</v>
      </c>
      <c r="G94" s="9">
        <f t="shared" si="5"/>
        <v>1.549728626252952E-5</v>
      </c>
    </row>
    <row r="95" spans="1:7" x14ac:dyDescent="0.25">
      <c r="A95">
        <v>84</v>
      </c>
      <c r="B95" s="6">
        <v>667.45279271599998</v>
      </c>
      <c r="C95" s="9">
        <f t="shared" si="4"/>
        <v>1.1344745612282251E-4</v>
      </c>
      <c r="E95" s="94">
        <v>84</v>
      </c>
      <c r="F95" s="184">
        <v>0</v>
      </c>
      <c r="G95" s="9">
        <f t="shared" si="5"/>
        <v>0</v>
      </c>
    </row>
    <row r="96" spans="1:7" x14ac:dyDescent="0.25">
      <c r="A96">
        <v>85</v>
      </c>
      <c r="B96" s="6">
        <v>0</v>
      </c>
      <c r="C96" s="9">
        <f t="shared" si="4"/>
        <v>0</v>
      </c>
      <c r="E96" s="95">
        <v>85</v>
      </c>
      <c r="F96" s="185">
        <v>0</v>
      </c>
      <c r="G96" s="9">
        <f t="shared" si="5"/>
        <v>0</v>
      </c>
    </row>
    <row r="97" spans="1:7" x14ac:dyDescent="0.25">
      <c r="A97">
        <v>86</v>
      </c>
      <c r="B97" s="6">
        <v>143.17500536099999</v>
      </c>
      <c r="C97" s="9">
        <f t="shared" si="4"/>
        <v>2.4335563976714417E-5</v>
      </c>
      <c r="E97" s="96">
        <v>86</v>
      </c>
      <c r="F97" s="186">
        <v>29.93511556669451</v>
      </c>
      <c r="G97" s="9">
        <f t="shared" si="5"/>
        <v>5.1555199795172641E-6</v>
      </c>
    </row>
    <row r="98" spans="1:7" x14ac:dyDescent="0.25">
      <c r="A98">
        <v>87</v>
      </c>
      <c r="B98" s="6">
        <v>82.889761955099999</v>
      </c>
      <c r="C98" s="9">
        <f t="shared" si="4"/>
        <v>1.4088835547705377E-5</v>
      </c>
      <c r="E98" s="97">
        <v>87</v>
      </c>
      <c r="F98" s="187">
        <v>0</v>
      </c>
      <c r="G98" s="9">
        <f t="shared" si="5"/>
        <v>0</v>
      </c>
    </row>
    <row r="99" spans="1:7" x14ac:dyDescent="0.25">
      <c r="A99">
        <v>88</v>
      </c>
      <c r="B99" s="6">
        <v>0</v>
      </c>
      <c r="C99" s="9">
        <f t="shared" si="4"/>
        <v>0</v>
      </c>
      <c r="E99" s="98">
        <v>88</v>
      </c>
      <c r="F99" s="188">
        <v>0</v>
      </c>
      <c r="G99" s="9">
        <f t="shared" si="5"/>
        <v>0</v>
      </c>
    </row>
    <row r="100" spans="1:7" x14ac:dyDescent="0.25">
      <c r="A100">
        <v>89</v>
      </c>
      <c r="B100" s="6">
        <v>292.16039971099997</v>
      </c>
      <c r="C100" s="9">
        <f t="shared" si="4"/>
        <v>4.9658724165595082E-5</v>
      </c>
      <c r="E100" s="99">
        <v>89</v>
      </c>
      <c r="F100" s="189">
        <v>0</v>
      </c>
      <c r="G100" s="9">
        <f t="shared" si="5"/>
        <v>0</v>
      </c>
    </row>
    <row r="101" spans="1:7" ht="15.75" thickBot="1" x14ac:dyDescent="0.3">
      <c r="A101" s="1">
        <v>90</v>
      </c>
      <c r="B101" s="7">
        <v>3956.7258062524002</v>
      </c>
      <c r="C101" s="9">
        <f t="shared" si="4"/>
        <v>6.7252767865165941E-4</v>
      </c>
      <c r="E101" s="372">
        <v>90</v>
      </c>
      <c r="F101" s="372">
        <v>9.9404761904761898</v>
      </c>
      <c r="G101" s="9">
        <f t="shared" si="5"/>
        <v>1.7119801489236272E-6</v>
      </c>
    </row>
    <row r="102" spans="1:7" x14ac:dyDescent="0.25">
      <c r="B102" s="6">
        <f>SUM(B11:B101)</f>
        <v>5883365.0002111141</v>
      </c>
      <c r="C102" s="9">
        <f t="shared" si="4"/>
        <v>1</v>
      </c>
      <c r="F102" s="6">
        <f>SUM(F11:F101)</f>
        <v>5806420.2419204814</v>
      </c>
      <c r="G102" s="9">
        <f t="shared" si="5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A3" sqref="A3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6777.9846790310003</v>
      </c>
      <c r="C11" s="9">
        <f>B11/B$102</f>
        <v>1.1520591836113835E-3</v>
      </c>
      <c r="E11" s="190">
        <v>0</v>
      </c>
      <c r="F11" s="280">
        <v>24726.699077980888</v>
      </c>
      <c r="G11" s="9">
        <f>F11/F$102</f>
        <v>4.2585100712246226E-3</v>
      </c>
      <c r="K11" s="6">
        <v>30.883015399671699</v>
      </c>
      <c r="L11" s="6">
        <v>24.928973965901626</v>
      </c>
    </row>
    <row r="12" spans="1:12" x14ac:dyDescent="0.25">
      <c r="A12">
        <v>1</v>
      </c>
      <c r="B12" s="6">
        <v>19311.360614513898</v>
      </c>
      <c r="C12" s="9">
        <f>B12/B$102</f>
        <v>3.2823665731806458E-3</v>
      </c>
      <c r="E12" s="191">
        <v>1</v>
      </c>
      <c r="F12" s="281">
        <v>87021.981441894473</v>
      </c>
      <c r="G12" s="9">
        <f>F12/F$102</f>
        <v>1.4987199998653871E-2</v>
      </c>
      <c r="K12" s="6"/>
      <c r="L12" s="371"/>
    </row>
    <row r="13" spans="1:12" x14ac:dyDescent="0.25">
      <c r="A13">
        <v>2</v>
      </c>
      <c r="B13" s="6">
        <v>28257.979731648</v>
      </c>
      <c r="C13" s="9">
        <f t="shared" ref="C13:C76" si="0">B13/B$102</f>
        <v>4.8030301928631012E-3</v>
      </c>
      <c r="E13" s="192">
        <v>2</v>
      </c>
      <c r="F13" s="282">
        <v>114560.06956623543</v>
      </c>
      <c r="G13" s="9">
        <f t="shared" ref="G13:G76" si="1">F13/F$102</f>
        <v>1.9729896354925988E-2</v>
      </c>
    </row>
    <row r="14" spans="1:12" x14ac:dyDescent="0.25">
      <c r="A14">
        <v>3</v>
      </c>
      <c r="B14" s="6">
        <v>42233.077054810303</v>
      </c>
      <c r="C14" s="9">
        <f t="shared" si="0"/>
        <v>7.178388057394851E-3</v>
      </c>
      <c r="E14" s="193">
        <v>3</v>
      </c>
      <c r="F14" s="283">
        <v>131467.45008459341</v>
      </c>
      <c r="G14" s="9">
        <f t="shared" si="1"/>
        <v>2.2641738731799116E-2</v>
      </c>
    </row>
    <row r="15" spans="1:12" x14ac:dyDescent="0.25">
      <c r="A15">
        <v>4</v>
      </c>
      <c r="B15" s="6">
        <v>34482.634244407098</v>
      </c>
      <c r="C15" s="9">
        <f t="shared" si="0"/>
        <v>5.8610394295050133E-3</v>
      </c>
      <c r="E15" s="194">
        <v>4</v>
      </c>
      <c r="F15" s="284">
        <v>141429.86832626833</v>
      </c>
      <c r="G15" s="9">
        <f t="shared" si="1"/>
        <v>2.4357497809957027E-2</v>
      </c>
    </row>
    <row r="16" spans="1:12" x14ac:dyDescent="0.25">
      <c r="A16">
        <v>5</v>
      </c>
      <c r="B16" s="6">
        <v>77762.663045124893</v>
      </c>
      <c r="C16" s="9">
        <f t="shared" si="0"/>
        <v>1.3217378667197181E-2</v>
      </c>
      <c r="E16" s="195">
        <v>5</v>
      </c>
      <c r="F16" s="285">
        <v>144459.78890410421</v>
      </c>
      <c r="G16" s="9">
        <f t="shared" si="1"/>
        <v>2.487932028432098E-2</v>
      </c>
    </row>
    <row r="17" spans="1:7" x14ac:dyDescent="0.25">
      <c r="A17">
        <v>6</v>
      </c>
      <c r="B17" s="6">
        <v>70590.858864399095</v>
      </c>
      <c r="C17" s="9">
        <f t="shared" si="0"/>
        <v>1.199838168494834E-2</v>
      </c>
      <c r="E17" s="196">
        <v>6</v>
      </c>
      <c r="F17" s="286">
        <v>142327.80397757489</v>
      </c>
      <c r="G17" s="9">
        <f t="shared" si="1"/>
        <v>2.4512143118752241E-2</v>
      </c>
    </row>
    <row r="18" spans="1:7" x14ac:dyDescent="0.25">
      <c r="A18">
        <v>7</v>
      </c>
      <c r="B18" s="6">
        <v>84339.597720129896</v>
      </c>
      <c r="C18" s="9">
        <f t="shared" si="0"/>
        <v>1.4335265229524862E-2</v>
      </c>
      <c r="E18" s="197">
        <v>7</v>
      </c>
      <c r="F18" s="287">
        <v>138090.06286769692</v>
      </c>
      <c r="G18" s="9">
        <f t="shared" si="1"/>
        <v>2.3782305984456853E-2</v>
      </c>
    </row>
    <row r="19" spans="1:7" x14ac:dyDescent="0.25">
      <c r="A19">
        <v>8</v>
      </c>
      <c r="B19" s="6">
        <v>64795.368048870798</v>
      </c>
      <c r="C19" s="9">
        <f t="shared" si="0"/>
        <v>1.1013317726597917E-2</v>
      </c>
      <c r="E19" s="198">
        <v>8</v>
      </c>
      <c r="F19" s="288">
        <v>130582.56900239973</v>
      </c>
      <c r="G19" s="9">
        <f t="shared" si="1"/>
        <v>2.2489341722053746E-2</v>
      </c>
    </row>
    <row r="20" spans="1:7" x14ac:dyDescent="0.25">
      <c r="A20">
        <v>9</v>
      </c>
      <c r="B20" s="6">
        <v>97995.257480929096</v>
      </c>
      <c r="C20" s="9">
        <f t="shared" si="0"/>
        <v>1.6656328049919178E-2</v>
      </c>
      <c r="E20" s="199">
        <v>9</v>
      </c>
      <c r="F20" s="289">
        <v>121154.44279600611</v>
      </c>
      <c r="G20" s="9">
        <f t="shared" si="1"/>
        <v>2.0865600102677736E-2</v>
      </c>
    </row>
    <row r="21" spans="1:7" x14ac:dyDescent="0.25">
      <c r="A21">
        <v>10</v>
      </c>
      <c r="B21" s="6">
        <v>54317.402158511599</v>
      </c>
      <c r="C21" s="9">
        <f t="shared" si="0"/>
        <v>9.2323699373679062E-3</v>
      </c>
      <c r="E21" s="200">
        <v>10</v>
      </c>
      <c r="F21" s="290">
        <v>113189.66524527832</v>
      </c>
      <c r="G21" s="9">
        <f t="shared" si="1"/>
        <v>1.9493881002288709E-2</v>
      </c>
    </row>
    <row r="22" spans="1:7" x14ac:dyDescent="0.25">
      <c r="A22">
        <v>11</v>
      </c>
      <c r="B22" s="6">
        <v>82687.702529164293</v>
      </c>
      <c r="C22" s="9">
        <f t="shared" si="0"/>
        <v>1.4054491354216034E-2</v>
      </c>
      <c r="E22" s="201">
        <v>11</v>
      </c>
      <c r="F22" s="291">
        <v>102697.87909848594</v>
      </c>
      <c r="G22" s="9">
        <f t="shared" si="1"/>
        <v>1.7686952514570052E-2</v>
      </c>
    </row>
    <row r="23" spans="1:7" x14ac:dyDescent="0.25">
      <c r="A23">
        <v>12</v>
      </c>
      <c r="B23" s="6">
        <v>117559.3164825522</v>
      </c>
      <c r="C23" s="9">
        <f t="shared" si="0"/>
        <v>1.9981645959129483E-2</v>
      </c>
      <c r="E23" s="202">
        <v>12</v>
      </c>
      <c r="F23" s="292">
        <v>97019.562982345495</v>
      </c>
      <c r="G23" s="9">
        <f t="shared" si="1"/>
        <v>1.6709015010986546E-2</v>
      </c>
    </row>
    <row r="24" spans="1:7" x14ac:dyDescent="0.25">
      <c r="A24">
        <v>13</v>
      </c>
      <c r="B24" s="6">
        <v>111916.2960992915</v>
      </c>
      <c r="C24" s="9">
        <f t="shared" si="0"/>
        <v>1.9022497515499313E-2</v>
      </c>
      <c r="E24" s="203">
        <v>13</v>
      </c>
      <c r="F24" s="293">
        <v>85697.15981520123</v>
      </c>
      <c r="G24" s="9">
        <f t="shared" si="1"/>
        <v>1.475903504133155E-2</v>
      </c>
    </row>
    <row r="25" spans="1:7" x14ac:dyDescent="0.25">
      <c r="A25">
        <v>14</v>
      </c>
      <c r="B25" s="6">
        <v>78794.976834374305</v>
      </c>
      <c r="C25" s="9">
        <f t="shared" si="0"/>
        <v>1.339284182292734E-2</v>
      </c>
      <c r="E25" s="204">
        <v>14</v>
      </c>
      <c r="F25" s="294">
        <v>76851.33954881203</v>
      </c>
      <c r="G25" s="9">
        <f t="shared" si="1"/>
        <v>1.3235579986782582E-2</v>
      </c>
    </row>
    <row r="26" spans="1:7" x14ac:dyDescent="0.25">
      <c r="A26">
        <v>15</v>
      </c>
      <c r="B26" s="6">
        <v>49387.560407104298</v>
      </c>
      <c r="C26" s="9">
        <f t="shared" si="0"/>
        <v>8.3944410053314947E-3</v>
      </c>
      <c r="E26" s="205">
        <v>15</v>
      </c>
      <c r="F26" s="295">
        <v>77094.500497705507</v>
      </c>
      <c r="G26" s="9">
        <f t="shared" si="1"/>
        <v>1.3277457932016021E-2</v>
      </c>
    </row>
    <row r="27" spans="1:7" x14ac:dyDescent="0.25">
      <c r="A27">
        <v>16</v>
      </c>
      <c r="B27" s="6">
        <v>200663.08786914329</v>
      </c>
      <c r="C27" s="9">
        <f t="shared" si="0"/>
        <v>3.4106856851808941E-2</v>
      </c>
      <c r="E27" s="206">
        <v>16</v>
      </c>
      <c r="F27" s="296">
        <v>69219.163942506319</v>
      </c>
      <c r="G27" s="9">
        <f t="shared" si="1"/>
        <v>1.1921142641858104E-2</v>
      </c>
    </row>
    <row r="28" spans="1:7" x14ac:dyDescent="0.25">
      <c r="A28">
        <v>17</v>
      </c>
      <c r="B28" s="6">
        <v>123358.2475558062</v>
      </c>
      <c r="C28" s="9">
        <f t="shared" si="0"/>
        <v>2.0967294660688186E-2</v>
      </c>
      <c r="E28" s="207">
        <v>17</v>
      </c>
      <c r="F28" s="297">
        <v>64268.654713696516</v>
      </c>
      <c r="G28" s="9">
        <f t="shared" si="1"/>
        <v>1.1068550334971889E-2</v>
      </c>
    </row>
    <row r="29" spans="1:7" x14ac:dyDescent="0.25">
      <c r="A29">
        <v>18</v>
      </c>
      <c r="B29" s="6">
        <v>380306.54951092729</v>
      </c>
      <c r="C29" s="9">
        <f t="shared" si="0"/>
        <v>6.4640991931875849E-2</v>
      </c>
      <c r="E29" s="208">
        <v>18</v>
      </c>
      <c r="F29" s="298">
        <v>537310.76383018773</v>
      </c>
      <c r="G29" s="9">
        <f t="shared" si="1"/>
        <v>9.253735372975197E-2</v>
      </c>
    </row>
    <row r="30" spans="1:7" x14ac:dyDescent="0.25">
      <c r="A30">
        <v>19</v>
      </c>
      <c r="B30" s="6">
        <v>229001.53811523129</v>
      </c>
      <c r="C30" s="9">
        <f t="shared" si="0"/>
        <v>3.8923564678889383E-2</v>
      </c>
      <c r="E30" s="209">
        <v>19</v>
      </c>
      <c r="F30" s="299">
        <v>190070.7573425294</v>
      </c>
      <c r="G30" s="9">
        <f t="shared" si="1"/>
        <v>3.2734585066764507E-2</v>
      </c>
    </row>
    <row r="31" spans="1:7" x14ac:dyDescent="0.25">
      <c r="A31">
        <v>20</v>
      </c>
      <c r="B31" s="6">
        <v>339557.22191995388</v>
      </c>
      <c r="C31" s="9">
        <f t="shared" si="0"/>
        <v>5.771479789334328E-2</v>
      </c>
      <c r="E31" s="210">
        <v>20</v>
      </c>
      <c r="F31" s="300">
        <v>189539.08742305709</v>
      </c>
      <c r="G31" s="9">
        <f t="shared" si="1"/>
        <v>3.2643019197033989E-2</v>
      </c>
    </row>
    <row r="32" spans="1:7" x14ac:dyDescent="0.25">
      <c r="A32">
        <v>21</v>
      </c>
      <c r="B32" s="6">
        <v>292201.3134653368</v>
      </c>
      <c r="C32" s="9">
        <f t="shared" si="0"/>
        <v>4.9665678307372015E-2</v>
      </c>
      <c r="E32" s="211">
        <v>21</v>
      </c>
      <c r="F32" s="301">
        <v>253313.42464850913</v>
      </c>
      <c r="G32" s="9">
        <f t="shared" si="1"/>
        <v>4.3626436615742663E-2</v>
      </c>
    </row>
    <row r="33" spans="1:7" x14ac:dyDescent="0.25">
      <c r="A33">
        <v>22</v>
      </c>
      <c r="B33" s="6">
        <v>254473.89024396779</v>
      </c>
      <c r="C33" s="9">
        <f t="shared" si="0"/>
        <v>4.325311964068803E-2</v>
      </c>
      <c r="E33" s="212">
        <v>22</v>
      </c>
      <c r="F33" s="302">
        <v>211619.07762103967</v>
      </c>
      <c r="G33" s="9">
        <f t="shared" si="1"/>
        <v>3.6445704720650104E-2</v>
      </c>
    </row>
    <row r="34" spans="1:7" x14ac:dyDescent="0.25">
      <c r="A34">
        <v>23</v>
      </c>
      <c r="B34" s="6">
        <v>160193.29335977809</v>
      </c>
      <c r="C34" s="9">
        <f t="shared" si="0"/>
        <v>2.7228175262631146E-2</v>
      </c>
      <c r="E34" s="213">
        <v>23</v>
      </c>
      <c r="F34" s="303">
        <v>200434.46267921821</v>
      </c>
      <c r="G34" s="9">
        <f t="shared" si="1"/>
        <v>3.4519455073565977E-2</v>
      </c>
    </row>
    <row r="35" spans="1:7" x14ac:dyDescent="0.25">
      <c r="A35">
        <v>24</v>
      </c>
      <c r="B35" s="6">
        <v>190560.06436057959</v>
      </c>
      <c r="C35" s="9">
        <f t="shared" si="0"/>
        <v>3.2389638302866092E-2</v>
      </c>
      <c r="E35" s="214">
        <v>24</v>
      </c>
      <c r="F35" s="304">
        <v>162944.1315933133</v>
      </c>
      <c r="G35" s="9">
        <f t="shared" si="1"/>
        <v>2.8062752057956324E-2</v>
      </c>
    </row>
    <row r="36" spans="1:7" x14ac:dyDescent="0.25">
      <c r="A36">
        <v>25</v>
      </c>
      <c r="B36" s="6">
        <v>130685.91641108019</v>
      </c>
      <c r="C36" s="9">
        <f t="shared" si="0"/>
        <v>2.2212784079585542E-2</v>
      </c>
      <c r="E36" s="215">
        <v>25</v>
      </c>
      <c r="F36" s="305">
        <v>145921.34889297624</v>
      </c>
      <c r="G36" s="9">
        <f t="shared" si="1"/>
        <v>2.5131034753473596E-2</v>
      </c>
    </row>
    <row r="37" spans="1:7" x14ac:dyDescent="0.25">
      <c r="A37">
        <v>26</v>
      </c>
      <c r="B37" s="6">
        <v>330164.14670820528</v>
      </c>
      <c r="C37" s="9">
        <f t="shared" si="0"/>
        <v>5.6118249793503897E-2</v>
      </c>
      <c r="E37" s="216">
        <v>26</v>
      </c>
      <c r="F37" s="306">
        <v>157785.72081070617</v>
      </c>
      <c r="G37" s="9">
        <f t="shared" si="1"/>
        <v>2.7174354290022639E-2</v>
      </c>
    </row>
    <row r="38" spans="1:7" x14ac:dyDescent="0.25">
      <c r="A38">
        <v>27</v>
      </c>
      <c r="B38" s="6">
        <v>84832.083466314798</v>
      </c>
      <c r="C38" s="9">
        <f t="shared" si="0"/>
        <v>1.4418973404381807E-2</v>
      </c>
      <c r="E38" s="217">
        <v>27</v>
      </c>
      <c r="F38" s="307">
        <v>119917.41857428542</v>
      </c>
      <c r="G38" s="9">
        <f t="shared" si="1"/>
        <v>2.06525558912392E-2</v>
      </c>
    </row>
    <row r="39" spans="1:7" x14ac:dyDescent="0.25">
      <c r="A39">
        <v>28</v>
      </c>
      <c r="B39" s="6">
        <v>132759.69010693411</v>
      </c>
      <c r="C39" s="9">
        <f t="shared" si="0"/>
        <v>2.2565264963531978E-2</v>
      </c>
      <c r="E39" s="218">
        <v>28</v>
      </c>
      <c r="F39" s="308">
        <v>117770.22707134217</v>
      </c>
      <c r="G39" s="9">
        <f t="shared" si="1"/>
        <v>2.0282759801138587E-2</v>
      </c>
    </row>
    <row r="40" spans="1:7" x14ac:dyDescent="0.25">
      <c r="A40">
        <v>29</v>
      </c>
      <c r="B40" s="6">
        <v>117688.8388841047</v>
      </c>
      <c r="C40" s="9">
        <f t="shared" si="0"/>
        <v>2.0003660979708328E-2</v>
      </c>
      <c r="E40" s="219">
        <v>29</v>
      </c>
      <c r="F40" s="309">
        <v>110376.66159095343</v>
      </c>
      <c r="G40" s="9">
        <f t="shared" si="1"/>
        <v>1.9009416644367127E-2</v>
      </c>
    </row>
    <row r="41" spans="1:7" x14ac:dyDescent="0.25">
      <c r="A41">
        <v>30</v>
      </c>
      <c r="B41" s="6">
        <v>86943.256844841599</v>
      </c>
      <c r="C41" s="9">
        <f t="shared" si="0"/>
        <v>1.4777811140685954E-2</v>
      </c>
      <c r="E41" s="220">
        <v>30</v>
      </c>
      <c r="F41" s="310">
        <v>130505.8502981107</v>
      </c>
      <c r="G41" s="9">
        <f t="shared" si="1"/>
        <v>2.2476128984929563E-2</v>
      </c>
    </row>
    <row r="42" spans="1:7" x14ac:dyDescent="0.25">
      <c r="A42">
        <v>31</v>
      </c>
      <c r="B42" s="6">
        <v>65767.888771441794</v>
      </c>
      <c r="C42" s="9">
        <f t="shared" si="0"/>
        <v>1.1178617809549781E-2</v>
      </c>
      <c r="E42" s="221">
        <v>31</v>
      </c>
      <c r="F42" s="311">
        <v>92714.385658699786</v>
      </c>
      <c r="G42" s="9">
        <f t="shared" si="1"/>
        <v>1.5967563799349518E-2</v>
      </c>
    </row>
    <row r="43" spans="1:7" x14ac:dyDescent="0.25">
      <c r="A43">
        <v>32</v>
      </c>
      <c r="B43" s="6">
        <v>69007.838260994104</v>
      </c>
      <c r="C43" s="9">
        <f t="shared" si="0"/>
        <v>1.1729314475392553E-2</v>
      </c>
      <c r="E43" s="222">
        <v>32</v>
      </c>
      <c r="F43" s="312">
        <v>73360.116168884997</v>
      </c>
      <c r="G43" s="9">
        <f t="shared" si="1"/>
        <v>1.263431048949034E-2</v>
      </c>
    </row>
    <row r="44" spans="1:7" x14ac:dyDescent="0.25">
      <c r="A44">
        <v>33</v>
      </c>
      <c r="B44" s="6">
        <v>61401.783068613899</v>
      </c>
      <c r="C44" s="9">
        <f t="shared" si="0"/>
        <v>1.0436507520170961E-2</v>
      </c>
      <c r="E44" s="223">
        <v>33</v>
      </c>
      <c r="F44" s="313">
        <v>97691.051255137005</v>
      </c>
      <c r="G44" s="9">
        <f t="shared" si="1"/>
        <v>1.6824660838331867E-2</v>
      </c>
    </row>
    <row r="45" spans="1:7" x14ac:dyDescent="0.25">
      <c r="A45">
        <v>34</v>
      </c>
      <c r="B45" s="6">
        <v>107127.66484055429</v>
      </c>
      <c r="C45" s="9">
        <f t="shared" si="0"/>
        <v>1.8208570237731338E-2</v>
      </c>
      <c r="E45" s="224">
        <v>34</v>
      </c>
      <c r="F45" s="314">
        <v>97200.516182126288</v>
      </c>
      <c r="G45" s="9">
        <f t="shared" si="1"/>
        <v>1.674017934154505E-2</v>
      </c>
    </row>
    <row r="46" spans="1:7" x14ac:dyDescent="0.25">
      <c r="A46">
        <v>35</v>
      </c>
      <c r="B46" s="6">
        <v>46622.087801561102</v>
      </c>
      <c r="C46" s="9">
        <f t="shared" si="0"/>
        <v>7.9243915344174923E-3</v>
      </c>
      <c r="E46" s="225">
        <v>35</v>
      </c>
      <c r="F46" s="315">
        <v>86411.000740737334</v>
      </c>
      <c r="G46" s="9">
        <f t="shared" si="1"/>
        <v>1.4881974976058011E-2</v>
      </c>
    </row>
    <row r="47" spans="1:7" x14ac:dyDescent="0.25">
      <c r="A47">
        <v>36</v>
      </c>
      <c r="B47" s="6">
        <v>66157.020222123698</v>
      </c>
      <c r="C47" s="9">
        <f t="shared" si="0"/>
        <v>1.1244758776609949E-2</v>
      </c>
      <c r="E47" s="226">
        <v>36</v>
      </c>
      <c r="F47" s="316">
        <v>61049.976779025434</v>
      </c>
      <c r="G47" s="9">
        <f t="shared" si="1"/>
        <v>1.051421947351731E-2</v>
      </c>
    </row>
    <row r="48" spans="1:7" x14ac:dyDescent="0.25">
      <c r="A48">
        <v>37</v>
      </c>
      <c r="B48" s="6">
        <v>81079.781660996407</v>
      </c>
      <c r="C48" s="9">
        <f t="shared" si="0"/>
        <v>1.3781191827820819E-2</v>
      </c>
      <c r="E48" s="227">
        <v>37</v>
      </c>
      <c r="F48" s="317">
        <v>51324.233223120624</v>
      </c>
      <c r="G48" s="9">
        <f t="shared" si="1"/>
        <v>8.8392212559084502E-3</v>
      </c>
    </row>
    <row r="49" spans="1:7" x14ac:dyDescent="0.25">
      <c r="A49">
        <v>38</v>
      </c>
      <c r="B49" s="6">
        <v>93974.882278439007</v>
      </c>
      <c r="C49" s="9">
        <f t="shared" si="0"/>
        <v>1.5972981835236624E-2</v>
      </c>
      <c r="E49" s="228">
        <v>38</v>
      </c>
      <c r="F49" s="318">
        <v>50943.588103140588</v>
      </c>
      <c r="G49" s="9">
        <f t="shared" si="1"/>
        <v>8.7736653532833019E-3</v>
      </c>
    </row>
    <row r="50" spans="1:7" x14ac:dyDescent="0.25">
      <c r="A50">
        <v>39</v>
      </c>
      <c r="B50" s="6">
        <v>30105.506640439198</v>
      </c>
      <c r="C50" s="9">
        <f t="shared" si="0"/>
        <v>5.1170557392510793E-3</v>
      </c>
      <c r="E50" s="229">
        <v>39</v>
      </c>
      <c r="F50" s="319">
        <v>60570.000797434426</v>
      </c>
      <c r="G50" s="9">
        <f t="shared" si="1"/>
        <v>1.0431556496744506E-2</v>
      </c>
    </row>
    <row r="51" spans="1:7" x14ac:dyDescent="0.25">
      <c r="A51">
        <v>40</v>
      </c>
      <c r="B51" s="6">
        <v>49804.463547938198</v>
      </c>
      <c r="C51" s="9">
        <f t="shared" si="0"/>
        <v>8.4653023475767808E-3</v>
      </c>
      <c r="E51" s="230">
        <v>40</v>
      </c>
      <c r="F51" s="320">
        <v>72800.609832301459</v>
      </c>
      <c r="G51" s="9">
        <f t="shared" si="1"/>
        <v>1.2537950544244888E-2</v>
      </c>
    </row>
    <row r="52" spans="1:7" x14ac:dyDescent="0.25">
      <c r="A52">
        <v>41</v>
      </c>
      <c r="B52" s="6">
        <v>31554.726087238399</v>
      </c>
      <c r="C52" s="9">
        <f t="shared" si="0"/>
        <v>5.3633806649946289E-3</v>
      </c>
      <c r="E52" s="231">
        <v>41</v>
      </c>
      <c r="F52" s="321">
        <v>38700.556921384443</v>
      </c>
      <c r="G52" s="9">
        <f t="shared" si="1"/>
        <v>6.6651319244822984E-3</v>
      </c>
    </row>
    <row r="53" spans="1:7" x14ac:dyDescent="0.25">
      <c r="A53">
        <v>42</v>
      </c>
      <c r="B53" s="6">
        <v>25595.908464849799</v>
      </c>
      <c r="C53" s="9">
        <f t="shared" si="0"/>
        <v>4.3505559257213085E-3</v>
      </c>
      <c r="E53" s="232">
        <v>42</v>
      </c>
      <c r="F53" s="322">
        <v>35134.791951333391</v>
      </c>
      <c r="G53" s="9">
        <f t="shared" si="1"/>
        <v>6.0510246395311714E-3</v>
      </c>
    </row>
    <row r="54" spans="1:7" x14ac:dyDescent="0.25">
      <c r="A54">
        <v>43</v>
      </c>
      <c r="B54" s="6">
        <v>20508.445142370801</v>
      </c>
      <c r="C54" s="9">
        <f t="shared" si="0"/>
        <v>3.4858359360051432E-3</v>
      </c>
      <c r="E54" s="233">
        <v>43</v>
      </c>
      <c r="F54" s="323">
        <v>37634.520174763617</v>
      </c>
      <c r="G54" s="9">
        <f t="shared" si="1"/>
        <v>6.4815357150787168E-3</v>
      </c>
    </row>
    <row r="55" spans="1:7" x14ac:dyDescent="0.25">
      <c r="A55">
        <v>44</v>
      </c>
      <c r="B55" s="6">
        <v>17426.862614023099</v>
      </c>
      <c r="C55" s="9">
        <f t="shared" si="0"/>
        <v>2.9620570223669231E-3</v>
      </c>
      <c r="E55" s="234">
        <v>44</v>
      </c>
      <c r="F55" s="324">
        <v>31915.392527213393</v>
      </c>
      <c r="G55" s="9">
        <f t="shared" si="1"/>
        <v>5.4965695208890573E-3</v>
      </c>
    </row>
    <row r="56" spans="1:7" x14ac:dyDescent="0.25">
      <c r="A56">
        <v>45</v>
      </c>
      <c r="B56" s="6">
        <v>234208.0230709163</v>
      </c>
      <c r="C56" s="9">
        <f t="shared" si="0"/>
        <v>3.9808514865644448E-2</v>
      </c>
      <c r="E56" s="235">
        <v>45</v>
      </c>
      <c r="F56" s="325">
        <v>28694.570135670139</v>
      </c>
      <c r="G56" s="9">
        <f t="shared" si="1"/>
        <v>4.9418693343111107E-3</v>
      </c>
    </row>
    <row r="57" spans="1:7" x14ac:dyDescent="0.25">
      <c r="A57">
        <v>46</v>
      </c>
      <c r="B57" s="6">
        <v>23757.987036537699</v>
      </c>
      <c r="C57" s="9">
        <f t="shared" si="0"/>
        <v>4.038163030117151E-3</v>
      </c>
      <c r="E57" s="236">
        <v>46</v>
      </c>
      <c r="F57" s="326">
        <v>28491.793646728078</v>
      </c>
      <c r="G57" s="9">
        <f t="shared" si="1"/>
        <v>4.9069465280908381E-3</v>
      </c>
    </row>
    <row r="58" spans="1:7" x14ac:dyDescent="0.25">
      <c r="A58">
        <v>47</v>
      </c>
      <c r="B58" s="6">
        <v>24601.2392316939</v>
      </c>
      <c r="C58" s="9">
        <f t="shared" si="0"/>
        <v>4.1814912436694196E-3</v>
      </c>
      <c r="E58" s="237">
        <v>47</v>
      </c>
      <c r="F58" s="327">
        <v>26761.589639739886</v>
      </c>
      <c r="G58" s="9">
        <f t="shared" si="1"/>
        <v>4.6089653391826226E-3</v>
      </c>
    </row>
    <row r="59" spans="1:7" x14ac:dyDescent="0.25">
      <c r="A59">
        <v>48</v>
      </c>
      <c r="B59" s="6">
        <v>31518.400854160001</v>
      </c>
      <c r="C59" s="9">
        <f t="shared" si="0"/>
        <v>5.3572064376473374E-3</v>
      </c>
      <c r="E59" s="238">
        <v>48</v>
      </c>
      <c r="F59" s="328">
        <v>28855.080175654744</v>
      </c>
      <c r="G59" s="9">
        <f t="shared" si="1"/>
        <v>4.9695128794382398E-3</v>
      </c>
    </row>
    <row r="60" spans="1:7" x14ac:dyDescent="0.25">
      <c r="A60">
        <v>49</v>
      </c>
      <c r="B60" s="6">
        <v>18363.198091513099</v>
      </c>
      <c r="C60" s="9">
        <f t="shared" si="0"/>
        <v>3.1212066718373198E-3</v>
      </c>
      <c r="E60" s="239">
        <v>49</v>
      </c>
      <c r="F60" s="329">
        <v>21241.075050405052</v>
      </c>
      <c r="G60" s="9">
        <f t="shared" si="1"/>
        <v>3.658204912047415E-3</v>
      </c>
    </row>
    <row r="61" spans="1:7" x14ac:dyDescent="0.25">
      <c r="A61">
        <v>50</v>
      </c>
      <c r="B61" s="6">
        <v>9833.6988481801</v>
      </c>
      <c r="C61" s="9">
        <f t="shared" si="0"/>
        <v>1.6714412326665502E-3</v>
      </c>
      <c r="E61" s="240">
        <v>50</v>
      </c>
      <c r="F61" s="330">
        <v>19465.080164121082</v>
      </c>
      <c r="G61" s="9">
        <f t="shared" si="1"/>
        <v>3.3523374735416971E-3</v>
      </c>
    </row>
    <row r="62" spans="1:7" x14ac:dyDescent="0.25">
      <c r="A62">
        <v>51</v>
      </c>
      <c r="B62" s="6">
        <v>22786.469039269501</v>
      </c>
      <c r="C62" s="9">
        <f t="shared" si="0"/>
        <v>3.8730333811435899E-3</v>
      </c>
      <c r="E62" s="241">
        <v>51</v>
      </c>
      <c r="F62" s="331">
        <v>23638.070004899029</v>
      </c>
      <c r="G62" s="9">
        <f t="shared" si="1"/>
        <v>4.0710229401309571E-3</v>
      </c>
    </row>
    <row r="63" spans="1:7" x14ac:dyDescent="0.25">
      <c r="A63">
        <v>52</v>
      </c>
      <c r="B63" s="6">
        <v>20446.112975134398</v>
      </c>
      <c r="C63" s="9">
        <f t="shared" si="0"/>
        <v>3.4752412903841139E-3</v>
      </c>
      <c r="E63" s="242">
        <v>52</v>
      </c>
      <c r="F63" s="332">
        <v>17543.579494135687</v>
      </c>
      <c r="G63" s="9">
        <f t="shared" si="1"/>
        <v>3.0214105702299492E-3</v>
      </c>
    </row>
    <row r="64" spans="1:7" x14ac:dyDescent="0.25">
      <c r="A64">
        <v>53</v>
      </c>
      <c r="B64" s="6">
        <v>2353.1339614490998</v>
      </c>
      <c r="C64" s="9">
        <f t="shared" si="0"/>
        <v>3.9996395963273784E-4</v>
      </c>
      <c r="E64" s="243">
        <v>53</v>
      </c>
      <c r="F64" s="333">
        <v>17969.50936827944</v>
      </c>
      <c r="G64" s="9">
        <f t="shared" si="1"/>
        <v>3.0947655559866939E-3</v>
      </c>
    </row>
    <row r="65" spans="1:7" x14ac:dyDescent="0.25">
      <c r="A65">
        <v>54</v>
      </c>
      <c r="B65" s="6">
        <v>38811.970576662898</v>
      </c>
      <c r="C65" s="9">
        <f t="shared" si="0"/>
        <v>6.5969000011507377E-3</v>
      </c>
      <c r="E65" s="244">
        <v>54</v>
      </c>
      <c r="F65" s="334">
        <v>12992.978162846131</v>
      </c>
      <c r="G65" s="9">
        <f t="shared" si="1"/>
        <v>2.2376916622467344E-3</v>
      </c>
    </row>
    <row r="66" spans="1:7" x14ac:dyDescent="0.25">
      <c r="A66">
        <v>55</v>
      </c>
      <c r="B66" s="6">
        <v>3407.1738624967002</v>
      </c>
      <c r="C66" s="9">
        <f t="shared" si="0"/>
        <v>5.7911991902158725E-4</v>
      </c>
      <c r="E66" s="245">
        <v>55</v>
      </c>
      <c r="F66" s="335">
        <v>12800.18348919752</v>
      </c>
      <c r="G66" s="9">
        <f t="shared" si="1"/>
        <v>2.2044879557260289E-3</v>
      </c>
    </row>
    <row r="67" spans="1:7" x14ac:dyDescent="0.25">
      <c r="A67">
        <v>56</v>
      </c>
      <c r="B67" s="6">
        <v>8306.3735064255998</v>
      </c>
      <c r="C67" s="9">
        <f t="shared" si="0"/>
        <v>1.4118405888683674E-3</v>
      </c>
      <c r="E67" s="246">
        <v>56</v>
      </c>
      <c r="F67" s="336">
        <v>19648.92175841581</v>
      </c>
      <c r="G67" s="9">
        <f t="shared" si="1"/>
        <v>3.383999252509649E-3</v>
      </c>
    </row>
    <row r="68" spans="1:7" x14ac:dyDescent="0.25">
      <c r="A68">
        <v>57</v>
      </c>
      <c r="B68" s="6">
        <v>4576.546393783</v>
      </c>
      <c r="C68" s="9">
        <f t="shared" si="0"/>
        <v>7.7787905282415421E-4</v>
      </c>
      <c r="E68" s="247">
        <v>57</v>
      </c>
      <c r="F68" s="337">
        <v>13066.915526937879</v>
      </c>
      <c r="G68" s="9">
        <f t="shared" si="1"/>
        <v>2.2504253881933931E-3</v>
      </c>
    </row>
    <row r="69" spans="1:7" x14ac:dyDescent="0.25">
      <c r="A69">
        <v>58</v>
      </c>
      <c r="B69" s="6">
        <v>15517.867472347099</v>
      </c>
      <c r="C69" s="9">
        <f t="shared" si="0"/>
        <v>2.6375836739332462E-3</v>
      </c>
      <c r="E69" s="248">
        <v>58</v>
      </c>
      <c r="F69" s="338">
        <v>11864.551551321892</v>
      </c>
      <c r="G69" s="9">
        <f t="shared" si="1"/>
        <v>2.0433504736125803E-3</v>
      </c>
    </row>
    <row r="70" spans="1:7" x14ac:dyDescent="0.25">
      <c r="A70">
        <v>59</v>
      </c>
      <c r="B70" s="6">
        <v>18685.019548319699</v>
      </c>
      <c r="C70" s="9">
        <f t="shared" si="0"/>
        <v>3.1759069083167925E-3</v>
      </c>
      <c r="E70" s="249">
        <v>59</v>
      </c>
      <c r="F70" s="339">
        <v>11285.46593040369</v>
      </c>
      <c r="G70" s="9">
        <f t="shared" si="1"/>
        <v>1.9436185222912843E-3</v>
      </c>
    </row>
    <row r="71" spans="1:7" x14ac:dyDescent="0.25">
      <c r="A71">
        <v>60</v>
      </c>
      <c r="B71" s="6">
        <v>25859.931172548</v>
      </c>
      <c r="C71" s="9">
        <f t="shared" si="0"/>
        <v>4.3954320650886137E-3</v>
      </c>
      <c r="E71" s="250">
        <v>60</v>
      </c>
      <c r="F71" s="340">
        <v>9572.2755175044786</v>
      </c>
      <c r="G71" s="9">
        <f t="shared" si="1"/>
        <v>1.6485674681959348E-3</v>
      </c>
    </row>
    <row r="72" spans="1:7" x14ac:dyDescent="0.25">
      <c r="A72">
        <v>61</v>
      </c>
      <c r="B72" s="6">
        <v>27551.548556352998</v>
      </c>
      <c r="C72" s="9">
        <f t="shared" si="0"/>
        <v>4.682957551565196E-3</v>
      </c>
      <c r="E72" s="251">
        <v>61</v>
      </c>
      <c r="F72" s="341">
        <v>7658.7604137877124</v>
      </c>
      <c r="G72" s="9">
        <f t="shared" si="1"/>
        <v>1.3190158642831136E-3</v>
      </c>
    </row>
    <row r="73" spans="1:7" x14ac:dyDescent="0.25">
      <c r="A73">
        <v>62</v>
      </c>
      <c r="B73" s="6">
        <v>5269.8816210409996</v>
      </c>
      <c r="C73" s="9">
        <f t="shared" si="0"/>
        <v>8.9572576592679551E-4</v>
      </c>
      <c r="E73" s="252">
        <v>62</v>
      </c>
      <c r="F73" s="342">
        <v>11987.334566320993</v>
      </c>
      <c r="G73" s="9">
        <f t="shared" si="1"/>
        <v>2.0644965515544842E-3</v>
      </c>
    </row>
    <row r="74" spans="1:7" x14ac:dyDescent="0.25">
      <c r="A74">
        <v>63</v>
      </c>
      <c r="B74" s="6">
        <v>2698.5191981036</v>
      </c>
      <c r="C74" s="9">
        <f t="shared" si="0"/>
        <v>4.586693495995522E-4</v>
      </c>
      <c r="E74" s="253">
        <v>63</v>
      </c>
      <c r="F74" s="343">
        <v>8560.3791015801617</v>
      </c>
      <c r="G74" s="9">
        <f t="shared" si="1"/>
        <v>1.4742954772334566E-3</v>
      </c>
    </row>
    <row r="75" spans="1:7" x14ac:dyDescent="0.25">
      <c r="A75">
        <v>64</v>
      </c>
      <c r="B75" s="6">
        <v>5911.1630377769998</v>
      </c>
      <c r="C75" s="9">
        <f t="shared" si="0"/>
        <v>1.004724853474991E-3</v>
      </c>
      <c r="E75" s="254">
        <v>64</v>
      </c>
      <c r="F75" s="344">
        <v>7037.3704845601114</v>
      </c>
      <c r="G75" s="9">
        <f t="shared" si="1"/>
        <v>1.2119981316117225E-3</v>
      </c>
    </row>
    <row r="76" spans="1:7" x14ac:dyDescent="0.25">
      <c r="A76">
        <v>65</v>
      </c>
      <c r="B76" s="6">
        <v>6358.2571598738004</v>
      </c>
      <c r="C76" s="9">
        <f t="shared" si="0"/>
        <v>1.0807177796457721E-3</v>
      </c>
      <c r="E76" s="255">
        <v>65</v>
      </c>
      <c r="F76" s="345">
        <v>7277.8976626487829</v>
      </c>
      <c r="G76" s="9">
        <f t="shared" si="1"/>
        <v>1.2534224805336525E-3</v>
      </c>
    </row>
    <row r="77" spans="1:7" x14ac:dyDescent="0.25">
      <c r="A77">
        <v>66</v>
      </c>
      <c r="B77" s="6">
        <v>7571.3654671619997</v>
      </c>
      <c r="C77" s="9">
        <f t="shared" ref="C77:C102" si="2">B77/B$102</f>
        <v>1.2869107163826002E-3</v>
      </c>
      <c r="E77" s="256">
        <v>66</v>
      </c>
      <c r="F77" s="346">
        <v>8896.2662104756109</v>
      </c>
      <c r="G77" s="9">
        <f t="shared" ref="G77:G102" si="3">F77/F$102</f>
        <v>1.5321430140807645E-3</v>
      </c>
    </row>
    <row r="78" spans="1:7" x14ac:dyDescent="0.25">
      <c r="A78">
        <v>67</v>
      </c>
      <c r="B78" s="6">
        <v>13229.806233146001</v>
      </c>
      <c r="C78" s="9">
        <f t="shared" si="2"/>
        <v>2.2486801741301581E-3</v>
      </c>
      <c r="E78" s="257">
        <v>67</v>
      </c>
      <c r="F78" s="347">
        <v>5667.6968798401849</v>
      </c>
      <c r="G78" s="9">
        <f t="shared" si="3"/>
        <v>9.761086252285426E-4</v>
      </c>
    </row>
    <row r="79" spans="1:7" x14ac:dyDescent="0.25">
      <c r="A79">
        <v>68</v>
      </c>
      <c r="B79" s="6">
        <v>1444.023518146</v>
      </c>
      <c r="C79" s="9">
        <f t="shared" si="2"/>
        <v>2.454417698195139E-4</v>
      </c>
      <c r="E79" s="258">
        <v>68</v>
      </c>
      <c r="F79" s="348">
        <v>5703.8663981592117</v>
      </c>
      <c r="G79" s="9">
        <f t="shared" si="3"/>
        <v>9.8233785370530611E-4</v>
      </c>
    </row>
    <row r="80" spans="1:7" x14ac:dyDescent="0.25">
      <c r="A80">
        <v>69</v>
      </c>
      <c r="B80" s="6">
        <v>9242.7549155322995</v>
      </c>
      <c r="C80" s="9">
        <f t="shared" si="2"/>
        <v>1.5709980453704033E-3</v>
      </c>
      <c r="E80" s="259">
        <v>69</v>
      </c>
      <c r="F80" s="349">
        <v>5771.3645256046066</v>
      </c>
      <c r="G80" s="9">
        <f t="shared" si="3"/>
        <v>9.9396259401570938E-4</v>
      </c>
    </row>
    <row r="81" spans="1:7" x14ac:dyDescent="0.25">
      <c r="A81">
        <v>70</v>
      </c>
      <c r="B81" s="6">
        <v>8123.2133185823996</v>
      </c>
      <c r="C81" s="9">
        <f t="shared" si="2"/>
        <v>1.3807087131753536E-3</v>
      </c>
      <c r="E81" s="260">
        <v>70</v>
      </c>
      <c r="F81" s="350">
        <v>4983.5150213001098</v>
      </c>
      <c r="G81" s="9">
        <f t="shared" si="3"/>
        <v>8.5827666852645917E-4</v>
      </c>
    </row>
    <row r="82" spans="1:7" x14ac:dyDescent="0.25">
      <c r="A82">
        <v>71</v>
      </c>
      <c r="B82" s="6">
        <v>6545.5658596601997</v>
      </c>
      <c r="C82" s="9">
        <f t="shared" si="2"/>
        <v>1.1125547810522253E-3</v>
      </c>
      <c r="E82" s="261">
        <v>71</v>
      </c>
      <c r="F82" s="351">
        <v>4522.2985393053568</v>
      </c>
      <c r="G82" s="9">
        <f t="shared" si="3"/>
        <v>7.7884451191731149E-4</v>
      </c>
    </row>
    <row r="83" spans="1:7" x14ac:dyDescent="0.25">
      <c r="A83">
        <v>72</v>
      </c>
      <c r="B83" s="6">
        <v>44741.445213076098</v>
      </c>
      <c r="C83" s="9">
        <f t="shared" si="2"/>
        <v>7.6047372908991107E-3</v>
      </c>
      <c r="E83" s="262">
        <v>72</v>
      </c>
      <c r="F83" s="352">
        <v>4806.1468656961997</v>
      </c>
      <c r="G83" s="9">
        <f t="shared" si="3"/>
        <v>8.2772976557868956E-4</v>
      </c>
    </row>
    <row r="84" spans="1:7" x14ac:dyDescent="0.25">
      <c r="A84">
        <v>73</v>
      </c>
      <c r="B84" s="6">
        <v>3851.1273027940001</v>
      </c>
      <c r="C84" s="9">
        <f t="shared" si="2"/>
        <v>6.5457902113090223E-4</v>
      </c>
      <c r="E84" s="263">
        <v>73</v>
      </c>
      <c r="F84" s="353">
        <v>4628.4098258394097</v>
      </c>
      <c r="G84" s="9">
        <f t="shared" si="3"/>
        <v>7.9711933222190536E-4</v>
      </c>
    </row>
    <row r="85" spans="1:7" x14ac:dyDescent="0.25">
      <c r="A85">
        <v>74</v>
      </c>
      <c r="B85" s="6">
        <v>11507.2270041624</v>
      </c>
      <c r="C85" s="9">
        <f t="shared" si="2"/>
        <v>1.9558920794051512E-3</v>
      </c>
      <c r="E85" s="264">
        <v>74</v>
      </c>
      <c r="F85" s="354">
        <v>4266.9643550394412</v>
      </c>
      <c r="G85" s="9">
        <f t="shared" si="3"/>
        <v>7.3487005370939803E-4</v>
      </c>
    </row>
    <row r="86" spans="1:7" x14ac:dyDescent="0.25">
      <c r="A86">
        <v>75</v>
      </c>
      <c r="B86" s="6">
        <v>9615.6426573920999</v>
      </c>
      <c r="C86" s="9">
        <f t="shared" si="2"/>
        <v>1.6343780569533018E-3</v>
      </c>
      <c r="E86" s="265">
        <v>75</v>
      </c>
      <c r="F86" s="355">
        <v>3733.5151302739428</v>
      </c>
      <c r="G86" s="9">
        <f t="shared" si="3"/>
        <v>6.4299774641166454E-4</v>
      </c>
    </row>
    <row r="87" spans="1:7" x14ac:dyDescent="0.25">
      <c r="A87">
        <v>76</v>
      </c>
      <c r="B87" s="6">
        <v>17322.019147212999</v>
      </c>
      <c r="C87" s="9">
        <f t="shared" si="2"/>
        <v>2.9442366989964816E-3</v>
      </c>
      <c r="E87" s="266">
        <v>76</v>
      </c>
      <c r="F87" s="356">
        <v>3133.1944445447734</v>
      </c>
      <c r="G87" s="9">
        <f t="shared" si="3"/>
        <v>5.3960862528070548E-4</v>
      </c>
    </row>
    <row r="88" spans="1:7" x14ac:dyDescent="0.25">
      <c r="A88">
        <v>77</v>
      </c>
      <c r="B88" s="6">
        <v>3761.1715561874998</v>
      </c>
      <c r="C88" s="9">
        <f t="shared" si="2"/>
        <v>6.3928917482640262E-4</v>
      </c>
      <c r="E88" s="267">
        <v>77</v>
      </c>
      <c r="F88" s="357">
        <v>2956.0378801456259</v>
      </c>
      <c r="G88" s="9">
        <f t="shared" si="3"/>
        <v>5.090981632373049E-4</v>
      </c>
    </row>
    <row r="89" spans="1:7" x14ac:dyDescent="0.25">
      <c r="A89">
        <v>78</v>
      </c>
      <c r="B89" s="6">
        <v>1208.3615056103999</v>
      </c>
      <c r="C89" s="9">
        <f t="shared" si="2"/>
        <v>2.0538611926457741E-4</v>
      </c>
      <c r="E89" s="268">
        <v>78</v>
      </c>
      <c r="F89" s="358">
        <v>2666.3109891290164</v>
      </c>
      <c r="G89" s="9">
        <f t="shared" si="3"/>
        <v>4.5920048464269088E-4</v>
      </c>
    </row>
    <row r="90" spans="1:7" x14ac:dyDescent="0.25">
      <c r="A90">
        <v>79</v>
      </c>
      <c r="B90" s="6">
        <v>2981.6171355287001</v>
      </c>
      <c r="C90" s="9">
        <f t="shared" si="2"/>
        <v>5.0678772019443141E-4</v>
      </c>
      <c r="E90" s="269">
        <v>79</v>
      </c>
      <c r="F90" s="359">
        <v>3356.188103911868</v>
      </c>
      <c r="G90" s="9">
        <f t="shared" si="3"/>
        <v>5.7801329633037435E-4</v>
      </c>
    </row>
    <row r="91" spans="1:7" x14ac:dyDescent="0.25">
      <c r="A91">
        <v>80</v>
      </c>
      <c r="B91" s="6">
        <v>35198.386924146704</v>
      </c>
      <c r="C91" s="9">
        <f t="shared" si="2"/>
        <v>5.9826964539653211E-3</v>
      </c>
      <c r="E91" s="270">
        <v>80</v>
      </c>
      <c r="F91" s="360">
        <v>2560.5773153312116</v>
      </c>
      <c r="G91" s="9">
        <f t="shared" si="3"/>
        <v>4.4099069799403572E-4</v>
      </c>
    </row>
    <row r="92" spans="1:7" x14ac:dyDescent="0.25">
      <c r="A92">
        <v>81</v>
      </c>
      <c r="B92" s="6">
        <v>2632.678679736</v>
      </c>
      <c r="C92" s="9">
        <f t="shared" si="2"/>
        <v>4.4747838688259726E-4</v>
      </c>
      <c r="E92" s="271">
        <v>81</v>
      </c>
      <c r="F92" s="361">
        <v>2312.0806574513385</v>
      </c>
      <c r="G92" s="9">
        <f t="shared" si="3"/>
        <v>3.9819382013703747E-4</v>
      </c>
    </row>
    <row r="93" spans="1:7" x14ac:dyDescent="0.25">
      <c r="A93">
        <v>82</v>
      </c>
      <c r="B93" s="6">
        <v>9855.2460574590004</v>
      </c>
      <c r="C93" s="9">
        <f t="shared" si="2"/>
        <v>1.6751036281286926E-3</v>
      </c>
      <c r="E93" s="272">
        <v>82</v>
      </c>
      <c r="F93" s="362">
        <v>2146.8090732098522</v>
      </c>
      <c r="G93" s="9">
        <f t="shared" si="3"/>
        <v>3.6973022684623865E-4</v>
      </c>
    </row>
    <row r="94" spans="1:7" x14ac:dyDescent="0.25">
      <c r="A94">
        <v>83</v>
      </c>
      <c r="B94" s="6">
        <v>5837.9404788961001</v>
      </c>
      <c r="C94" s="9">
        <f t="shared" si="2"/>
        <v>9.9227915974729047E-4</v>
      </c>
      <c r="E94" s="273">
        <v>83</v>
      </c>
      <c r="F94" s="363">
        <v>3071.9493829703279</v>
      </c>
      <c r="G94" s="9">
        <f t="shared" si="3"/>
        <v>5.2906080768867596E-4</v>
      </c>
    </row>
    <row r="95" spans="1:7" x14ac:dyDescent="0.25">
      <c r="A95">
        <v>84</v>
      </c>
      <c r="B95" s="6">
        <v>8223.5712677335996</v>
      </c>
      <c r="C95" s="9">
        <f t="shared" si="2"/>
        <v>1.3977666297159048E-3</v>
      </c>
      <c r="E95" s="274">
        <v>84</v>
      </c>
      <c r="F95" s="364">
        <v>2308.0836744220296</v>
      </c>
      <c r="G95" s="9">
        <f t="shared" si="3"/>
        <v>3.9750544711841714E-4</v>
      </c>
    </row>
    <row r="96" spans="1:7" x14ac:dyDescent="0.25">
      <c r="A96">
        <v>85</v>
      </c>
      <c r="B96" s="6">
        <v>5006.9698036617001</v>
      </c>
      <c r="C96" s="9">
        <f t="shared" si="2"/>
        <v>8.5103844542741027E-4</v>
      </c>
      <c r="E96" s="275">
        <v>85</v>
      </c>
      <c r="F96" s="365">
        <v>2428.7376772797434</v>
      </c>
      <c r="G96" s="9">
        <f t="shared" si="3"/>
        <v>4.1828485987718215E-4</v>
      </c>
    </row>
    <row r="97" spans="1:7" x14ac:dyDescent="0.25">
      <c r="A97">
        <v>86</v>
      </c>
      <c r="B97" s="6">
        <v>2867.0805968983</v>
      </c>
      <c r="C97" s="9">
        <f t="shared" si="2"/>
        <v>4.8731985807363998E-4</v>
      </c>
      <c r="E97" s="276">
        <v>86</v>
      </c>
      <c r="F97" s="366">
        <v>1999.7660464640724</v>
      </c>
      <c r="G97" s="9">
        <f t="shared" si="3"/>
        <v>3.444060131966346E-4</v>
      </c>
    </row>
    <row r="98" spans="1:7" x14ac:dyDescent="0.25">
      <c r="A98">
        <v>87</v>
      </c>
      <c r="B98" s="6">
        <v>7103.3543771546001</v>
      </c>
      <c r="C98" s="9">
        <f t="shared" si="2"/>
        <v>1.2073625173518404E-3</v>
      </c>
      <c r="E98" s="277">
        <v>87</v>
      </c>
      <c r="F98" s="367">
        <v>1912.3017332486734</v>
      </c>
      <c r="G98" s="9">
        <f t="shared" si="3"/>
        <v>3.2934263342540571E-4</v>
      </c>
    </row>
    <row r="99" spans="1:7" x14ac:dyDescent="0.25">
      <c r="A99">
        <v>88</v>
      </c>
      <c r="B99" s="6">
        <v>6611.2846627433</v>
      </c>
      <c r="C99" s="9">
        <f t="shared" si="2"/>
        <v>1.1237250557301931E-3</v>
      </c>
      <c r="E99" s="278">
        <v>88</v>
      </c>
      <c r="F99" s="368">
        <v>1918.8468089053015</v>
      </c>
      <c r="G99" s="9">
        <f t="shared" si="3"/>
        <v>3.3046984698969009E-4</v>
      </c>
    </row>
    <row r="100" spans="1:7" x14ac:dyDescent="0.25">
      <c r="A100">
        <v>89</v>
      </c>
      <c r="B100" s="6">
        <v>12051.0114977885</v>
      </c>
      <c r="C100" s="9">
        <f t="shared" si="2"/>
        <v>2.0483195411734739E-3</v>
      </c>
      <c r="E100" s="279">
        <v>89</v>
      </c>
      <c r="F100" s="369">
        <v>1585.0661396837106</v>
      </c>
      <c r="G100" s="9">
        <f t="shared" si="3"/>
        <v>2.7298508782399932E-4</v>
      </c>
    </row>
    <row r="101" spans="1:7" ht="15.75" thickBot="1" x14ac:dyDescent="0.3">
      <c r="A101" s="1">
        <v>90</v>
      </c>
      <c r="B101" s="7">
        <v>255275.58559746691</v>
      </c>
      <c r="C101" s="9">
        <f t="shared" si="2"/>
        <v>4.3389384406425043E-2</v>
      </c>
      <c r="E101" s="372">
        <v>90</v>
      </c>
      <c r="F101" s="372">
        <v>95852.531816773873</v>
      </c>
      <c r="G101" s="9">
        <f t="shared" si="3"/>
        <v>1.6508025224345541E-2</v>
      </c>
    </row>
    <row r="102" spans="1:7" x14ac:dyDescent="0.25">
      <c r="B102" s="6">
        <f>SUM(B11:B101)</f>
        <v>5883365.0002111122</v>
      </c>
      <c r="C102" s="9">
        <f t="shared" si="2"/>
        <v>1</v>
      </c>
      <c r="F102" s="6">
        <f>SUM(F11:F101)</f>
        <v>5806420.2419204833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2"/>
  <sheetViews>
    <sheetView workbookViewId="0">
      <selection activeCell="K11" sqref="K11:L11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98296.546553479697</v>
      </c>
      <c r="C11" s="9">
        <f>B11/B$102</f>
        <v>4.3350897587176453E-2</v>
      </c>
      <c r="E11" s="371">
        <v>0</v>
      </c>
      <c r="F11" s="371">
        <v>228222.42386935677</v>
      </c>
      <c r="G11" s="9">
        <f>F11/F$102</f>
        <v>0.10229521415816091</v>
      </c>
      <c r="K11" s="6">
        <v>10.388893204831918</v>
      </c>
      <c r="L11" s="6">
        <v>10.371359742689341</v>
      </c>
    </row>
    <row r="12" spans="1:12" x14ac:dyDescent="0.25">
      <c r="A12">
        <v>1</v>
      </c>
      <c r="B12" s="6">
        <v>92884.453974866497</v>
      </c>
      <c r="C12" s="9">
        <f>B12/B$102</f>
        <v>4.0964048004621383E-2</v>
      </c>
      <c r="E12" s="371">
        <v>1</v>
      </c>
      <c r="F12" s="371">
        <v>147438.262805151</v>
      </c>
      <c r="G12" s="9">
        <f>F12/F$102</f>
        <v>6.608565632180724E-2</v>
      </c>
      <c r="K12" s="6"/>
      <c r="L12" s="371"/>
    </row>
    <row r="13" spans="1:12" x14ac:dyDescent="0.25">
      <c r="A13">
        <v>2</v>
      </c>
      <c r="B13" s="6">
        <v>77163.904737458797</v>
      </c>
      <c r="C13" s="9">
        <f t="shared" ref="C13:C76" si="0">B13/B$102</f>
        <v>3.4030946650605388E-2</v>
      </c>
      <c r="E13" s="371">
        <v>2</v>
      </c>
      <c r="F13" s="371">
        <v>99020.88199169295</v>
      </c>
      <c r="G13" s="9">
        <f t="shared" ref="G13:G76" si="1">F13/F$102</f>
        <v>4.4383729511472729E-2</v>
      </c>
    </row>
    <row r="14" spans="1:12" x14ac:dyDescent="0.25">
      <c r="A14">
        <v>3</v>
      </c>
      <c r="B14" s="6">
        <v>138559.28378121799</v>
      </c>
      <c r="C14" s="9">
        <f t="shared" si="0"/>
        <v>6.1107633294971181E-2</v>
      </c>
      <c r="E14" s="371">
        <v>3</v>
      </c>
      <c r="F14" s="371">
        <v>70240.75991099047</v>
      </c>
      <c r="G14" s="9">
        <f t="shared" si="1"/>
        <v>3.1483731773175233E-2</v>
      </c>
    </row>
    <row r="15" spans="1:12" x14ac:dyDescent="0.25">
      <c r="A15">
        <v>4</v>
      </c>
      <c r="B15" s="6">
        <v>259895.09070128261</v>
      </c>
      <c r="C15" s="9">
        <f t="shared" si="0"/>
        <v>0.11461934173110985</v>
      </c>
      <c r="E15" s="371">
        <v>4</v>
      </c>
      <c r="F15" s="371">
        <v>198906.7250146578</v>
      </c>
      <c r="G15" s="9">
        <f t="shared" si="1"/>
        <v>8.915515700823666E-2</v>
      </c>
    </row>
    <row r="16" spans="1:12" x14ac:dyDescent="0.25">
      <c r="A16">
        <v>5</v>
      </c>
      <c r="B16" s="6">
        <v>187494.56676752181</v>
      </c>
      <c r="C16" s="9">
        <f t="shared" si="0"/>
        <v>8.2689148775625249E-2</v>
      </c>
      <c r="E16" s="371">
        <v>5</v>
      </c>
      <c r="F16" s="371">
        <v>168487.41484508271</v>
      </c>
      <c r="G16" s="9">
        <f t="shared" si="1"/>
        <v>7.5520432621462588E-2</v>
      </c>
    </row>
    <row r="17" spans="1:7" x14ac:dyDescent="0.25">
      <c r="A17">
        <v>6</v>
      </c>
      <c r="B17" s="6">
        <v>170117.2002851204</v>
      </c>
      <c r="C17" s="9">
        <f t="shared" si="0"/>
        <v>7.5025355273952654E-2</v>
      </c>
      <c r="E17" s="371">
        <v>6</v>
      </c>
      <c r="F17" s="371">
        <v>147745.29591461777</v>
      </c>
      <c r="G17" s="9">
        <f t="shared" si="1"/>
        <v>6.622327653087369E-2</v>
      </c>
    </row>
    <row r="18" spans="1:7" x14ac:dyDescent="0.25">
      <c r="A18">
        <v>7</v>
      </c>
      <c r="B18" s="6">
        <v>115674.79603201131</v>
      </c>
      <c r="C18" s="9">
        <f t="shared" si="0"/>
        <v>5.1015080509191402E-2</v>
      </c>
      <c r="E18" s="371">
        <v>7</v>
      </c>
      <c r="F18" s="371">
        <v>107430.90414499384</v>
      </c>
      <c r="G18" s="9">
        <f t="shared" si="1"/>
        <v>4.815331973254261E-2</v>
      </c>
    </row>
    <row r="19" spans="1:7" x14ac:dyDescent="0.25">
      <c r="A19">
        <v>8</v>
      </c>
      <c r="B19" s="6">
        <v>137490.15335656999</v>
      </c>
      <c r="C19" s="9">
        <f t="shared" si="0"/>
        <v>6.0636123713288845E-2</v>
      </c>
      <c r="E19" s="371">
        <v>8</v>
      </c>
      <c r="F19" s="371">
        <v>126548.51151126609</v>
      </c>
      <c r="G19" s="9">
        <f t="shared" si="1"/>
        <v>5.6722327573962859E-2</v>
      </c>
    </row>
    <row r="20" spans="1:7" x14ac:dyDescent="0.25">
      <c r="A20">
        <v>9</v>
      </c>
      <c r="B20" s="6">
        <v>86984.829880293008</v>
      </c>
      <c r="C20" s="9">
        <f t="shared" si="0"/>
        <v>3.8362186505982186E-2</v>
      </c>
      <c r="E20" s="371">
        <v>9</v>
      </c>
      <c r="F20" s="371">
        <v>68829.085560128835</v>
      </c>
      <c r="G20" s="9">
        <f t="shared" si="1"/>
        <v>3.0850982687460331E-2</v>
      </c>
    </row>
    <row r="21" spans="1:7" x14ac:dyDescent="0.25">
      <c r="A21">
        <v>10</v>
      </c>
      <c r="B21" s="6">
        <v>127067.00366237749</v>
      </c>
      <c r="C21" s="9">
        <f t="shared" si="0"/>
        <v>5.6039289838937911E-2</v>
      </c>
      <c r="E21" s="371">
        <v>10</v>
      </c>
      <c r="F21" s="371">
        <v>78192.671592840721</v>
      </c>
      <c r="G21" s="9">
        <f t="shared" si="1"/>
        <v>3.5047984990147892E-2</v>
      </c>
    </row>
    <row r="22" spans="1:7" x14ac:dyDescent="0.25">
      <c r="A22">
        <v>11</v>
      </c>
      <c r="B22" s="6">
        <v>71225.634793743098</v>
      </c>
      <c r="C22" s="9">
        <f t="shared" si="0"/>
        <v>3.1412041498785341E-2</v>
      </c>
      <c r="E22" s="371">
        <v>11</v>
      </c>
      <c r="F22" s="371">
        <v>67473.417340317304</v>
      </c>
      <c r="G22" s="9">
        <f t="shared" si="1"/>
        <v>3.024333700338672E-2</v>
      </c>
    </row>
    <row r="23" spans="1:7" x14ac:dyDescent="0.25">
      <c r="A23">
        <v>12</v>
      </c>
      <c r="B23" s="6">
        <v>64215.665405919601</v>
      </c>
      <c r="C23" s="9">
        <f t="shared" si="0"/>
        <v>2.8320493772279569E-2</v>
      </c>
      <c r="E23" s="371">
        <v>12</v>
      </c>
      <c r="F23" s="371">
        <v>69122.54053081348</v>
      </c>
      <c r="G23" s="9">
        <f t="shared" si="1"/>
        <v>3.0982516822288145E-2</v>
      </c>
    </row>
    <row r="24" spans="1:7" x14ac:dyDescent="0.25">
      <c r="A24">
        <v>13</v>
      </c>
      <c r="B24" s="6">
        <v>54347.456474541497</v>
      </c>
      <c r="C24" s="9">
        <f t="shared" si="0"/>
        <v>2.3968400746099006E-2</v>
      </c>
      <c r="E24" s="371">
        <v>13</v>
      </c>
      <c r="F24" s="371">
        <v>56632.933353434855</v>
      </c>
      <c r="G24" s="9">
        <f t="shared" si="1"/>
        <v>2.5384350703026297E-2</v>
      </c>
    </row>
    <row r="25" spans="1:7" x14ac:dyDescent="0.25">
      <c r="A25">
        <v>14</v>
      </c>
      <c r="B25" s="6">
        <v>34582.634587585402</v>
      </c>
      <c r="C25" s="9">
        <f t="shared" si="0"/>
        <v>1.5251687906304068E-2</v>
      </c>
      <c r="E25" s="371">
        <v>14</v>
      </c>
      <c r="F25" s="371">
        <v>57270.990591000234</v>
      </c>
      <c r="G25" s="9">
        <f t="shared" si="1"/>
        <v>2.5670344518424901E-2</v>
      </c>
    </row>
    <row r="26" spans="1:7" x14ac:dyDescent="0.25">
      <c r="A26">
        <v>15</v>
      </c>
      <c r="B26" s="6">
        <v>53821.827124411699</v>
      </c>
      <c r="C26" s="9">
        <f t="shared" si="0"/>
        <v>2.373658686325935E-2</v>
      </c>
      <c r="E26" s="371">
        <v>15</v>
      </c>
      <c r="F26" s="371">
        <v>51047.322333760429</v>
      </c>
      <c r="G26" s="9">
        <f t="shared" si="1"/>
        <v>2.2880734862941891E-2</v>
      </c>
    </row>
    <row r="27" spans="1:7" x14ac:dyDescent="0.25">
      <c r="A27">
        <v>16</v>
      </c>
      <c r="B27" s="6">
        <v>59301.8653303014</v>
      </c>
      <c r="C27" s="9">
        <f t="shared" si="0"/>
        <v>2.6153401933238316E-2</v>
      </c>
      <c r="E27" s="371">
        <v>16</v>
      </c>
      <c r="F27" s="371">
        <v>57139.589754440356</v>
      </c>
      <c r="G27" s="9">
        <f t="shared" si="1"/>
        <v>2.5611447252816378E-2</v>
      </c>
    </row>
    <row r="28" spans="1:7" x14ac:dyDescent="0.25">
      <c r="A28">
        <v>17</v>
      </c>
      <c r="B28" s="6">
        <v>47893.463153786302</v>
      </c>
      <c r="C28" s="9">
        <f t="shared" si="0"/>
        <v>2.1122050459274257E-2</v>
      </c>
      <c r="E28" s="371">
        <v>17</v>
      </c>
      <c r="F28" s="371">
        <v>45123.373480223891</v>
      </c>
      <c r="G28" s="9">
        <f t="shared" si="1"/>
        <v>2.0225467223766325E-2</v>
      </c>
    </row>
    <row r="29" spans="1:7" x14ac:dyDescent="0.25">
      <c r="A29">
        <v>18</v>
      </c>
      <c r="B29" s="6">
        <v>57642.311186999199</v>
      </c>
      <c r="C29" s="9">
        <f t="shared" si="0"/>
        <v>2.5421502754384394E-2</v>
      </c>
      <c r="E29" s="371">
        <v>18</v>
      </c>
      <c r="F29" s="371">
        <v>37432.942500911704</v>
      </c>
      <c r="G29" s="9">
        <f t="shared" si="1"/>
        <v>1.677841644470866E-2</v>
      </c>
    </row>
    <row r="30" spans="1:7" x14ac:dyDescent="0.25">
      <c r="A30">
        <v>19</v>
      </c>
      <c r="B30" s="6">
        <v>33051.030578707898</v>
      </c>
      <c r="C30" s="9">
        <f t="shared" si="0"/>
        <v>1.4576217497007098E-2</v>
      </c>
      <c r="E30" s="371">
        <v>19</v>
      </c>
      <c r="F30" s="371">
        <v>35882.321310551015</v>
      </c>
      <c r="G30" s="9">
        <f t="shared" si="1"/>
        <v>1.6083387779002568E-2</v>
      </c>
    </row>
    <row r="31" spans="1:7" x14ac:dyDescent="0.25">
      <c r="A31">
        <v>20</v>
      </c>
      <c r="B31" s="6">
        <v>30625.552651668801</v>
      </c>
      <c r="C31" s="9">
        <f t="shared" si="0"/>
        <v>1.3506529406207057E-2</v>
      </c>
      <c r="E31" s="371">
        <v>20</v>
      </c>
      <c r="F31" s="371">
        <v>32622.854384890306</v>
      </c>
      <c r="G31" s="9">
        <f t="shared" si="1"/>
        <v>1.4622410099645473E-2</v>
      </c>
    </row>
    <row r="32" spans="1:7" x14ac:dyDescent="0.25">
      <c r="A32">
        <v>21</v>
      </c>
      <c r="B32" s="6">
        <v>28347.071992219298</v>
      </c>
      <c r="C32" s="9">
        <f t="shared" si="0"/>
        <v>1.2501670281594596E-2</v>
      </c>
      <c r="E32" s="371">
        <v>21</v>
      </c>
      <c r="F32" s="371">
        <v>27256.976014286261</v>
      </c>
      <c r="G32" s="9">
        <f t="shared" si="1"/>
        <v>1.2217284136292294E-2</v>
      </c>
    </row>
    <row r="33" spans="1:7" x14ac:dyDescent="0.25">
      <c r="A33">
        <v>22</v>
      </c>
      <c r="B33" s="6">
        <v>24678.2618001255</v>
      </c>
      <c r="C33" s="9">
        <f t="shared" si="0"/>
        <v>1.0883645839426468E-2</v>
      </c>
      <c r="E33" s="371">
        <v>22</v>
      </c>
      <c r="F33" s="371">
        <v>24058.526445811491</v>
      </c>
      <c r="G33" s="9">
        <f t="shared" si="1"/>
        <v>1.0783656020202799E-2</v>
      </c>
    </row>
    <row r="34" spans="1:7" x14ac:dyDescent="0.25">
      <c r="A34">
        <v>23</v>
      </c>
      <c r="B34" s="6">
        <v>23681.879450364901</v>
      </c>
      <c r="C34" s="9">
        <f t="shared" si="0"/>
        <v>1.0444219728167904E-2</v>
      </c>
      <c r="E34" s="371">
        <v>23</v>
      </c>
      <c r="F34" s="371">
        <v>21797.448213172036</v>
      </c>
      <c r="G34" s="9">
        <f t="shared" si="1"/>
        <v>9.7701820674039614E-3</v>
      </c>
    </row>
    <row r="35" spans="1:7" x14ac:dyDescent="0.25">
      <c r="A35">
        <v>24</v>
      </c>
      <c r="B35" s="6">
        <v>19224.036030905801</v>
      </c>
      <c r="C35" s="9">
        <f t="shared" si="0"/>
        <v>8.4782146108721649E-3</v>
      </c>
      <c r="E35" s="371">
        <v>24</v>
      </c>
      <c r="F35" s="371">
        <v>25812.984987680022</v>
      </c>
      <c r="G35" s="9">
        <f t="shared" si="1"/>
        <v>1.1570049877691549E-2</v>
      </c>
    </row>
    <row r="36" spans="1:7" x14ac:dyDescent="0.25">
      <c r="A36">
        <v>25</v>
      </c>
      <c r="B36" s="6">
        <v>14879.560831223</v>
      </c>
      <c r="C36" s="9">
        <f t="shared" si="0"/>
        <v>6.5622073241969449E-3</v>
      </c>
      <c r="E36" s="371">
        <v>25</v>
      </c>
      <c r="F36" s="371">
        <v>20104.61402472698</v>
      </c>
      <c r="G36" s="9">
        <f t="shared" si="1"/>
        <v>9.0114098446517736E-3</v>
      </c>
    </row>
    <row r="37" spans="1:7" x14ac:dyDescent="0.25">
      <c r="A37">
        <v>26</v>
      </c>
      <c r="B37" s="6">
        <v>16044.2989389792</v>
      </c>
      <c r="C37" s="9">
        <f t="shared" si="0"/>
        <v>7.0758819566800867E-3</v>
      </c>
      <c r="E37" s="371">
        <v>26</v>
      </c>
      <c r="F37" s="371">
        <v>17128.801881729567</v>
      </c>
      <c r="G37" s="9">
        <f t="shared" si="1"/>
        <v>7.6775736014759819E-3</v>
      </c>
    </row>
    <row r="38" spans="1:7" x14ac:dyDescent="0.25">
      <c r="A38">
        <v>27</v>
      </c>
      <c r="B38" s="6">
        <v>13117.5190152414</v>
      </c>
      <c r="C38" s="9">
        <f t="shared" si="0"/>
        <v>5.7851088707189099E-3</v>
      </c>
      <c r="E38" s="371">
        <v>27</v>
      </c>
      <c r="F38" s="371">
        <v>14560.165800506267</v>
      </c>
      <c r="G38" s="9">
        <f t="shared" si="1"/>
        <v>6.5262442379182186E-3</v>
      </c>
    </row>
    <row r="39" spans="1:7" x14ac:dyDescent="0.25">
      <c r="A39">
        <v>28</v>
      </c>
      <c r="B39" s="6">
        <v>10672.700122783699</v>
      </c>
      <c r="C39" s="9">
        <f t="shared" si="0"/>
        <v>4.7068909969254988E-3</v>
      </c>
      <c r="E39" s="371">
        <v>28</v>
      </c>
      <c r="F39" s="371">
        <v>11779.127063101843</v>
      </c>
      <c r="G39" s="9">
        <f t="shared" si="1"/>
        <v>5.2797104907007317E-3</v>
      </c>
    </row>
    <row r="40" spans="1:7" x14ac:dyDescent="0.25">
      <c r="A40">
        <v>29</v>
      </c>
      <c r="B40" s="6">
        <v>6864.4818095772998</v>
      </c>
      <c r="C40" s="9">
        <f t="shared" si="0"/>
        <v>3.0273845658872422E-3</v>
      </c>
      <c r="E40" s="371">
        <v>29</v>
      </c>
      <c r="F40" s="371">
        <v>13428.843028655057</v>
      </c>
      <c r="G40" s="9">
        <f t="shared" si="1"/>
        <v>6.0191560067688931E-3</v>
      </c>
    </row>
    <row r="41" spans="1:7" x14ac:dyDescent="0.25">
      <c r="A41">
        <v>30</v>
      </c>
      <c r="B41" s="6">
        <v>9635.4113092566004</v>
      </c>
      <c r="C41" s="9">
        <f t="shared" si="0"/>
        <v>4.2494242526683965E-3</v>
      </c>
      <c r="E41" s="371">
        <v>30</v>
      </c>
      <c r="F41" s="371">
        <v>9663.7711099653261</v>
      </c>
      <c r="G41" s="9">
        <f t="shared" si="1"/>
        <v>4.3315530459672943E-3</v>
      </c>
    </row>
    <row r="42" spans="1:7" x14ac:dyDescent="0.25">
      <c r="A42">
        <v>31</v>
      </c>
      <c r="B42" s="6">
        <v>8371.5091449033007</v>
      </c>
      <c r="C42" s="9">
        <f t="shared" si="0"/>
        <v>3.6920161319539974E-3</v>
      </c>
      <c r="E42" s="371">
        <v>31</v>
      </c>
      <c r="F42" s="371">
        <v>9242.2749650942696</v>
      </c>
      <c r="G42" s="9">
        <f t="shared" si="1"/>
        <v>4.1426275334107117E-3</v>
      </c>
    </row>
    <row r="43" spans="1:7" x14ac:dyDescent="0.25">
      <c r="A43">
        <v>32</v>
      </c>
      <c r="B43" s="6">
        <v>3723.4798190898</v>
      </c>
      <c r="C43" s="9">
        <f t="shared" si="0"/>
        <v>1.6421349270643944E-3</v>
      </c>
      <c r="E43" s="371">
        <v>32</v>
      </c>
      <c r="F43" s="371">
        <v>8318.072552247997</v>
      </c>
      <c r="G43" s="9">
        <f t="shared" si="1"/>
        <v>3.7283760232185424E-3</v>
      </c>
    </row>
    <row r="44" spans="1:7" x14ac:dyDescent="0.25">
      <c r="A44">
        <v>33</v>
      </c>
      <c r="B44" s="6">
        <v>5473.7832709865997</v>
      </c>
      <c r="C44" s="9">
        <f t="shared" si="0"/>
        <v>2.4140565087486243E-3</v>
      </c>
      <c r="E44" s="371">
        <v>33</v>
      </c>
      <c r="F44" s="371">
        <v>7772.672159263926</v>
      </c>
      <c r="G44" s="9">
        <f t="shared" si="1"/>
        <v>3.483913410578042E-3</v>
      </c>
    </row>
    <row r="45" spans="1:7" x14ac:dyDescent="0.25">
      <c r="A45">
        <v>34</v>
      </c>
      <c r="B45" s="6">
        <v>13872.398854469</v>
      </c>
      <c r="C45" s="9">
        <f t="shared" si="0"/>
        <v>6.1180271648847741E-3</v>
      </c>
      <c r="E45" s="371">
        <v>34</v>
      </c>
      <c r="F45" s="371">
        <v>6157.5312094959709</v>
      </c>
      <c r="G45" s="9">
        <f t="shared" si="1"/>
        <v>2.7599653140198033E-3</v>
      </c>
    </row>
    <row r="46" spans="1:7" x14ac:dyDescent="0.25">
      <c r="A46">
        <v>35</v>
      </c>
      <c r="B46" s="6">
        <v>4599.1216396530999</v>
      </c>
      <c r="C46" s="9">
        <f t="shared" si="0"/>
        <v>2.0283118602045201E-3</v>
      </c>
      <c r="E46" s="371">
        <v>35</v>
      </c>
      <c r="F46" s="371">
        <v>6260.3381756376111</v>
      </c>
      <c r="G46" s="9">
        <f t="shared" si="1"/>
        <v>2.806046064719524E-3</v>
      </c>
    </row>
    <row r="47" spans="1:7" x14ac:dyDescent="0.25">
      <c r="A47">
        <v>36</v>
      </c>
      <c r="B47" s="6">
        <v>7102.2328572607003</v>
      </c>
      <c r="C47" s="9">
        <f t="shared" si="0"/>
        <v>3.1322379069327437E-3</v>
      </c>
      <c r="E47" s="371">
        <v>36</v>
      </c>
      <c r="F47" s="371">
        <v>6503.5683568421609</v>
      </c>
      <c r="G47" s="9">
        <f t="shared" si="1"/>
        <v>2.9150681452592116E-3</v>
      </c>
    </row>
    <row r="48" spans="1:7" x14ac:dyDescent="0.25">
      <c r="A48">
        <v>37</v>
      </c>
      <c r="B48" s="6">
        <v>5285.7395312702001</v>
      </c>
      <c r="C48" s="9">
        <f t="shared" si="0"/>
        <v>2.3311251628552044E-3</v>
      </c>
      <c r="E48" s="371">
        <v>37</v>
      </c>
      <c r="F48" s="371">
        <v>5214.4071649928428</v>
      </c>
      <c r="G48" s="9">
        <f t="shared" si="1"/>
        <v>2.3372326373859525E-3</v>
      </c>
    </row>
    <row r="49" spans="1:7" x14ac:dyDescent="0.25">
      <c r="A49">
        <v>38</v>
      </c>
      <c r="B49" s="6">
        <v>7397.7355238754999</v>
      </c>
      <c r="C49" s="9">
        <f t="shared" si="0"/>
        <v>3.2625609578060119E-3</v>
      </c>
      <c r="E49" s="371">
        <v>38</v>
      </c>
      <c r="F49" s="371">
        <v>5478.3179569800432</v>
      </c>
      <c r="G49" s="9">
        <f t="shared" si="1"/>
        <v>2.4555243044678625E-3</v>
      </c>
    </row>
    <row r="50" spans="1:7" x14ac:dyDescent="0.25">
      <c r="A50">
        <v>39</v>
      </c>
      <c r="B50" s="6">
        <v>3446.0545528789999</v>
      </c>
      <c r="C50" s="9">
        <f t="shared" si="0"/>
        <v>1.5197843997540959E-3</v>
      </c>
      <c r="E50" s="371">
        <v>39</v>
      </c>
      <c r="F50" s="371">
        <v>5396.492716150412</v>
      </c>
      <c r="G50" s="9">
        <f t="shared" si="1"/>
        <v>2.4188481076582026E-3</v>
      </c>
    </row>
    <row r="51" spans="1:7" x14ac:dyDescent="0.25">
      <c r="A51">
        <v>40</v>
      </c>
      <c r="B51" s="6">
        <v>3832.8324036549998</v>
      </c>
      <c r="C51" s="9">
        <f t="shared" si="0"/>
        <v>1.6903617759272879E-3</v>
      </c>
      <c r="E51" s="371">
        <v>40</v>
      </c>
      <c r="F51" s="371">
        <v>3297.5927113620005</v>
      </c>
      <c r="G51" s="9">
        <f t="shared" si="1"/>
        <v>1.4780666461077711E-3</v>
      </c>
    </row>
    <row r="52" spans="1:7" x14ac:dyDescent="0.25">
      <c r="A52">
        <v>41</v>
      </c>
      <c r="B52" s="6">
        <v>4198.0889541953002</v>
      </c>
      <c r="C52" s="9">
        <f t="shared" si="0"/>
        <v>1.8514477944162799E-3</v>
      </c>
      <c r="E52" s="371">
        <v>41</v>
      </c>
      <c r="F52" s="371">
        <v>4167.6361433962857</v>
      </c>
      <c r="G52" s="9">
        <f t="shared" si="1"/>
        <v>1.8680426953403227E-3</v>
      </c>
    </row>
    <row r="53" spans="1:7" x14ac:dyDescent="0.25">
      <c r="A53">
        <v>42</v>
      </c>
      <c r="B53" s="6">
        <v>603.94238084400001</v>
      </c>
      <c r="C53" s="9">
        <f t="shared" si="0"/>
        <v>2.6635161883616494E-4</v>
      </c>
      <c r="E53" s="371">
        <v>42</v>
      </c>
      <c r="F53" s="371">
        <v>3156.4043803628597</v>
      </c>
      <c r="G53" s="9">
        <f t="shared" si="1"/>
        <v>1.4147823714457069E-3</v>
      </c>
    </row>
    <row r="54" spans="1:7" x14ac:dyDescent="0.25">
      <c r="A54">
        <v>43</v>
      </c>
      <c r="B54" s="6">
        <v>1776.9033869573</v>
      </c>
      <c r="C54" s="9">
        <f t="shared" si="0"/>
        <v>7.8365272688785028E-4</v>
      </c>
      <c r="E54" s="371">
        <v>43</v>
      </c>
      <c r="F54" s="371">
        <v>2055.3521977290861</v>
      </c>
      <c r="G54" s="9">
        <f t="shared" si="1"/>
        <v>9.2126220409218071E-4</v>
      </c>
    </row>
    <row r="55" spans="1:7" x14ac:dyDescent="0.25">
      <c r="A55">
        <v>44</v>
      </c>
      <c r="B55" s="6">
        <v>4726.5863044316002</v>
      </c>
      <c r="C55" s="9">
        <f t="shared" si="0"/>
        <v>2.0845265271744341E-3</v>
      </c>
      <c r="E55" s="371">
        <v>44</v>
      </c>
      <c r="F55" s="371">
        <v>2299.1665139832985</v>
      </c>
      <c r="G55" s="9">
        <f t="shared" si="1"/>
        <v>1.0305461091230353E-3</v>
      </c>
    </row>
    <row r="56" spans="1:7" x14ac:dyDescent="0.25">
      <c r="A56">
        <v>45</v>
      </c>
      <c r="B56" s="6">
        <v>2273.6790698579998</v>
      </c>
      <c r="C56" s="9">
        <f t="shared" si="0"/>
        <v>1.0027415200176382E-3</v>
      </c>
      <c r="E56" s="371">
        <v>45</v>
      </c>
      <c r="F56" s="371">
        <v>2702.8430020953169</v>
      </c>
      <c r="G56" s="9">
        <f t="shared" si="1"/>
        <v>1.2114843889901863E-3</v>
      </c>
    </row>
    <row r="57" spans="1:7" x14ac:dyDescent="0.25">
      <c r="A57">
        <v>46</v>
      </c>
      <c r="B57" s="6">
        <v>689.00454391490007</v>
      </c>
      <c r="C57" s="9">
        <f t="shared" si="0"/>
        <v>3.0386586780140236E-4</v>
      </c>
      <c r="E57" s="371">
        <v>46</v>
      </c>
      <c r="F57" s="371">
        <v>1855.507912237138</v>
      </c>
      <c r="G57" s="9">
        <f t="shared" si="1"/>
        <v>8.3168680814254398E-4</v>
      </c>
    </row>
    <row r="58" spans="1:7" x14ac:dyDescent="0.25">
      <c r="A58">
        <v>47</v>
      </c>
      <c r="B58" s="6">
        <v>6277.9077469399999</v>
      </c>
      <c r="C58" s="9">
        <f t="shared" si="0"/>
        <v>2.7686927500679666E-3</v>
      </c>
      <c r="E58" s="371">
        <v>47</v>
      </c>
      <c r="F58" s="371">
        <v>1700.1588271813796</v>
      </c>
      <c r="G58" s="9">
        <f t="shared" si="1"/>
        <v>7.620553159533713E-4</v>
      </c>
    </row>
    <row r="59" spans="1:7" x14ac:dyDescent="0.25">
      <c r="A59">
        <v>48</v>
      </c>
      <c r="B59" s="6">
        <v>3520.1271172880001</v>
      </c>
      <c r="C59" s="9">
        <f t="shared" si="0"/>
        <v>1.5524519986301871E-3</v>
      </c>
      <c r="E59" s="371">
        <v>48</v>
      </c>
      <c r="F59" s="371">
        <v>1809.7018603442339</v>
      </c>
      <c r="G59" s="9">
        <f t="shared" si="1"/>
        <v>8.111553467344977E-4</v>
      </c>
    </row>
    <row r="60" spans="1:7" x14ac:dyDescent="0.25">
      <c r="A60">
        <v>49</v>
      </c>
      <c r="B60" s="6">
        <v>492.339784141</v>
      </c>
      <c r="C60" s="9">
        <f t="shared" si="0"/>
        <v>2.1713246608085946E-4</v>
      </c>
      <c r="E60" s="371">
        <v>49</v>
      </c>
      <c r="F60" s="371">
        <v>1230.963379032705</v>
      </c>
      <c r="G60" s="9">
        <f t="shared" si="1"/>
        <v>5.5174973757655965E-4</v>
      </c>
    </row>
    <row r="61" spans="1:7" x14ac:dyDescent="0.25">
      <c r="A61">
        <v>50</v>
      </c>
      <c r="B61" s="6">
        <v>1172.3049615899999</v>
      </c>
      <c r="C61" s="9">
        <f t="shared" si="0"/>
        <v>5.1701177826402359E-4</v>
      </c>
      <c r="E61" s="371">
        <v>50</v>
      </c>
      <c r="F61" s="371">
        <v>971.07320070083051</v>
      </c>
      <c r="G61" s="9">
        <f t="shared" si="1"/>
        <v>4.3526021389469609E-4</v>
      </c>
    </row>
    <row r="62" spans="1:7" x14ac:dyDescent="0.25">
      <c r="A62">
        <v>51</v>
      </c>
      <c r="B62" s="6">
        <v>565.58970918499995</v>
      </c>
      <c r="C62" s="9">
        <f t="shared" si="0"/>
        <v>2.494372632501389E-4</v>
      </c>
      <c r="E62" s="371">
        <v>51</v>
      </c>
      <c r="F62" s="371">
        <v>1195.3795754434013</v>
      </c>
      <c r="G62" s="9">
        <f t="shared" si="1"/>
        <v>5.358001531885967E-4</v>
      </c>
    </row>
    <row r="63" spans="1:7" x14ac:dyDescent="0.25">
      <c r="A63">
        <v>52</v>
      </c>
      <c r="B63" s="6">
        <v>2193.1799728300002</v>
      </c>
      <c r="C63" s="9">
        <f t="shared" si="0"/>
        <v>9.6723968161660794E-4</v>
      </c>
      <c r="E63" s="371">
        <v>52</v>
      </c>
      <c r="F63" s="371">
        <v>991.88772439565776</v>
      </c>
      <c r="G63" s="9">
        <f t="shared" si="1"/>
        <v>4.4458982368002253E-4</v>
      </c>
    </row>
    <row r="64" spans="1:7" x14ac:dyDescent="0.25">
      <c r="A64">
        <v>53</v>
      </c>
      <c r="B64" s="6">
        <v>461.67911433899997</v>
      </c>
      <c r="C64" s="9">
        <f t="shared" si="0"/>
        <v>2.0361044925377203E-4</v>
      </c>
      <c r="E64" s="371">
        <v>53</v>
      </c>
      <c r="F64" s="371">
        <v>765.38867096653019</v>
      </c>
      <c r="G64" s="9">
        <f t="shared" si="1"/>
        <v>3.4306706888526757E-4</v>
      </c>
    </row>
    <row r="65" spans="1:7" x14ac:dyDescent="0.25">
      <c r="A65">
        <v>54</v>
      </c>
      <c r="B65" s="6">
        <v>990.59986303699998</v>
      </c>
      <c r="C65" s="9">
        <f t="shared" si="0"/>
        <v>4.3687590986753557E-4</v>
      </c>
      <c r="E65" s="371">
        <v>54</v>
      </c>
      <c r="F65" s="371">
        <v>748.73107601566426</v>
      </c>
      <c r="G65" s="9">
        <f t="shared" si="1"/>
        <v>3.3560070246093163E-4</v>
      </c>
    </row>
    <row r="66" spans="1:7" x14ac:dyDescent="0.25">
      <c r="A66">
        <v>55</v>
      </c>
      <c r="B66" s="6">
        <v>1608.7640975209999</v>
      </c>
      <c r="C66" s="9">
        <f t="shared" si="0"/>
        <v>7.0949967296781271E-4</v>
      </c>
      <c r="E66" s="371">
        <v>55</v>
      </c>
      <c r="F66" s="371">
        <v>652.07426340863651</v>
      </c>
      <c r="G66" s="9">
        <f t="shared" si="1"/>
        <v>2.9227661020985151E-4</v>
      </c>
    </row>
    <row r="67" spans="1:7" x14ac:dyDescent="0.25">
      <c r="A67">
        <v>56</v>
      </c>
      <c r="B67" s="6">
        <v>2956.0898941280002</v>
      </c>
      <c r="C67" s="9">
        <f t="shared" si="0"/>
        <v>1.303699415208944E-3</v>
      </c>
      <c r="E67" s="371">
        <v>56</v>
      </c>
      <c r="F67" s="371">
        <v>721.71480612607229</v>
      </c>
      <c r="G67" s="9">
        <f t="shared" si="1"/>
        <v>3.2349130905753631E-4</v>
      </c>
    </row>
    <row r="68" spans="1:7" x14ac:dyDescent="0.25">
      <c r="A68">
        <v>57</v>
      </c>
      <c r="B68" s="6">
        <v>1267.9601024569999</v>
      </c>
      <c r="C68" s="9">
        <f t="shared" si="0"/>
        <v>5.5919775896026464E-4</v>
      </c>
      <c r="E68" s="371">
        <v>57</v>
      </c>
      <c r="F68" s="371">
        <v>536.67877973636087</v>
      </c>
      <c r="G68" s="9">
        <f t="shared" si="1"/>
        <v>2.4055335920320506E-4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441.47272321049689</v>
      </c>
      <c r="G69" s="9">
        <f t="shared" si="1"/>
        <v>1.9787953348377322E-4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313.68279325298539</v>
      </c>
      <c r="G70" s="9">
        <f t="shared" si="1"/>
        <v>1.4060076993973559E-4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299.03991137897515</v>
      </c>
      <c r="G71" s="9">
        <f t="shared" si="1"/>
        <v>1.3403745021068047E-4</v>
      </c>
    </row>
    <row r="72" spans="1:7" x14ac:dyDescent="0.25">
      <c r="A72">
        <v>61</v>
      </c>
      <c r="B72" s="6">
        <v>117.951606001</v>
      </c>
      <c r="C72" s="9">
        <f t="shared" si="0"/>
        <v>5.2019202823268751E-5</v>
      </c>
      <c r="E72" s="371">
        <v>61</v>
      </c>
      <c r="F72" s="371">
        <v>284.70371838923148</v>
      </c>
      <c r="G72" s="9">
        <f t="shared" si="1"/>
        <v>1.2761159640002227E-4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221.69230742499667</v>
      </c>
      <c r="G73" s="9">
        <f t="shared" si="1"/>
        <v>9.9368246470989493E-5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285.6251992938557</v>
      </c>
      <c r="G74" s="9">
        <f t="shared" si="1"/>
        <v>1.2802462805958938E-4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32.194100660065999</v>
      </c>
      <c r="G75" s="9">
        <f t="shared" si="1"/>
        <v>1.4430231551374866E-5</v>
      </c>
    </row>
    <row r="76" spans="1:7" x14ac:dyDescent="0.25">
      <c r="A76">
        <v>65</v>
      </c>
      <c r="B76" s="6">
        <v>295.78917621199997</v>
      </c>
      <c r="C76" s="9">
        <f t="shared" si="0"/>
        <v>1.3044940778652185E-4</v>
      </c>
      <c r="E76" s="371">
        <v>65</v>
      </c>
      <c r="F76" s="371">
        <v>170.98049815064448</v>
      </c>
      <c r="G76" s="9">
        <f t="shared" si="1"/>
        <v>7.6637897269908213E-5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34.684502825807137</v>
      </c>
      <c r="G77" s="9">
        <f t="shared" ref="G77:G102" si="3">F77/F$102</f>
        <v>1.5546494443360756E-5</v>
      </c>
    </row>
    <row r="78" spans="1:7" x14ac:dyDescent="0.25">
      <c r="A78">
        <v>67</v>
      </c>
      <c r="B78" s="6">
        <v>103.594494646</v>
      </c>
      <c r="C78" s="9">
        <f t="shared" si="2"/>
        <v>4.5687406988918957E-5</v>
      </c>
      <c r="E78" s="371">
        <v>67</v>
      </c>
      <c r="F78" s="371">
        <v>139.70210532678396</v>
      </c>
      <c r="G78" s="9">
        <f t="shared" si="3"/>
        <v>6.2618109738988434E-5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217.86663862500095</v>
      </c>
      <c r="G79" s="9">
        <f t="shared" si="3"/>
        <v>9.7653482415123631E-5</v>
      </c>
    </row>
    <row r="80" spans="1:7" x14ac:dyDescent="0.25">
      <c r="A80">
        <v>69</v>
      </c>
      <c r="B80" s="6">
        <v>607.47943235000002</v>
      </c>
      <c r="C80" s="9">
        <f t="shared" si="2"/>
        <v>2.679115348553279E-4</v>
      </c>
      <c r="E80" s="371">
        <v>69</v>
      </c>
      <c r="F80" s="371">
        <v>170.9787590283463</v>
      </c>
      <c r="G80" s="9">
        <f t="shared" si="3"/>
        <v>7.6637117750153207E-5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165.94483489584624</v>
      </c>
      <c r="G81" s="9">
        <f t="shared" si="3"/>
        <v>7.4380782292578701E-5</v>
      </c>
    </row>
    <row r="82" spans="1:7" x14ac:dyDescent="0.25">
      <c r="A82">
        <v>71</v>
      </c>
      <c r="B82" s="6">
        <v>213.40477259810001</v>
      </c>
      <c r="C82" s="9">
        <f t="shared" si="2"/>
        <v>9.4116108509281277E-5</v>
      </c>
      <c r="E82" s="371">
        <v>71</v>
      </c>
      <c r="F82" s="371">
        <v>70.120268685349856</v>
      </c>
      <c r="G82" s="9">
        <f t="shared" si="3"/>
        <v>3.1429724478352432E-5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81.415327998100835</v>
      </c>
      <c r="G83" s="9">
        <f t="shared" si="3"/>
        <v>3.6492463238801338E-5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50.481215156222582</v>
      </c>
      <c r="G84" s="9">
        <f t="shared" si="3"/>
        <v>2.2626990931995578E-5</v>
      </c>
    </row>
    <row r="85" spans="1:7" x14ac:dyDescent="0.25">
      <c r="A85">
        <v>74</v>
      </c>
      <c r="B85" s="6">
        <v>474.81670899699998</v>
      </c>
      <c r="C85" s="9">
        <f t="shared" si="2"/>
        <v>2.0940441191604048E-4</v>
      </c>
      <c r="E85" s="371">
        <v>74</v>
      </c>
      <c r="F85" s="371">
        <v>124.37003859679761</v>
      </c>
      <c r="G85" s="9">
        <f t="shared" si="3"/>
        <v>5.574587946888589E-5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11.203125</v>
      </c>
      <c r="G86" s="9">
        <f t="shared" si="3"/>
        <v>5.0215314152113096E-6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55.300254767197181</v>
      </c>
      <c r="G87" s="9">
        <f t="shared" si="3"/>
        <v>2.4787009569443313E-5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29.990612655318511</v>
      </c>
      <c r="G88" s="9">
        <f t="shared" si="3"/>
        <v>1.3442571033538925E-5</v>
      </c>
    </row>
    <row r="89" spans="1:7" x14ac:dyDescent="0.25">
      <c r="A89">
        <v>78</v>
      </c>
      <c r="B89" s="6">
        <v>1289.6121573</v>
      </c>
      <c r="C89" s="9">
        <f t="shared" si="2"/>
        <v>5.6874678224706082E-4</v>
      </c>
      <c r="E89" s="371">
        <v>78</v>
      </c>
      <c r="F89" s="371">
        <v>9.9629629629629601</v>
      </c>
      <c r="G89" s="9">
        <f t="shared" si="3"/>
        <v>4.4656586003552804E-6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30.145808393189679</v>
      </c>
      <c r="G90" s="9">
        <f t="shared" si="3"/>
        <v>1.3512133791539657E-5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1.9962406015037599</v>
      </c>
      <c r="G91" s="9">
        <f t="shared" si="3"/>
        <v>8.947668523533791E-7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10</v>
      </c>
      <c r="G92" s="9">
        <f t="shared" si="3"/>
        <v>4.4822595616948927E-6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29.780926675663522</v>
      </c>
      <c r="G93" s="9">
        <f t="shared" si="3"/>
        <v>1.3348584334812731E-5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20.1103896103896</v>
      </c>
      <c r="G94" s="9">
        <f t="shared" si="3"/>
        <v>9.0139986120578405E-6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20.0068965517241</v>
      </c>
      <c r="G95" s="9">
        <f t="shared" si="3"/>
        <v>8.9676103368805913E-6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59.867782325780482</v>
      </c>
      <c r="G96" s="9">
        <f t="shared" si="3"/>
        <v>2.6834293976719806E-5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9.9298245614035103</v>
      </c>
      <c r="G97" s="9">
        <f t="shared" si="3"/>
        <v>4.450805108630368E-6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10.004878048780499</v>
      </c>
      <c r="G98" s="9">
        <f t="shared" si="3"/>
        <v>4.4844460297737729E-6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9.9404761904761898</v>
      </c>
      <c r="G101" s="9">
        <f t="shared" si="3"/>
        <v>4.4555794452562317E-6</v>
      </c>
    </row>
    <row r="102" spans="1:7" x14ac:dyDescent="0.25">
      <c r="B102" s="6">
        <f>SUM(B11:B101)</f>
        <v>2267462.7752703466</v>
      </c>
      <c r="C102" s="9">
        <f t="shared" si="2"/>
        <v>1</v>
      </c>
      <c r="F102" s="6">
        <f>SUM(F11:F101)</f>
        <v>2231017.6067132233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1155.8622499999999</v>
      </c>
      <c r="C11" s="9">
        <f>B11/B$102</f>
        <v>5.0976018773326421E-4</v>
      </c>
      <c r="E11" s="371">
        <v>0</v>
      </c>
      <c r="F11" s="371">
        <v>4598.123586052363</v>
      </c>
      <c r="G11" s="9">
        <f>F11/F$102</f>
        <v>2.0609983409438006E-3</v>
      </c>
      <c r="K11" s="6">
        <v>32.528539928102909</v>
      </c>
      <c r="L11" s="6">
        <v>29.165647266574357</v>
      </c>
    </row>
    <row r="12" spans="1:12" x14ac:dyDescent="0.25">
      <c r="A12">
        <v>1</v>
      </c>
      <c r="B12" s="6">
        <v>1720.7665339647001</v>
      </c>
      <c r="C12" s="9">
        <f>B12/B$102</f>
        <v>7.5889516367453301E-4</v>
      </c>
      <c r="E12" s="371">
        <v>1</v>
      </c>
      <c r="F12" s="371">
        <v>29652.4851537508</v>
      </c>
      <c r="G12" s="9">
        <f>F12/F$102</f>
        <v>1.3291013510841533E-2</v>
      </c>
      <c r="K12" s="6"/>
      <c r="L12" s="371"/>
    </row>
    <row r="13" spans="1:12" x14ac:dyDescent="0.25">
      <c r="A13">
        <v>2</v>
      </c>
      <c r="B13" s="6">
        <v>6811.4906059886998</v>
      </c>
      <c r="C13" s="9">
        <f t="shared" ref="C13:C76" si="0">B13/B$102</f>
        <v>3.0040143019223662E-3</v>
      </c>
      <c r="E13" s="371">
        <v>2</v>
      </c>
      <c r="F13" s="371">
        <v>33523.702662059251</v>
      </c>
      <c r="G13" s="9">
        <f t="shared" ref="G13:G76" si="1">F13/F$102</f>
        <v>1.5026193680043157E-2</v>
      </c>
    </row>
    <row r="14" spans="1:12" x14ac:dyDescent="0.25">
      <c r="A14">
        <v>3</v>
      </c>
      <c r="B14" s="6">
        <v>4251.2680403673003</v>
      </c>
      <c r="C14" s="9">
        <f t="shared" si="0"/>
        <v>1.8749009186536383E-3</v>
      </c>
      <c r="E14" s="371">
        <v>3</v>
      </c>
      <c r="F14" s="371">
        <v>36685.356207871577</v>
      </c>
      <c r="G14" s="9">
        <f t="shared" si="1"/>
        <v>1.6443328863691542E-2</v>
      </c>
    </row>
    <row r="15" spans="1:12" x14ac:dyDescent="0.25">
      <c r="A15">
        <v>4</v>
      </c>
      <c r="B15" s="6">
        <v>11472.183906799901</v>
      </c>
      <c r="C15" s="9">
        <f t="shared" si="0"/>
        <v>5.0594805929866215E-3</v>
      </c>
      <c r="E15" s="371">
        <v>4</v>
      </c>
      <c r="F15" s="371">
        <v>39289.0307334873</v>
      </c>
      <c r="G15" s="9">
        <f t="shared" si="1"/>
        <v>1.7610363367489789E-2</v>
      </c>
    </row>
    <row r="16" spans="1:12" x14ac:dyDescent="0.25">
      <c r="A16">
        <v>5</v>
      </c>
      <c r="B16" s="6">
        <v>31280.868871573501</v>
      </c>
      <c r="C16" s="9">
        <f t="shared" si="0"/>
        <v>1.37955379963598E-2</v>
      </c>
      <c r="E16" s="371">
        <v>5</v>
      </c>
      <c r="F16" s="371">
        <v>39514.806681637529</v>
      </c>
      <c r="G16" s="9">
        <f t="shared" si="1"/>
        <v>1.7711562007729501E-2</v>
      </c>
    </row>
    <row r="17" spans="1:7" x14ac:dyDescent="0.25">
      <c r="A17">
        <v>6</v>
      </c>
      <c r="B17" s="6">
        <v>27181.997163251799</v>
      </c>
      <c r="C17" s="9">
        <f t="shared" si="0"/>
        <v>1.1987847147793168E-2</v>
      </c>
      <c r="E17" s="371">
        <v>6</v>
      </c>
      <c r="F17" s="371">
        <v>40492.196280019511</v>
      </c>
      <c r="G17" s="9">
        <f t="shared" si="1"/>
        <v>1.8149653395014377E-2</v>
      </c>
    </row>
    <row r="18" spans="1:7" x14ac:dyDescent="0.25">
      <c r="A18">
        <v>7</v>
      </c>
      <c r="B18" s="6">
        <v>27277.667200754899</v>
      </c>
      <c r="C18" s="9">
        <f t="shared" si="0"/>
        <v>1.2030039698227295E-2</v>
      </c>
      <c r="E18" s="371">
        <v>7</v>
      </c>
      <c r="F18" s="371">
        <v>37579.853050553116</v>
      </c>
      <c r="G18" s="9">
        <f t="shared" si="1"/>
        <v>1.6844265566293065E-2</v>
      </c>
    </row>
    <row r="19" spans="1:7" x14ac:dyDescent="0.25">
      <c r="A19">
        <v>8</v>
      </c>
      <c r="B19" s="6">
        <v>16742.735384113999</v>
      </c>
      <c r="C19" s="9">
        <f t="shared" si="0"/>
        <v>7.3839074963944181E-3</v>
      </c>
      <c r="E19" s="371">
        <v>8</v>
      </c>
      <c r="F19" s="371">
        <v>36853.133523334836</v>
      </c>
      <c r="G19" s="9">
        <f t="shared" si="1"/>
        <v>1.651853101133861E-2</v>
      </c>
    </row>
    <row r="20" spans="1:7" x14ac:dyDescent="0.25">
      <c r="A20">
        <v>9</v>
      </c>
      <c r="B20" s="6">
        <v>40443.540266541699</v>
      </c>
      <c r="C20" s="9">
        <f t="shared" si="0"/>
        <v>1.7836473748381459E-2</v>
      </c>
      <c r="E20" s="371">
        <v>9</v>
      </c>
      <c r="F20" s="371">
        <v>36591.541667675912</v>
      </c>
      <c r="G20" s="9">
        <f t="shared" si="1"/>
        <v>1.6401278751709738E-2</v>
      </c>
    </row>
    <row r="21" spans="1:7" x14ac:dyDescent="0.25">
      <c r="A21">
        <v>10</v>
      </c>
      <c r="B21" s="6">
        <v>14471.684753772</v>
      </c>
      <c r="C21" s="9">
        <f t="shared" si="0"/>
        <v>6.3823251749068133E-3</v>
      </c>
      <c r="E21" s="371">
        <v>10</v>
      </c>
      <c r="F21" s="371">
        <v>34959.478577774506</v>
      </c>
      <c r="G21" s="9">
        <f t="shared" si="1"/>
        <v>1.5669745712709751E-2</v>
      </c>
    </row>
    <row r="22" spans="1:7" x14ac:dyDescent="0.25">
      <c r="A22">
        <v>11</v>
      </c>
      <c r="B22" s="6">
        <v>32644.456894703198</v>
      </c>
      <c r="C22" s="9">
        <f t="shared" si="0"/>
        <v>1.4396909731323395E-2</v>
      </c>
      <c r="E22" s="371">
        <v>11</v>
      </c>
      <c r="F22" s="371">
        <v>31527.386425485529</v>
      </c>
      <c r="G22" s="9">
        <f t="shared" si="1"/>
        <v>1.4131392926088223E-2</v>
      </c>
    </row>
    <row r="23" spans="1:7" x14ac:dyDescent="0.25">
      <c r="A23">
        <v>12</v>
      </c>
      <c r="B23" s="6">
        <v>22919.3890366204</v>
      </c>
      <c r="C23" s="9">
        <f t="shared" si="0"/>
        <v>1.0107945006456724E-2</v>
      </c>
      <c r="E23" s="371">
        <v>12</v>
      </c>
      <c r="F23" s="371">
        <v>30671.903379138712</v>
      </c>
      <c r="G23" s="9">
        <f t="shared" si="1"/>
        <v>1.3747943219652635E-2</v>
      </c>
    </row>
    <row r="24" spans="1:7" x14ac:dyDescent="0.25">
      <c r="A24">
        <v>13</v>
      </c>
      <c r="B24" s="6">
        <v>24145.227990192601</v>
      </c>
      <c r="C24" s="9">
        <f t="shared" si="0"/>
        <v>1.0648566430076807E-2</v>
      </c>
      <c r="E24" s="371">
        <v>13</v>
      </c>
      <c r="F24" s="371">
        <v>28735.400887266576</v>
      </c>
      <c r="G24" s="9">
        <f t="shared" si="1"/>
        <v>1.2879952538608647E-2</v>
      </c>
    </row>
    <row r="25" spans="1:7" x14ac:dyDescent="0.25">
      <c r="A25">
        <v>14</v>
      </c>
      <c r="B25" s="6">
        <v>26937.573789580201</v>
      </c>
      <c r="C25" s="9">
        <f t="shared" si="0"/>
        <v>1.1880051167044397E-2</v>
      </c>
      <c r="E25" s="371">
        <v>14</v>
      </c>
      <c r="F25" s="371">
        <v>25265.864581158108</v>
      </c>
      <c r="G25" s="9">
        <f t="shared" si="1"/>
        <v>1.1324816310338423E-2</v>
      </c>
    </row>
    <row r="26" spans="1:7" x14ac:dyDescent="0.25">
      <c r="A26">
        <v>15</v>
      </c>
      <c r="B26" s="6">
        <v>22281.199196678601</v>
      </c>
      <c r="C26" s="9">
        <f t="shared" si="0"/>
        <v>9.8264895193360107E-3</v>
      </c>
      <c r="E26" s="371">
        <v>15</v>
      </c>
      <c r="F26" s="371">
        <v>24322.517432483306</v>
      </c>
      <c r="G26" s="9">
        <f t="shared" si="1"/>
        <v>1.0901983632623898E-2</v>
      </c>
    </row>
    <row r="27" spans="1:7" x14ac:dyDescent="0.25">
      <c r="A27">
        <v>16</v>
      </c>
      <c r="B27" s="6">
        <v>38109.467039327697</v>
      </c>
      <c r="C27" s="9">
        <f t="shared" si="0"/>
        <v>1.6807097102083172E-2</v>
      </c>
      <c r="E27" s="371">
        <v>16</v>
      </c>
      <c r="F27" s="371">
        <v>23368.151818906121</v>
      </c>
      <c r="G27" s="9">
        <f t="shared" si="1"/>
        <v>1.0474212192942983E-2</v>
      </c>
    </row>
    <row r="28" spans="1:7" x14ac:dyDescent="0.25">
      <c r="A28">
        <v>17</v>
      </c>
      <c r="B28" s="6">
        <v>22110.432789636201</v>
      </c>
      <c r="C28" s="9">
        <f t="shared" si="0"/>
        <v>9.7511778498767226E-3</v>
      </c>
      <c r="E28" s="371">
        <v>17</v>
      </c>
      <c r="F28" s="371">
        <v>22007.950024277136</v>
      </c>
      <c r="G28" s="9">
        <f t="shared" si="1"/>
        <v>9.8645344429619513E-3</v>
      </c>
    </row>
    <row r="29" spans="1:7" x14ac:dyDescent="0.25">
      <c r="A29">
        <v>18</v>
      </c>
      <c r="B29" s="6">
        <v>105837.1079004428</v>
      </c>
      <c r="C29" s="9">
        <f t="shared" si="0"/>
        <v>4.6676447814153865E-2</v>
      </c>
      <c r="E29" s="371">
        <v>18</v>
      </c>
      <c r="F29" s="371">
        <v>123771.45896651449</v>
      </c>
      <c r="G29" s="9">
        <f t="shared" si="1"/>
        <v>5.547758054175865E-2</v>
      </c>
    </row>
    <row r="30" spans="1:7" x14ac:dyDescent="0.25">
      <c r="A30">
        <v>19</v>
      </c>
      <c r="B30" s="6">
        <v>68303.319886952493</v>
      </c>
      <c r="C30" s="9">
        <f t="shared" si="0"/>
        <v>3.0123237581621949E-2</v>
      </c>
      <c r="E30" s="371">
        <v>19</v>
      </c>
      <c r="F30" s="371">
        <v>59116.81951558555</v>
      </c>
      <c r="G30" s="9">
        <f t="shared" si="1"/>
        <v>2.6497692953072451E-2</v>
      </c>
    </row>
    <row r="31" spans="1:7" x14ac:dyDescent="0.25">
      <c r="A31">
        <v>20</v>
      </c>
      <c r="B31" s="6">
        <v>79044.002295194296</v>
      </c>
      <c r="C31" s="9">
        <f t="shared" si="0"/>
        <v>3.4860110233020256E-2</v>
      </c>
      <c r="E31" s="371">
        <v>20</v>
      </c>
      <c r="F31" s="371">
        <v>56733.7998223373</v>
      </c>
      <c r="G31" s="9">
        <f t="shared" si="1"/>
        <v>2.5429561672495531E-2</v>
      </c>
    </row>
    <row r="32" spans="1:7" x14ac:dyDescent="0.25">
      <c r="A32">
        <v>21</v>
      </c>
      <c r="B32" s="6">
        <v>107600.0791541659</v>
      </c>
      <c r="C32" s="9">
        <f t="shared" si="0"/>
        <v>4.7453956169726717E-2</v>
      </c>
      <c r="E32" s="371">
        <v>21</v>
      </c>
      <c r="F32" s="371">
        <v>89845.600188798111</v>
      </c>
      <c r="G32" s="9">
        <f t="shared" si="1"/>
        <v>4.0271130052245668E-2</v>
      </c>
    </row>
    <row r="33" spans="1:7" x14ac:dyDescent="0.25">
      <c r="A33">
        <v>22</v>
      </c>
      <c r="B33" s="6">
        <v>72921.562364200494</v>
      </c>
      <c r="C33" s="9">
        <f t="shared" si="0"/>
        <v>3.2159982143700756E-2</v>
      </c>
      <c r="E33" s="371">
        <v>22</v>
      </c>
      <c r="F33" s="371">
        <v>75251.17259954389</v>
      </c>
      <c r="G33" s="9">
        <f t="shared" si="1"/>
        <v>3.3729528791305821E-2</v>
      </c>
    </row>
    <row r="34" spans="1:7" x14ac:dyDescent="0.25">
      <c r="A34">
        <v>23</v>
      </c>
      <c r="B34" s="6">
        <v>63263.159273337798</v>
      </c>
      <c r="C34" s="9">
        <f t="shared" si="0"/>
        <v>2.7900418019341035E-2</v>
      </c>
      <c r="E34" s="371">
        <v>23</v>
      </c>
      <c r="F34" s="371">
        <v>72366.996369010609</v>
      </c>
      <c r="G34" s="9">
        <f t="shared" si="1"/>
        <v>3.2436766142613732E-2</v>
      </c>
    </row>
    <row r="35" spans="1:7" x14ac:dyDescent="0.25">
      <c r="A35">
        <v>24</v>
      </c>
      <c r="B35" s="6">
        <v>83926.901021731799</v>
      </c>
      <c r="C35" s="9">
        <f t="shared" si="0"/>
        <v>3.7013573910480324E-2</v>
      </c>
      <c r="E35" s="371">
        <v>24</v>
      </c>
      <c r="F35" s="371">
        <v>59859.298407394715</v>
      </c>
      <c r="G35" s="9">
        <f t="shared" si="1"/>
        <v>2.6830491264289276E-2</v>
      </c>
    </row>
    <row r="36" spans="1:7" x14ac:dyDescent="0.25">
      <c r="A36">
        <v>25</v>
      </c>
      <c r="B36" s="6">
        <v>51355.298671268996</v>
      </c>
      <c r="C36" s="9">
        <f t="shared" si="0"/>
        <v>2.264879460486225E-2</v>
      </c>
      <c r="E36" s="371">
        <v>25</v>
      </c>
      <c r="F36" s="371">
        <v>57482.583277267891</v>
      </c>
      <c r="G36" s="9">
        <f t="shared" si="1"/>
        <v>2.5765185852545686E-2</v>
      </c>
    </row>
    <row r="37" spans="1:7" x14ac:dyDescent="0.25">
      <c r="A37">
        <v>26</v>
      </c>
      <c r="B37" s="6">
        <v>82141.661304942201</v>
      </c>
      <c r="C37" s="9">
        <f t="shared" si="0"/>
        <v>3.6226244682296307E-2</v>
      </c>
      <c r="E37" s="371">
        <v>26</v>
      </c>
      <c r="F37" s="371">
        <v>62441.051127951781</v>
      </c>
      <c r="G37" s="9">
        <f t="shared" si="1"/>
        <v>2.7987699846054145E-2</v>
      </c>
    </row>
    <row r="38" spans="1:7" x14ac:dyDescent="0.25">
      <c r="A38">
        <v>27</v>
      </c>
      <c r="B38" s="6">
        <v>55556.917624014597</v>
      </c>
      <c r="C38" s="9">
        <f t="shared" si="0"/>
        <v>2.4501799204792073E-2</v>
      </c>
      <c r="E38" s="371">
        <v>27</v>
      </c>
      <c r="F38" s="371">
        <v>41607.428887846603</v>
      </c>
      <c r="G38" s="9">
        <f t="shared" si="1"/>
        <v>1.8649529597009069E-2</v>
      </c>
    </row>
    <row r="39" spans="1:7" x14ac:dyDescent="0.25">
      <c r="A39">
        <v>28</v>
      </c>
      <c r="B39" s="6">
        <v>62357.268807241897</v>
      </c>
      <c r="C39" s="9">
        <f t="shared" si="0"/>
        <v>2.7500900780965253E-2</v>
      </c>
      <c r="E39" s="371">
        <v>28</v>
      </c>
      <c r="F39" s="371">
        <v>60266.909021079475</v>
      </c>
      <c r="G39" s="9">
        <f t="shared" si="1"/>
        <v>2.7013192921352958E-2</v>
      </c>
    </row>
    <row r="40" spans="1:7" x14ac:dyDescent="0.25">
      <c r="A40">
        <v>29</v>
      </c>
      <c r="B40" s="6">
        <v>51535.0302141344</v>
      </c>
      <c r="C40" s="9">
        <f t="shared" si="0"/>
        <v>2.2728060092624874E-2</v>
      </c>
      <c r="E40" s="371">
        <v>29</v>
      </c>
      <c r="F40" s="371">
        <v>50825.155363270809</v>
      </c>
      <c r="G40" s="9">
        <f t="shared" si="1"/>
        <v>2.27811538601649E-2</v>
      </c>
    </row>
    <row r="41" spans="1:7" x14ac:dyDescent="0.25">
      <c r="A41">
        <v>30</v>
      </c>
      <c r="B41" s="6">
        <v>58252.716279202301</v>
      </c>
      <c r="C41" s="9">
        <f t="shared" si="0"/>
        <v>2.5690704568350375E-2</v>
      </c>
      <c r="E41" s="371">
        <v>30</v>
      </c>
      <c r="F41" s="371">
        <v>51758.481401392062</v>
      </c>
      <c r="G41" s="9">
        <f t="shared" si="1"/>
        <v>2.3199494816019677E-2</v>
      </c>
    </row>
    <row r="42" spans="1:7" x14ac:dyDescent="0.25">
      <c r="A42">
        <v>31</v>
      </c>
      <c r="B42" s="6">
        <v>39366.180190486302</v>
      </c>
      <c r="C42" s="9">
        <f t="shared" si="0"/>
        <v>1.7361334712889712E-2</v>
      </c>
      <c r="E42" s="371">
        <v>31</v>
      </c>
      <c r="F42" s="371">
        <v>50510.786588343035</v>
      </c>
      <c r="G42" s="9">
        <f t="shared" si="1"/>
        <v>2.2640245615433065E-2</v>
      </c>
    </row>
    <row r="43" spans="1:7" x14ac:dyDescent="0.25">
      <c r="A43">
        <v>32</v>
      </c>
      <c r="B43" s="6">
        <v>42019.829387631704</v>
      </c>
      <c r="C43" s="9">
        <f t="shared" si="0"/>
        <v>1.8531651256158656E-2</v>
      </c>
      <c r="E43" s="371">
        <v>32</v>
      </c>
      <c r="F43" s="371">
        <v>38722.958160504801</v>
      </c>
      <c r="G43" s="9">
        <f t="shared" si="1"/>
        <v>1.7356634947203388E-2</v>
      </c>
    </row>
    <row r="44" spans="1:7" x14ac:dyDescent="0.25">
      <c r="A44">
        <v>33</v>
      </c>
      <c r="B44" s="6">
        <v>47207.974699088401</v>
      </c>
      <c r="C44" s="9">
        <f t="shared" si="0"/>
        <v>2.081973526267035E-2</v>
      </c>
      <c r="E44" s="371">
        <v>33</v>
      </c>
      <c r="F44" s="371">
        <v>45282.051448272585</v>
      </c>
      <c r="G44" s="9">
        <f t="shared" si="1"/>
        <v>2.0296590807717979E-2</v>
      </c>
    </row>
    <row r="45" spans="1:7" x14ac:dyDescent="0.25">
      <c r="A45">
        <v>34</v>
      </c>
      <c r="B45" s="6">
        <v>65899.291947524602</v>
      </c>
      <c r="C45" s="9">
        <f t="shared" si="0"/>
        <v>2.9063009398100276E-2</v>
      </c>
      <c r="E45" s="371">
        <v>34</v>
      </c>
      <c r="F45" s="371">
        <v>39014.369741296774</v>
      </c>
      <c r="G45" s="9">
        <f t="shared" si="1"/>
        <v>1.748725318164273E-2</v>
      </c>
    </row>
    <row r="46" spans="1:7" x14ac:dyDescent="0.25">
      <c r="A46">
        <v>35</v>
      </c>
      <c r="B46" s="6">
        <v>42405.184617795203</v>
      </c>
      <c r="C46" s="9">
        <f t="shared" si="0"/>
        <v>1.8701601225951461E-2</v>
      </c>
      <c r="E46" s="371">
        <v>35</v>
      </c>
      <c r="F46" s="371">
        <v>48965.633227032122</v>
      </c>
      <c r="G46" s="9">
        <f t="shared" si="1"/>
        <v>2.1947667772630981E-2</v>
      </c>
    </row>
    <row r="47" spans="1:7" x14ac:dyDescent="0.25">
      <c r="A47">
        <v>36</v>
      </c>
      <c r="B47" s="6">
        <v>29733.466283458201</v>
      </c>
      <c r="C47" s="9">
        <f t="shared" si="0"/>
        <v>1.3113100072795297E-2</v>
      </c>
      <c r="E47" s="371">
        <v>36</v>
      </c>
      <c r="F47" s="371">
        <v>35831.798860866176</v>
      </c>
      <c r="G47" s="9">
        <f t="shared" si="1"/>
        <v>1.6060742305684553E-2</v>
      </c>
    </row>
    <row r="48" spans="1:7" x14ac:dyDescent="0.25">
      <c r="A48">
        <v>37</v>
      </c>
      <c r="B48" s="6">
        <v>39459.7565063371</v>
      </c>
      <c r="C48" s="9">
        <f t="shared" si="0"/>
        <v>1.7402603886907196E-2</v>
      </c>
      <c r="E48" s="371">
        <v>37</v>
      </c>
      <c r="F48" s="371">
        <v>31530.533719434134</v>
      </c>
      <c r="G48" s="9">
        <f t="shared" si="1"/>
        <v>1.4132803624927684E-2</v>
      </c>
    </row>
    <row r="49" spans="1:7" x14ac:dyDescent="0.25">
      <c r="A49">
        <v>38</v>
      </c>
      <c r="B49" s="6">
        <v>49950.4677449011</v>
      </c>
      <c r="C49" s="9">
        <f t="shared" si="0"/>
        <v>2.2029233859835066E-2</v>
      </c>
      <c r="E49" s="371">
        <v>38</v>
      </c>
      <c r="F49" s="371">
        <v>29182.153569578441</v>
      </c>
      <c r="G49" s="9">
        <f t="shared" si="1"/>
        <v>1.3080198686809168E-2</v>
      </c>
    </row>
    <row r="50" spans="1:7" x14ac:dyDescent="0.25">
      <c r="A50">
        <v>39</v>
      </c>
      <c r="B50" s="6">
        <v>26826.980156684302</v>
      </c>
      <c r="C50" s="9">
        <f t="shared" si="0"/>
        <v>1.1831276989094457E-2</v>
      </c>
      <c r="E50" s="371">
        <v>39</v>
      </c>
      <c r="F50" s="371">
        <v>30559.836482134775</v>
      </c>
      <c r="G50" s="9">
        <f t="shared" si="1"/>
        <v>1.3697711927588098E-2</v>
      </c>
    </row>
    <row r="51" spans="1:7" x14ac:dyDescent="0.25">
      <c r="A51">
        <v>40</v>
      </c>
      <c r="B51" s="6">
        <v>22806.562338966702</v>
      </c>
      <c r="C51" s="9">
        <f t="shared" si="0"/>
        <v>1.005818599877456E-2</v>
      </c>
      <c r="E51" s="371">
        <v>40</v>
      </c>
      <c r="F51" s="371">
        <v>33928.453502119388</v>
      </c>
      <c r="G51" s="9">
        <f t="shared" si="1"/>
        <v>1.5207613512339515E-2</v>
      </c>
    </row>
    <row r="52" spans="1:7" x14ac:dyDescent="0.25">
      <c r="A52">
        <v>41</v>
      </c>
      <c r="B52" s="6">
        <v>34178.4904173338</v>
      </c>
      <c r="C52" s="9">
        <f t="shared" si="0"/>
        <v>1.5073451608597523E-2</v>
      </c>
      <c r="E52" s="371">
        <v>41</v>
      </c>
      <c r="F52" s="371">
        <v>23688.331016642489</v>
      </c>
      <c r="G52" s="9">
        <f t="shared" si="1"/>
        <v>1.0617724819993946E-2</v>
      </c>
    </row>
    <row r="53" spans="1:7" x14ac:dyDescent="0.25">
      <c r="A53">
        <v>42</v>
      </c>
      <c r="B53" s="6">
        <v>16748.1320321737</v>
      </c>
      <c r="C53" s="9">
        <f t="shared" si="0"/>
        <v>7.3862875346109467E-3</v>
      </c>
      <c r="E53" s="371">
        <v>42</v>
      </c>
      <c r="F53" s="371">
        <v>26083.102599992875</v>
      </c>
      <c r="G53" s="9">
        <f t="shared" si="1"/>
        <v>1.1691123602748694E-2</v>
      </c>
    </row>
    <row r="54" spans="1:7" x14ac:dyDescent="0.25">
      <c r="A54">
        <v>43</v>
      </c>
      <c r="B54" s="6">
        <v>23369.8926176147</v>
      </c>
      <c r="C54" s="9">
        <f t="shared" si="0"/>
        <v>1.0306626804415055E-2</v>
      </c>
      <c r="E54" s="371">
        <v>43</v>
      </c>
      <c r="F54" s="371">
        <v>25778.009226392202</v>
      </c>
      <c r="G54" s="9">
        <f t="shared" si="1"/>
        <v>1.1554372833645557E-2</v>
      </c>
    </row>
    <row r="55" spans="1:7" x14ac:dyDescent="0.25">
      <c r="A55">
        <v>44</v>
      </c>
      <c r="B55" s="6">
        <v>16419.2491607173</v>
      </c>
      <c r="C55" s="9">
        <f t="shared" si="0"/>
        <v>7.24124309328944E-3</v>
      </c>
      <c r="E55" s="371">
        <v>44</v>
      </c>
      <c r="F55" s="371">
        <v>15582.072227636549</v>
      </c>
      <c r="G55" s="9">
        <f t="shared" si="1"/>
        <v>6.9842892233344337E-3</v>
      </c>
    </row>
    <row r="56" spans="1:7" x14ac:dyDescent="0.25">
      <c r="A56">
        <v>45</v>
      </c>
      <c r="B56" s="6">
        <v>78303.962785062497</v>
      </c>
      <c r="C56" s="9">
        <f t="shared" si="0"/>
        <v>3.4533736844136916E-2</v>
      </c>
      <c r="E56" s="371">
        <v>45</v>
      </c>
      <c r="F56" s="371">
        <v>19443.803377202927</v>
      </c>
      <c r="G56" s="9">
        <f t="shared" si="1"/>
        <v>8.7152173603183246E-3</v>
      </c>
    </row>
    <row r="57" spans="1:7" x14ac:dyDescent="0.25">
      <c r="A57">
        <v>46</v>
      </c>
      <c r="B57" s="6">
        <v>22627.247193056199</v>
      </c>
      <c r="C57" s="9">
        <f t="shared" si="0"/>
        <v>9.9791041510519998E-3</v>
      </c>
      <c r="E57" s="371">
        <v>46</v>
      </c>
      <c r="F57" s="371">
        <v>21007.338964657883</v>
      </c>
      <c r="G57" s="9">
        <f t="shared" si="1"/>
        <v>9.4160345940103463E-3</v>
      </c>
    </row>
    <row r="58" spans="1:7" x14ac:dyDescent="0.25">
      <c r="A58">
        <v>47</v>
      </c>
      <c r="B58" s="6">
        <v>19452.788486302601</v>
      </c>
      <c r="C58" s="9">
        <f t="shared" si="0"/>
        <v>8.5790993785921244E-3</v>
      </c>
      <c r="E58" s="371">
        <v>47</v>
      </c>
      <c r="F58" s="371">
        <v>21841.492893328596</v>
      </c>
      <c r="G58" s="9">
        <f t="shared" si="1"/>
        <v>9.7899240362813115E-3</v>
      </c>
    </row>
    <row r="59" spans="1:7" x14ac:dyDescent="0.25">
      <c r="A59">
        <v>48</v>
      </c>
      <c r="B59" s="6">
        <v>16817.755148050801</v>
      </c>
      <c r="C59" s="9">
        <f t="shared" si="0"/>
        <v>7.4169928306962599E-3</v>
      </c>
      <c r="E59" s="371">
        <v>48</v>
      </c>
      <c r="F59" s="371">
        <v>14711.428652614521</v>
      </c>
      <c r="G59" s="9">
        <f t="shared" si="1"/>
        <v>6.5940441744373633E-3</v>
      </c>
    </row>
    <row r="60" spans="1:7" x14ac:dyDescent="0.25">
      <c r="A60">
        <v>49</v>
      </c>
      <c r="B60" s="6">
        <v>10864.170848870401</v>
      </c>
      <c r="C60" s="9">
        <f t="shared" si="0"/>
        <v>4.7913337177387981E-3</v>
      </c>
      <c r="E60" s="371">
        <v>49</v>
      </c>
      <c r="F60" s="371">
        <v>14933.214097230004</v>
      </c>
      <c r="G60" s="9">
        <f t="shared" si="1"/>
        <v>6.6934541674146131E-3</v>
      </c>
    </row>
    <row r="61" spans="1:7" x14ac:dyDescent="0.25">
      <c r="A61">
        <v>50</v>
      </c>
      <c r="B61" s="6">
        <v>13469.7626508183</v>
      </c>
      <c r="C61" s="9">
        <f t="shared" si="0"/>
        <v>5.9404559129806753E-3</v>
      </c>
      <c r="E61" s="371">
        <v>50</v>
      </c>
      <c r="F61" s="371">
        <v>12367.844103664027</v>
      </c>
      <c r="G61" s="9">
        <f t="shared" si="1"/>
        <v>5.5435887491199869E-3</v>
      </c>
    </row>
    <row r="62" spans="1:7" x14ac:dyDescent="0.25">
      <c r="A62">
        <v>51</v>
      </c>
      <c r="B62" s="6">
        <v>10416.5379670777</v>
      </c>
      <c r="C62" s="9">
        <f t="shared" si="0"/>
        <v>4.5939179600581323E-3</v>
      </c>
      <c r="E62" s="371">
        <v>51</v>
      </c>
      <c r="F62" s="371">
        <v>12540.503950460343</v>
      </c>
      <c r="G62" s="9">
        <f t="shared" si="1"/>
        <v>5.620979374042343E-3</v>
      </c>
    </row>
    <row r="63" spans="1:7" x14ac:dyDescent="0.25">
      <c r="A63">
        <v>52</v>
      </c>
      <c r="B63" s="6">
        <v>14889.9035465995</v>
      </c>
      <c r="C63" s="9">
        <f t="shared" si="0"/>
        <v>6.5667686848019814E-3</v>
      </c>
      <c r="E63" s="371">
        <v>52</v>
      </c>
      <c r="F63" s="371">
        <v>11368.982705074644</v>
      </c>
      <c r="G63" s="9">
        <f t="shared" si="1"/>
        <v>5.0958731436564677E-3</v>
      </c>
    </row>
    <row r="64" spans="1:7" x14ac:dyDescent="0.25">
      <c r="A64">
        <v>53</v>
      </c>
      <c r="B64" s="6">
        <v>11651.686595413899</v>
      </c>
      <c r="C64" s="9">
        <f t="shared" si="0"/>
        <v>5.1386451510872927E-3</v>
      </c>
      <c r="E64" s="371">
        <v>53</v>
      </c>
      <c r="F64" s="371">
        <v>10897.13828349472</v>
      </c>
      <c r="G64" s="9">
        <f t="shared" si="1"/>
        <v>4.8843802266305665E-3</v>
      </c>
    </row>
    <row r="65" spans="1:7" x14ac:dyDescent="0.25">
      <c r="A65">
        <v>54</v>
      </c>
      <c r="B65" s="6">
        <v>9859.3833991213996</v>
      </c>
      <c r="C65" s="9">
        <f t="shared" si="0"/>
        <v>4.3482007760616403E-3</v>
      </c>
      <c r="E65" s="371">
        <v>54</v>
      </c>
      <c r="F65" s="371">
        <v>9071.1555030969121</v>
      </c>
      <c r="G65" s="9">
        <f t="shared" si="1"/>
        <v>4.0659273489377368E-3</v>
      </c>
    </row>
    <row r="66" spans="1:7" x14ac:dyDescent="0.25">
      <c r="A66">
        <v>55</v>
      </c>
      <c r="B66" s="6">
        <v>13916.893118497101</v>
      </c>
      <c r="C66" s="9">
        <f t="shared" si="0"/>
        <v>6.1376500951985024E-3</v>
      </c>
      <c r="E66" s="371">
        <v>55</v>
      </c>
      <c r="F66" s="371">
        <v>12153.756615391947</v>
      </c>
      <c r="G66" s="9">
        <f t="shared" si="1"/>
        <v>5.4476291799853095E-3</v>
      </c>
    </row>
    <row r="67" spans="1:7" x14ac:dyDescent="0.25">
      <c r="A67">
        <v>56</v>
      </c>
      <c r="B67" s="6">
        <v>7311.7558387176005</v>
      </c>
      <c r="C67" s="9">
        <f t="shared" si="0"/>
        <v>3.2246420618066512E-3</v>
      </c>
      <c r="E67" s="371">
        <v>56</v>
      </c>
      <c r="F67" s="371">
        <v>9439.0182826790297</v>
      </c>
      <c r="G67" s="9">
        <f t="shared" si="1"/>
        <v>4.2308129950550978E-3</v>
      </c>
    </row>
    <row r="68" spans="1:7" x14ac:dyDescent="0.25">
      <c r="A68">
        <v>57</v>
      </c>
      <c r="B68" s="6">
        <v>4446.7276208380999</v>
      </c>
      <c r="C68" s="9">
        <f t="shared" si="0"/>
        <v>1.9611028103021112E-3</v>
      </c>
      <c r="E68" s="371">
        <v>57</v>
      </c>
      <c r="F68" s="371">
        <v>9711.8065796263363</v>
      </c>
      <c r="G68" s="9">
        <f t="shared" si="1"/>
        <v>4.3530837902861505E-3</v>
      </c>
    </row>
    <row r="69" spans="1:7" x14ac:dyDescent="0.25">
      <c r="A69">
        <v>58</v>
      </c>
      <c r="B69" s="6">
        <v>5162.9732608134</v>
      </c>
      <c r="C69" s="9">
        <f t="shared" si="0"/>
        <v>2.276982589139893E-3</v>
      </c>
      <c r="E69" s="371">
        <v>58</v>
      </c>
      <c r="F69" s="371">
        <v>10118.455255085124</v>
      </c>
      <c r="G69" s="9">
        <f t="shared" si="1"/>
        <v>4.5353542816687223E-3</v>
      </c>
    </row>
    <row r="70" spans="1:7" x14ac:dyDescent="0.25">
      <c r="A70">
        <v>59</v>
      </c>
      <c r="B70" s="6">
        <v>6637.0448324078998</v>
      </c>
      <c r="C70" s="9">
        <f t="shared" si="0"/>
        <v>2.9270799524444566E-3</v>
      </c>
      <c r="E70" s="371">
        <v>59</v>
      </c>
      <c r="F70" s="371">
        <v>10958.32923459861</v>
      </c>
      <c r="G70" s="9">
        <f t="shared" si="1"/>
        <v>4.9118075991980278E-3</v>
      </c>
    </row>
    <row r="71" spans="1:7" x14ac:dyDescent="0.25">
      <c r="A71">
        <v>60</v>
      </c>
      <c r="B71" s="6">
        <v>6401.8810918364998</v>
      </c>
      <c r="C71" s="9">
        <f t="shared" si="0"/>
        <v>2.8233676696514734E-3</v>
      </c>
      <c r="E71" s="371">
        <v>60</v>
      </c>
      <c r="F71" s="371">
        <v>7957.0719855734069</v>
      </c>
      <c r="G71" s="9">
        <f t="shared" si="1"/>
        <v>3.566566199043096E-3</v>
      </c>
    </row>
    <row r="72" spans="1:7" x14ac:dyDescent="0.25">
      <c r="A72">
        <v>61</v>
      </c>
      <c r="B72" s="6">
        <v>11655.4694613099</v>
      </c>
      <c r="C72" s="9">
        <f t="shared" si="0"/>
        <v>5.1403134765554137E-3</v>
      </c>
      <c r="E72" s="371">
        <v>61</v>
      </c>
      <c r="F72" s="371">
        <v>6402.8460712815049</v>
      </c>
      <c r="G72" s="9">
        <f t="shared" si="1"/>
        <v>2.8699218025062096E-3</v>
      </c>
    </row>
    <row r="73" spans="1:7" x14ac:dyDescent="0.25">
      <c r="A73">
        <v>62</v>
      </c>
      <c r="B73" s="6">
        <v>4935.5354221830003</v>
      </c>
      <c r="C73" s="9">
        <f t="shared" si="0"/>
        <v>2.1766775957742213E-3</v>
      </c>
      <c r="E73" s="371">
        <v>62</v>
      </c>
      <c r="F73" s="371">
        <v>6117.3739521573561</v>
      </c>
      <c r="G73" s="9">
        <f t="shared" si="1"/>
        <v>2.7419657889520576E-3</v>
      </c>
    </row>
    <row r="74" spans="1:7" x14ac:dyDescent="0.25">
      <c r="A74">
        <v>63</v>
      </c>
      <c r="B74" s="6">
        <v>3688.8441649693</v>
      </c>
      <c r="C74" s="9">
        <f t="shared" si="0"/>
        <v>1.6268598564002819E-3</v>
      </c>
      <c r="E74" s="371">
        <v>63</v>
      </c>
      <c r="F74" s="371">
        <v>6142.9989087189733</v>
      </c>
      <c r="G74" s="9">
        <f t="shared" si="1"/>
        <v>2.7534515596086902E-3</v>
      </c>
    </row>
    <row r="75" spans="1:7" x14ac:dyDescent="0.25">
      <c r="A75">
        <v>64</v>
      </c>
      <c r="B75" s="6">
        <v>2942.6999045960001</v>
      </c>
      <c r="C75" s="9">
        <f t="shared" si="0"/>
        <v>1.2977941409623127E-3</v>
      </c>
      <c r="E75" s="371">
        <v>64</v>
      </c>
      <c r="F75" s="371">
        <v>5913.3249731567075</v>
      </c>
      <c r="G75" s="9">
        <f t="shared" si="1"/>
        <v>2.6505057402340841E-3</v>
      </c>
    </row>
    <row r="76" spans="1:7" x14ac:dyDescent="0.25">
      <c r="A76">
        <v>65</v>
      </c>
      <c r="B76" s="6">
        <v>5892.5558191136997</v>
      </c>
      <c r="C76" s="9">
        <f t="shared" si="0"/>
        <v>2.5987442366771111E-3</v>
      </c>
      <c r="E76" s="371">
        <v>65</v>
      </c>
      <c r="F76" s="371">
        <v>4126.3429834214667</v>
      </c>
      <c r="G76" s="9">
        <f t="shared" si="1"/>
        <v>1.8495340292273494E-3</v>
      </c>
    </row>
    <row r="77" spans="1:7" x14ac:dyDescent="0.25">
      <c r="A77">
        <v>66</v>
      </c>
      <c r="B77" s="6">
        <v>4155.0342932719996</v>
      </c>
      <c r="C77" s="9">
        <f t="shared" ref="C77:C102" si="2">B77/B$102</f>
        <v>1.832459760128411E-3</v>
      </c>
      <c r="E77" s="371">
        <v>66</v>
      </c>
      <c r="F77" s="371">
        <v>4656.7251860494544</v>
      </c>
      <c r="G77" s="9">
        <f t="shared" ref="G77:G102" si="3">F77/F$102</f>
        <v>2.0872650991355587E-3</v>
      </c>
    </row>
    <row r="78" spans="1:7" x14ac:dyDescent="0.25">
      <c r="A78">
        <v>67</v>
      </c>
      <c r="B78" s="6">
        <v>6053.7855554197004</v>
      </c>
      <c r="C78" s="9">
        <f t="shared" si="2"/>
        <v>2.669850028606497E-3</v>
      </c>
      <c r="E78" s="371">
        <v>67</v>
      </c>
      <c r="F78" s="371">
        <v>5635.3565379542742</v>
      </c>
      <c r="G78" s="9">
        <f t="shared" si="3"/>
        <v>2.5259130725805365E-3</v>
      </c>
    </row>
    <row r="79" spans="1:7" x14ac:dyDescent="0.25">
      <c r="A79">
        <v>68</v>
      </c>
      <c r="B79" s="6">
        <v>1592.1817228489999</v>
      </c>
      <c r="C79" s="9">
        <f t="shared" si="2"/>
        <v>7.0218648800493165E-4</v>
      </c>
      <c r="E79" s="371">
        <v>68</v>
      </c>
      <c r="F79" s="371">
        <v>4068.4988643788306</v>
      </c>
      <c r="G79" s="9">
        <f t="shared" si="3"/>
        <v>1.8236067936606821E-3</v>
      </c>
    </row>
    <row r="80" spans="1:7" x14ac:dyDescent="0.25">
      <c r="A80">
        <v>69</v>
      </c>
      <c r="B80" s="6">
        <v>4028.6973121152</v>
      </c>
      <c r="C80" s="9">
        <f t="shared" si="2"/>
        <v>1.7767424259632508E-3</v>
      </c>
      <c r="E80" s="371">
        <v>69</v>
      </c>
      <c r="F80" s="371">
        <v>3308.7500717408602</v>
      </c>
      <c r="G80" s="9">
        <f t="shared" si="3"/>
        <v>1.4830676646319129E-3</v>
      </c>
    </row>
    <row r="81" spans="1:7" x14ac:dyDescent="0.25">
      <c r="A81">
        <v>70</v>
      </c>
      <c r="B81" s="6">
        <v>7374.5215670546004</v>
      </c>
      <c r="C81" s="9">
        <f t="shared" si="2"/>
        <v>3.2523231020519607E-3</v>
      </c>
      <c r="E81" s="371">
        <v>70</v>
      </c>
      <c r="F81" s="371">
        <v>4144.1443356521931</v>
      </c>
      <c r="G81" s="9">
        <f t="shared" si="3"/>
        <v>1.8575130573520767E-3</v>
      </c>
    </row>
    <row r="82" spans="1:7" x14ac:dyDescent="0.25">
      <c r="A82">
        <v>71</v>
      </c>
      <c r="B82" s="6">
        <v>1567.8307832096</v>
      </c>
      <c r="C82" s="9">
        <f t="shared" si="2"/>
        <v>6.9144719829972515E-4</v>
      </c>
      <c r="E82" s="371">
        <v>71</v>
      </c>
      <c r="F82" s="371">
        <v>3691.8444326570784</v>
      </c>
      <c r="G82" s="9">
        <f t="shared" si="3"/>
        <v>1.6547805008567242E-3</v>
      </c>
    </row>
    <row r="83" spans="1:7" x14ac:dyDescent="0.25">
      <c r="A83">
        <v>72</v>
      </c>
      <c r="B83" s="6">
        <v>11656.6625317656</v>
      </c>
      <c r="C83" s="9">
        <f t="shared" si="2"/>
        <v>5.140839646364556E-3</v>
      </c>
      <c r="E83" s="371">
        <v>72</v>
      </c>
      <c r="F83" s="371">
        <v>3716.48292951956</v>
      </c>
      <c r="G83" s="9">
        <f t="shared" si="3"/>
        <v>1.6658241146714889E-3</v>
      </c>
    </row>
    <row r="84" spans="1:7" x14ac:dyDescent="0.25">
      <c r="A84">
        <v>73</v>
      </c>
      <c r="B84" s="6">
        <v>3696.5753452032</v>
      </c>
      <c r="C84" s="9">
        <f t="shared" si="2"/>
        <v>1.6302694736686307E-3</v>
      </c>
      <c r="E84" s="371">
        <v>73</v>
      </c>
      <c r="F84" s="371">
        <v>3675.622569995151</v>
      </c>
      <c r="G84" s="9">
        <f t="shared" si="3"/>
        <v>1.6475094409542316E-3</v>
      </c>
    </row>
    <row r="85" spans="1:7" x14ac:dyDescent="0.25">
      <c r="A85">
        <v>74</v>
      </c>
      <c r="B85" s="6">
        <v>7720.0441044544996</v>
      </c>
      <c r="C85" s="9">
        <f t="shared" si="2"/>
        <v>3.4047059950230276E-3</v>
      </c>
      <c r="E85" s="371">
        <v>74</v>
      </c>
      <c r="F85" s="371">
        <v>4873.6026468522005</v>
      </c>
      <c r="G85" s="9">
        <f t="shared" si="3"/>
        <v>2.1844752063754809E-3</v>
      </c>
    </row>
    <row r="86" spans="1:7" x14ac:dyDescent="0.25">
      <c r="A86">
        <v>75</v>
      </c>
      <c r="B86" s="6">
        <v>5444.0931773350003</v>
      </c>
      <c r="C86" s="9">
        <f t="shared" si="2"/>
        <v>2.4009625369421595E-3</v>
      </c>
      <c r="E86" s="371">
        <v>75</v>
      </c>
      <c r="F86" s="371">
        <v>2511.6764487866462</v>
      </c>
      <c r="G86" s="9">
        <f t="shared" si="3"/>
        <v>1.1257985778457815E-3</v>
      </c>
    </row>
    <row r="87" spans="1:7" x14ac:dyDescent="0.25">
      <c r="A87">
        <v>76</v>
      </c>
      <c r="B87" s="6">
        <v>5967.7306720619999</v>
      </c>
      <c r="C87" s="9">
        <f t="shared" si="2"/>
        <v>2.6318979685787682E-3</v>
      </c>
      <c r="E87" s="371">
        <v>76</v>
      </c>
      <c r="F87" s="371">
        <v>2092.9731540763878</v>
      </c>
      <c r="G87" s="9">
        <f t="shared" si="3"/>
        <v>9.3812489322296047E-4</v>
      </c>
    </row>
    <row r="88" spans="1:7" x14ac:dyDescent="0.25">
      <c r="A88">
        <v>77</v>
      </c>
      <c r="B88" s="6">
        <v>8134.7387629777004</v>
      </c>
      <c r="C88" s="9">
        <f t="shared" si="2"/>
        <v>3.5875952856636458E-3</v>
      </c>
      <c r="E88" s="371">
        <v>77</v>
      </c>
      <c r="F88" s="371">
        <v>2109.1112185206739</v>
      </c>
      <c r="G88" s="9">
        <f t="shared" si="3"/>
        <v>9.4535839258922544E-4</v>
      </c>
    </row>
    <row r="89" spans="1:7" x14ac:dyDescent="0.25">
      <c r="A89">
        <v>78</v>
      </c>
      <c r="B89" s="6">
        <v>2079.2390700199999</v>
      </c>
      <c r="C89" s="9">
        <f t="shared" si="2"/>
        <v>9.1698928542370247E-4</v>
      </c>
      <c r="E89" s="371">
        <v>78</v>
      </c>
      <c r="F89" s="371">
        <v>2173.0005792665088</v>
      </c>
      <c r="G89" s="9">
        <f t="shared" si="3"/>
        <v>9.739952623985847E-4</v>
      </c>
    </row>
    <row r="90" spans="1:7" x14ac:dyDescent="0.25">
      <c r="A90">
        <v>79</v>
      </c>
      <c r="B90" s="6">
        <v>4368.2174773080005</v>
      </c>
      <c r="C90" s="9">
        <f t="shared" si="2"/>
        <v>1.9264781433014637E-3</v>
      </c>
      <c r="E90" s="371">
        <v>79</v>
      </c>
      <c r="F90" s="371">
        <v>1794.9142194079329</v>
      </c>
      <c r="G90" s="9">
        <f t="shared" si="3"/>
        <v>8.0452714223633293E-4</v>
      </c>
    </row>
    <row r="91" spans="1:7" x14ac:dyDescent="0.25">
      <c r="A91">
        <v>80</v>
      </c>
      <c r="B91" s="6">
        <v>5711.6553785445994</v>
      </c>
      <c r="C91" s="9">
        <f t="shared" si="2"/>
        <v>2.5189632398104561E-3</v>
      </c>
      <c r="E91" s="371">
        <v>80</v>
      </c>
      <c r="F91" s="371">
        <v>1535.1872329014079</v>
      </c>
      <c r="G91" s="9">
        <f t="shared" si="3"/>
        <v>6.8811076536642575E-4</v>
      </c>
    </row>
    <row r="92" spans="1:7" x14ac:dyDescent="0.25">
      <c r="A92">
        <v>81</v>
      </c>
      <c r="B92" s="6">
        <v>2193.4293356089997</v>
      </c>
      <c r="C92" s="9">
        <f t="shared" si="2"/>
        <v>9.6734965598166455E-4</v>
      </c>
      <c r="E92" s="371">
        <v>81</v>
      </c>
      <c r="F92" s="371">
        <v>1667.2433358240537</v>
      </c>
      <c r="G92" s="9">
        <f t="shared" si="3"/>
        <v>7.4730173836694519E-4</v>
      </c>
    </row>
    <row r="93" spans="1:7" x14ac:dyDescent="0.25">
      <c r="A93">
        <v>82</v>
      </c>
      <c r="B93" s="6">
        <v>9498.3727614091003</v>
      </c>
      <c r="C93" s="9">
        <f t="shared" si="2"/>
        <v>4.1889872967271202E-3</v>
      </c>
      <c r="E93" s="371">
        <v>82</v>
      </c>
      <c r="F93" s="371">
        <v>1601.7546571864355</v>
      </c>
      <c r="G93" s="9">
        <f t="shared" si="3"/>
        <v>7.1794801276632233E-4</v>
      </c>
    </row>
    <row r="94" spans="1:7" x14ac:dyDescent="0.25">
      <c r="A94">
        <v>83</v>
      </c>
      <c r="B94" s="6">
        <v>5403.1790240475002</v>
      </c>
      <c r="C94" s="9">
        <f t="shared" si="2"/>
        <v>2.3829185126989735E-3</v>
      </c>
      <c r="E94" s="371">
        <v>83</v>
      </c>
      <c r="F94" s="371">
        <v>1504.9780626806185</v>
      </c>
      <c r="G94" s="9">
        <f t="shared" si="3"/>
        <v>6.7457023115912557E-4</v>
      </c>
    </row>
    <row r="95" spans="1:7" x14ac:dyDescent="0.25">
      <c r="A95">
        <v>84</v>
      </c>
      <c r="B95" s="6">
        <v>3207.6086010180002</v>
      </c>
      <c r="C95" s="9">
        <f t="shared" si="2"/>
        <v>1.4146245909750655E-3</v>
      </c>
      <c r="E95" s="371">
        <v>84</v>
      </c>
      <c r="F95" s="371">
        <v>1300.1549637866053</v>
      </c>
      <c r="G95" s="9">
        <f t="shared" si="3"/>
        <v>5.8276320181175874E-4</v>
      </c>
    </row>
    <row r="96" spans="1:7" x14ac:dyDescent="0.25">
      <c r="A96">
        <v>85</v>
      </c>
      <c r="B96" s="6">
        <v>3556.3916417300998</v>
      </c>
      <c r="C96" s="9">
        <f t="shared" si="2"/>
        <v>1.5684454362458395E-3</v>
      </c>
      <c r="E96" s="371">
        <v>85</v>
      </c>
      <c r="F96" s="371">
        <v>1628.5345665242148</v>
      </c>
      <c r="G96" s="9">
        <f t="shared" si="3"/>
        <v>7.2995146323538067E-4</v>
      </c>
    </row>
    <row r="97" spans="1:7" x14ac:dyDescent="0.25">
      <c r="A97">
        <v>86</v>
      </c>
      <c r="B97" s="6">
        <v>8154.8321200373002</v>
      </c>
      <c r="C97" s="9">
        <f t="shared" si="2"/>
        <v>3.5964568896020848E-3</v>
      </c>
      <c r="E97" s="371">
        <v>86</v>
      </c>
      <c r="F97" s="371">
        <v>1166.7811891399595</v>
      </c>
      <c r="G97" s="9">
        <f t="shared" si="3"/>
        <v>5.2298161414283191E-4</v>
      </c>
    </row>
    <row r="98" spans="1:7" x14ac:dyDescent="0.25">
      <c r="A98">
        <v>87</v>
      </c>
      <c r="B98" s="6">
        <v>1438.7523178411</v>
      </c>
      <c r="C98" s="9">
        <f t="shared" si="2"/>
        <v>6.3452081045500721E-4</v>
      </c>
      <c r="E98" s="371">
        <v>87</v>
      </c>
      <c r="F98" s="371">
        <v>1142.2826957092441</v>
      </c>
      <c r="G98" s="9">
        <f t="shared" si="3"/>
        <v>5.1200075350013759E-4</v>
      </c>
    </row>
    <row r="99" spans="1:7" x14ac:dyDescent="0.25">
      <c r="A99">
        <v>88</v>
      </c>
      <c r="B99" s="6">
        <v>2191.2054852572001</v>
      </c>
      <c r="C99" s="9">
        <f t="shared" si="2"/>
        <v>9.6636889000126854E-4</v>
      </c>
      <c r="E99" s="371">
        <v>88</v>
      </c>
      <c r="F99" s="371">
        <v>1672.5408961229998</v>
      </c>
      <c r="G99" s="9">
        <f t="shared" si="3"/>
        <v>7.496762423973058E-4</v>
      </c>
    </row>
    <row r="100" spans="1:7" x14ac:dyDescent="0.25">
      <c r="A100">
        <v>89</v>
      </c>
      <c r="B100" s="6">
        <v>6096.0213704741</v>
      </c>
      <c r="C100" s="9">
        <f t="shared" si="2"/>
        <v>2.6884769342011717E-3</v>
      </c>
      <c r="E100" s="371">
        <v>89</v>
      </c>
      <c r="F100" s="371">
        <v>1735.4044469847934</v>
      </c>
      <c r="G100" s="9">
        <f t="shared" si="3"/>
        <v>7.7785331759054252E-4</v>
      </c>
    </row>
    <row r="101" spans="1:7" ht="15.75" thickBot="1" x14ac:dyDescent="0.3">
      <c r="A101" s="1">
        <v>90</v>
      </c>
      <c r="B101" s="7">
        <v>54382.101092264202</v>
      </c>
      <c r="C101" s="9">
        <f t="shared" si="2"/>
        <v>2.3983679769905068E-2</v>
      </c>
      <c r="E101" s="372">
        <v>90</v>
      </c>
      <c r="F101" s="372">
        <v>38760.086107819006</v>
      </c>
      <c r="G101" s="9">
        <f t="shared" si="3"/>
        <v>1.7373276656888908E-2</v>
      </c>
    </row>
    <row r="102" spans="1:7" x14ac:dyDescent="0.25">
      <c r="B102" s="6">
        <f>SUM(B11:B101)</f>
        <v>2267462.7752703461</v>
      </c>
      <c r="C102" s="9">
        <f t="shared" si="2"/>
        <v>1</v>
      </c>
      <c r="F102" s="6">
        <f>SUM(F11:F101)</f>
        <v>2231017.6067132237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02"/>
  <sheetViews>
    <sheetView workbookViewId="0">
      <selection activeCell="K11" sqref="K11:L11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59197.431251041104</v>
      </c>
      <c r="C11" s="9">
        <f>B11/B$102</f>
        <v>6.7908804863944364E-2</v>
      </c>
      <c r="E11" s="371">
        <v>0</v>
      </c>
      <c r="F11" s="371">
        <v>138993.01012426746</v>
      </c>
      <c r="G11" s="9">
        <f>F11/F$102</f>
        <v>0.16592453667924209</v>
      </c>
      <c r="K11" s="6">
        <v>6.0348967635956425</v>
      </c>
      <c r="L11" s="6">
        <v>4.8065854878794987</v>
      </c>
    </row>
    <row r="12" spans="1:12" x14ac:dyDescent="0.25">
      <c r="A12">
        <v>1</v>
      </c>
      <c r="B12" s="6">
        <v>43875.614687934198</v>
      </c>
      <c r="C12" s="9">
        <f>B12/B$102</f>
        <v>5.0332260930260102E-2</v>
      </c>
      <c r="E12" s="371">
        <v>1</v>
      </c>
      <c r="F12" s="371">
        <v>133389.43960601932</v>
      </c>
      <c r="G12" s="9">
        <f>F12/F$102</f>
        <v>0.15923520862484197</v>
      </c>
      <c r="K12" s="6"/>
      <c r="L12" s="371"/>
    </row>
    <row r="13" spans="1:12" x14ac:dyDescent="0.25">
      <c r="A13">
        <v>2</v>
      </c>
      <c r="B13" s="6">
        <v>56232.611562097998</v>
      </c>
      <c r="C13" s="9">
        <f t="shared" ref="C13:C76" si="0">B13/B$102</f>
        <v>6.4507688338137734E-2</v>
      </c>
      <c r="E13" s="371">
        <v>2</v>
      </c>
      <c r="F13" s="371">
        <v>74940.905494169987</v>
      </c>
      <c r="G13" s="9">
        <f t="shared" ref="G13:G76" si="1">F13/F$102</f>
        <v>8.9461585236019131E-2</v>
      </c>
    </row>
    <row r="14" spans="1:12" x14ac:dyDescent="0.25">
      <c r="A14">
        <v>3</v>
      </c>
      <c r="B14" s="6">
        <v>83102.984608556595</v>
      </c>
      <c r="C14" s="9">
        <f t="shared" si="0"/>
        <v>9.5332250844830213E-2</v>
      </c>
      <c r="E14" s="371">
        <v>3</v>
      </c>
      <c r="F14" s="371">
        <v>45268.38219261224</v>
      </c>
      <c r="G14" s="9">
        <f t="shared" si="1"/>
        <v>5.4039662388868821E-2</v>
      </c>
    </row>
    <row r="15" spans="1:12" x14ac:dyDescent="0.25">
      <c r="A15">
        <v>4</v>
      </c>
      <c r="B15" s="6">
        <v>176389.97883560861</v>
      </c>
      <c r="C15" s="9">
        <f t="shared" si="0"/>
        <v>0.20234716945580231</v>
      </c>
      <c r="E15" s="371">
        <v>4</v>
      </c>
      <c r="F15" s="371">
        <v>139454.32874833976</v>
      </c>
      <c r="G15" s="9">
        <f t="shared" si="1"/>
        <v>0.1664752411995073</v>
      </c>
    </row>
    <row r="16" spans="1:12" x14ac:dyDescent="0.25">
      <c r="A16">
        <v>5</v>
      </c>
      <c r="B16" s="6">
        <v>74454.417274655905</v>
      </c>
      <c r="C16" s="9">
        <f t="shared" si="0"/>
        <v>8.5410977927769027E-2</v>
      </c>
      <c r="E16" s="371">
        <v>5</v>
      </c>
      <c r="F16" s="371">
        <v>61899.393521656304</v>
      </c>
      <c r="G16" s="9">
        <f t="shared" si="1"/>
        <v>7.3893127299166986E-2</v>
      </c>
    </row>
    <row r="17" spans="1:7" x14ac:dyDescent="0.25">
      <c r="A17">
        <v>6</v>
      </c>
      <c r="B17" s="6">
        <v>124431.505992334</v>
      </c>
      <c r="C17" s="9">
        <f t="shared" si="0"/>
        <v>0.14274259339946485</v>
      </c>
      <c r="E17" s="371">
        <v>6</v>
      </c>
      <c r="F17" s="371">
        <v>61657.18058984563</v>
      </c>
      <c r="G17" s="9">
        <f t="shared" si="1"/>
        <v>7.3603982769866738E-2</v>
      </c>
    </row>
    <row r="18" spans="1:7" x14ac:dyDescent="0.25">
      <c r="A18">
        <v>7</v>
      </c>
      <c r="B18" s="6">
        <v>46721.186487828003</v>
      </c>
      <c r="C18" s="9">
        <f t="shared" si="0"/>
        <v>5.3596581290139451E-2</v>
      </c>
      <c r="E18" s="371">
        <v>7</v>
      </c>
      <c r="F18" s="371">
        <v>37355.570203741845</v>
      </c>
      <c r="G18" s="9">
        <f t="shared" si="1"/>
        <v>4.4593650233945056E-2</v>
      </c>
    </row>
    <row r="19" spans="1:7" x14ac:dyDescent="0.25">
      <c r="A19">
        <v>8</v>
      </c>
      <c r="B19" s="6">
        <v>39474.579507849703</v>
      </c>
      <c r="C19" s="9">
        <f t="shared" si="0"/>
        <v>4.5283578361986404E-2</v>
      </c>
      <c r="E19" s="371">
        <v>8</v>
      </c>
      <c r="F19" s="371">
        <v>36288.466770432984</v>
      </c>
      <c r="G19" s="9">
        <f t="shared" si="1"/>
        <v>4.3319782989813128E-2</v>
      </c>
    </row>
    <row r="20" spans="1:7" x14ac:dyDescent="0.25">
      <c r="A20">
        <v>9</v>
      </c>
      <c r="B20" s="6">
        <v>29773.5607171911</v>
      </c>
      <c r="C20" s="9">
        <f t="shared" si="0"/>
        <v>3.4154977371809031E-2</v>
      </c>
      <c r="E20" s="371">
        <v>9</v>
      </c>
      <c r="F20" s="371">
        <v>23024.02398110598</v>
      </c>
      <c r="G20" s="9">
        <f t="shared" si="1"/>
        <v>2.7485198774681207E-2</v>
      </c>
    </row>
    <row r="21" spans="1:7" x14ac:dyDescent="0.25">
      <c r="A21">
        <v>10</v>
      </c>
      <c r="B21" s="6">
        <v>52862.687953962799</v>
      </c>
      <c r="C21" s="9">
        <f t="shared" si="0"/>
        <v>6.0641853624114943E-2</v>
      </c>
      <c r="E21" s="371">
        <v>10</v>
      </c>
      <c r="F21" s="371">
        <v>15171.632214553158</v>
      </c>
      <c r="G21" s="9">
        <f t="shared" si="1"/>
        <v>1.8111313969076209E-2</v>
      </c>
    </row>
    <row r="22" spans="1:7" x14ac:dyDescent="0.25">
      <c r="A22">
        <v>11</v>
      </c>
      <c r="B22" s="6">
        <v>10239.009300653999</v>
      </c>
      <c r="C22" s="9">
        <f t="shared" si="0"/>
        <v>1.1745761089692474E-2</v>
      </c>
      <c r="E22" s="371">
        <v>11</v>
      </c>
      <c r="F22" s="371">
        <v>14076.730977236415</v>
      </c>
      <c r="G22" s="9">
        <f t="shared" si="1"/>
        <v>1.6804262770250562E-2</v>
      </c>
    </row>
    <row r="23" spans="1:7" x14ac:dyDescent="0.25">
      <c r="A23">
        <v>12</v>
      </c>
      <c r="B23" s="6">
        <v>7829.2745191903005</v>
      </c>
      <c r="C23" s="9">
        <f t="shared" si="0"/>
        <v>8.9814146376595589E-3</v>
      </c>
      <c r="E23" s="371">
        <v>12</v>
      </c>
      <c r="F23" s="371">
        <v>11191.64277308843</v>
      </c>
      <c r="G23" s="9">
        <f t="shared" si="1"/>
        <v>1.3360154875011724E-2</v>
      </c>
    </row>
    <row r="24" spans="1:7" x14ac:dyDescent="0.25">
      <c r="A24">
        <v>13</v>
      </c>
      <c r="B24" s="6">
        <v>5569.2913049225999</v>
      </c>
      <c r="C24" s="9">
        <f t="shared" si="0"/>
        <v>6.3888568889515704E-3</v>
      </c>
      <c r="E24" s="371">
        <v>13</v>
      </c>
      <c r="F24" s="371">
        <v>7498.7083180358732</v>
      </c>
      <c r="G24" s="9">
        <f t="shared" si="1"/>
        <v>8.9516710390722502E-3</v>
      </c>
    </row>
    <row r="25" spans="1:7" x14ac:dyDescent="0.25">
      <c r="A25">
        <v>14</v>
      </c>
      <c r="B25" s="6">
        <v>5428.3616234730998</v>
      </c>
      <c r="C25" s="9">
        <f t="shared" si="0"/>
        <v>6.2271882821414793E-3</v>
      </c>
      <c r="E25" s="371">
        <v>14</v>
      </c>
      <c r="F25" s="371">
        <v>7173.1642111117171</v>
      </c>
      <c r="G25" s="9">
        <f t="shared" si="1"/>
        <v>8.5630489417325689E-3</v>
      </c>
    </row>
    <row r="26" spans="1:7" x14ac:dyDescent="0.25">
      <c r="A26">
        <v>15</v>
      </c>
      <c r="B26" s="6">
        <v>2742.3165746610002</v>
      </c>
      <c r="C26" s="9">
        <f t="shared" si="0"/>
        <v>3.1458703056568694E-3</v>
      </c>
      <c r="E26" s="371">
        <v>15</v>
      </c>
      <c r="F26" s="371">
        <v>5122.1503088905156</v>
      </c>
      <c r="G26" s="9">
        <f t="shared" si="1"/>
        <v>6.1146270308431077E-3</v>
      </c>
    </row>
    <row r="27" spans="1:7" x14ac:dyDescent="0.25">
      <c r="A27">
        <v>16</v>
      </c>
      <c r="B27" s="6">
        <v>10449.0733677851</v>
      </c>
      <c r="C27" s="9">
        <f t="shared" si="0"/>
        <v>1.1986737757805612E-2</v>
      </c>
      <c r="E27" s="371">
        <v>16</v>
      </c>
      <c r="F27" s="371">
        <v>4827.8513521577433</v>
      </c>
      <c r="G27" s="9">
        <f t="shared" si="1"/>
        <v>5.7633041981523733E-3</v>
      </c>
    </row>
    <row r="28" spans="1:7" x14ac:dyDescent="0.25">
      <c r="A28">
        <v>17</v>
      </c>
      <c r="B28" s="6">
        <v>6295.3419629263999</v>
      </c>
      <c r="C28" s="9">
        <f t="shared" si="0"/>
        <v>7.2217516854610276E-3</v>
      </c>
      <c r="E28" s="371">
        <v>17</v>
      </c>
      <c r="F28" s="371">
        <v>4112.7102050017529</v>
      </c>
      <c r="G28" s="9">
        <f t="shared" si="1"/>
        <v>4.9095960627862046E-3</v>
      </c>
    </row>
    <row r="29" spans="1:7" x14ac:dyDescent="0.25">
      <c r="A29">
        <v>18</v>
      </c>
      <c r="B29" s="6">
        <v>6140.7454949870007</v>
      </c>
      <c r="C29" s="9">
        <f t="shared" si="0"/>
        <v>7.044405115650753E-3</v>
      </c>
      <c r="E29" s="371">
        <v>18</v>
      </c>
      <c r="F29" s="371">
        <v>2975.2856738650717</v>
      </c>
      <c r="G29" s="9">
        <f t="shared" si="1"/>
        <v>3.5517821830254462E-3</v>
      </c>
    </row>
    <row r="30" spans="1:7" x14ac:dyDescent="0.25">
      <c r="A30">
        <v>19</v>
      </c>
      <c r="B30" s="6">
        <v>1810.5973546929999</v>
      </c>
      <c r="C30" s="9">
        <f t="shared" si="0"/>
        <v>2.0770411798038684E-3</v>
      </c>
      <c r="E30" s="371">
        <v>19</v>
      </c>
      <c r="F30" s="371">
        <v>2171.4476586642645</v>
      </c>
      <c r="G30" s="9">
        <f t="shared" si="1"/>
        <v>2.5921911207259134E-3</v>
      </c>
    </row>
    <row r="31" spans="1:7" x14ac:dyDescent="0.25">
      <c r="A31">
        <v>20</v>
      </c>
      <c r="B31" s="6">
        <v>1688.2556964760001</v>
      </c>
      <c r="C31" s="9">
        <f t="shared" si="0"/>
        <v>1.9366959719289319E-3</v>
      </c>
      <c r="E31" s="371">
        <v>20</v>
      </c>
      <c r="F31" s="371">
        <v>1603.2240521481049</v>
      </c>
      <c r="G31" s="9">
        <f t="shared" si="1"/>
        <v>1.913867523322647E-3</v>
      </c>
    </row>
    <row r="32" spans="1:7" x14ac:dyDescent="0.25">
      <c r="A32">
        <v>21</v>
      </c>
      <c r="B32" s="6">
        <v>8002.3638754794001</v>
      </c>
      <c r="C32" s="9">
        <f t="shared" si="0"/>
        <v>9.1799754716662789E-3</v>
      </c>
      <c r="E32" s="371">
        <v>21</v>
      </c>
      <c r="F32" s="371">
        <v>1407.5500742975053</v>
      </c>
      <c r="G32" s="9">
        <f t="shared" si="1"/>
        <v>1.680279416366638E-3</v>
      </c>
    </row>
    <row r="33" spans="1:7" x14ac:dyDescent="0.25">
      <c r="A33">
        <v>22</v>
      </c>
      <c r="B33" s="6">
        <v>2202.724216397</v>
      </c>
      <c r="C33" s="9">
        <f t="shared" si="0"/>
        <v>2.5268726331390923E-3</v>
      </c>
      <c r="E33" s="371">
        <v>22</v>
      </c>
      <c r="F33" s="371">
        <v>834.22389192801063</v>
      </c>
      <c r="G33" s="9">
        <f t="shared" si="1"/>
        <v>9.9586455916852025E-4</v>
      </c>
    </row>
    <row r="34" spans="1:7" x14ac:dyDescent="0.25">
      <c r="A34">
        <v>23</v>
      </c>
      <c r="B34" s="6">
        <v>9592.5273194509991</v>
      </c>
      <c r="C34" s="9">
        <f t="shared" si="0"/>
        <v>1.100414413466964E-2</v>
      </c>
      <c r="E34" s="371">
        <v>23</v>
      </c>
      <c r="F34" s="371">
        <v>1136.192175397649</v>
      </c>
      <c r="G34" s="9">
        <f t="shared" si="1"/>
        <v>1.3563427406377184E-3</v>
      </c>
    </row>
    <row r="35" spans="1:7" x14ac:dyDescent="0.25">
      <c r="A35">
        <v>24</v>
      </c>
      <c r="B35" s="6">
        <v>179.29758370100001</v>
      </c>
      <c r="C35" s="9">
        <f t="shared" si="0"/>
        <v>2.05682651540962E-4</v>
      </c>
      <c r="E35" s="371">
        <v>24</v>
      </c>
      <c r="F35" s="371">
        <v>1078.3746228019245</v>
      </c>
      <c r="G35" s="9">
        <f t="shared" si="1"/>
        <v>1.2873223588372501E-3</v>
      </c>
    </row>
    <row r="36" spans="1:7" x14ac:dyDescent="0.25">
      <c r="A36">
        <v>25</v>
      </c>
      <c r="B36" s="6">
        <v>1088.7249141049999</v>
      </c>
      <c r="C36" s="9">
        <f t="shared" si="0"/>
        <v>1.2489394586892781E-3</v>
      </c>
      <c r="E36" s="371">
        <v>25</v>
      </c>
      <c r="F36" s="371">
        <v>818.07739243770902</v>
      </c>
      <c r="G36" s="9">
        <f t="shared" si="1"/>
        <v>9.7658948595063231E-4</v>
      </c>
    </row>
    <row r="37" spans="1:7" x14ac:dyDescent="0.25">
      <c r="A37">
        <v>26</v>
      </c>
      <c r="B37" s="6">
        <v>1057.5428750000001</v>
      </c>
      <c r="C37" s="9">
        <f t="shared" si="0"/>
        <v>1.2131687341140614E-3</v>
      </c>
      <c r="E37" s="371">
        <v>26</v>
      </c>
      <c r="F37" s="371">
        <v>836.9466083289775</v>
      </c>
      <c r="G37" s="9">
        <f t="shared" si="1"/>
        <v>9.9911483381855842E-4</v>
      </c>
    </row>
    <row r="38" spans="1:7" x14ac:dyDescent="0.25">
      <c r="A38">
        <v>27</v>
      </c>
      <c r="B38" s="6">
        <v>18.23</v>
      </c>
      <c r="C38" s="9">
        <f t="shared" si="0"/>
        <v>2.0912689731751384E-5</v>
      </c>
      <c r="E38" s="371">
        <v>27</v>
      </c>
      <c r="F38" s="371">
        <v>540.72648864255234</v>
      </c>
      <c r="G38" s="9">
        <f t="shared" si="1"/>
        <v>6.4549859031036514E-4</v>
      </c>
    </row>
    <row r="39" spans="1:7" x14ac:dyDescent="0.25">
      <c r="A39">
        <v>28</v>
      </c>
      <c r="B39" s="6">
        <v>1720.5501711100001</v>
      </c>
      <c r="C39" s="9">
        <f t="shared" si="0"/>
        <v>1.9737428357836087E-3</v>
      </c>
      <c r="E39" s="371">
        <v>28</v>
      </c>
      <c r="F39" s="371">
        <v>363.36597609003672</v>
      </c>
      <c r="G39" s="9">
        <f t="shared" si="1"/>
        <v>4.3377239743089317E-4</v>
      </c>
    </row>
    <row r="40" spans="1:7" x14ac:dyDescent="0.25">
      <c r="A40">
        <v>29</v>
      </c>
      <c r="B40" s="6">
        <v>308.77677003399998</v>
      </c>
      <c r="C40" s="9">
        <f t="shared" si="0"/>
        <v>3.5421573165624737E-4</v>
      </c>
      <c r="E40" s="371">
        <v>29</v>
      </c>
      <c r="F40" s="371">
        <v>557.68426246084221</v>
      </c>
      <c r="G40" s="9">
        <f t="shared" si="1"/>
        <v>6.6574213177619508E-4</v>
      </c>
    </row>
    <row r="41" spans="1:7" x14ac:dyDescent="0.25">
      <c r="A41">
        <v>30</v>
      </c>
      <c r="B41" s="6">
        <v>0</v>
      </c>
      <c r="C41" s="9">
        <f t="shared" si="0"/>
        <v>0</v>
      </c>
      <c r="E41" s="371">
        <v>30</v>
      </c>
      <c r="F41" s="371">
        <v>331.71822163561444</v>
      </c>
      <c r="G41" s="9">
        <f t="shared" si="1"/>
        <v>3.9599251921907785E-4</v>
      </c>
    </row>
    <row r="42" spans="1:7" x14ac:dyDescent="0.25">
      <c r="A42">
        <v>31</v>
      </c>
      <c r="B42" s="6">
        <v>0</v>
      </c>
      <c r="C42" s="9">
        <f t="shared" si="0"/>
        <v>0</v>
      </c>
      <c r="E42" s="371">
        <v>31</v>
      </c>
      <c r="F42" s="371">
        <v>255.76789418994275</v>
      </c>
      <c r="G42" s="9">
        <f t="shared" si="1"/>
        <v>3.0532592468462689E-4</v>
      </c>
    </row>
    <row r="43" spans="1:7" x14ac:dyDescent="0.25">
      <c r="A43">
        <v>32</v>
      </c>
      <c r="B43" s="6">
        <v>15.92375</v>
      </c>
      <c r="C43" s="9">
        <f t="shared" si="0"/>
        <v>1.8267056671200007E-5</v>
      </c>
      <c r="E43" s="371">
        <v>32</v>
      </c>
      <c r="F43" s="371">
        <v>223.57791239412552</v>
      </c>
      <c r="G43" s="9">
        <f t="shared" si="1"/>
        <v>2.668987562219181E-4</v>
      </c>
    </row>
    <row r="44" spans="1:7" x14ac:dyDescent="0.25">
      <c r="A44">
        <v>33</v>
      </c>
      <c r="B44" s="6">
        <v>0</v>
      </c>
      <c r="C44" s="9">
        <f t="shared" si="0"/>
        <v>0</v>
      </c>
      <c r="E44" s="371">
        <v>33</v>
      </c>
      <c r="F44" s="371">
        <v>223.70218000596338</v>
      </c>
      <c r="G44" s="9">
        <f t="shared" si="1"/>
        <v>2.6704710214161577E-4</v>
      </c>
    </row>
    <row r="45" spans="1:7" x14ac:dyDescent="0.25">
      <c r="A45">
        <v>34</v>
      </c>
      <c r="B45" s="6">
        <v>596.97480037000003</v>
      </c>
      <c r="C45" s="9">
        <f t="shared" si="0"/>
        <v>6.8482439812463146E-4</v>
      </c>
      <c r="E45" s="371">
        <v>34</v>
      </c>
      <c r="F45" s="371">
        <v>149.49567478905314</v>
      </c>
      <c r="G45" s="9">
        <f t="shared" si="1"/>
        <v>1.7846221585349686E-4</v>
      </c>
    </row>
    <row r="46" spans="1:7" x14ac:dyDescent="0.25">
      <c r="A46">
        <v>35</v>
      </c>
      <c r="B46" s="6">
        <v>10.192500000000001</v>
      </c>
      <c r="C46" s="9">
        <f t="shared" si="0"/>
        <v>1.169240757492463E-5</v>
      </c>
      <c r="E46" s="371">
        <v>35</v>
      </c>
      <c r="F46" s="371">
        <v>112.34147443624225</v>
      </c>
      <c r="G46" s="9">
        <f t="shared" si="1"/>
        <v>1.3410895324182876E-4</v>
      </c>
    </row>
    <row r="47" spans="1:7" x14ac:dyDescent="0.25">
      <c r="A47">
        <v>36</v>
      </c>
      <c r="B47" s="6">
        <v>0</v>
      </c>
      <c r="C47" s="9">
        <f t="shared" si="0"/>
        <v>0</v>
      </c>
      <c r="E47" s="371">
        <v>36</v>
      </c>
      <c r="F47" s="371">
        <v>86.259108088878776</v>
      </c>
      <c r="G47" s="9">
        <f t="shared" si="1"/>
        <v>1.0297282238305151E-4</v>
      </c>
    </row>
    <row r="48" spans="1:7" x14ac:dyDescent="0.25">
      <c r="A48">
        <v>37</v>
      </c>
      <c r="B48" s="6">
        <v>0</v>
      </c>
      <c r="C48" s="9">
        <f t="shared" si="0"/>
        <v>0</v>
      </c>
      <c r="E48" s="371">
        <v>37</v>
      </c>
      <c r="F48" s="371">
        <v>120.34608028827518</v>
      </c>
      <c r="G48" s="9">
        <f t="shared" si="1"/>
        <v>1.4366454539794555E-4</v>
      </c>
    </row>
    <row r="49" spans="1:7" x14ac:dyDescent="0.25">
      <c r="A49">
        <v>38</v>
      </c>
      <c r="B49" s="6">
        <v>0</v>
      </c>
      <c r="C49" s="9">
        <f t="shared" si="0"/>
        <v>0</v>
      </c>
      <c r="E49" s="371">
        <v>38</v>
      </c>
      <c r="F49" s="371">
        <v>41.028011664047142</v>
      </c>
      <c r="G49" s="9">
        <f t="shared" si="1"/>
        <v>4.8977670316955014E-5</v>
      </c>
    </row>
    <row r="50" spans="1:7" x14ac:dyDescent="0.25">
      <c r="A50">
        <v>39</v>
      </c>
      <c r="B50" s="6">
        <v>5.16</v>
      </c>
      <c r="C50" s="9">
        <f t="shared" si="0"/>
        <v>5.9193351078352793E-6</v>
      </c>
      <c r="E50" s="371">
        <v>39</v>
      </c>
      <c r="F50" s="371">
        <v>52.689480171500328</v>
      </c>
      <c r="G50" s="9">
        <f t="shared" si="1"/>
        <v>6.2898685174959839E-5</v>
      </c>
    </row>
    <row r="51" spans="1:7" x14ac:dyDescent="0.25">
      <c r="A51">
        <v>40</v>
      </c>
      <c r="B51" s="6">
        <v>5.51</v>
      </c>
      <c r="C51" s="9">
        <f t="shared" si="0"/>
        <v>6.3208403961574398E-6</v>
      </c>
      <c r="E51" s="371">
        <v>40</v>
      </c>
      <c r="F51" s="371">
        <v>27.51419533167746</v>
      </c>
      <c r="G51" s="9">
        <f t="shared" si="1"/>
        <v>3.2845393508847206E-5</v>
      </c>
    </row>
    <row r="52" spans="1:7" x14ac:dyDescent="0.25">
      <c r="A52">
        <v>41</v>
      </c>
      <c r="B52" s="6">
        <v>0</v>
      </c>
      <c r="C52" s="9">
        <f t="shared" si="0"/>
        <v>0</v>
      </c>
      <c r="E52" s="371">
        <v>41</v>
      </c>
      <c r="F52" s="371">
        <v>32.410492441251307</v>
      </c>
      <c r="G52" s="9">
        <f t="shared" si="1"/>
        <v>3.8690405633008042E-5</v>
      </c>
    </row>
    <row r="53" spans="1:7" x14ac:dyDescent="0.25">
      <c r="A53">
        <v>42</v>
      </c>
      <c r="B53" s="6">
        <v>339.70612499999999</v>
      </c>
      <c r="C53" s="9">
        <f t="shared" si="0"/>
        <v>3.8969658760836819E-4</v>
      </c>
      <c r="E53" s="371">
        <v>42</v>
      </c>
      <c r="F53" s="371">
        <v>31.454676941424569</v>
      </c>
      <c r="G53" s="9">
        <f t="shared" si="1"/>
        <v>3.7549389665242479E-5</v>
      </c>
    </row>
    <row r="54" spans="1:7" x14ac:dyDescent="0.25">
      <c r="A54">
        <v>43</v>
      </c>
      <c r="B54" s="6">
        <v>351.42374999999998</v>
      </c>
      <c r="C54" s="9">
        <f t="shared" si="0"/>
        <v>4.0313855447715661E-4</v>
      </c>
      <c r="E54" s="371">
        <v>43</v>
      </c>
      <c r="F54" s="371">
        <v>41.391683088406161</v>
      </c>
      <c r="G54" s="9">
        <f t="shared" si="1"/>
        <v>4.9411807346840916E-5</v>
      </c>
    </row>
    <row r="55" spans="1:7" x14ac:dyDescent="0.25">
      <c r="A55">
        <v>44</v>
      </c>
      <c r="B55" s="6">
        <v>0</v>
      </c>
      <c r="C55" s="9">
        <f t="shared" si="0"/>
        <v>0</v>
      </c>
      <c r="E55" s="371">
        <v>44</v>
      </c>
      <c r="F55" s="371">
        <v>17.99211045364887</v>
      </c>
      <c r="G55" s="9">
        <f t="shared" si="1"/>
        <v>2.147829296044732E-5</v>
      </c>
    </row>
    <row r="56" spans="1:7" x14ac:dyDescent="0.25">
      <c r="A56">
        <v>45</v>
      </c>
      <c r="B56" s="6">
        <v>0</v>
      </c>
      <c r="C56" s="9">
        <f t="shared" si="0"/>
        <v>0</v>
      </c>
      <c r="E56" s="371">
        <v>45</v>
      </c>
      <c r="F56" s="371">
        <v>62.191995385883111</v>
      </c>
      <c r="G56" s="9">
        <f t="shared" si="1"/>
        <v>7.424242420776627E-5</v>
      </c>
    </row>
    <row r="57" spans="1:7" x14ac:dyDescent="0.25">
      <c r="A57">
        <v>46</v>
      </c>
      <c r="B57" s="6">
        <v>1427.7280852700001</v>
      </c>
      <c r="C57" s="9">
        <f t="shared" si="0"/>
        <v>1.6378296472056497E-3</v>
      </c>
      <c r="E57" s="371">
        <v>46</v>
      </c>
      <c r="F57" s="371">
        <v>23.371341290139199</v>
      </c>
      <c r="G57" s="9">
        <f t="shared" si="1"/>
        <v>2.7899812887509578E-5</v>
      </c>
    </row>
    <row r="58" spans="1:7" x14ac:dyDescent="0.25">
      <c r="A58">
        <v>47</v>
      </c>
      <c r="B58" s="6">
        <v>0</v>
      </c>
      <c r="C58" s="9">
        <f t="shared" si="0"/>
        <v>0</v>
      </c>
      <c r="E58" s="371">
        <v>47</v>
      </c>
      <c r="F58" s="371">
        <v>26.112682224142873</v>
      </c>
      <c r="G58" s="9">
        <f t="shared" si="1"/>
        <v>3.1172320792387201E-5</v>
      </c>
    </row>
    <row r="59" spans="1:7" x14ac:dyDescent="0.25">
      <c r="A59">
        <v>48</v>
      </c>
      <c r="B59" s="6">
        <v>0</v>
      </c>
      <c r="C59" s="9">
        <f t="shared" si="0"/>
        <v>0</v>
      </c>
      <c r="E59" s="371">
        <v>48</v>
      </c>
      <c r="F59" s="371">
        <v>26.350817448418638</v>
      </c>
      <c r="G59" s="9">
        <f t="shared" si="1"/>
        <v>3.1456597510472786E-5</v>
      </c>
    </row>
    <row r="60" spans="1:7" x14ac:dyDescent="0.25">
      <c r="A60">
        <v>49</v>
      </c>
      <c r="B60" s="6">
        <v>0</v>
      </c>
      <c r="C60" s="9">
        <f t="shared" si="0"/>
        <v>0</v>
      </c>
      <c r="E60" s="371">
        <v>49</v>
      </c>
      <c r="F60" s="371">
        <v>11.25</v>
      </c>
      <c r="G60" s="9">
        <f t="shared" si="1"/>
        <v>1.342981949935888E-5</v>
      </c>
    </row>
    <row r="61" spans="1:7" x14ac:dyDescent="0.25">
      <c r="A61">
        <v>50</v>
      </c>
      <c r="B61" s="6">
        <v>0</v>
      </c>
      <c r="C61" s="9">
        <f t="shared" si="0"/>
        <v>0</v>
      </c>
      <c r="E61" s="371">
        <v>50</v>
      </c>
      <c r="F61" s="371">
        <v>1.5</v>
      </c>
      <c r="G61" s="9">
        <f t="shared" si="1"/>
        <v>1.7906425999145174E-6</v>
      </c>
    </row>
    <row r="62" spans="1:7" x14ac:dyDescent="0.25">
      <c r="A62">
        <v>51</v>
      </c>
      <c r="B62" s="6">
        <v>0</v>
      </c>
      <c r="C62" s="9">
        <f t="shared" si="0"/>
        <v>0</v>
      </c>
      <c r="E62" s="371">
        <v>51</v>
      </c>
      <c r="F62" s="371">
        <v>0.75</v>
      </c>
      <c r="G62" s="9">
        <f t="shared" si="1"/>
        <v>8.9532129995725872E-7</v>
      </c>
    </row>
    <row r="63" spans="1:7" x14ac:dyDescent="0.25">
      <c r="A63">
        <v>52</v>
      </c>
      <c r="B63" s="6">
        <v>0</v>
      </c>
      <c r="C63" s="9">
        <f t="shared" si="0"/>
        <v>0</v>
      </c>
      <c r="E63" s="371">
        <v>52</v>
      </c>
      <c r="F63" s="371">
        <v>0</v>
      </c>
      <c r="G63" s="9">
        <f t="shared" si="1"/>
        <v>0</v>
      </c>
    </row>
    <row r="64" spans="1:7" x14ac:dyDescent="0.25">
      <c r="A64">
        <v>53</v>
      </c>
      <c r="B64" s="6">
        <v>0</v>
      </c>
      <c r="C64" s="9">
        <f t="shared" si="0"/>
        <v>0</v>
      </c>
      <c r="E64" s="371">
        <v>53</v>
      </c>
      <c r="F64" s="371">
        <v>10.193820224719101</v>
      </c>
      <c r="G64" s="9">
        <f t="shared" si="1"/>
        <v>1.2168992500168134E-5</v>
      </c>
    </row>
    <row r="65" spans="1:7" x14ac:dyDescent="0.25">
      <c r="A65">
        <v>54</v>
      </c>
      <c r="B65" s="6">
        <v>0</v>
      </c>
      <c r="C65" s="9">
        <f t="shared" si="0"/>
        <v>0</v>
      </c>
      <c r="E65" s="371">
        <v>54</v>
      </c>
      <c r="F65" s="371">
        <v>5.0454545454545503</v>
      </c>
      <c r="G65" s="9">
        <f t="shared" si="1"/>
        <v>6.023070563348837E-6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0</v>
      </c>
      <c r="G66" s="9">
        <f t="shared" si="1"/>
        <v>0</v>
      </c>
    </row>
    <row r="67" spans="1:7" x14ac:dyDescent="0.25">
      <c r="A67">
        <v>56</v>
      </c>
      <c r="B67" s="6">
        <v>0</v>
      </c>
      <c r="C67" s="9">
        <f t="shared" si="0"/>
        <v>0</v>
      </c>
      <c r="E67" s="371">
        <v>56</v>
      </c>
      <c r="F67" s="371">
        <v>0.25</v>
      </c>
      <c r="G67" s="9">
        <f t="shared" si="1"/>
        <v>2.9844043331908626E-7</v>
      </c>
    </row>
    <row r="68" spans="1:7" x14ac:dyDescent="0.25">
      <c r="A68">
        <v>57</v>
      </c>
      <c r="B68" s="6">
        <v>0</v>
      </c>
      <c r="C68" s="9">
        <f t="shared" si="0"/>
        <v>0</v>
      </c>
      <c r="E68" s="371">
        <v>57</v>
      </c>
      <c r="F68" s="371">
        <v>5.0057306590257902</v>
      </c>
      <c r="G68" s="9">
        <f t="shared" si="1"/>
        <v>5.9756497078331679E-6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0</v>
      </c>
      <c r="G69" s="9">
        <f t="shared" si="1"/>
        <v>0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0</v>
      </c>
      <c r="G70" s="9">
        <f t="shared" si="1"/>
        <v>0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0</v>
      </c>
      <c r="G71" s="9">
        <f t="shared" si="1"/>
        <v>0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0</v>
      </c>
      <c r="G72" s="9">
        <f t="shared" si="1"/>
        <v>0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0</v>
      </c>
      <c r="G73" s="9">
        <f t="shared" si="1"/>
        <v>0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0</v>
      </c>
      <c r="G74" s="9">
        <f t="shared" si="1"/>
        <v>0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0</v>
      </c>
      <c r="G75" s="9">
        <f t="shared" si="1"/>
        <v>0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0</v>
      </c>
      <c r="G76" s="9">
        <f t="shared" si="1"/>
        <v>0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0</v>
      </c>
      <c r="G77" s="9">
        <f t="shared" ref="G77:G102" si="3">F77/F$102</f>
        <v>0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0</v>
      </c>
      <c r="G78" s="9">
        <f t="shared" si="3"/>
        <v>0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0</v>
      </c>
      <c r="G79" s="9">
        <f t="shared" si="3"/>
        <v>0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0</v>
      </c>
      <c r="G80" s="9">
        <f t="shared" si="3"/>
        <v>0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0</v>
      </c>
      <c r="G81" s="9">
        <f t="shared" si="3"/>
        <v>0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0</v>
      </c>
      <c r="G82" s="9">
        <f t="shared" si="3"/>
        <v>0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0</v>
      </c>
      <c r="G83" s="9">
        <f t="shared" si="3"/>
        <v>0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0</v>
      </c>
      <c r="G84" s="9">
        <f t="shared" si="3"/>
        <v>0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0</v>
      </c>
      <c r="G85" s="9">
        <f t="shared" si="3"/>
        <v>0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0</v>
      </c>
      <c r="G86" s="9">
        <f t="shared" si="3"/>
        <v>0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0</v>
      </c>
      <c r="G87" s="9">
        <f t="shared" si="3"/>
        <v>0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87.344125000000005</v>
      </c>
      <c r="C101" s="9">
        <f t="shared" si="2"/>
        <v>1.0019750883249092E-4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871719.52693974599</v>
      </c>
      <c r="C102" s="9">
        <f t="shared" si="2"/>
        <v>1</v>
      </c>
      <c r="F102" s="6">
        <f>SUM(F11:F101)</f>
        <v>837688.10150702752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0</v>
      </c>
      <c r="C11" s="9">
        <f>B11/B$102</f>
        <v>0</v>
      </c>
      <c r="E11" s="371">
        <v>0</v>
      </c>
      <c r="F11" s="371">
        <v>796.62005113110979</v>
      </c>
      <c r="G11" s="9">
        <f>F11/F$102</f>
        <v>9.5097453300096383E-4</v>
      </c>
      <c r="K11" s="6">
        <v>27.229507297567846</v>
      </c>
      <c r="L11" s="6">
        <v>21.065283280455901</v>
      </c>
    </row>
    <row r="12" spans="1:12" x14ac:dyDescent="0.25">
      <c r="A12">
        <v>1</v>
      </c>
      <c r="B12" s="6">
        <v>7110.0498099669994</v>
      </c>
      <c r="C12" s="9">
        <f>B12/B$102</f>
        <v>8.156350282673492E-3</v>
      </c>
      <c r="E12" s="371">
        <v>1</v>
      </c>
      <c r="F12" s="371">
        <v>16654.419555112854</v>
      </c>
      <c r="G12" s="9">
        <f>F12/F$102</f>
        <v>1.9881408754822968E-2</v>
      </c>
      <c r="K12" s="6"/>
      <c r="L12" s="371"/>
    </row>
    <row r="13" spans="1:12" x14ac:dyDescent="0.25">
      <c r="A13">
        <v>2</v>
      </c>
      <c r="B13" s="6">
        <v>5940.3858749999999</v>
      </c>
      <c r="C13" s="9">
        <f t="shared" ref="C13:C76" si="0">B13/B$102</f>
        <v>6.8145609813907559E-3</v>
      </c>
      <c r="E13" s="371">
        <v>2</v>
      </c>
      <c r="F13" s="371">
        <v>23001.552835449082</v>
      </c>
      <c r="G13" s="9">
        <f t="shared" ref="G13:G76" si="1">F13/F$102</f>
        <v>2.7458373580893113E-2</v>
      </c>
    </row>
    <row r="14" spans="1:12" x14ac:dyDescent="0.25">
      <c r="A14">
        <v>3</v>
      </c>
      <c r="B14" s="6">
        <v>12405.263875000001</v>
      </c>
      <c r="C14" s="9">
        <f t="shared" si="0"/>
        <v>1.4230797282412447E-2</v>
      </c>
      <c r="E14" s="371">
        <v>3</v>
      </c>
      <c r="F14" s="371">
        <v>27812.086938667053</v>
      </c>
      <c r="G14" s="9">
        <f t="shared" si="1"/>
        <v>3.3201005109935566E-2</v>
      </c>
    </row>
    <row r="15" spans="1:12" x14ac:dyDescent="0.25">
      <c r="A15">
        <v>4</v>
      </c>
      <c r="B15" s="6">
        <v>9398.8850198630007</v>
      </c>
      <c r="C15" s="9">
        <f t="shared" si="0"/>
        <v>1.0782005828019798E-2</v>
      </c>
      <c r="E15" s="371">
        <v>4</v>
      </c>
      <c r="F15" s="371">
        <v>29927.441205667456</v>
      </c>
      <c r="G15" s="9">
        <f t="shared" si="1"/>
        <v>3.5726234086203477E-2</v>
      </c>
    </row>
    <row r="16" spans="1:12" x14ac:dyDescent="0.25">
      <c r="A16">
        <v>5</v>
      </c>
      <c r="B16" s="6">
        <v>7768.9418596494997</v>
      </c>
      <c r="C16" s="9">
        <f t="shared" si="0"/>
        <v>8.9122035466190682E-3</v>
      </c>
      <c r="E16" s="371">
        <v>5</v>
      </c>
      <c r="F16" s="371">
        <v>30379.447037034224</v>
      </c>
      <c r="G16" s="9">
        <f t="shared" si="1"/>
        <v>3.6265821350906884E-2</v>
      </c>
    </row>
    <row r="17" spans="1:7" x14ac:dyDescent="0.25">
      <c r="A17">
        <v>6</v>
      </c>
      <c r="B17" s="6">
        <v>7600.1131034088003</v>
      </c>
      <c r="C17" s="9">
        <f t="shared" si="0"/>
        <v>8.7185302939005154E-3</v>
      </c>
      <c r="E17" s="371">
        <v>6</v>
      </c>
      <c r="F17" s="371">
        <v>29641.266402472877</v>
      </c>
      <c r="G17" s="9">
        <f t="shared" si="1"/>
        <v>3.5384609557121895E-2</v>
      </c>
    </row>
    <row r="18" spans="1:7" x14ac:dyDescent="0.25">
      <c r="A18">
        <v>7</v>
      </c>
      <c r="B18" s="6">
        <v>14197.309744598</v>
      </c>
      <c r="C18" s="9">
        <f t="shared" si="0"/>
        <v>1.628655697829668E-2</v>
      </c>
      <c r="E18" s="371">
        <v>7</v>
      </c>
      <c r="F18" s="371">
        <v>28177.8050140946</v>
      </c>
      <c r="G18" s="9">
        <f t="shared" si="1"/>
        <v>3.3637585353548438E-2</v>
      </c>
    </row>
    <row r="19" spans="1:7" x14ac:dyDescent="0.25">
      <c r="A19">
        <v>8</v>
      </c>
      <c r="B19" s="6">
        <v>3404.8727056370999</v>
      </c>
      <c r="C19" s="9">
        <f t="shared" si="0"/>
        <v>3.9059268496487954E-3</v>
      </c>
      <c r="E19" s="371">
        <v>8</v>
      </c>
      <c r="F19" s="371">
        <v>25522.356950419555</v>
      </c>
      <c r="G19" s="9">
        <f t="shared" si="1"/>
        <v>3.0467613070430406E-2</v>
      </c>
    </row>
    <row r="20" spans="1:7" x14ac:dyDescent="0.25">
      <c r="A20">
        <v>9</v>
      </c>
      <c r="B20" s="6">
        <v>12242.4308221423</v>
      </c>
      <c r="C20" s="9">
        <f t="shared" si="0"/>
        <v>1.404400204859528E-2</v>
      </c>
      <c r="E20" s="371">
        <v>9</v>
      </c>
      <c r="F20" s="371">
        <v>23678.7747867537</v>
      </c>
      <c r="G20" s="9">
        <f t="shared" si="1"/>
        <v>2.8266815231295303E-2</v>
      </c>
    </row>
    <row r="21" spans="1:7" x14ac:dyDescent="0.25">
      <c r="A21">
        <v>10</v>
      </c>
      <c r="B21" s="6">
        <v>7303.4503721597002</v>
      </c>
      <c r="C21" s="9">
        <f t="shared" si="0"/>
        <v>8.3782112783444881E-3</v>
      </c>
      <c r="E21" s="371">
        <v>10</v>
      </c>
      <c r="F21" s="371">
        <v>21179.713434248493</v>
      </c>
      <c r="G21" s="9">
        <f t="shared" si="1"/>
        <v>2.5283531419564759E-2</v>
      </c>
    </row>
    <row r="22" spans="1:7" x14ac:dyDescent="0.25">
      <c r="A22">
        <v>11</v>
      </c>
      <c r="B22" s="6">
        <v>14101.232282577999</v>
      </c>
      <c r="C22" s="9">
        <f t="shared" si="0"/>
        <v>1.6176340952326389E-2</v>
      </c>
      <c r="E22" s="371">
        <v>11</v>
      </c>
      <c r="F22" s="371">
        <v>18555.815030179256</v>
      </c>
      <c r="G22" s="9">
        <f t="shared" si="1"/>
        <v>2.2151221912782033E-2</v>
      </c>
    </row>
    <row r="23" spans="1:7" x14ac:dyDescent="0.25">
      <c r="A23">
        <v>12</v>
      </c>
      <c r="B23" s="6">
        <v>31133.246975920101</v>
      </c>
      <c r="C23" s="9">
        <f t="shared" si="0"/>
        <v>3.5714752295633805E-2</v>
      </c>
      <c r="E23" s="371">
        <v>12</v>
      </c>
      <c r="F23" s="371">
        <v>17638.233438831492</v>
      </c>
      <c r="G23" s="9">
        <f t="shared" si="1"/>
        <v>2.1055848121872261E-2</v>
      </c>
    </row>
    <row r="24" spans="1:7" x14ac:dyDescent="0.25">
      <c r="A24">
        <v>13</v>
      </c>
      <c r="B24" s="6">
        <v>9661.2575926610007</v>
      </c>
      <c r="C24" s="9">
        <f t="shared" si="0"/>
        <v>1.1082988615131477E-2</v>
      </c>
      <c r="E24" s="371">
        <v>13</v>
      </c>
      <c r="F24" s="371">
        <v>14921.187867236991</v>
      </c>
      <c r="G24" s="9">
        <f t="shared" si="1"/>
        <v>1.7812343090934792E-2</v>
      </c>
    </row>
    <row r="25" spans="1:7" x14ac:dyDescent="0.25">
      <c r="A25">
        <v>14</v>
      </c>
      <c r="B25" s="6">
        <v>14519.794074703001</v>
      </c>
      <c r="C25" s="9">
        <f t="shared" si="0"/>
        <v>1.6656497446691503E-2</v>
      </c>
      <c r="E25" s="371">
        <v>14</v>
      </c>
      <c r="F25" s="371">
        <v>13015.946737664262</v>
      </c>
      <c r="G25" s="9">
        <f t="shared" si="1"/>
        <v>1.5537939137786672E-2</v>
      </c>
    </row>
    <row r="26" spans="1:7" x14ac:dyDescent="0.25">
      <c r="A26">
        <v>15</v>
      </c>
      <c r="B26" s="6">
        <v>3368.3823033959998</v>
      </c>
      <c r="C26" s="9">
        <f t="shared" si="0"/>
        <v>3.8640665940122111E-3</v>
      </c>
      <c r="E26" s="371">
        <v>15</v>
      </c>
      <c r="F26" s="371">
        <v>13743.119271552896</v>
      </c>
      <c r="G26" s="9">
        <f t="shared" si="1"/>
        <v>1.6406009882232519E-2</v>
      </c>
    </row>
    <row r="27" spans="1:7" x14ac:dyDescent="0.25">
      <c r="A27">
        <v>16</v>
      </c>
      <c r="B27" s="6">
        <v>34406.984865845901</v>
      </c>
      <c r="C27" s="9">
        <f t="shared" si="0"/>
        <v>3.9470246796736198E-2</v>
      </c>
      <c r="E27" s="371">
        <v>16</v>
      </c>
      <c r="F27" s="371">
        <v>11794.099137171868</v>
      </c>
      <c r="G27" s="9">
        <f t="shared" si="1"/>
        <v>1.4079344228423329E-2</v>
      </c>
    </row>
    <row r="28" spans="1:7" x14ac:dyDescent="0.25">
      <c r="A28">
        <v>17</v>
      </c>
      <c r="B28" s="6">
        <v>15814.9717867568</v>
      </c>
      <c r="C28" s="9">
        <f t="shared" si="0"/>
        <v>1.8142270877281777E-2</v>
      </c>
      <c r="E28" s="371">
        <v>17</v>
      </c>
      <c r="F28" s="371">
        <v>11733.313913330949</v>
      </c>
      <c r="G28" s="9">
        <f t="shared" si="1"/>
        <v>1.4006781154253401E-2</v>
      </c>
    </row>
    <row r="29" spans="1:7" x14ac:dyDescent="0.25">
      <c r="A29">
        <v>18</v>
      </c>
      <c r="B29" s="6">
        <v>90240.6690296788</v>
      </c>
      <c r="C29" s="9">
        <f t="shared" si="0"/>
        <v>0.10352030239184527</v>
      </c>
      <c r="E29" s="371">
        <v>18</v>
      </c>
      <c r="F29" s="371">
        <v>102208.50111578434</v>
      </c>
      <c r="G29" s="9">
        <f t="shared" si="1"/>
        <v>0.12201259744755591</v>
      </c>
    </row>
    <row r="30" spans="1:7" x14ac:dyDescent="0.25">
      <c r="A30">
        <v>19</v>
      </c>
      <c r="B30" s="6">
        <v>32868.772191329299</v>
      </c>
      <c r="C30" s="9">
        <f t="shared" si="0"/>
        <v>3.7705673872785943E-2</v>
      </c>
      <c r="E30" s="371">
        <v>19</v>
      </c>
      <c r="F30" s="371">
        <v>27504.443300679719</v>
      </c>
      <c r="G30" s="9">
        <f t="shared" si="1"/>
        <v>3.2833751907420362E-2</v>
      </c>
    </row>
    <row r="31" spans="1:7" x14ac:dyDescent="0.25">
      <c r="A31">
        <v>20</v>
      </c>
      <c r="B31" s="6">
        <v>54635.120443828098</v>
      </c>
      <c r="C31" s="9">
        <f t="shared" si="0"/>
        <v>6.2675113675186189E-2</v>
      </c>
      <c r="E31" s="371">
        <v>20</v>
      </c>
      <c r="F31" s="371">
        <v>23557.342224811422</v>
      </c>
      <c r="G31" s="9">
        <f t="shared" si="1"/>
        <v>2.8121853685674901E-2</v>
      </c>
    </row>
    <row r="32" spans="1:7" x14ac:dyDescent="0.25">
      <c r="A32">
        <v>21</v>
      </c>
      <c r="B32" s="6">
        <v>38153.805107343498</v>
      </c>
      <c r="C32" s="9">
        <f t="shared" si="0"/>
        <v>4.3768441486318484E-2</v>
      </c>
      <c r="E32" s="371">
        <v>21</v>
      </c>
      <c r="F32" s="371">
        <v>34915.661564863811</v>
      </c>
      <c r="G32" s="9">
        <f t="shared" si="1"/>
        <v>4.1680980668162067E-2</v>
      </c>
    </row>
    <row r="33" spans="1:7" x14ac:dyDescent="0.25">
      <c r="A33">
        <v>22</v>
      </c>
      <c r="B33" s="6">
        <v>32414.434958815</v>
      </c>
      <c r="C33" s="9">
        <f t="shared" si="0"/>
        <v>3.7184477296968381E-2</v>
      </c>
      <c r="E33" s="371">
        <v>22</v>
      </c>
      <c r="F33" s="371">
        <v>29518.193208695815</v>
      </c>
      <c r="G33" s="9">
        <f t="shared" si="1"/>
        <v>3.5237689487998734E-2</v>
      </c>
    </row>
    <row r="34" spans="1:7" x14ac:dyDescent="0.25">
      <c r="A34">
        <v>23</v>
      </c>
      <c r="B34" s="6">
        <v>15008.6658807407</v>
      </c>
      <c r="C34" s="9">
        <f t="shared" si="0"/>
        <v>1.7217310633650763E-2</v>
      </c>
      <c r="E34" s="371">
        <v>23</v>
      </c>
      <c r="F34" s="371">
        <v>29448.803083770006</v>
      </c>
      <c r="G34" s="9">
        <f t="shared" si="1"/>
        <v>3.5154854212195039E-2</v>
      </c>
    </row>
    <row r="35" spans="1:7" x14ac:dyDescent="0.25">
      <c r="A35">
        <v>24</v>
      </c>
      <c r="B35" s="6">
        <v>31128.031524575101</v>
      </c>
      <c r="C35" s="9">
        <f t="shared" si="0"/>
        <v>3.5708769349073792E-2</v>
      </c>
      <c r="E35" s="371">
        <v>24</v>
      </c>
      <c r="F35" s="371">
        <v>24234.987514978995</v>
      </c>
      <c r="G35" s="9">
        <f t="shared" si="1"/>
        <v>2.8930800701811893E-2</v>
      </c>
    </row>
    <row r="36" spans="1:7" x14ac:dyDescent="0.25">
      <c r="A36">
        <v>25</v>
      </c>
      <c r="B36" s="6">
        <v>29682.135061495101</v>
      </c>
      <c r="C36" s="9">
        <f t="shared" si="0"/>
        <v>3.4050097702522569E-2</v>
      </c>
      <c r="E36" s="371">
        <v>25</v>
      </c>
      <c r="F36" s="371">
        <v>18019.487732887592</v>
      </c>
      <c r="G36" s="9">
        <f t="shared" si="1"/>
        <v>2.1510974908763719E-2</v>
      </c>
    </row>
    <row r="37" spans="1:7" x14ac:dyDescent="0.25">
      <c r="A37">
        <v>26</v>
      </c>
      <c r="B37" s="6">
        <v>65883.041373593805</v>
      </c>
      <c r="C37" s="9">
        <f t="shared" si="0"/>
        <v>7.5578255777844591E-2</v>
      </c>
      <c r="E37" s="371">
        <v>26</v>
      </c>
      <c r="F37" s="371">
        <v>20680.465582651865</v>
      </c>
      <c r="G37" s="9">
        <f t="shared" si="1"/>
        <v>2.4687548438908278E-2</v>
      </c>
    </row>
    <row r="38" spans="1:7" x14ac:dyDescent="0.25">
      <c r="A38">
        <v>27</v>
      </c>
      <c r="B38" s="6">
        <v>10172.155719594699</v>
      </c>
      <c r="C38" s="9">
        <f t="shared" si="0"/>
        <v>1.1669069471582237E-2</v>
      </c>
      <c r="E38" s="371">
        <v>27</v>
      </c>
      <c r="F38" s="371">
        <v>10777.787864298569</v>
      </c>
      <c r="G38" s="9">
        <f t="shared" si="1"/>
        <v>1.2866110721769811E-2</v>
      </c>
    </row>
    <row r="39" spans="1:7" x14ac:dyDescent="0.25">
      <c r="A39">
        <v>28</v>
      </c>
      <c r="B39" s="6">
        <v>18649.033094827999</v>
      </c>
      <c r="C39" s="9">
        <f t="shared" si="0"/>
        <v>2.1393386884766937E-2</v>
      </c>
      <c r="E39" s="371">
        <v>28</v>
      </c>
      <c r="F39" s="371">
        <v>15163.66134567599</v>
      </c>
      <c r="G39" s="9">
        <f t="shared" si="1"/>
        <v>1.8101798650829677E-2</v>
      </c>
    </row>
    <row r="40" spans="1:7" x14ac:dyDescent="0.25">
      <c r="A40">
        <v>29</v>
      </c>
      <c r="B40" s="6">
        <v>15265.4231899969</v>
      </c>
      <c r="C40" s="9">
        <f t="shared" si="0"/>
        <v>1.7511851826455715E-2</v>
      </c>
      <c r="E40" s="371">
        <v>29</v>
      </c>
      <c r="F40" s="371">
        <v>12168.782301766445</v>
      </c>
      <c r="G40" s="9">
        <f t="shared" si="1"/>
        <v>1.4526626652419217E-2</v>
      </c>
    </row>
    <row r="41" spans="1:7" x14ac:dyDescent="0.25">
      <c r="A41">
        <v>30</v>
      </c>
      <c r="B41" s="6">
        <v>15834.1694981826</v>
      </c>
      <c r="C41" s="9">
        <f t="shared" si="0"/>
        <v>1.8164293684885039E-2</v>
      </c>
      <c r="E41" s="371">
        <v>30</v>
      </c>
      <c r="F41" s="371">
        <v>10275.78406240512</v>
      </c>
      <c r="G41" s="9">
        <f t="shared" si="1"/>
        <v>1.2266837793110174E-2</v>
      </c>
    </row>
    <row r="42" spans="1:7" x14ac:dyDescent="0.25">
      <c r="A42">
        <v>31</v>
      </c>
      <c r="B42" s="6">
        <v>13341.339103737</v>
      </c>
      <c r="C42" s="9">
        <f t="shared" si="0"/>
        <v>1.5304623438427537E-2</v>
      </c>
      <c r="E42" s="371">
        <v>31</v>
      </c>
      <c r="F42" s="371">
        <v>9874.027715895947</v>
      </c>
      <c r="G42" s="9">
        <f t="shared" si="1"/>
        <v>1.1787236440546611E-2</v>
      </c>
    </row>
    <row r="43" spans="1:7" x14ac:dyDescent="0.25">
      <c r="A43">
        <v>32</v>
      </c>
      <c r="B43" s="6">
        <v>5775.8287331450001</v>
      </c>
      <c r="C43" s="9">
        <f t="shared" si="0"/>
        <v>6.6257879451451489E-3</v>
      </c>
      <c r="E43" s="371">
        <v>32</v>
      </c>
      <c r="F43" s="371">
        <v>7470.1968163123765</v>
      </c>
      <c r="G43" s="9">
        <f t="shared" si="1"/>
        <v>8.9176350993564937E-3</v>
      </c>
    </row>
    <row r="44" spans="1:7" x14ac:dyDescent="0.25">
      <c r="A44">
        <v>33</v>
      </c>
      <c r="B44" s="6">
        <v>9175.1486805087006</v>
      </c>
      <c r="C44" s="9">
        <f t="shared" si="0"/>
        <v>1.0525344903903817E-2</v>
      </c>
      <c r="E44" s="371">
        <v>33</v>
      </c>
      <c r="F44" s="371">
        <v>11178.890134463392</v>
      </c>
      <c r="G44" s="9">
        <f t="shared" si="1"/>
        <v>1.3344931263022847E-2</v>
      </c>
    </row>
    <row r="45" spans="1:7" x14ac:dyDescent="0.25">
      <c r="A45">
        <v>34</v>
      </c>
      <c r="B45" s="6">
        <v>19789.518047235601</v>
      </c>
      <c r="C45" s="9">
        <f t="shared" si="0"/>
        <v>2.2701703283748365E-2</v>
      </c>
      <c r="E45" s="371">
        <v>34</v>
      </c>
      <c r="F45" s="371">
        <v>7981.4165598531126</v>
      </c>
      <c r="G45" s="9">
        <f t="shared" si="1"/>
        <v>9.5279096664907699E-3</v>
      </c>
    </row>
    <row r="46" spans="1:7" x14ac:dyDescent="0.25">
      <c r="A46">
        <v>35</v>
      </c>
      <c r="B46" s="6">
        <v>4831.1116492481005</v>
      </c>
      <c r="C46" s="9">
        <f t="shared" si="0"/>
        <v>5.5420482161368766E-3</v>
      </c>
      <c r="E46" s="371">
        <v>35</v>
      </c>
      <c r="F46" s="371">
        <v>5385.8570158304083</v>
      </c>
      <c r="G46" s="9">
        <f t="shared" si="1"/>
        <v>6.4294300063962688E-3</v>
      </c>
    </row>
    <row r="47" spans="1:7" x14ac:dyDescent="0.25">
      <c r="A47">
        <v>36</v>
      </c>
      <c r="B47" s="6">
        <v>5120.3525502020002</v>
      </c>
      <c r="C47" s="9">
        <f t="shared" si="0"/>
        <v>5.8738532199427533E-3</v>
      </c>
      <c r="E47" s="371">
        <v>36</v>
      </c>
      <c r="F47" s="371">
        <v>5162.5276378533108</v>
      </c>
      <c r="G47" s="9">
        <f t="shared" si="1"/>
        <v>6.1628279410508007E-3</v>
      </c>
    </row>
    <row r="48" spans="1:7" x14ac:dyDescent="0.25">
      <c r="A48">
        <v>37</v>
      </c>
      <c r="B48" s="6">
        <v>10341.908245021001</v>
      </c>
      <c r="C48" s="9">
        <f t="shared" si="0"/>
        <v>1.1863802433481388E-2</v>
      </c>
      <c r="E48" s="371">
        <v>37</v>
      </c>
      <c r="F48" s="371">
        <v>3860.2300350796377</v>
      </c>
      <c r="G48" s="9">
        <f t="shared" si="1"/>
        <v>4.6081948975220726E-3</v>
      </c>
    </row>
    <row r="49" spans="1:7" x14ac:dyDescent="0.25">
      <c r="A49">
        <v>38</v>
      </c>
      <c r="B49" s="6">
        <v>14109.4155229302</v>
      </c>
      <c r="C49" s="9">
        <f t="shared" si="0"/>
        <v>1.6185728421689305E-2</v>
      </c>
      <c r="E49" s="371">
        <v>38</v>
      </c>
      <c r="F49" s="371">
        <v>4412.2866174983601</v>
      </c>
      <c r="G49" s="9">
        <f t="shared" si="1"/>
        <v>5.2672189202168616E-3</v>
      </c>
    </row>
    <row r="50" spans="1:7" x14ac:dyDescent="0.25">
      <c r="A50">
        <v>39</v>
      </c>
      <c r="B50" s="6">
        <v>2853.7853158464</v>
      </c>
      <c r="C50" s="9">
        <f t="shared" si="0"/>
        <v>3.2737425601384474E-3</v>
      </c>
      <c r="E50" s="371">
        <v>39</v>
      </c>
      <c r="F50" s="371">
        <v>3711.5968887576405</v>
      </c>
      <c r="G50" s="9">
        <f t="shared" si="1"/>
        <v>4.4307623351464084E-3</v>
      </c>
    </row>
    <row r="51" spans="1:7" x14ac:dyDescent="0.25">
      <c r="A51">
        <v>40</v>
      </c>
      <c r="B51" s="6">
        <v>984.8458708764</v>
      </c>
      <c r="C51" s="9">
        <f t="shared" si="0"/>
        <v>1.1297737866831949E-3</v>
      </c>
      <c r="E51" s="371">
        <v>40</v>
      </c>
      <c r="F51" s="371">
        <v>3725.1498584444912</v>
      </c>
      <c r="G51" s="9">
        <f t="shared" si="1"/>
        <v>4.4469413517308253E-3</v>
      </c>
    </row>
    <row r="52" spans="1:7" x14ac:dyDescent="0.25">
      <c r="A52">
        <v>41</v>
      </c>
      <c r="B52" s="6">
        <v>7230.8563749999994</v>
      </c>
      <c r="C52" s="9">
        <f t="shared" si="0"/>
        <v>8.2949344961728774E-3</v>
      </c>
      <c r="E52" s="371">
        <v>41</v>
      </c>
      <c r="F52" s="371">
        <v>3030.3977007327094</v>
      </c>
      <c r="G52" s="9">
        <f t="shared" si="1"/>
        <v>3.6175728117433283E-3</v>
      </c>
    </row>
    <row r="53" spans="1:7" x14ac:dyDescent="0.25">
      <c r="A53">
        <v>42</v>
      </c>
      <c r="B53" s="6">
        <v>1569.2471209810001</v>
      </c>
      <c r="C53" s="9">
        <f t="shared" si="0"/>
        <v>1.8001743364519905E-3</v>
      </c>
      <c r="E53" s="371">
        <v>42</v>
      </c>
      <c r="F53" s="371">
        <v>2184.1360718812575</v>
      </c>
      <c r="G53" s="9">
        <f t="shared" si="1"/>
        <v>2.6073380628803566E-3</v>
      </c>
    </row>
    <row r="54" spans="1:7" x14ac:dyDescent="0.25">
      <c r="A54">
        <v>43</v>
      </c>
      <c r="B54" s="6">
        <v>1173.021376812</v>
      </c>
      <c r="C54" s="9">
        <f t="shared" si="0"/>
        <v>1.3456408174427419E-3</v>
      </c>
      <c r="E54" s="371">
        <v>43</v>
      </c>
      <c r="F54" s="371">
        <v>2754.2261604718974</v>
      </c>
      <c r="G54" s="9">
        <f t="shared" si="1"/>
        <v>3.2878897951599834E-3</v>
      </c>
    </row>
    <row r="55" spans="1:7" x14ac:dyDescent="0.25">
      <c r="A55">
        <v>44</v>
      </c>
      <c r="B55" s="6">
        <v>1196.801803842</v>
      </c>
      <c r="C55" s="9">
        <f t="shared" si="0"/>
        <v>1.3729207237601828E-3</v>
      </c>
      <c r="E55" s="371">
        <v>44</v>
      </c>
      <c r="F55" s="371">
        <v>2003.2096130163736</v>
      </c>
      <c r="G55" s="9">
        <f t="shared" si="1"/>
        <v>2.3913549797502614E-3</v>
      </c>
    </row>
    <row r="56" spans="1:7" x14ac:dyDescent="0.25">
      <c r="A56">
        <v>45</v>
      </c>
      <c r="B56" s="6">
        <v>37424.629805928998</v>
      </c>
      <c r="C56" s="9">
        <f t="shared" si="0"/>
        <v>4.2931962230227549E-2</v>
      </c>
      <c r="E56" s="371">
        <v>45</v>
      </c>
      <c r="F56" s="371">
        <v>2391.0130543402493</v>
      </c>
      <c r="G56" s="9">
        <f t="shared" si="1"/>
        <v>2.8542998880355824E-3</v>
      </c>
    </row>
    <row r="57" spans="1:7" x14ac:dyDescent="0.25">
      <c r="A57">
        <v>46</v>
      </c>
      <c r="B57" s="6">
        <v>5549.7718228020003</v>
      </c>
      <c r="C57" s="9">
        <f t="shared" si="0"/>
        <v>6.3664649595323404E-3</v>
      </c>
      <c r="E57" s="371">
        <v>46</v>
      </c>
      <c r="F57" s="371">
        <v>2308.6440872161606</v>
      </c>
      <c r="G57" s="9">
        <f t="shared" si="1"/>
        <v>2.755970967073348E-3</v>
      </c>
    </row>
    <row r="58" spans="1:7" x14ac:dyDescent="0.25">
      <c r="A58">
        <v>47</v>
      </c>
      <c r="B58" s="6">
        <v>4244.0999746710004</v>
      </c>
      <c r="C58" s="9">
        <f t="shared" si="0"/>
        <v>4.868653097138154E-3</v>
      </c>
      <c r="E58" s="371">
        <v>47</v>
      </c>
      <c r="F58" s="371">
        <v>2079.5064172556404</v>
      </c>
      <c r="G58" s="9">
        <f t="shared" si="1"/>
        <v>2.4824351850223744E-3</v>
      </c>
    </row>
    <row r="59" spans="1:7" x14ac:dyDescent="0.25">
      <c r="A59">
        <v>48</v>
      </c>
      <c r="B59" s="6">
        <v>2507.5978658700001</v>
      </c>
      <c r="C59" s="9">
        <f t="shared" si="0"/>
        <v>2.8766108689490533E-3</v>
      </c>
      <c r="E59" s="371">
        <v>48</v>
      </c>
      <c r="F59" s="371">
        <v>1805.6057650340108</v>
      </c>
      <c r="G59" s="9">
        <f t="shared" si="1"/>
        <v>2.1554630676807606E-3</v>
      </c>
    </row>
    <row r="60" spans="1:7" x14ac:dyDescent="0.25">
      <c r="A60">
        <v>49</v>
      </c>
      <c r="B60" s="6">
        <v>1084.3412803030001</v>
      </c>
      <c r="C60" s="9">
        <f t="shared" si="0"/>
        <v>1.2439107382505048E-3</v>
      </c>
      <c r="E60" s="371">
        <v>49</v>
      </c>
      <c r="F60" s="371">
        <v>2611.3746530659832</v>
      </c>
      <c r="G60" s="9">
        <f t="shared" si="1"/>
        <v>3.1173591320779611E-3</v>
      </c>
    </row>
    <row r="61" spans="1:7" x14ac:dyDescent="0.25">
      <c r="A61">
        <v>50</v>
      </c>
      <c r="B61" s="6">
        <v>354.40837499999998</v>
      </c>
      <c r="C61" s="9">
        <f t="shared" si="0"/>
        <v>4.0656239082332386E-4</v>
      </c>
      <c r="E61" s="371">
        <v>50</v>
      </c>
      <c r="F61" s="371">
        <v>1398.9252331570392</v>
      </c>
      <c r="G61" s="9">
        <f t="shared" si="1"/>
        <v>1.6699834110575616E-3</v>
      </c>
    </row>
    <row r="62" spans="1:7" x14ac:dyDescent="0.25">
      <c r="A62">
        <v>51</v>
      </c>
      <c r="B62" s="6">
        <v>1425.581625</v>
      </c>
      <c r="C62" s="9">
        <f t="shared" si="0"/>
        <v>1.6353673182068545E-3</v>
      </c>
      <c r="E62" s="371">
        <v>51</v>
      </c>
      <c r="F62" s="371">
        <v>1284.9690348239421</v>
      </c>
      <c r="G62" s="9">
        <f t="shared" si="1"/>
        <v>1.5339468622178607E-3</v>
      </c>
    </row>
    <row r="63" spans="1:7" x14ac:dyDescent="0.25">
      <c r="A63">
        <v>52</v>
      </c>
      <c r="B63" s="6">
        <v>1095.81675</v>
      </c>
      <c r="C63" s="9">
        <f t="shared" si="0"/>
        <v>1.2570749147342937E-3</v>
      </c>
      <c r="E63" s="371">
        <v>52</v>
      </c>
      <c r="F63" s="371">
        <v>1177.5619435334854</v>
      </c>
      <c r="G63" s="9">
        <f t="shared" si="1"/>
        <v>1.4057283867527945E-3</v>
      </c>
    </row>
    <row r="64" spans="1:7" x14ac:dyDescent="0.25">
      <c r="A64">
        <v>53</v>
      </c>
      <c r="B64" s="6">
        <v>0</v>
      </c>
      <c r="C64" s="9">
        <f t="shared" si="0"/>
        <v>0</v>
      </c>
      <c r="E64" s="371">
        <v>53</v>
      </c>
      <c r="F64" s="371">
        <v>1270.8008092958705</v>
      </c>
      <c r="G64" s="9">
        <f t="shared" si="1"/>
        <v>1.5170333767540198E-3</v>
      </c>
    </row>
    <row r="65" spans="1:7" x14ac:dyDescent="0.25">
      <c r="A65">
        <v>54</v>
      </c>
      <c r="B65" s="6">
        <v>2105.130729518</v>
      </c>
      <c r="C65" s="9">
        <f t="shared" si="0"/>
        <v>2.4149174871741846E-3</v>
      </c>
      <c r="E65" s="371">
        <v>54</v>
      </c>
      <c r="F65" s="371">
        <v>1101.9836517038093</v>
      </c>
      <c r="G65" s="9">
        <f t="shared" si="1"/>
        <v>1.315505914100135E-3</v>
      </c>
    </row>
    <row r="66" spans="1:7" x14ac:dyDescent="0.25">
      <c r="A66">
        <v>55</v>
      </c>
      <c r="B66" s="6">
        <v>3268.7179253700001</v>
      </c>
      <c r="C66" s="9">
        <f t="shared" si="0"/>
        <v>3.749735808769989E-3</v>
      </c>
      <c r="E66" s="371">
        <v>55</v>
      </c>
      <c r="F66" s="371">
        <v>943.62974711879701</v>
      </c>
      <c r="G66" s="9">
        <f t="shared" si="1"/>
        <v>1.1264690824916539E-3</v>
      </c>
    </row>
    <row r="67" spans="1:7" x14ac:dyDescent="0.25">
      <c r="A67">
        <v>56</v>
      </c>
      <c r="B67" s="6">
        <v>0</v>
      </c>
      <c r="C67" s="9">
        <f t="shared" si="0"/>
        <v>0</v>
      </c>
      <c r="E67" s="371">
        <v>56</v>
      </c>
      <c r="F67" s="371">
        <v>926.29372630955993</v>
      </c>
      <c r="G67" s="9">
        <f t="shared" si="1"/>
        <v>1.1057740042423041E-3</v>
      </c>
    </row>
    <row r="68" spans="1:7" x14ac:dyDescent="0.25">
      <c r="A68">
        <v>57</v>
      </c>
      <c r="B68" s="6">
        <v>0</v>
      </c>
      <c r="C68" s="9">
        <f t="shared" si="0"/>
        <v>0</v>
      </c>
      <c r="E68" s="371">
        <v>57</v>
      </c>
      <c r="F68" s="371">
        <v>705.50724847324113</v>
      </c>
      <c r="G68" s="9">
        <f t="shared" si="1"/>
        <v>8.4220755577644102E-4</v>
      </c>
    </row>
    <row r="69" spans="1:7" x14ac:dyDescent="0.25">
      <c r="A69">
        <v>58</v>
      </c>
      <c r="B69" s="6">
        <v>15.92375</v>
      </c>
      <c r="C69" s="9">
        <f t="shared" si="0"/>
        <v>1.8267056671200007E-5</v>
      </c>
      <c r="E69" s="371">
        <v>58</v>
      </c>
      <c r="F69" s="371">
        <v>1027.5284064467578</v>
      </c>
      <c r="G69" s="9">
        <f t="shared" si="1"/>
        <v>1.2266240914705618E-3</v>
      </c>
    </row>
    <row r="70" spans="1:7" x14ac:dyDescent="0.25">
      <c r="A70">
        <v>59</v>
      </c>
      <c r="B70" s="6">
        <v>651.29421787699994</v>
      </c>
      <c r="C70" s="9">
        <f t="shared" si="0"/>
        <v>7.4713735066074527E-4</v>
      </c>
      <c r="E70" s="371">
        <v>59</v>
      </c>
      <c r="F70" s="371">
        <v>757.7799639016182</v>
      </c>
      <c r="G70" s="9">
        <f t="shared" si="1"/>
        <v>9.0460872314928155E-4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722.37561838320312</v>
      </c>
      <c r="G71" s="9">
        <f t="shared" si="1"/>
        <v>8.623443702777037E-4</v>
      </c>
    </row>
    <row r="72" spans="1:7" x14ac:dyDescent="0.25">
      <c r="A72">
        <v>61</v>
      </c>
      <c r="B72" s="6">
        <v>6072.2657120415997</v>
      </c>
      <c r="C72" s="9">
        <f t="shared" si="0"/>
        <v>6.9658479870915186E-3</v>
      </c>
      <c r="E72" s="371">
        <v>61</v>
      </c>
      <c r="F72" s="371">
        <v>790.74479843174117</v>
      </c>
      <c r="G72" s="9">
        <f t="shared" si="1"/>
        <v>9.4396088115512899E-4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633.87975076650878</v>
      </c>
      <c r="G73" s="9">
        <f t="shared" si="1"/>
        <v>7.5670138996380477E-4</v>
      </c>
    </row>
    <row r="74" spans="1:7" x14ac:dyDescent="0.25">
      <c r="A74">
        <v>63</v>
      </c>
      <c r="B74" s="6">
        <v>5.16</v>
      </c>
      <c r="C74" s="9">
        <f t="shared" si="0"/>
        <v>5.9193351078352801E-6</v>
      </c>
      <c r="E74" s="371">
        <v>63</v>
      </c>
      <c r="F74" s="371">
        <v>597.44179308886908</v>
      </c>
      <c r="G74" s="9">
        <f t="shared" si="1"/>
        <v>7.1320315044949556E-4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678.73700933459099</v>
      </c>
      <c r="G75" s="9">
        <f t="shared" si="1"/>
        <v>8.1025026870206374E-4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653.99937569540316</v>
      </c>
      <c r="G76" s="9">
        <f t="shared" si="1"/>
        <v>7.8071942829179171E-4</v>
      </c>
    </row>
    <row r="77" spans="1:7" x14ac:dyDescent="0.25">
      <c r="A77">
        <v>66</v>
      </c>
      <c r="B77" s="6">
        <v>1427.7280852700001</v>
      </c>
      <c r="C77" s="9">
        <f t="shared" ref="C77:C102" si="2">B77/B$102</f>
        <v>1.6378296472056499E-3</v>
      </c>
      <c r="E77" s="371">
        <v>66</v>
      </c>
      <c r="F77" s="371">
        <v>550.62017057599621</v>
      </c>
      <c r="G77" s="9">
        <f t="shared" ref="G77:G102" si="3">F77/F$102</f>
        <v>6.5730928920371774E-4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492.58966460185121</v>
      </c>
      <c r="G78" s="9">
        <f t="shared" si="3"/>
        <v>5.8803469180911908E-4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546.92295315336423</v>
      </c>
      <c r="G79" s="9">
        <f t="shared" si="3"/>
        <v>6.5289569252497705E-4</v>
      </c>
    </row>
    <row r="80" spans="1:7" x14ac:dyDescent="0.25">
      <c r="A80">
        <v>69</v>
      </c>
      <c r="B80" s="6">
        <v>1036.537015762</v>
      </c>
      <c r="C80" s="9">
        <f t="shared" si="2"/>
        <v>1.1890716953431818E-3</v>
      </c>
      <c r="E80" s="371">
        <v>69</v>
      </c>
      <c r="F80" s="371">
        <v>430.17783222062911</v>
      </c>
      <c r="G80" s="9">
        <f t="shared" si="3"/>
        <v>5.1352983460875871E-4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421.04678293243518</v>
      </c>
      <c r="G81" s="9">
        <f t="shared" si="3"/>
        <v>5.0262953738385257E-4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366.42807419686937</v>
      </c>
      <c r="G82" s="9">
        <f t="shared" si="3"/>
        <v>4.3742781297436773E-4</v>
      </c>
    </row>
    <row r="83" spans="1:7" x14ac:dyDescent="0.25">
      <c r="A83">
        <v>72</v>
      </c>
      <c r="B83" s="6">
        <v>3300.7833570129001</v>
      </c>
      <c r="C83" s="9">
        <f t="shared" si="2"/>
        <v>3.7865199241327234E-3</v>
      </c>
      <c r="E83" s="371">
        <v>72</v>
      </c>
      <c r="F83" s="371">
        <v>519.92570831416572</v>
      </c>
      <c r="G83" s="9">
        <f t="shared" si="3"/>
        <v>6.2066741473204958E-4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463.73493421821149</v>
      </c>
      <c r="G84" s="9">
        <f t="shared" si="3"/>
        <v>5.5358901885312376E-4</v>
      </c>
    </row>
    <row r="85" spans="1:7" x14ac:dyDescent="0.25">
      <c r="A85">
        <v>74</v>
      </c>
      <c r="B85" s="6">
        <v>1126.4958750000001</v>
      </c>
      <c r="C85" s="9">
        <f t="shared" si="2"/>
        <v>1.2922687173874271E-3</v>
      </c>
      <c r="E85" s="371">
        <v>74</v>
      </c>
      <c r="F85" s="371">
        <v>483.78349170181644</v>
      </c>
      <c r="G85" s="9">
        <f t="shared" si="3"/>
        <v>5.7752221958444244E-4</v>
      </c>
    </row>
    <row r="86" spans="1:7" x14ac:dyDescent="0.25">
      <c r="A86">
        <v>75</v>
      </c>
      <c r="B86" s="6">
        <v>970.90349999999989</v>
      </c>
      <c r="C86" s="9">
        <f t="shared" si="2"/>
        <v>1.1137796848585562E-3</v>
      </c>
      <c r="E86" s="371">
        <v>75</v>
      </c>
      <c r="F86" s="371">
        <v>343.41797585489041</v>
      </c>
      <c r="G86" s="9">
        <f t="shared" si="3"/>
        <v>4.0995923809478781E-4</v>
      </c>
    </row>
    <row r="87" spans="1:7" x14ac:dyDescent="0.25">
      <c r="A87">
        <v>76</v>
      </c>
      <c r="B87" s="6">
        <v>2431.2752164839999</v>
      </c>
      <c r="C87" s="9">
        <f t="shared" si="2"/>
        <v>2.789056733671233E-3</v>
      </c>
      <c r="E87" s="371">
        <v>76</v>
      </c>
      <c r="F87" s="371">
        <v>311.38452036172225</v>
      </c>
      <c r="G87" s="9">
        <f t="shared" si="3"/>
        <v>3.7171892474243274E-4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288.63193695759304</v>
      </c>
      <c r="G88" s="9">
        <f t="shared" si="3"/>
        <v>3.4455776134140485E-4</v>
      </c>
    </row>
    <row r="89" spans="1:7" x14ac:dyDescent="0.25">
      <c r="A89">
        <v>78</v>
      </c>
      <c r="B89" s="6">
        <v>265.77887500000003</v>
      </c>
      <c r="C89" s="9">
        <f t="shared" si="2"/>
        <v>3.0489035381946986E-4</v>
      </c>
      <c r="E89" s="371">
        <v>78</v>
      </c>
      <c r="F89" s="371">
        <v>325.30268470173786</v>
      </c>
      <c r="G89" s="9">
        <f t="shared" si="3"/>
        <v>3.8833389672899481E-4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284.23638177586554</v>
      </c>
      <c r="G90" s="9">
        <f t="shared" si="3"/>
        <v>3.3931051576895402E-4</v>
      </c>
    </row>
    <row r="91" spans="1:7" x14ac:dyDescent="0.25">
      <c r="A91">
        <v>80</v>
      </c>
      <c r="B91" s="6">
        <v>8712.4361622050001</v>
      </c>
      <c r="C91" s="9">
        <f t="shared" si="2"/>
        <v>9.9945405522701026E-3</v>
      </c>
      <c r="E91" s="371">
        <v>80</v>
      </c>
      <c r="F91" s="371">
        <v>188.26519846318095</v>
      </c>
      <c r="G91" s="9">
        <f t="shared" si="3"/>
        <v>2.2474378963302188E-4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263.03747031441804</v>
      </c>
      <c r="G92" s="9">
        <f t="shared" si="3"/>
        <v>3.1400406647916467E-4</v>
      </c>
    </row>
    <row r="93" spans="1:7" x14ac:dyDescent="0.25">
      <c r="A93">
        <v>82</v>
      </c>
      <c r="B93" s="6">
        <v>1587.0622499999999</v>
      </c>
      <c r="C93" s="9">
        <f t="shared" si="2"/>
        <v>1.8206111036327621E-3</v>
      </c>
      <c r="E93" s="371">
        <v>82</v>
      </c>
      <c r="F93" s="371">
        <v>311.22882324899223</v>
      </c>
      <c r="G93" s="9">
        <f t="shared" si="3"/>
        <v>3.71533059487274E-4</v>
      </c>
    </row>
    <row r="94" spans="1:7" x14ac:dyDescent="0.25">
      <c r="A94">
        <v>83</v>
      </c>
      <c r="B94" s="6">
        <v>21.551250000000003</v>
      </c>
      <c r="C94" s="9">
        <f t="shared" si="2"/>
        <v>2.4722688128437036E-5</v>
      </c>
      <c r="E94" s="371">
        <v>83</v>
      </c>
      <c r="F94" s="371">
        <v>253.65327883824614</v>
      </c>
      <c r="G94" s="9">
        <f t="shared" si="3"/>
        <v>3.0280157779717263E-4</v>
      </c>
    </row>
    <row r="95" spans="1:7" x14ac:dyDescent="0.25">
      <c r="A95">
        <v>84</v>
      </c>
      <c r="B95" s="6">
        <v>736.19201707640002</v>
      </c>
      <c r="C95" s="9">
        <f t="shared" si="2"/>
        <v>8.4452853736209394E-4</v>
      </c>
      <c r="E95" s="371">
        <v>84</v>
      </c>
      <c r="F95" s="371">
        <v>272.02061689142118</v>
      </c>
      <c r="G95" s="9">
        <f t="shared" si="3"/>
        <v>3.2472780310720343E-4</v>
      </c>
    </row>
    <row r="96" spans="1:7" x14ac:dyDescent="0.25">
      <c r="A96">
        <v>85</v>
      </c>
      <c r="B96" s="6">
        <v>176.44969851299999</v>
      </c>
      <c r="C96" s="9">
        <f t="shared" si="2"/>
        <v>2.024156773594867E-4</v>
      </c>
      <c r="E96" s="371">
        <v>85</v>
      </c>
      <c r="F96" s="371">
        <v>336.09311927066352</v>
      </c>
      <c r="G96" s="9">
        <f t="shared" si="3"/>
        <v>4.0121510460280045E-4</v>
      </c>
    </row>
    <row r="97" spans="1:7" x14ac:dyDescent="0.25">
      <c r="A97">
        <v>86</v>
      </c>
      <c r="B97" s="6">
        <v>339.70612499999999</v>
      </c>
      <c r="C97" s="9">
        <f t="shared" si="2"/>
        <v>3.8969658760836824E-4</v>
      </c>
      <c r="E97" s="371">
        <v>86</v>
      </c>
      <c r="F97" s="371">
        <v>209.40503653717238</v>
      </c>
      <c r="G97" s="9">
        <f t="shared" si="3"/>
        <v>2.4997971937341115E-4</v>
      </c>
    </row>
    <row r="98" spans="1:7" x14ac:dyDescent="0.25">
      <c r="A98">
        <v>87</v>
      </c>
      <c r="B98" s="6">
        <v>143.19399999999999</v>
      </c>
      <c r="C98" s="9">
        <f t="shared" si="2"/>
        <v>1.6426613787429555E-4</v>
      </c>
      <c r="E98" s="371">
        <v>87</v>
      </c>
      <c r="F98" s="371">
        <v>216.39984801849923</v>
      </c>
      <c r="G98" s="9">
        <f t="shared" si="3"/>
        <v>2.5832985765130117E-4</v>
      </c>
    </row>
    <row r="99" spans="1:7" x14ac:dyDescent="0.25">
      <c r="A99">
        <v>88</v>
      </c>
      <c r="B99" s="6">
        <v>195.04500000000002</v>
      </c>
      <c r="C99" s="9">
        <f t="shared" si="2"/>
        <v>2.2374742560227369E-4</v>
      </c>
      <c r="E99" s="371">
        <v>88</v>
      </c>
      <c r="F99" s="371">
        <v>202.93887101056964</v>
      </c>
      <c r="G99" s="9">
        <f t="shared" si="3"/>
        <v>2.4226065840672213E-4</v>
      </c>
    </row>
    <row r="100" spans="1:7" x14ac:dyDescent="0.25">
      <c r="A100">
        <v>89</v>
      </c>
      <c r="B100" s="6">
        <v>3248.2986652650002</v>
      </c>
      <c r="C100" s="9">
        <f t="shared" si="2"/>
        <v>3.7263116918677514E-3</v>
      </c>
      <c r="E100" s="371">
        <v>89</v>
      </c>
      <c r="F100" s="371">
        <v>175.98831913853027</v>
      </c>
      <c r="G100" s="9">
        <f t="shared" si="3"/>
        <v>2.1008812089120236E-4</v>
      </c>
    </row>
    <row r="101" spans="1:7" ht="15.75" thickBot="1" x14ac:dyDescent="0.3">
      <c r="A101" s="1">
        <v>90</v>
      </c>
      <c r="B101" s="7">
        <v>22389.139474102802</v>
      </c>
      <c r="C101" s="9">
        <f t="shared" si="2"/>
        <v>2.5683879713813456E-2</v>
      </c>
      <c r="E101" s="372">
        <v>90</v>
      </c>
      <c r="F101" s="372">
        <v>14181.316389972979</v>
      </c>
      <c r="G101" s="9">
        <f t="shared" si="3"/>
        <v>1.6929112833834376E-2</v>
      </c>
    </row>
    <row r="102" spans="1:7" x14ac:dyDescent="0.25">
      <c r="B102" s="6">
        <f>SUM(B11:B101)</f>
        <v>871719.52693974588</v>
      </c>
      <c r="C102" s="9">
        <f t="shared" si="2"/>
        <v>1</v>
      </c>
      <c r="F102" s="6">
        <f>SUM(F11:F101)</f>
        <v>837688.10150702787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02"/>
  <sheetViews>
    <sheetView workbookViewId="0">
      <selection activeCell="K11" sqref="K11:L11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41036.614451481197</v>
      </c>
      <c r="C11" s="9">
        <f>B11/B$102</f>
        <v>3.3002917508857768E-2</v>
      </c>
      <c r="E11" s="371">
        <v>0</v>
      </c>
      <c r="F11" s="371">
        <v>179629.58076616118</v>
      </c>
      <c r="G11" s="9">
        <f>F11/F$102</f>
        <v>0.1451556796250083</v>
      </c>
      <c r="K11" s="6">
        <v>6.8939569474179567</v>
      </c>
      <c r="L11" s="6">
        <v>6.5170439117178942</v>
      </c>
    </row>
    <row r="12" spans="1:12" x14ac:dyDescent="0.25">
      <c r="A12">
        <v>1</v>
      </c>
      <c r="B12" s="6">
        <v>70014.094629303101</v>
      </c>
      <c r="C12" s="9">
        <f>B12/B$102</f>
        <v>5.6307505392293629E-2</v>
      </c>
      <c r="E12" s="371">
        <v>1</v>
      </c>
      <c r="F12" s="371">
        <v>159204.87458224778</v>
      </c>
      <c r="G12" s="9">
        <f>F12/F$102</f>
        <v>0.12865081391958455</v>
      </c>
      <c r="K12" s="6"/>
      <c r="L12" s="371"/>
    </row>
    <row r="13" spans="1:12" x14ac:dyDescent="0.25">
      <c r="A13">
        <v>2</v>
      </c>
      <c r="B13" s="6">
        <v>72983.424561984706</v>
      </c>
      <c r="C13" s="9">
        <f t="shared" ref="C13:C76" si="0">B13/B$102</f>
        <v>5.8695532575694383E-2</v>
      </c>
      <c r="E13" s="371">
        <v>2</v>
      </c>
      <c r="F13" s="371">
        <v>97843.748068814966</v>
      </c>
      <c r="G13" s="9">
        <f t="shared" ref="G13:G76" si="1">F13/F$102</f>
        <v>7.9065907115129369E-2</v>
      </c>
    </row>
    <row r="14" spans="1:12" x14ac:dyDescent="0.25">
      <c r="A14">
        <v>3</v>
      </c>
      <c r="B14" s="6">
        <v>120628.8023949881</v>
      </c>
      <c r="C14" s="9">
        <f t="shared" si="0"/>
        <v>9.7013422472779096E-2</v>
      </c>
      <c r="E14" s="371">
        <v>3</v>
      </c>
      <c r="F14" s="371">
        <v>60097.926256675273</v>
      </c>
      <c r="G14" s="9">
        <f t="shared" si="1"/>
        <v>4.856413566536967E-2</v>
      </c>
    </row>
    <row r="15" spans="1:12" x14ac:dyDescent="0.25">
      <c r="A15">
        <v>4</v>
      </c>
      <c r="B15" s="6">
        <v>233807.72456333769</v>
      </c>
      <c r="C15" s="9">
        <f t="shared" si="0"/>
        <v>0.18803542031521206</v>
      </c>
      <c r="E15" s="371">
        <v>4</v>
      </c>
      <c r="F15" s="371">
        <v>182872.86419923374</v>
      </c>
      <c r="G15" s="9">
        <f t="shared" si="1"/>
        <v>0.14777652307927786</v>
      </c>
    </row>
    <row r="16" spans="1:12" x14ac:dyDescent="0.25">
      <c r="A16">
        <v>5</v>
      </c>
      <c r="B16" s="6">
        <v>111745.1382012634</v>
      </c>
      <c r="C16" s="9">
        <f t="shared" si="0"/>
        <v>8.9868904327683727E-2</v>
      </c>
      <c r="E16" s="371">
        <v>5</v>
      </c>
      <c r="F16" s="371">
        <v>91983.914338109447</v>
      </c>
      <c r="G16" s="9">
        <f t="shared" si="1"/>
        <v>7.4330672840005232E-2</v>
      </c>
    </row>
    <row r="17" spans="1:7" x14ac:dyDescent="0.25">
      <c r="A17">
        <v>6</v>
      </c>
      <c r="B17" s="6">
        <v>133033.0757617559</v>
      </c>
      <c r="C17" s="9">
        <f t="shared" si="0"/>
        <v>0.10698932365645929</v>
      </c>
      <c r="E17" s="371">
        <v>6</v>
      </c>
      <c r="F17" s="371">
        <v>85110.21384297937</v>
      </c>
      <c r="G17" s="9">
        <f t="shared" si="1"/>
        <v>6.877614967820915E-2</v>
      </c>
    </row>
    <row r="18" spans="1:7" x14ac:dyDescent="0.25">
      <c r="A18">
        <v>7</v>
      </c>
      <c r="B18" s="6">
        <v>107861.5911012974</v>
      </c>
      <c r="C18" s="9">
        <f t="shared" si="0"/>
        <v>8.6745635356909379E-2</v>
      </c>
      <c r="E18" s="371">
        <v>7</v>
      </c>
      <c r="F18" s="371">
        <v>53798.388199924324</v>
      </c>
      <c r="G18" s="9">
        <f t="shared" si="1"/>
        <v>4.3473583630169767E-2</v>
      </c>
    </row>
    <row r="19" spans="1:7" x14ac:dyDescent="0.25">
      <c r="A19">
        <v>8</v>
      </c>
      <c r="B19" s="6">
        <v>50501.068791800099</v>
      </c>
      <c r="C19" s="9">
        <f t="shared" si="0"/>
        <v>4.0614525094790611E-2</v>
      </c>
      <c r="E19" s="371">
        <v>8</v>
      </c>
      <c r="F19" s="371">
        <v>52208.063837504502</v>
      </c>
      <c r="G19" s="9">
        <f t="shared" si="1"/>
        <v>4.2188468936550524E-2</v>
      </c>
    </row>
    <row r="20" spans="1:7" x14ac:dyDescent="0.25">
      <c r="A20">
        <v>9</v>
      </c>
      <c r="B20" s="6">
        <v>31816.0735574426</v>
      </c>
      <c r="C20" s="9">
        <f t="shared" si="0"/>
        <v>2.558747267793016E-2</v>
      </c>
      <c r="E20" s="371">
        <v>9</v>
      </c>
      <c r="F20" s="371">
        <v>28355.194021868436</v>
      </c>
      <c r="G20" s="9">
        <f t="shared" si="1"/>
        <v>2.2913361160160579E-2</v>
      </c>
    </row>
    <row r="21" spans="1:7" x14ac:dyDescent="0.25">
      <c r="A21">
        <v>10</v>
      </c>
      <c r="B21" s="6">
        <v>86161.225804116402</v>
      </c>
      <c r="C21" s="9">
        <f t="shared" si="0"/>
        <v>6.9293528856708211E-2</v>
      </c>
      <c r="E21" s="371">
        <v>10</v>
      </c>
      <c r="F21" s="371">
        <v>28464.729064324412</v>
      </c>
      <c r="G21" s="9">
        <f t="shared" si="1"/>
        <v>2.300187460801608E-2</v>
      </c>
    </row>
    <row r="22" spans="1:7" x14ac:dyDescent="0.25">
      <c r="A22">
        <v>11</v>
      </c>
      <c r="B22" s="6">
        <v>23471.3984698237</v>
      </c>
      <c r="C22" s="9">
        <f t="shared" si="0"/>
        <v>1.887642628104674E-2</v>
      </c>
      <c r="E22" s="371">
        <v>11</v>
      </c>
      <c r="F22" s="371">
        <v>23828.854669651173</v>
      </c>
      <c r="G22" s="9">
        <f t="shared" si="1"/>
        <v>1.9255701535937444E-2</v>
      </c>
    </row>
    <row r="23" spans="1:7" x14ac:dyDescent="0.25">
      <c r="A23">
        <v>12</v>
      </c>
      <c r="B23" s="6">
        <v>16892.030641543999</v>
      </c>
      <c r="C23" s="9">
        <f t="shared" si="0"/>
        <v>1.358509470802244E-2</v>
      </c>
      <c r="E23" s="371">
        <v>12</v>
      </c>
      <c r="F23" s="371">
        <v>23524.023684202672</v>
      </c>
      <c r="G23" s="9">
        <f t="shared" si="1"/>
        <v>1.9009372681442482E-2</v>
      </c>
    </row>
    <row r="24" spans="1:7" x14ac:dyDescent="0.25">
      <c r="A24">
        <v>13</v>
      </c>
      <c r="B24" s="6">
        <v>15943.151933671101</v>
      </c>
      <c r="C24" s="9">
        <f t="shared" si="0"/>
        <v>1.2821977035172835E-2</v>
      </c>
      <c r="E24" s="371">
        <v>13</v>
      </c>
      <c r="F24" s="371">
        <v>17543.450883157486</v>
      </c>
      <c r="G24" s="9">
        <f t="shared" si="1"/>
        <v>1.4176571169687856E-2</v>
      </c>
    </row>
    <row r="25" spans="1:7" x14ac:dyDescent="0.25">
      <c r="A25">
        <v>14</v>
      </c>
      <c r="B25" s="6">
        <v>7832.5718147952002</v>
      </c>
      <c r="C25" s="9">
        <f t="shared" si="0"/>
        <v>6.2991970692787029E-3</v>
      </c>
      <c r="E25" s="371">
        <v>14</v>
      </c>
      <c r="F25" s="371">
        <v>16416.220083128574</v>
      </c>
      <c r="G25" s="9">
        <f t="shared" si="1"/>
        <v>1.326567468941693E-2</v>
      </c>
    </row>
    <row r="26" spans="1:7" x14ac:dyDescent="0.25">
      <c r="A26">
        <v>15</v>
      </c>
      <c r="B26" s="6">
        <v>12343.4433601623</v>
      </c>
      <c r="C26" s="9">
        <f t="shared" si="0"/>
        <v>9.9269798065905208E-3</v>
      </c>
      <c r="E26" s="371">
        <v>15</v>
      </c>
      <c r="F26" s="371">
        <v>17483.350172637838</v>
      </c>
      <c r="G26" s="9">
        <f t="shared" si="1"/>
        <v>1.4128004784105841E-2</v>
      </c>
    </row>
    <row r="27" spans="1:7" x14ac:dyDescent="0.25">
      <c r="A27">
        <v>16</v>
      </c>
      <c r="B27" s="6">
        <v>10817.380646547999</v>
      </c>
      <c r="C27" s="9">
        <f t="shared" si="0"/>
        <v>8.6996728631704226E-3</v>
      </c>
      <c r="E27" s="371">
        <v>16</v>
      </c>
      <c r="F27" s="371">
        <v>19890.990382110394</v>
      </c>
      <c r="G27" s="9">
        <f t="shared" si="1"/>
        <v>1.6073578833813371E-2</v>
      </c>
    </row>
    <row r="28" spans="1:7" x14ac:dyDescent="0.25">
      <c r="A28">
        <v>17</v>
      </c>
      <c r="B28" s="6">
        <v>17419.788782617299</v>
      </c>
      <c r="C28" s="9">
        <f t="shared" si="0"/>
        <v>1.4009534165986584E-2</v>
      </c>
      <c r="E28" s="371">
        <v>17</v>
      </c>
      <c r="F28" s="371">
        <v>15834.879936276409</v>
      </c>
      <c r="G28" s="9">
        <f t="shared" si="1"/>
        <v>1.2795903375863183E-2</v>
      </c>
    </row>
    <row r="29" spans="1:7" x14ac:dyDescent="0.25">
      <c r="A29">
        <v>18</v>
      </c>
      <c r="B29" s="6">
        <v>18966.5703644235</v>
      </c>
      <c r="C29" s="9">
        <f t="shared" si="0"/>
        <v>1.5253503865507643E-2</v>
      </c>
      <c r="E29" s="371">
        <v>18</v>
      </c>
      <c r="F29" s="371">
        <v>9785.0304196047691</v>
      </c>
      <c r="G29" s="9">
        <f t="shared" si="1"/>
        <v>7.9071205012614387E-3</v>
      </c>
    </row>
    <row r="30" spans="1:7" x14ac:dyDescent="0.25">
      <c r="A30">
        <v>19</v>
      </c>
      <c r="B30" s="6">
        <v>5712.8777091770999</v>
      </c>
      <c r="C30" s="9">
        <f t="shared" si="0"/>
        <v>4.5944733573741207E-3</v>
      </c>
      <c r="E30" s="371">
        <v>19</v>
      </c>
      <c r="F30" s="371">
        <v>7990.8753914416566</v>
      </c>
      <c r="G30" s="9">
        <f t="shared" si="1"/>
        <v>6.4572936333544854E-3</v>
      </c>
    </row>
    <row r="31" spans="1:7" x14ac:dyDescent="0.25">
      <c r="A31">
        <v>20</v>
      </c>
      <c r="B31" s="6">
        <v>7905.4607745683998</v>
      </c>
      <c r="C31" s="9">
        <f t="shared" si="0"/>
        <v>6.3578166303427741E-3</v>
      </c>
      <c r="E31" s="371">
        <v>20</v>
      </c>
      <c r="F31" s="371">
        <v>8727.1396073238648</v>
      </c>
      <c r="G31" s="9">
        <f t="shared" si="1"/>
        <v>7.0522565129877745E-3</v>
      </c>
    </row>
    <row r="32" spans="1:7" x14ac:dyDescent="0.25">
      <c r="A32">
        <v>21</v>
      </c>
      <c r="B32" s="6">
        <v>5865.5300556841003</v>
      </c>
      <c r="C32" s="9">
        <f t="shared" si="0"/>
        <v>4.7172411067765638E-3</v>
      </c>
      <c r="E32" s="371">
        <v>21</v>
      </c>
      <c r="F32" s="371">
        <v>6950.8577726321118</v>
      </c>
      <c r="G32" s="9">
        <f t="shared" si="1"/>
        <v>5.6168726757572767E-3</v>
      </c>
    </row>
    <row r="33" spans="1:7" x14ac:dyDescent="0.25">
      <c r="A33">
        <v>22</v>
      </c>
      <c r="B33" s="6">
        <v>5503.4160241288</v>
      </c>
      <c r="C33" s="9">
        <f t="shared" si="0"/>
        <v>4.4260177767830701E-3</v>
      </c>
      <c r="E33" s="371">
        <v>22</v>
      </c>
      <c r="F33" s="371">
        <v>5186.6468842177774</v>
      </c>
      <c r="G33" s="9">
        <f t="shared" si="1"/>
        <v>4.1912431696516546E-3</v>
      </c>
    </row>
    <row r="34" spans="1:7" x14ac:dyDescent="0.25">
      <c r="A34">
        <v>23</v>
      </c>
      <c r="B34" s="6">
        <v>7207.0823968347004</v>
      </c>
      <c r="C34" s="9">
        <f t="shared" si="0"/>
        <v>5.7961590886962486E-3</v>
      </c>
      <c r="E34" s="371">
        <v>23</v>
      </c>
      <c r="F34" s="371">
        <v>5005.5658979260234</v>
      </c>
      <c r="G34" s="9">
        <f t="shared" si="1"/>
        <v>4.0449146333368944E-3</v>
      </c>
    </row>
    <row r="35" spans="1:7" x14ac:dyDescent="0.25">
      <c r="A35">
        <v>24</v>
      </c>
      <c r="B35" s="6">
        <v>1879.5049007176999</v>
      </c>
      <c r="C35" s="9">
        <f t="shared" si="0"/>
        <v>1.5115561072714481E-3</v>
      </c>
      <c r="E35" s="371">
        <v>24</v>
      </c>
      <c r="F35" s="371">
        <v>5159.1182435640394</v>
      </c>
      <c r="G35" s="9">
        <f t="shared" si="1"/>
        <v>4.1689977325348807E-3</v>
      </c>
    </row>
    <row r="36" spans="1:7" x14ac:dyDescent="0.25">
      <c r="A36">
        <v>25</v>
      </c>
      <c r="B36" s="6">
        <v>1572.4291990000002</v>
      </c>
      <c r="C36" s="9">
        <f t="shared" si="0"/>
        <v>1.2645963083644E-3</v>
      </c>
      <c r="E36" s="371">
        <v>25</v>
      </c>
      <c r="F36" s="371">
        <v>4207.6664311613058</v>
      </c>
      <c r="G36" s="9">
        <f t="shared" si="1"/>
        <v>3.4001453315511466E-3</v>
      </c>
    </row>
    <row r="37" spans="1:7" x14ac:dyDescent="0.25">
      <c r="A37">
        <v>26</v>
      </c>
      <c r="B37" s="6">
        <v>501.90882972869997</v>
      </c>
      <c r="C37" s="9">
        <f t="shared" si="0"/>
        <v>4.0365064043205301E-4</v>
      </c>
      <c r="E37" s="371">
        <v>26</v>
      </c>
      <c r="F37" s="371">
        <v>3497.3468044023321</v>
      </c>
      <c r="G37" s="9">
        <f t="shared" si="1"/>
        <v>2.8261478433122579E-3</v>
      </c>
    </row>
    <row r="38" spans="1:7" x14ac:dyDescent="0.25">
      <c r="A38">
        <v>27</v>
      </c>
      <c r="B38" s="6">
        <v>3553.5143104110002</v>
      </c>
      <c r="C38" s="9">
        <f t="shared" si="0"/>
        <v>2.8578463701409659E-3</v>
      </c>
      <c r="E38" s="371">
        <v>27</v>
      </c>
      <c r="F38" s="371">
        <v>3871.6800097604214</v>
      </c>
      <c r="G38" s="9">
        <f t="shared" si="1"/>
        <v>3.1286402869187247E-3</v>
      </c>
    </row>
    <row r="39" spans="1:7" x14ac:dyDescent="0.25">
      <c r="A39">
        <v>28</v>
      </c>
      <c r="B39" s="6">
        <v>2277.679470475</v>
      </c>
      <c r="C39" s="9">
        <f t="shared" si="0"/>
        <v>1.8317804399917315E-3</v>
      </c>
      <c r="E39" s="371">
        <v>28</v>
      </c>
      <c r="F39" s="371">
        <v>3089.1487524816798</v>
      </c>
      <c r="G39" s="9">
        <f t="shared" si="1"/>
        <v>2.496289779871803E-3</v>
      </c>
    </row>
    <row r="40" spans="1:7" x14ac:dyDescent="0.25">
      <c r="A40">
        <v>29</v>
      </c>
      <c r="B40" s="6">
        <v>1110.1850880219999</v>
      </c>
      <c r="C40" s="9">
        <f t="shared" si="0"/>
        <v>8.9284526438880216E-4</v>
      </c>
      <c r="E40" s="371">
        <v>29</v>
      </c>
      <c r="F40" s="371">
        <v>3180.8400591015852</v>
      </c>
      <c r="G40" s="9">
        <f t="shared" si="1"/>
        <v>2.5703840012764809E-3</v>
      </c>
    </row>
    <row r="41" spans="1:7" x14ac:dyDescent="0.25">
      <c r="A41">
        <v>30</v>
      </c>
      <c r="B41" s="6">
        <v>0</v>
      </c>
      <c r="C41" s="9">
        <f t="shared" si="0"/>
        <v>0</v>
      </c>
      <c r="E41" s="371">
        <v>30</v>
      </c>
      <c r="F41" s="371">
        <v>2237.9811272221514</v>
      </c>
      <c r="G41" s="9">
        <f t="shared" si="1"/>
        <v>1.8084753642706836E-3</v>
      </c>
    </row>
    <row r="42" spans="1:7" x14ac:dyDescent="0.25">
      <c r="A42">
        <v>31</v>
      </c>
      <c r="B42" s="6">
        <v>616.47658282309999</v>
      </c>
      <c r="C42" s="9">
        <f t="shared" si="0"/>
        <v>4.9578957916005504E-4</v>
      </c>
      <c r="E42" s="371">
        <v>31</v>
      </c>
      <c r="F42" s="371">
        <v>1936.8142268674353</v>
      </c>
      <c r="G42" s="9">
        <f t="shared" si="1"/>
        <v>1.5651073960602873E-3</v>
      </c>
    </row>
    <row r="43" spans="1:7" x14ac:dyDescent="0.25">
      <c r="A43">
        <v>32</v>
      </c>
      <c r="B43" s="6">
        <v>159.396922991</v>
      </c>
      <c r="C43" s="9">
        <f t="shared" si="0"/>
        <v>1.2819194689799393E-4</v>
      </c>
      <c r="E43" s="371">
        <v>32</v>
      </c>
      <c r="F43" s="371">
        <v>1836.5957295007738</v>
      </c>
      <c r="G43" s="9">
        <f t="shared" si="1"/>
        <v>1.4841224934946443E-3</v>
      </c>
    </row>
    <row r="44" spans="1:7" x14ac:dyDescent="0.25">
      <c r="A44">
        <v>33</v>
      </c>
      <c r="B44" s="6">
        <v>1202.6243344239999</v>
      </c>
      <c r="C44" s="9">
        <f t="shared" si="0"/>
        <v>9.6718777203385145E-4</v>
      </c>
      <c r="E44" s="371">
        <v>33</v>
      </c>
      <c r="F44" s="371">
        <v>1407.8991745818182</v>
      </c>
      <c r="G44" s="9">
        <f t="shared" si="1"/>
        <v>1.1376999303692103E-3</v>
      </c>
    </row>
    <row r="45" spans="1:7" x14ac:dyDescent="0.25">
      <c r="A45">
        <v>34</v>
      </c>
      <c r="B45" s="6">
        <v>8406.9105220391993</v>
      </c>
      <c r="C45" s="9">
        <f t="shared" si="0"/>
        <v>6.7610980625911164E-3</v>
      </c>
      <c r="E45" s="371">
        <v>34</v>
      </c>
      <c r="F45" s="371">
        <v>1161.7783673522561</v>
      </c>
      <c r="G45" s="9">
        <f t="shared" si="1"/>
        <v>9.3881379540812038E-4</v>
      </c>
    </row>
    <row r="46" spans="1:7" x14ac:dyDescent="0.25">
      <c r="A46">
        <v>35</v>
      </c>
      <c r="B46" s="6">
        <v>760.64356028099996</v>
      </c>
      <c r="C46" s="9">
        <f t="shared" si="0"/>
        <v>6.1173313172016867E-4</v>
      </c>
      <c r="E46" s="371">
        <v>35</v>
      </c>
      <c r="F46" s="371">
        <v>1007.6128933137039</v>
      </c>
      <c r="G46" s="9">
        <f t="shared" si="1"/>
        <v>8.142352373369478E-4</v>
      </c>
    </row>
    <row r="47" spans="1:7" x14ac:dyDescent="0.25">
      <c r="A47">
        <v>36</v>
      </c>
      <c r="B47" s="6">
        <v>0</v>
      </c>
      <c r="C47" s="9">
        <f t="shared" si="0"/>
        <v>0</v>
      </c>
      <c r="E47" s="371">
        <v>36</v>
      </c>
      <c r="F47" s="371">
        <v>1003.0096720092595</v>
      </c>
      <c r="G47" s="9">
        <f t="shared" si="1"/>
        <v>8.1051545068454344E-4</v>
      </c>
    </row>
    <row r="48" spans="1:7" x14ac:dyDescent="0.25">
      <c r="A48">
        <v>37</v>
      </c>
      <c r="B48" s="6">
        <v>205.011586153</v>
      </c>
      <c r="C48" s="9">
        <f t="shared" si="0"/>
        <v>1.648766731029229E-4</v>
      </c>
      <c r="E48" s="371">
        <v>37</v>
      </c>
      <c r="F48" s="371">
        <v>681.26960465966977</v>
      </c>
      <c r="G48" s="9">
        <f t="shared" si="1"/>
        <v>5.5052264805410117E-4</v>
      </c>
    </row>
    <row r="49" spans="1:7" x14ac:dyDescent="0.25">
      <c r="A49">
        <v>38</v>
      </c>
      <c r="B49" s="6">
        <v>1198.864695919</v>
      </c>
      <c r="C49" s="9">
        <f t="shared" si="0"/>
        <v>9.6416415419641171E-4</v>
      </c>
      <c r="E49" s="371">
        <v>38</v>
      </c>
      <c r="F49" s="371">
        <v>750.38620171998616</v>
      </c>
      <c r="G49" s="9">
        <f t="shared" si="1"/>
        <v>6.0637462174833599E-4</v>
      </c>
    </row>
    <row r="50" spans="1:7" x14ac:dyDescent="0.25">
      <c r="A50">
        <v>39</v>
      </c>
      <c r="B50" s="6">
        <v>1778.0579449699999</v>
      </c>
      <c r="C50" s="9">
        <f t="shared" si="0"/>
        <v>1.4299693205245885E-3</v>
      </c>
      <c r="E50" s="371">
        <v>39</v>
      </c>
      <c r="F50" s="371">
        <v>852.81438304219137</v>
      </c>
      <c r="G50" s="9">
        <f t="shared" si="1"/>
        <v>6.8914513320398121E-4</v>
      </c>
    </row>
    <row r="51" spans="1:7" x14ac:dyDescent="0.25">
      <c r="A51">
        <v>40</v>
      </c>
      <c r="B51" s="6">
        <v>0</v>
      </c>
      <c r="C51" s="9">
        <f t="shared" si="0"/>
        <v>0</v>
      </c>
      <c r="E51" s="371">
        <v>40</v>
      </c>
      <c r="F51" s="371">
        <v>496.03191307561076</v>
      </c>
      <c r="G51" s="9">
        <f t="shared" si="1"/>
        <v>4.0083514725736705E-4</v>
      </c>
    </row>
    <row r="52" spans="1:7" x14ac:dyDescent="0.25">
      <c r="A52">
        <v>41</v>
      </c>
      <c r="B52" s="6">
        <v>0</v>
      </c>
      <c r="C52" s="9">
        <f t="shared" si="0"/>
        <v>0</v>
      </c>
      <c r="E52" s="371">
        <v>41</v>
      </c>
      <c r="F52" s="371">
        <v>616.20445526427056</v>
      </c>
      <c r="G52" s="9">
        <f t="shared" si="1"/>
        <v>4.9794458190203085E-4</v>
      </c>
    </row>
    <row r="53" spans="1:7" x14ac:dyDescent="0.25">
      <c r="A53">
        <v>42</v>
      </c>
      <c r="B53" s="6">
        <v>317.06569707699998</v>
      </c>
      <c r="C53" s="9">
        <f t="shared" si="0"/>
        <v>2.5499406287262619E-4</v>
      </c>
      <c r="E53" s="371">
        <v>42</v>
      </c>
      <c r="F53" s="371">
        <v>406.88732153854573</v>
      </c>
      <c r="G53" s="9">
        <f t="shared" si="1"/>
        <v>3.2879888399680023E-4</v>
      </c>
    </row>
    <row r="54" spans="1:7" x14ac:dyDescent="0.25">
      <c r="A54">
        <v>43</v>
      </c>
      <c r="B54" s="6">
        <v>794.03270519500006</v>
      </c>
      <c r="C54" s="9">
        <f t="shared" si="0"/>
        <v>6.3858571714947836E-4</v>
      </c>
      <c r="E54" s="371">
        <v>43</v>
      </c>
      <c r="F54" s="371">
        <v>298.0091255755047</v>
      </c>
      <c r="G54" s="9">
        <f t="shared" si="1"/>
        <v>2.4081622287856367E-4</v>
      </c>
    </row>
    <row r="55" spans="1:7" x14ac:dyDescent="0.25">
      <c r="A55">
        <v>44</v>
      </c>
      <c r="B55" s="6">
        <v>387.67438217400002</v>
      </c>
      <c r="C55" s="9">
        <f t="shared" si="0"/>
        <v>3.117797563518088E-4</v>
      </c>
      <c r="E55" s="371">
        <v>44</v>
      </c>
      <c r="F55" s="371">
        <v>265.21201705570411</v>
      </c>
      <c r="G55" s="9">
        <f t="shared" si="1"/>
        <v>2.1431342441618689E-4</v>
      </c>
    </row>
    <row r="56" spans="1:7" x14ac:dyDescent="0.25">
      <c r="A56">
        <v>45</v>
      </c>
      <c r="B56" s="6">
        <v>343.96306096299998</v>
      </c>
      <c r="C56" s="9">
        <f t="shared" si="0"/>
        <v>2.766257567489554E-4</v>
      </c>
      <c r="E56" s="371">
        <v>45</v>
      </c>
      <c r="F56" s="371">
        <v>270.99972753374612</v>
      </c>
      <c r="G56" s="9">
        <f t="shared" si="1"/>
        <v>2.1899037708918024E-4</v>
      </c>
    </row>
    <row r="57" spans="1:7" x14ac:dyDescent="0.25">
      <c r="A57">
        <v>46</v>
      </c>
      <c r="B57" s="6">
        <v>0</v>
      </c>
      <c r="C57" s="9">
        <f t="shared" si="0"/>
        <v>0</v>
      </c>
      <c r="E57" s="371">
        <v>46</v>
      </c>
      <c r="F57" s="371">
        <v>239.6490369687092</v>
      </c>
      <c r="G57" s="9">
        <f t="shared" si="1"/>
        <v>1.9365640494343805E-4</v>
      </c>
    </row>
    <row r="58" spans="1:7" x14ac:dyDescent="0.25">
      <c r="A58">
        <v>47</v>
      </c>
      <c r="B58" s="6">
        <v>0</v>
      </c>
      <c r="C58" s="9">
        <f t="shared" si="0"/>
        <v>0</v>
      </c>
      <c r="E58" s="371">
        <v>47</v>
      </c>
      <c r="F58" s="371">
        <v>135.8061587686289</v>
      </c>
      <c r="G58" s="9">
        <f t="shared" si="1"/>
        <v>1.0974270044633802E-4</v>
      </c>
    </row>
    <row r="59" spans="1:7" x14ac:dyDescent="0.25">
      <c r="A59">
        <v>48</v>
      </c>
      <c r="B59" s="6">
        <v>0</v>
      </c>
      <c r="C59" s="9">
        <f t="shared" si="0"/>
        <v>0</v>
      </c>
      <c r="E59" s="371">
        <v>48</v>
      </c>
      <c r="F59" s="371">
        <v>105.91120605858349</v>
      </c>
      <c r="G59" s="9">
        <f t="shared" si="1"/>
        <v>8.558508587375204E-5</v>
      </c>
    </row>
    <row r="60" spans="1:7" x14ac:dyDescent="0.25">
      <c r="A60">
        <v>49</v>
      </c>
      <c r="B60" s="6">
        <v>0</v>
      </c>
      <c r="C60" s="9">
        <f t="shared" si="0"/>
        <v>0</v>
      </c>
      <c r="E60" s="371">
        <v>49</v>
      </c>
      <c r="F60" s="371">
        <v>210.20734083005814</v>
      </c>
      <c r="G60" s="9">
        <f t="shared" si="1"/>
        <v>1.6986505947522024E-4</v>
      </c>
    </row>
    <row r="61" spans="1:7" x14ac:dyDescent="0.25">
      <c r="A61">
        <v>50</v>
      </c>
      <c r="B61" s="6">
        <v>0</v>
      </c>
      <c r="C61" s="9">
        <f t="shared" si="0"/>
        <v>0</v>
      </c>
      <c r="E61" s="371">
        <v>50</v>
      </c>
      <c r="F61" s="371">
        <v>101.89700200134801</v>
      </c>
      <c r="G61" s="9">
        <f t="shared" si="1"/>
        <v>8.2341274272142788E-5</v>
      </c>
    </row>
    <row r="62" spans="1:7" x14ac:dyDescent="0.25">
      <c r="A62">
        <v>51</v>
      </c>
      <c r="B62" s="6">
        <v>0</v>
      </c>
      <c r="C62" s="9">
        <f t="shared" si="0"/>
        <v>0</v>
      </c>
      <c r="E62" s="371">
        <v>51</v>
      </c>
      <c r="F62" s="371">
        <v>64.434857763085816</v>
      </c>
      <c r="G62" s="9">
        <f t="shared" si="1"/>
        <v>5.2068737956456939E-5</v>
      </c>
    </row>
    <row r="63" spans="1:7" x14ac:dyDescent="0.25">
      <c r="A63">
        <v>52</v>
      </c>
      <c r="B63" s="6">
        <v>554.66122939700006</v>
      </c>
      <c r="C63" s="9">
        <f t="shared" si="0"/>
        <v>4.4607575561073375E-4</v>
      </c>
      <c r="E63" s="371">
        <v>52</v>
      </c>
      <c r="F63" s="371">
        <v>69.445479584715528</v>
      </c>
      <c r="G63" s="9">
        <f t="shared" si="1"/>
        <v>5.6117738197733299E-5</v>
      </c>
    </row>
    <row r="64" spans="1:7" x14ac:dyDescent="0.25">
      <c r="A64">
        <v>53</v>
      </c>
      <c r="B64" s="6">
        <v>4.59375</v>
      </c>
      <c r="C64" s="9">
        <f t="shared" si="0"/>
        <v>3.6944361598241738E-6</v>
      </c>
      <c r="E64" s="371">
        <v>53</v>
      </c>
      <c r="F64" s="371">
        <v>101.88776899503239</v>
      </c>
      <c r="G64" s="9">
        <f t="shared" si="1"/>
        <v>8.2333813233147923E-5</v>
      </c>
    </row>
    <row r="65" spans="1:7" x14ac:dyDescent="0.25">
      <c r="A65">
        <v>54</v>
      </c>
      <c r="B65" s="6">
        <v>0</v>
      </c>
      <c r="C65" s="9">
        <f t="shared" si="0"/>
        <v>0</v>
      </c>
      <c r="E65" s="371">
        <v>54</v>
      </c>
      <c r="F65" s="371">
        <v>128.2464769503768</v>
      </c>
      <c r="G65" s="9">
        <f t="shared" si="1"/>
        <v>1.0363384717508483E-4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40.427140213218259</v>
      </c>
      <c r="G66" s="9">
        <f t="shared" si="1"/>
        <v>3.266850029886983E-5</v>
      </c>
    </row>
    <row r="67" spans="1:7" x14ac:dyDescent="0.25">
      <c r="A67">
        <v>56</v>
      </c>
      <c r="B67" s="6">
        <v>248.013120292</v>
      </c>
      <c r="C67" s="9">
        <f t="shared" si="0"/>
        <v>1.9945983993852241E-4</v>
      </c>
      <c r="E67" s="371">
        <v>56</v>
      </c>
      <c r="F67" s="371">
        <v>42.908255214265253</v>
      </c>
      <c r="G67" s="9">
        <f t="shared" si="1"/>
        <v>3.4673448106845926E-5</v>
      </c>
    </row>
    <row r="68" spans="1:7" x14ac:dyDescent="0.25">
      <c r="A68">
        <v>57</v>
      </c>
      <c r="B68" s="6">
        <v>0</v>
      </c>
      <c r="C68" s="9">
        <f t="shared" si="0"/>
        <v>0</v>
      </c>
      <c r="E68" s="371">
        <v>57</v>
      </c>
      <c r="F68" s="371">
        <v>80.958547264999254</v>
      </c>
      <c r="G68" s="9">
        <f t="shared" si="1"/>
        <v>6.5421256897561623E-5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30.245640708793673</v>
      </c>
      <c r="G69" s="9">
        <f t="shared" si="1"/>
        <v>2.444099971760229E-5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20.463995542935997</v>
      </c>
      <c r="G70" s="9">
        <f t="shared" si="1"/>
        <v>1.653661478364701E-5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40.700629666825257</v>
      </c>
      <c r="G71" s="9">
        <f t="shared" si="1"/>
        <v>3.2889502582231362E-5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30.027817460317472</v>
      </c>
      <c r="G72" s="9">
        <f t="shared" si="1"/>
        <v>2.4264980369698505E-5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0</v>
      </c>
      <c r="G73" s="9">
        <f t="shared" si="1"/>
        <v>0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10.004878048780499</v>
      </c>
      <c r="G74" s="9">
        <f t="shared" si="1"/>
        <v>8.0847757175729017E-6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0</v>
      </c>
      <c r="G75" s="9">
        <f t="shared" si="1"/>
        <v>0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10.0123839009288</v>
      </c>
      <c r="G76" s="9">
        <f t="shared" si="1"/>
        <v>8.0908410719822619E-6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0</v>
      </c>
      <c r="G77" s="9">
        <f t="shared" ref="G77:G102" si="3">F77/F$102</f>
        <v>0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9.9869791666666696</v>
      </c>
      <c r="G78" s="9">
        <f t="shared" si="3"/>
        <v>8.0703119283312895E-6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10.157894736842101</v>
      </c>
      <c r="G79" s="9">
        <f t="shared" si="3"/>
        <v>8.2084259607834777E-6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0</v>
      </c>
      <c r="G80" s="9">
        <f t="shared" si="3"/>
        <v>0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9.9944289693593298</v>
      </c>
      <c r="G81" s="9">
        <f t="shared" si="3"/>
        <v>8.076331990106823E-6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0</v>
      </c>
      <c r="G82" s="9">
        <f t="shared" si="3"/>
        <v>0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0</v>
      </c>
      <c r="G83" s="9">
        <f t="shared" si="3"/>
        <v>0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9.9944289693593298</v>
      </c>
      <c r="G84" s="9">
        <f t="shared" si="3"/>
        <v>8.076331990106823E-6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19.996549344375421</v>
      </c>
      <c r="G85" s="9">
        <f t="shared" si="3"/>
        <v>1.6158879277330172E-5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0</v>
      </c>
      <c r="G86" s="9">
        <f t="shared" si="3"/>
        <v>0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0</v>
      </c>
      <c r="G87" s="9">
        <f t="shared" si="3"/>
        <v>0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81.0922660552</v>
      </c>
      <c r="C101" s="9">
        <f t="shared" si="2"/>
        <v>6.5216914284933509E-5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1243423.8409518562</v>
      </c>
      <c r="C102" s="9">
        <f t="shared" si="2"/>
        <v>1</v>
      </c>
      <c r="F102" s="6">
        <f>SUM(F11:F101)</f>
        <v>1237496.0541000664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workbookViewId="0">
      <selection activeCell="D5" sqref="D5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6421.6662774649994</v>
      </c>
      <c r="C11" s="9">
        <f>B11/B$102</f>
        <v>5.1645030969883401E-3</v>
      </c>
      <c r="E11" s="371">
        <v>0</v>
      </c>
      <c r="F11" s="371">
        <v>8121.5183139315368</v>
      </c>
      <c r="G11" s="9">
        <f>F11/F$102</f>
        <v>6.5628640083524791E-3</v>
      </c>
      <c r="K11" s="6">
        <v>25.652639512133877</v>
      </c>
      <c r="L11" s="6">
        <v>21.075124135407261</v>
      </c>
    </row>
    <row r="12" spans="1:12" x14ac:dyDescent="0.25">
      <c r="A12">
        <v>1</v>
      </c>
      <c r="B12" s="6">
        <v>7648.6649553169</v>
      </c>
      <c r="C12" s="9">
        <f>B12/B$102</f>
        <v>6.1512934716305197E-3</v>
      </c>
      <c r="E12" s="371">
        <v>1</v>
      </c>
      <c r="F12" s="371">
        <v>28926.853263205856</v>
      </c>
      <c r="G12" s="9">
        <f>F12/F$102</f>
        <v>2.337530949481862E-2</v>
      </c>
      <c r="K12" s="6"/>
      <c r="L12" s="371"/>
    </row>
    <row r="13" spans="1:12" x14ac:dyDescent="0.25">
      <c r="A13">
        <v>2</v>
      </c>
      <c r="B13" s="6">
        <v>7659.3953825730005</v>
      </c>
      <c r="C13" s="9">
        <f t="shared" ref="C13:C76" si="0">B13/B$102</f>
        <v>6.1599232138814693E-3</v>
      </c>
      <c r="E13" s="371">
        <v>2</v>
      </c>
      <c r="F13" s="371">
        <v>36142.383772590721</v>
      </c>
      <c r="G13" s="9">
        <f t="shared" ref="G13:G76" si="1">F13/F$102</f>
        <v>2.9206059811539554E-2</v>
      </c>
    </row>
    <row r="14" spans="1:12" x14ac:dyDescent="0.25">
      <c r="A14">
        <v>3</v>
      </c>
      <c r="B14" s="6">
        <v>11138.1608098898</v>
      </c>
      <c r="C14" s="9">
        <f t="shared" si="0"/>
        <v>8.9576542149645434E-3</v>
      </c>
      <c r="E14" s="371">
        <v>3</v>
      </c>
      <c r="F14" s="371">
        <v>40243.668873506547</v>
      </c>
      <c r="G14" s="9">
        <f t="shared" si="1"/>
        <v>3.2520240157672756E-2</v>
      </c>
    </row>
    <row r="15" spans="1:12" x14ac:dyDescent="0.25">
      <c r="A15">
        <v>4</v>
      </c>
      <c r="B15" s="6">
        <v>15713.269778259701</v>
      </c>
      <c r="C15" s="9">
        <f t="shared" si="0"/>
        <v>1.2637098679265307E-2</v>
      </c>
      <c r="E15" s="371">
        <v>4</v>
      </c>
      <c r="F15" s="371">
        <v>43153.199742392564</v>
      </c>
      <c r="G15" s="9">
        <f t="shared" si="1"/>
        <v>3.4871383710208675E-2</v>
      </c>
    </row>
    <row r="16" spans="1:12" x14ac:dyDescent="0.25">
      <c r="A16">
        <v>5</v>
      </c>
      <c r="B16" s="6">
        <v>17497.726012351799</v>
      </c>
      <c r="C16" s="9">
        <f t="shared" si="0"/>
        <v>1.4072213702253828E-2</v>
      </c>
      <c r="E16" s="371">
        <v>5</v>
      </c>
      <c r="F16" s="371">
        <v>42968.8090358638</v>
      </c>
      <c r="G16" s="9">
        <f t="shared" si="1"/>
        <v>3.4722380643962249E-2</v>
      </c>
    </row>
    <row r="17" spans="1:7" x14ac:dyDescent="0.25">
      <c r="A17">
        <v>6</v>
      </c>
      <c r="B17" s="6">
        <v>17900.710993735502</v>
      </c>
      <c r="C17" s="9">
        <f t="shared" si="0"/>
        <v>1.4396306717130568E-2</v>
      </c>
      <c r="E17" s="371">
        <v>6</v>
      </c>
      <c r="F17" s="371">
        <v>40081.857805443382</v>
      </c>
      <c r="G17" s="9">
        <f t="shared" si="1"/>
        <v>3.2389483322103819E-2</v>
      </c>
    </row>
    <row r="18" spans="1:7" x14ac:dyDescent="0.25">
      <c r="A18">
        <v>7</v>
      </c>
      <c r="B18" s="6">
        <v>23731.144678381999</v>
      </c>
      <c r="C18" s="9">
        <f t="shared" si="0"/>
        <v>1.908532223430388E-2</v>
      </c>
      <c r="E18" s="371">
        <v>7</v>
      </c>
      <c r="F18" s="371">
        <v>38261.327959752962</v>
      </c>
      <c r="G18" s="9">
        <f t="shared" si="1"/>
        <v>3.0918343402377493E-2</v>
      </c>
    </row>
    <row r="19" spans="1:7" x14ac:dyDescent="0.25">
      <c r="A19">
        <v>8</v>
      </c>
      <c r="B19" s="6">
        <v>13210.066266456201</v>
      </c>
      <c r="C19" s="9">
        <f t="shared" si="0"/>
        <v>1.0623944813816446E-2</v>
      </c>
      <c r="E19" s="371">
        <v>8</v>
      </c>
      <c r="F19" s="371">
        <v>35268.419360842978</v>
      </c>
      <c r="G19" s="9">
        <f t="shared" si="1"/>
        <v>2.8499823691551834E-2</v>
      </c>
    </row>
    <row r="20" spans="1:7" x14ac:dyDescent="0.25">
      <c r="A20">
        <v>9</v>
      </c>
      <c r="B20" s="6">
        <v>25852.263038326098</v>
      </c>
      <c r="C20" s="9">
        <f t="shared" si="0"/>
        <v>2.0791191375690424E-2</v>
      </c>
      <c r="E20" s="371">
        <v>9</v>
      </c>
      <c r="F20" s="371">
        <v>31848.616240407224</v>
      </c>
      <c r="G20" s="9">
        <f t="shared" si="1"/>
        <v>2.5736337610844526E-2</v>
      </c>
    </row>
    <row r="21" spans="1:7" x14ac:dyDescent="0.25">
      <c r="A21">
        <v>10</v>
      </c>
      <c r="B21" s="6">
        <v>13020.6747208126</v>
      </c>
      <c r="C21" s="9">
        <f t="shared" si="0"/>
        <v>1.0471630261524591E-2</v>
      </c>
      <c r="E21" s="371">
        <v>10</v>
      </c>
      <c r="F21" s="371">
        <v>28892.663614669102</v>
      </c>
      <c r="G21" s="9">
        <f t="shared" si="1"/>
        <v>2.3347681407905958E-2</v>
      </c>
    </row>
    <row r="22" spans="1:7" x14ac:dyDescent="0.25">
      <c r="A22">
        <v>11</v>
      </c>
      <c r="B22" s="6">
        <v>18581.033723045901</v>
      </c>
      <c r="C22" s="9">
        <f t="shared" si="0"/>
        <v>1.4943443346575925E-2</v>
      </c>
      <c r="E22" s="371">
        <v>11</v>
      </c>
      <c r="F22" s="371">
        <v>24989.165895426035</v>
      </c>
      <c r="G22" s="9">
        <f t="shared" si="1"/>
        <v>2.0193329758613814E-2</v>
      </c>
    </row>
    <row r="23" spans="1:7" x14ac:dyDescent="0.25">
      <c r="A23">
        <v>12</v>
      </c>
      <c r="B23" s="6">
        <v>26721.018614271201</v>
      </c>
      <c r="C23" s="9">
        <f t="shared" si="0"/>
        <v>2.1489871541964266E-2</v>
      </c>
      <c r="E23" s="371">
        <v>12</v>
      </c>
      <c r="F23" s="371">
        <v>22255.718722054164</v>
      </c>
      <c r="G23" s="9">
        <f t="shared" si="1"/>
        <v>1.7984476514746547E-2</v>
      </c>
    </row>
    <row r="24" spans="1:7" x14ac:dyDescent="0.25">
      <c r="A24">
        <v>13</v>
      </c>
      <c r="B24" s="6">
        <v>15262.9778604272</v>
      </c>
      <c r="C24" s="9">
        <f t="shared" si="0"/>
        <v>1.2274959959544607E-2</v>
      </c>
      <c r="E24" s="371">
        <v>13</v>
      </c>
      <c r="F24" s="371">
        <v>19751.070701563833</v>
      </c>
      <c r="G24" s="9">
        <f t="shared" si="1"/>
        <v>1.5960512064765522E-2</v>
      </c>
    </row>
    <row r="25" spans="1:7" x14ac:dyDescent="0.25">
      <c r="A25">
        <v>14</v>
      </c>
      <c r="B25" s="6">
        <v>19788.642237004598</v>
      </c>
      <c r="C25" s="9">
        <f t="shared" si="0"/>
        <v>1.5914639550305025E-2</v>
      </c>
      <c r="E25" s="371">
        <v>14</v>
      </c>
      <c r="F25" s="371">
        <v>16614.408964123642</v>
      </c>
      <c r="G25" s="9">
        <f t="shared" si="1"/>
        <v>1.3425827831189327E-2</v>
      </c>
    </row>
    <row r="26" spans="1:7" x14ac:dyDescent="0.25">
      <c r="A26">
        <v>15</v>
      </c>
      <c r="B26" s="6">
        <v>11436.907732175699</v>
      </c>
      <c r="C26" s="9">
        <f t="shared" si="0"/>
        <v>9.1979157512538951E-3</v>
      </c>
      <c r="E26" s="371">
        <v>15</v>
      </c>
      <c r="F26" s="371">
        <v>16925.86996451567</v>
      </c>
      <c r="G26" s="9">
        <f t="shared" si="1"/>
        <v>1.3677514290600731E-2</v>
      </c>
    </row>
    <row r="27" spans="1:7" x14ac:dyDescent="0.25">
      <c r="A27">
        <v>16</v>
      </c>
      <c r="B27" s="6">
        <v>53589.186588311102</v>
      </c>
      <c r="C27" s="9">
        <f t="shared" si="0"/>
        <v>4.309808516079916E-2</v>
      </c>
      <c r="E27" s="371">
        <v>16</v>
      </c>
      <c r="F27" s="371">
        <v>14726.318514433387</v>
      </c>
      <c r="G27" s="9">
        <f t="shared" si="1"/>
        <v>1.1900093309907709E-2</v>
      </c>
    </row>
    <row r="28" spans="1:7" x14ac:dyDescent="0.25">
      <c r="A28">
        <v>17</v>
      </c>
      <c r="B28" s="6">
        <v>20646.848872425999</v>
      </c>
      <c r="C28" s="9">
        <f t="shared" si="0"/>
        <v>1.6604835931584339E-2</v>
      </c>
      <c r="E28" s="371">
        <v>17</v>
      </c>
      <c r="F28" s="371">
        <v>12877.416093447637</v>
      </c>
      <c r="G28" s="9">
        <f t="shared" si="1"/>
        <v>1.0406025983502931E-2</v>
      </c>
    </row>
    <row r="29" spans="1:7" x14ac:dyDescent="0.25">
      <c r="A29">
        <v>18</v>
      </c>
      <c r="B29" s="6">
        <v>103552.3413162795</v>
      </c>
      <c r="C29" s="9">
        <f t="shared" si="0"/>
        <v>8.3280003089701821E-2</v>
      </c>
      <c r="E29" s="371">
        <v>18</v>
      </c>
      <c r="F29" s="371">
        <v>125914.01841505997</v>
      </c>
      <c r="G29" s="9">
        <f t="shared" si="1"/>
        <v>0.10174902618709952</v>
      </c>
    </row>
    <row r="30" spans="1:7" x14ac:dyDescent="0.25">
      <c r="A30">
        <v>19</v>
      </c>
      <c r="B30" s="6">
        <v>41570.253128980599</v>
      </c>
      <c r="C30" s="9">
        <f t="shared" si="0"/>
        <v>3.3432086276516983E-2</v>
      </c>
      <c r="E30" s="371">
        <v>19</v>
      </c>
      <c r="F30" s="371">
        <v>39617.000363364459</v>
      </c>
      <c r="G30" s="9">
        <f t="shared" si="1"/>
        <v>3.201383974688695E-2</v>
      </c>
    </row>
    <row r="31" spans="1:7" x14ac:dyDescent="0.25">
      <c r="A31">
        <v>20</v>
      </c>
      <c r="B31" s="6">
        <v>70021.092229185393</v>
      </c>
      <c r="C31" s="9">
        <f t="shared" si="0"/>
        <v>5.6313133079049997E-2</v>
      </c>
      <c r="E31" s="371">
        <v>20</v>
      </c>
      <c r="F31" s="371">
        <v>36000.993112868367</v>
      </c>
      <c r="G31" s="9">
        <f t="shared" si="1"/>
        <v>2.9091804368660445E-2</v>
      </c>
    </row>
    <row r="32" spans="1:7" x14ac:dyDescent="0.25">
      <c r="A32">
        <v>21</v>
      </c>
      <c r="B32" s="6">
        <v>71969.4357187571</v>
      </c>
      <c r="C32" s="9">
        <f t="shared" si="0"/>
        <v>5.7880051313527657E-2</v>
      </c>
      <c r="E32" s="371">
        <v>21</v>
      </c>
      <c r="F32" s="371">
        <v>54562.825359322458</v>
      </c>
      <c r="G32" s="9">
        <f t="shared" si="1"/>
        <v>4.4091312597357511E-2</v>
      </c>
    </row>
    <row r="33" spans="1:7" x14ac:dyDescent="0.25">
      <c r="A33">
        <v>22</v>
      </c>
      <c r="B33" s="6">
        <v>53096.899293280898</v>
      </c>
      <c r="C33" s="9">
        <f t="shared" si="0"/>
        <v>4.2702172456846703E-2</v>
      </c>
      <c r="E33" s="371">
        <v>22</v>
      </c>
      <c r="F33" s="371">
        <v>41839.668517358681</v>
      </c>
      <c r="G33" s="9">
        <f t="shared" si="1"/>
        <v>3.380994095192117E-2</v>
      </c>
    </row>
    <row r="34" spans="1:7" x14ac:dyDescent="0.25">
      <c r="A34">
        <v>23</v>
      </c>
      <c r="B34" s="6">
        <v>30341.055698333199</v>
      </c>
      <c r="C34" s="9">
        <f t="shared" si="0"/>
        <v>2.4401217588933103E-2</v>
      </c>
      <c r="E34" s="371">
        <v>23</v>
      </c>
      <c r="F34" s="371">
        <v>40416.813847100049</v>
      </c>
      <c r="G34" s="9">
        <f t="shared" si="1"/>
        <v>3.2660155733984966E-2</v>
      </c>
    </row>
    <row r="35" spans="1:7" x14ac:dyDescent="0.25">
      <c r="A35">
        <v>24</v>
      </c>
      <c r="B35" s="6">
        <v>49422.416375988498</v>
      </c>
      <c r="C35" s="9">
        <f t="shared" si="0"/>
        <v>3.9747039382930782E-2</v>
      </c>
      <c r="E35" s="371">
        <v>24</v>
      </c>
      <c r="F35" s="371">
        <v>32508.557369107115</v>
      </c>
      <c r="G35" s="9">
        <f t="shared" si="1"/>
        <v>2.6269625071853694E-2</v>
      </c>
    </row>
    <row r="36" spans="1:7" x14ac:dyDescent="0.25">
      <c r="A36">
        <v>25</v>
      </c>
      <c r="B36" s="6">
        <v>49744.731541131798</v>
      </c>
      <c r="C36" s="9">
        <f t="shared" si="0"/>
        <v>4.0006255230759923E-2</v>
      </c>
      <c r="E36" s="371">
        <v>25</v>
      </c>
      <c r="F36" s="371">
        <v>25964.691546638176</v>
      </c>
      <c r="G36" s="9">
        <f t="shared" si="1"/>
        <v>2.0981635828746348E-2</v>
      </c>
    </row>
    <row r="37" spans="1:7" x14ac:dyDescent="0.25">
      <c r="A37">
        <v>26</v>
      </c>
      <c r="B37" s="6">
        <v>68052.135464126506</v>
      </c>
      <c r="C37" s="9">
        <f t="shared" si="0"/>
        <v>5.4729637009397973E-2</v>
      </c>
      <c r="E37" s="371">
        <v>26</v>
      </c>
      <c r="F37" s="371">
        <v>28002.498002357184</v>
      </c>
      <c r="G37" s="9">
        <f t="shared" si="1"/>
        <v>2.2628353366929484E-2</v>
      </c>
    </row>
    <row r="38" spans="1:7" x14ac:dyDescent="0.25">
      <c r="A38">
        <v>27</v>
      </c>
      <c r="B38" s="6">
        <v>15320.281746426599</v>
      </c>
      <c r="C38" s="9">
        <f t="shared" si="0"/>
        <v>1.2321045521130376E-2</v>
      </c>
      <c r="E38" s="371">
        <v>27</v>
      </c>
      <c r="F38" s="371">
        <v>18338.330570473117</v>
      </c>
      <c r="G38" s="9">
        <f t="shared" si="1"/>
        <v>1.4818900237875221E-2</v>
      </c>
    </row>
    <row r="39" spans="1:7" x14ac:dyDescent="0.25">
      <c r="A39">
        <v>28</v>
      </c>
      <c r="B39" s="6">
        <v>36574.735817234498</v>
      </c>
      <c r="C39" s="9">
        <f t="shared" si="0"/>
        <v>2.9414536389487336E-2</v>
      </c>
      <c r="E39" s="371">
        <v>28</v>
      </c>
      <c r="F39" s="371">
        <v>21576.76068502622</v>
      </c>
      <c r="G39" s="9">
        <f t="shared" si="1"/>
        <v>1.743582180608835E-2</v>
      </c>
    </row>
    <row r="40" spans="1:7" x14ac:dyDescent="0.25">
      <c r="A40">
        <v>29</v>
      </c>
      <c r="B40" s="6">
        <v>35161.0764728262</v>
      </c>
      <c r="C40" s="9">
        <f t="shared" si="0"/>
        <v>2.8277627720174611E-2</v>
      </c>
      <c r="E40" s="371">
        <v>29</v>
      </c>
      <c r="F40" s="371">
        <v>21724.962876227499</v>
      </c>
      <c r="G40" s="9">
        <f t="shared" si="1"/>
        <v>1.7555581534380214E-2</v>
      </c>
    </row>
    <row r="41" spans="1:7" x14ac:dyDescent="0.25">
      <c r="A41">
        <v>30</v>
      </c>
      <c r="B41" s="6">
        <v>13374.633902285899</v>
      </c>
      <c r="C41" s="9">
        <f t="shared" si="0"/>
        <v>1.0756295208275443E-2</v>
      </c>
      <c r="E41" s="371">
        <v>30</v>
      </c>
      <c r="F41" s="371">
        <v>20383.814766339514</v>
      </c>
      <c r="G41" s="9">
        <f t="shared" si="1"/>
        <v>1.6471822030303816E-2</v>
      </c>
    </row>
    <row r="42" spans="1:7" x14ac:dyDescent="0.25">
      <c r="A42">
        <v>31</v>
      </c>
      <c r="B42" s="6">
        <v>15754.325805009799</v>
      </c>
      <c r="C42" s="9">
        <f t="shared" si="0"/>
        <v>1.2670117208746509E-2</v>
      </c>
      <c r="E42" s="371">
        <v>31</v>
      </c>
      <c r="F42" s="371">
        <v>17638.982031056406</v>
      </c>
      <c r="G42" s="9">
        <f t="shared" si="1"/>
        <v>1.425376830303015E-2</v>
      </c>
    </row>
    <row r="43" spans="1:7" x14ac:dyDescent="0.25">
      <c r="A43">
        <v>32</v>
      </c>
      <c r="B43" s="6">
        <v>11668.721304254001</v>
      </c>
      <c r="C43" s="9">
        <f t="shared" si="0"/>
        <v>9.3843474123203631E-3</v>
      </c>
      <c r="E43" s="371">
        <v>32</v>
      </c>
      <c r="F43" s="371">
        <v>12016.705728847606</v>
      </c>
      <c r="G43" s="9">
        <f t="shared" si="1"/>
        <v>9.7105002387958429E-3</v>
      </c>
    </row>
    <row r="44" spans="1:7" x14ac:dyDescent="0.25">
      <c r="A44">
        <v>33</v>
      </c>
      <c r="B44" s="6">
        <v>11849.064694574399</v>
      </c>
      <c r="C44" s="9">
        <f t="shared" si="0"/>
        <v>9.5293851576014436E-3</v>
      </c>
      <c r="E44" s="371">
        <v>33</v>
      </c>
      <c r="F44" s="371">
        <v>20273.283406414976</v>
      </c>
      <c r="G44" s="9">
        <f t="shared" si="1"/>
        <v>1.6382503474856043E-2</v>
      </c>
    </row>
    <row r="45" spans="1:7" x14ac:dyDescent="0.25">
      <c r="A45">
        <v>34</v>
      </c>
      <c r="B45" s="6">
        <v>23530.511589069101</v>
      </c>
      <c r="C45" s="9">
        <f t="shared" si="0"/>
        <v>1.8923966884096578E-2</v>
      </c>
      <c r="E45" s="371">
        <v>34</v>
      </c>
      <c r="F45" s="371">
        <v>16346.576779246157</v>
      </c>
      <c r="G45" s="9">
        <f t="shared" si="1"/>
        <v>1.3209397092691129E-2</v>
      </c>
    </row>
    <row r="46" spans="1:7" x14ac:dyDescent="0.25">
      <c r="A46">
        <v>35</v>
      </c>
      <c r="B46" s="6">
        <v>5695.0917906068998</v>
      </c>
      <c r="C46" s="9">
        <f t="shared" si="0"/>
        <v>4.5801693702826511E-3</v>
      </c>
      <c r="E46" s="371">
        <v>35</v>
      </c>
      <c r="F46" s="371">
        <v>12246.894841686317</v>
      </c>
      <c r="G46" s="9">
        <f t="shared" si="1"/>
        <v>9.896512236228925E-3</v>
      </c>
    </row>
    <row r="47" spans="1:7" x14ac:dyDescent="0.25">
      <c r="A47">
        <v>36</v>
      </c>
      <c r="B47" s="6">
        <v>8840.319108272899</v>
      </c>
      <c r="C47" s="9">
        <f t="shared" si="0"/>
        <v>7.1096586836436439E-3</v>
      </c>
      <c r="E47" s="371">
        <v>36</v>
      </c>
      <c r="F47" s="371">
        <v>12188.131707775117</v>
      </c>
      <c r="G47" s="9">
        <f t="shared" si="1"/>
        <v>9.8490267240800133E-3</v>
      </c>
    </row>
    <row r="48" spans="1:7" x14ac:dyDescent="0.25">
      <c r="A48">
        <v>37</v>
      </c>
      <c r="B48" s="6">
        <v>13417.145011435599</v>
      </c>
      <c r="C48" s="9">
        <f t="shared" si="0"/>
        <v>1.0790483960131091E-2</v>
      </c>
      <c r="E48" s="371">
        <v>37</v>
      </c>
      <c r="F48" s="371">
        <v>9414.8905496798743</v>
      </c>
      <c r="G48" s="9">
        <f t="shared" si="1"/>
        <v>7.6080166223451802E-3</v>
      </c>
    </row>
    <row r="49" spans="1:7" x14ac:dyDescent="0.25">
      <c r="A49">
        <v>38</v>
      </c>
      <c r="B49" s="6">
        <v>10524.5438093544</v>
      </c>
      <c r="C49" s="9">
        <f t="shared" si="0"/>
        <v>8.4641644005295329E-3</v>
      </c>
      <c r="E49" s="371">
        <v>38</v>
      </c>
      <c r="F49" s="371">
        <v>8660.1000833275193</v>
      </c>
      <c r="G49" s="9">
        <f t="shared" si="1"/>
        <v>6.9980829875254278E-3</v>
      </c>
    </row>
    <row r="50" spans="1:7" x14ac:dyDescent="0.25">
      <c r="A50">
        <v>39</v>
      </c>
      <c r="B50" s="6">
        <v>8018.5525139095998</v>
      </c>
      <c r="C50" s="9">
        <f t="shared" si="0"/>
        <v>6.4487685130528768E-3</v>
      </c>
      <c r="E50" s="371">
        <v>39</v>
      </c>
      <c r="F50" s="371">
        <v>9363.0015587553971</v>
      </c>
      <c r="G50" s="9">
        <f t="shared" si="1"/>
        <v>7.5660859909281678E-3</v>
      </c>
    </row>
    <row r="51" spans="1:7" x14ac:dyDescent="0.25">
      <c r="A51">
        <v>40</v>
      </c>
      <c r="B51" s="6">
        <v>3963.9153820480001</v>
      </c>
      <c r="C51" s="9">
        <f t="shared" si="0"/>
        <v>3.1879036347039745E-3</v>
      </c>
      <c r="E51" s="371">
        <v>40</v>
      </c>
      <c r="F51" s="371">
        <v>13216.969520283901</v>
      </c>
      <c r="G51" s="9">
        <f t="shared" si="1"/>
        <v>1.0680413465960961E-2</v>
      </c>
    </row>
    <row r="52" spans="1:7" x14ac:dyDescent="0.25">
      <c r="A52">
        <v>41</v>
      </c>
      <c r="B52" s="6">
        <v>5150.0373927865003</v>
      </c>
      <c r="C52" s="9">
        <f t="shared" si="0"/>
        <v>4.1418197264450731E-3</v>
      </c>
      <c r="E52" s="371">
        <v>41</v>
      </c>
      <c r="F52" s="371">
        <v>6091.3275674379829</v>
      </c>
      <c r="G52" s="9">
        <f t="shared" si="1"/>
        <v>4.9223005982574446E-3</v>
      </c>
    </row>
    <row r="53" spans="1:7" x14ac:dyDescent="0.25">
      <c r="A53">
        <v>42</v>
      </c>
      <c r="B53" s="6">
        <v>4159.4996169870001</v>
      </c>
      <c r="C53" s="9">
        <f t="shared" si="0"/>
        <v>3.3451985397053761E-3</v>
      </c>
      <c r="E53" s="371">
        <v>42</v>
      </c>
      <c r="F53" s="371">
        <v>5254.3443713730776</v>
      </c>
      <c r="G53" s="9">
        <f t="shared" si="1"/>
        <v>4.2459483842105256E-3</v>
      </c>
    </row>
    <row r="54" spans="1:7" x14ac:dyDescent="0.25">
      <c r="A54">
        <v>43</v>
      </c>
      <c r="B54" s="6">
        <v>1974.1526066899</v>
      </c>
      <c r="C54" s="9">
        <f t="shared" si="0"/>
        <v>1.587674726566817E-3</v>
      </c>
      <c r="E54" s="371">
        <v>43</v>
      </c>
      <c r="F54" s="371">
        <v>6066.872013926004</v>
      </c>
      <c r="G54" s="9">
        <f t="shared" si="1"/>
        <v>4.9025384717997864E-3</v>
      </c>
    </row>
    <row r="55" spans="1:7" x14ac:dyDescent="0.25">
      <c r="A55">
        <v>44</v>
      </c>
      <c r="B55" s="6">
        <v>5666.1772393669999</v>
      </c>
      <c r="C55" s="9">
        <f t="shared" si="0"/>
        <v>4.556915391801938E-3</v>
      </c>
      <c r="E55" s="371">
        <v>44</v>
      </c>
      <c r="F55" s="371">
        <v>5567.7459352560245</v>
      </c>
      <c r="G55" s="9">
        <f t="shared" si="1"/>
        <v>4.4992029807359741E-3</v>
      </c>
    </row>
    <row r="56" spans="1:7" x14ac:dyDescent="0.25">
      <c r="A56">
        <v>45</v>
      </c>
      <c r="B56" s="6">
        <v>60805.3532925623</v>
      </c>
      <c r="C56" s="9">
        <f t="shared" si="0"/>
        <v>4.8901550131140357E-2</v>
      </c>
      <c r="E56" s="371">
        <v>45</v>
      </c>
      <c r="F56" s="371">
        <v>5483.2532792222019</v>
      </c>
      <c r="G56" s="9">
        <f t="shared" si="1"/>
        <v>4.4309258692624611E-3</v>
      </c>
    </row>
    <row r="57" spans="1:7" x14ac:dyDescent="0.25">
      <c r="A57">
        <v>46</v>
      </c>
      <c r="B57" s="6">
        <v>5223.5974528909001</v>
      </c>
      <c r="C57" s="9">
        <f t="shared" si="0"/>
        <v>4.2009790072001282E-3</v>
      </c>
      <c r="E57" s="371">
        <v>46</v>
      </c>
      <c r="F57" s="371">
        <v>5176.7941757331037</v>
      </c>
      <c r="G57" s="9">
        <f t="shared" si="1"/>
        <v>4.1832813596305004E-3</v>
      </c>
    </row>
    <row r="58" spans="1:7" x14ac:dyDescent="0.25">
      <c r="A58">
        <v>47</v>
      </c>
      <c r="B58" s="6">
        <v>1079.5162234178001</v>
      </c>
      <c r="C58" s="9">
        <f t="shared" si="0"/>
        <v>8.6818041271543981E-4</v>
      </c>
      <c r="E58" s="371">
        <v>47</v>
      </c>
      <c r="F58" s="371">
        <v>4831.6965179833869</v>
      </c>
      <c r="G58" s="9">
        <f t="shared" si="1"/>
        <v>3.9044136762901444E-3</v>
      </c>
    </row>
    <row r="59" spans="1:7" x14ac:dyDescent="0.25">
      <c r="A59">
        <v>48</v>
      </c>
      <c r="B59" s="6">
        <v>7816.9410410554001</v>
      </c>
      <c r="C59" s="9">
        <f t="shared" si="0"/>
        <v>6.2866263164710065E-3</v>
      </c>
      <c r="E59" s="371">
        <v>48</v>
      </c>
      <c r="F59" s="371">
        <v>5292.6992145414433</v>
      </c>
      <c r="G59" s="9">
        <f t="shared" si="1"/>
        <v>4.2769422956992036E-3</v>
      </c>
    </row>
    <row r="60" spans="1:7" x14ac:dyDescent="0.25">
      <c r="A60">
        <v>49</v>
      </c>
      <c r="B60" s="6">
        <v>2959.4788009108001</v>
      </c>
      <c r="C60" s="9">
        <f t="shared" si="0"/>
        <v>2.3801045978379199E-3</v>
      </c>
      <c r="E60" s="371">
        <v>49</v>
      </c>
      <c r="F60" s="371">
        <v>3693.382864948001</v>
      </c>
      <c r="G60" s="9">
        <f t="shared" si="1"/>
        <v>2.9845613266491653E-3</v>
      </c>
    </row>
    <row r="61" spans="1:7" x14ac:dyDescent="0.25">
      <c r="A61">
        <v>50</v>
      </c>
      <c r="B61" s="6">
        <v>324.77582940500002</v>
      </c>
      <c r="C61" s="9">
        <f t="shared" si="0"/>
        <v>2.6119479031090485E-4</v>
      </c>
      <c r="E61" s="371">
        <v>50</v>
      </c>
      <c r="F61" s="371">
        <v>2539.4182331998136</v>
      </c>
      <c r="G61" s="9">
        <f t="shared" si="1"/>
        <v>2.0520616811554467E-3</v>
      </c>
    </row>
    <row r="62" spans="1:7" x14ac:dyDescent="0.25">
      <c r="A62">
        <v>51</v>
      </c>
      <c r="B62" s="6">
        <v>3048.6583396820001</v>
      </c>
      <c r="C62" s="9">
        <f t="shared" si="0"/>
        <v>2.4518255475528073E-3</v>
      </c>
      <c r="E62" s="371">
        <v>51</v>
      </c>
      <c r="F62" s="371">
        <v>3638.3374342500938</v>
      </c>
      <c r="G62" s="9">
        <f t="shared" si="1"/>
        <v>2.9400800286963108E-3</v>
      </c>
    </row>
    <row r="63" spans="1:7" x14ac:dyDescent="0.25">
      <c r="A63">
        <v>52</v>
      </c>
      <c r="B63" s="6">
        <v>918.29517128599991</v>
      </c>
      <c r="C63" s="9">
        <f t="shared" si="0"/>
        <v>7.3852144461299173E-4</v>
      </c>
      <c r="E63" s="371">
        <v>52</v>
      </c>
      <c r="F63" s="371">
        <v>2391.9289300587266</v>
      </c>
      <c r="G63" s="9">
        <f t="shared" si="1"/>
        <v>1.9328780258602027E-3</v>
      </c>
    </row>
    <row r="64" spans="1:7" x14ac:dyDescent="0.25">
      <c r="A64">
        <v>53</v>
      </c>
      <c r="B64" s="6">
        <v>1326.9797182303</v>
      </c>
      <c r="C64" s="9">
        <f t="shared" si="0"/>
        <v>1.0671982268045308E-3</v>
      </c>
      <c r="E64" s="371">
        <v>53</v>
      </c>
      <c r="F64" s="371">
        <v>2564.77162800415</v>
      </c>
      <c r="G64" s="9">
        <f t="shared" si="1"/>
        <v>2.0725493382435932E-3</v>
      </c>
    </row>
    <row r="65" spans="1:7" x14ac:dyDescent="0.25">
      <c r="A65">
        <v>54</v>
      </c>
      <c r="B65" s="6">
        <v>1218.2238847201002</v>
      </c>
      <c r="C65" s="9">
        <f t="shared" si="0"/>
        <v>9.7973341398017153E-4</v>
      </c>
      <c r="E65" s="371">
        <v>54</v>
      </c>
      <c r="F65" s="371">
        <v>2011.7940093682382</v>
      </c>
      <c r="G65" s="9">
        <f t="shared" si="1"/>
        <v>1.6256973124906312E-3</v>
      </c>
    </row>
    <row r="66" spans="1:7" x14ac:dyDescent="0.25">
      <c r="A66">
        <v>55</v>
      </c>
      <c r="B66" s="6">
        <v>2253.5468855520003</v>
      </c>
      <c r="C66" s="9">
        <f t="shared" si="0"/>
        <v>1.8123722670677458E-3</v>
      </c>
      <c r="E66" s="371">
        <v>55</v>
      </c>
      <c r="F66" s="371">
        <v>1895.1517557965815</v>
      </c>
      <c r="G66" s="9">
        <f t="shared" si="1"/>
        <v>1.5314406454207054E-3</v>
      </c>
    </row>
    <row r="67" spans="1:7" x14ac:dyDescent="0.25">
      <c r="A67">
        <v>56</v>
      </c>
      <c r="B67" s="6">
        <v>68.873322949599995</v>
      </c>
      <c r="C67" s="9">
        <f t="shared" si="0"/>
        <v>5.5390061442666733E-5</v>
      </c>
      <c r="E67" s="371">
        <v>56</v>
      </c>
      <c r="F67" s="371">
        <v>2675.8896920401889</v>
      </c>
      <c r="G67" s="9">
        <f t="shared" si="1"/>
        <v>2.1623419995356295E-3</v>
      </c>
    </row>
    <row r="68" spans="1:7" x14ac:dyDescent="0.25">
      <c r="A68">
        <v>57</v>
      </c>
      <c r="B68" s="6">
        <v>5831.5562396539999</v>
      </c>
      <c r="C68" s="9">
        <f t="shared" si="0"/>
        <v>4.6899183107104257E-3</v>
      </c>
      <c r="E68" s="371">
        <v>57</v>
      </c>
      <c r="F68" s="371">
        <v>1634.4095251576121</v>
      </c>
      <c r="G68" s="9">
        <f t="shared" si="1"/>
        <v>1.3207391811412199E-3</v>
      </c>
    </row>
    <row r="69" spans="1:7" x14ac:dyDescent="0.25">
      <c r="A69">
        <v>58</v>
      </c>
      <c r="B69" s="6">
        <v>1680.9734764976001</v>
      </c>
      <c r="C69" s="9">
        <f t="shared" si="0"/>
        <v>1.3518909812850251E-3</v>
      </c>
      <c r="E69" s="371">
        <v>58</v>
      </c>
      <c r="F69" s="371">
        <v>2018.5217234079103</v>
      </c>
      <c r="G69" s="9">
        <f t="shared" si="1"/>
        <v>1.6311338664233743E-3</v>
      </c>
    </row>
    <row r="70" spans="1:7" x14ac:dyDescent="0.25">
      <c r="A70">
        <v>59</v>
      </c>
      <c r="B70" s="6">
        <v>1054.8246361500001</v>
      </c>
      <c r="C70" s="9">
        <f t="shared" si="0"/>
        <v>8.4832267277625841E-4</v>
      </c>
      <c r="E70" s="371">
        <v>59</v>
      </c>
      <c r="F70" s="371">
        <v>1882.4985318293707</v>
      </c>
      <c r="G70" s="9">
        <f t="shared" si="1"/>
        <v>1.5212157853694041E-3</v>
      </c>
    </row>
    <row r="71" spans="1:7" x14ac:dyDescent="0.25">
      <c r="A71">
        <v>60</v>
      </c>
      <c r="B71" s="6">
        <v>1759.1357199610002</v>
      </c>
      <c r="C71" s="9">
        <f t="shared" si="0"/>
        <v>1.4147514805686529E-3</v>
      </c>
      <c r="E71" s="371">
        <v>60</v>
      </c>
      <c r="F71" s="371">
        <v>1346.6171216740604</v>
      </c>
      <c r="G71" s="9">
        <f t="shared" si="1"/>
        <v>1.0881789216316729E-3</v>
      </c>
    </row>
    <row r="72" spans="1:7" x14ac:dyDescent="0.25">
      <c r="A72">
        <v>61</v>
      </c>
      <c r="B72" s="6">
        <v>5521.8707578240001</v>
      </c>
      <c r="C72" s="9">
        <f t="shared" si="0"/>
        <v>4.4408596457318518E-3</v>
      </c>
      <c r="E72" s="371">
        <v>61</v>
      </c>
      <c r="F72" s="371">
        <v>920.81052047267906</v>
      </c>
      <c r="G72" s="9">
        <f t="shared" si="1"/>
        <v>7.4409168208807927E-4</v>
      </c>
    </row>
    <row r="73" spans="1:7" x14ac:dyDescent="0.25">
      <c r="A73">
        <v>62</v>
      </c>
      <c r="B73" s="6">
        <v>1229.465098057</v>
      </c>
      <c r="C73" s="9">
        <f t="shared" si="0"/>
        <v>9.8877394623206609E-4</v>
      </c>
      <c r="E73" s="371">
        <v>62</v>
      </c>
      <c r="F73" s="371">
        <v>1363.3599169388137</v>
      </c>
      <c r="G73" s="9">
        <f t="shared" si="1"/>
        <v>1.1017084962992294E-3</v>
      </c>
    </row>
    <row r="74" spans="1:7" x14ac:dyDescent="0.25">
      <c r="A74">
        <v>63</v>
      </c>
      <c r="B74" s="6">
        <v>122.95979443900001</v>
      </c>
      <c r="C74" s="9">
        <f t="shared" si="0"/>
        <v>9.8888078537140447E-5</v>
      </c>
      <c r="E74" s="371">
        <v>63</v>
      </c>
      <c r="F74" s="371">
        <v>1074.2282602596558</v>
      </c>
      <c r="G74" s="9">
        <f t="shared" si="1"/>
        <v>8.6806600853435271E-4</v>
      </c>
    </row>
    <row r="75" spans="1:7" x14ac:dyDescent="0.25">
      <c r="A75">
        <v>64</v>
      </c>
      <c r="B75" s="6">
        <v>1118.4264449699999</v>
      </c>
      <c r="C75" s="9">
        <f t="shared" si="0"/>
        <v>8.9947321913486111E-4</v>
      </c>
      <c r="E75" s="371">
        <v>64</v>
      </c>
      <c r="F75" s="371">
        <v>931.05173972209911</v>
      </c>
      <c r="G75" s="9">
        <f t="shared" si="1"/>
        <v>7.5236744120301866E-4</v>
      </c>
    </row>
    <row r="76" spans="1:7" x14ac:dyDescent="0.25">
      <c r="A76">
        <v>65</v>
      </c>
      <c r="B76" s="6">
        <v>400.04927174700003</v>
      </c>
      <c r="C76" s="9">
        <f t="shared" si="0"/>
        <v>3.2173202617762043E-4</v>
      </c>
      <c r="E76" s="371">
        <v>65</v>
      </c>
      <c r="F76" s="371">
        <v>807.4015478843861</v>
      </c>
      <c r="G76" s="9">
        <f t="shared" si="1"/>
        <v>6.5244777565900676E-4</v>
      </c>
    </row>
    <row r="77" spans="1:7" x14ac:dyDescent="0.25">
      <c r="A77">
        <v>66</v>
      </c>
      <c r="B77" s="6">
        <v>466.56081954299998</v>
      </c>
      <c r="C77" s="9">
        <f t="shared" ref="C77:C102" si="2">B77/B$102</f>
        <v>3.7522267482489467E-4</v>
      </c>
      <c r="E77" s="371">
        <v>66</v>
      </c>
      <c r="F77" s="371">
        <v>840.35524126471353</v>
      </c>
      <c r="G77" s="9">
        <f t="shared" ref="G77:G102" si="3">F77/F$102</f>
        <v>6.7907710774547719E-4</v>
      </c>
    </row>
    <row r="78" spans="1:7" x14ac:dyDescent="0.25">
      <c r="A78">
        <v>67</v>
      </c>
      <c r="B78" s="6">
        <v>1515.9457347309999</v>
      </c>
      <c r="C78" s="9">
        <f t="shared" si="2"/>
        <v>1.2191705553679304E-3</v>
      </c>
      <c r="E78" s="371">
        <v>67</v>
      </c>
      <c r="F78" s="371">
        <v>550.21524107089488</v>
      </c>
      <c r="G78" s="9">
        <f t="shared" si="3"/>
        <v>4.4461979434029248E-4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687.77370215449059</v>
      </c>
      <c r="G79" s="9">
        <f t="shared" si="3"/>
        <v>5.5577850117239725E-4</v>
      </c>
    </row>
    <row r="80" spans="1:7" x14ac:dyDescent="0.25">
      <c r="A80">
        <v>69</v>
      </c>
      <c r="B80" s="6">
        <v>561.31577714499997</v>
      </c>
      <c r="C80" s="9">
        <f t="shared" si="2"/>
        <v>4.5142754920583295E-4</v>
      </c>
      <c r="E80" s="371">
        <v>69</v>
      </c>
      <c r="F80" s="371">
        <v>725.45056114639021</v>
      </c>
      <c r="G80" s="9">
        <f t="shared" si="3"/>
        <v>5.8622454491295611E-4</v>
      </c>
    </row>
    <row r="81" spans="1:7" x14ac:dyDescent="0.25">
      <c r="A81">
        <v>70</v>
      </c>
      <c r="B81" s="6">
        <v>636.34667668439999</v>
      </c>
      <c r="C81" s="9">
        <f t="shared" si="2"/>
        <v>5.1176972463168205E-4</v>
      </c>
      <c r="E81" s="371">
        <v>70</v>
      </c>
      <c r="F81" s="371">
        <v>478.21176919925108</v>
      </c>
      <c r="G81" s="9">
        <f t="shared" si="3"/>
        <v>3.8643498507719848E-4</v>
      </c>
    </row>
    <row r="82" spans="1:7" x14ac:dyDescent="0.25">
      <c r="A82">
        <v>71</v>
      </c>
      <c r="B82" s="6">
        <v>422.35595372</v>
      </c>
      <c r="C82" s="9">
        <f t="shared" si="2"/>
        <v>3.3967175134480391E-4</v>
      </c>
      <c r="E82" s="371">
        <v>71</v>
      </c>
      <c r="F82" s="371">
        <v>570.92635275716316</v>
      </c>
      <c r="G82" s="9">
        <f t="shared" si="3"/>
        <v>4.6135609957346742E-4</v>
      </c>
    </row>
    <row r="83" spans="1:7" x14ac:dyDescent="0.25">
      <c r="A83">
        <v>72</v>
      </c>
      <c r="B83" s="6">
        <v>5978.1515321440002</v>
      </c>
      <c r="C83" s="9">
        <f t="shared" si="2"/>
        <v>4.8078147894990101E-3</v>
      </c>
      <c r="E83" s="371">
        <v>72</v>
      </c>
      <c r="F83" s="371">
        <v>610.84589824780824</v>
      </c>
      <c r="G83" s="9">
        <f t="shared" si="3"/>
        <v>4.9361442101084399E-4</v>
      </c>
    </row>
    <row r="84" spans="1:7" x14ac:dyDescent="0.25">
      <c r="A84">
        <v>73</v>
      </c>
      <c r="B84" s="6">
        <v>65.786200360199999</v>
      </c>
      <c r="C84" s="9">
        <f t="shared" si="2"/>
        <v>5.2907301753069045E-5</v>
      </c>
      <c r="E84" s="371">
        <v>73</v>
      </c>
      <c r="F84" s="371">
        <v>442.93209549583452</v>
      </c>
      <c r="G84" s="9">
        <f t="shared" si="3"/>
        <v>3.5792606693840675E-4</v>
      </c>
    </row>
    <row r="85" spans="1:7" x14ac:dyDescent="0.25">
      <c r="A85">
        <v>74</v>
      </c>
      <c r="B85" s="6">
        <v>411.77039022899999</v>
      </c>
      <c r="C85" s="9">
        <f t="shared" si="2"/>
        <v>3.3115851302463738E-4</v>
      </c>
      <c r="E85" s="371">
        <v>74</v>
      </c>
      <c r="F85" s="371">
        <v>519.27602746340733</v>
      </c>
      <c r="G85" s="9">
        <f t="shared" si="3"/>
        <v>4.1961832988714946E-4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415.23662417772096</v>
      </c>
      <c r="G86" s="9">
        <f t="shared" si="3"/>
        <v>3.3554581673368646E-4</v>
      </c>
    </row>
    <row r="87" spans="1:7" x14ac:dyDescent="0.25">
      <c r="A87">
        <v>76</v>
      </c>
      <c r="B87" s="6">
        <v>2655.91924548</v>
      </c>
      <c r="C87" s="9">
        <f t="shared" si="2"/>
        <v>2.1359725927780674E-3</v>
      </c>
      <c r="E87" s="371">
        <v>76</v>
      </c>
      <c r="F87" s="371">
        <v>316.21311406740313</v>
      </c>
      <c r="G87" s="9">
        <f t="shared" si="3"/>
        <v>2.5552656351487127E-4</v>
      </c>
    </row>
    <row r="88" spans="1:7" x14ac:dyDescent="0.25">
      <c r="A88">
        <v>77</v>
      </c>
      <c r="B88" s="6">
        <v>808.15247939999995</v>
      </c>
      <c r="C88" s="9">
        <f t="shared" si="2"/>
        <v>6.4994127728912549E-4</v>
      </c>
      <c r="E88" s="371">
        <v>77</v>
      </c>
      <c r="F88" s="371">
        <v>234.87637755696457</v>
      </c>
      <c r="G88" s="9">
        <f t="shared" si="3"/>
        <v>1.8979969817178264E-4</v>
      </c>
    </row>
    <row r="89" spans="1:7" x14ac:dyDescent="0.25">
      <c r="A89">
        <v>78</v>
      </c>
      <c r="B89" s="6">
        <v>256.37131749600002</v>
      </c>
      <c r="C89" s="9">
        <f t="shared" si="2"/>
        <v>2.0618176124059562E-4</v>
      </c>
      <c r="E89" s="371">
        <v>78</v>
      </c>
      <c r="F89" s="371">
        <v>285.33789978029148</v>
      </c>
      <c r="G89" s="9">
        <f t="shared" si="3"/>
        <v>2.3057681584915868E-4</v>
      </c>
    </row>
    <row r="90" spans="1:7" x14ac:dyDescent="0.25">
      <c r="A90">
        <v>79</v>
      </c>
      <c r="B90" s="6">
        <v>256.37131749600002</v>
      </c>
      <c r="C90" s="9">
        <f t="shared" si="2"/>
        <v>2.0618176124059562E-4</v>
      </c>
      <c r="E90" s="371">
        <v>79</v>
      </c>
      <c r="F90" s="371">
        <v>288.27744031344747</v>
      </c>
      <c r="G90" s="9">
        <f t="shared" si="3"/>
        <v>2.3295220971277281E-4</v>
      </c>
    </row>
    <row r="91" spans="1:7" x14ac:dyDescent="0.25">
      <c r="A91">
        <v>80</v>
      </c>
      <c r="B91" s="6">
        <v>1593.262710215</v>
      </c>
      <c r="C91" s="9">
        <f t="shared" si="2"/>
        <v>1.2813512639385598E-3</v>
      </c>
      <c r="E91" s="371">
        <v>80</v>
      </c>
      <c r="F91" s="371">
        <v>349.30952957139192</v>
      </c>
      <c r="G91" s="9">
        <f t="shared" si="3"/>
        <v>2.8227122697810727E-4</v>
      </c>
    </row>
    <row r="92" spans="1:7" x14ac:dyDescent="0.25">
      <c r="A92">
        <v>81</v>
      </c>
      <c r="B92" s="6">
        <v>554.66122939700006</v>
      </c>
      <c r="C92" s="9">
        <f t="shared" si="2"/>
        <v>4.4607575561073364E-4</v>
      </c>
      <c r="E92" s="371">
        <v>81</v>
      </c>
      <c r="F92" s="371">
        <v>247.09567757601297</v>
      </c>
      <c r="G92" s="9">
        <f t="shared" si="3"/>
        <v>1.9967391149033301E-4</v>
      </c>
    </row>
    <row r="93" spans="1:7" x14ac:dyDescent="0.25">
      <c r="A93">
        <v>82</v>
      </c>
      <c r="B93" s="6">
        <v>739.67600099200001</v>
      </c>
      <c r="C93" s="9">
        <f t="shared" si="2"/>
        <v>5.9487037052930304E-4</v>
      </c>
      <c r="E93" s="371">
        <v>82</v>
      </c>
      <c r="F93" s="371">
        <v>223.92524839772506</v>
      </c>
      <c r="G93" s="9">
        <f t="shared" si="3"/>
        <v>1.8095027265405573E-4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296.75272581631395</v>
      </c>
      <c r="G94" s="9">
        <f t="shared" si="3"/>
        <v>2.3980094710856993E-4</v>
      </c>
    </row>
    <row r="95" spans="1:7" x14ac:dyDescent="0.25">
      <c r="A95">
        <v>84</v>
      </c>
      <c r="B95" s="6">
        <v>2404.5861489690001</v>
      </c>
      <c r="C95" s="9">
        <f t="shared" si="2"/>
        <v>1.9338427250423793E-3</v>
      </c>
      <c r="E95" s="371">
        <v>84</v>
      </c>
      <c r="F95" s="371">
        <v>194.73044704495419</v>
      </c>
      <c r="G95" s="9">
        <f t="shared" si="3"/>
        <v>1.5735843876008669E-4</v>
      </c>
    </row>
    <row r="96" spans="1:7" x14ac:dyDescent="0.25">
      <c r="A96">
        <v>85</v>
      </c>
      <c r="B96" s="6">
        <v>76.876114520399994</v>
      </c>
      <c r="C96" s="9">
        <f t="shared" si="2"/>
        <v>6.1826154516669371E-5</v>
      </c>
      <c r="E96" s="371">
        <v>85</v>
      </c>
      <c r="F96" s="371">
        <v>248.88341353005421</v>
      </c>
      <c r="G96" s="9">
        <f t="shared" si="3"/>
        <v>2.0111855121109667E-4</v>
      </c>
    </row>
    <row r="97" spans="1:7" x14ac:dyDescent="0.25">
      <c r="A97">
        <v>86</v>
      </c>
      <c r="B97" s="6">
        <v>880.13694348299998</v>
      </c>
      <c r="C97" s="9">
        <f t="shared" si="2"/>
        <v>7.0783341487906822E-4</v>
      </c>
      <c r="E97" s="371">
        <v>86</v>
      </c>
      <c r="F97" s="371">
        <v>290.3229534605772</v>
      </c>
      <c r="G97" s="9">
        <f t="shared" si="3"/>
        <v>2.3460515490023628E-4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138.97136977789123</v>
      </c>
      <c r="G98" s="9">
        <f t="shared" si="3"/>
        <v>1.1230045487212015E-4</v>
      </c>
    </row>
    <row r="99" spans="1:7" x14ac:dyDescent="0.25">
      <c r="A99">
        <v>88</v>
      </c>
      <c r="B99" s="6">
        <v>300.952409273</v>
      </c>
      <c r="C99" s="9">
        <f t="shared" si="2"/>
        <v>2.4203525729619047E-4</v>
      </c>
      <c r="E99" s="371">
        <v>88</v>
      </c>
      <c r="F99" s="371">
        <v>261.11781485396318</v>
      </c>
      <c r="G99" s="9">
        <f t="shared" si="3"/>
        <v>2.1100496764319275E-4</v>
      </c>
    </row>
    <row r="100" spans="1:7" x14ac:dyDescent="0.25">
      <c r="A100">
        <v>89</v>
      </c>
      <c r="B100" s="6">
        <v>357.255567611</v>
      </c>
      <c r="C100" s="9">
        <f t="shared" si="2"/>
        <v>2.8731600267332529E-4</v>
      </c>
      <c r="E100" s="371">
        <v>89</v>
      </c>
      <c r="F100" s="371">
        <v>224.27873066767197</v>
      </c>
      <c r="G100" s="9">
        <f t="shared" si="3"/>
        <v>1.8123591580320012E-4</v>
      </c>
    </row>
    <row r="101" spans="1:7" ht="15.75" thickBot="1" x14ac:dyDescent="0.3">
      <c r="A101" s="1">
        <v>90</v>
      </c>
      <c r="B101" s="7">
        <v>22484.379870573801</v>
      </c>
      <c r="C101" s="9">
        <f t="shared" si="2"/>
        <v>1.8082635325185441E-2</v>
      </c>
      <c r="E101" s="372">
        <v>90</v>
      </c>
      <c r="F101" s="372">
        <v>10634.672857701329</v>
      </c>
      <c r="G101" s="9">
        <f t="shared" si="3"/>
        <v>8.5937024384575445E-3</v>
      </c>
    </row>
    <row r="102" spans="1:7" x14ac:dyDescent="0.25">
      <c r="B102" s="6">
        <f>SUM(B11:B101)</f>
        <v>1243423.8409518565</v>
      </c>
      <c r="C102" s="9">
        <f t="shared" si="2"/>
        <v>1</v>
      </c>
      <c r="F102" s="6">
        <f>SUM(F11:F101)</f>
        <v>1237496.0541000662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02"/>
  <sheetViews>
    <sheetView workbookViewId="0">
      <selection activeCell="U14" sqref="U14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84907.072193200496</v>
      </c>
      <c r="C11" s="9">
        <f>B11/B$102</f>
        <v>4.6236776287227423E-2</v>
      </c>
      <c r="E11" s="371">
        <v>0</v>
      </c>
      <c r="F11" s="371">
        <v>331731.64965231082</v>
      </c>
      <c r="G11" s="9">
        <f>F11/F$102</f>
        <v>0.17928024764085004</v>
      </c>
      <c r="K11" s="6">
        <v>7.1866380900758235</v>
      </c>
      <c r="L11" s="6">
        <v>5.8731970169838847</v>
      </c>
    </row>
    <row r="12" spans="1:12" x14ac:dyDescent="0.25">
      <c r="A12">
        <v>1</v>
      </c>
      <c r="B12" s="6">
        <v>101459.22475387</v>
      </c>
      <c r="C12" s="9">
        <f>B12/B$102</f>
        <v>5.5250373803324829E-2</v>
      </c>
      <c r="E12" s="371">
        <v>1</v>
      </c>
      <c r="F12" s="371">
        <v>246431.49018786196</v>
      </c>
      <c r="G12" s="9">
        <f>F12/F$102</f>
        <v>0.13318083647939272</v>
      </c>
      <c r="K12" s="6"/>
      <c r="L12" s="371"/>
    </row>
    <row r="13" spans="1:12" x14ac:dyDescent="0.25">
      <c r="A13">
        <v>2</v>
      </c>
      <c r="B13" s="6">
        <v>100404.4870225725</v>
      </c>
      <c r="C13" s="9">
        <f t="shared" ref="C13:C76" si="0">B13/B$102</f>
        <v>5.4676008544177361E-2</v>
      </c>
      <c r="E13" s="371">
        <v>2</v>
      </c>
      <c r="F13" s="371">
        <v>145806.8768309812</v>
      </c>
      <c r="G13" s="9">
        <f t="shared" ref="G13:G76" si="1">F13/F$102</f>
        <v>7.8799514648044494E-2</v>
      </c>
    </row>
    <row r="14" spans="1:12" x14ac:dyDescent="0.25">
      <c r="A14">
        <v>3</v>
      </c>
      <c r="B14" s="6">
        <v>190531.24264945119</v>
      </c>
      <c r="C14" s="9">
        <f t="shared" si="0"/>
        <v>0.10375520218227008</v>
      </c>
      <c r="E14" s="371">
        <v>3</v>
      </c>
      <c r="F14" s="371">
        <v>87976.254051182201</v>
      </c>
      <c r="G14" s="9">
        <f t="shared" si="1"/>
        <v>4.7545673225154725E-2</v>
      </c>
    </row>
    <row r="15" spans="1:12" x14ac:dyDescent="0.25">
      <c r="A15">
        <v>4</v>
      </c>
      <c r="B15" s="6">
        <v>307024.78858325997</v>
      </c>
      <c r="C15" s="9">
        <f t="shared" si="0"/>
        <v>0.16719262715896963</v>
      </c>
      <c r="E15" s="371">
        <v>4</v>
      </c>
      <c r="F15" s="371">
        <v>258977.98381683425</v>
      </c>
      <c r="G15" s="9">
        <f t="shared" si="1"/>
        <v>0.13996143304647951</v>
      </c>
    </row>
    <row r="16" spans="1:12" x14ac:dyDescent="0.25">
      <c r="A16">
        <v>5</v>
      </c>
      <c r="B16" s="6">
        <v>206551.5250263804</v>
      </c>
      <c r="C16" s="9">
        <f t="shared" si="0"/>
        <v>0.11247916584262117</v>
      </c>
      <c r="E16" s="371">
        <v>5</v>
      </c>
      <c r="F16" s="371">
        <v>138278.03610439537</v>
      </c>
      <c r="G16" s="9">
        <f t="shared" si="1"/>
        <v>7.4730646237913811E-2</v>
      </c>
    </row>
    <row r="17" spans="1:7" x14ac:dyDescent="0.25">
      <c r="A17">
        <v>6</v>
      </c>
      <c r="B17" s="6">
        <v>195336.43941758451</v>
      </c>
      <c r="C17" s="9">
        <f t="shared" si="0"/>
        <v>0.10637190774336562</v>
      </c>
      <c r="E17" s="371">
        <v>6</v>
      </c>
      <c r="F17" s="371">
        <v>122893.06732225518</v>
      </c>
      <c r="G17" s="9">
        <f t="shared" si="1"/>
        <v>6.6416031047895799E-2</v>
      </c>
    </row>
    <row r="18" spans="1:7" x14ac:dyDescent="0.25">
      <c r="A18">
        <v>7</v>
      </c>
      <c r="B18" s="6">
        <v>96019.9389225083</v>
      </c>
      <c r="C18" s="9">
        <f t="shared" si="0"/>
        <v>5.2288370337056474E-2</v>
      </c>
      <c r="E18" s="371">
        <v>7</v>
      </c>
      <c r="F18" s="371">
        <v>79440.975936446135</v>
      </c>
      <c r="G18" s="9">
        <f t="shared" si="1"/>
        <v>4.2932888235548743E-2</v>
      </c>
    </row>
    <row r="19" spans="1:7" x14ac:dyDescent="0.25">
      <c r="A19">
        <v>8</v>
      </c>
      <c r="B19" s="6">
        <v>81411.287863505</v>
      </c>
      <c r="C19" s="9">
        <f t="shared" si="0"/>
        <v>4.4333120987080712E-2</v>
      </c>
      <c r="E19" s="371">
        <v>8</v>
      </c>
      <c r="F19" s="371">
        <v>82256.466225035809</v>
      </c>
      <c r="G19" s="9">
        <f t="shared" si="1"/>
        <v>4.4454484974050502E-2</v>
      </c>
    </row>
    <row r="20" spans="1:7" x14ac:dyDescent="0.25">
      <c r="A20">
        <v>9</v>
      </c>
      <c r="B20" s="6">
        <v>62555.523092298201</v>
      </c>
      <c r="C20" s="9">
        <f t="shared" si="0"/>
        <v>3.4065074345841204E-2</v>
      </c>
      <c r="E20" s="371">
        <v>9</v>
      </c>
      <c r="F20" s="371">
        <v>41902.487615384758</v>
      </c>
      <c r="G20" s="9">
        <f t="shared" si="1"/>
        <v>2.2645678711475038E-2</v>
      </c>
    </row>
    <row r="21" spans="1:7" x14ac:dyDescent="0.25">
      <c r="A21">
        <v>10</v>
      </c>
      <c r="B21" s="6">
        <v>119012.2937959228</v>
      </c>
      <c r="C21" s="9">
        <f t="shared" si="0"/>
        <v>6.4809027817503001E-2</v>
      </c>
      <c r="E21" s="371">
        <v>10</v>
      </c>
      <c r="F21" s="371">
        <v>42143.709518488206</v>
      </c>
      <c r="G21" s="9">
        <f t="shared" si="1"/>
        <v>2.2776044091353954E-2</v>
      </c>
    </row>
    <row r="22" spans="1:7" x14ac:dyDescent="0.25">
      <c r="A22">
        <v>11</v>
      </c>
      <c r="B22" s="6">
        <v>36479.278934570102</v>
      </c>
      <c r="C22" s="9">
        <f t="shared" si="0"/>
        <v>1.9865062069024664E-2</v>
      </c>
      <c r="E22" s="371">
        <v>11</v>
      </c>
      <c r="F22" s="371">
        <v>31130.349642696117</v>
      </c>
      <c r="G22" s="9">
        <f t="shared" si="1"/>
        <v>1.6824010608991736E-2</v>
      </c>
    </row>
    <row r="23" spans="1:7" x14ac:dyDescent="0.25">
      <c r="A23">
        <v>12</v>
      </c>
      <c r="B23" s="6">
        <v>32629.1127797312</v>
      </c>
      <c r="C23" s="9">
        <f t="shared" si="0"/>
        <v>1.7768425516007387E-2</v>
      </c>
      <c r="E23" s="371">
        <v>12</v>
      </c>
      <c r="F23" s="371">
        <v>32511.3799902313</v>
      </c>
      <c r="G23" s="9">
        <f t="shared" si="1"/>
        <v>1.7570371298317396E-2</v>
      </c>
    </row>
    <row r="24" spans="1:7" x14ac:dyDescent="0.25">
      <c r="A24">
        <v>13</v>
      </c>
      <c r="B24" s="6">
        <v>17994.800629060501</v>
      </c>
      <c r="C24" s="9">
        <f t="shared" si="0"/>
        <v>9.7992022281244012E-3</v>
      </c>
      <c r="E24" s="371">
        <v>13</v>
      </c>
      <c r="F24" s="371">
        <v>22316.140591929485</v>
      </c>
      <c r="G24" s="9">
        <f t="shared" si="1"/>
        <v>1.2060480861269773E-2</v>
      </c>
    </row>
    <row r="25" spans="1:7" x14ac:dyDescent="0.25">
      <c r="A25">
        <v>14</v>
      </c>
      <c r="B25" s="6">
        <v>18414.082207553602</v>
      </c>
      <c r="C25" s="9">
        <f t="shared" si="0"/>
        <v>1.0027525123324804E-2</v>
      </c>
      <c r="E25" s="371">
        <v>14</v>
      </c>
      <c r="F25" s="371">
        <v>23319.888372546029</v>
      </c>
      <c r="G25" s="9">
        <f t="shared" si="1"/>
        <v>1.2602943875777119E-2</v>
      </c>
    </row>
    <row r="26" spans="1:7" x14ac:dyDescent="0.25">
      <c r="A26">
        <v>15</v>
      </c>
      <c r="B26" s="6">
        <v>17555.1507469961</v>
      </c>
      <c r="C26" s="9">
        <f t="shared" si="0"/>
        <v>9.5597876220541011E-3</v>
      </c>
      <c r="E26" s="371">
        <v>15</v>
      </c>
      <c r="F26" s="371">
        <v>24405.817606653458</v>
      </c>
      <c r="G26" s="9">
        <f t="shared" si="1"/>
        <v>1.3189820835558525E-2</v>
      </c>
    </row>
    <row r="27" spans="1:7" x14ac:dyDescent="0.25">
      <c r="A27">
        <v>16</v>
      </c>
      <c r="B27" s="6">
        <v>30793.3270430476</v>
      </c>
      <c r="C27" s="9">
        <f t="shared" si="0"/>
        <v>1.676873476910256E-2</v>
      </c>
      <c r="E27" s="371">
        <v>16</v>
      </c>
      <c r="F27" s="371">
        <v>24294.320187341415</v>
      </c>
      <c r="G27" s="9">
        <f t="shared" si="1"/>
        <v>1.312956344086456E-2</v>
      </c>
    </row>
    <row r="28" spans="1:7" x14ac:dyDescent="0.25">
      <c r="A28">
        <v>17</v>
      </c>
      <c r="B28" s="6">
        <v>14174.901381359199</v>
      </c>
      <c r="C28" s="9">
        <f t="shared" si="0"/>
        <v>7.719047744009974E-3</v>
      </c>
      <c r="E28" s="371">
        <v>17</v>
      </c>
      <c r="F28" s="371">
        <v>18521.307177988994</v>
      </c>
      <c r="G28" s="9">
        <f t="shared" si="1"/>
        <v>1.0009610300923512E-2</v>
      </c>
    </row>
    <row r="29" spans="1:7" x14ac:dyDescent="0.25">
      <c r="A29">
        <v>18</v>
      </c>
      <c r="B29" s="6">
        <v>14542.7372729443</v>
      </c>
      <c r="C29" s="9">
        <f t="shared" si="0"/>
        <v>7.9193555086085887E-3</v>
      </c>
      <c r="E29" s="371">
        <v>18</v>
      </c>
      <c r="F29" s="371">
        <v>12890.373978330286</v>
      </c>
      <c r="G29" s="9">
        <f t="shared" si="1"/>
        <v>6.9664424285122619E-3</v>
      </c>
    </row>
    <row r="30" spans="1:7" x14ac:dyDescent="0.25">
      <c r="A30">
        <v>19</v>
      </c>
      <c r="B30" s="6">
        <v>18690.2688199726</v>
      </c>
      <c r="C30" s="9">
        <f t="shared" si="0"/>
        <v>1.0177924592792873E-2</v>
      </c>
      <c r="E30" s="371">
        <v>19</v>
      </c>
      <c r="F30" s="371">
        <v>10156.621565936077</v>
      </c>
      <c r="G30" s="9">
        <f t="shared" si="1"/>
        <v>5.4890199094475636E-3</v>
      </c>
    </row>
    <row r="31" spans="1:7" x14ac:dyDescent="0.25">
      <c r="A31">
        <v>20</v>
      </c>
      <c r="B31" s="6">
        <v>8832.9782351173999</v>
      </c>
      <c r="C31" s="9">
        <f t="shared" si="0"/>
        <v>4.810063850485451E-3</v>
      </c>
      <c r="E31" s="371">
        <v>20</v>
      </c>
      <c r="F31" s="371">
        <v>9860.5548252812241</v>
      </c>
      <c r="G31" s="9">
        <f t="shared" si="1"/>
        <v>5.3290143186682289E-3</v>
      </c>
    </row>
    <row r="32" spans="1:7" x14ac:dyDescent="0.25">
      <c r="A32">
        <v>21</v>
      </c>
      <c r="B32" s="6">
        <v>9212.629900026699</v>
      </c>
      <c r="C32" s="9">
        <f t="shared" si="0"/>
        <v>5.0168059821366524E-3</v>
      </c>
      <c r="E32" s="371">
        <v>21</v>
      </c>
      <c r="F32" s="371">
        <v>8241.3405213904171</v>
      </c>
      <c r="G32" s="9">
        <f t="shared" si="1"/>
        <v>4.4539300700310912E-3</v>
      </c>
    </row>
    <row r="33" spans="1:7" x14ac:dyDescent="0.25">
      <c r="A33">
        <v>22</v>
      </c>
      <c r="B33" s="6">
        <v>12829.9965571878</v>
      </c>
      <c r="C33" s="9">
        <f t="shared" si="0"/>
        <v>6.9866698410087948E-3</v>
      </c>
      <c r="E33" s="371">
        <v>22</v>
      </c>
      <c r="F33" s="371">
        <v>6486.8737159670445</v>
      </c>
      <c r="G33" s="9">
        <f t="shared" si="1"/>
        <v>3.5057502877172083E-3</v>
      </c>
    </row>
    <row r="34" spans="1:7" x14ac:dyDescent="0.25">
      <c r="A34">
        <v>23</v>
      </c>
      <c r="B34" s="6">
        <v>14398.751720231399</v>
      </c>
      <c r="C34" s="9">
        <f t="shared" si="0"/>
        <v>7.8409471073127499E-3</v>
      </c>
      <c r="E34" s="371">
        <v>23</v>
      </c>
      <c r="F34" s="371">
        <v>6090.5463031475474</v>
      </c>
      <c r="G34" s="9">
        <f t="shared" si="1"/>
        <v>3.2915600626011892E-3</v>
      </c>
    </row>
    <row r="35" spans="1:7" x14ac:dyDescent="0.25">
      <c r="A35">
        <v>24</v>
      </c>
      <c r="B35" s="6">
        <v>1073.090578754</v>
      </c>
      <c r="C35" s="9">
        <f t="shared" si="0"/>
        <v>5.843594384326616E-4</v>
      </c>
      <c r="E35" s="371">
        <v>24</v>
      </c>
      <c r="F35" s="371">
        <v>6015.2072262401398</v>
      </c>
      <c r="G35" s="9">
        <f t="shared" si="1"/>
        <v>3.2508439947217765E-3</v>
      </c>
    </row>
    <row r="36" spans="1:7" x14ac:dyDescent="0.25">
      <c r="A36">
        <v>25</v>
      </c>
      <c r="B36" s="6">
        <v>1734.2051272889998</v>
      </c>
      <c r="C36" s="9">
        <f t="shared" si="0"/>
        <v>9.4437427219455487E-4</v>
      </c>
      <c r="E36" s="371">
        <v>25</v>
      </c>
      <c r="F36" s="371">
        <v>5292.4455821950269</v>
      </c>
      <c r="G36" s="9">
        <f t="shared" si="1"/>
        <v>2.8602364459228429E-3</v>
      </c>
    </row>
    <row r="37" spans="1:7" x14ac:dyDescent="0.25">
      <c r="A37">
        <v>26</v>
      </c>
      <c r="B37" s="6">
        <v>1382.3037132361001</v>
      </c>
      <c r="C37" s="9">
        <f t="shared" si="0"/>
        <v>7.5274374559130793E-4</v>
      </c>
      <c r="E37" s="371">
        <v>26</v>
      </c>
      <c r="F37" s="371">
        <v>4026.227468913617</v>
      </c>
      <c r="G37" s="9">
        <f t="shared" si="1"/>
        <v>2.1759246018333541E-3</v>
      </c>
    </row>
    <row r="38" spans="1:7" x14ac:dyDescent="0.25">
      <c r="A38">
        <v>27</v>
      </c>
      <c r="B38" s="6">
        <v>2415.6917575699999</v>
      </c>
      <c r="C38" s="9">
        <f t="shared" si="0"/>
        <v>1.3154828742594183E-3</v>
      </c>
      <c r="E38" s="371">
        <v>27</v>
      </c>
      <c r="F38" s="371">
        <v>3972.2661413472474</v>
      </c>
      <c r="G38" s="9">
        <f t="shared" si="1"/>
        <v>2.146761872925011E-3</v>
      </c>
    </row>
    <row r="39" spans="1:7" x14ac:dyDescent="0.25">
      <c r="A39">
        <v>28</v>
      </c>
      <c r="B39" s="6">
        <v>3355.6392179847999</v>
      </c>
      <c r="C39" s="9">
        <f t="shared" si="0"/>
        <v>1.8273382394998537E-3</v>
      </c>
      <c r="E39" s="371">
        <v>28</v>
      </c>
      <c r="F39" s="371">
        <v>3109.0435242248905</v>
      </c>
      <c r="G39" s="9">
        <f t="shared" si="1"/>
        <v>1.6802439367284434E-3</v>
      </c>
    </row>
    <row r="40" spans="1:7" x14ac:dyDescent="0.25">
      <c r="A40">
        <v>29</v>
      </c>
      <c r="B40" s="6">
        <v>1049.6642425371999</v>
      </c>
      <c r="C40" s="9">
        <f t="shared" si="0"/>
        <v>5.7160245319095053E-4</v>
      </c>
      <c r="E40" s="371">
        <v>29</v>
      </c>
      <c r="F40" s="371">
        <v>3125.9310029788585</v>
      </c>
      <c r="G40" s="9">
        <f t="shared" si="1"/>
        <v>1.6893705647611145E-3</v>
      </c>
    </row>
    <row r="41" spans="1:7" x14ac:dyDescent="0.25">
      <c r="A41">
        <v>30</v>
      </c>
      <c r="B41" s="6">
        <v>1586.4049019792001</v>
      </c>
      <c r="C41" s="9">
        <f t="shared" si="0"/>
        <v>8.638885626260852E-4</v>
      </c>
      <c r="E41" s="371">
        <v>30</v>
      </c>
      <c r="F41" s="371">
        <v>2617.6941366342658</v>
      </c>
      <c r="G41" s="9">
        <f t="shared" si="1"/>
        <v>1.4147002661810178E-3</v>
      </c>
    </row>
    <row r="42" spans="1:7" x14ac:dyDescent="0.25">
      <c r="A42">
        <v>31</v>
      </c>
      <c r="B42" s="6">
        <v>2692.1023777700002</v>
      </c>
      <c r="C42" s="9">
        <f t="shared" si="0"/>
        <v>1.4660043288270705E-3</v>
      </c>
      <c r="E42" s="371">
        <v>31</v>
      </c>
      <c r="F42" s="371">
        <v>1897.7291785704942</v>
      </c>
      <c r="G42" s="9">
        <f t="shared" si="1"/>
        <v>1.025604151566414E-3</v>
      </c>
    </row>
    <row r="43" spans="1:7" x14ac:dyDescent="0.25">
      <c r="A43">
        <v>32</v>
      </c>
      <c r="B43" s="6">
        <v>1018.187280604</v>
      </c>
      <c r="C43" s="9">
        <f t="shared" si="0"/>
        <v>5.5446143996892719E-4</v>
      </c>
      <c r="E43" s="371">
        <v>32</v>
      </c>
      <c r="F43" s="371">
        <v>1796.4188075291222</v>
      </c>
      <c r="G43" s="9">
        <f t="shared" si="1"/>
        <v>9.7085222051636127E-4</v>
      </c>
    </row>
    <row r="44" spans="1:7" x14ac:dyDescent="0.25">
      <c r="A44">
        <v>33</v>
      </c>
      <c r="B44" s="6">
        <v>1938.4504638210001</v>
      </c>
      <c r="C44" s="9">
        <f t="shared" si="0"/>
        <v>1.0555975859775479E-3</v>
      </c>
      <c r="E44" s="371">
        <v>33</v>
      </c>
      <c r="F44" s="371">
        <v>1296.9147880580704</v>
      </c>
      <c r="G44" s="9">
        <f t="shared" si="1"/>
        <v>7.0090148050638899E-4</v>
      </c>
    </row>
    <row r="45" spans="1:7" x14ac:dyDescent="0.25">
      <c r="A45">
        <v>34</v>
      </c>
      <c r="B45" s="6">
        <v>1449.092665293</v>
      </c>
      <c r="C45" s="9">
        <f t="shared" si="0"/>
        <v>7.8911416509754712E-4</v>
      </c>
      <c r="E45" s="371">
        <v>34</v>
      </c>
      <c r="F45" s="371">
        <v>1189.7976991955763</v>
      </c>
      <c r="G45" s="9">
        <f t="shared" si="1"/>
        <v>6.4301138096972243E-4</v>
      </c>
    </row>
    <row r="46" spans="1:7" x14ac:dyDescent="0.25">
      <c r="A46">
        <v>35</v>
      </c>
      <c r="B46" s="6">
        <v>1498.4045400750001</v>
      </c>
      <c r="C46" s="9">
        <f t="shared" si="0"/>
        <v>8.1596731247037218E-4</v>
      </c>
      <c r="E46" s="371">
        <v>35</v>
      </c>
      <c r="F46" s="371">
        <v>1076.2891951749828</v>
      </c>
      <c r="G46" s="9">
        <f t="shared" si="1"/>
        <v>5.8166712053667918E-4</v>
      </c>
    </row>
    <row r="47" spans="1:7" x14ac:dyDescent="0.25">
      <c r="A47">
        <v>36</v>
      </c>
      <c r="B47" s="6">
        <v>1085.2722949449999</v>
      </c>
      <c r="C47" s="9">
        <f t="shared" si="0"/>
        <v>5.9099308238915252E-4</v>
      </c>
      <c r="E47" s="371">
        <v>36</v>
      </c>
      <c r="F47" s="371">
        <v>1181.9145590814135</v>
      </c>
      <c r="G47" s="9">
        <f t="shared" si="1"/>
        <v>6.3875103585843776E-4</v>
      </c>
    </row>
    <row r="48" spans="1:7" x14ac:dyDescent="0.25">
      <c r="A48">
        <v>37</v>
      </c>
      <c r="B48" s="6">
        <v>570.85698864400001</v>
      </c>
      <c r="C48" s="9">
        <f t="shared" si="0"/>
        <v>3.1086440969103018E-4</v>
      </c>
      <c r="E48" s="371">
        <v>37</v>
      </c>
      <c r="F48" s="371">
        <v>657.24521330208438</v>
      </c>
      <c r="G48" s="9">
        <f t="shared" si="1"/>
        <v>3.5520000797349362E-4</v>
      </c>
    </row>
    <row r="49" spans="1:7" x14ac:dyDescent="0.25">
      <c r="A49">
        <v>38</v>
      </c>
      <c r="B49" s="6">
        <v>4.59375</v>
      </c>
      <c r="C49" s="9">
        <f t="shared" si="0"/>
        <v>2.5015606542897654E-6</v>
      </c>
      <c r="E49" s="371">
        <v>38</v>
      </c>
      <c r="F49" s="371">
        <v>791.00036642068687</v>
      </c>
      <c r="G49" s="9">
        <f t="shared" si="1"/>
        <v>4.274863183073916E-4</v>
      </c>
    </row>
    <row r="50" spans="1:7" x14ac:dyDescent="0.25">
      <c r="A50">
        <v>39</v>
      </c>
      <c r="B50" s="6">
        <v>396.03715620290001</v>
      </c>
      <c r="C50" s="9">
        <f t="shared" si="0"/>
        <v>2.1566497253746605E-4</v>
      </c>
      <c r="E50" s="371">
        <v>39</v>
      </c>
      <c r="F50" s="371">
        <v>804.11108559495415</v>
      </c>
      <c r="G50" s="9">
        <f t="shared" si="1"/>
        <v>4.3457184355882855E-4</v>
      </c>
    </row>
    <row r="51" spans="1:7" x14ac:dyDescent="0.25">
      <c r="A51">
        <v>40</v>
      </c>
      <c r="B51" s="6">
        <v>2029.291388077</v>
      </c>
      <c r="C51" s="9">
        <f t="shared" si="0"/>
        <v>1.1050656854427181E-3</v>
      </c>
      <c r="E51" s="371">
        <v>40</v>
      </c>
      <c r="F51" s="371">
        <v>612.44356067441743</v>
      </c>
      <c r="G51" s="9">
        <f t="shared" si="1"/>
        <v>3.3098751155891907E-4</v>
      </c>
    </row>
    <row r="52" spans="1:7" x14ac:dyDescent="0.25">
      <c r="A52">
        <v>41</v>
      </c>
      <c r="B52" s="6">
        <v>2470.933528429</v>
      </c>
      <c r="C52" s="9">
        <f t="shared" si="0"/>
        <v>1.3455651905487605E-3</v>
      </c>
      <c r="E52" s="371">
        <v>41</v>
      </c>
      <c r="F52" s="371">
        <v>568.78715216020839</v>
      </c>
      <c r="G52" s="9">
        <f t="shared" si="1"/>
        <v>3.0739394809356767E-4</v>
      </c>
    </row>
    <row r="53" spans="1:7" x14ac:dyDescent="0.25">
      <c r="A53">
        <v>42</v>
      </c>
      <c r="B53" s="6">
        <v>0</v>
      </c>
      <c r="C53" s="9">
        <f t="shared" si="0"/>
        <v>0</v>
      </c>
      <c r="E53" s="371">
        <v>42</v>
      </c>
      <c r="F53" s="371">
        <v>294.83000542645516</v>
      </c>
      <c r="G53" s="9">
        <f t="shared" si="1"/>
        <v>1.593372125939984E-4</v>
      </c>
    </row>
    <row r="54" spans="1:7" x14ac:dyDescent="0.25">
      <c r="A54">
        <v>43</v>
      </c>
      <c r="B54" s="6">
        <v>143.58927395500001</v>
      </c>
      <c r="C54" s="9">
        <f t="shared" si="0"/>
        <v>7.8192604757303344E-5</v>
      </c>
      <c r="E54" s="371">
        <v>43</v>
      </c>
      <c r="F54" s="371">
        <v>179.5828937462467</v>
      </c>
      <c r="G54" s="9">
        <f t="shared" si="1"/>
        <v>9.7053343256912525E-5</v>
      </c>
    </row>
    <row r="55" spans="1:7" x14ac:dyDescent="0.25">
      <c r="A55">
        <v>44</v>
      </c>
      <c r="B55" s="6">
        <v>1125.3988481578001</v>
      </c>
      <c r="C55" s="9">
        <f t="shared" si="0"/>
        <v>6.1284429473405712E-4</v>
      </c>
      <c r="E55" s="371">
        <v>44</v>
      </c>
      <c r="F55" s="371">
        <v>222.81807313899043</v>
      </c>
      <c r="G55" s="9">
        <f t="shared" si="1"/>
        <v>1.2041925867816264E-4</v>
      </c>
    </row>
    <row r="56" spans="1:7" x14ac:dyDescent="0.25">
      <c r="A56">
        <v>45</v>
      </c>
      <c r="B56" s="6">
        <v>0</v>
      </c>
      <c r="C56" s="9">
        <f t="shared" si="0"/>
        <v>0</v>
      </c>
      <c r="E56" s="371">
        <v>45</v>
      </c>
      <c r="F56" s="371">
        <v>192.65535058773858</v>
      </c>
      <c r="G56" s="9">
        <f t="shared" si="1"/>
        <v>1.0411819010608522E-4</v>
      </c>
    </row>
    <row r="57" spans="1:7" x14ac:dyDescent="0.25">
      <c r="A57">
        <v>46</v>
      </c>
      <c r="B57" s="6">
        <v>1531.936598843</v>
      </c>
      <c r="C57" s="9">
        <f t="shared" si="0"/>
        <v>8.3422744392536228E-4</v>
      </c>
      <c r="E57" s="371">
        <v>46</v>
      </c>
      <c r="F57" s="371">
        <v>160.61476020920739</v>
      </c>
      <c r="G57" s="9">
        <f t="shared" si="1"/>
        <v>8.6802251202930595E-5</v>
      </c>
    </row>
    <row r="58" spans="1:7" x14ac:dyDescent="0.25">
      <c r="A58">
        <v>47</v>
      </c>
      <c r="B58" s="6">
        <v>5149.1823438000001</v>
      </c>
      <c r="C58" s="9">
        <f t="shared" si="0"/>
        <v>2.8040254591594309E-3</v>
      </c>
      <c r="E58" s="371">
        <v>47</v>
      </c>
      <c r="F58" s="371">
        <v>157.67737491689786</v>
      </c>
      <c r="G58" s="9">
        <f t="shared" si="1"/>
        <v>8.521477782445197E-5</v>
      </c>
    </row>
    <row r="59" spans="1:7" x14ac:dyDescent="0.25">
      <c r="A59">
        <v>48</v>
      </c>
      <c r="B59" s="6">
        <v>213.88651063500001</v>
      </c>
      <c r="C59" s="9">
        <f t="shared" si="0"/>
        <v>1.1647348669123168E-4</v>
      </c>
      <c r="E59" s="371">
        <v>48</v>
      </c>
      <c r="F59" s="371">
        <v>140.10952702126056</v>
      </c>
      <c r="G59" s="9">
        <f t="shared" si="1"/>
        <v>7.5720452744081388E-5</v>
      </c>
    </row>
    <row r="60" spans="1:7" x14ac:dyDescent="0.25">
      <c r="A60">
        <v>49</v>
      </c>
      <c r="B60" s="6">
        <v>406.81201188400001</v>
      </c>
      <c r="C60" s="9">
        <f t="shared" si="0"/>
        <v>2.2153250016249796E-4</v>
      </c>
      <c r="E60" s="371">
        <v>49</v>
      </c>
      <c r="F60" s="371">
        <v>130.3454886394961</v>
      </c>
      <c r="G60" s="9">
        <f t="shared" si="1"/>
        <v>7.0443599537906452E-5</v>
      </c>
    </row>
    <row r="61" spans="1:7" x14ac:dyDescent="0.25">
      <c r="A61">
        <v>50</v>
      </c>
      <c r="B61" s="6">
        <v>454.36723363099998</v>
      </c>
      <c r="C61" s="9">
        <f t="shared" si="0"/>
        <v>2.4742904908839076E-4</v>
      </c>
      <c r="E61" s="371">
        <v>50</v>
      </c>
      <c r="F61" s="371">
        <v>66.049222408240283</v>
      </c>
      <c r="G61" s="9">
        <f t="shared" si="1"/>
        <v>3.5695481459926516E-5</v>
      </c>
    </row>
    <row r="62" spans="1:7" x14ac:dyDescent="0.25">
      <c r="A62">
        <v>51</v>
      </c>
      <c r="B62" s="6">
        <v>94.724486434799999</v>
      </c>
      <c r="C62" s="9">
        <f t="shared" si="0"/>
        <v>5.1582922070878976E-5</v>
      </c>
      <c r="E62" s="371">
        <v>51</v>
      </c>
      <c r="F62" s="371">
        <v>112.58869106552844</v>
      </c>
      <c r="G62" s="9">
        <f t="shared" si="1"/>
        <v>6.0847158951951064E-5</v>
      </c>
    </row>
    <row r="63" spans="1:7" x14ac:dyDescent="0.25">
      <c r="A63">
        <v>52</v>
      </c>
      <c r="B63" s="6">
        <v>0</v>
      </c>
      <c r="C63" s="9">
        <f t="shared" si="0"/>
        <v>0</v>
      </c>
      <c r="E63" s="371">
        <v>52</v>
      </c>
      <c r="F63" s="371">
        <v>87.211348482922361</v>
      </c>
      <c r="G63" s="9">
        <f t="shared" si="1"/>
        <v>4.7132289516234522E-5</v>
      </c>
    </row>
    <row r="64" spans="1:7" x14ac:dyDescent="0.25">
      <c r="A64">
        <v>53</v>
      </c>
      <c r="B64" s="6">
        <v>0</v>
      </c>
      <c r="C64" s="9">
        <f t="shared" si="0"/>
        <v>0</v>
      </c>
      <c r="E64" s="371">
        <v>53</v>
      </c>
      <c r="F64" s="371">
        <v>46.688960358880131</v>
      </c>
      <c r="G64" s="9">
        <f t="shared" si="1"/>
        <v>2.5232468424423526E-5</v>
      </c>
    </row>
    <row r="65" spans="1:7" x14ac:dyDescent="0.25">
      <c r="A65">
        <v>54</v>
      </c>
      <c r="B65" s="6">
        <v>0</v>
      </c>
      <c r="C65" s="9">
        <f t="shared" si="0"/>
        <v>0</v>
      </c>
      <c r="E65" s="371">
        <v>54</v>
      </c>
      <c r="F65" s="371">
        <v>74.022503881672122</v>
      </c>
      <c r="G65" s="9">
        <f t="shared" si="1"/>
        <v>4.0004542348645681E-5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58.227082156172912</v>
      </c>
      <c r="G66" s="9">
        <f t="shared" si="1"/>
        <v>3.1468102966068869E-5</v>
      </c>
    </row>
    <row r="67" spans="1:7" x14ac:dyDescent="0.25">
      <c r="A67">
        <v>56</v>
      </c>
      <c r="B67" s="6">
        <v>767.70177890100001</v>
      </c>
      <c r="C67" s="9">
        <f t="shared" si="0"/>
        <v>4.1805770107798695E-4</v>
      </c>
      <c r="E67" s="371">
        <v>56</v>
      </c>
      <c r="F67" s="371">
        <v>47.406066954116497</v>
      </c>
      <c r="G67" s="9">
        <f t="shared" si="1"/>
        <v>2.5620019772368799E-5</v>
      </c>
    </row>
    <row r="68" spans="1:7" x14ac:dyDescent="0.25">
      <c r="A68">
        <v>57</v>
      </c>
      <c r="B68" s="6">
        <v>654.90721806900001</v>
      </c>
      <c r="C68" s="9">
        <f t="shared" si="0"/>
        <v>3.5663458588991079E-4</v>
      </c>
      <c r="E68" s="371">
        <v>57</v>
      </c>
      <c r="F68" s="371">
        <v>90.139957247607654</v>
      </c>
      <c r="G68" s="9">
        <f t="shared" si="1"/>
        <v>4.8715019729424132E-5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40.492019719186899</v>
      </c>
      <c r="G69" s="9">
        <f t="shared" si="1"/>
        <v>2.1883408864793683E-5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32.154261111401262</v>
      </c>
      <c r="G70" s="9">
        <f t="shared" si="1"/>
        <v>1.7377370838153357E-5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10</v>
      </c>
      <c r="G71" s="9">
        <f t="shared" si="1"/>
        <v>5.404375730466307E-6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5.4978021978021996</v>
      </c>
      <c r="G72" s="9">
        <f t="shared" si="1"/>
        <v>2.9712188768706532E-6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30.16195165014258</v>
      </c>
      <c r="G73" s="9">
        <f t="shared" si="1"/>
        <v>1.6300651948152876E-5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10.012499999999999</v>
      </c>
      <c r="G74" s="9">
        <f t="shared" si="1"/>
        <v>5.4111312001293896E-6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0.25</v>
      </c>
      <c r="G75" s="9">
        <f t="shared" si="1"/>
        <v>1.3510939326165768E-7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30.019140405431351</v>
      </c>
      <c r="G76" s="9">
        <f t="shared" si="1"/>
        <v>1.6223471385657369E-5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14.974358974358971</v>
      </c>
      <c r="G77" s="9">
        <f t="shared" ref="G77:G102" si="3">F77/F$102</f>
        <v>8.0927062220315972E-6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9.9905882352941209</v>
      </c>
      <c r="G78" s="9">
        <f t="shared" si="3"/>
        <v>5.3992892591905759E-6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0</v>
      </c>
      <c r="G79" s="9">
        <f t="shared" si="3"/>
        <v>0</v>
      </c>
    </row>
    <row r="80" spans="1:7" x14ac:dyDescent="0.25">
      <c r="A80">
        <v>69</v>
      </c>
      <c r="B80" s="6">
        <v>376.59752303599998</v>
      </c>
      <c r="C80" s="9">
        <f t="shared" si="2"/>
        <v>2.0507897602826475E-4</v>
      </c>
      <c r="E80" s="371">
        <v>69</v>
      </c>
      <c r="F80" s="371">
        <v>9.9776785714285694</v>
      </c>
      <c r="G80" s="9">
        <f t="shared" si="3"/>
        <v>5.3923123917822296E-6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0</v>
      </c>
      <c r="G81" s="9">
        <f t="shared" si="3"/>
        <v>0</v>
      </c>
    </row>
    <row r="82" spans="1:7" x14ac:dyDescent="0.25">
      <c r="A82">
        <v>71</v>
      </c>
      <c r="B82" s="6">
        <v>5138.6398891689996</v>
      </c>
      <c r="C82" s="9">
        <f t="shared" si="2"/>
        <v>2.7982844872509586E-3</v>
      </c>
      <c r="E82" s="371">
        <v>71</v>
      </c>
      <c r="F82" s="371">
        <v>0</v>
      </c>
      <c r="G82" s="9">
        <f t="shared" si="3"/>
        <v>0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0</v>
      </c>
      <c r="G83" s="9">
        <f t="shared" si="3"/>
        <v>0</v>
      </c>
    </row>
    <row r="84" spans="1:7" x14ac:dyDescent="0.25">
      <c r="A84">
        <v>73</v>
      </c>
      <c r="B84" s="6">
        <v>224.14029938100001</v>
      </c>
      <c r="C84" s="9">
        <f t="shared" si="2"/>
        <v>1.2205726344973895E-4</v>
      </c>
      <c r="E84" s="371">
        <v>73</v>
      </c>
      <c r="F84" s="371">
        <v>0</v>
      </c>
      <c r="G84" s="9">
        <f t="shared" si="3"/>
        <v>0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1.9973544973545001</v>
      </c>
      <c r="G85" s="9">
        <f t="shared" si="3"/>
        <v>1.079445417064039E-6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0</v>
      </c>
      <c r="G86" s="9">
        <f t="shared" si="3"/>
        <v>0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0</v>
      </c>
      <c r="G87" s="9">
        <f t="shared" si="3"/>
        <v>0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85.726011573299999</v>
      </c>
      <c r="C93" s="9">
        <f t="shared" si="2"/>
        <v>4.6682735804289817E-5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297.86849481799999</v>
      </c>
      <c r="C95" s="9">
        <f t="shared" si="2"/>
        <v>1.6220649943710991E-4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176.09468512230001</v>
      </c>
      <c r="C101" s="9">
        <f t="shared" si="2"/>
        <v>9.5893667642229342E-5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1836353.6347289735</v>
      </c>
      <c r="C102" s="9">
        <f t="shared" si="2"/>
        <v>1</v>
      </c>
      <c r="F102" s="6">
        <f>SUM(F11:F101)</f>
        <v>1850352.4733905145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0</v>
      </c>
      <c r="C11" s="9">
        <f>B11/B$102</f>
        <v>0</v>
      </c>
      <c r="E11" s="371">
        <v>0</v>
      </c>
      <c r="F11" s="371">
        <v>16596.987490259697</v>
      </c>
      <c r="G11" s="9">
        <f>F11/F$102</f>
        <v>8.9696356391212421E-3</v>
      </c>
      <c r="K11" s="6">
        <v>28.843529241417421</v>
      </c>
      <c r="L11" s="6">
        <v>20.981612512434904</v>
      </c>
    </row>
    <row r="12" spans="1:12" x14ac:dyDescent="0.25">
      <c r="A12">
        <v>1</v>
      </c>
      <c r="B12" s="6">
        <v>5313.2542177619998</v>
      </c>
      <c r="C12" s="9">
        <f>B12/B$102</f>
        <v>2.8933720157589254E-3</v>
      </c>
      <c r="E12" s="371">
        <v>1</v>
      </c>
      <c r="F12" s="371">
        <v>51643.827707745477</v>
      </c>
      <c r="G12" s="9">
        <f>F12/F$102</f>
        <v>2.791026490921231E-2</v>
      </c>
      <c r="K12" s="6"/>
      <c r="L12" s="371"/>
    </row>
    <row r="13" spans="1:12" x14ac:dyDescent="0.25">
      <c r="A13">
        <v>2</v>
      </c>
      <c r="B13" s="6">
        <v>6389.6046907161999</v>
      </c>
      <c r="C13" s="9">
        <f t="shared" ref="C13:C76" si="0">B13/B$102</f>
        <v>3.4795066537710953E-3</v>
      </c>
      <c r="E13" s="371">
        <v>2</v>
      </c>
      <c r="F13" s="371">
        <v>59694.279851233485</v>
      </c>
      <c r="G13" s="9">
        <f t="shared" ref="G13:G76" si="1">F13/F$102</f>
        <v>3.2261031727567016E-2</v>
      </c>
    </row>
    <row r="14" spans="1:12" x14ac:dyDescent="0.25">
      <c r="A14">
        <v>3</v>
      </c>
      <c r="B14" s="6">
        <v>13973.773785649</v>
      </c>
      <c r="C14" s="9">
        <f t="shared" si="0"/>
        <v>7.6095222191293133E-3</v>
      </c>
      <c r="E14" s="371">
        <v>3</v>
      </c>
      <c r="F14" s="371">
        <v>64718.13592355857</v>
      </c>
      <c r="G14" s="9">
        <f t="shared" si="1"/>
        <v>3.4976112310629963E-2</v>
      </c>
    </row>
    <row r="15" spans="1:12" x14ac:dyDescent="0.25">
      <c r="A15">
        <v>4</v>
      </c>
      <c r="B15" s="6">
        <v>13800.101385461499</v>
      </c>
      <c r="C15" s="9">
        <f t="shared" si="0"/>
        <v>7.5149476247249334E-3</v>
      </c>
      <c r="E15" s="371">
        <v>4</v>
      </c>
      <c r="F15" s="371">
        <v>65955.096107433215</v>
      </c>
      <c r="G15" s="9">
        <f t="shared" si="1"/>
        <v>3.5644612070358489E-2</v>
      </c>
    </row>
    <row r="16" spans="1:12" x14ac:dyDescent="0.25">
      <c r="A16">
        <v>5</v>
      </c>
      <c r="B16" s="6">
        <v>34458.816754892803</v>
      </c>
      <c r="C16" s="9">
        <f t="shared" si="0"/>
        <v>1.8764804394540573E-2</v>
      </c>
      <c r="E16" s="371">
        <v>5</v>
      </c>
      <c r="F16" s="371">
        <v>65843.802123380694</v>
      </c>
      <c r="G16" s="9">
        <f t="shared" si="1"/>
        <v>3.5584464619722457E-2</v>
      </c>
    </row>
    <row r="17" spans="1:7" x14ac:dyDescent="0.25">
      <c r="A17">
        <v>6</v>
      </c>
      <c r="B17" s="6">
        <v>28394.946194511998</v>
      </c>
      <c r="C17" s="9">
        <f t="shared" si="0"/>
        <v>1.5462678678827998E-2</v>
      </c>
      <c r="E17" s="371">
        <v>6</v>
      </c>
      <c r="F17" s="371">
        <v>62617.143129469565</v>
      </c>
      <c r="G17" s="9">
        <f t="shared" si="1"/>
        <v>3.3840656864004046E-2</v>
      </c>
    </row>
    <row r="18" spans="1:7" x14ac:dyDescent="0.25">
      <c r="A18">
        <v>7</v>
      </c>
      <c r="B18" s="6">
        <v>26352.367265438901</v>
      </c>
      <c r="C18" s="9">
        <f t="shared" si="0"/>
        <v>1.4350377164324468E-2</v>
      </c>
      <c r="E18" s="371">
        <v>7</v>
      </c>
      <c r="F18" s="371">
        <v>58036.473875390038</v>
      </c>
      <c r="G18" s="9">
        <f t="shared" si="1"/>
        <v>3.1365091089399985E-2</v>
      </c>
    </row>
    <row r="19" spans="1:7" x14ac:dyDescent="0.25">
      <c r="A19">
        <v>8</v>
      </c>
      <c r="B19" s="6">
        <v>16526.949671931201</v>
      </c>
      <c r="C19" s="9">
        <f t="shared" si="0"/>
        <v>8.9998730959956977E-3</v>
      </c>
      <c r="E19" s="371">
        <v>8</v>
      </c>
      <c r="F19" s="371">
        <v>53218.095715368407</v>
      </c>
      <c r="G19" s="9">
        <f t="shared" si="1"/>
        <v>2.8761058490577002E-2</v>
      </c>
    </row>
    <row r="20" spans="1:7" x14ac:dyDescent="0.25">
      <c r="A20">
        <v>9</v>
      </c>
      <c r="B20" s="6">
        <v>26699.429964515199</v>
      </c>
      <c r="C20" s="9">
        <f t="shared" si="0"/>
        <v>1.4539372732777448E-2</v>
      </c>
      <c r="E20" s="371">
        <v>9</v>
      </c>
      <c r="F20" s="371">
        <v>48341.437416664339</v>
      </c>
      <c r="G20" s="9">
        <f t="shared" si="1"/>
        <v>2.6125529115047664E-2</v>
      </c>
    </row>
    <row r="21" spans="1:7" x14ac:dyDescent="0.25">
      <c r="A21">
        <v>10</v>
      </c>
      <c r="B21" s="6">
        <v>12987.020080087001</v>
      </c>
      <c r="C21" s="9">
        <f t="shared" si="0"/>
        <v>7.072178165728818E-3</v>
      </c>
      <c r="E21" s="371">
        <v>10</v>
      </c>
      <c r="F21" s="371">
        <v>43578.025937992308</v>
      </c>
      <c r="G21" s="9">
        <f t="shared" si="1"/>
        <v>2.3551202576091688E-2</v>
      </c>
    </row>
    <row r="22" spans="1:7" x14ac:dyDescent="0.25">
      <c r="A22">
        <v>11</v>
      </c>
      <c r="B22" s="6">
        <v>30669.628192100001</v>
      </c>
      <c r="C22" s="9">
        <f t="shared" si="0"/>
        <v>1.6701373641807567E-2</v>
      </c>
      <c r="E22" s="371">
        <v>11</v>
      </c>
      <c r="F22" s="371">
        <v>38010.001278398486</v>
      </c>
      <c r="G22" s="9">
        <f t="shared" si="1"/>
        <v>2.0542032842397012E-2</v>
      </c>
    </row>
    <row r="23" spans="1:7" x14ac:dyDescent="0.25">
      <c r="A23">
        <v>12</v>
      </c>
      <c r="B23" s="6">
        <v>20330.218013868001</v>
      </c>
      <c r="C23" s="9">
        <f t="shared" si="0"/>
        <v>1.1070971096952426E-2</v>
      </c>
      <c r="E23" s="371">
        <v>12</v>
      </c>
      <c r="F23" s="371">
        <v>34910.083683464836</v>
      </c>
      <c r="G23" s="9">
        <f t="shared" si="1"/>
        <v>1.8866720900746523E-2</v>
      </c>
    </row>
    <row r="24" spans="1:7" x14ac:dyDescent="0.25">
      <c r="A24">
        <v>13</v>
      </c>
      <c r="B24" s="6">
        <v>41291.823039756702</v>
      </c>
      <c r="C24" s="9">
        <f t="shared" si="0"/>
        <v>2.2485768677039667E-2</v>
      </c>
      <c r="E24" s="371">
        <v>13</v>
      </c>
      <c r="F24" s="371">
        <v>30343.257947967802</v>
      </c>
      <c r="G24" s="9">
        <f t="shared" si="1"/>
        <v>1.639863668372761E-2</v>
      </c>
    </row>
    <row r="25" spans="1:7" x14ac:dyDescent="0.25">
      <c r="A25">
        <v>14</v>
      </c>
      <c r="B25" s="6">
        <v>29980.084801155099</v>
      </c>
      <c r="C25" s="9">
        <f t="shared" si="0"/>
        <v>1.6325877670931199E-2</v>
      </c>
      <c r="E25" s="371">
        <v>14</v>
      </c>
      <c r="F25" s="371">
        <v>26818.763369086249</v>
      </c>
      <c r="G25" s="9">
        <f t="shared" si="1"/>
        <v>1.4493867387300855E-2</v>
      </c>
    </row>
    <row r="26" spans="1:7" x14ac:dyDescent="0.25">
      <c r="A26">
        <v>15</v>
      </c>
      <c r="B26" s="6">
        <v>17899.941986115198</v>
      </c>
      <c r="C26" s="9">
        <f t="shared" si="0"/>
        <v>9.7475462501301052E-3</v>
      </c>
      <c r="E26" s="371">
        <v>15</v>
      </c>
      <c r="F26" s="371">
        <v>25658.84166739331</v>
      </c>
      <c r="G26" s="9">
        <f t="shared" si="1"/>
        <v>1.3867002117913805E-2</v>
      </c>
    </row>
    <row r="27" spans="1:7" x14ac:dyDescent="0.25">
      <c r="A27">
        <v>16</v>
      </c>
      <c r="B27" s="6">
        <v>72842.591019336993</v>
      </c>
      <c r="C27" s="9">
        <f t="shared" si="0"/>
        <v>3.9666973529359328E-2</v>
      </c>
      <c r="E27" s="371">
        <v>16</v>
      </c>
      <c r="F27" s="371">
        <v>22942.839924766326</v>
      </c>
      <c r="G27" s="9">
        <f t="shared" si="1"/>
        <v>1.2399172727738059E-2</v>
      </c>
    </row>
    <row r="28" spans="1:7" x14ac:dyDescent="0.25">
      <c r="A28">
        <v>17</v>
      </c>
      <c r="B28" s="6">
        <v>46574.581296400902</v>
      </c>
      <c r="C28" s="9">
        <f t="shared" si="0"/>
        <v>2.5362533890850938E-2</v>
      </c>
      <c r="E28" s="371">
        <v>17</v>
      </c>
      <c r="F28" s="371">
        <v>19875.30912111717</v>
      </c>
      <c r="G28" s="9">
        <f t="shared" si="1"/>
        <v>1.0741363824968127E-2</v>
      </c>
    </row>
    <row r="29" spans="1:7" x14ac:dyDescent="0.25">
      <c r="A29">
        <v>18</v>
      </c>
      <c r="B29" s="6">
        <v>113264.12254772949</v>
      </c>
      <c r="C29" s="9">
        <f t="shared" si="0"/>
        <v>6.1678818505154685E-2</v>
      </c>
      <c r="E29" s="371">
        <v>18</v>
      </c>
      <c r="F29" s="371">
        <v>176787.28294619662</v>
      </c>
      <c r="G29" s="9">
        <f t="shared" si="1"/>
        <v>9.5542490140950523E-2</v>
      </c>
    </row>
    <row r="30" spans="1:7" x14ac:dyDescent="0.25">
      <c r="A30">
        <v>19</v>
      </c>
      <c r="B30" s="6">
        <v>83456.422747018602</v>
      </c>
      <c r="C30" s="9">
        <f t="shared" si="0"/>
        <v>4.5446814365543424E-2</v>
      </c>
      <c r="E30" s="371">
        <v>19</v>
      </c>
      <c r="F30" s="371">
        <v>60382.815548720471</v>
      </c>
      <c r="G30" s="9">
        <f t="shared" si="1"/>
        <v>3.2633142288872853E-2</v>
      </c>
    </row>
    <row r="31" spans="1:7" x14ac:dyDescent="0.25">
      <c r="A31">
        <v>20</v>
      </c>
      <c r="B31" s="6">
        <v>112739.6663888013</v>
      </c>
      <c r="C31" s="9">
        <f t="shared" si="0"/>
        <v>6.1393222011641824E-2</v>
      </c>
      <c r="E31" s="371">
        <v>20</v>
      </c>
      <c r="F31" s="371">
        <v>50757.000803156669</v>
      </c>
      <c r="G31" s="9">
        <f t="shared" si="1"/>
        <v>2.743099032918388E-2</v>
      </c>
    </row>
    <row r="32" spans="1:7" x14ac:dyDescent="0.25">
      <c r="A32">
        <v>21</v>
      </c>
      <c r="B32" s="6">
        <v>116179.21893637891</v>
      </c>
      <c r="C32" s="9">
        <f t="shared" si="0"/>
        <v>6.3266255877520952E-2</v>
      </c>
      <c r="E32" s="371">
        <v>21</v>
      </c>
      <c r="F32" s="371">
        <v>80653.894586527837</v>
      </c>
      <c r="G32" s="9">
        <f t="shared" si="1"/>
        <v>4.3588395047101894E-2</v>
      </c>
    </row>
    <row r="33" spans="1:7" x14ac:dyDescent="0.25">
      <c r="A33">
        <v>22</v>
      </c>
      <c r="B33" s="6">
        <v>67523.336907127494</v>
      </c>
      <c r="C33" s="9">
        <f t="shared" si="0"/>
        <v>3.6770334226551751E-2</v>
      </c>
      <c r="E33" s="371">
        <v>22</v>
      </c>
      <c r="F33" s="371">
        <v>61992.377064162691</v>
      </c>
      <c r="G33" s="9">
        <f t="shared" si="1"/>
        <v>3.3503009807947702E-2</v>
      </c>
    </row>
    <row r="34" spans="1:7" x14ac:dyDescent="0.25">
      <c r="A34">
        <v>23</v>
      </c>
      <c r="B34" s="6">
        <v>50583.315418608603</v>
      </c>
      <c r="C34" s="9">
        <f t="shared" si="0"/>
        <v>2.754551980728601E-2</v>
      </c>
      <c r="E34" s="371">
        <v>23</v>
      </c>
      <c r="F34" s="371">
        <v>59101.772768785493</v>
      </c>
      <c r="G34" s="9">
        <f t="shared" si="1"/>
        <v>3.1940818637915883E-2</v>
      </c>
    </row>
    <row r="35" spans="1:7" x14ac:dyDescent="0.25">
      <c r="A35">
        <v>24</v>
      </c>
      <c r="B35" s="6">
        <v>80460.4084551868</v>
      </c>
      <c r="C35" s="9">
        <f t="shared" si="0"/>
        <v>4.381531254847975E-2</v>
      </c>
      <c r="E35" s="371">
        <v>24</v>
      </c>
      <c r="F35" s="371">
        <v>48036.651118184294</v>
      </c>
      <c r="G35" s="9">
        <f t="shared" si="1"/>
        <v>2.5960811147599242E-2</v>
      </c>
    </row>
    <row r="36" spans="1:7" x14ac:dyDescent="0.25">
      <c r="A36">
        <v>25</v>
      </c>
      <c r="B36" s="6">
        <v>35770.8225262329</v>
      </c>
      <c r="C36" s="9">
        <f t="shared" si="0"/>
        <v>1.9479266874167345E-2</v>
      </c>
      <c r="E36" s="371">
        <v>25</v>
      </c>
      <c r="F36" s="371">
        <v>39295.688642383466</v>
      </c>
      <c r="G36" s="9">
        <f t="shared" si="1"/>
        <v>2.1236866601085775E-2</v>
      </c>
    </row>
    <row r="37" spans="1:7" x14ac:dyDescent="0.25">
      <c r="A37">
        <v>26</v>
      </c>
      <c r="B37" s="6">
        <v>112389.36917474979</v>
      </c>
      <c r="C37" s="9">
        <f t="shared" si="0"/>
        <v>6.1202465064054655E-2</v>
      </c>
      <c r="E37" s="371">
        <v>26</v>
      </c>
      <c r="F37" s="371">
        <v>41991.050038527734</v>
      </c>
      <c r="G37" s="9">
        <f t="shared" si="1"/>
        <v>2.2693541172501559E-2</v>
      </c>
    </row>
    <row r="38" spans="1:7" x14ac:dyDescent="0.25">
      <c r="A38">
        <v>27</v>
      </c>
      <c r="B38" s="6">
        <v>24031.5465713304</v>
      </c>
      <c r="C38" s="9">
        <f t="shared" si="0"/>
        <v>1.3086557031743617E-2</v>
      </c>
      <c r="E38" s="371">
        <v>27</v>
      </c>
      <c r="F38" s="371">
        <v>25798.522877721574</v>
      </c>
      <c r="G38" s="9">
        <f t="shared" si="1"/>
        <v>1.3942491092223829E-2</v>
      </c>
    </row>
    <row r="39" spans="1:7" x14ac:dyDescent="0.25">
      <c r="A39">
        <v>28</v>
      </c>
      <c r="B39" s="6">
        <v>33903.287707422998</v>
      </c>
      <c r="C39" s="9">
        <f t="shared" si="0"/>
        <v>1.8462286928969847E-2</v>
      </c>
      <c r="E39" s="371">
        <v>28</v>
      </c>
      <c r="F39" s="371">
        <v>31069.87108688338</v>
      </c>
      <c r="G39" s="9">
        <f t="shared" si="1"/>
        <v>1.679132572506694E-2</v>
      </c>
    </row>
    <row r="40" spans="1:7" x14ac:dyDescent="0.25">
      <c r="A40">
        <v>29</v>
      </c>
      <c r="B40" s="6">
        <v>33390.594386746801</v>
      </c>
      <c r="C40" s="9">
        <f t="shared" si="0"/>
        <v>1.8183095976323154E-2</v>
      </c>
      <c r="E40" s="371">
        <v>29</v>
      </c>
      <c r="F40" s="371">
        <v>33011.142839231819</v>
      </c>
      <c r="G40" s="9">
        <f t="shared" si="1"/>
        <v>1.784046191953011E-2</v>
      </c>
    </row>
    <row r="41" spans="1:7" x14ac:dyDescent="0.25">
      <c r="A41">
        <v>30</v>
      </c>
      <c r="B41" s="6">
        <v>12524.7176558547</v>
      </c>
      <c r="C41" s="9">
        <f t="shared" si="0"/>
        <v>6.8204279497087253E-3</v>
      </c>
      <c r="E41" s="371">
        <v>30</v>
      </c>
      <c r="F41" s="371">
        <v>27609.293813611261</v>
      </c>
      <c r="G41" s="9">
        <f t="shared" si="1"/>
        <v>1.4921099742159428E-2</v>
      </c>
    </row>
    <row r="42" spans="1:7" x14ac:dyDescent="0.25">
      <c r="A42">
        <v>31</v>
      </c>
      <c r="B42" s="6">
        <v>25089.3246470452</v>
      </c>
      <c r="C42" s="9">
        <f t="shared" si="0"/>
        <v>1.366257793300696E-2</v>
      </c>
      <c r="E42" s="371">
        <v>31</v>
      </c>
      <c r="F42" s="371">
        <v>25267.193454164375</v>
      </c>
      <c r="G42" s="9">
        <f t="shared" si="1"/>
        <v>1.3655340708068311E-2</v>
      </c>
    </row>
    <row r="43" spans="1:7" x14ac:dyDescent="0.25">
      <c r="A43">
        <v>32</v>
      </c>
      <c r="B43" s="6">
        <v>14873.197660867299</v>
      </c>
      <c r="C43" s="9">
        <f t="shared" si="0"/>
        <v>8.0993101653116101E-3</v>
      </c>
      <c r="E43" s="371">
        <v>32</v>
      </c>
      <c r="F43" s="371">
        <v>17786.072512483475</v>
      </c>
      <c r="G43" s="9">
        <f t="shared" si="1"/>
        <v>9.6122618626779607E-3</v>
      </c>
    </row>
    <row r="44" spans="1:7" x14ac:dyDescent="0.25">
      <c r="A44">
        <v>33</v>
      </c>
      <c r="B44" s="6">
        <v>27548.408202362101</v>
      </c>
      <c r="C44" s="9">
        <f t="shared" si="0"/>
        <v>1.5001690132754824E-2</v>
      </c>
      <c r="E44" s="371">
        <v>33</v>
      </c>
      <c r="F44" s="371">
        <v>27685.8385498801</v>
      </c>
      <c r="G44" s="9">
        <f t="shared" si="1"/>
        <v>1.4962467393658052E-2</v>
      </c>
    </row>
    <row r="45" spans="1:7" x14ac:dyDescent="0.25">
      <c r="A45">
        <v>34</v>
      </c>
      <c r="B45" s="6">
        <v>37714.2587981178</v>
      </c>
      <c r="C45" s="9">
        <f t="shared" si="0"/>
        <v>2.0537579518927478E-2</v>
      </c>
      <c r="E45" s="371">
        <v>34</v>
      </c>
      <c r="F45" s="371">
        <v>23803.508415922526</v>
      </c>
      <c r="G45" s="9">
        <f t="shared" si="1"/>
        <v>1.2864310318296221E-2</v>
      </c>
    </row>
    <row r="46" spans="1:7" x14ac:dyDescent="0.25">
      <c r="A46">
        <v>35</v>
      </c>
      <c r="B46" s="6">
        <v>24955.971442865899</v>
      </c>
      <c r="C46" s="9">
        <f t="shared" si="0"/>
        <v>1.3589959456011389E-2</v>
      </c>
      <c r="E46" s="371">
        <v>35</v>
      </c>
      <c r="F46" s="371">
        <v>16369.461911224642</v>
      </c>
      <c r="G46" s="9">
        <f t="shared" si="1"/>
        <v>8.8466722673815074E-3</v>
      </c>
    </row>
    <row r="47" spans="1:7" x14ac:dyDescent="0.25">
      <c r="A47">
        <v>36</v>
      </c>
      <c r="B47" s="6">
        <v>11672.634303443599</v>
      </c>
      <c r="C47" s="9">
        <f t="shared" si="0"/>
        <v>6.356419636551299E-3</v>
      </c>
      <c r="E47" s="371">
        <v>36</v>
      </c>
      <c r="F47" s="371">
        <v>17128.878427841904</v>
      </c>
      <c r="G47" s="9">
        <f t="shared" si="1"/>
        <v>9.2570894865536667E-3</v>
      </c>
    </row>
    <row r="48" spans="1:7" x14ac:dyDescent="0.25">
      <c r="A48">
        <v>37</v>
      </c>
      <c r="B48" s="6">
        <v>24737.869460338199</v>
      </c>
      <c r="C48" s="9">
        <f t="shared" si="0"/>
        <v>1.3471190402816528E-2</v>
      </c>
      <c r="E48" s="371">
        <v>37</v>
      </c>
      <c r="F48" s="371">
        <v>12307.883821037005</v>
      </c>
      <c r="G48" s="9">
        <f t="shared" si="1"/>
        <v>6.6516428615811312E-3</v>
      </c>
    </row>
    <row r="49" spans="1:7" x14ac:dyDescent="0.25">
      <c r="A49">
        <v>38</v>
      </c>
      <c r="B49" s="6">
        <v>22185.304254814</v>
      </c>
      <c r="C49" s="9">
        <f t="shared" si="0"/>
        <v>1.2081172076688984E-2</v>
      </c>
      <c r="E49" s="371">
        <v>38</v>
      </c>
      <c r="F49" s="371">
        <v>12154.562258532022</v>
      </c>
      <c r="G49" s="9">
        <f t="shared" si="1"/>
        <v>6.568782128445221E-3</v>
      </c>
    </row>
    <row r="50" spans="1:7" x14ac:dyDescent="0.25">
      <c r="A50">
        <v>39</v>
      </c>
      <c r="B50" s="6">
        <v>10317.9096040444</v>
      </c>
      <c r="C50" s="9">
        <f t="shared" si="0"/>
        <v>5.6186942476181686E-3</v>
      </c>
      <c r="E50" s="371">
        <v>39</v>
      </c>
      <c r="F50" s="371">
        <v>12705.320945592159</v>
      </c>
      <c r="G50" s="9">
        <f t="shared" si="1"/>
        <v>6.8664328166143504E-3</v>
      </c>
    </row>
    <row r="51" spans="1:7" x14ac:dyDescent="0.25">
      <c r="A51">
        <v>40</v>
      </c>
      <c r="B51" s="6">
        <v>17700.904503316498</v>
      </c>
      <c r="C51" s="9">
        <f t="shared" si="0"/>
        <v>9.6391589117468448E-3</v>
      </c>
      <c r="E51" s="371">
        <v>40</v>
      </c>
      <c r="F51" s="371">
        <v>17992.919964206274</v>
      </c>
      <c r="G51" s="9">
        <f t="shared" si="1"/>
        <v>9.7240499974779095E-3</v>
      </c>
    </row>
    <row r="52" spans="1:7" x14ac:dyDescent="0.25">
      <c r="A52">
        <v>41</v>
      </c>
      <c r="B52" s="6">
        <v>17719.276414024302</v>
      </c>
      <c r="C52" s="9">
        <f t="shared" si="0"/>
        <v>9.6491634720670127E-3</v>
      </c>
      <c r="E52" s="371">
        <v>41</v>
      </c>
      <c r="F52" s="371">
        <v>8099.9366081829685</v>
      </c>
      <c r="G52" s="9">
        <f t="shared" si="1"/>
        <v>4.3775100823579619E-3</v>
      </c>
    </row>
    <row r="53" spans="1:7" x14ac:dyDescent="0.25">
      <c r="A53">
        <v>42</v>
      </c>
      <c r="B53" s="6">
        <v>4971.9996765032001</v>
      </c>
      <c r="C53" s="9">
        <f t="shared" si="0"/>
        <v>2.7075393227497897E-3</v>
      </c>
      <c r="E53" s="371">
        <v>42</v>
      </c>
      <c r="F53" s="371">
        <v>7472.0544089718878</v>
      </c>
      <c r="G53" s="9">
        <f t="shared" si="1"/>
        <v>4.0381789504571443E-3</v>
      </c>
    </row>
    <row r="54" spans="1:7" x14ac:dyDescent="0.25">
      <c r="A54">
        <v>43</v>
      </c>
      <c r="B54" s="6">
        <v>4521.3538647610003</v>
      </c>
      <c r="C54" s="9">
        <f t="shared" si="0"/>
        <v>2.4621368015688896E-3</v>
      </c>
      <c r="E54" s="371">
        <v>43</v>
      </c>
      <c r="F54" s="371">
        <v>7937.3420687696389</v>
      </c>
      <c r="G54" s="9">
        <f t="shared" si="1"/>
        <v>4.2896378840867871E-3</v>
      </c>
    </row>
    <row r="55" spans="1:7" x14ac:dyDescent="0.25">
      <c r="A55">
        <v>44</v>
      </c>
      <c r="B55" s="6">
        <v>5576.0734471752003</v>
      </c>
      <c r="C55" s="9">
        <f t="shared" si="0"/>
        <v>3.0364921776072666E-3</v>
      </c>
      <c r="E55" s="371">
        <v>44</v>
      </c>
      <c r="F55" s="371">
        <v>7605.3505531559586</v>
      </c>
      <c r="G55" s="9">
        <f t="shared" si="1"/>
        <v>4.1102171951164571E-3</v>
      </c>
    </row>
    <row r="56" spans="1:7" x14ac:dyDescent="0.25">
      <c r="A56">
        <v>45</v>
      </c>
      <c r="B56" s="6">
        <v>97690.7346128137</v>
      </c>
      <c r="C56" s="9">
        <f t="shared" si="0"/>
        <v>5.3198214529758488E-2</v>
      </c>
      <c r="E56" s="371">
        <v>45</v>
      </c>
      <c r="F56" s="371">
        <v>7281.6418881793916</v>
      </c>
      <c r="G56" s="9">
        <f t="shared" si="1"/>
        <v>3.9352728698423562E-3</v>
      </c>
    </row>
    <row r="57" spans="1:7" x14ac:dyDescent="0.25">
      <c r="A57">
        <v>46</v>
      </c>
      <c r="B57" s="6">
        <v>6548.0381223014001</v>
      </c>
      <c r="C57" s="9">
        <f t="shared" si="0"/>
        <v>3.5657827547294946E-3</v>
      </c>
      <c r="E57" s="371">
        <v>46</v>
      </c>
      <c r="F57" s="371">
        <v>6642.0269600112761</v>
      </c>
      <c r="G57" s="9">
        <f t="shared" si="1"/>
        <v>3.5896009303787849E-3</v>
      </c>
    </row>
    <row r="58" spans="1:7" x14ac:dyDescent="0.25">
      <c r="A58">
        <v>47</v>
      </c>
      <c r="B58" s="6">
        <v>5066.7335276112999</v>
      </c>
      <c r="C58" s="9">
        <f t="shared" si="0"/>
        <v>2.7591273444230124E-3</v>
      </c>
      <c r="E58" s="371">
        <v>47</v>
      </c>
      <c r="F58" s="371">
        <v>6277.3235884566075</v>
      </c>
      <c r="G58" s="9">
        <f t="shared" si="1"/>
        <v>3.3925015253738564E-3</v>
      </c>
    </row>
    <row r="59" spans="1:7" x14ac:dyDescent="0.25">
      <c r="A59">
        <v>48</v>
      </c>
      <c r="B59" s="6">
        <v>1103.2167900027</v>
      </c>
      <c r="C59" s="9">
        <f t="shared" si="0"/>
        <v>6.0076489034505771E-4</v>
      </c>
      <c r="E59" s="371">
        <v>48</v>
      </c>
      <c r="F59" s="371">
        <v>6186.4047807891002</v>
      </c>
      <c r="G59" s="9">
        <f t="shared" si="1"/>
        <v>3.3433655856137351E-3</v>
      </c>
    </row>
    <row r="60" spans="1:7" x14ac:dyDescent="0.25">
      <c r="A60">
        <v>49</v>
      </c>
      <c r="B60" s="6">
        <v>3178.6539217438999</v>
      </c>
      <c r="C60" s="9">
        <f t="shared" si="0"/>
        <v>1.7309595829634609E-3</v>
      </c>
      <c r="E60" s="371">
        <v>49</v>
      </c>
      <c r="F60" s="371">
        <v>4876.1823175478394</v>
      </c>
      <c r="G60" s="9">
        <f t="shared" si="1"/>
        <v>2.6352721374284498E-3</v>
      </c>
    </row>
    <row r="61" spans="1:7" x14ac:dyDescent="0.25">
      <c r="A61">
        <v>50</v>
      </c>
      <c r="B61" s="6">
        <v>2798.5643410527</v>
      </c>
      <c r="C61" s="9">
        <f t="shared" si="0"/>
        <v>1.523978981023303E-3</v>
      </c>
      <c r="E61" s="371">
        <v>50</v>
      </c>
      <c r="F61" s="371">
        <v>3690.0256062583921</v>
      </c>
      <c r="G61" s="9">
        <f t="shared" si="1"/>
        <v>1.9942284831262077E-3</v>
      </c>
    </row>
    <row r="62" spans="1:7" x14ac:dyDescent="0.25">
      <c r="A62">
        <v>51</v>
      </c>
      <c r="B62" s="6">
        <v>1402.4920803706</v>
      </c>
      <c r="C62" s="9">
        <f t="shared" si="0"/>
        <v>7.6373747073917649E-4</v>
      </c>
      <c r="E62" s="371">
        <v>51</v>
      </c>
      <c r="F62" s="371">
        <v>5066.9594694675989</v>
      </c>
      <c r="G62" s="9">
        <f t="shared" si="1"/>
        <v>2.7383752784047128E-3</v>
      </c>
    </row>
    <row r="63" spans="1:7" x14ac:dyDescent="0.25">
      <c r="A63">
        <v>52</v>
      </c>
      <c r="B63" s="6">
        <v>1700.5931489561001</v>
      </c>
      <c r="C63" s="9">
        <f t="shared" si="0"/>
        <v>9.260706199473881E-4</v>
      </c>
      <c r="E63" s="371">
        <v>52</v>
      </c>
      <c r="F63" s="371">
        <v>3196.3163739271472</v>
      </c>
      <c r="G63" s="9">
        <f t="shared" si="1"/>
        <v>1.7274094638143947E-3</v>
      </c>
    </row>
    <row r="64" spans="1:7" x14ac:dyDescent="0.25">
      <c r="A64">
        <v>53</v>
      </c>
      <c r="B64" s="6">
        <v>3572.4721361389998</v>
      </c>
      <c r="C64" s="9">
        <f t="shared" si="0"/>
        <v>1.9454162142719632E-3</v>
      </c>
      <c r="E64" s="371">
        <v>53</v>
      </c>
      <c r="F64" s="371">
        <v>3433.4136992984427</v>
      </c>
      <c r="G64" s="9">
        <f t="shared" si="1"/>
        <v>1.8555457669139049E-3</v>
      </c>
    </row>
    <row r="65" spans="1:7" x14ac:dyDescent="0.25">
      <c r="A65">
        <v>54</v>
      </c>
      <c r="B65" s="6">
        <v>6716.7661304169997</v>
      </c>
      <c r="C65" s="9">
        <f t="shared" si="0"/>
        <v>3.657664843737096E-3</v>
      </c>
      <c r="E65" s="371">
        <v>54</v>
      </c>
      <c r="F65" s="371">
        <v>2723.6621565834339</v>
      </c>
      <c r="G65" s="9">
        <f t="shared" si="1"/>
        <v>1.4719693657029036E-3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2486.2090226637001</v>
      </c>
      <c r="G66" s="9">
        <f t="shared" si="1"/>
        <v>1.3436407702950061E-3</v>
      </c>
    </row>
    <row r="67" spans="1:7" x14ac:dyDescent="0.25">
      <c r="A67">
        <v>56</v>
      </c>
      <c r="B67" s="6">
        <v>1908.1655340476</v>
      </c>
      <c r="C67" s="9">
        <f t="shared" si="0"/>
        <v>1.0391057027146218E-3</v>
      </c>
      <c r="E67" s="371">
        <v>56</v>
      </c>
      <c r="F67" s="371">
        <v>3478.1628153611809</v>
      </c>
      <c r="G67" s="9">
        <f t="shared" si="1"/>
        <v>1.8797298705948331E-3</v>
      </c>
    </row>
    <row r="68" spans="1:7" x14ac:dyDescent="0.25">
      <c r="A68">
        <v>57</v>
      </c>
      <c r="B68" s="6">
        <v>1557.3016408869998</v>
      </c>
      <c r="C68" s="9">
        <f t="shared" si="0"/>
        <v>8.4804016581307388E-4</v>
      </c>
      <c r="E68" s="371">
        <v>57</v>
      </c>
      <c r="F68" s="371">
        <v>2390.333015459079</v>
      </c>
      <c r="G68" s="9">
        <f t="shared" si="1"/>
        <v>1.2918257736479392E-3</v>
      </c>
    </row>
    <row r="69" spans="1:7" x14ac:dyDescent="0.25">
      <c r="A69">
        <v>58</v>
      </c>
      <c r="B69" s="6">
        <v>5955.2642720619997</v>
      </c>
      <c r="C69" s="9">
        <f t="shared" si="0"/>
        <v>3.2429833554041641E-3</v>
      </c>
      <c r="E69" s="371">
        <v>58</v>
      </c>
      <c r="F69" s="371">
        <v>3005.0112548122361</v>
      </c>
      <c r="G69" s="9">
        <f t="shared" si="1"/>
        <v>1.6240209895285354E-3</v>
      </c>
    </row>
    <row r="70" spans="1:7" x14ac:dyDescent="0.25">
      <c r="A70">
        <v>59</v>
      </c>
      <c r="B70" s="6">
        <v>5238.3987727063004</v>
      </c>
      <c r="C70" s="9">
        <f t="shared" si="0"/>
        <v>2.8526089276259864E-3</v>
      </c>
      <c r="E70" s="371">
        <v>59</v>
      </c>
      <c r="F70" s="371">
        <v>2638.3603557380084</v>
      </c>
      <c r="G70" s="9">
        <f t="shared" si="1"/>
        <v>1.4258690674774947E-3</v>
      </c>
    </row>
    <row r="71" spans="1:7" x14ac:dyDescent="0.25">
      <c r="A71">
        <v>60</v>
      </c>
      <c r="B71" s="6">
        <v>4981.3137635427001</v>
      </c>
      <c r="C71" s="9">
        <f t="shared" si="0"/>
        <v>2.7126113779701744E-3</v>
      </c>
      <c r="E71" s="371">
        <v>60</v>
      </c>
      <c r="F71" s="371">
        <v>1995.9831008463816</v>
      </c>
      <c r="G71" s="9">
        <f t="shared" si="1"/>
        <v>1.078704262863507E-3</v>
      </c>
    </row>
    <row r="72" spans="1:7" x14ac:dyDescent="0.25">
      <c r="A72">
        <v>61</v>
      </c>
      <c r="B72" s="6">
        <v>6562.2558684261003</v>
      </c>
      <c r="C72" s="9">
        <f t="shared" si="0"/>
        <v>3.5735251338964566E-3</v>
      </c>
      <c r="E72" s="371">
        <v>61</v>
      </c>
      <c r="F72" s="371">
        <v>1449.5421903506808</v>
      </c>
      <c r="G72" s="9">
        <f t="shared" si="1"/>
        <v>7.833870633818193E-4</v>
      </c>
    </row>
    <row r="73" spans="1:7" x14ac:dyDescent="0.25">
      <c r="A73">
        <v>62</v>
      </c>
      <c r="B73" s="6">
        <v>249.38687006800001</v>
      </c>
      <c r="C73" s="9">
        <f t="shared" si="0"/>
        <v>1.3580547088077992E-4</v>
      </c>
      <c r="E73" s="371">
        <v>62</v>
      </c>
      <c r="F73" s="371">
        <v>1869.4183067548086</v>
      </c>
      <c r="G73" s="9">
        <f t="shared" si="1"/>
        <v>1.0103038927115108E-3</v>
      </c>
    </row>
    <row r="74" spans="1:7" x14ac:dyDescent="0.25">
      <c r="A74">
        <v>63</v>
      </c>
      <c r="B74" s="6">
        <v>803.22077395499991</v>
      </c>
      <c r="C74" s="9">
        <f t="shared" si="0"/>
        <v>4.3739983343325198E-4</v>
      </c>
      <c r="E74" s="371">
        <v>63</v>
      </c>
      <c r="F74" s="371">
        <v>1836.5804111274927</v>
      </c>
      <c r="G74" s="9">
        <f t="shared" si="1"/>
        <v>9.9255706009472545E-4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1336.8135532986307</v>
      </c>
      <c r="G75" s="9">
        <f t="shared" si="1"/>
        <v>7.2246427236055482E-4</v>
      </c>
    </row>
    <row r="76" spans="1:7" x14ac:dyDescent="0.25">
      <c r="A76">
        <v>65</v>
      </c>
      <c r="B76" s="6">
        <v>2021.7684500007999</v>
      </c>
      <c r="C76" s="9">
        <f t="shared" si="0"/>
        <v>1.100969013683027E-3</v>
      </c>
      <c r="E76" s="371">
        <v>65</v>
      </c>
      <c r="F76" s="371">
        <v>1164.1397224442537</v>
      </c>
      <c r="G76" s="9">
        <f t="shared" si="1"/>
        <v>6.2914484628495086E-4</v>
      </c>
    </row>
    <row r="77" spans="1:7" x14ac:dyDescent="0.25">
      <c r="A77">
        <v>66</v>
      </c>
      <c r="B77" s="6">
        <v>915.37395448699999</v>
      </c>
      <c r="C77" s="9">
        <f t="shared" ref="C77:C102" si="2">B77/B$102</f>
        <v>4.9847368021906059E-4</v>
      </c>
      <c r="E77" s="371">
        <v>66</v>
      </c>
      <c r="F77" s="371">
        <v>1201.7209928997754</v>
      </c>
      <c r="G77" s="9">
        <f t="shared" ref="G77:G102" si="3">F77/F$102</f>
        <v>6.494551768819421E-4</v>
      </c>
    </row>
    <row r="78" spans="1:7" x14ac:dyDescent="0.25">
      <c r="A78">
        <v>67</v>
      </c>
      <c r="B78" s="6">
        <v>6064.0411448759996</v>
      </c>
      <c r="C78" s="9">
        <f t="shared" si="2"/>
        <v>3.3022186087654014E-3</v>
      </c>
      <c r="E78" s="371">
        <v>67</v>
      </c>
      <c r="F78" s="371">
        <v>985.79659753848068</v>
      </c>
      <c r="G78" s="9">
        <f t="shared" si="3"/>
        <v>5.3276152069132272E-4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1051.9631370829061</v>
      </c>
      <c r="G79" s="9">
        <f t="shared" si="3"/>
        <v>5.6852040473960596E-4</v>
      </c>
    </row>
    <row r="80" spans="1:7" x14ac:dyDescent="0.25">
      <c r="A80">
        <v>69</v>
      </c>
      <c r="B80" s="6">
        <v>2099.7176780169998</v>
      </c>
      <c r="C80" s="9">
        <f t="shared" si="2"/>
        <v>1.1434168442871276E-3</v>
      </c>
      <c r="E80" s="371">
        <v>69</v>
      </c>
      <c r="F80" s="371">
        <v>858.96701698938966</v>
      </c>
      <c r="G80" s="9">
        <f t="shared" si="3"/>
        <v>4.6421804998884983E-4</v>
      </c>
    </row>
    <row r="81" spans="1:7" x14ac:dyDescent="0.25">
      <c r="A81">
        <v>70</v>
      </c>
      <c r="B81" s="6">
        <v>4.59375</v>
      </c>
      <c r="C81" s="9">
        <f t="shared" si="2"/>
        <v>2.501560654289765E-6</v>
      </c>
      <c r="E81" s="371">
        <v>70</v>
      </c>
      <c r="F81" s="371">
        <v>992.36314495539943</v>
      </c>
      <c r="G81" s="9">
        <f t="shared" si="3"/>
        <v>5.3631032964061799E-4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853.89837554727978</v>
      </c>
      <c r="G82" s="9">
        <f t="shared" si="3"/>
        <v>4.6147876570923238E-4</v>
      </c>
    </row>
    <row r="83" spans="1:7" x14ac:dyDescent="0.25">
      <c r="A83">
        <v>72</v>
      </c>
      <c r="B83" s="6">
        <v>16235.1886455532</v>
      </c>
      <c r="C83" s="9">
        <f t="shared" si="2"/>
        <v>8.840992463823201E-3</v>
      </c>
      <c r="E83" s="371">
        <v>72</v>
      </c>
      <c r="F83" s="371">
        <v>939.94341385957773</v>
      </c>
      <c r="G83" s="9">
        <f t="shared" si="3"/>
        <v>5.0798073738743507E-4</v>
      </c>
    </row>
    <row r="84" spans="1:7" x14ac:dyDescent="0.25">
      <c r="A84">
        <v>73</v>
      </c>
      <c r="B84" s="6">
        <v>1610.4382788590001</v>
      </c>
      <c r="C84" s="9">
        <f t="shared" si="2"/>
        <v>8.7697611636588927E-4</v>
      </c>
      <c r="E84" s="371">
        <v>73</v>
      </c>
      <c r="F84" s="371">
        <v>780.94724545856297</v>
      </c>
      <c r="G84" s="9">
        <f t="shared" si="3"/>
        <v>4.2205323401307723E-4</v>
      </c>
    </row>
    <row r="85" spans="1:7" x14ac:dyDescent="0.25">
      <c r="A85">
        <v>74</v>
      </c>
      <c r="B85" s="6">
        <v>3050.1734532569999</v>
      </c>
      <c r="C85" s="9">
        <f t="shared" si="2"/>
        <v>1.6609945903514238E-3</v>
      </c>
      <c r="E85" s="371">
        <v>74</v>
      </c>
      <c r="F85" s="371">
        <v>711.16526702759313</v>
      </c>
      <c r="G85" s="9">
        <f t="shared" si="3"/>
        <v>3.8434043094745155E-4</v>
      </c>
    </row>
    <row r="86" spans="1:7" x14ac:dyDescent="0.25">
      <c r="A86">
        <v>75</v>
      </c>
      <c r="B86" s="6">
        <v>876.74489328599998</v>
      </c>
      <c r="C86" s="9">
        <f t="shared" si="2"/>
        <v>4.7743793826258209E-4</v>
      </c>
      <c r="E86" s="371">
        <v>75</v>
      </c>
      <c r="F86" s="371">
        <v>653.03686963594873</v>
      </c>
      <c r="G86" s="9">
        <f t="shared" si="3"/>
        <v>3.5292566093602116E-4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466.48295065754701</v>
      </c>
      <c r="G87" s="9">
        <f t="shared" si="3"/>
        <v>2.521049137209959E-4</v>
      </c>
    </row>
    <row r="88" spans="1:7" x14ac:dyDescent="0.25">
      <c r="A88">
        <v>77</v>
      </c>
      <c r="B88" s="6">
        <v>103.88408116700001</v>
      </c>
      <c r="C88" s="9">
        <f t="shared" si="2"/>
        <v>5.6570847358783477E-5</v>
      </c>
      <c r="E88" s="371">
        <v>77</v>
      </c>
      <c r="F88" s="371">
        <v>462.15316553103122</v>
      </c>
      <c r="G88" s="9">
        <f t="shared" si="3"/>
        <v>2.4976493515540833E-4</v>
      </c>
    </row>
    <row r="89" spans="1:7" x14ac:dyDescent="0.25">
      <c r="A89">
        <v>78</v>
      </c>
      <c r="B89" s="6">
        <v>552.18798510219995</v>
      </c>
      <c r="C89" s="9">
        <f t="shared" si="2"/>
        <v>3.0069806526328302E-4</v>
      </c>
      <c r="E89" s="371">
        <v>78</v>
      </c>
      <c r="F89" s="371">
        <v>502.92322107157707</v>
      </c>
      <c r="G89" s="9">
        <f t="shared" si="3"/>
        <v>2.717986050247173E-4</v>
      </c>
    </row>
    <row r="90" spans="1:7" x14ac:dyDescent="0.25">
      <c r="A90">
        <v>79</v>
      </c>
      <c r="B90" s="6">
        <v>3617.977487135</v>
      </c>
      <c r="C90" s="9">
        <f t="shared" si="2"/>
        <v>1.9701964908676074E-3</v>
      </c>
      <c r="E90" s="371">
        <v>79</v>
      </c>
      <c r="F90" s="371">
        <v>507.13340756292968</v>
      </c>
      <c r="G90" s="9">
        <f t="shared" si="3"/>
        <v>2.7407394799417757E-4</v>
      </c>
    </row>
    <row r="91" spans="1:7" x14ac:dyDescent="0.25">
      <c r="A91">
        <v>80</v>
      </c>
      <c r="B91" s="6">
        <v>2416.7367966574998</v>
      </c>
      <c r="C91" s="9">
        <f t="shared" si="2"/>
        <v>1.3160519580501086E-3</v>
      </c>
      <c r="E91" s="371">
        <v>80</v>
      </c>
      <c r="F91" s="371">
        <v>394.78881306854367</v>
      </c>
      <c r="G91" s="9">
        <f t="shared" si="3"/>
        <v>2.1335870800072375E-4</v>
      </c>
    </row>
    <row r="92" spans="1:7" x14ac:dyDescent="0.25">
      <c r="A92">
        <v>81</v>
      </c>
      <c r="B92" s="6">
        <v>761.46603189900009</v>
      </c>
      <c r="C92" s="9">
        <f t="shared" si="2"/>
        <v>4.1466197877043675E-4</v>
      </c>
      <c r="E92" s="371">
        <v>81</v>
      </c>
      <c r="F92" s="371">
        <v>472.5454716048817</v>
      </c>
      <c r="G92" s="9">
        <f t="shared" si="3"/>
        <v>2.5538132782831782E-4</v>
      </c>
    </row>
    <row r="93" spans="1:7" x14ac:dyDescent="0.25">
      <c r="A93">
        <v>82</v>
      </c>
      <c r="B93" s="6">
        <v>3526.6496723439</v>
      </c>
      <c r="C93" s="9">
        <f t="shared" si="2"/>
        <v>1.9204632515481671E-3</v>
      </c>
      <c r="E93" s="371">
        <v>82</v>
      </c>
      <c r="F93" s="371">
        <v>452.14791400839687</v>
      </c>
      <c r="G93" s="9">
        <f t="shared" si="3"/>
        <v>2.4435772130479471E-4</v>
      </c>
    </row>
    <row r="94" spans="1:7" x14ac:dyDescent="0.25">
      <c r="A94">
        <v>83</v>
      </c>
      <c r="B94" s="6">
        <v>820.33428522209999</v>
      </c>
      <c r="C94" s="9">
        <f t="shared" si="2"/>
        <v>4.4671912299897108E-4</v>
      </c>
      <c r="E94" s="371">
        <v>83</v>
      </c>
      <c r="F94" s="371">
        <v>360.72403631089503</v>
      </c>
      <c r="G94" s="9">
        <f t="shared" si="3"/>
        <v>1.9494882272344484E-4</v>
      </c>
    </row>
    <row r="95" spans="1:7" x14ac:dyDescent="0.25">
      <c r="A95">
        <v>84</v>
      </c>
      <c r="B95" s="6">
        <v>2873.8604379417998</v>
      </c>
      <c r="C95" s="9">
        <f t="shared" si="2"/>
        <v>1.5649820293823476E-3</v>
      </c>
      <c r="E95" s="371">
        <v>84</v>
      </c>
      <c r="F95" s="371">
        <v>443.1957647198318</v>
      </c>
      <c r="G95" s="9">
        <f t="shared" si="3"/>
        <v>2.3951964346973149E-4</v>
      </c>
    </row>
    <row r="96" spans="1:7" x14ac:dyDescent="0.25">
      <c r="A96">
        <v>85</v>
      </c>
      <c r="B96" s="6">
        <v>1261.1307661892999</v>
      </c>
      <c r="C96" s="9">
        <f t="shared" si="2"/>
        <v>6.8675811801109296E-4</v>
      </c>
      <c r="E96" s="371">
        <v>85</v>
      </c>
      <c r="F96" s="371">
        <v>559.68500921934981</v>
      </c>
      <c r="G96" s="9">
        <f t="shared" si="3"/>
        <v>3.0247480805308658E-4</v>
      </c>
    </row>
    <row r="97" spans="1:7" x14ac:dyDescent="0.25">
      <c r="A97">
        <v>86</v>
      </c>
      <c r="B97" s="6">
        <v>2109.9707837629999</v>
      </c>
      <c r="C97" s="9">
        <f t="shared" si="2"/>
        <v>1.1490002491129161E-3</v>
      </c>
      <c r="E97" s="371">
        <v>86</v>
      </c>
      <c r="F97" s="371">
        <v>424.2609811300045</v>
      </c>
      <c r="G97" s="9">
        <f t="shared" si="3"/>
        <v>2.2928657498028204E-4</v>
      </c>
    </row>
    <row r="98" spans="1:7" x14ac:dyDescent="0.25">
      <c r="A98">
        <v>87</v>
      </c>
      <c r="B98" s="6">
        <v>388.0936255263</v>
      </c>
      <c r="C98" s="9">
        <f t="shared" si="2"/>
        <v>2.1133926395586571E-4</v>
      </c>
      <c r="E98" s="371">
        <v>87</v>
      </c>
      <c r="F98" s="371">
        <v>347.43100276547682</v>
      </c>
      <c r="G98" s="9">
        <f t="shared" si="3"/>
        <v>1.8776476793573157E-4</v>
      </c>
    </row>
    <row r="99" spans="1:7" x14ac:dyDescent="0.25">
      <c r="A99">
        <v>88</v>
      </c>
      <c r="B99" s="6">
        <v>1669.1180393490999</v>
      </c>
      <c r="C99" s="9">
        <f t="shared" si="2"/>
        <v>9.0893061542334354E-4</v>
      </c>
      <c r="E99" s="371">
        <v>88</v>
      </c>
      <c r="F99" s="371">
        <v>414.669588444814</v>
      </c>
      <c r="G99" s="9">
        <f t="shared" si="3"/>
        <v>2.2410302599536048E-4</v>
      </c>
    </row>
    <row r="100" spans="1:7" x14ac:dyDescent="0.25">
      <c r="A100">
        <v>89</v>
      </c>
      <c r="B100" s="6">
        <v>2315.2432777259</v>
      </c>
      <c r="C100" s="9">
        <f t="shared" si="2"/>
        <v>1.2607829090977923E-3</v>
      </c>
      <c r="E100" s="371">
        <v>89</v>
      </c>
      <c r="F100" s="371">
        <v>353.4221753761048</v>
      </c>
      <c r="G100" s="9">
        <f t="shared" si="3"/>
        <v>1.9100262272112281E-4</v>
      </c>
    </row>
    <row r="101" spans="1:7" ht="15.75" thickBot="1" x14ac:dyDescent="0.3">
      <c r="A101" s="1">
        <v>90</v>
      </c>
      <c r="B101" s="7">
        <v>53738.920840945902</v>
      </c>
      <c r="C101" s="9">
        <f t="shared" si="2"/>
        <v>2.9263928158846809E-2</v>
      </c>
      <c r="E101" s="372">
        <v>90</v>
      </c>
      <c r="F101" s="372">
        <v>22530.506933925019</v>
      </c>
      <c r="G101" s="9">
        <f t="shared" si="3"/>
        <v>1.2176332486880723E-2</v>
      </c>
    </row>
    <row r="102" spans="1:7" x14ac:dyDescent="0.25">
      <c r="B102" s="6">
        <f>SUM(B11:B101)</f>
        <v>1836353.6347289737</v>
      </c>
      <c r="C102" s="9">
        <f t="shared" si="2"/>
        <v>1</v>
      </c>
      <c r="F102" s="6">
        <f>SUM(F11:F101)</f>
        <v>1850352.4733905143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02"/>
  <sheetViews>
    <sheetView workbookViewId="0">
      <selection activeCell="K11" sqref="K11:L11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113359.6166626039</v>
      </c>
      <c r="C11" s="9">
        <f>B11/B$102</f>
        <v>5.5843831184551433E-2</v>
      </c>
      <c r="E11" s="371">
        <v>0</v>
      </c>
      <c r="F11" s="371">
        <v>424576.42083480908</v>
      </c>
      <c r="G11" s="9">
        <f>F11/F$102</f>
        <v>0.20892520479121104</v>
      </c>
      <c r="K11" s="6">
        <v>5.9155464547576937</v>
      </c>
      <c r="L11" s="6">
        <v>5.396894886436912</v>
      </c>
    </row>
    <row r="12" spans="1:12" x14ac:dyDescent="0.25">
      <c r="A12">
        <v>1</v>
      </c>
      <c r="B12" s="6">
        <v>126795.2627680881</v>
      </c>
      <c r="C12" s="9">
        <f>B12/B$102</f>
        <v>6.2462572276479902E-2</v>
      </c>
      <c r="E12" s="371">
        <v>1</v>
      </c>
      <c r="F12" s="371">
        <v>275009.98779025389</v>
      </c>
      <c r="G12" s="9">
        <f>F12/F$102</f>
        <v>0.13532668136806866</v>
      </c>
      <c r="K12" s="6"/>
      <c r="L12" s="371"/>
    </row>
    <row r="13" spans="1:12" x14ac:dyDescent="0.25">
      <c r="A13">
        <v>2</v>
      </c>
      <c r="B13" s="6">
        <v>141891.82566875449</v>
      </c>
      <c r="C13" s="9">
        <f t="shared" ref="C13:C76" si="0">B13/B$102</f>
        <v>6.9899523237605454E-2</v>
      </c>
      <c r="E13" s="371">
        <v>2</v>
      </c>
      <c r="F13" s="371">
        <v>163901.35720270284</v>
      </c>
      <c r="G13" s="9">
        <f t="shared" ref="G13:G76" si="1">F13/F$102</f>
        <v>8.0652440735645967E-2</v>
      </c>
    </row>
    <row r="14" spans="1:12" x14ac:dyDescent="0.25">
      <c r="A14">
        <v>3</v>
      </c>
      <c r="B14" s="6">
        <v>225607.71765109189</v>
      </c>
      <c r="C14" s="9">
        <f t="shared" si="0"/>
        <v>0.11114010146962439</v>
      </c>
      <c r="E14" s="371">
        <v>3</v>
      </c>
      <c r="F14" s="371">
        <v>98109.821767632558</v>
      </c>
      <c r="G14" s="9">
        <f t="shared" si="1"/>
        <v>4.8277797821483122E-2</v>
      </c>
    </row>
    <row r="15" spans="1:12" x14ac:dyDescent="0.25">
      <c r="A15">
        <v>4</v>
      </c>
      <c r="B15" s="6">
        <v>413747.16368750122</v>
      </c>
      <c r="C15" s="9">
        <f t="shared" si="0"/>
        <v>0.20382237910013989</v>
      </c>
      <c r="E15" s="371">
        <v>4</v>
      </c>
      <c r="F15" s="371">
        <v>265517.46437611064</v>
      </c>
      <c r="G15" s="9">
        <f t="shared" si="1"/>
        <v>0.13065560850352809</v>
      </c>
    </row>
    <row r="16" spans="1:12" x14ac:dyDescent="0.25">
      <c r="A16">
        <v>5</v>
      </c>
      <c r="B16" s="6">
        <v>230209.74236844669</v>
      </c>
      <c r="C16" s="9">
        <f t="shared" si="0"/>
        <v>0.11340717592690662</v>
      </c>
      <c r="E16" s="371">
        <v>5</v>
      </c>
      <c r="F16" s="371">
        <v>146091.15118105829</v>
      </c>
      <c r="G16" s="9">
        <f t="shared" si="1"/>
        <v>7.1888409673512441E-2</v>
      </c>
    </row>
    <row r="17" spans="1:7" x14ac:dyDescent="0.25">
      <c r="A17">
        <v>6</v>
      </c>
      <c r="B17" s="6">
        <v>235618.46312741109</v>
      </c>
      <c r="C17" s="9">
        <f t="shared" si="0"/>
        <v>0.11607164937768556</v>
      </c>
      <c r="E17" s="371">
        <v>6</v>
      </c>
      <c r="F17" s="371">
        <v>127235.24661912562</v>
      </c>
      <c r="G17" s="9">
        <f t="shared" si="1"/>
        <v>6.2609812161244907E-2</v>
      </c>
    </row>
    <row r="18" spans="1:7" x14ac:dyDescent="0.25">
      <c r="A18">
        <v>7</v>
      </c>
      <c r="B18" s="6">
        <v>107183.59890004509</v>
      </c>
      <c r="C18" s="9">
        <f t="shared" si="0"/>
        <v>5.2801367708764986E-2</v>
      </c>
      <c r="E18" s="371">
        <v>7</v>
      </c>
      <c r="F18" s="371">
        <v>83129.986396648557</v>
      </c>
      <c r="G18" s="9">
        <f t="shared" si="1"/>
        <v>4.0906533146756574E-2</v>
      </c>
    </row>
    <row r="19" spans="1:7" x14ac:dyDescent="0.25">
      <c r="A19">
        <v>8</v>
      </c>
      <c r="B19" s="6">
        <v>82252.626993265207</v>
      </c>
      <c r="C19" s="9">
        <f t="shared" si="0"/>
        <v>4.051973667103146E-2</v>
      </c>
      <c r="E19" s="371">
        <v>8</v>
      </c>
      <c r="F19" s="371">
        <v>86219.019140798933</v>
      </c>
      <c r="G19" s="9">
        <f t="shared" si="1"/>
        <v>4.2426581757580101E-2</v>
      </c>
    </row>
    <row r="20" spans="1:7" x14ac:dyDescent="0.25">
      <c r="A20">
        <v>9</v>
      </c>
      <c r="B20" s="6">
        <v>46588.562861199702</v>
      </c>
      <c r="C20" s="9">
        <f t="shared" si="0"/>
        <v>2.2950711339252135E-2</v>
      </c>
      <c r="E20" s="371">
        <v>9</v>
      </c>
      <c r="F20" s="371">
        <v>45391.067795672141</v>
      </c>
      <c r="G20" s="9">
        <f t="shared" si="1"/>
        <v>2.2335998113734747E-2</v>
      </c>
    </row>
    <row r="21" spans="1:7" x14ac:dyDescent="0.25">
      <c r="A21">
        <v>10</v>
      </c>
      <c r="B21" s="6">
        <v>115326.1530039552</v>
      </c>
      <c r="C21" s="9">
        <f t="shared" si="0"/>
        <v>5.6812597017551425E-2</v>
      </c>
      <c r="E21" s="371">
        <v>10</v>
      </c>
      <c r="F21" s="371">
        <v>52784.619727787911</v>
      </c>
      <c r="G21" s="9">
        <f t="shared" si="1"/>
        <v>2.5974210872970242E-2</v>
      </c>
    </row>
    <row r="22" spans="1:7" x14ac:dyDescent="0.25">
      <c r="A22">
        <v>11</v>
      </c>
      <c r="B22" s="6">
        <v>15341.039991174301</v>
      </c>
      <c r="C22" s="9">
        <f t="shared" si="0"/>
        <v>7.5573865957259088E-3</v>
      </c>
      <c r="E22" s="371">
        <v>11</v>
      </c>
      <c r="F22" s="371">
        <v>32461.414792028369</v>
      </c>
      <c r="G22" s="9">
        <f t="shared" si="1"/>
        <v>1.5973585438169364E-2</v>
      </c>
    </row>
    <row r="23" spans="1:7" x14ac:dyDescent="0.25">
      <c r="A23">
        <v>12</v>
      </c>
      <c r="B23" s="6">
        <v>22383.894505537599</v>
      </c>
      <c r="C23" s="9">
        <f t="shared" si="0"/>
        <v>1.102687590890921E-2</v>
      </c>
      <c r="E23" s="371">
        <v>12</v>
      </c>
      <c r="F23" s="371">
        <v>37081.356349343587</v>
      </c>
      <c r="G23" s="9">
        <f t="shared" si="1"/>
        <v>1.8246962358365905E-2</v>
      </c>
    </row>
    <row r="24" spans="1:7" x14ac:dyDescent="0.25">
      <c r="A24">
        <v>13</v>
      </c>
      <c r="B24" s="6">
        <v>14197.5271913507</v>
      </c>
      <c r="C24" s="9">
        <f t="shared" si="0"/>
        <v>6.9940630980751886E-3</v>
      </c>
      <c r="E24" s="371">
        <v>13</v>
      </c>
      <c r="F24" s="371">
        <v>26291.347721789298</v>
      </c>
      <c r="G24" s="9">
        <f t="shared" si="1"/>
        <v>1.2937424071293195E-2</v>
      </c>
    </row>
    <row r="25" spans="1:7" x14ac:dyDescent="0.25">
      <c r="A25">
        <v>14</v>
      </c>
      <c r="B25" s="6">
        <v>19465.102185514101</v>
      </c>
      <c r="C25" s="9">
        <f t="shared" si="0"/>
        <v>9.5890045541807481E-3</v>
      </c>
      <c r="E25" s="371">
        <v>14</v>
      </c>
      <c r="F25" s="371">
        <v>21584.477736522556</v>
      </c>
      <c r="G25" s="9">
        <f t="shared" si="1"/>
        <v>1.0621271484053629E-2</v>
      </c>
    </row>
    <row r="26" spans="1:7" x14ac:dyDescent="0.25">
      <c r="A26">
        <v>15</v>
      </c>
      <c r="B26" s="6">
        <v>18287.439845462399</v>
      </c>
      <c r="C26" s="9">
        <f t="shared" si="0"/>
        <v>9.008858124204806E-3</v>
      </c>
      <c r="E26" s="371">
        <v>15</v>
      </c>
      <c r="F26" s="371">
        <v>25532.385787174593</v>
      </c>
      <c r="G26" s="9">
        <f t="shared" si="1"/>
        <v>1.2563954726701861E-2</v>
      </c>
    </row>
    <row r="27" spans="1:7" x14ac:dyDescent="0.25">
      <c r="A27">
        <v>16</v>
      </c>
      <c r="B27" s="6">
        <v>25028.252289859698</v>
      </c>
      <c r="C27" s="9">
        <f t="shared" si="0"/>
        <v>1.232955382937851E-2</v>
      </c>
      <c r="E27" s="371">
        <v>16</v>
      </c>
      <c r="F27" s="371">
        <v>27461.180816509612</v>
      </c>
      <c r="G27" s="9">
        <f t="shared" si="1"/>
        <v>1.3513074547608906E-2</v>
      </c>
    </row>
    <row r="28" spans="1:7" x14ac:dyDescent="0.25">
      <c r="A28">
        <v>17</v>
      </c>
      <c r="B28" s="6">
        <v>8823.2339609628998</v>
      </c>
      <c r="C28" s="9">
        <f t="shared" si="0"/>
        <v>4.3465495237543202E-3</v>
      </c>
      <c r="E28" s="371">
        <v>17</v>
      </c>
      <c r="F28" s="371">
        <v>18081.357773071453</v>
      </c>
      <c r="G28" s="9">
        <f t="shared" si="1"/>
        <v>8.8974591858267341E-3</v>
      </c>
    </row>
    <row r="29" spans="1:7" x14ac:dyDescent="0.25">
      <c r="A29">
        <v>18</v>
      </c>
      <c r="B29" s="6">
        <v>9997.9429724637994</v>
      </c>
      <c r="C29" s="9">
        <f t="shared" si="0"/>
        <v>4.9252410689496059E-3</v>
      </c>
      <c r="E29" s="371">
        <v>18</v>
      </c>
      <c r="F29" s="371">
        <v>9905.4335078863314</v>
      </c>
      <c r="G29" s="9">
        <f t="shared" si="1"/>
        <v>4.8742573129986859E-3</v>
      </c>
    </row>
    <row r="30" spans="1:7" x14ac:dyDescent="0.25">
      <c r="A30">
        <v>19</v>
      </c>
      <c r="B30" s="6">
        <v>5777.0382751023999</v>
      </c>
      <c r="C30" s="9">
        <f t="shared" si="0"/>
        <v>2.8459160297066954E-3</v>
      </c>
      <c r="E30" s="371">
        <v>19</v>
      </c>
      <c r="F30" s="371">
        <v>7975.0649925459475</v>
      </c>
      <c r="G30" s="9">
        <f t="shared" si="1"/>
        <v>3.9243632124336672E-3</v>
      </c>
    </row>
    <row r="31" spans="1:7" x14ac:dyDescent="0.25">
      <c r="A31">
        <v>20</v>
      </c>
      <c r="B31" s="6">
        <v>8041.7737813973999</v>
      </c>
      <c r="C31" s="9">
        <f t="shared" si="0"/>
        <v>3.9615823579337841E-3</v>
      </c>
      <c r="E31" s="371">
        <v>20</v>
      </c>
      <c r="F31" s="371">
        <v>9564.4537248968682</v>
      </c>
      <c r="G31" s="9">
        <f t="shared" si="1"/>
        <v>4.7064682708030207E-3</v>
      </c>
    </row>
    <row r="32" spans="1:7" x14ac:dyDescent="0.25">
      <c r="A32">
        <v>21</v>
      </c>
      <c r="B32" s="6">
        <v>3325.8476424467999</v>
      </c>
      <c r="C32" s="9">
        <f t="shared" si="0"/>
        <v>1.6383971625726849E-3</v>
      </c>
      <c r="E32" s="371">
        <v>21</v>
      </c>
      <c r="F32" s="371">
        <v>7048.5595952345648</v>
      </c>
      <c r="G32" s="9">
        <f t="shared" si="1"/>
        <v>3.468449222926568E-3</v>
      </c>
    </row>
    <row r="33" spans="1:7" x14ac:dyDescent="0.25">
      <c r="A33">
        <v>22</v>
      </c>
      <c r="B33" s="6">
        <v>5474.0762088094998</v>
      </c>
      <c r="C33" s="9">
        <f t="shared" si="0"/>
        <v>2.6966692081005594E-3</v>
      </c>
      <c r="E33" s="371">
        <v>22</v>
      </c>
      <c r="F33" s="371">
        <v>4673.5641717183844</v>
      </c>
      <c r="G33" s="9">
        <f t="shared" si="1"/>
        <v>2.2997634907780951E-3</v>
      </c>
    </row>
    <row r="34" spans="1:7" x14ac:dyDescent="0.25">
      <c r="A34">
        <v>23</v>
      </c>
      <c r="B34" s="6">
        <v>2761.1998975502001</v>
      </c>
      <c r="C34" s="9">
        <f t="shared" si="0"/>
        <v>1.3602373180612709E-3</v>
      </c>
      <c r="E34" s="371">
        <v>23</v>
      </c>
      <c r="F34" s="371">
        <v>4818.8458632251659</v>
      </c>
      <c r="G34" s="9">
        <f t="shared" si="1"/>
        <v>2.3712535822221449E-3</v>
      </c>
    </row>
    <row r="35" spans="1:7" x14ac:dyDescent="0.25">
      <c r="A35">
        <v>24</v>
      </c>
      <c r="B35" s="6">
        <v>2493.0056068304998</v>
      </c>
      <c r="C35" s="9">
        <f t="shared" si="0"/>
        <v>1.2281179872400667E-3</v>
      </c>
      <c r="E35" s="371">
        <v>24</v>
      </c>
      <c r="F35" s="371">
        <v>4636.188625943465</v>
      </c>
      <c r="G35" s="9">
        <f t="shared" si="1"/>
        <v>2.2813717639368946E-3</v>
      </c>
    </row>
    <row r="36" spans="1:7" x14ac:dyDescent="0.25">
      <c r="A36">
        <v>25</v>
      </c>
      <c r="B36" s="6">
        <v>4345.1891847870002</v>
      </c>
      <c r="C36" s="9">
        <f t="shared" si="0"/>
        <v>2.1405507397082805E-3</v>
      </c>
      <c r="E36" s="371">
        <v>25</v>
      </c>
      <c r="F36" s="371">
        <v>3906.6775808725138</v>
      </c>
      <c r="G36" s="9">
        <f t="shared" si="1"/>
        <v>1.9223945880748404E-3</v>
      </c>
    </row>
    <row r="37" spans="1:7" x14ac:dyDescent="0.25">
      <c r="A37">
        <v>26</v>
      </c>
      <c r="B37" s="6">
        <v>2761.0880822100003</v>
      </c>
      <c r="C37" s="9">
        <f t="shared" si="0"/>
        <v>1.3601822349799603E-3</v>
      </c>
      <c r="E37" s="371">
        <v>26</v>
      </c>
      <c r="F37" s="371">
        <v>2895.0447330288425</v>
      </c>
      <c r="G37" s="9">
        <f t="shared" si="1"/>
        <v>1.4245911549645319E-3</v>
      </c>
    </row>
    <row r="38" spans="1:7" x14ac:dyDescent="0.25">
      <c r="A38">
        <v>27</v>
      </c>
      <c r="B38" s="6">
        <v>1627.630489631</v>
      </c>
      <c r="C38" s="9">
        <f t="shared" si="0"/>
        <v>8.0181218823552184E-4</v>
      </c>
      <c r="E38" s="371">
        <v>27</v>
      </c>
      <c r="F38" s="371">
        <v>3226.3673861692337</v>
      </c>
      <c r="G38" s="9">
        <f t="shared" si="1"/>
        <v>1.5876281249008718E-3</v>
      </c>
    </row>
    <row r="39" spans="1:7" x14ac:dyDescent="0.25">
      <c r="A39">
        <v>28</v>
      </c>
      <c r="B39" s="6">
        <v>719.28088989299999</v>
      </c>
      <c r="C39" s="9">
        <f t="shared" si="0"/>
        <v>3.5433606580560539E-4</v>
      </c>
      <c r="E39" s="371">
        <v>28</v>
      </c>
      <c r="F39" s="371">
        <v>2122.6489889242985</v>
      </c>
      <c r="G39" s="9">
        <f t="shared" si="1"/>
        <v>1.0445113128018239E-3</v>
      </c>
    </row>
    <row r="40" spans="1:7" x14ac:dyDescent="0.25">
      <c r="A40">
        <v>29</v>
      </c>
      <c r="B40" s="6">
        <v>433.333643768</v>
      </c>
      <c r="C40" s="9">
        <f t="shared" si="0"/>
        <v>2.134711774934021E-4</v>
      </c>
      <c r="E40" s="371">
        <v>29</v>
      </c>
      <c r="F40" s="371">
        <v>2479.2328896118206</v>
      </c>
      <c r="G40" s="9">
        <f t="shared" si="1"/>
        <v>1.2199788159898426E-3</v>
      </c>
    </row>
    <row r="41" spans="1:7" x14ac:dyDescent="0.25">
      <c r="A41">
        <v>30</v>
      </c>
      <c r="B41" s="6">
        <v>532.23940406899999</v>
      </c>
      <c r="C41" s="9">
        <f t="shared" si="0"/>
        <v>2.6219467130926311E-4</v>
      </c>
      <c r="E41" s="371">
        <v>30</v>
      </c>
      <c r="F41" s="371">
        <v>1904.5790787858466</v>
      </c>
      <c r="G41" s="9">
        <f t="shared" si="1"/>
        <v>9.3720365651489296E-4</v>
      </c>
    </row>
    <row r="42" spans="1:7" x14ac:dyDescent="0.25">
      <c r="A42">
        <v>31</v>
      </c>
      <c r="B42" s="6">
        <v>2253.3596549180002</v>
      </c>
      <c r="C42" s="9">
        <f t="shared" si="0"/>
        <v>1.1100622944222771E-3</v>
      </c>
      <c r="E42" s="371">
        <v>31</v>
      </c>
      <c r="F42" s="371">
        <v>1703.4201059751163</v>
      </c>
      <c r="G42" s="9">
        <f t="shared" si="1"/>
        <v>8.3821751991447371E-4</v>
      </c>
    </row>
    <row r="43" spans="1:7" x14ac:dyDescent="0.25">
      <c r="A43">
        <v>32</v>
      </c>
      <c r="B43" s="6">
        <v>2598.2717360329998</v>
      </c>
      <c r="C43" s="9">
        <f t="shared" si="0"/>
        <v>1.27997476059289E-3</v>
      </c>
      <c r="E43" s="371">
        <v>32</v>
      </c>
      <c r="F43" s="371">
        <v>1159.7505597927777</v>
      </c>
      <c r="G43" s="9">
        <f t="shared" si="1"/>
        <v>5.7068907108645203E-4</v>
      </c>
    </row>
    <row r="44" spans="1:7" x14ac:dyDescent="0.25">
      <c r="A44">
        <v>33</v>
      </c>
      <c r="B44" s="6">
        <v>282.23158255480001</v>
      </c>
      <c r="C44" s="9">
        <f t="shared" si="0"/>
        <v>1.3903445790619358E-4</v>
      </c>
      <c r="E44" s="371">
        <v>33</v>
      </c>
      <c r="F44" s="371">
        <v>1109.2816635036224</v>
      </c>
      <c r="G44" s="9">
        <f t="shared" si="1"/>
        <v>5.4585437943761774E-4</v>
      </c>
    </row>
    <row r="45" spans="1:7" x14ac:dyDescent="0.25">
      <c r="A45">
        <v>34</v>
      </c>
      <c r="B45" s="6">
        <v>251.01775973100001</v>
      </c>
      <c r="C45" s="9">
        <f t="shared" si="0"/>
        <v>1.2365773466281113E-4</v>
      </c>
      <c r="E45" s="371">
        <v>34</v>
      </c>
      <c r="F45" s="371">
        <v>824.25518657516795</v>
      </c>
      <c r="G45" s="9">
        <f t="shared" si="1"/>
        <v>4.0559879259624749E-4</v>
      </c>
    </row>
    <row r="46" spans="1:7" x14ac:dyDescent="0.25">
      <c r="A46">
        <v>35</v>
      </c>
      <c r="B46" s="6">
        <v>1001.676862693</v>
      </c>
      <c r="C46" s="9">
        <f t="shared" si="0"/>
        <v>4.9345150652888687E-4</v>
      </c>
      <c r="E46" s="371">
        <v>35</v>
      </c>
      <c r="F46" s="371">
        <v>813.30027105718932</v>
      </c>
      <c r="G46" s="9">
        <f t="shared" si="1"/>
        <v>4.002081070665049E-4</v>
      </c>
    </row>
    <row r="47" spans="1:7" x14ac:dyDescent="0.25">
      <c r="A47">
        <v>36</v>
      </c>
      <c r="B47" s="6">
        <v>636.75680832700004</v>
      </c>
      <c r="C47" s="9">
        <f t="shared" si="0"/>
        <v>3.136826037058863E-4</v>
      </c>
      <c r="E47" s="371">
        <v>36</v>
      </c>
      <c r="F47" s="371">
        <v>918.24705871027686</v>
      </c>
      <c r="G47" s="9">
        <f t="shared" si="1"/>
        <v>4.5185023325780338E-4</v>
      </c>
    </row>
    <row r="48" spans="1:7" x14ac:dyDescent="0.25">
      <c r="A48">
        <v>37</v>
      </c>
      <c r="B48" s="6">
        <v>0</v>
      </c>
      <c r="C48" s="9">
        <f t="shared" si="0"/>
        <v>0</v>
      </c>
      <c r="E48" s="371">
        <v>37</v>
      </c>
      <c r="F48" s="371">
        <v>545.99847519088473</v>
      </c>
      <c r="G48" s="9">
        <f t="shared" si="1"/>
        <v>2.6867446623779219E-4</v>
      </c>
    </row>
    <row r="49" spans="1:7" x14ac:dyDescent="0.25">
      <c r="A49">
        <v>38</v>
      </c>
      <c r="B49" s="6">
        <v>650.23748238200005</v>
      </c>
      <c r="C49" s="9">
        <f t="shared" si="0"/>
        <v>3.2032352671131607E-4</v>
      </c>
      <c r="E49" s="371">
        <v>38</v>
      </c>
      <c r="F49" s="371">
        <v>616.231286303709</v>
      </c>
      <c r="G49" s="9">
        <f t="shared" si="1"/>
        <v>3.0323456831778562E-4</v>
      </c>
    </row>
    <row r="50" spans="1:7" x14ac:dyDescent="0.25">
      <c r="A50">
        <v>39</v>
      </c>
      <c r="B50" s="6">
        <v>664.00143667520001</v>
      </c>
      <c r="C50" s="9">
        <f t="shared" si="0"/>
        <v>3.2710400076910195E-4</v>
      </c>
      <c r="E50" s="371">
        <v>39</v>
      </c>
      <c r="F50" s="371">
        <v>483.50589546331958</v>
      </c>
      <c r="G50" s="9">
        <f t="shared" si="1"/>
        <v>2.3792317064808143E-4</v>
      </c>
    </row>
    <row r="51" spans="1:7" x14ac:dyDescent="0.25">
      <c r="A51">
        <v>40</v>
      </c>
      <c r="B51" s="6">
        <v>0</v>
      </c>
      <c r="C51" s="9">
        <f t="shared" si="0"/>
        <v>0</v>
      </c>
      <c r="E51" s="371">
        <v>40</v>
      </c>
      <c r="F51" s="371">
        <v>330.91399944734263</v>
      </c>
      <c r="G51" s="9">
        <f t="shared" si="1"/>
        <v>1.6283587997392292E-4</v>
      </c>
    </row>
    <row r="52" spans="1:7" x14ac:dyDescent="0.25">
      <c r="A52">
        <v>41</v>
      </c>
      <c r="B52" s="6">
        <v>0</v>
      </c>
      <c r="C52" s="9">
        <f t="shared" si="0"/>
        <v>0</v>
      </c>
      <c r="E52" s="371">
        <v>41</v>
      </c>
      <c r="F52" s="371">
        <v>373.51533208777681</v>
      </c>
      <c r="G52" s="9">
        <f t="shared" si="1"/>
        <v>1.837991075803475E-4</v>
      </c>
    </row>
    <row r="53" spans="1:7" x14ac:dyDescent="0.25">
      <c r="A53">
        <v>42</v>
      </c>
      <c r="B53" s="6">
        <v>0</v>
      </c>
      <c r="C53" s="9">
        <f t="shared" si="0"/>
        <v>0</v>
      </c>
      <c r="E53" s="371">
        <v>42</v>
      </c>
      <c r="F53" s="371">
        <v>249.6088897799529</v>
      </c>
      <c r="G53" s="9">
        <f t="shared" si="1"/>
        <v>1.2282733061917597E-4</v>
      </c>
    </row>
    <row r="54" spans="1:7" x14ac:dyDescent="0.25">
      <c r="A54">
        <v>43</v>
      </c>
      <c r="B54" s="6">
        <v>4.59375</v>
      </c>
      <c r="C54" s="9">
        <f t="shared" si="0"/>
        <v>2.2629981209936507E-6</v>
      </c>
      <c r="E54" s="371">
        <v>43</v>
      </c>
      <c r="F54" s="371">
        <v>166.99902088940729</v>
      </c>
      <c r="G54" s="9">
        <f t="shared" si="1"/>
        <v>8.2176736453355703E-5</v>
      </c>
    </row>
    <row r="55" spans="1:7" x14ac:dyDescent="0.25">
      <c r="A55">
        <v>44</v>
      </c>
      <c r="B55" s="6">
        <v>5084.5255403459996</v>
      </c>
      <c r="C55" s="9">
        <f t="shared" si="0"/>
        <v>2.5047666381381711E-3</v>
      </c>
      <c r="E55" s="371">
        <v>44</v>
      </c>
      <c r="F55" s="371">
        <v>230.26974448407904</v>
      </c>
      <c r="G55" s="9">
        <f t="shared" si="1"/>
        <v>1.1331094041671709E-4</v>
      </c>
    </row>
    <row r="56" spans="1:7" x14ac:dyDescent="0.25">
      <c r="A56">
        <v>45</v>
      </c>
      <c r="B56" s="6">
        <v>250.40304101000001</v>
      </c>
      <c r="C56" s="9">
        <f t="shared" si="0"/>
        <v>1.2335490858160023E-4</v>
      </c>
      <c r="E56" s="371">
        <v>45</v>
      </c>
      <c r="F56" s="371">
        <v>116.86378143392918</v>
      </c>
      <c r="G56" s="9">
        <f t="shared" si="1"/>
        <v>5.7506230376035144E-5</v>
      </c>
    </row>
    <row r="57" spans="1:7" x14ac:dyDescent="0.25">
      <c r="A57">
        <v>46</v>
      </c>
      <c r="B57" s="6">
        <v>0</v>
      </c>
      <c r="C57" s="9">
        <f t="shared" si="0"/>
        <v>0</v>
      </c>
      <c r="E57" s="371">
        <v>46</v>
      </c>
      <c r="F57" s="371">
        <v>112.46701745746691</v>
      </c>
      <c r="G57" s="9">
        <f t="shared" si="1"/>
        <v>5.5342674490395427E-5</v>
      </c>
    </row>
    <row r="58" spans="1:7" x14ac:dyDescent="0.25">
      <c r="A58">
        <v>47</v>
      </c>
      <c r="B58" s="6">
        <v>0</v>
      </c>
      <c r="C58" s="9">
        <f t="shared" si="0"/>
        <v>0</v>
      </c>
      <c r="E58" s="371">
        <v>47</v>
      </c>
      <c r="F58" s="371">
        <v>113.59605042156723</v>
      </c>
      <c r="G58" s="9">
        <f t="shared" si="1"/>
        <v>5.5898248073066096E-5</v>
      </c>
    </row>
    <row r="59" spans="1:7" x14ac:dyDescent="0.25">
      <c r="A59">
        <v>48</v>
      </c>
      <c r="B59" s="6">
        <v>0</v>
      </c>
      <c r="C59" s="9">
        <f t="shared" si="0"/>
        <v>0</v>
      </c>
      <c r="E59" s="371">
        <v>48</v>
      </c>
      <c r="F59" s="371">
        <v>133.82334018373416</v>
      </c>
      <c r="G59" s="9">
        <f t="shared" si="1"/>
        <v>6.5851675650656683E-5</v>
      </c>
    </row>
    <row r="60" spans="1:7" x14ac:dyDescent="0.25">
      <c r="A60">
        <v>49</v>
      </c>
      <c r="B60" s="6">
        <v>0</v>
      </c>
      <c r="C60" s="9">
        <f t="shared" si="0"/>
        <v>0</v>
      </c>
      <c r="E60" s="371">
        <v>49</v>
      </c>
      <c r="F60" s="371">
        <v>111.16368661584815</v>
      </c>
      <c r="G60" s="9">
        <f t="shared" si="1"/>
        <v>5.4701332556096522E-5</v>
      </c>
    </row>
    <row r="61" spans="1:7" x14ac:dyDescent="0.25">
      <c r="A61">
        <v>50</v>
      </c>
      <c r="B61" s="6">
        <v>1172.3049615899999</v>
      </c>
      <c r="C61" s="9">
        <f t="shared" si="0"/>
        <v>5.7750724904701034E-4</v>
      </c>
      <c r="E61" s="371">
        <v>50</v>
      </c>
      <c r="F61" s="371">
        <v>73.768840670559129</v>
      </c>
      <c r="G61" s="9">
        <f t="shared" si="1"/>
        <v>3.6300108503442377E-5</v>
      </c>
    </row>
    <row r="62" spans="1:7" x14ac:dyDescent="0.25">
      <c r="A62">
        <v>51</v>
      </c>
      <c r="B62" s="6">
        <v>0</v>
      </c>
      <c r="C62" s="9">
        <f t="shared" si="0"/>
        <v>0</v>
      </c>
      <c r="E62" s="371">
        <v>51</v>
      </c>
      <c r="F62" s="371">
        <v>72.086843697433935</v>
      </c>
      <c r="G62" s="9">
        <f t="shared" si="1"/>
        <v>3.5472432860557106E-5</v>
      </c>
    </row>
    <row r="63" spans="1:7" x14ac:dyDescent="0.25">
      <c r="A63">
        <v>52</v>
      </c>
      <c r="B63" s="6">
        <v>0</v>
      </c>
      <c r="C63" s="9">
        <f t="shared" si="0"/>
        <v>0</v>
      </c>
      <c r="E63" s="371">
        <v>52</v>
      </c>
      <c r="F63" s="371">
        <v>93.166314054710625</v>
      </c>
      <c r="G63" s="9">
        <f t="shared" si="1"/>
        <v>4.5845200742073028E-5</v>
      </c>
    </row>
    <row r="64" spans="1:7" x14ac:dyDescent="0.25">
      <c r="A64">
        <v>53</v>
      </c>
      <c r="B64" s="6">
        <v>523.29998548799995</v>
      </c>
      <c r="C64" s="9">
        <f t="shared" si="0"/>
        <v>2.5779088628579013E-4</v>
      </c>
      <c r="E64" s="371">
        <v>53</v>
      </c>
      <c r="F64" s="371">
        <v>28.7740910755392</v>
      </c>
      <c r="G64" s="9">
        <f t="shared" si="1"/>
        <v>1.4159130313496484E-5</v>
      </c>
    </row>
    <row r="65" spans="1:7" x14ac:dyDescent="0.25">
      <c r="A65">
        <v>54</v>
      </c>
      <c r="B65" s="6">
        <v>1866.4787940159999</v>
      </c>
      <c r="C65" s="9">
        <f t="shared" si="0"/>
        <v>9.194749395880714E-4</v>
      </c>
      <c r="E65" s="371">
        <v>54</v>
      </c>
      <c r="F65" s="371">
        <v>28.18653979976051</v>
      </c>
      <c r="G65" s="9">
        <f t="shared" si="1"/>
        <v>1.3870008580414749E-5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26.08579004618602</v>
      </c>
      <c r="G66" s="9">
        <f t="shared" si="1"/>
        <v>1.2836273424756163E-5</v>
      </c>
    </row>
    <row r="67" spans="1:7" x14ac:dyDescent="0.25">
      <c r="A67">
        <v>56</v>
      </c>
      <c r="B67" s="6">
        <v>668.71153577099994</v>
      </c>
      <c r="C67" s="9">
        <f t="shared" si="0"/>
        <v>3.2942431541475945E-4</v>
      </c>
      <c r="E67" s="371">
        <v>56</v>
      </c>
      <c r="F67" s="371">
        <v>2.25</v>
      </c>
      <c r="G67" s="9">
        <f t="shared" si="1"/>
        <v>1.1071780902386019E-6</v>
      </c>
    </row>
    <row r="68" spans="1:7" x14ac:dyDescent="0.25">
      <c r="A68">
        <v>57</v>
      </c>
      <c r="B68" s="6">
        <v>569.50120905100005</v>
      </c>
      <c r="C68" s="9">
        <f t="shared" si="0"/>
        <v>2.8055078443233204E-4</v>
      </c>
      <c r="E68" s="371">
        <v>57</v>
      </c>
      <c r="F68" s="371">
        <v>12.96190476190476</v>
      </c>
      <c r="G68" s="9">
        <f t="shared" si="1"/>
        <v>6.3782830933957117E-6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5.2533444816053496</v>
      </c>
      <c r="G69" s="9">
        <f t="shared" si="1"/>
        <v>2.5850612935596928E-6</v>
      </c>
    </row>
    <row r="70" spans="1:7" x14ac:dyDescent="0.25">
      <c r="A70">
        <v>59</v>
      </c>
      <c r="B70" s="6">
        <v>224.68281626500001</v>
      </c>
      <c r="C70" s="9">
        <f t="shared" si="0"/>
        <v>1.1068447151613751E-4</v>
      </c>
      <c r="E70" s="371">
        <v>59</v>
      </c>
      <c r="F70" s="371">
        <v>0.75</v>
      </c>
      <c r="G70" s="9">
        <f t="shared" si="1"/>
        <v>3.6905936341286727E-7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25.469782362500553</v>
      </c>
      <c r="G71" s="9">
        <f t="shared" si="1"/>
        <v>1.2533148886624971E-5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10.2768456375839</v>
      </c>
      <c r="G72" s="9">
        <f t="shared" si="1"/>
        <v>5.0570214785320216E-6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9.9298245614035103</v>
      </c>
      <c r="G73" s="9">
        <f t="shared" si="1"/>
        <v>4.8862596419107118E-6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24.951452991452989</v>
      </c>
      <c r="G74" s="9">
        <f t="shared" si="1"/>
        <v>1.2278089809668964E-5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0</v>
      </c>
      <c r="G75" s="9">
        <f t="shared" si="1"/>
        <v>0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4.97435897435897</v>
      </c>
      <c r="G76" s="9">
        <f t="shared" si="1"/>
        <v>2.4477783419520064E-6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0</v>
      </c>
      <c r="G77" s="9">
        <f t="shared" ref="G77:G102" si="3">F77/F$102</f>
        <v>0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10.013986013986001</v>
      </c>
      <c r="G78" s="9">
        <f t="shared" si="3"/>
        <v>4.9276737380627064E-6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0</v>
      </c>
      <c r="G79" s="9">
        <f t="shared" si="3"/>
        <v>0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5</v>
      </c>
      <c r="G80" s="9">
        <f t="shared" si="3"/>
        <v>2.460395756085782E-6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0</v>
      </c>
      <c r="G81" s="9">
        <f t="shared" si="3"/>
        <v>0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0</v>
      </c>
      <c r="G82" s="9">
        <f t="shared" si="3"/>
        <v>0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0</v>
      </c>
      <c r="G83" s="9">
        <f t="shared" si="3"/>
        <v>0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0</v>
      </c>
      <c r="G84" s="9">
        <f t="shared" si="3"/>
        <v>0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0</v>
      </c>
      <c r="G85" s="9">
        <f t="shared" si="3"/>
        <v>0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0</v>
      </c>
      <c r="G86" s="9">
        <f t="shared" si="3"/>
        <v>0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19.95</v>
      </c>
      <c r="G87" s="9">
        <f t="shared" si="3"/>
        <v>9.8169790667822699E-6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10.0068965517241</v>
      </c>
      <c r="G89" s="9">
        <f t="shared" si="3"/>
        <v>4.9241851614902839E-6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598.21587187799992</v>
      </c>
      <c r="C100" s="9">
        <f t="shared" si="2"/>
        <v>2.9469635787939967E-4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242.68014145000001</v>
      </c>
      <c r="C101" s="9">
        <f t="shared" si="2"/>
        <v>1.1955041177770305E-4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2029939.8207113619</v>
      </c>
      <c r="C102" s="9">
        <f t="shared" si="2"/>
        <v>1</v>
      </c>
      <c r="F102" s="6">
        <f>SUM(F11:F101)</f>
        <v>2032193.3931289364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1928.2538946519999</v>
      </c>
      <c r="C11" s="9">
        <f>B11/B$102</f>
        <v>9.4990692580052547E-4</v>
      </c>
      <c r="E11" s="371">
        <v>0</v>
      </c>
      <c r="F11" s="371">
        <v>30520.945407712319</v>
      </c>
      <c r="G11" s="9">
        <f>F11/F$102</f>
        <v>1.5018720910572238E-2</v>
      </c>
      <c r="K11" s="6">
        <v>26.420330496551912</v>
      </c>
      <c r="L11" s="6">
        <v>20.34715996185064</v>
      </c>
    </row>
    <row r="12" spans="1:12" x14ac:dyDescent="0.25">
      <c r="A12">
        <v>1</v>
      </c>
      <c r="B12" s="6">
        <v>1838.9710621157001</v>
      </c>
      <c r="C12" s="9">
        <f>B12/B$102</f>
        <v>9.0592393102139354E-4</v>
      </c>
      <c r="E12" s="371">
        <v>1</v>
      </c>
      <c r="F12" s="371">
        <v>70668.277219638185</v>
      </c>
      <c r="G12" s="9">
        <f>F12/F$102</f>
        <v>3.4774385872218247E-2</v>
      </c>
      <c r="K12" s="6"/>
      <c r="L12" s="371"/>
    </row>
    <row r="13" spans="1:12" x14ac:dyDescent="0.25">
      <c r="A13">
        <v>2</v>
      </c>
      <c r="B13" s="6">
        <v>7623.5141350643999</v>
      </c>
      <c r="C13" s="9">
        <f t="shared" ref="C13:C76" si="0">B13/B$102</f>
        <v>3.7555370150790246E-3</v>
      </c>
      <c r="E13" s="371">
        <v>2</v>
      </c>
      <c r="F13" s="371">
        <v>73101.021187850754</v>
      </c>
      <c r="G13" s="9">
        <f t="shared" ref="G13:G76" si="1">F13/F$102</f>
        <v>3.5971488459224946E-2</v>
      </c>
    </row>
    <row r="14" spans="1:12" x14ac:dyDescent="0.25">
      <c r="A14">
        <v>3</v>
      </c>
      <c r="B14" s="6">
        <v>18870.844938143699</v>
      </c>
      <c r="C14" s="9">
        <f t="shared" si="0"/>
        <v>9.2962583154463617E-3</v>
      </c>
      <c r="E14" s="371">
        <v>3</v>
      </c>
      <c r="F14" s="371">
        <v>75410.349902139089</v>
      </c>
      <c r="G14" s="9">
        <f t="shared" si="1"/>
        <v>3.7107860972833355E-2</v>
      </c>
    </row>
    <row r="15" spans="1:12" x14ac:dyDescent="0.25">
      <c r="A15">
        <v>4</v>
      </c>
      <c r="B15" s="6">
        <v>25029.602429170998</v>
      </c>
      <c r="C15" s="9">
        <f t="shared" si="0"/>
        <v>1.2330218942352561E-2</v>
      </c>
      <c r="E15" s="371">
        <v>4</v>
      </c>
      <c r="F15" s="371">
        <v>77904.508991036404</v>
      </c>
      <c r="G15" s="9">
        <f t="shared" si="1"/>
        <v>3.8335184660298505E-2</v>
      </c>
    </row>
    <row r="16" spans="1:12" x14ac:dyDescent="0.25">
      <c r="A16">
        <v>5</v>
      </c>
      <c r="B16" s="6">
        <v>53986.375810938298</v>
      </c>
      <c r="C16" s="9">
        <f t="shared" si="0"/>
        <v>2.6595062208307031E-2</v>
      </c>
      <c r="E16" s="371">
        <v>5</v>
      </c>
      <c r="F16" s="371">
        <v>75494.06777141121</v>
      </c>
      <c r="G16" s="9">
        <f t="shared" si="1"/>
        <v>3.7149056790886488E-2</v>
      </c>
    </row>
    <row r="17" spans="1:7" x14ac:dyDescent="0.25">
      <c r="A17">
        <v>6</v>
      </c>
      <c r="B17" s="6">
        <v>24084.615098460799</v>
      </c>
      <c r="C17" s="9">
        <f t="shared" si="0"/>
        <v>1.1864694141534061E-2</v>
      </c>
      <c r="E17" s="371">
        <v>6</v>
      </c>
      <c r="F17" s="371">
        <v>71205.392864633381</v>
      </c>
      <c r="G17" s="9">
        <f t="shared" si="1"/>
        <v>3.5038689282912941E-2</v>
      </c>
    </row>
    <row r="18" spans="1:7" x14ac:dyDescent="0.25">
      <c r="A18">
        <v>7</v>
      </c>
      <c r="B18" s="6">
        <v>39960.799838258499</v>
      </c>
      <c r="C18" s="9">
        <f t="shared" si="0"/>
        <v>1.9685706655212486E-2</v>
      </c>
      <c r="E18" s="371">
        <v>7</v>
      </c>
      <c r="F18" s="371">
        <v>65201.618037324915</v>
      </c>
      <c r="G18" s="9">
        <f t="shared" si="1"/>
        <v>3.2084356861792063E-2</v>
      </c>
    </row>
    <row r="19" spans="1:7" x14ac:dyDescent="0.25">
      <c r="A19">
        <v>8</v>
      </c>
      <c r="B19" s="6">
        <v>16572.570070342099</v>
      </c>
      <c r="C19" s="9">
        <f t="shared" si="0"/>
        <v>8.1640696444560054E-3</v>
      </c>
      <c r="E19" s="371">
        <v>8</v>
      </c>
      <c r="F19" s="371">
        <v>59121.30919440923</v>
      </c>
      <c r="G19" s="9">
        <f t="shared" si="1"/>
        <v>2.9092363647231945E-2</v>
      </c>
    </row>
    <row r="20" spans="1:7" x14ac:dyDescent="0.25">
      <c r="A20">
        <v>9</v>
      </c>
      <c r="B20" s="6">
        <v>41901.002435918403</v>
      </c>
      <c r="C20" s="9">
        <f t="shared" si="0"/>
        <v>2.0641499816105299E-2</v>
      </c>
      <c r="E20" s="371">
        <v>9</v>
      </c>
      <c r="F20" s="371">
        <v>52420.486903386533</v>
      </c>
      <c r="G20" s="9">
        <f t="shared" si="1"/>
        <v>2.5795028701808494E-2</v>
      </c>
    </row>
    <row r="21" spans="1:7" x14ac:dyDescent="0.25">
      <c r="A21">
        <v>10</v>
      </c>
      <c r="B21" s="6">
        <v>14290.690273554699</v>
      </c>
      <c r="C21" s="9">
        <f t="shared" si="0"/>
        <v>7.0399576025592424E-3</v>
      </c>
      <c r="E21" s="371">
        <v>10</v>
      </c>
      <c r="F21" s="371">
        <v>47824.077143125709</v>
      </c>
      <c r="G21" s="9">
        <f t="shared" si="1"/>
        <v>2.3533231288333095E-2</v>
      </c>
    </row>
    <row r="22" spans="1:7" x14ac:dyDescent="0.25">
      <c r="A22">
        <v>11</v>
      </c>
      <c r="B22" s="6">
        <v>19308.980298689301</v>
      </c>
      <c r="C22" s="9">
        <f t="shared" si="0"/>
        <v>9.5120949407863521E-3</v>
      </c>
      <c r="E22" s="371">
        <v>11</v>
      </c>
      <c r="F22" s="371">
        <v>42774.955041240319</v>
      </c>
      <c r="G22" s="9">
        <f t="shared" si="1"/>
        <v>2.1048663570045551E-2</v>
      </c>
    </row>
    <row r="23" spans="1:7" x14ac:dyDescent="0.25">
      <c r="A23">
        <v>12</v>
      </c>
      <c r="B23" s="6">
        <v>43500.6364308009</v>
      </c>
      <c r="C23" s="9">
        <f t="shared" si="0"/>
        <v>2.1429520218760351E-2</v>
      </c>
      <c r="E23" s="371">
        <v>12</v>
      </c>
      <c r="F23" s="371">
        <v>38242.918364510144</v>
      </c>
      <c r="G23" s="9">
        <f t="shared" si="1"/>
        <v>1.8818542808875145E-2</v>
      </c>
    </row>
    <row r="24" spans="1:7" x14ac:dyDescent="0.25">
      <c r="A24">
        <v>13</v>
      </c>
      <c r="B24" s="6">
        <v>52407.647055785499</v>
      </c>
      <c r="C24" s="9">
        <f t="shared" si="0"/>
        <v>2.58173402585994E-2</v>
      </c>
      <c r="E24" s="371">
        <v>13</v>
      </c>
      <c r="F24" s="371">
        <v>35557.276570782262</v>
      </c>
      <c r="G24" s="9">
        <f t="shared" si="1"/>
        <v>1.7496994474544208E-2</v>
      </c>
    </row>
    <row r="25" spans="1:7" x14ac:dyDescent="0.25">
      <c r="A25">
        <v>14</v>
      </c>
      <c r="B25" s="6">
        <v>27859.4381014104</v>
      </c>
      <c r="C25" s="9">
        <f t="shared" si="0"/>
        <v>1.3724267989209392E-2</v>
      </c>
      <c r="E25" s="371">
        <v>14</v>
      </c>
      <c r="F25" s="371">
        <v>29779.21439854956</v>
      </c>
      <c r="G25" s="9">
        <f t="shared" si="1"/>
        <v>1.4653730545151983E-2</v>
      </c>
    </row>
    <row r="26" spans="1:7" x14ac:dyDescent="0.25">
      <c r="A26">
        <v>15</v>
      </c>
      <c r="B26" s="6">
        <v>25657.658903926302</v>
      </c>
      <c r="C26" s="9">
        <f t="shared" si="0"/>
        <v>1.2639615540393192E-2</v>
      </c>
      <c r="E26" s="371">
        <v>15</v>
      </c>
      <c r="F26" s="371">
        <v>28671.194651834194</v>
      </c>
      <c r="G26" s="9">
        <f t="shared" si="1"/>
        <v>1.4108497128656437E-2</v>
      </c>
    </row>
    <row r="27" spans="1:7" x14ac:dyDescent="0.25">
      <c r="A27">
        <v>16</v>
      </c>
      <c r="B27" s="6">
        <v>82814.172138996903</v>
      </c>
      <c r="C27" s="9">
        <f t="shared" si="0"/>
        <v>4.0796368096260069E-2</v>
      </c>
      <c r="E27" s="371">
        <v>16</v>
      </c>
      <c r="F27" s="371">
        <v>25309.703137314762</v>
      </c>
      <c r="G27" s="9">
        <f t="shared" si="1"/>
        <v>1.2454377237368043E-2</v>
      </c>
    </row>
    <row r="28" spans="1:7" x14ac:dyDescent="0.25">
      <c r="A28">
        <v>17</v>
      </c>
      <c r="B28" s="6">
        <v>59076.627800235699</v>
      </c>
      <c r="C28" s="9">
        <f t="shared" si="0"/>
        <v>2.9102649840886993E-2</v>
      </c>
      <c r="E28" s="371">
        <v>17</v>
      </c>
      <c r="F28" s="371">
        <v>22181.579012960268</v>
      </c>
      <c r="G28" s="9">
        <f t="shared" si="1"/>
        <v>1.0915092573353774E-2</v>
      </c>
    </row>
    <row r="29" spans="1:7" x14ac:dyDescent="0.25">
      <c r="A29">
        <v>18</v>
      </c>
      <c r="B29" s="6">
        <v>181156.84198242059</v>
      </c>
      <c r="C29" s="9">
        <f t="shared" si="0"/>
        <v>8.9242469226963037E-2</v>
      </c>
      <c r="E29" s="371">
        <v>18</v>
      </c>
      <c r="F29" s="371">
        <v>178052.4557804853</v>
      </c>
      <c r="G29" s="9">
        <f t="shared" si="1"/>
        <v>8.7615901312591435E-2</v>
      </c>
    </row>
    <row r="30" spans="1:7" x14ac:dyDescent="0.25">
      <c r="A30">
        <v>19</v>
      </c>
      <c r="B30" s="6">
        <v>90493.524156608401</v>
      </c>
      <c r="C30" s="9">
        <f t="shared" si="0"/>
        <v>4.4579412272870378E-2</v>
      </c>
      <c r="E30" s="371">
        <v>19</v>
      </c>
      <c r="F30" s="371">
        <v>64219.666745880248</v>
      </c>
      <c r="G30" s="9">
        <f t="shared" si="1"/>
        <v>3.1601159103761378E-2</v>
      </c>
    </row>
    <row r="31" spans="1:7" x14ac:dyDescent="0.25">
      <c r="A31">
        <v>20</v>
      </c>
      <c r="B31" s="6">
        <v>146330.04576865849</v>
      </c>
      <c r="C31" s="9">
        <f t="shared" si="0"/>
        <v>7.2085903372928223E-2</v>
      </c>
      <c r="E31" s="371">
        <v>20</v>
      </c>
      <c r="F31" s="371">
        <v>55495.743087677009</v>
      </c>
      <c r="G31" s="9">
        <f t="shared" si="1"/>
        <v>2.7308298154749461E-2</v>
      </c>
    </row>
    <row r="32" spans="1:7" x14ac:dyDescent="0.25">
      <c r="A32">
        <v>21</v>
      </c>
      <c r="B32" s="6">
        <v>133058.12729116261</v>
      </c>
      <c r="C32" s="9">
        <f t="shared" si="0"/>
        <v>6.5547818675991285E-2</v>
      </c>
      <c r="E32" s="371">
        <v>21</v>
      </c>
      <c r="F32" s="371">
        <v>80378.462466442463</v>
      </c>
      <c r="G32" s="9">
        <f t="shared" si="1"/>
        <v>3.955256558662705E-2</v>
      </c>
    </row>
    <row r="33" spans="1:7" x14ac:dyDescent="0.25">
      <c r="A33">
        <v>22</v>
      </c>
      <c r="B33" s="6">
        <v>83422.521552109101</v>
      </c>
      <c r="C33" s="9">
        <f t="shared" si="0"/>
        <v>4.1096056494361946E-2</v>
      </c>
      <c r="E33" s="371">
        <v>22</v>
      </c>
      <c r="F33" s="371">
        <v>63164.424150649138</v>
      </c>
      <c r="G33" s="9">
        <f t="shared" si="1"/>
        <v>3.1081896223171868E-2</v>
      </c>
    </row>
    <row r="34" spans="1:7" x14ac:dyDescent="0.25">
      <c r="A34">
        <v>23</v>
      </c>
      <c r="B34" s="6">
        <v>64787.7067685242</v>
      </c>
      <c r="C34" s="9">
        <f t="shared" si="0"/>
        <v>3.1916072637966336E-2</v>
      </c>
      <c r="E34" s="371">
        <v>23</v>
      </c>
      <c r="F34" s="371">
        <v>61920.90274787799</v>
      </c>
      <c r="G34" s="9">
        <f t="shared" si="1"/>
        <v>3.0469985266775874E-2</v>
      </c>
    </row>
    <row r="35" spans="1:7" x14ac:dyDescent="0.25">
      <c r="A35">
        <v>24</v>
      </c>
      <c r="B35" s="6">
        <v>78852.744829489704</v>
      </c>
      <c r="C35" s="9">
        <f t="shared" si="0"/>
        <v>3.8844868219717436E-2</v>
      </c>
      <c r="E35" s="371">
        <v>24</v>
      </c>
      <c r="F35" s="371">
        <v>47170.607163056527</v>
      </c>
      <c r="G35" s="9">
        <f t="shared" si="1"/>
        <v>2.321167233519476E-2</v>
      </c>
    </row>
    <row r="36" spans="1:7" x14ac:dyDescent="0.25">
      <c r="A36">
        <v>25</v>
      </c>
      <c r="B36" s="6">
        <v>31363.941512171299</v>
      </c>
      <c r="C36" s="9">
        <f t="shared" si="0"/>
        <v>1.5450675528489447E-2</v>
      </c>
      <c r="E36" s="371">
        <v>25</v>
      </c>
      <c r="F36" s="371">
        <v>39410.515976953866</v>
      </c>
      <c r="G36" s="9">
        <f t="shared" si="1"/>
        <v>1.9393093250969631E-2</v>
      </c>
    </row>
    <row r="37" spans="1:7" x14ac:dyDescent="0.25">
      <c r="A37">
        <v>26</v>
      </c>
      <c r="B37" s="6">
        <v>121371.7756253273</v>
      </c>
      <c r="C37" s="9">
        <f t="shared" si="0"/>
        <v>5.9790824529366772E-2</v>
      </c>
      <c r="E37" s="371">
        <v>26</v>
      </c>
      <c r="F37" s="371">
        <v>44795.897847498163</v>
      </c>
      <c r="G37" s="9">
        <f t="shared" si="1"/>
        <v>2.2043127390807327E-2</v>
      </c>
    </row>
    <row r="38" spans="1:7" x14ac:dyDescent="0.25">
      <c r="A38">
        <v>27</v>
      </c>
      <c r="B38" s="6">
        <v>17466.8171904011</v>
      </c>
      <c r="C38" s="9">
        <f t="shared" si="0"/>
        <v>8.6045985266105639E-3</v>
      </c>
      <c r="E38" s="371">
        <v>27</v>
      </c>
      <c r="F38" s="371">
        <v>29738.987105737975</v>
      </c>
      <c r="G38" s="9">
        <f t="shared" si="1"/>
        <v>1.4633935533049494E-2</v>
      </c>
    </row>
    <row r="39" spans="1:7" x14ac:dyDescent="0.25">
      <c r="A39">
        <v>28</v>
      </c>
      <c r="B39" s="6">
        <v>35901.713031650601</v>
      </c>
      <c r="C39" s="9">
        <f t="shared" si="0"/>
        <v>1.7686097225813019E-2</v>
      </c>
      <c r="E39" s="371">
        <v>28</v>
      </c>
      <c r="F39" s="371">
        <v>31918.547495353116</v>
      </c>
      <c r="G39" s="9">
        <f t="shared" si="1"/>
        <v>1.5706451759597846E-2</v>
      </c>
    </row>
    <row r="40" spans="1:7" x14ac:dyDescent="0.25">
      <c r="A40">
        <v>29</v>
      </c>
      <c r="B40" s="6">
        <v>18995.843102864201</v>
      </c>
      <c r="C40" s="9">
        <f t="shared" si="0"/>
        <v>9.3578355915040819E-3</v>
      </c>
      <c r="E40" s="371">
        <v>29</v>
      </c>
      <c r="F40" s="371">
        <v>34777.090725207767</v>
      </c>
      <c r="G40" s="9">
        <f t="shared" si="1"/>
        <v>1.711308128586227E-2</v>
      </c>
    </row>
    <row r="41" spans="1:7" x14ac:dyDescent="0.25">
      <c r="A41">
        <v>30</v>
      </c>
      <c r="B41" s="6">
        <v>19495.662296448299</v>
      </c>
      <c r="C41" s="9">
        <f t="shared" si="0"/>
        <v>9.6040592423160282E-3</v>
      </c>
      <c r="E41" s="371">
        <v>30</v>
      </c>
      <c r="F41" s="371">
        <v>32234.163294992348</v>
      </c>
      <c r="G41" s="9">
        <f t="shared" si="1"/>
        <v>1.5861759714395043E-2</v>
      </c>
    </row>
    <row r="42" spans="1:7" x14ac:dyDescent="0.25">
      <c r="A42">
        <v>31</v>
      </c>
      <c r="B42" s="6">
        <v>11200.638632948299</v>
      </c>
      <c r="C42" s="9">
        <f t="shared" si="0"/>
        <v>5.5177195494510783E-3</v>
      </c>
      <c r="E42" s="371">
        <v>31</v>
      </c>
      <c r="F42" s="371">
        <v>30303.237923585129</v>
      </c>
      <c r="G42" s="9">
        <f t="shared" si="1"/>
        <v>1.4911591596569308E-2</v>
      </c>
    </row>
    <row r="43" spans="1:7" x14ac:dyDescent="0.25">
      <c r="A43">
        <v>32</v>
      </c>
      <c r="B43" s="6">
        <v>26368.544822794898</v>
      </c>
      <c r="C43" s="9">
        <f t="shared" si="0"/>
        <v>1.2989816029893159E-2</v>
      </c>
      <c r="E43" s="371">
        <v>32</v>
      </c>
      <c r="F43" s="371">
        <v>18339.862464231468</v>
      </c>
      <c r="G43" s="9">
        <f t="shared" si="1"/>
        <v>9.0246639548384033E-3</v>
      </c>
    </row>
    <row r="44" spans="1:7" x14ac:dyDescent="0.25">
      <c r="A44">
        <v>33</v>
      </c>
      <c r="B44" s="6">
        <v>11368.8734499698</v>
      </c>
      <c r="C44" s="9">
        <f t="shared" si="0"/>
        <v>5.6005963004291167E-3</v>
      </c>
      <c r="E44" s="371">
        <v>33</v>
      </c>
      <c r="F44" s="371">
        <v>38610.306305347593</v>
      </c>
      <c r="G44" s="9">
        <f t="shared" si="1"/>
        <v>1.8999326754969854E-2</v>
      </c>
    </row>
    <row r="45" spans="1:7" x14ac:dyDescent="0.25">
      <c r="A45">
        <v>34</v>
      </c>
      <c r="B45" s="6">
        <v>23643.2902777245</v>
      </c>
      <c r="C45" s="9">
        <f t="shared" si="0"/>
        <v>1.1647286306960105E-2</v>
      </c>
      <c r="E45" s="371">
        <v>34</v>
      </c>
      <c r="F45" s="371">
        <v>27146.488787710041</v>
      </c>
      <c r="G45" s="9">
        <f t="shared" si="1"/>
        <v>1.3358221161182402E-2</v>
      </c>
    </row>
    <row r="46" spans="1:7" x14ac:dyDescent="0.25">
      <c r="A46">
        <v>35</v>
      </c>
      <c r="B46" s="6">
        <v>17759.4390997597</v>
      </c>
      <c r="C46" s="9">
        <f t="shared" si="0"/>
        <v>8.7487515238437799E-3</v>
      </c>
      <c r="E46" s="371">
        <v>35</v>
      </c>
      <c r="F46" s="371">
        <v>15712.726633995657</v>
      </c>
      <c r="G46" s="9">
        <f t="shared" si="1"/>
        <v>7.7319051853637858E-3</v>
      </c>
    </row>
    <row r="47" spans="1:7" x14ac:dyDescent="0.25">
      <c r="A47">
        <v>36</v>
      </c>
      <c r="B47" s="6">
        <v>8793.5905390018997</v>
      </c>
      <c r="C47" s="9">
        <f t="shared" si="0"/>
        <v>4.3319464199289993E-3</v>
      </c>
      <c r="E47" s="371">
        <v>36</v>
      </c>
      <c r="F47" s="371">
        <v>17834.519896316764</v>
      </c>
      <c r="G47" s="9">
        <f t="shared" si="1"/>
        <v>8.7759954129450375E-3</v>
      </c>
    </row>
    <row r="48" spans="1:7" x14ac:dyDescent="0.25">
      <c r="A48">
        <v>37</v>
      </c>
      <c r="B48" s="6">
        <v>26363.6880420618</v>
      </c>
      <c r="C48" s="9">
        <f t="shared" si="0"/>
        <v>1.2987423456141196E-2</v>
      </c>
      <c r="E48" s="371">
        <v>37</v>
      </c>
      <c r="F48" s="371">
        <v>11732.115947985552</v>
      </c>
      <c r="G48" s="9">
        <f t="shared" si="1"/>
        <v>5.7731296576659921E-3</v>
      </c>
    </row>
    <row r="49" spans="1:7" x14ac:dyDescent="0.25">
      <c r="A49">
        <v>38</v>
      </c>
      <c r="B49" s="6">
        <v>17597.934219020601</v>
      </c>
      <c r="C49" s="9">
        <f t="shared" si="0"/>
        <v>8.6691901106968113E-3</v>
      </c>
      <c r="E49" s="371">
        <v>38</v>
      </c>
      <c r="F49" s="371">
        <v>12138.204498347484</v>
      </c>
      <c r="G49" s="9">
        <f t="shared" si="1"/>
        <v>5.9729573668470971E-3</v>
      </c>
    </row>
    <row r="50" spans="1:7" x14ac:dyDescent="0.25">
      <c r="A50">
        <v>39</v>
      </c>
      <c r="B50" s="6">
        <v>3866.5482941869</v>
      </c>
      <c r="C50" s="9">
        <f t="shared" si="0"/>
        <v>1.904760059749912E-3</v>
      </c>
      <c r="E50" s="371">
        <v>39</v>
      </c>
      <c r="F50" s="371">
        <v>13820.989706059174</v>
      </c>
      <c r="G50" s="9">
        <f t="shared" si="1"/>
        <v>6.8010208835386507E-3</v>
      </c>
    </row>
    <row r="51" spans="1:7" x14ac:dyDescent="0.25">
      <c r="A51">
        <v>40</v>
      </c>
      <c r="B51" s="6">
        <v>6005.4311671087999</v>
      </c>
      <c r="C51" s="9">
        <f t="shared" si="0"/>
        <v>2.9584281789222133E-3</v>
      </c>
      <c r="E51" s="371">
        <v>40</v>
      </c>
      <c r="F51" s="371">
        <v>19697.822326773174</v>
      </c>
      <c r="G51" s="9">
        <f t="shared" si="1"/>
        <v>9.692887691384891E-3</v>
      </c>
    </row>
    <row r="52" spans="1:7" x14ac:dyDescent="0.25">
      <c r="A52">
        <v>41</v>
      </c>
      <c r="B52" s="6">
        <v>6949.9674741894005</v>
      </c>
      <c r="C52" s="9">
        <f t="shared" si="0"/>
        <v>3.4237307940261441E-3</v>
      </c>
      <c r="E52" s="371">
        <v>41</v>
      </c>
      <c r="F52" s="371">
        <v>7222.0977415689395</v>
      </c>
      <c r="G52" s="9">
        <f t="shared" si="1"/>
        <v>3.5538437266785842E-3</v>
      </c>
    </row>
    <row r="53" spans="1:7" x14ac:dyDescent="0.25">
      <c r="A53">
        <v>42</v>
      </c>
      <c r="B53" s="6">
        <v>2822.7183979430001</v>
      </c>
      <c r="C53" s="9">
        <f t="shared" si="0"/>
        <v>1.3905428964656797E-3</v>
      </c>
      <c r="E53" s="371">
        <v>42</v>
      </c>
      <c r="F53" s="371">
        <v>6583.3145931073814</v>
      </c>
      <c r="G53" s="9">
        <f t="shared" si="1"/>
        <v>3.239511857171798E-3</v>
      </c>
    </row>
    <row r="54" spans="1:7" x14ac:dyDescent="0.25">
      <c r="A54">
        <v>43</v>
      </c>
      <c r="B54" s="6">
        <v>2693.4751585068998</v>
      </c>
      <c r="C54" s="9">
        <f t="shared" si="0"/>
        <v>1.3268743886028166E-3</v>
      </c>
      <c r="E54" s="371">
        <v>43</v>
      </c>
      <c r="F54" s="371">
        <v>7560.8057372052717</v>
      </c>
      <c r="G54" s="9">
        <f t="shared" si="1"/>
        <v>3.7205148696817748E-3</v>
      </c>
    </row>
    <row r="55" spans="1:7" x14ac:dyDescent="0.25">
      <c r="A55">
        <v>44</v>
      </c>
      <c r="B55" s="6">
        <v>3335.7432707194998</v>
      </c>
      <c r="C55" s="9">
        <f t="shared" si="0"/>
        <v>1.6432720008175111E-3</v>
      </c>
      <c r="E55" s="371">
        <v>44</v>
      </c>
      <c r="F55" s="371">
        <v>7505.0275326877572</v>
      </c>
      <c r="G55" s="9">
        <f t="shared" si="1"/>
        <v>3.6930675781463793E-3</v>
      </c>
    </row>
    <row r="56" spans="1:7" x14ac:dyDescent="0.25">
      <c r="A56">
        <v>45</v>
      </c>
      <c r="B56" s="6">
        <v>100623.47440967109</v>
      </c>
      <c r="C56" s="9">
        <f t="shared" si="0"/>
        <v>4.9569683486680456E-2</v>
      </c>
      <c r="E56" s="371">
        <v>45</v>
      </c>
      <c r="F56" s="371">
        <v>6667.3742823488856</v>
      </c>
      <c r="G56" s="9">
        <f t="shared" si="1"/>
        <v>3.280875877705335E-3</v>
      </c>
    </row>
    <row r="57" spans="1:7" x14ac:dyDescent="0.25">
      <c r="A57">
        <v>46</v>
      </c>
      <c r="B57" s="6">
        <v>9429.7718086214991</v>
      </c>
      <c r="C57" s="9">
        <f t="shared" si="0"/>
        <v>4.6453454986251641E-3</v>
      </c>
      <c r="E57" s="371">
        <v>46</v>
      </c>
      <c r="F57" s="371">
        <v>5850.9565081500814</v>
      </c>
      <c r="G57" s="9">
        <f t="shared" si="1"/>
        <v>2.8791337123389876E-3</v>
      </c>
    </row>
    <row r="58" spans="1:7" x14ac:dyDescent="0.25">
      <c r="A58">
        <v>47</v>
      </c>
      <c r="B58" s="6">
        <v>2893.2146146180003</v>
      </c>
      <c r="C58" s="9">
        <f t="shared" si="0"/>
        <v>1.4252711263155163E-3</v>
      </c>
      <c r="E58" s="371">
        <v>47</v>
      </c>
      <c r="F58" s="371">
        <v>6158.4908251936813</v>
      </c>
      <c r="G58" s="9">
        <f t="shared" si="1"/>
        <v>3.03046493803995E-3</v>
      </c>
    </row>
    <row r="59" spans="1:7" x14ac:dyDescent="0.25">
      <c r="A59">
        <v>48</v>
      </c>
      <c r="B59" s="6">
        <v>1856.3849775777001</v>
      </c>
      <c r="C59" s="9">
        <f t="shared" si="0"/>
        <v>9.1450246881070475E-4</v>
      </c>
      <c r="E59" s="371">
        <v>48</v>
      </c>
      <c r="F59" s="371">
        <v>8022.4197201089301</v>
      </c>
      <c r="G59" s="9">
        <f t="shared" si="1"/>
        <v>3.947665486578978E-3</v>
      </c>
    </row>
    <row r="60" spans="1:7" x14ac:dyDescent="0.25">
      <c r="A60">
        <v>49</v>
      </c>
      <c r="B60" s="6">
        <v>3974.9595683288999</v>
      </c>
      <c r="C60" s="9">
        <f t="shared" si="0"/>
        <v>1.9581662115165238E-3</v>
      </c>
      <c r="E60" s="371">
        <v>49</v>
      </c>
      <c r="F60" s="371">
        <v>4973.1457551303165</v>
      </c>
      <c r="G60" s="9">
        <f t="shared" si="1"/>
        <v>2.447181342063729E-3</v>
      </c>
    </row>
    <row r="61" spans="1:7" x14ac:dyDescent="0.25">
      <c r="A61">
        <v>50</v>
      </c>
      <c r="B61" s="6">
        <v>1058.475504325</v>
      </c>
      <c r="C61" s="9">
        <f t="shared" si="0"/>
        <v>5.2143196242836057E-4</v>
      </c>
      <c r="E61" s="371">
        <v>50</v>
      </c>
      <c r="F61" s="371">
        <v>3194.4512560838248</v>
      </c>
      <c r="G61" s="9">
        <f t="shared" si="1"/>
        <v>1.5719228626983068E-3</v>
      </c>
    </row>
    <row r="62" spans="1:7" x14ac:dyDescent="0.25">
      <c r="A62">
        <v>51</v>
      </c>
      <c r="B62" s="6">
        <v>814.0671532819</v>
      </c>
      <c r="C62" s="9">
        <f t="shared" si="0"/>
        <v>4.010301906371896E-4</v>
      </c>
      <c r="E62" s="371">
        <v>51</v>
      </c>
      <c r="F62" s="371">
        <v>5392.1736267181113</v>
      </c>
      <c r="G62" s="9">
        <f t="shared" si="1"/>
        <v>2.6533762214509828E-3</v>
      </c>
    </row>
    <row r="63" spans="1:7" x14ac:dyDescent="0.25">
      <c r="A63">
        <v>52</v>
      </c>
      <c r="B63" s="6">
        <v>12823.199834345</v>
      </c>
      <c r="C63" s="9">
        <f t="shared" si="0"/>
        <v>6.3170344773330767E-3</v>
      </c>
      <c r="E63" s="371">
        <v>52</v>
      </c>
      <c r="F63" s="371">
        <v>3006.4507246580906</v>
      </c>
      <c r="G63" s="9">
        <f t="shared" si="1"/>
        <v>1.4794117207659573E-3</v>
      </c>
    </row>
    <row r="64" spans="1:7" x14ac:dyDescent="0.25">
      <c r="A64">
        <v>53</v>
      </c>
      <c r="B64" s="6">
        <v>1475.37451594</v>
      </c>
      <c r="C64" s="9">
        <f t="shared" si="0"/>
        <v>7.2680702200471001E-4</v>
      </c>
      <c r="E64" s="371">
        <v>53</v>
      </c>
      <c r="F64" s="371">
        <v>2986.2599980259606</v>
      </c>
      <c r="G64" s="9">
        <f t="shared" si="1"/>
        <v>1.4694762851423611E-3</v>
      </c>
    </row>
    <row r="65" spans="1:7" x14ac:dyDescent="0.25">
      <c r="A65">
        <v>54</v>
      </c>
      <c r="B65" s="6">
        <v>5816.0031152032998</v>
      </c>
      <c r="C65" s="9">
        <f t="shared" si="0"/>
        <v>2.8651111012567695E-3</v>
      </c>
      <c r="E65" s="371">
        <v>54</v>
      </c>
      <c r="F65" s="371">
        <v>2276.0645792478526</v>
      </c>
      <c r="G65" s="9">
        <f t="shared" si="1"/>
        <v>1.1200039262717169E-3</v>
      </c>
    </row>
    <row r="66" spans="1:7" x14ac:dyDescent="0.25">
      <c r="A66">
        <v>55</v>
      </c>
      <c r="B66" s="6">
        <v>662.95707380900001</v>
      </c>
      <c r="C66" s="9">
        <f t="shared" si="0"/>
        <v>3.2658952105125787E-4</v>
      </c>
      <c r="E66" s="371">
        <v>55</v>
      </c>
      <c r="F66" s="371">
        <v>2296.9432769013274</v>
      </c>
      <c r="G66" s="9">
        <f t="shared" si="1"/>
        <v>1.1302778980915584E-3</v>
      </c>
    </row>
    <row r="67" spans="1:7" x14ac:dyDescent="0.25">
      <c r="A67">
        <v>56</v>
      </c>
      <c r="B67" s="6">
        <v>106.37362877</v>
      </c>
      <c r="C67" s="9">
        <f t="shared" si="0"/>
        <v>5.240235581600786E-5</v>
      </c>
      <c r="E67" s="371">
        <v>56</v>
      </c>
      <c r="F67" s="371">
        <v>4292.958957411648</v>
      </c>
      <c r="G67" s="9">
        <f t="shared" si="1"/>
        <v>2.1124755999732112E-3</v>
      </c>
    </row>
    <row r="68" spans="1:7" x14ac:dyDescent="0.25">
      <c r="A68">
        <v>57</v>
      </c>
      <c r="B68" s="6">
        <v>1576.926795032</v>
      </c>
      <c r="C68" s="9">
        <f t="shared" si="0"/>
        <v>7.768342583079086E-4</v>
      </c>
      <c r="E68" s="371">
        <v>57</v>
      </c>
      <c r="F68" s="371">
        <v>1918.8620856627394</v>
      </c>
      <c r="G68" s="9">
        <f t="shared" si="1"/>
        <v>9.4423202641570278E-4</v>
      </c>
    </row>
    <row r="69" spans="1:7" x14ac:dyDescent="0.25">
      <c r="A69">
        <v>58</v>
      </c>
      <c r="B69" s="6">
        <v>4885.84852718</v>
      </c>
      <c r="C69" s="9">
        <f t="shared" si="0"/>
        <v>2.4068932868501623E-3</v>
      </c>
      <c r="E69" s="371">
        <v>58</v>
      </c>
      <c r="F69" s="371">
        <v>2744.3465824261525</v>
      </c>
      <c r="G69" s="9">
        <f t="shared" si="1"/>
        <v>1.3504357369259644E-3</v>
      </c>
    </row>
    <row r="70" spans="1:7" x14ac:dyDescent="0.25">
      <c r="A70">
        <v>59</v>
      </c>
      <c r="B70" s="6">
        <v>1504.4063101475999</v>
      </c>
      <c r="C70" s="9">
        <f t="shared" si="0"/>
        <v>7.4110882243809731E-4</v>
      </c>
      <c r="E70" s="371">
        <v>59</v>
      </c>
      <c r="F70" s="371">
        <v>2887.5435690628738</v>
      </c>
      <c r="G70" s="9">
        <f t="shared" si="1"/>
        <v>1.4208999885670166E-3</v>
      </c>
    </row>
    <row r="71" spans="1:7" x14ac:dyDescent="0.25">
      <c r="A71">
        <v>60</v>
      </c>
      <c r="B71" s="6">
        <v>6053.1094642147</v>
      </c>
      <c r="C71" s="9">
        <f t="shared" si="0"/>
        <v>2.981915721074666E-3</v>
      </c>
      <c r="E71" s="371">
        <v>60</v>
      </c>
      <c r="F71" s="371">
        <v>1627.428751094466</v>
      </c>
      <c r="G71" s="9">
        <f t="shared" si="1"/>
        <v>8.008237585049613E-4</v>
      </c>
    </row>
    <row r="72" spans="1:7" x14ac:dyDescent="0.25">
      <c r="A72">
        <v>61</v>
      </c>
      <c r="B72" s="6">
        <v>6516.2306965079997</v>
      </c>
      <c r="C72" s="9">
        <f t="shared" si="0"/>
        <v>3.2100610225107478E-3</v>
      </c>
      <c r="E72" s="371">
        <v>61</v>
      </c>
      <c r="F72" s="371">
        <v>1395.6668683687642</v>
      </c>
      <c r="G72" s="9">
        <f t="shared" si="1"/>
        <v>6.8677856796880792E-4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1959.2369236101817</v>
      </c>
      <c r="G73" s="9">
        <f t="shared" si="1"/>
        <v>9.6409964240341047E-4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1724.0506997009995</v>
      </c>
      <c r="G74" s="9">
        <f t="shared" si="1"/>
        <v>8.4836940496421198E-4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1184.4983275020243</v>
      </c>
      <c r="G75" s="9">
        <f t="shared" si="1"/>
        <v>5.8286693161533709E-4</v>
      </c>
    </row>
    <row r="76" spans="1:7" x14ac:dyDescent="0.25">
      <c r="A76">
        <v>65</v>
      </c>
      <c r="B76" s="6">
        <v>6039.2239097660004</v>
      </c>
      <c r="C76" s="9">
        <f t="shared" si="0"/>
        <v>2.9750753436866145E-3</v>
      </c>
      <c r="E76" s="371">
        <v>65</v>
      </c>
      <c r="F76" s="371">
        <v>1181.6800686602214</v>
      </c>
      <c r="G76" s="9">
        <f t="shared" si="1"/>
        <v>5.8148012519655256E-4</v>
      </c>
    </row>
    <row r="77" spans="1:7" x14ac:dyDescent="0.25">
      <c r="A77">
        <v>66</v>
      </c>
      <c r="B77" s="6">
        <v>1262.824399592</v>
      </c>
      <c r="C77" s="9">
        <f t="shared" ref="C77:C102" si="2">B77/B$102</f>
        <v>6.220994271394026E-4</v>
      </c>
      <c r="E77" s="371">
        <v>66</v>
      </c>
      <c r="F77" s="371">
        <v>1303.0281378655491</v>
      </c>
      <c r="G77" s="9">
        <f t="shared" ref="G77:G102" si="3">F77/F$102</f>
        <v>6.4119298009295087E-4</v>
      </c>
    </row>
    <row r="78" spans="1:7" x14ac:dyDescent="0.25">
      <c r="A78">
        <v>67</v>
      </c>
      <c r="B78" s="6">
        <v>2362.3945730780001</v>
      </c>
      <c r="C78" s="9">
        <f t="shared" si="2"/>
        <v>1.1637756690984732E-3</v>
      </c>
      <c r="E78" s="371">
        <v>67</v>
      </c>
      <c r="F78" s="371">
        <v>975.60136634686694</v>
      </c>
      <c r="G78" s="9">
        <f t="shared" si="3"/>
        <v>4.800730922782641E-4</v>
      </c>
    </row>
    <row r="79" spans="1:7" x14ac:dyDescent="0.25">
      <c r="A79">
        <v>68</v>
      </c>
      <c r="B79" s="6">
        <v>385.51800510500004</v>
      </c>
      <c r="C79" s="9">
        <f t="shared" si="2"/>
        <v>1.8991597739577375E-4</v>
      </c>
      <c r="E79" s="371">
        <v>68</v>
      </c>
      <c r="F79" s="371">
        <v>870.19567784325432</v>
      </c>
      <c r="G79" s="9">
        <f t="shared" si="3"/>
        <v>4.2820515054594645E-4</v>
      </c>
    </row>
    <row r="80" spans="1:7" x14ac:dyDescent="0.25">
      <c r="A80">
        <v>69</v>
      </c>
      <c r="B80" s="6">
        <v>2700.8750317959002</v>
      </c>
      <c r="C80" s="9">
        <f t="shared" si="2"/>
        <v>1.3305197544474096E-3</v>
      </c>
      <c r="E80" s="371">
        <v>69</v>
      </c>
      <c r="F80" s="371">
        <v>878.35594237529199</v>
      </c>
      <c r="G80" s="9">
        <f t="shared" si="3"/>
        <v>4.3222064659057902E-4</v>
      </c>
    </row>
    <row r="81" spans="1:7" x14ac:dyDescent="0.25">
      <c r="A81">
        <v>70</v>
      </c>
      <c r="B81" s="6">
        <v>3317.5744333130001</v>
      </c>
      <c r="C81" s="9">
        <f t="shared" si="2"/>
        <v>1.6343215692721401E-3</v>
      </c>
      <c r="E81" s="371">
        <v>70</v>
      </c>
      <c r="F81" s="371">
        <v>824.62497196318111</v>
      </c>
      <c r="G81" s="9">
        <f t="shared" si="3"/>
        <v>4.0578075627611336E-4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957.5598940969561</v>
      </c>
      <c r="G82" s="9">
        <f t="shared" si="3"/>
        <v>4.7119525992682008E-4</v>
      </c>
    </row>
    <row r="83" spans="1:7" x14ac:dyDescent="0.25">
      <c r="A83">
        <v>72</v>
      </c>
      <c r="B83" s="6">
        <v>10258.778927421799</v>
      </c>
      <c r="C83" s="9">
        <f t="shared" si="2"/>
        <v>5.0537354963689331E-3</v>
      </c>
      <c r="E83" s="371">
        <v>72</v>
      </c>
      <c r="F83" s="371">
        <v>1016.5574412551878</v>
      </c>
      <c r="G83" s="9">
        <f t="shared" si="3"/>
        <v>5.0022672285633684E-4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832.20429706916798</v>
      </c>
      <c r="G84" s="9">
        <f t="shared" si="3"/>
        <v>4.0951038414106626E-4</v>
      </c>
    </row>
    <row r="85" spans="1:7" x14ac:dyDescent="0.25">
      <c r="A85">
        <v>74</v>
      </c>
      <c r="B85" s="6">
        <v>3967.3645349879998</v>
      </c>
      <c r="C85" s="9">
        <f t="shared" si="2"/>
        <v>1.9544247048652388E-3</v>
      </c>
      <c r="E85" s="371">
        <v>74</v>
      </c>
      <c r="F85" s="371">
        <v>697.71063154820649</v>
      </c>
      <c r="G85" s="9">
        <f t="shared" si="3"/>
        <v>3.4332885536742739E-4</v>
      </c>
    </row>
    <row r="86" spans="1:7" x14ac:dyDescent="0.25">
      <c r="A86">
        <v>75</v>
      </c>
      <c r="B86" s="6">
        <v>5834.9573194519999</v>
      </c>
      <c r="C86" s="9">
        <f t="shared" si="2"/>
        <v>2.8744484244893655E-3</v>
      </c>
      <c r="E86" s="371">
        <v>75</v>
      </c>
      <c r="F86" s="371">
        <v>714.52387526749851</v>
      </c>
      <c r="G86" s="9">
        <f t="shared" si="3"/>
        <v>3.5160230206602379E-4</v>
      </c>
    </row>
    <row r="87" spans="1:7" x14ac:dyDescent="0.25">
      <c r="A87">
        <v>76</v>
      </c>
      <c r="B87" s="6">
        <v>3993.8384281549997</v>
      </c>
      <c r="C87" s="9">
        <f t="shared" si="2"/>
        <v>1.9674664181696866E-3</v>
      </c>
      <c r="E87" s="371">
        <v>76</v>
      </c>
      <c r="F87" s="371">
        <v>559.34067669530555</v>
      </c>
      <c r="G87" s="9">
        <f t="shared" si="3"/>
        <v>2.7523988542945571E-4</v>
      </c>
    </row>
    <row r="88" spans="1:7" x14ac:dyDescent="0.25">
      <c r="A88">
        <v>77</v>
      </c>
      <c r="B88" s="6">
        <v>1083.714443592</v>
      </c>
      <c r="C88" s="9">
        <f t="shared" si="2"/>
        <v>5.3386530602282992E-4</v>
      </c>
      <c r="E88" s="371">
        <v>77</v>
      </c>
      <c r="F88" s="371">
        <v>572.98550049863047</v>
      </c>
      <c r="G88" s="9">
        <f t="shared" si="3"/>
        <v>2.8195421874510347E-4</v>
      </c>
    </row>
    <row r="89" spans="1:7" x14ac:dyDescent="0.25">
      <c r="A89">
        <v>78</v>
      </c>
      <c r="B89" s="6">
        <v>523.29998548799995</v>
      </c>
      <c r="C89" s="9">
        <f t="shared" si="2"/>
        <v>2.5779088628579013E-4</v>
      </c>
      <c r="E89" s="371">
        <v>78</v>
      </c>
      <c r="F89" s="371">
        <v>529.17163032677024</v>
      </c>
      <c r="G89" s="9">
        <f t="shared" si="3"/>
        <v>2.6039432669939584E-4</v>
      </c>
    </row>
    <row r="90" spans="1:7" x14ac:dyDescent="0.25">
      <c r="A90">
        <v>79</v>
      </c>
      <c r="B90" s="6">
        <v>649.46094497400009</v>
      </c>
      <c r="C90" s="9">
        <f t="shared" si="2"/>
        <v>3.1994098462801037E-4</v>
      </c>
      <c r="E90" s="371">
        <v>79</v>
      </c>
      <c r="F90" s="371">
        <v>521.1124291287415</v>
      </c>
      <c r="G90" s="9">
        <f t="shared" si="3"/>
        <v>2.5642856181438153E-4</v>
      </c>
    </row>
    <row r="91" spans="1:7" x14ac:dyDescent="0.25">
      <c r="A91">
        <v>80</v>
      </c>
      <c r="B91" s="6">
        <v>5404.0538728265001</v>
      </c>
      <c r="C91" s="9">
        <f t="shared" si="2"/>
        <v>2.6621744239357448E-3</v>
      </c>
      <c r="E91" s="371">
        <v>80</v>
      </c>
      <c r="F91" s="371">
        <v>481.49844620360585</v>
      </c>
      <c r="G91" s="9">
        <f t="shared" si="3"/>
        <v>2.3693534672024989E-4</v>
      </c>
    </row>
    <row r="92" spans="1:7" x14ac:dyDescent="0.25">
      <c r="A92">
        <v>81</v>
      </c>
      <c r="B92" s="6">
        <v>668.71153577099994</v>
      </c>
      <c r="C92" s="9">
        <f t="shared" si="2"/>
        <v>3.294243154147594E-4</v>
      </c>
      <c r="E92" s="371">
        <v>81</v>
      </c>
      <c r="F92" s="371">
        <v>449.47338318269868</v>
      </c>
      <c r="G92" s="9">
        <f t="shared" si="3"/>
        <v>2.2117648089124594E-4</v>
      </c>
    </row>
    <row r="93" spans="1:7" x14ac:dyDescent="0.25">
      <c r="A93">
        <v>82</v>
      </c>
      <c r="B93" s="6">
        <v>3436.0861575477002</v>
      </c>
      <c r="C93" s="9">
        <f t="shared" si="2"/>
        <v>1.6927034597230448E-3</v>
      </c>
      <c r="E93" s="371">
        <v>82</v>
      </c>
      <c r="F93" s="371">
        <v>425.27693566957885</v>
      </c>
      <c r="G93" s="9">
        <f t="shared" si="3"/>
        <v>2.0926991353651948E-4</v>
      </c>
    </row>
    <row r="94" spans="1:7" x14ac:dyDescent="0.25">
      <c r="A94">
        <v>83</v>
      </c>
      <c r="B94" s="6">
        <v>4707.4822341093995</v>
      </c>
      <c r="C94" s="9">
        <f t="shared" si="2"/>
        <v>2.3190255130123671E-3</v>
      </c>
      <c r="E94" s="371">
        <v>83</v>
      </c>
      <c r="F94" s="371">
        <v>537.69430105457809</v>
      </c>
      <c r="G94" s="9">
        <f t="shared" si="3"/>
        <v>2.6458815527723883E-4</v>
      </c>
    </row>
    <row r="95" spans="1:7" x14ac:dyDescent="0.25">
      <c r="A95">
        <v>84</v>
      </c>
      <c r="B95" s="6">
        <v>4050.4151157998999</v>
      </c>
      <c r="C95" s="9">
        <f t="shared" si="2"/>
        <v>1.9953375338883162E-3</v>
      </c>
      <c r="E95" s="371">
        <v>84</v>
      </c>
      <c r="F95" s="371">
        <v>450.70306397854853</v>
      </c>
      <c r="G95" s="9">
        <f t="shared" si="3"/>
        <v>2.2178158117353578E-4</v>
      </c>
    </row>
    <row r="96" spans="1:7" x14ac:dyDescent="0.25">
      <c r="A96">
        <v>85</v>
      </c>
      <c r="B96" s="6">
        <v>745.69252313390007</v>
      </c>
      <c r="C96" s="9">
        <f t="shared" si="2"/>
        <v>3.6734710828648272E-4</v>
      </c>
      <c r="E96" s="371">
        <v>85</v>
      </c>
      <c r="F96" s="371">
        <v>579.56367469929705</v>
      </c>
      <c r="G96" s="9">
        <f t="shared" si="3"/>
        <v>2.8519120112232611E-4</v>
      </c>
    </row>
    <row r="97" spans="1:7" x14ac:dyDescent="0.25">
      <c r="A97">
        <v>86</v>
      </c>
      <c r="B97" s="6">
        <v>2097.1040707583998</v>
      </c>
      <c r="C97" s="9">
        <f t="shared" si="2"/>
        <v>1.0330868183193239E-3</v>
      </c>
      <c r="E97" s="371">
        <v>86</v>
      </c>
      <c r="F97" s="371">
        <v>523.30621895109573</v>
      </c>
      <c r="G97" s="9">
        <f t="shared" si="3"/>
        <v>2.5750808004811445E-4</v>
      </c>
    </row>
    <row r="98" spans="1:7" x14ac:dyDescent="0.25">
      <c r="A98">
        <v>87</v>
      </c>
      <c r="B98" s="6">
        <v>2490.6570966944</v>
      </c>
      <c r="C98" s="9">
        <f t="shared" si="2"/>
        <v>1.2269610513978618E-3</v>
      </c>
      <c r="E98" s="371">
        <v>87</v>
      </c>
      <c r="F98" s="371">
        <v>421.0231770602033</v>
      </c>
      <c r="G98" s="9">
        <f t="shared" si="3"/>
        <v>2.071767276105353E-4</v>
      </c>
    </row>
    <row r="99" spans="1:7" x14ac:dyDescent="0.25">
      <c r="A99">
        <v>88</v>
      </c>
      <c r="B99" s="6">
        <v>289.14310823099999</v>
      </c>
      <c r="C99" s="9">
        <f t="shared" si="2"/>
        <v>1.4243925129252063E-4</v>
      </c>
      <c r="E99" s="371">
        <v>88</v>
      </c>
      <c r="F99" s="371">
        <v>465.69241805256286</v>
      </c>
      <c r="G99" s="9">
        <f t="shared" si="3"/>
        <v>2.2915752980357017E-4</v>
      </c>
    </row>
    <row r="100" spans="1:7" x14ac:dyDescent="0.25">
      <c r="A100">
        <v>89</v>
      </c>
      <c r="B100" s="6">
        <v>2614.6389136737998</v>
      </c>
      <c r="C100" s="9">
        <f t="shared" si="2"/>
        <v>1.2880376487011021E-3</v>
      </c>
      <c r="E100" s="371">
        <v>89</v>
      </c>
      <c r="F100" s="371">
        <v>442.82446216947301</v>
      </c>
      <c r="G100" s="9">
        <f t="shared" si="3"/>
        <v>2.1790468548254794E-4</v>
      </c>
    </row>
    <row r="101" spans="1:7" ht="15.75" thickBot="1" x14ac:dyDescent="0.3">
      <c r="A101" s="1">
        <v>90</v>
      </c>
      <c r="B101" s="7">
        <v>50805.684478285002</v>
      </c>
      <c r="C101" s="9">
        <f t="shared" si="2"/>
        <v>2.5028172736904539E-2</v>
      </c>
      <c r="E101" s="372">
        <v>90</v>
      </c>
      <c r="F101" s="372">
        <v>25548.480706975224</v>
      </c>
      <c r="G101" s="9">
        <f t="shared" si="3"/>
        <v>1.2571874701176258E-2</v>
      </c>
    </row>
    <row r="102" spans="1:7" x14ac:dyDescent="0.25">
      <c r="B102" s="6">
        <f>SUM(B11:B101)</f>
        <v>2029939.8207113622</v>
      </c>
      <c r="C102" s="9">
        <f t="shared" si="2"/>
        <v>1</v>
      </c>
      <c r="F102" s="6">
        <f>SUM(F11:F101)</f>
        <v>2032193.3931289373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99734.624481182298</v>
      </c>
      <c r="C11" s="9">
        <f>B11/B$102</f>
        <v>0.12049175269376761</v>
      </c>
      <c r="E11" s="371">
        <v>0</v>
      </c>
      <c r="F11" s="371">
        <v>198923.50669239409</v>
      </c>
      <c r="G11" s="9">
        <f>F11/F$102</f>
        <v>0.24534571233780858</v>
      </c>
      <c r="K11" s="6">
        <v>5.1336132323735608</v>
      </c>
      <c r="L11" s="6">
        <v>4.6800602018233057</v>
      </c>
    </row>
    <row r="12" spans="1:12" x14ac:dyDescent="0.25">
      <c r="A12">
        <v>1</v>
      </c>
      <c r="B12" s="6">
        <v>66863.818875988407</v>
      </c>
      <c r="C12" s="9">
        <f>B12/B$102</f>
        <v>8.0779756980852269E-2</v>
      </c>
      <c r="E12" s="371">
        <v>1</v>
      </c>
      <c r="F12" s="371">
        <v>124703.30509151502</v>
      </c>
      <c r="G12" s="9">
        <f>F12/F$102</f>
        <v>0.15380495612249656</v>
      </c>
      <c r="K12" s="6"/>
      <c r="L12" s="371"/>
    </row>
    <row r="13" spans="1:12" x14ac:dyDescent="0.25">
      <c r="A13">
        <v>2</v>
      </c>
      <c r="B13" s="6">
        <v>56287.060190633601</v>
      </c>
      <c r="C13" s="9">
        <f t="shared" ref="C13:C76" si="0">B13/B$102</f>
        <v>6.8001725294796408E-2</v>
      </c>
      <c r="E13" s="371">
        <v>2</v>
      </c>
      <c r="F13" s="371">
        <v>69600.277404299224</v>
      </c>
      <c r="G13" s="9">
        <f t="shared" ref="G13:G76" si="1">F13/F$102</f>
        <v>8.5842693619274449E-2</v>
      </c>
    </row>
    <row r="14" spans="1:12" x14ac:dyDescent="0.25">
      <c r="A14">
        <v>3</v>
      </c>
      <c r="B14" s="6">
        <v>110832.9786498835</v>
      </c>
      <c r="C14" s="9">
        <f t="shared" si="0"/>
        <v>0.13389993618831017</v>
      </c>
      <c r="E14" s="371">
        <v>3</v>
      </c>
      <c r="F14" s="371">
        <v>38713.225572863841</v>
      </c>
      <c r="G14" s="9">
        <f t="shared" si="1"/>
        <v>4.7747619489515621E-2</v>
      </c>
    </row>
    <row r="15" spans="1:12" x14ac:dyDescent="0.25">
      <c r="A15">
        <v>4</v>
      </c>
      <c r="B15" s="6">
        <v>158008.07101755001</v>
      </c>
      <c r="C15" s="9">
        <f t="shared" si="0"/>
        <v>0.19089327819405463</v>
      </c>
      <c r="E15" s="371">
        <v>4</v>
      </c>
      <c r="F15" s="371">
        <v>113649.91829695046</v>
      </c>
      <c r="G15" s="9">
        <f t="shared" si="1"/>
        <v>0.14017207229720122</v>
      </c>
    </row>
    <row r="16" spans="1:12" x14ac:dyDescent="0.25">
      <c r="A16">
        <v>5</v>
      </c>
      <c r="B16" s="6">
        <v>97161.198895348702</v>
      </c>
      <c r="C16" s="9">
        <f t="shared" si="0"/>
        <v>0.11738273653336104</v>
      </c>
      <c r="E16" s="371">
        <v>5</v>
      </c>
      <c r="F16" s="371">
        <v>54566.673992066651</v>
      </c>
      <c r="G16" s="9">
        <f t="shared" si="1"/>
        <v>6.7300741491505431E-2</v>
      </c>
    </row>
    <row r="17" spans="1:7" x14ac:dyDescent="0.25">
      <c r="A17">
        <v>6</v>
      </c>
      <c r="B17" s="6">
        <v>63476.489138303601</v>
      </c>
      <c r="C17" s="9">
        <f t="shared" si="0"/>
        <v>7.6687444013630229E-2</v>
      </c>
      <c r="E17" s="371">
        <v>6</v>
      </c>
      <c r="F17" s="371">
        <v>47930.669396041121</v>
      </c>
      <c r="G17" s="9">
        <f t="shared" si="1"/>
        <v>5.9116111621660562E-2</v>
      </c>
    </row>
    <row r="18" spans="1:7" x14ac:dyDescent="0.25">
      <c r="A18">
        <v>7</v>
      </c>
      <c r="B18" s="6">
        <v>20608.084004758199</v>
      </c>
      <c r="C18" s="9">
        <f t="shared" si="0"/>
        <v>2.4897112455285968E-2</v>
      </c>
      <c r="E18" s="371">
        <v>7</v>
      </c>
      <c r="F18" s="371">
        <v>29209.795771479479</v>
      </c>
      <c r="G18" s="9">
        <f t="shared" si="1"/>
        <v>3.6026401655373366E-2</v>
      </c>
    </row>
    <row r="19" spans="1:7" x14ac:dyDescent="0.25">
      <c r="A19">
        <v>8</v>
      </c>
      <c r="B19" s="6">
        <v>28640.007676781701</v>
      </c>
      <c r="C19" s="9">
        <f t="shared" si="0"/>
        <v>3.4600668926060792E-2</v>
      </c>
      <c r="E19" s="371">
        <v>8</v>
      </c>
      <c r="F19" s="371">
        <v>27954.879257930843</v>
      </c>
      <c r="G19" s="9">
        <f t="shared" si="1"/>
        <v>3.44786288905529E-2</v>
      </c>
    </row>
    <row r="20" spans="1:7" x14ac:dyDescent="0.25">
      <c r="A20">
        <v>9</v>
      </c>
      <c r="B20" s="6">
        <v>12865.867446971301</v>
      </c>
      <c r="C20" s="9">
        <f t="shared" si="0"/>
        <v>1.554355798375473E-2</v>
      </c>
      <c r="E20" s="371">
        <v>9</v>
      </c>
      <c r="F20" s="371">
        <v>14025.412317624727</v>
      </c>
      <c r="G20" s="9">
        <f t="shared" si="1"/>
        <v>1.7298482382075785E-2</v>
      </c>
    </row>
    <row r="21" spans="1:7" x14ac:dyDescent="0.25">
      <c r="A21">
        <v>10</v>
      </c>
      <c r="B21" s="6">
        <v>38226.146798972703</v>
      </c>
      <c r="C21" s="9">
        <f t="shared" si="0"/>
        <v>4.618190974796834E-2</v>
      </c>
      <c r="E21" s="371">
        <v>10</v>
      </c>
      <c r="F21" s="371">
        <v>13066.52106550124</v>
      </c>
      <c r="G21" s="9">
        <f t="shared" si="1"/>
        <v>1.6115817441071476E-2</v>
      </c>
    </row>
    <row r="22" spans="1:7" x14ac:dyDescent="0.25">
      <c r="A22">
        <v>11</v>
      </c>
      <c r="B22" s="6">
        <v>7826.5269435087002</v>
      </c>
      <c r="C22" s="9">
        <f t="shared" si="0"/>
        <v>9.4554118375037178E-3</v>
      </c>
      <c r="E22" s="371">
        <v>11</v>
      </c>
      <c r="F22" s="371">
        <v>9647.6206630487013</v>
      </c>
      <c r="G22" s="9">
        <f t="shared" si="1"/>
        <v>1.189905810177007E-2</v>
      </c>
    </row>
    <row r="23" spans="1:7" x14ac:dyDescent="0.25">
      <c r="A23">
        <v>12</v>
      </c>
      <c r="B23" s="6">
        <v>6689.1261270044997</v>
      </c>
      <c r="C23" s="9">
        <f t="shared" si="0"/>
        <v>8.0812910784510642E-3</v>
      </c>
      <c r="E23" s="371">
        <v>12</v>
      </c>
      <c r="F23" s="371">
        <v>10086.02986874861</v>
      </c>
      <c r="G23" s="9">
        <f t="shared" si="1"/>
        <v>1.2439777600719109E-2</v>
      </c>
    </row>
    <row r="24" spans="1:7" x14ac:dyDescent="0.25">
      <c r="A24">
        <v>13</v>
      </c>
      <c r="B24" s="6">
        <v>13864.623215797401</v>
      </c>
      <c r="C24" s="9">
        <f t="shared" si="0"/>
        <v>1.6750178389906396E-2</v>
      </c>
      <c r="E24" s="371">
        <v>13</v>
      </c>
      <c r="F24" s="371">
        <v>6827.4558893376452</v>
      </c>
      <c r="G24" s="9">
        <f t="shared" si="1"/>
        <v>8.4207595998937752E-3</v>
      </c>
    </row>
    <row r="25" spans="1:7" x14ac:dyDescent="0.25">
      <c r="A25">
        <v>14</v>
      </c>
      <c r="B25" s="6">
        <v>3916.8668729669998</v>
      </c>
      <c r="C25" s="9">
        <f t="shared" si="0"/>
        <v>4.7320592727653678E-3</v>
      </c>
      <c r="E25" s="371">
        <v>14</v>
      </c>
      <c r="F25" s="371">
        <v>6626.8830161875694</v>
      </c>
      <c r="G25" s="9">
        <f t="shared" si="1"/>
        <v>8.1733796131999853E-3</v>
      </c>
    </row>
    <row r="26" spans="1:7" x14ac:dyDescent="0.25">
      <c r="A26">
        <v>15</v>
      </c>
      <c r="B26" s="6">
        <v>10321.8034266164</v>
      </c>
      <c r="C26" s="9">
        <f t="shared" si="0"/>
        <v>1.2470014223277126E-2</v>
      </c>
      <c r="E26" s="371">
        <v>15</v>
      </c>
      <c r="F26" s="371">
        <v>6517.4665034783466</v>
      </c>
      <c r="G26" s="9">
        <f t="shared" si="1"/>
        <v>8.0384288841558061E-3</v>
      </c>
    </row>
    <row r="27" spans="1:7" x14ac:dyDescent="0.25">
      <c r="A27">
        <v>16</v>
      </c>
      <c r="B27" s="6">
        <v>7911.9769347471001</v>
      </c>
      <c r="C27" s="9">
        <f t="shared" si="0"/>
        <v>9.558645987785443E-3</v>
      </c>
      <c r="E27" s="371">
        <v>16</v>
      </c>
      <c r="F27" s="371">
        <v>6392.456138438074</v>
      </c>
      <c r="G27" s="9">
        <f t="shared" si="1"/>
        <v>7.8842452103889699E-3</v>
      </c>
    </row>
    <row r="28" spans="1:7" x14ac:dyDescent="0.25">
      <c r="A28">
        <v>17</v>
      </c>
      <c r="B28" s="6">
        <v>2591.5978135515998</v>
      </c>
      <c r="C28" s="9">
        <f t="shared" si="0"/>
        <v>3.1309704574170815E-3</v>
      </c>
      <c r="E28" s="371">
        <v>17</v>
      </c>
      <c r="F28" s="371">
        <v>4588.2620325081325</v>
      </c>
      <c r="G28" s="9">
        <f t="shared" si="1"/>
        <v>5.6590115239571696E-3</v>
      </c>
    </row>
    <row r="29" spans="1:7" x14ac:dyDescent="0.25">
      <c r="A29">
        <v>18</v>
      </c>
      <c r="B29" s="6">
        <v>4600.4915824173004</v>
      </c>
      <c r="C29" s="9">
        <f t="shared" si="0"/>
        <v>5.5579624117697759E-3</v>
      </c>
      <c r="E29" s="371">
        <v>18</v>
      </c>
      <c r="F29" s="371">
        <v>3612.9309659728588</v>
      </c>
      <c r="G29" s="9">
        <f t="shared" si="1"/>
        <v>4.4560702564159574E-3</v>
      </c>
    </row>
    <row r="30" spans="1:7" x14ac:dyDescent="0.25">
      <c r="A30">
        <v>19</v>
      </c>
      <c r="B30" s="6">
        <v>402.0374973392</v>
      </c>
      <c r="C30" s="9">
        <f t="shared" si="0"/>
        <v>4.8571098507676342E-4</v>
      </c>
      <c r="E30" s="371">
        <v>19</v>
      </c>
      <c r="F30" s="371">
        <v>3343.6200965064613</v>
      </c>
      <c r="G30" s="9">
        <f t="shared" si="1"/>
        <v>4.1239110852440853E-3</v>
      </c>
    </row>
    <row r="31" spans="1:7" x14ac:dyDescent="0.25">
      <c r="A31">
        <v>20</v>
      </c>
      <c r="B31" s="6">
        <v>1086.216272507</v>
      </c>
      <c r="C31" s="9">
        <f t="shared" si="0"/>
        <v>1.3122835039455498E-3</v>
      </c>
      <c r="E31" s="371">
        <v>20</v>
      </c>
      <c r="F31" s="371">
        <v>2790.3650428496562</v>
      </c>
      <c r="G31" s="9">
        <f t="shared" si="1"/>
        <v>3.441544493678709E-3</v>
      </c>
    </row>
    <row r="32" spans="1:7" x14ac:dyDescent="0.25">
      <c r="A32">
        <v>21</v>
      </c>
      <c r="B32" s="6">
        <v>2507.3412075616002</v>
      </c>
      <c r="C32" s="9">
        <f t="shared" si="0"/>
        <v>3.0291780640073211E-3</v>
      </c>
      <c r="E32" s="371">
        <v>21</v>
      </c>
      <c r="F32" s="371">
        <v>2266.3590771241252</v>
      </c>
      <c r="G32" s="9">
        <f t="shared" si="1"/>
        <v>2.7952527654266281E-3</v>
      </c>
    </row>
    <row r="33" spans="1:7" x14ac:dyDescent="0.25">
      <c r="A33">
        <v>22</v>
      </c>
      <c r="B33" s="6">
        <v>2371.8295400659999</v>
      </c>
      <c r="C33" s="9">
        <f t="shared" si="0"/>
        <v>2.8654632216249679E-3</v>
      </c>
      <c r="E33" s="371">
        <v>22</v>
      </c>
      <c r="F33" s="371">
        <v>1844.6589075475035</v>
      </c>
      <c r="G33" s="9">
        <f t="shared" si="1"/>
        <v>2.2751416422211635E-3</v>
      </c>
    </row>
    <row r="34" spans="1:7" x14ac:dyDescent="0.25">
      <c r="A34">
        <v>23</v>
      </c>
      <c r="B34" s="6">
        <v>1770.2506230066001</v>
      </c>
      <c r="C34" s="9">
        <f t="shared" si="0"/>
        <v>2.1386815399655349E-3</v>
      </c>
      <c r="E34" s="371">
        <v>23</v>
      </c>
      <c r="F34" s="371">
        <v>1897.258652161169</v>
      </c>
      <c r="G34" s="9">
        <f t="shared" si="1"/>
        <v>2.3400164376920799E-3</v>
      </c>
    </row>
    <row r="35" spans="1:7" x14ac:dyDescent="0.25">
      <c r="A35">
        <v>24</v>
      </c>
      <c r="B35" s="6">
        <v>736.56307327800005</v>
      </c>
      <c r="C35" s="9">
        <f t="shared" si="0"/>
        <v>8.8985922522342585E-4</v>
      </c>
      <c r="E35" s="371">
        <v>24</v>
      </c>
      <c r="F35" s="371">
        <v>1929.1679802583133</v>
      </c>
      <c r="G35" s="9">
        <f t="shared" si="1"/>
        <v>2.3793723537544323E-3</v>
      </c>
    </row>
    <row r="36" spans="1:7" x14ac:dyDescent="0.25">
      <c r="A36">
        <v>25</v>
      </c>
      <c r="B36" s="6">
        <v>1160.436957656</v>
      </c>
      <c r="C36" s="9">
        <f t="shared" si="0"/>
        <v>1.4019512646280261E-3</v>
      </c>
      <c r="E36" s="371">
        <v>25</v>
      </c>
      <c r="F36" s="371">
        <v>1656.1423396554633</v>
      </c>
      <c r="G36" s="9">
        <f t="shared" si="1"/>
        <v>2.0426315060084886E-3</v>
      </c>
    </row>
    <row r="37" spans="1:7" x14ac:dyDescent="0.25">
      <c r="A37">
        <v>26</v>
      </c>
      <c r="B37" s="6">
        <v>1124.4476883681</v>
      </c>
      <c r="C37" s="9">
        <f t="shared" si="0"/>
        <v>1.3584717793717776E-3</v>
      </c>
      <c r="E37" s="371">
        <v>26</v>
      </c>
      <c r="F37" s="371">
        <v>1118.9151310594948</v>
      </c>
      <c r="G37" s="9">
        <f t="shared" si="1"/>
        <v>1.3800331315285456E-3</v>
      </c>
    </row>
    <row r="38" spans="1:7" x14ac:dyDescent="0.25">
      <c r="A38">
        <v>27</v>
      </c>
      <c r="B38" s="6">
        <v>306.24001645700002</v>
      </c>
      <c r="C38" s="9">
        <f t="shared" si="0"/>
        <v>3.6997578844681227E-4</v>
      </c>
      <c r="E38" s="371">
        <v>27</v>
      </c>
      <c r="F38" s="371">
        <v>1129.8773999839705</v>
      </c>
      <c r="G38" s="9">
        <f t="shared" si="1"/>
        <v>1.3935536335689257E-3</v>
      </c>
    </row>
    <row r="39" spans="1:7" x14ac:dyDescent="0.25">
      <c r="A39">
        <v>28</v>
      </c>
      <c r="B39" s="6">
        <v>948.55718125099997</v>
      </c>
      <c r="C39" s="9">
        <f t="shared" si="0"/>
        <v>1.145974308257985E-3</v>
      </c>
      <c r="E39" s="371">
        <v>28</v>
      </c>
      <c r="F39" s="371">
        <v>810.57733128653956</v>
      </c>
      <c r="G39" s="9">
        <f t="shared" si="1"/>
        <v>9.9973942776356581E-4</v>
      </c>
    </row>
    <row r="40" spans="1:7" x14ac:dyDescent="0.25">
      <c r="A40">
        <v>29</v>
      </c>
      <c r="B40" s="6">
        <v>0</v>
      </c>
      <c r="C40" s="9">
        <f t="shared" si="0"/>
        <v>0</v>
      </c>
      <c r="E40" s="371">
        <v>29</v>
      </c>
      <c r="F40" s="371">
        <v>863.05134435414516</v>
      </c>
      <c r="G40" s="9">
        <f t="shared" si="1"/>
        <v>1.064459150079759E-3</v>
      </c>
    </row>
    <row r="41" spans="1:7" x14ac:dyDescent="0.25">
      <c r="A41">
        <v>30</v>
      </c>
      <c r="B41" s="6">
        <v>0</v>
      </c>
      <c r="C41" s="9">
        <f t="shared" si="0"/>
        <v>0</v>
      </c>
      <c r="E41" s="371">
        <v>30</v>
      </c>
      <c r="F41" s="371">
        <v>514.39696154268142</v>
      </c>
      <c r="G41" s="9">
        <f t="shared" si="1"/>
        <v>6.3444029844723731E-4</v>
      </c>
    </row>
    <row r="42" spans="1:7" x14ac:dyDescent="0.25">
      <c r="A42">
        <v>31</v>
      </c>
      <c r="B42" s="6">
        <v>61.665446701900002</v>
      </c>
      <c r="C42" s="9">
        <f t="shared" si="0"/>
        <v>7.4499480921572537E-5</v>
      </c>
      <c r="E42" s="371">
        <v>31</v>
      </c>
      <c r="F42" s="371">
        <v>533.40592492449935</v>
      </c>
      <c r="G42" s="9">
        <f t="shared" si="1"/>
        <v>6.5788532884742659E-4</v>
      </c>
    </row>
    <row r="43" spans="1:7" x14ac:dyDescent="0.25">
      <c r="A43">
        <v>32</v>
      </c>
      <c r="B43" s="6">
        <v>290.87358263099998</v>
      </c>
      <c r="C43" s="9">
        <f t="shared" si="0"/>
        <v>3.5141123722922703E-4</v>
      </c>
      <c r="E43" s="371">
        <v>32</v>
      </c>
      <c r="F43" s="371">
        <v>405.32562599021736</v>
      </c>
      <c r="G43" s="9">
        <f t="shared" si="1"/>
        <v>4.9991529955841245E-4</v>
      </c>
    </row>
    <row r="44" spans="1:7" x14ac:dyDescent="0.25">
      <c r="A44">
        <v>33</v>
      </c>
      <c r="B44" s="6">
        <v>139.99557747</v>
      </c>
      <c r="C44" s="9">
        <f t="shared" si="0"/>
        <v>1.6913195980317847E-4</v>
      </c>
      <c r="E44" s="371">
        <v>33</v>
      </c>
      <c r="F44" s="371">
        <v>417.07951007191087</v>
      </c>
      <c r="G44" s="9">
        <f t="shared" si="1"/>
        <v>5.1441215370455647E-4</v>
      </c>
    </row>
    <row r="45" spans="1:7" x14ac:dyDescent="0.25">
      <c r="A45">
        <v>34</v>
      </c>
      <c r="B45" s="6">
        <v>1343.61970522</v>
      </c>
      <c r="C45" s="9">
        <f t="shared" si="0"/>
        <v>1.6232586634583174E-3</v>
      </c>
      <c r="E45" s="371">
        <v>34</v>
      </c>
      <c r="F45" s="371">
        <v>299.96715027906941</v>
      </c>
      <c r="G45" s="9">
        <f t="shared" si="1"/>
        <v>3.6996961991508427E-4</v>
      </c>
    </row>
    <row r="46" spans="1:7" x14ac:dyDescent="0.25">
      <c r="A46">
        <v>35</v>
      </c>
      <c r="B46" s="6">
        <v>342.481278879</v>
      </c>
      <c r="C46" s="9">
        <f t="shared" si="0"/>
        <v>4.1375971255318386E-4</v>
      </c>
      <c r="E46" s="371">
        <v>35</v>
      </c>
      <c r="F46" s="371">
        <v>319.28721713132865</v>
      </c>
      <c r="G46" s="9">
        <f t="shared" si="1"/>
        <v>3.9379835510630271E-4</v>
      </c>
    </row>
    <row r="47" spans="1:7" x14ac:dyDescent="0.25">
      <c r="A47">
        <v>36</v>
      </c>
      <c r="B47" s="6">
        <v>0</v>
      </c>
      <c r="C47" s="9">
        <f t="shared" si="0"/>
        <v>0</v>
      </c>
      <c r="E47" s="371">
        <v>36</v>
      </c>
      <c r="F47" s="371">
        <v>389.30653234508372</v>
      </c>
      <c r="G47" s="9">
        <f t="shared" si="1"/>
        <v>4.8015787618135088E-4</v>
      </c>
    </row>
    <row r="48" spans="1:7" x14ac:dyDescent="0.25">
      <c r="A48">
        <v>37</v>
      </c>
      <c r="B48" s="6">
        <v>0</v>
      </c>
      <c r="C48" s="9">
        <f t="shared" si="0"/>
        <v>0</v>
      </c>
      <c r="E48" s="371">
        <v>37</v>
      </c>
      <c r="F48" s="371">
        <v>230.86230676454991</v>
      </c>
      <c r="G48" s="9">
        <f t="shared" si="1"/>
        <v>2.8473797816507061E-4</v>
      </c>
    </row>
    <row r="49" spans="1:7" x14ac:dyDescent="0.25">
      <c r="A49">
        <v>38</v>
      </c>
      <c r="B49" s="6">
        <v>0</v>
      </c>
      <c r="C49" s="9">
        <f t="shared" si="0"/>
        <v>0</v>
      </c>
      <c r="E49" s="371">
        <v>38</v>
      </c>
      <c r="F49" s="371">
        <v>270.89137627701132</v>
      </c>
      <c r="G49" s="9">
        <f t="shared" si="1"/>
        <v>3.3410851630333684E-4</v>
      </c>
    </row>
    <row r="50" spans="1:7" x14ac:dyDescent="0.25">
      <c r="A50">
        <v>39</v>
      </c>
      <c r="B50" s="6">
        <v>357.90788320479999</v>
      </c>
      <c r="C50" s="9">
        <f t="shared" si="0"/>
        <v>4.3239695717107085E-4</v>
      </c>
      <c r="E50" s="371">
        <v>39</v>
      </c>
      <c r="F50" s="371">
        <v>199.00815445466111</v>
      </c>
      <c r="G50" s="9">
        <f t="shared" si="1"/>
        <v>2.4545011410448023E-4</v>
      </c>
    </row>
    <row r="51" spans="1:7" x14ac:dyDescent="0.25">
      <c r="A51">
        <v>40</v>
      </c>
      <c r="B51" s="6">
        <v>417.967608267</v>
      </c>
      <c r="C51" s="9">
        <f t="shared" si="0"/>
        <v>5.0495652789884441E-4</v>
      </c>
      <c r="E51" s="371">
        <v>40</v>
      </c>
      <c r="F51" s="371">
        <v>120.50332498943284</v>
      </c>
      <c r="G51" s="9">
        <f t="shared" si="1"/>
        <v>1.486248387644037E-4</v>
      </c>
    </row>
    <row r="52" spans="1:7" x14ac:dyDescent="0.25">
      <c r="A52">
        <v>41</v>
      </c>
      <c r="B52" s="6">
        <v>1433.5707232769998</v>
      </c>
      <c r="C52" s="9">
        <f t="shared" si="0"/>
        <v>1.7319306104241537E-3</v>
      </c>
      <c r="E52" s="371">
        <v>41</v>
      </c>
      <c r="F52" s="371">
        <v>210.89910068114375</v>
      </c>
      <c r="G52" s="9">
        <f t="shared" si="1"/>
        <v>2.601160161932579E-4</v>
      </c>
    </row>
    <row r="53" spans="1:7" x14ac:dyDescent="0.25">
      <c r="A53">
        <v>42</v>
      </c>
      <c r="B53" s="6">
        <v>0</v>
      </c>
      <c r="C53" s="9">
        <f t="shared" si="0"/>
        <v>0</v>
      </c>
      <c r="E53" s="371">
        <v>42</v>
      </c>
      <c r="F53" s="371">
        <v>84.760702904301326</v>
      </c>
      <c r="G53" s="9">
        <f t="shared" si="1"/>
        <v>1.0454106394005319E-4</v>
      </c>
    </row>
    <row r="54" spans="1:7" x14ac:dyDescent="0.25">
      <c r="A54">
        <v>43</v>
      </c>
      <c r="B54" s="6">
        <v>0</v>
      </c>
      <c r="C54" s="9">
        <f t="shared" si="0"/>
        <v>0</v>
      </c>
      <c r="E54" s="371">
        <v>43</v>
      </c>
      <c r="F54" s="371">
        <v>65.092314676662227</v>
      </c>
      <c r="G54" s="9">
        <f t="shared" si="1"/>
        <v>8.0282720617618747E-5</v>
      </c>
    </row>
    <row r="55" spans="1:7" x14ac:dyDescent="0.25">
      <c r="A55">
        <v>44</v>
      </c>
      <c r="B55" s="6">
        <v>0</v>
      </c>
      <c r="C55" s="9">
        <f t="shared" si="0"/>
        <v>0</v>
      </c>
      <c r="E55" s="371">
        <v>44</v>
      </c>
      <c r="F55" s="371">
        <v>67.680941647793489</v>
      </c>
      <c r="G55" s="9">
        <f t="shared" si="1"/>
        <v>8.3475448007002464E-5</v>
      </c>
    </row>
    <row r="56" spans="1:7" x14ac:dyDescent="0.25">
      <c r="A56">
        <v>45</v>
      </c>
      <c r="B56" s="6">
        <v>0</v>
      </c>
      <c r="C56" s="9">
        <f t="shared" si="0"/>
        <v>0</v>
      </c>
      <c r="E56" s="371">
        <v>45</v>
      </c>
      <c r="F56" s="371">
        <v>53.193238303057512</v>
      </c>
      <c r="G56" s="9">
        <f t="shared" si="1"/>
        <v>6.5606791072708595E-5</v>
      </c>
    </row>
    <row r="57" spans="1:7" x14ac:dyDescent="0.25">
      <c r="A57">
        <v>46</v>
      </c>
      <c r="B57" s="6">
        <v>0</v>
      </c>
      <c r="C57" s="9">
        <f t="shared" si="0"/>
        <v>0</v>
      </c>
      <c r="E57" s="371">
        <v>46</v>
      </c>
      <c r="F57" s="371">
        <v>56.228206198522138</v>
      </c>
      <c r="G57" s="9">
        <f t="shared" si="1"/>
        <v>6.935002068200051E-5</v>
      </c>
    </row>
    <row r="58" spans="1:7" x14ac:dyDescent="0.25">
      <c r="A58">
        <v>47</v>
      </c>
      <c r="B58" s="6">
        <v>381.90013443599997</v>
      </c>
      <c r="C58" s="9">
        <f t="shared" si="0"/>
        <v>4.6138256188913877E-4</v>
      </c>
      <c r="E58" s="371">
        <v>47</v>
      </c>
      <c r="F58" s="371">
        <v>31.310094265514572</v>
      </c>
      <c r="G58" s="9">
        <f t="shared" si="1"/>
        <v>3.8616840757866672E-5</v>
      </c>
    </row>
    <row r="59" spans="1:7" x14ac:dyDescent="0.25">
      <c r="A59">
        <v>48</v>
      </c>
      <c r="B59" s="6">
        <v>0</v>
      </c>
      <c r="C59" s="9">
        <f t="shared" si="0"/>
        <v>0</v>
      </c>
      <c r="E59" s="371">
        <v>48</v>
      </c>
      <c r="F59" s="371">
        <v>28.418359271768402</v>
      </c>
      <c r="G59" s="9">
        <f t="shared" si="1"/>
        <v>3.5050269899904067E-5</v>
      </c>
    </row>
    <row r="60" spans="1:7" x14ac:dyDescent="0.25">
      <c r="A60">
        <v>49</v>
      </c>
      <c r="B60" s="6">
        <v>0</v>
      </c>
      <c r="C60" s="9">
        <f t="shared" si="0"/>
        <v>0</v>
      </c>
      <c r="E60" s="371">
        <v>49</v>
      </c>
      <c r="F60" s="371">
        <v>43.524959913619604</v>
      </c>
      <c r="G60" s="9">
        <f t="shared" si="1"/>
        <v>5.3682254410458106E-5</v>
      </c>
    </row>
    <row r="61" spans="1:7" x14ac:dyDescent="0.25">
      <c r="A61">
        <v>50</v>
      </c>
      <c r="B61" s="6">
        <v>14.08625</v>
      </c>
      <c r="C61" s="9">
        <f t="shared" si="0"/>
        <v>1.7017930936340188E-5</v>
      </c>
      <c r="E61" s="371">
        <v>50</v>
      </c>
      <c r="F61" s="371">
        <v>41.264658699613307</v>
      </c>
      <c r="G61" s="9">
        <f t="shared" si="1"/>
        <v>5.0894473214212022E-5</v>
      </c>
    </row>
    <row r="62" spans="1:7" x14ac:dyDescent="0.25">
      <c r="A62">
        <v>51</v>
      </c>
      <c r="B62" s="6">
        <v>41.760922228299997</v>
      </c>
      <c r="C62" s="9">
        <f t="shared" si="0"/>
        <v>5.0452355333682363E-5</v>
      </c>
      <c r="E62" s="371">
        <v>51</v>
      </c>
      <c r="F62" s="371">
        <v>25.215026753160629</v>
      </c>
      <c r="G62" s="9">
        <f t="shared" si="1"/>
        <v>3.1099384900435371E-5</v>
      </c>
    </row>
    <row r="63" spans="1:7" x14ac:dyDescent="0.25">
      <c r="A63">
        <v>52</v>
      </c>
      <c r="B63" s="6">
        <v>0</v>
      </c>
      <c r="C63" s="9">
        <f t="shared" si="0"/>
        <v>0</v>
      </c>
      <c r="E63" s="371">
        <v>52</v>
      </c>
      <c r="F63" s="371">
        <v>30.34528498347591</v>
      </c>
      <c r="G63" s="9">
        <f t="shared" si="1"/>
        <v>3.7426876713356112E-5</v>
      </c>
    </row>
    <row r="64" spans="1:7" x14ac:dyDescent="0.25">
      <c r="A64">
        <v>53</v>
      </c>
      <c r="B64" s="6">
        <v>0</v>
      </c>
      <c r="C64" s="9">
        <f t="shared" si="0"/>
        <v>0</v>
      </c>
      <c r="E64" s="371">
        <v>53</v>
      </c>
      <c r="F64" s="371">
        <v>22.02032769800838</v>
      </c>
      <c r="G64" s="9">
        <f t="shared" si="1"/>
        <v>2.7159148130915254E-5</v>
      </c>
    </row>
    <row r="65" spans="1:7" x14ac:dyDescent="0.25">
      <c r="A65">
        <v>54</v>
      </c>
      <c r="B65" s="6">
        <v>0</v>
      </c>
      <c r="C65" s="9">
        <f t="shared" si="0"/>
        <v>0</v>
      </c>
      <c r="E65" s="371">
        <v>54</v>
      </c>
      <c r="F65" s="371">
        <v>15.08414955239601</v>
      </c>
      <c r="G65" s="9">
        <f t="shared" si="1"/>
        <v>1.8604294075035719E-5</v>
      </c>
    </row>
    <row r="66" spans="1:7" x14ac:dyDescent="0.25">
      <c r="A66">
        <v>55</v>
      </c>
      <c r="B66" s="6">
        <v>4.59375</v>
      </c>
      <c r="C66" s="9">
        <f t="shared" si="0"/>
        <v>5.5498177470095129E-6</v>
      </c>
      <c r="E66" s="371">
        <v>55</v>
      </c>
      <c r="F66" s="371">
        <v>0</v>
      </c>
      <c r="G66" s="9">
        <f t="shared" si="1"/>
        <v>0</v>
      </c>
    </row>
    <row r="67" spans="1:7" x14ac:dyDescent="0.25">
      <c r="A67">
        <v>56</v>
      </c>
      <c r="B67" s="6">
        <v>0</v>
      </c>
      <c r="C67" s="9">
        <f t="shared" si="0"/>
        <v>0</v>
      </c>
      <c r="E67" s="371">
        <v>56</v>
      </c>
      <c r="F67" s="371">
        <v>0</v>
      </c>
      <c r="G67" s="9">
        <f t="shared" si="1"/>
        <v>0</v>
      </c>
    </row>
    <row r="68" spans="1:7" x14ac:dyDescent="0.25">
      <c r="A68">
        <v>57</v>
      </c>
      <c r="B68" s="6">
        <v>0</v>
      </c>
      <c r="C68" s="9">
        <f t="shared" si="0"/>
        <v>0</v>
      </c>
      <c r="E68" s="371">
        <v>57</v>
      </c>
      <c r="F68" s="371">
        <v>0</v>
      </c>
      <c r="G68" s="9">
        <f t="shared" si="1"/>
        <v>0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10.239266784452301</v>
      </c>
      <c r="G69" s="9">
        <f t="shared" si="1"/>
        <v>1.2628774973955182E-5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0</v>
      </c>
      <c r="G70" s="9">
        <f t="shared" si="1"/>
        <v>0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0</v>
      </c>
      <c r="G71" s="9">
        <f t="shared" si="1"/>
        <v>0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0</v>
      </c>
      <c r="G72" s="9">
        <f t="shared" si="1"/>
        <v>0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0</v>
      </c>
      <c r="G73" s="9">
        <f t="shared" si="1"/>
        <v>0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0</v>
      </c>
      <c r="G74" s="9">
        <f t="shared" si="1"/>
        <v>0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0</v>
      </c>
      <c r="G75" s="9">
        <f t="shared" si="1"/>
        <v>0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0</v>
      </c>
      <c r="G76" s="9">
        <f t="shared" si="1"/>
        <v>0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0</v>
      </c>
      <c r="G77" s="9">
        <f t="shared" ref="G77:G102" si="3">F77/F$102</f>
        <v>0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0</v>
      </c>
      <c r="G78" s="9">
        <f t="shared" si="3"/>
        <v>0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10.0063291139241</v>
      </c>
      <c r="G79" s="9">
        <f t="shared" si="3"/>
        <v>1.2341477310364192E-5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0</v>
      </c>
      <c r="G80" s="9">
        <f t="shared" si="3"/>
        <v>0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0</v>
      </c>
      <c r="G81" s="9">
        <f t="shared" si="3"/>
        <v>0</v>
      </c>
    </row>
    <row r="82" spans="1:7" x14ac:dyDescent="0.25">
      <c r="A82">
        <v>71</v>
      </c>
      <c r="B82" s="6">
        <v>58.180995620799997</v>
      </c>
      <c r="C82" s="9">
        <f t="shared" si="2"/>
        <v>7.0289833368162948E-5</v>
      </c>
      <c r="E82" s="371">
        <v>71</v>
      </c>
      <c r="F82" s="371">
        <v>0</v>
      </c>
      <c r="G82" s="9">
        <f t="shared" si="3"/>
        <v>0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0</v>
      </c>
      <c r="G83" s="9">
        <f t="shared" si="3"/>
        <v>0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0</v>
      </c>
      <c r="G84" s="9">
        <f t="shared" si="3"/>
        <v>0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0</v>
      </c>
      <c r="G85" s="9">
        <f t="shared" si="3"/>
        <v>0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0</v>
      </c>
      <c r="G86" s="9">
        <f t="shared" si="3"/>
        <v>0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0</v>
      </c>
      <c r="G87" s="9">
        <f t="shared" si="3"/>
        <v>0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827729.88400841015</v>
      </c>
      <c r="C102" s="9">
        <f t="shared" si="2"/>
        <v>1</v>
      </c>
      <c r="F102" s="6">
        <f>SUM(F11:F101)</f>
        <v>810788.60028539132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102"/>
  <sheetViews>
    <sheetView workbookViewId="0">
      <selection activeCell="A4" sqref="A4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0</v>
      </c>
      <c r="C11" s="9">
        <f>B11/B$102</f>
        <v>0</v>
      </c>
      <c r="E11" s="371">
        <v>0</v>
      </c>
      <c r="F11" s="371">
        <v>9975.0561689335136</v>
      </c>
      <c r="G11" s="9">
        <f>F11/F$102</f>
        <v>1.2302906288300521E-2</v>
      </c>
      <c r="K11" s="6">
        <v>27.432840636719497</v>
      </c>
      <c r="L11" s="6">
        <v>18.856869260297735</v>
      </c>
    </row>
    <row r="12" spans="1:12" x14ac:dyDescent="0.25">
      <c r="A12">
        <v>1</v>
      </c>
      <c r="B12" s="6">
        <v>193.99883921399999</v>
      </c>
      <c r="C12" s="9">
        <f>B12/B$102</f>
        <v>2.3437457431708345E-4</v>
      </c>
      <c r="E12" s="371">
        <v>1</v>
      </c>
      <c r="F12" s="371">
        <v>29217.86098648281</v>
      </c>
      <c r="G12" s="9">
        <f>F12/F$102</f>
        <v>3.6036349026365648E-2</v>
      </c>
      <c r="K12" s="6"/>
      <c r="L12" s="371"/>
    </row>
    <row r="13" spans="1:12" x14ac:dyDescent="0.25">
      <c r="A13">
        <v>2</v>
      </c>
      <c r="B13" s="6">
        <v>1261.3043626441001</v>
      </c>
      <c r="C13" s="9">
        <f t="shared" ref="C13:C76" si="0">B13/B$102</f>
        <v>1.5238115561758364E-3</v>
      </c>
      <c r="E13" s="371">
        <v>2</v>
      </c>
      <c r="F13" s="371">
        <v>32533.089810999361</v>
      </c>
      <c r="G13" s="9">
        <f t="shared" ref="G13:G76" si="1">F13/F$102</f>
        <v>4.0125243250272613E-2</v>
      </c>
    </row>
    <row r="14" spans="1:12" x14ac:dyDescent="0.25">
      <c r="A14">
        <v>3</v>
      </c>
      <c r="B14" s="6">
        <v>10100.747637068</v>
      </c>
      <c r="C14" s="9">
        <f t="shared" si="0"/>
        <v>1.2202951508955511E-2</v>
      </c>
      <c r="E14" s="371">
        <v>3</v>
      </c>
      <c r="F14" s="371">
        <v>34628.284985378981</v>
      </c>
      <c r="G14" s="9">
        <f t="shared" si="1"/>
        <v>4.2709388086105443E-2</v>
      </c>
    </row>
    <row r="15" spans="1:12" x14ac:dyDescent="0.25">
      <c r="A15">
        <v>4</v>
      </c>
      <c r="B15" s="6">
        <v>8791.3304586004997</v>
      </c>
      <c r="C15" s="9">
        <f t="shared" si="0"/>
        <v>1.0621013724945052E-2</v>
      </c>
      <c r="E15" s="371">
        <v>4</v>
      </c>
      <c r="F15" s="371">
        <v>35196.868038028915</v>
      </c>
      <c r="G15" s="9">
        <f t="shared" si="1"/>
        <v>4.3410659727628025E-2</v>
      </c>
    </row>
    <row r="16" spans="1:12" x14ac:dyDescent="0.25">
      <c r="A16">
        <v>5</v>
      </c>
      <c r="B16" s="6">
        <v>21057.736233681801</v>
      </c>
      <c r="C16" s="9">
        <f t="shared" si="0"/>
        <v>2.5440347920877824E-2</v>
      </c>
      <c r="E16" s="371">
        <v>5</v>
      </c>
      <c r="F16" s="371">
        <v>34941.129803428797</v>
      </c>
      <c r="G16" s="9">
        <f t="shared" si="1"/>
        <v>4.3095240598017545E-2</v>
      </c>
    </row>
    <row r="17" spans="1:7" x14ac:dyDescent="0.25">
      <c r="A17">
        <v>6</v>
      </c>
      <c r="B17" s="6">
        <v>16944.011316876</v>
      </c>
      <c r="C17" s="9">
        <f t="shared" si="0"/>
        <v>2.0470459801236126E-2</v>
      </c>
      <c r="E17" s="371">
        <v>6</v>
      </c>
      <c r="F17" s="371">
        <v>32379.122607501737</v>
      </c>
      <c r="G17" s="9">
        <f t="shared" si="1"/>
        <v>3.9935345164084146E-2</v>
      </c>
    </row>
    <row r="18" spans="1:7" x14ac:dyDescent="0.25">
      <c r="A18">
        <v>7</v>
      </c>
      <c r="B18" s="6">
        <v>19388.470521528201</v>
      </c>
      <c r="C18" s="9">
        <f t="shared" si="0"/>
        <v>2.3423668634067588E-2</v>
      </c>
      <c r="E18" s="371">
        <v>7</v>
      </c>
      <c r="F18" s="371">
        <v>29720.809716035696</v>
      </c>
      <c r="G18" s="9">
        <f t="shared" si="1"/>
        <v>3.6656669451906723E-2</v>
      </c>
    </row>
    <row r="19" spans="1:7" x14ac:dyDescent="0.25">
      <c r="A19">
        <v>8</v>
      </c>
      <c r="B19" s="6">
        <v>11538.2597059862</v>
      </c>
      <c r="C19" s="9">
        <f t="shared" si="0"/>
        <v>1.3939643752029817E-2</v>
      </c>
      <c r="E19" s="371">
        <v>8</v>
      </c>
      <c r="F19" s="371">
        <v>27442.339030963642</v>
      </c>
      <c r="G19" s="9">
        <f t="shared" si="1"/>
        <v>3.3846478627479672E-2</v>
      </c>
    </row>
    <row r="20" spans="1:7" x14ac:dyDescent="0.25">
      <c r="A20">
        <v>9</v>
      </c>
      <c r="B20" s="6">
        <v>27215.8770255288</v>
      </c>
      <c r="C20" s="9">
        <f t="shared" si="0"/>
        <v>3.2880143089351443E-2</v>
      </c>
      <c r="E20" s="371">
        <v>9</v>
      </c>
      <c r="F20" s="371">
        <v>23738.059484263089</v>
      </c>
      <c r="G20" s="9">
        <f t="shared" si="1"/>
        <v>2.9277742035232722E-2</v>
      </c>
    </row>
    <row r="21" spans="1:7" x14ac:dyDescent="0.25">
      <c r="A21">
        <v>10</v>
      </c>
      <c r="B21" s="6">
        <v>8595.7013775267005</v>
      </c>
      <c r="C21" s="9">
        <f t="shared" si="0"/>
        <v>1.0384669616977807E-2</v>
      </c>
      <c r="E21" s="371">
        <v>10</v>
      </c>
      <c r="F21" s="371">
        <v>21270.190040602607</v>
      </c>
      <c r="G21" s="9">
        <f t="shared" si="1"/>
        <v>2.6233953009595443E-2</v>
      </c>
    </row>
    <row r="22" spans="1:7" x14ac:dyDescent="0.25">
      <c r="A22">
        <v>11</v>
      </c>
      <c r="B22" s="6">
        <v>12579.7285983122</v>
      </c>
      <c r="C22" s="9">
        <f t="shared" si="0"/>
        <v>1.5197866890334944E-2</v>
      </c>
      <c r="E22" s="371">
        <v>11</v>
      </c>
      <c r="F22" s="371">
        <v>18569.423508893182</v>
      </c>
      <c r="G22" s="9">
        <f t="shared" si="1"/>
        <v>2.2902916373462701E-2</v>
      </c>
    </row>
    <row r="23" spans="1:7" x14ac:dyDescent="0.25">
      <c r="A23">
        <v>12</v>
      </c>
      <c r="B23" s="6">
        <v>12466.883373857001</v>
      </c>
      <c r="C23" s="9">
        <f t="shared" si="0"/>
        <v>1.5061535912517967E-2</v>
      </c>
      <c r="E23" s="371">
        <v>12</v>
      </c>
      <c r="F23" s="371">
        <v>16982.639666732062</v>
      </c>
      <c r="G23" s="9">
        <f t="shared" si="1"/>
        <v>2.0945829357682525E-2</v>
      </c>
    </row>
    <row r="24" spans="1:7" x14ac:dyDescent="0.25">
      <c r="A24">
        <v>13</v>
      </c>
      <c r="B24" s="6">
        <v>23774.698738488099</v>
      </c>
      <c r="C24" s="9">
        <f t="shared" si="0"/>
        <v>2.8722774419301426E-2</v>
      </c>
      <c r="E24" s="371">
        <v>13</v>
      </c>
      <c r="F24" s="371">
        <v>15151.055158297811</v>
      </c>
      <c r="G24" s="9">
        <f t="shared" si="1"/>
        <v>1.8686813249427489E-2</v>
      </c>
    </row>
    <row r="25" spans="1:7" x14ac:dyDescent="0.25">
      <c r="A25">
        <v>14</v>
      </c>
      <c r="B25" s="6">
        <v>24776.0882145826</v>
      </c>
      <c r="C25" s="9">
        <f t="shared" si="0"/>
        <v>2.9932576669336325E-2</v>
      </c>
      <c r="E25" s="371">
        <v>14</v>
      </c>
      <c r="F25" s="371">
        <v>11994.195573472454</v>
      </c>
      <c r="G25" s="9">
        <f t="shared" si="1"/>
        <v>1.4793246438406505E-2</v>
      </c>
    </row>
    <row r="26" spans="1:7" x14ac:dyDescent="0.25">
      <c r="A26">
        <v>15</v>
      </c>
      <c r="B26" s="6">
        <v>19898.597224972302</v>
      </c>
      <c r="C26" s="9">
        <f t="shared" si="0"/>
        <v>2.4039964738992222E-2</v>
      </c>
      <c r="E26" s="371">
        <v>15</v>
      </c>
      <c r="F26" s="371">
        <v>11853.404074311618</v>
      </c>
      <c r="G26" s="9">
        <f t="shared" si="1"/>
        <v>1.461959883271585E-2</v>
      </c>
    </row>
    <row r="27" spans="1:7" x14ac:dyDescent="0.25">
      <c r="A27">
        <v>16</v>
      </c>
      <c r="B27" s="6">
        <v>29893.406161748499</v>
      </c>
      <c r="C27" s="9">
        <f t="shared" si="0"/>
        <v>3.6114929204905652E-2</v>
      </c>
      <c r="E27" s="371">
        <v>16</v>
      </c>
      <c r="F27" s="371">
        <v>10111.108748518294</v>
      </c>
      <c r="G27" s="9">
        <f t="shared" si="1"/>
        <v>1.247070906640679E-2</v>
      </c>
    </row>
    <row r="28" spans="1:7" x14ac:dyDescent="0.25">
      <c r="A28">
        <v>17</v>
      </c>
      <c r="B28" s="6">
        <v>18307.9495975561</v>
      </c>
      <c r="C28" s="9">
        <f t="shared" si="0"/>
        <v>2.2118265815047077E-2</v>
      </c>
      <c r="E28" s="371">
        <v>17</v>
      </c>
      <c r="F28" s="371">
        <v>9612.4837953506449</v>
      </c>
      <c r="G28" s="9">
        <f t="shared" si="1"/>
        <v>1.1855721444488897E-2</v>
      </c>
    </row>
    <row r="29" spans="1:7" x14ac:dyDescent="0.25">
      <c r="A29">
        <v>18</v>
      </c>
      <c r="B29" s="6">
        <v>64111.614165000698</v>
      </c>
      <c r="C29" s="9">
        <f t="shared" si="0"/>
        <v>7.7454753541735477E-2</v>
      </c>
      <c r="E29" s="371">
        <v>18</v>
      </c>
      <c r="F29" s="371">
        <v>79317.520474597186</v>
      </c>
      <c r="G29" s="9">
        <f t="shared" si="1"/>
        <v>9.782762170888698E-2</v>
      </c>
    </row>
    <row r="30" spans="1:7" x14ac:dyDescent="0.25">
      <c r="A30">
        <v>19</v>
      </c>
      <c r="B30" s="6">
        <v>34934.034287892697</v>
      </c>
      <c r="C30" s="9">
        <f t="shared" si="0"/>
        <v>4.2204630958494846E-2</v>
      </c>
      <c r="E30" s="371">
        <v>19</v>
      </c>
      <c r="F30" s="371">
        <v>25788.990560485214</v>
      </c>
      <c r="G30" s="9">
        <f t="shared" si="1"/>
        <v>3.1807292987848748E-2</v>
      </c>
    </row>
    <row r="31" spans="1:7" x14ac:dyDescent="0.25">
      <c r="A31">
        <v>20</v>
      </c>
      <c r="B31" s="6">
        <v>67232.074593432393</v>
      </c>
      <c r="C31" s="9">
        <f t="shared" si="0"/>
        <v>8.122465540068538E-2</v>
      </c>
      <c r="E31" s="371">
        <v>20</v>
      </c>
      <c r="F31" s="371">
        <v>21722.309962088391</v>
      </c>
      <c r="G31" s="9">
        <f t="shared" si="1"/>
        <v>2.6791582854571856E-2</v>
      </c>
    </row>
    <row r="32" spans="1:7" x14ac:dyDescent="0.25">
      <c r="A32">
        <v>21</v>
      </c>
      <c r="B32" s="6">
        <v>39999.750391070796</v>
      </c>
      <c r="C32" s="9">
        <f t="shared" si="0"/>
        <v>4.8324642088993827E-2</v>
      </c>
      <c r="E32" s="371">
        <v>21</v>
      </c>
      <c r="F32" s="371">
        <v>34076.59479416244</v>
      </c>
      <c r="G32" s="9">
        <f t="shared" si="1"/>
        <v>4.2028951544419546E-2</v>
      </c>
    </row>
    <row r="33" spans="1:7" x14ac:dyDescent="0.25">
      <c r="A33">
        <v>22</v>
      </c>
      <c r="B33" s="6">
        <v>31371.310966473698</v>
      </c>
      <c r="C33" s="9">
        <f t="shared" si="0"/>
        <v>3.7900420865020927E-2</v>
      </c>
      <c r="E33" s="371">
        <v>22</v>
      </c>
      <c r="F33" s="371">
        <v>24579.839490640796</v>
      </c>
      <c r="G33" s="9">
        <f t="shared" si="1"/>
        <v>3.0315965816476571E-2</v>
      </c>
    </row>
    <row r="34" spans="1:7" x14ac:dyDescent="0.25">
      <c r="A34">
        <v>23</v>
      </c>
      <c r="B34" s="6">
        <v>14483.9621031227</v>
      </c>
      <c r="C34" s="9">
        <f t="shared" si="0"/>
        <v>1.7498416310622822E-2</v>
      </c>
      <c r="E34" s="371">
        <v>23</v>
      </c>
      <c r="F34" s="371">
        <v>23175.350413216067</v>
      </c>
      <c r="G34" s="9">
        <f t="shared" si="1"/>
        <v>2.8583715169476404E-2</v>
      </c>
    </row>
    <row r="35" spans="1:7" x14ac:dyDescent="0.25">
      <c r="A35">
        <v>24</v>
      </c>
      <c r="B35" s="6">
        <v>21641.0403248742</v>
      </c>
      <c r="C35" s="9">
        <f t="shared" si="0"/>
        <v>2.6145051354282522E-2</v>
      </c>
      <c r="E35" s="371">
        <v>24</v>
      </c>
      <c r="F35" s="371">
        <v>19333.573675269297</v>
      </c>
      <c r="G35" s="9">
        <f t="shared" si="1"/>
        <v>2.3845394062600337E-2</v>
      </c>
    </row>
    <row r="36" spans="1:7" x14ac:dyDescent="0.25">
      <c r="A36">
        <v>25</v>
      </c>
      <c r="B36" s="6">
        <v>18315.077314993101</v>
      </c>
      <c r="C36" s="9">
        <f t="shared" si="0"/>
        <v>2.2126876978634025E-2</v>
      </c>
      <c r="E36" s="371">
        <v>25</v>
      </c>
      <c r="F36" s="371">
        <v>15373.800677841931</v>
      </c>
      <c r="G36" s="9">
        <f t="shared" si="1"/>
        <v>1.8961540249123485E-2</v>
      </c>
    </row>
    <row r="37" spans="1:7" x14ac:dyDescent="0.25">
      <c r="A37">
        <v>26</v>
      </c>
      <c r="B37" s="6">
        <v>27253.731468765702</v>
      </c>
      <c r="C37" s="9">
        <f t="shared" si="0"/>
        <v>3.292587593525715E-2</v>
      </c>
      <c r="E37" s="371">
        <v>26</v>
      </c>
      <c r="F37" s="371">
        <v>15301.750304866327</v>
      </c>
      <c r="G37" s="9">
        <f t="shared" si="1"/>
        <v>1.8872675688188314E-2</v>
      </c>
    </row>
    <row r="38" spans="1:7" x14ac:dyDescent="0.25">
      <c r="A38">
        <v>27</v>
      </c>
      <c r="B38" s="6">
        <v>13933.790947588999</v>
      </c>
      <c r="C38" s="9">
        <f t="shared" si="0"/>
        <v>1.6833741558432636E-2</v>
      </c>
      <c r="E38" s="371">
        <v>27</v>
      </c>
      <c r="F38" s="371">
        <v>9990.5125955015737</v>
      </c>
      <c r="G38" s="9">
        <f t="shared" si="1"/>
        <v>1.2321969736605813E-2</v>
      </c>
    </row>
    <row r="39" spans="1:7" x14ac:dyDescent="0.25">
      <c r="A39">
        <v>28</v>
      </c>
      <c r="B39" s="6">
        <v>13873.6430692714</v>
      </c>
      <c r="C39" s="9">
        <f t="shared" si="0"/>
        <v>1.6761075487677374E-2</v>
      </c>
      <c r="E39" s="371">
        <v>28</v>
      </c>
      <c r="F39" s="371">
        <v>10959.72939771382</v>
      </c>
      <c r="G39" s="9">
        <f t="shared" si="1"/>
        <v>1.351736987157452E-2</v>
      </c>
    </row>
    <row r="40" spans="1:7" x14ac:dyDescent="0.25">
      <c r="A40">
        <v>29</v>
      </c>
      <c r="B40" s="6">
        <v>10175.7087463841</v>
      </c>
      <c r="C40" s="9">
        <f t="shared" si="0"/>
        <v>1.2293513793541747E-2</v>
      </c>
      <c r="E40" s="371">
        <v>29</v>
      </c>
      <c r="F40" s="371">
        <v>11065.19817677528</v>
      </c>
      <c r="G40" s="9">
        <f t="shared" si="1"/>
        <v>1.3647451595743234E-2</v>
      </c>
    </row>
    <row r="41" spans="1:7" x14ac:dyDescent="0.25">
      <c r="A41">
        <v>30</v>
      </c>
      <c r="B41" s="6">
        <v>9297.3868442496005</v>
      </c>
      <c r="C41" s="9">
        <f t="shared" si="0"/>
        <v>1.123239238291792E-2</v>
      </c>
      <c r="E41" s="371">
        <v>30</v>
      </c>
      <c r="F41" s="371">
        <v>8752.5992779352418</v>
      </c>
      <c r="G41" s="9">
        <f t="shared" si="1"/>
        <v>1.0795168154626741E-2</v>
      </c>
    </row>
    <row r="42" spans="1:7" x14ac:dyDescent="0.25">
      <c r="A42">
        <v>31</v>
      </c>
      <c r="B42" s="6">
        <v>5360.1951048411001</v>
      </c>
      <c r="C42" s="9">
        <f t="shared" si="0"/>
        <v>6.4757781595168769E-3</v>
      </c>
      <c r="E42" s="371">
        <v>31</v>
      </c>
      <c r="F42" s="371">
        <v>8544.5816145064218</v>
      </c>
      <c r="G42" s="9">
        <f t="shared" si="1"/>
        <v>1.0538606008395776E-2</v>
      </c>
    </row>
    <row r="43" spans="1:7" x14ac:dyDescent="0.25">
      <c r="A43">
        <v>32</v>
      </c>
      <c r="B43" s="6">
        <v>2913.8867434077001</v>
      </c>
      <c r="C43" s="9">
        <f t="shared" si="0"/>
        <v>3.5203353167542438E-3</v>
      </c>
      <c r="E43" s="371">
        <v>32</v>
      </c>
      <c r="F43" s="371">
        <v>6171.3156388009402</v>
      </c>
      <c r="G43" s="9">
        <f t="shared" si="1"/>
        <v>7.6114977894714952E-3</v>
      </c>
    </row>
    <row r="44" spans="1:7" x14ac:dyDescent="0.25">
      <c r="A44">
        <v>33</v>
      </c>
      <c r="B44" s="6">
        <v>8293.4907287758997</v>
      </c>
      <c r="C44" s="9">
        <f t="shared" si="0"/>
        <v>1.0019561802714416E-2</v>
      </c>
      <c r="E44" s="371">
        <v>33</v>
      </c>
      <c r="F44" s="371">
        <v>8199.4418469442462</v>
      </c>
      <c r="G44" s="9">
        <f t="shared" si="1"/>
        <v>1.0112921967647437E-2</v>
      </c>
    </row>
    <row r="45" spans="1:7" x14ac:dyDescent="0.25">
      <c r="A45">
        <v>34</v>
      </c>
      <c r="B45" s="6">
        <v>11042.465799542601</v>
      </c>
      <c r="C45" s="9">
        <f t="shared" si="0"/>
        <v>1.3340663437289168E-2</v>
      </c>
      <c r="E45" s="371">
        <v>34</v>
      </c>
      <c r="F45" s="371">
        <v>6816.5798428486796</v>
      </c>
      <c r="G45" s="9">
        <f t="shared" si="1"/>
        <v>8.4073454417702715E-3</v>
      </c>
    </row>
    <row r="46" spans="1:7" x14ac:dyDescent="0.25">
      <c r="A46">
        <v>35</v>
      </c>
      <c r="B46" s="6">
        <v>2890.6258853281001</v>
      </c>
      <c r="C46" s="9">
        <f t="shared" si="0"/>
        <v>3.4922333253570555E-3</v>
      </c>
      <c r="E46" s="371">
        <v>35</v>
      </c>
      <c r="F46" s="371">
        <v>4951.2589929444703</v>
      </c>
      <c r="G46" s="9">
        <f t="shared" si="1"/>
        <v>6.1067200392329992E-3</v>
      </c>
    </row>
    <row r="47" spans="1:7" x14ac:dyDescent="0.25">
      <c r="A47">
        <v>36</v>
      </c>
      <c r="B47" s="6">
        <v>3595.7369614325003</v>
      </c>
      <c r="C47" s="9">
        <f t="shared" si="0"/>
        <v>4.3440946508051482E-3</v>
      </c>
      <c r="E47" s="371">
        <v>36</v>
      </c>
      <c r="F47" s="371">
        <v>5211.7771074161947</v>
      </c>
      <c r="G47" s="9">
        <f t="shared" si="1"/>
        <v>6.4280345155095821E-3</v>
      </c>
    </row>
    <row r="48" spans="1:7" x14ac:dyDescent="0.25">
      <c r="A48">
        <v>37</v>
      </c>
      <c r="B48" s="6">
        <v>4397.7934521712004</v>
      </c>
      <c r="C48" s="9">
        <f t="shared" si="0"/>
        <v>5.313078018730222E-3</v>
      </c>
      <c r="E48" s="371">
        <v>37</v>
      </c>
      <c r="F48" s="371">
        <v>3911.6267785500654</v>
      </c>
      <c r="G48" s="9">
        <f t="shared" si="1"/>
        <v>4.8244718502125031E-3</v>
      </c>
    </row>
    <row r="49" spans="1:7" x14ac:dyDescent="0.25">
      <c r="A49">
        <v>38</v>
      </c>
      <c r="B49" s="6">
        <v>7401.8104657560998</v>
      </c>
      <c r="C49" s="9">
        <f t="shared" si="0"/>
        <v>8.9423018411654859E-3</v>
      </c>
      <c r="E49" s="371">
        <v>38</v>
      </c>
      <c r="F49" s="371">
        <v>3688.579537471021</v>
      </c>
      <c r="G49" s="9">
        <f t="shared" si="1"/>
        <v>4.5493727170962586E-3</v>
      </c>
    </row>
    <row r="50" spans="1:7" x14ac:dyDescent="0.25">
      <c r="A50">
        <v>39</v>
      </c>
      <c r="B50" s="6">
        <v>7257.3489524035003</v>
      </c>
      <c r="C50" s="9">
        <f t="shared" si="0"/>
        <v>8.7677744788658158E-3</v>
      </c>
      <c r="E50" s="371">
        <v>39</v>
      </c>
      <c r="F50" s="371">
        <v>4111.0531421646883</v>
      </c>
      <c r="G50" s="9">
        <f t="shared" si="1"/>
        <v>5.0704377697437181E-3</v>
      </c>
    </row>
    <row r="51" spans="1:7" x14ac:dyDescent="0.25">
      <c r="A51">
        <v>40</v>
      </c>
      <c r="B51" s="6">
        <v>2179.8435373172001</v>
      </c>
      <c r="C51" s="9">
        <f t="shared" si="0"/>
        <v>2.6335204025266915E-3</v>
      </c>
      <c r="E51" s="371">
        <v>40</v>
      </c>
      <c r="F51" s="371">
        <v>4637.9745780450767</v>
      </c>
      <c r="G51" s="9">
        <f t="shared" si="1"/>
        <v>5.7203253430210396E-3</v>
      </c>
    </row>
    <row r="52" spans="1:7" x14ac:dyDescent="0.25">
      <c r="A52">
        <v>41</v>
      </c>
      <c r="B52" s="6">
        <v>1361.2943780764001</v>
      </c>
      <c r="C52" s="9">
        <f t="shared" si="0"/>
        <v>1.6446118527026247E-3</v>
      </c>
      <c r="E52" s="371">
        <v>41</v>
      </c>
      <c r="F52" s="371">
        <v>2820.6704714381153</v>
      </c>
      <c r="G52" s="9">
        <f t="shared" si="1"/>
        <v>3.478922212824974E-3</v>
      </c>
    </row>
    <row r="53" spans="1:7" x14ac:dyDescent="0.25">
      <c r="A53">
        <v>42</v>
      </c>
      <c r="B53" s="6">
        <v>1570.4290648189999</v>
      </c>
      <c r="C53" s="9">
        <f t="shared" si="0"/>
        <v>1.8972724014916001E-3</v>
      </c>
      <c r="E53" s="371">
        <v>42</v>
      </c>
      <c r="F53" s="371">
        <v>2673.8950862186484</v>
      </c>
      <c r="G53" s="9">
        <f t="shared" si="1"/>
        <v>3.2978942788261449E-3</v>
      </c>
    </row>
    <row r="54" spans="1:7" x14ac:dyDescent="0.25">
      <c r="A54">
        <v>43</v>
      </c>
      <c r="B54" s="6">
        <v>166.816897117</v>
      </c>
      <c r="C54" s="9">
        <f t="shared" si="0"/>
        <v>2.0153542881545285E-4</v>
      </c>
      <c r="E54" s="371">
        <v>43</v>
      </c>
      <c r="F54" s="371">
        <v>2253.6403523495073</v>
      </c>
      <c r="G54" s="9">
        <f t="shared" si="1"/>
        <v>2.7795659084948218E-3</v>
      </c>
    </row>
    <row r="55" spans="1:7" x14ac:dyDescent="0.25">
      <c r="A55">
        <v>44</v>
      </c>
      <c r="B55" s="6">
        <v>1677.8794614230001</v>
      </c>
      <c r="C55" s="9">
        <f t="shared" si="0"/>
        <v>2.0270857605111572E-3</v>
      </c>
      <c r="E55" s="371">
        <v>44</v>
      </c>
      <c r="F55" s="371">
        <v>2287.5399353277112</v>
      </c>
      <c r="G55" s="9">
        <f t="shared" si="1"/>
        <v>2.8213765394857751E-3</v>
      </c>
    </row>
    <row r="56" spans="1:7" x14ac:dyDescent="0.25">
      <c r="A56">
        <v>45</v>
      </c>
      <c r="B56" s="6">
        <v>34981.931586099097</v>
      </c>
      <c r="C56" s="9">
        <f t="shared" si="0"/>
        <v>4.2262496814412062E-2</v>
      </c>
      <c r="E56" s="371">
        <v>45</v>
      </c>
      <c r="F56" s="371">
        <v>2608.5748581910289</v>
      </c>
      <c r="G56" s="9">
        <f t="shared" si="1"/>
        <v>3.2173304573754886E-3</v>
      </c>
    </row>
    <row r="57" spans="1:7" x14ac:dyDescent="0.25">
      <c r="A57">
        <v>46</v>
      </c>
      <c r="B57" s="6">
        <v>2656.6600039385999</v>
      </c>
      <c r="C57" s="9">
        <f t="shared" si="0"/>
        <v>3.2095736245178349E-3</v>
      </c>
      <c r="E57" s="371">
        <v>46</v>
      </c>
      <c r="F57" s="371">
        <v>1893.5724983035075</v>
      </c>
      <c r="G57" s="9">
        <f t="shared" si="1"/>
        <v>2.335470056728703E-3</v>
      </c>
    </row>
    <row r="58" spans="1:7" x14ac:dyDescent="0.25">
      <c r="A58">
        <v>47</v>
      </c>
      <c r="B58" s="6">
        <v>918.58792278100009</v>
      </c>
      <c r="C58" s="9">
        <f t="shared" si="0"/>
        <v>1.109767740090035E-3</v>
      </c>
      <c r="E58" s="371">
        <v>47</v>
      </c>
      <c r="F58" s="371">
        <v>1966.1471255692211</v>
      </c>
      <c r="G58" s="9">
        <f t="shared" si="1"/>
        <v>2.4249812156672572E-3</v>
      </c>
    </row>
    <row r="59" spans="1:7" x14ac:dyDescent="0.25">
      <c r="A59">
        <v>48</v>
      </c>
      <c r="B59" s="6">
        <v>1523.3438377319999</v>
      </c>
      <c r="C59" s="9">
        <f t="shared" si="0"/>
        <v>1.8403876278514574E-3</v>
      </c>
      <c r="E59" s="371">
        <v>48</v>
      </c>
      <c r="F59" s="371">
        <v>1899.9191639713615</v>
      </c>
      <c r="G59" s="9">
        <f t="shared" si="1"/>
        <v>2.3432978254783131E-3</v>
      </c>
    </row>
    <row r="60" spans="1:7" x14ac:dyDescent="0.25">
      <c r="A60">
        <v>49</v>
      </c>
      <c r="B60" s="6">
        <v>1317.0669416869</v>
      </c>
      <c r="C60" s="9">
        <f t="shared" si="0"/>
        <v>1.5911796434228027E-3</v>
      </c>
      <c r="E60" s="371">
        <v>49</v>
      </c>
      <c r="F60" s="371">
        <v>1604.1780156812122</v>
      </c>
      <c r="G60" s="9">
        <f t="shared" si="1"/>
        <v>1.97854041746092E-3</v>
      </c>
    </row>
    <row r="61" spans="1:7" x14ac:dyDescent="0.25">
      <c r="A61">
        <v>50</v>
      </c>
      <c r="B61" s="6">
        <v>576.39533884100001</v>
      </c>
      <c r="C61" s="9">
        <f t="shared" si="0"/>
        <v>6.9635680670331285E-4</v>
      </c>
      <c r="E61" s="371">
        <v>50</v>
      </c>
      <c r="F61" s="371">
        <v>1309.1059019979205</v>
      </c>
      <c r="G61" s="9">
        <f t="shared" si="1"/>
        <v>1.6146081747290552E-3</v>
      </c>
    </row>
    <row r="62" spans="1:7" x14ac:dyDescent="0.25">
      <c r="A62">
        <v>51</v>
      </c>
      <c r="B62" s="6">
        <v>1820.3334592241001</v>
      </c>
      <c r="C62" s="9">
        <f t="shared" si="0"/>
        <v>2.1991877959133882E-3</v>
      </c>
      <c r="E62" s="371">
        <v>51</v>
      </c>
      <c r="F62" s="371">
        <v>1258.5393377672276</v>
      </c>
      <c r="G62" s="9">
        <f t="shared" si="1"/>
        <v>1.5522410370893624E-3</v>
      </c>
    </row>
    <row r="63" spans="1:7" x14ac:dyDescent="0.25">
      <c r="A63">
        <v>52</v>
      </c>
      <c r="B63" s="6">
        <v>2367.2737567569998</v>
      </c>
      <c r="C63" s="9">
        <f t="shared" si="0"/>
        <v>2.8599592723330346E-3</v>
      </c>
      <c r="E63" s="371">
        <v>52</v>
      </c>
      <c r="F63" s="371">
        <v>1017.8301891996485</v>
      </c>
      <c r="G63" s="9">
        <f t="shared" si="1"/>
        <v>1.2553582880190728E-3</v>
      </c>
    </row>
    <row r="64" spans="1:7" x14ac:dyDescent="0.25">
      <c r="A64">
        <v>53</v>
      </c>
      <c r="B64" s="6">
        <v>1634.4932878509999</v>
      </c>
      <c r="C64" s="9">
        <f t="shared" si="0"/>
        <v>1.9746699006875442E-3</v>
      </c>
      <c r="E64" s="371">
        <v>53</v>
      </c>
      <c r="F64" s="371">
        <v>897.72603873302171</v>
      </c>
      <c r="G64" s="9">
        <f t="shared" si="1"/>
        <v>1.1072257779858148E-3</v>
      </c>
    </row>
    <row r="65" spans="1:7" x14ac:dyDescent="0.25">
      <c r="A65">
        <v>54</v>
      </c>
      <c r="B65" s="6">
        <v>497.29494586099997</v>
      </c>
      <c r="C65" s="9">
        <f t="shared" si="0"/>
        <v>6.007937558721115E-4</v>
      </c>
      <c r="E65" s="371">
        <v>54</v>
      </c>
      <c r="F65" s="371">
        <v>842.12220735108326</v>
      </c>
      <c r="G65" s="9">
        <f t="shared" si="1"/>
        <v>1.0386458406724801E-3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796.24707780306903</v>
      </c>
      <c r="G66" s="9">
        <f t="shared" si="1"/>
        <v>9.820649643110383E-4</v>
      </c>
    </row>
    <row r="67" spans="1:7" x14ac:dyDescent="0.25">
      <c r="A67">
        <v>56</v>
      </c>
      <c r="B67" s="6">
        <v>1411.8223124199999</v>
      </c>
      <c r="C67" s="9">
        <f t="shared" si="0"/>
        <v>1.7056558421970119E-3</v>
      </c>
      <c r="E67" s="371">
        <v>56</v>
      </c>
      <c r="F67" s="371">
        <v>949.79811377508656</v>
      </c>
      <c r="G67" s="9">
        <f t="shared" si="1"/>
        <v>1.1714497631574563E-3</v>
      </c>
    </row>
    <row r="68" spans="1:7" x14ac:dyDescent="0.25">
      <c r="A68">
        <v>57</v>
      </c>
      <c r="B68" s="6">
        <v>407.70754470179997</v>
      </c>
      <c r="C68" s="9">
        <f t="shared" si="0"/>
        <v>4.9256110305866097E-4</v>
      </c>
      <c r="E68" s="371">
        <v>57</v>
      </c>
      <c r="F68" s="371">
        <v>859.7136878963081</v>
      </c>
      <c r="G68" s="9">
        <f t="shared" si="1"/>
        <v>1.0603425943503597E-3</v>
      </c>
    </row>
    <row r="69" spans="1:7" x14ac:dyDescent="0.25">
      <c r="A69">
        <v>58</v>
      </c>
      <c r="B69" s="6">
        <v>401.23642248200002</v>
      </c>
      <c r="C69" s="9">
        <f t="shared" si="0"/>
        <v>4.8474318764347437E-4</v>
      </c>
      <c r="E69" s="371">
        <v>58</v>
      </c>
      <c r="F69" s="371">
        <v>1026.9727432061009</v>
      </c>
      <c r="G69" s="9">
        <f t="shared" si="1"/>
        <v>1.2666344135137261E-3</v>
      </c>
    </row>
    <row r="70" spans="1:7" x14ac:dyDescent="0.25">
      <c r="A70">
        <v>59</v>
      </c>
      <c r="B70" s="6">
        <v>5013.6074087342995</v>
      </c>
      <c r="C70" s="9">
        <f t="shared" si="0"/>
        <v>6.0570573874355353E-3</v>
      </c>
      <c r="E70" s="371">
        <v>59</v>
      </c>
      <c r="F70" s="371">
        <v>888.42949164372351</v>
      </c>
      <c r="G70" s="9">
        <f t="shared" si="1"/>
        <v>1.095759722486236E-3</v>
      </c>
    </row>
    <row r="71" spans="1:7" x14ac:dyDescent="0.25">
      <c r="A71">
        <v>60</v>
      </c>
      <c r="B71" s="6">
        <v>4757.6773804485001</v>
      </c>
      <c r="C71" s="9">
        <f t="shared" si="0"/>
        <v>5.747862282570626E-3</v>
      </c>
      <c r="E71" s="371">
        <v>60</v>
      </c>
      <c r="F71" s="371">
        <v>710.945305227213</v>
      </c>
      <c r="G71" s="9">
        <f t="shared" si="1"/>
        <v>8.7685656282903606E-4</v>
      </c>
    </row>
    <row r="72" spans="1:7" x14ac:dyDescent="0.25">
      <c r="A72">
        <v>61</v>
      </c>
      <c r="B72" s="6">
        <v>5067.7077598630003</v>
      </c>
      <c r="C72" s="9">
        <f t="shared" si="0"/>
        <v>6.1224172979255512E-3</v>
      </c>
      <c r="E72" s="371">
        <v>61</v>
      </c>
      <c r="F72" s="371">
        <v>521.89366526517858</v>
      </c>
      <c r="G72" s="9">
        <f t="shared" si="1"/>
        <v>6.4368648631896934E-4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631.04033758820276</v>
      </c>
      <c r="G73" s="9">
        <f t="shared" si="1"/>
        <v>7.7830440310344988E-4</v>
      </c>
    </row>
    <row r="74" spans="1:7" x14ac:dyDescent="0.25">
      <c r="A74">
        <v>63</v>
      </c>
      <c r="B74" s="6">
        <v>292.68161738200001</v>
      </c>
      <c r="C74" s="9">
        <f t="shared" si="0"/>
        <v>3.5359556666559379E-4</v>
      </c>
      <c r="E74" s="371">
        <v>63</v>
      </c>
      <c r="F74" s="371">
        <v>676.26019989449253</v>
      </c>
      <c r="G74" s="9">
        <f t="shared" si="1"/>
        <v>8.3407709439483311E-4</v>
      </c>
    </row>
    <row r="75" spans="1:7" x14ac:dyDescent="0.25">
      <c r="A75">
        <v>64</v>
      </c>
      <c r="B75" s="6">
        <v>139.99557747</v>
      </c>
      <c r="C75" s="9">
        <f t="shared" si="0"/>
        <v>1.6913195980317847E-4</v>
      </c>
      <c r="E75" s="371">
        <v>64</v>
      </c>
      <c r="F75" s="371">
        <v>524.67518726931314</v>
      </c>
      <c r="G75" s="9">
        <f t="shared" si="1"/>
        <v>6.4711712409946541E-4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457.08834479036409</v>
      </c>
      <c r="G76" s="9">
        <f t="shared" si="1"/>
        <v>5.6375773491323478E-4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319.01388572661421</v>
      </c>
      <c r="G77" s="9">
        <f t="shared" ref="G77:G102" si="3">F77/F$102</f>
        <v>3.9346123713915559E-4</v>
      </c>
    </row>
    <row r="78" spans="1:7" x14ac:dyDescent="0.25">
      <c r="A78">
        <v>67</v>
      </c>
      <c r="B78" s="6">
        <v>572.78052627399995</v>
      </c>
      <c r="C78" s="9">
        <f t="shared" si="2"/>
        <v>6.9198966636340538E-4</v>
      </c>
      <c r="E78" s="371">
        <v>67</v>
      </c>
      <c r="F78" s="371">
        <v>577.57737223677157</v>
      </c>
      <c r="G78" s="9">
        <f t="shared" si="3"/>
        <v>7.1236493955818955E-4</v>
      </c>
    </row>
    <row r="79" spans="1:7" x14ac:dyDescent="0.25">
      <c r="A79">
        <v>68</v>
      </c>
      <c r="B79" s="6">
        <v>417.967608267</v>
      </c>
      <c r="C79" s="9">
        <f t="shared" si="2"/>
        <v>5.0495652789884441E-4</v>
      </c>
      <c r="E79" s="371">
        <v>68</v>
      </c>
      <c r="F79" s="371">
        <v>370.9690553551643</v>
      </c>
      <c r="G79" s="9">
        <f t="shared" si="3"/>
        <v>4.5754103501774234E-4</v>
      </c>
    </row>
    <row r="80" spans="1:7" x14ac:dyDescent="0.25">
      <c r="A80">
        <v>69</v>
      </c>
      <c r="B80" s="6">
        <v>1800.3456108754001</v>
      </c>
      <c r="C80" s="9">
        <f t="shared" si="2"/>
        <v>2.1750400047862808E-3</v>
      </c>
      <c r="E80" s="371">
        <v>69</v>
      </c>
      <c r="F80" s="371">
        <v>359.29483307172524</v>
      </c>
      <c r="G80" s="9">
        <f t="shared" si="3"/>
        <v>4.4314243311420069E-4</v>
      </c>
    </row>
    <row r="81" spans="1:7" x14ac:dyDescent="0.25">
      <c r="A81">
        <v>70</v>
      </c>
      <c r="B81" s="6">
        <v>447.66186162099996</v>
      </c>
      <c r="C81" s="9">
        <f t="shared" si="2"/>
        <v>5.4083085589845818E-4</v>
      </c>
      <c r="E81" s="371">
        <v>70</v>
      </c>
      <c r="F81" s="371">
        <v>447.4883091116572</v>
      </c>
      <c r="G81" s="9">
        <f t="shared" si="3"/>
        <v>5.5191736656650704E-4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279.10661116980691</v>
      </c>
      <c r="G82" s="9">
        <f t="shared" si="3"/>
        <v>3.4424091689444535E-4</v>
      </c>
    </row>
    <row r="83" spans="1:7" x14ac:dyDescent="0.25">
      <c r="A83">
        <v>72</v>
      </c>
      <c r="B83" s="6">
        <v>5043.1483091937998</v>
      </c>
      <c r="C83" s="9">
        <f t="shared" si="2"/>
        <v>6.0927464461855273E-3</v>
      </c>
      <c r="E83" s="371">
        <v>72</v>
      </c>
      <c r="F83" s="371">
        <v>400.87325247848514</v>
      </c>
      <c r="G83" s="9">
        <f t="shared" si="3"/>
        <v>4.9442388846782147E-4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318.9478696390355</v>
      </c>
      <c r="G84" s="9">
        <f t="shared" si="3"/>
        <v>3.9337981506741522E-4</v>
      </c>
    </row>
    <row r="85" spans="1:7" x14ac:dyDescent="0.25">
      <c r="A85">
        <v>74</v>
      </c>
      <c r="B85" s="6">
        <v>1148.663232487</v>
      </c>
      <c r="C85" s="9">
        <f t="shared" si="2"/>
        <v>1.3877271494952199E-3</v>
      </c>
      <c r="E85" s="371">
        <v>74</v>
      </c>
      <c r="F85" s="371">
        <v>336.47186300898716</v>
      </c>
      <c r="G85" s="9">
        <f t="shared" si="3"/>
        <v>4.1499333228236292E-4</v>
      </c>
    </row>
    <row r="86" spans="1:7" x14ac:dyDescent="0.25">
      <c r="A86">
        <v>75</v>
      </c>
      <c r="B86" s="6">
        <v>163.60110245000001</v>
      </c>
      <c r="C86" s="9">
        <f t="shared" si="2"/>
        <v>1.9765035141384088E-4</v>
      </c>
      <c r="E86" s="371">
        <v>75</v>
      </c>
      <c r="F86" s="371">
        <v>295.69063152083334</v>
      </c>
      <c r="G86" s="9">
        <f t="shared" si="3"/>
        <v>3.6469510229516388E-4</v>
      </c>
    </row>
    <row r="87" spans="1:7" x14ac:dyDescent="0.25">
      <c r="A87">
        <v>76</v>
      </c>
      <c r="B87" s="6">
        <v>389.70608969030002</v>
      </c>
      <c r="C87" s="9">
        <f t="shared" si="2"/>
        <v>4.7081312058359898E-4</v>
      </c>
      <c r="E87" s="371">
        <v>76</v>
      </c>
      <c r="F87" s="371">
        <v>236.5023520790848</v>
      </c>
      <c r="G87" s="9">
        <f t="shared" si="3"/>
        <v>2.9169422460532615E-4</v>
      </c>
    </row>
    <row r="88" spans="1:7" x14ac:dyDescent="0.25">
      <c r="A88">
        <v>77</v>
      </c>
      <c r="B88" s="6">
        <v>675.19772548600008</v>
      </c>
      <c r="C88" s="9">
        <f t="shared" si="2"/>
        <v>8.1572230087459277E-4</v>
      </c>
      <c r="E88" s="371">
        <v>77</v>
      </c>
      <c r="F88" s="371">
        <v>225.21232148521236</v>
      </c>
      <c r="G88" s="9">
        <f t="shared" si="3"/>
        <v>2.7776947209906441E-4</v>
      </c>
    </row>
    <row r="89" spans="1:7" x14ac:dyDescent="0.25">
      <c r="A89">
        <v>78</v>
      </c>
      <c r="B89" s="6">
        <v>396.70134919100002</v>
      </c>
      <c r="C89" s="9">
        <f t="shared" si="2"/>
        <v>4.7926425861286086E-4</v>
      </c>
      <c r="E89" s="371">
        <v>78</v>
      </c>
      <c r="F89" s="371">
        <v>299.34538728825186</v>
      </c>
      <c r="G89" s="9">
        <f t="shared" si="3"/>
        <v>3.6920275788643889E-4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143.68488543999629</v>
      </c>
      <c r="G90" s="9">
        <f t="shared" si="3"/>
        <v>1.772162131897518E-4</v>
      </c>
    </row>
    <row r="91" spans="1:7" x14ac:dyDescent="0.25">
      <c r="A91">
        <v>80</v>
      </c>
      <c r="B91" s="6">
        <v>5233.4319689764998</v>
      </c>
      <c r="C91" s="9">
        <f t="shared" si="2"/>
        <v>6.3226326245861691E-3</v>
      </c>
      <c r="E91" s="371">
        <v>80</v>
      </c>
      <c r="F91" s="371">
        <v>201.429708229884</v>
      </c>
      <c r="G91" s="9">
        <f t="shared" si="3"/>
        <v>2.484367789075752E-4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210.44527710547484</v>
      </c>
      <c r="G92" s="9">
        <f t="shared" si="3"/>
        <v>2.5955628511723015E-4</v>
      </c>
    </row>
    <row r="93" spans="1:7" x14ac:dyDescent="0.25">
      <c r="A93">
        <v>82</v>
      </c>
      <c r="B93" s="6">
        <v>5586.8327977748004</v>
      </c>
      <c r="C93" s="9">
        <f t="shared" si="2"/>
        <v>6.7495845030019902E-3</v>
      </c>
      <c r="E93" s="371">
        <v>82</v>
      </c>
      <c r="F93" s="371">
        <v>191.21140849826676</v>
      </c>
      <c r="G93" s="9">
        <f t="shared" si="3"/>
        <v>2.3583386400716775E-4</v>
      </c>
    </row>
    <row r="94" spans="1:7" x14ac:dyDescent="0.25">
      <c r="A94">
        <v>83</v>
      </c>
      <c r="B94" s="6">
        <v>4737.5454665157004</v>
      </c>
      <c r="C94" s="9">
        <f t="shared" si="2"/>
        <v>5.7235404424126899E-3</v>
      </c>
      <c r="E94" s="371">
        <v>83</v>
      </c>
      <c r="F94" s="371">
        <v>178.99015675866542</v>
      </c>
      <c r="G94" s="9">
        <f t="shared" si="3"/>
        <v>2.2076057395930624E-4</v>
      </c>
    </row>
    <row r="95" spans="1:7" x14ac:dyDescent="0.25">
      <c r="A95">
        <v>84</v>
      </c>
      <c r="B95" s="6">
        <v>1122.5382264592999</v>
      </c>
      <c r="C95" s="9">
        <f t="shared" si="2"/>
        <v>1.3561649133932857E-3</v>
      </c>
      <c r="E95" s="371">
        <v>84</v>
      </c>
      <c r="F95" s="371">
        <v>283.43265958737118</v>
      </c>
      <c r="G95" s="9">
        <f t="shared" si="3"/>
        <v>3.4957652276759347E-4</v>
      </c>
    </row>
    <row r="96" spans="1:7" x14ac:dyDescent="0.25">
      <c r="A96">
        <v>85</v>
      </c>
      <c r="B96" s="6">
        <v>2026.8807861107</v>
      </c>
      <c r="C96" s="9">
        <f t="shared" si="2"/>
        <v>2.4487224942214432E-3</v>
      </c>
      <c r="E96" s="371">
        <v>85</v>
      </c>
      <c r="F96" s="371">
        <v>210.94415370127305</v>
      </c>
      <c r="G96" s="9">
        <f t="shared" si="3"/>
        <v>2.6017158310689427E-4</v>
      </c>
    </row>
    <row r="97" spans="1:7" x14ac:dyDescent="0.25">
      <c r="A97">
        <v>86</v>
      </c>
      <c r="B97" s="6">
        <v>4191.5226006486</v>
      </c>
      <c r="C97" s="9">
        <f t="shared" si="2"/>
        <v>5.0638773368317964E-3</v>
      </c>
      <c r="E97" s="371">
        <v>86</v>
      </c>
      <c r="F97" s="371">
        <v>126.74339169741012</v>
      </c>
      <c r="G97" s="9">
        <f t="shared" si="3"/>
        <v>1.5632113186198906E-4</v>
      </c>
    </row>
    <row r="98" spans="1:7" x14ac:dyDescent="0.25">
      <c r="A98">
        <v>87</v>
      </c>
      <c r="B98" s="6">
        <v>180.749366264</v>
      </c>
      <c r="C98" s="9">
        <f t="shared" si="2"/>
        <v>2.1836757347541108E-4</v>
      </c>
      <c r="E98" s="371">
        <v>87</v>
      </c>
      <c r="F98" s="371">
        <v>121.36127105353849</v>
      </c>
      <c r="G98" s="9">
        <f t="shared" si="3"/>
        <v>1.4968300122969209E-4</v>
      </c>
    </row>
    <row r="99" spans="1:7" x14ac:dyDescent="0.25">
      <c r="A99">
        <v>88</v>
      </c>
      <c r="B99" s="6">
        <v>418.03784144119999</v>
      </c>
      <c r="C99" s="9">
        <f t="shared" si="2"/>
        <v>5.0504137825347923E-4</v>
      </c>
      <c r="E99" s="371">
        <v>88</v>
      </c>
      <c r="F99" s="371">
        <v>177.48621053261579</v>
      </c>
      <c r="G99" s="9">
        <f t="shared" si="3"/>
        <v>2.1890565613544901E-4</v>
      </c>
    </row>
    <row r="100" spans="1:7" x14ac:dyDescent="0.25">
      <c r="A100">
        <v>89</v>
      </c>
      <c r="B100" s="6">
        <v>3949.6120293596</v>
      </c>
      <c r="C100" s="9">
        <f t="shared" si="2"/>
        <v>4.771619468700335E-3</v>
      </c>
      <c r="E100" s="371">
        <v>89</v>
      </c>
      <c r="F100" s="371">
        <v>98.462381995053732</v>
      </c>
      <c r="G100" s="9">
        <f t="shared" si="3"/>
        <v>1.2144026440479774E-4</v>
      </c>
    </row>
    <row r="101" spans="1:7" ht="15.75" thickBot="1" x14ac:dyDescent="0.3">
      <c r="A101" s="1">
        <v>90</v>
      </c>
      <c r="B101" s="7">
        <v>29923.610361348601</v>
      </c>
      <c r="C101" s="9">
        <f t="shared" si="2"/>
        <v>3.6151419610995418E-2</v>
      </c>
      <c r="E101" s="372">
        <v>90</v>
      </c>
      <c r="F101" s="372">
        <v>10002.309621181344</v>
      </c>
      <c r="G101" s="9">
        <f t="shared" si="3"/>
        <v>1.2336519800180485E-2</v>
      </c>
    </row>
    <row r="102" spans="1:7" x14ac:dyDescent="0.25">
      <c r="B102" s="6">
        <f>SUM(B11:B101)</f>
        <v>827729.88400841015</v>
      </c>
      <c r="C102" s="9">
        <f t="shared" si="2"/>
        <v>1</v>
      </c>
      <c r="F102" s="6">
        <f>SUM(F11:F101)</f>
        <v>810788.60028539086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2"/>
  <sheetViews>
    <sheetView workbookViewId="0">
      <selection activeCell="H11" sqref="H11"/>
    </sheetView>
  </sheetViews>
  <sheetFormatPr defaultRowHeight="15" x14ac:dyDescent="0.25"/>
  <cols>
    <col min="1" max="1" width="13.5703125" customWidth="1" collapsed="1"/>
    <col min="2" max="2" width="9.5703125" bestFit="1" customWidth="1" collapsed="1"/>
    <col min="6" max="6" width="12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88989.082289453305</v>
      </c>
      <c r="C11" s="9">
        <f>B11/B$102</f>
        <v>5.2146290719061919E-2</v>
      </c>
      <c r="E11" s="371">
        <v>0</v>
      </c>
      <c r="F11" s="371">
        <v>229341.55799117131</v>
      </c>
      <c r="G11" s="9">
        <f>F11/F$102</f>
        <v>0.13402081845571487</v>
      </c>
      <c r="K11" s="6">
        <v>6.8425498388975505</v>
      </c>
      <c r="L11" s="6">
        <v>6.969310913917087</v>
      </c>
    </row>
    <row r="12" spans="1:12" x14ac:dyDescent="0.25">
      <c r="A12">
        <v>1</v>
      </c>
      <c r="B12" s="6">
        <v>144351.97750619031</v>
      </c>
      <c r="C12" s="9">
        <f>B12/B$102</f>
        <v>8.4588131389252585E-2</v>
      </c>
      <c r="E12" s="371">
        <v>1</v>
      </c>
      <c r="F12" s="371">
        <v>182718.78890881958</v>
      </c>
      <c r="G12" s="9">
        <f>F12/F$102</f>
        <v>0.10677577082536296</v>
      </c>
      <c r="K12" s="6"/>
      <c r="L12" s="371"/>
    </row>
    <row r="13" spans="1:12" x14ac:dyDescent="0.25">
      <c r="A13">
        <v>2</v>
      </c>
      <c r="B13" s="6">
        <v>158978.2238425212</v>
      </c>
      <c r="C13" s="9">
        <f t="shared" ref="C13:C76" si="0">B13/B$102</f>
        <v>9.3158896183770726E-2</v>
      </c>
      <c r="E13" s="371">
        <v>2</v>
      </c>
      <c r="F13" s="371">
        <v>112788.79474583246</v>
      </c>
      <c r="G13" s="9">
        <f t="shared" ref="G13:G76" si="1">F13/F$102</f>
        <v>6.5910630052718161E-2</v>
      </c>
    </row>
    <row r="14" spans="1:12" x14ac:dyDescent="0.25">
      <c r="A14">
        <v>3</v>
      </c>
      <c r="B14" s="6">
        <v>169110.30440107221</v>
      </c>
      <c r="C14" s="9">
        <f t="shared" si="0"/>
        <v>9.9096146066588939E-2</v>
      </c>
      <c r="E14" s="371">
        <v>3</v>
      </c>
      <c r="F14" s="371">
        <v>70091.165967676614</v>
      </c>
      <c r="G14" s="9">
        <f t="shared" si="1"/>
        <v>4.0959325086057825E-2</v>
      </c>
    </row>
    <row r="15" spans="1:12" x14ac:dyDescent="0.25">
      <c r="A15">
        <v>4</v>
      </c>
      <c r="B15" s="6">
        <v>268965.1926010485</v>
      </c>
      <c r="C15" s="9">
        <f t="shared" si="0"/>
        <v>0.15760963891123325</v>
      </c>
      <c r="E15" s="371">
        <v>4</v>
      </c>
      <c r="F15" s="371">
        <v>243391.67888644754</v>
      </c>
      <c r="G15" s="9">
        <f t="shared" si="1"/>
        <v>0.14223131775763009</v>
      </c>
    </row>
    <row r="16" spans="1:12" x14ac:dyDescent="0.25">
      <c r="A16">
        <v>5</v>
      </c>
      <c r="B16" s="6">
        <v>180812.66857143899</v>
      </c>
      <c r="C16" s="9">
        <f t="shared" si="0"/>
        <v>0.10595355900341841</v>
      </c>
      <c r="E16" s="371">
        <v>5</v>
      </c>
      <c r="F16" s="371">
        <v>138998.02207211405</v>
      </c>
      <c r="G16" s="9">
        <f t="shared" si="1"/>
        <v>8.122657247557101E-2</v>
      </c>
    </row>
    <row r="17" spans="1:7" x14ac:dyDescent="0.25">
      <c r="A17">
        <v>6</v>
      </c>
      <c r="B17" s="6">
        <v>169934.73940243619</v>
      </c>
      <c r="C17" s="9">
        <f t="shared" si="0"/>
        <v>9.9579252827036918E-2</v>
      </c>
      <c r="E17" s="371">
        <v>6</v>
      </c>
      <c r="F17" s="371">
        <v>129385.07236346888</v>
      </c>
      <c r="G17" s="9">
        <f t="shared" si="1"/>
        <v>7.560903242303571E-2</v>
      </c>
    </row>
    <row r="18" spans="1:7" x14ac:dyDescent="0.25">
      <c r="A18">
        <v>7</v>
      </c>
      <c r="B18" s="6">
        <v>79434.488913626294</v>
      </c>
      <c r="C18" s="9">
        <f t="shared" si="0"/>
        <v>4.6547439814434169E-2</v>
      </c>
      <c r="E18" s="371">
        <v>7</v>
      </c>
      <c r="F18" s="371">
        <v>82053.328795625872</v>
      </c>
      <c r="G18" s="9">
        <f t="shared" si="1"/>
        <v>4.7949679850997566E-2</v>
      </c>
    </row>
    <row r="19" spans="1:7" x14ac:dyDescent="0.25">
      <c r="A19">
        <v>8</v>
      </c>
      <c r="B19" s="6">
        <v>65695.442065757496</v>
      </c>
      <c r="C19" s="9">
        <f t="shared" si="0"/>
        <v>3.8496560844793561E-2</v>
      </c>
      <c r="E19" s="371">
        <v>8</v>
      </c>
      <c r="F19" s="371">
        <v>94893.580131031151</v>
      </c>
      <c r="G19" s="9">
        <f t="shared" si="1"/>
        <v>5.545316508159126E-2</v>
      </c>
    </row>
    <row r="20" spans="1:7" x14ac:dyDescent="0.25">
      <c r="A20">
        <v>9</v>
      </c>
      <c r="B20" s="6">
        <v>52864.055862990703</v>
      </c>
      <c r="C20" s="9">
        <f t="shared" si="0"/>
        <v>3.0977557636269203E-2</v>
      </c>
      <c r="E20" s="371">
        <v>9</v>
      </c>
      <c r="F20" s="371">
        <v>48048.666646756355</v>
      </c>
      <c r="G20" s="9">
        <f t="shared" si="1"/>
        <v>2.8078302450321675E-2</v>
      </c>
    </row>
    <row r="21" spans="1:7" x14ac:dyDescent="0.25">
      <c r="A21">
        <v>10</v>
      </c>
      <c r="B21" s="6">
        <v>69887.936985082604</v>
      </c>
      <c r="C21" s="9">
        <f t="shared" si="0"/>
        <v>4.0953301079401275E-2</v>
      </c>
      <c r="E21" s="371">
        <v>10</v>
      </c>
      <c r="F21" s="371">
        <v>45035.198239127029</v>
      </c>
      <c r="G21" s="9">
        <f t="shared" si="1"/>
        <v>2.6317315449455179E-2</v>
      </c>
    </row>
    <row r="22" spans="1:7" x14ac:dyDescent="0.25">
      <c r="A22">
        <v>11</v>
      </c>
      <c r="B22" s="6">
        <v>20370.342574280599</v>
      </c>
      <c r="C22" s="9">
        <f t="shared" si="0"/>
        <v>1.1936720534662859E-2</v>
      </c>
      <c r="E22" s="371">
        <v>11</v>
      </c>
      <c r="F22" s="371">
        <v>39757.214300793741</v>
      </c>
      <c r="G22" s="9">
        <f t="shared" si="1"/>
        <v>2.32330086478123E-2</v>
      </c>
    </row>
    <row r="23" spans="1:7" x14ac:dyDescent="0.25">
      <c r="A23">
        <v>12</v>
      </c>
      <c r="B23" s="6">
        <v>40885.8840611204</v>
      </c>
      <c r="C23" s="9">
        <f t="shared" si="0"/>
        <v>2.3958525492174084E-2</v>
      </c>
      <c r="E23" s="371">
        <v>12</v>
      </c>
      <c r="F23" s="371">
        <v>37239.049507420525</v>
      </c>
      <c r="G23" s="9">
        <f t="shared" si="1"/>
        <v>2.1761463283028321E-2</v>
      </c>
    </row>
    <row r="24" spans="1:7" x14ac:dyDescent="0.25">
      <c r="A24">
        <v>13</v>
      </c>
      <c r="B24" s="6">
        <v>18813.9798094492</v>
      </c>
      <c r="C24" s="9">
        <f t="shared" si="0"/>
        <v>1.1024714891821885E-2</v>
      </c>
      <c r="E24" s="371">
        <v>13</v>
      </c>
      <c r="F24" s="371">
        <v>26494.365393528318</v>
      </c>
      <c r="G24" s="9">
        <f t="shared" si="1"/>
        <v>1.5482569167172592E-2</v>
      </c>
    </row>
    <row r="25" spans="1:7" x14ac:dyDescent="0.25">
      <c r="A25">
        <v>14</v>
      </c>
      <c r="B25" s="6">
        <v>16201.9636071072</v>
      </c>
      <c r="C25" s="9">
        <f t="shared" si="0"/>
        <v>9.4941118926001617E-3</v>
      </c>
      <c r="E25" s="371">
        <v>14</v>
      </c>
      <c r="F25" s="371">
        <v>27855.442309346825</v>
      </c>
      <c r="G25" s="9">
        <f t="shared" si="1"/>
        <v>1.6277944605610131E-2</v>
      </c>
    </row>
    <row r="26" spans="1:7" x14ac:dyDescent="0.25">
      <c r="A26">
        <v>15</v>
      </c>
      <c r="B26" s="6">
        <v>24241.415518187998</v>
      </c>
      <c r="C26" s="9">
        <f t="shared" si="0"/>
        <v>1.4205112228725919E-2</v>
      </c>
      <c r="E26" s="371">
        <v>15</v>
      </c>
      <c r="F26" s="371">
        <v>32410.451469711625</v>
      </c>
      <c r="G26" s="9">
        <f t="shared" si="1"/>
        <v>1.8939765084604477E-2</v>
      </c>
    </row>
    <row r="27" spans="1:7" x14ac:dyDescent="0.25">
      <c r="A27">
        <v>16</v>
      </c>
      <c r="B27" s="6">
        <v>22263.991603392602</v>
      </c>
      <c r="C27" s="9">
        <f t="shared" si="0"/>
        <v>1.3046370957517563E-2</v>
      </c>
      <c r="E27" s="371">
        <v>16</v>
      </c>
      <c r="F27" s="371">
        <v>28149.099067644132</v>
      </c>
      <c r="G27" s="9">
        <f t="shared" si="1"/>
        <v>1.6449549435701902E-2</v>
      </c>
    </row>
    <row r="28" spans="1:7" x14ac:dyDescent="0.25">
      <c r="A28">
        <v>17</v>
      </c>
      <c r="B28" s="6">
        <v>13011.907655539801</v>
      </c>
      <c r="C28" s="9">
        <f t="shared" si="0"/>
        <v>7.6247861193617693E-3</v>
      </c>
      <c r="E28" s="371">
        <v>17</v>
      </c>
      <c r="F28" s="371">
        <v>23747.937380475119</v>
      </c>
      <c r="G28" s="9">
        <f t="shared" si="1"/>
        <v>1.3877633134806132E-2</v>
      </c>
    </row>
    <row r="29" spans="1:7" x14ac:dyDescent="0.25">
      <c r="A29">
        <v>18</v>
      </c>
      <c r="B29" s="6">
        <v>10901.843719188901</v>
      </c>
      <c r="C29" s="9">
        <f t="shared" si="0"/>
        <v>6.3883197503428945E-3</v>
      </c>
      <c r="E29" s="371">
        <v>18</v>
      </c>
      <c r="F29" s="371">
        <v>16717.295275975976</v>
      </c>
      <c r="G29" s="9">
        <f t="shared" si="1"/>
        <v>9.7691217190492997E-3</v>
      </c>
    </row>
    <row r="30" spans="1:7" x14ac:dyDescent="0.25">
      <c r="A30">
        <v>19</v>
      </c>
      <c r="B30" s="6">
        <v>5698.4546146293005</v>
      </c>
      <c r="C30" s="9">
        <f t="shared" si="0"/>
        <v>3.3392104215356887E-3</v>
      </c>
      <c r="E30" s="371">
        <v>19</v>
      </c>
      <c r="F30" s="371">
        <v>11960.777293789824</v>
      </c>
      <c r="G30" s="9">
        <f t="shared" si="1"/>
        <v>6.9895450973693624E-3</v>
      </c>
    </row>
    <row r="31" spans="1:7" x14ac:dyDescent="0.25">
      <c r="A31">
        <v>20</v>
      </c>
      <c r="B31" s="6">
        <v>6297.8179559432001</v>
      </c>
      <c r="C31" s="9">
        <f t="shared" si="0"/>
        <v>3.6904285062535611E-3</v>
      </c>
      <c r="E31" s="371">
        <v>20</v>
      </c>
      <c r="F31" s="371">
        <v>11230.921494382172</v>
      </c>
      <c r="G31" s="9">
        <f t="shared" si="1"/>
        <v>6.5630376974543884E-3</v>
      </c>
    </row>
    <row r="32" spans="1:7" x14ac:dyDescent="0.25">
      <c r="A32">
        <v>21</v>
      </c>
      <c r="B32" s="6">
        <v>4027.3734591740999</v>
      </c>
      <c r="C32" s="9">
        <f t="shared" si="0"/>
        <v>2.3599814924849119E-3</v>
      </c>
      <c r="E32" s="371">
        <v>21</v>
      </c>
      <c r="F32" s="371">
        <v>9531.7693248281921</v>
      </c>
      <c r="G32" s="9">
        <f t="shared" si="1"/>
        <v>5.5701004974149856E-3</v>
      </c>
    </row>
    <row r="33" spans="1:7" x14ac:dyDescent="0.25">
      <c r="A33">
        <v>22</v>
      </c>
      <c r="B33" s="6">
        <v>4862.7571396640997</v>
      </c>
      <c r="C33" s="9">
        <f t="shared" si="0"/>
        <v>2.8495040175413851E-3</v>
      </c>
      <c r="E33" s="371">
        <v>22</v>
      </c>
      <c r="F33" s="371">
        <v>8335.6158844963174</v>
      </c>
      <c r="G33" s="9">
        <f t="shared" si="1"/>
        <v>4.8711017443060171E-3</v>
      </c>
    </row>
    <row r="34" spans="1:7" x14ac:dyDescent="0.25">
      <c r="A34">
        <v>23</v>
      </c>
      <c r="B34" s="6">
        <v>10382.759959523701</v>
      </c>
      <c r="C34" s="9">
        <f t="shared" si="0"/>
        <v>6.0841443173274079E-3</v>
      </c>
      <c r="E34" s="371">
        <v>23</v>
      </c>
      <c r="F34" s="371">
        <v>7741.2935367434138</v>
      </c>
      <c r="G34" s="9">
        <f t="shared" si="1"/>
        <v>4.5237963184161642E-3</v>
      </c>
    </row>
    <row r="35" spans="1:7" x14ac:dyDescent="0.25">
      <c r="A35">
        <v>24</v>
      </c>
      <c r="B35" s="6">
        <v>9946.7736566009007</v>
      </c>
      <c r="C35" s="9">
        <f t="shared" si="0"/>
        <v>5.8286627692899608E-3</v>
      </c>
      <c r="E35" s="371">
        <v>24</v>
      </c>
      <c r="F35" s="371">
        <v>7961.0846101933357</v>
      </c>
      <c r="G35" s="9">
        <f t="shared" si="1"/>
        <v>4.6522360997232779E-3</v>
      </c>
    </row>
    <row r="36" spans="1:7" x14ac:dyDescent="0.25">
      <c r="A36">
        <v>25</v>
      </c>
      <c r="B36" s="6">
        <v>3525.9640481339998</v>
      </c>
      <c r="C36" s="9">
        <f t="shared" si="0"/>
        <v>2.0661629672828661E-3</v>
      </c>
      <c r="E36" s="371">
        <v>25</v>
      </c>
      <c r="F36" s="371">
        <v>5682.7858739321691</v>
      </c>
      <c r="G36" s="9">
        <f t="shared" si="1"/>
        <v>3.3208617775339396E-3</v>
      </c>
    </row>
    <row r="37" spans="1:7" x14ac:dyDescent="0.25">
      <c r="A37">
        <v>26</v>
      </c>
      <c r="B37" s="6">
        <v>9469.2530238679992</v>
      </c>
      <c r="C37" s="9">
        <f t="shared" si="0"/>
        <v>5.5488427161080947E-3</v>
      </c>
      <c r="E37" s="371">
        <v>26</v>
      </c>
      <c r="F37" s="371">
        <v>4996.4007202196462</v>
      </c>
      <c r="G37" s="9">
        <f t="shared" si="1"/>
        <v>2.9197574121404457E-3</v>
      </c>
    </row>
    <row r="38" spans="1:7" x14ac:dyDescent="0.25">
      <c r="A38">
        <v>27</v>
      </c>
      <c r="B38" s="6">
        <v>2080.8308796920001</v>
      </c>
      <c r="C38" s="9">
        <f t="shared" si="0"/>
        <v>1.2193362286474592E-3</v>
      </c>
      <c r="E38" s="371">
        <v>27</v>
      </c>
      <c r="F38" s="371">
        <v>5138.1581768662609</v>
      </c>
      <c r="G38" s="9">
        <f t="shared" si="1"/>
        <v>3.0025965213206105E-3</v>
      </c>
    </row>
    <row r="39" spans="1:7" x14ac:dyDescent="0.25">
      <c r="A39">
        <v>28</v>
      </c>
      <c r="B39" s="6">
        <v>638.52520720000007</v>
      </c>
      <c r="C39" s="9">
        <f t="shared" si="0"/>
        <v>3.741663609677057E-4</v>
      </c>
      <c r="E39" s="371">
        <v>28</v>
      </c>
      <c r="F39" s="371">
        <v>3978.0525909263961</v>
      </c>
      <c r="G39" s="9">
        <f t="shared" si="1"/>
        <v>2.3246631302485375E-3</v>
      </c>
    </row>
    <row r="40" spans="1:7" x14ac:dyDescent="0.25">
      <c r="A40">
        <v>29</v>
      </c>
      <c r="B40" s="6">
        <v>1162.7322729417999</v>
      </c>
      <c r="C40" s="9">
        <f t="shared" si="0"/>
        <v>6.8134397583786163E-4</v>
      </c>
      <c r="E40" s="371">
        <v>29</v>
      </c>
      <c r="F40" s="371">
        <v>4252.2058644133313</v>
      </c>
      <c r="G40" s="9">
        <f t="shared" si="1"/>
        <v>2.4848706670633301E-3</v>
      </c>
    </row>
    <row r="41" spans="1:7" x14ac:dyDescent="0.25">
      <c r="A41">
        <v>30</v>
      </c>
      <c r="B41" s="6">
        <v>367.06063116299998</v>
      </c>
      <c r="C41" s="9">
        <f t="shared" si="0"/>
        <v>2.1509212019839728E-4</v>
      </c>
      <c r="E41" s="371">
        <v>30</v>
      </c>
      <c r="F41" s="371">
        <v>3330.8310581733381</v>
      </c>
      <c r="G41" s="9">
        <f t="shared" si="1"/>
        <v>1.9464448940880142E-3</v>
      </c>
    </row>
    <row r="42" spans="1:7" x14ac:dyDescent="0.25">
      <c r="A42">
        <v>31</v>
      </c>
      <c r="B42" s="6">
        <v>1676.0313286349999</v>
      </c>
      <c r="C42" s="9">
        <f t="shared" si="0"/>
        <v>9.8212965757951774E-4</v>
      </c>
      <c r="E42" s="371">
        <v>31</v>
      </c>
      <c r="F42" s="371">
        <v>2474.468698551424</v>
      </c>
      <c r="G42" s="9">
        <f t="shared" si="1"/>
        <v>1.4460105840724943E-3</v>
      </c>
    </row>
    <row r="43" spans="1:7" x14ac:dyDescent="0.25">
      <c r="A43">
        <v>32</v>
      </c>
      <c r="B43" s="6">
        <v>1387.7529686497001</v>
      </c>
      <c r="C43" s="9">
        <f t="shared" si="0"/>
        <v>8.132027872145511E-4</v>
      </c>
      <c r="E43" s="371">
        <v>32</v>
      </c>
      <c r="F43" s="371">
        <v>2184.4130235147454</v>
      </c>
      <c r="G43" s="9">
        <f t="shared" si="1"/>
        <v>1.2765101267343743E-3</v>
      </c>
    </row>
    <row r="44" spans="1:7" x14ac:dyDescent="0.25">
      <c r="A44">
        <v>33</v>
      </c>
      <c r="B44" s="6">
        <v>1376.8589942619999</v>
      </c>
      <c r="C44" s="9">
        <f t="shared" si="0"/>
        <v>8.068190787764841E-4</v>
      </c>
      <c r="E44" s="371">
        <v>33</v>
      </c>
      <c r="F44" s="371">
        <v>1939.9960905324006</v>
      </c>
      <c r="G44" s="9">
        <f t="shared" si="1"/>
        <v>1.1336796790403262E-3</v>
      </c>
    </row>
    <row r="45" spans="1:7" x14ac:dyDescent="0.25">
      <c r="A45">
        <v>34</v>
      </c>
      <c r="B45" s="6">
        <v>2187.712304919</v>
      </c>
      <c r="C45" s="9">
        <f t="shared" si="0"/>
        <v>1.2819671686343003E-3</v>
      </c>
      <c r="E45" s="371">
        <v>34</v>
      </c>
      <c r="F45" s="371">
        <v>1425.6285843724938</v>
      </c>
      <c r="G45" s="9">
        <f t="shared" si="1"/>
        <v>8.3309763553110147E-4</v>
      </c>
    </row>
    <row r="46" spans="1:7" x14ac:dyDescent="0.25">
      <c r="A46">
        <v>35</v>
      </c>
      <c r="B46" s="6">
        <v>1254.4259388313999</v>
      </c>
      <c r="C46" s="9">
        <f t="shared" si="0"/>
        <v>7.3507511268701973E-4</v>
      </c>
      <c r="E46" s="371">
        <v>35</v>
      </c>
      <c r="F46" s="371">
        <v>1290.1045856644355</v>
      </c>
      <c r="G46" s="9">
        <f t="shared" si="1"/>
        <v>7.5390118554472592E-4</v>
      </c>
    </row>
    <row r="47" spans="1:7" x14ac:dyDescent="0.25">
      <c r="A47">
        <v>36</v>
      </c>
      <c r="B47" s="6">
        <v>2138.1395495840002</v>
      </c>
      <c r="C47" s="9">
        <f t="shared" si="0"/>
        <v>1.2529182646009321E-3</v>
      </c>
      <c r="E47" s="371">
        <v>36</v>
      </c>
      <c r="F47" s="371">
        <v>1166.6270880665725</v>
      </c>
      <c r="G47" s="9">
        <f t="shared" si="1"/>
        <v>6.8174437526629305E-4</v>
      </c>
    </row>
    <row r="48" spans="1:7" x14ac:dyDescent="0.25">
      <c r="A48">
        <v>37</v>
      </c>
      <c r="B48" s="6">
        <v>435.6266693499</v>
      </c>
      <c r="C48" s="9">
        <f t="shared" si="0"/>
        <v>2.5527080806393265E-4</v>
      </c>
      <c r="E48" s="371">
        <v>37</v>
      </c>
      <c r="F48" s="371">
        <v>1147.0983518578244</v>
      </c>
      <c r="G48" s="9">
        <f t="shared" si="1"/>
        <v>6.703323257754505E-4</v>
      </c>
    </row>
    <row r="49" spans="1:7" x14ac:dyDescent="0.25">
      <c r="A49">
        <v>38</v>
      </c>
      <c r="B49" s="6">
        <v>697.23633098000005</v>
      </c>
      <c r="C49" s="9">
        <f t="shared" si="0"/>
        <v>4.0857021423047334E-4</v>
      </c>
      <c r="E49" s="371">
        <v>38</v>
      </c>
      <c r="F49" s="371">
        <v>881.72614132731826</v>
      </c>
      <c r="G49" s="9">
        <f t="shared" si="1"/>
        <v>5.1525619756640688E-4</v>
      </c>
    </row>
    <row r="50" spans="1:7" x14ac:dyDescent="0.25">
      <c r="A50">
        <v>39</v>
      </c>
      <c r="B50" s="6">
        <v>1276.8198686870001</v>
      </c>
      <c r="C50" s="9">
        <f t="shared" si="0"/>
        <v>7.4819762554532803E-4</v>
      </c>
      <c r="E50" s="371">
        <v>39</v>
      </c>
      <c r="F50" s="371">
        <v>936.5697181394944</v>
      </c>
      <c r="G50" s="9">
        <f t="shared" si="1"/>
        <v>5.4730525625331814E-4</v>
      </c>
    </row>
    <row r="51" spans="1:7" x14ac:dyDescent="0.25">
      <c r="A51">
        <v>40</v>
      </c>
      <c r="B51" s="6">
        <v>336.09786262199998</v>
      </c>
      <c r="C51" s="9">
        <f t="shared" si="0"/>
        <v>1.9694839415620424E-4</v>
      </c>
      <c r="E51" s="371">
        <v>40</v>
      </c>
      <c r="F51" s="371">
        <v>686.59233041175764</v>
      </c>
      <c r="G51" s="9">
        <f t="shared" si="1"/>
        <v>4.012254336858681E-4</v>
      </c>
    </row>
    <row r="52" spans="1:7" x14ac:dyDescent="0.25">
      <c r="A52">
        <v>41</v>
      </c>
      <c r="B52" s="6">
        <v>1460.3671165790001</v>
      </c>
      <c r="C52" s="9">
        <f t="shared" si="0"/>
        <v>8.5575360772893489E-4</v>
      </c>
      <c r="E52" s="371">
        <v>41</v>
      </c>
      <c r="F52" s="371">
        <v>610.73764150734587</v>
      </c>
      <c r="G52" s="9">
        <f t="shared" si="1"/>
        <v>3.5689806633160842E-4</v>
      </c>
    </row>
    <row r="53" spans="1:7" x14ac:dyDescent="0.25">
      <c r="A53">
        <v>42</v>
      </c>
      <c r="B53" s="6">
        <v>435.79943215510002</v>
      </c>
      <c r="C53" s="9">
        <f t="shared" si="0"/>
        <v>2.5537204452163765E-4</v>
      </c>
      <c r="E53" s="371">
        <v>42</v>
      </c>
      <c r="F53" s="371">
        <v>481.88811463012462</v>
      </c>
      <c r="G53" s="9">
        <f t="shared" si="1"/>
        <v>2.8160199177375793E-4</v>
      </c>
    </row>
    <row r="54" spans="1:7" x14ac:dyDescent="0.25">
      <c r="A54">
        <v>43</v>
      </c>
      <c r="B54" s="6">
        <v>1712.0919866920001</v>
      </c>
      <c r="C54" s="9">
        <f t="shared" si="0"/>
        <v>1.0032606717464531E-3</v>
      </c>
      <c r="E54" s="371">
        <v>43</v>
      </c>
      <c r="F54" s="371">
        <v>383.24646139838052</v>
      </c>
      <c r="G54" s="9">
        <f t="shared" si="1"/>
        <v>2.2395855717019571E-4</v>
      </c>
    </row>
    <row r="55" spans="1:7" x14ac:dyDescent="0.25">
      <c r="A55">
        <v>44</v>
      </c>
      <c r="B55" s="6">
        <v>4102.9624441309998</v>
      </c>
      <c r="C55" s="9">
        <f t="shared" si="0"/>
        <v>2.4042755236549406E-3</v>
      </c>
      <c r="E55" s="371">
        <v>44</v>
      </c>
      <c r="F55" s="371">
        <v>302.56842816326605</v>
      </c>
      <c r="G55" s="9">
        <f t="shared" si="1"/>
        <v>1.7681256173755091E-4</v>
      </c>
    </row>
    <row r="56" spans="1:7" x14ac:dyDescent="0.25">
      <c r="A56">
        <v>45</v>
      </c>
      <c r="B56" s="6">
        <v>0</v>
      </c>
      <c r="C56" s="9">
        <f t="shared" si="0"/>
        <v>0</v>
      </c>
      <c r="E56" s="371">
        <v>45</v>
      </c>
      <c r="F56" s="371">
        <v>332.00759738774786</v>
      </c>
      <c r="G56" s="9">
        <f t="shared" si="1"/>
        <v>1.9401599223955015E-4</v>
      </c>
    </row>
    <row r="57" spans="1:7" x14ac:dyDescent="0.25">
      <c r="A57">
        <v>46</v>
      </c>
      <c r="B57" s="6">
        <v>0</v>
      </c>
      <c r="C57" s="9">
        <f t="shared" si="0"/>
        <v>0</v>
      </c>
      <c r="E57" s="371">
        <v>46</v>
      </c>
      <c r="F57" s="371">
        <v>242.85382798037313</v>
      </c>
      <c r="G57" s="9">
        <f t="shared" si="1"/>
        <v>1.4191701266931281E-4</v>
      </c>
    </row>
    <row r="58" spans="1:7" x14ac:dyDescent="0.25">
      <c r="A58">
        <v>47</v>
      </c>
      <c r="B58" s="6">
        <v>803.50535596700001</v>
      </c>
      <c r="C58" s="9">
        <f t="shared" si="0"/>
        <v>4.7084229670210171E-4</v>
      </c>
      <c r="E58" s="371">
        <v>47</v>
      </c>
      <c r="F58" s="371">
        <v>220.2090695034795</v>
      </c>
      <c r="G58" s="9">
        <f t="shared" si="1"/>
        <v>1.2868404655803304E-4</v>
      </c>
    </row>
    <row r="59" spans="1:7" x14ac:dyDescent="0.25">
      <c r="A59">
        <v>48</v>
      </c>
      <c r="B59" s="6">
        <v>0</v>
      </c>
      <c r="C59" s="9">
        <f t="shared" si="0"/>
        <v>0</v>
      </c>
      <c r="E59" s="371">
        <v>48</v>
      </c>
      <c r="F59" s="371">
        <v>245.50011943507192</v>
      </c>
      <c r="G59" s="9">
        <f t="shared" si="1"/>
        <v>1.4346343168616081E-4</v>
      </c>
    </row>
    <row r="60" spans="1:7" x14ac:dyDescent="0.25">
      <c r="A60">
        <v>49</v>
      </c>
      <c r="B60" s="6">
        <v>667.99538554000003</v>
      </c>
      <c r="C60" s="9">
        <f t="shared" si="0"/>
        <v>3.9143545114959612E-4</v>
      </c>
      <c r="E60" s="371">
        <v>49</v>
      </c>
      <c r="F60" s="371">
        <v>181.40716578007641</v>
      </c>
      <c r="G60" s="9">
        <f t="shared" si="1"/>
        <v>1.0600929480261626E-4</v>
      </c>
    </row>
    <row r="61" spans="1:7" x14ac:dyDescent="0.25">
      <c r="A61">
        <v>50</v>
      </c>
      <c r="B61" s="6">
        <v>0</v>
      </c>
      <c r="C61" s="9">
        <f t="shared" si="0"/>
        <v>0</v>
      </c>
      <c r="E61" s="371">
        <v>50</v>
      </c>
      <c r="F61" s="371">
        <v>169.1208662004741</v>
      </c>
      <c r="G61" s="9">
        <f t="shared" si="1"/>
        <v>9.8829523548451349E-5</v>
      </c>
    </row>
    <row r="62" spans="1:7" x14ac:dyDescent="0.25">
      <c r="A62">
        <v>51</v>
      </c>
      <c r="B62" s="6">
        <v>387.67438217400002</v>
      </c>
      <c r="C62" s="9">
        <f t="shared" si="0"/>
        <v>2.2717147448967487E-4</v>
      </c>
      <c r="E62" s="371">
        <v>51</v>
      </c>
      <c r="F62" s="371">
        <v>158.53439075690503</v>
      </c>
      <c r="G62" s="9">
        <f t="shared" si="1"/>
        <v>9.2643082172819493E-5</v>
      </c>
    </row>
    <row r="63" spans="1:7" x14ac:dyDescent="0.25">
      <c r="A63">
        <v>52</v>
      </c>
      <c r="B63" s="6">
        <v>181.031838601</v>
      </c>
      <c r="C63" s="9">
        <f t="shared" si="0"/>
        <v>1.0608198941065893E-4</v>
      </c>
      <c r="E63" s="371">
        <v>52</v>
      </c>
      <c r="F63" s="371">
        <v>84.777112074138984</v>
      </c>
      <c r="G63" s="9">
        <f t="shared" si="1"/>
        <v>4.9541382931240745E-5</v>
      </c>
    </row>
    <row r="64" spans="1:7" x14ac:dyDescent="0.25">
      <c r="A64">
        <v>53</v>
      </c>
      <c r="B64" s="6">
        <v>706.81565937350001</v>
      </c>
      <c r="C64" s="9">
        <f t="shared" si="0"/>
        <v>4.1418355949091794E-4</v>
      </c>
      <c r="E64" s="371">
        <v>53</v>
      </c>
      <c r="F64" s="371">
        <v>64.25266453167518</v>
      </c>
      <c r="G64" s="9">
        <f t="shared" si="1"/>
        <v>3.754746747132103E-5</v>
      </c>
    </row>
    <row r="65" spans="1:7" x14ac:dyDescent="0.25">
      <c r="A65">
        <v>54</v>
      </c>
      <c r="B65" s="6">
        <v>1175.9043149930001</v>
      </c>
      <c r="C65" s="9">
        <f t="shared" si="0"/>
        <v>6.8906259835305292E-4</v>
      </c>
      <c r="E65" s="371">
        <v>54</v>
      </c>
      <c r="F65" s="371">
        <v>51.729323247171244</v>
      </c>
      <c r="G65" s="9">
        <f t="shared" si="1"/>
        <v>3.0229175647324296E-5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58.210027193442698</v>
      </c>
      <c r="G66" s="9">
        <f t="shared" si="1"/>
        <v>3.4016318521281387E-5</v>
      </c>
    </row>
    <row r="67" spans="1:7" x14ac:dyDescent="0.25">
      <c r="A67">
        <v>56</v>
      </c>
      <c r="B67" s="6">
        <v>1829.478686078</v>
      </c>
      <c r="C67" s="9">
        <f t="shared" si="0"/>
        <v>1.072047547565926E-3</v>
      </c>
      <c r="E67" s="371">
        <v>56</v>
      </c>
      <c r="F67" s="371">
        <v>34.528868538082129</v>
      </c>
      <c r="G67" s="9">
        <f t="shared" si="1"/>
        <v>2.0177709013390818E-5</v>
      </c>
    </row>
    <row r="68" spans="1:7" x14ac:dyDescent="0.25">
      <c r="A68">
        <v>57</v>
      </c>
      <c r="B68" s="6">
        <v>542.14004572700003</v>
      </c>
      <c r="C68" s="9">
        <f t="shared" si="0"/>
        <v>3.1768607684895973E-4</v>
      </c>
      <c r="E68" s="371">
        <v>57</v>
      </c>
      <c r="F68" s="371">
        <v>73.337101748496067</v>
      </c>
      <c r="G68" s="9">
        <f t="shared" si="1"/>
        <v>4.2856159544716466E-5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5.9090909090909101</v>
      </c>
      <c r="G69" s="9">
        <f t="shared" si="1"/>
        <v>3.4531081366250878E-6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25.49912567734156</v>
      </c>
      <c r="G70" s="9">
        <f t="shared" si="1"/>
        <v>1.4900978798242955E-5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15.49476439790576</v>
      </c>
      <c r="G71" s="9">
        <f t="shared" si="1"/>
        <v>9.0547087260379704E-6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16.19224297492849</v>
      </c>
      <c r="G72" s="9">
        <f t="shared" si="1"/>
        <v>9.4622957790199341E-6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0.25</v>
      </c>
      <c r="G73" s="9">
        <f t="shared" si="1"/>
        <v>1.4609303654952293E-7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14.97833339875182</v>
      </c>
      <c r="G74" s="9">
        <f t="shared" si="1"/>
        <v>8.7529208346991584E-6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10.034090909090899</v>
      </c>
      <c r="G75" s="9">
        <f t="shared" si="1"/>
        <v>5.8636432396922096E-6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0.25</v>
      </c>
      <c r="G76" s="9">
        <f t="shared" si="1"/>
        <v>1.4609303654952293E-7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19.980765751094701</v>
      </c>
      <c r="G77" s="9">
        <f t="shared" ref="G77:G102" si="3">F77/F$102</f>
        <v>1.1676202964648536E-5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19.99506987577637</v>
      </c>
      <c r="G78" s="9">
        <f t="shared" si="3"/>
        <v>1.1684561896688248E-5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0</v>
      </c>
      <c r="G79" s="9">
        <f t="shared" si="3"/>
        <v>0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4.9827586206896601</v>
      </c>
      <c r="G80" s="9">
        <f t="shared" si="3"/>
        <v>2.9117853491594598E-6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0</v>
      </c>
      <c r="G81" s="9">
        <f t="shared" si="3"/>
        <v>0</v>
      </c>
    </row>
    <row r="82" spans="1:7" x14ac:dyDescent="0.25">
      <c r="A82">
        <v>71</v>
      </c>
      <c r="B82" s="6">
        <v>215.69589429999999</v>
      </c>
      <c r="C82" s="9">
        <f t="shared" si="2"/>
        <v>1.263946151786408E-4</v>
      </c>
      <c r="E82" s="371">
        <v>71</v>
      </c>
      <c r="F82" s="371">
        <v>0</v>
      </c>
      <c r="G82" s="9">
        <f t="shared" si="3"/>
        <v>0</v>
      </c>
    </row>
    <row r="83" spans="1:7" x14ac:dyDescent="0.25">
      <c r="A83">
        <v>72</v>
      </c>
      <c r="B83" s="6">
        <v>4605.9932193000004</v>
      </c>
      <c r="C83" s="9">
        <f t="shared" si="2"/>
        <v>2.6990441443411955E-3</v>
      </c>
      <c r="E83" s="371">
        <v>72</v>
      </c>
      <c r="F83" s="371">
        <v>0</v>
      </c>
      <c r="G83" s="9">
        <f t="shared" si="3"/>
        <v>0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9.9978586723768696</v>
      </c>
      <c r="G84" s="9">
        <f t="shared" si="3"/>
        <v>5.8424701297620746E-6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0</v>
      </c>
      <c r="G85" s="9">
        <f t="shared" si="3"/>
        <v>0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0</v>
      </c>
      <c r="G86" s="9">
        <f t="shared" si="3"/>
        <v>0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0</v>
      </c>
      <c r="G87" s="9">
        <f t="shared" si="3"/>
        <v>0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10</v>
      </c>
      <c r="G93" s="9">
        <f t="shared" si="3"/>
        <v>5.843721461980917E-6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757.65907441399997</v>
      </c>
      <c r="C98" s="9">
        <f t="shared" si="2"/>
        <v>4.4397705138499106E-4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1706527.5604909635</v>
      </c>
      <c r="C102" s="9">
        <f t="shared" si="2"/>
        <v>1</v>
      </c>
      <c r="F102" s="6">
        <f>SUM(F11:F101)</f>
        <v>1711238.3033756334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02"/>
  <sheetViews>
    <sheetView workbookViewId="0">
      <selection activeCell="H24" sqref="H24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368.29924999999997</v>
      </c>
      <c r="C11" s="9">
        <f>B11/B$102</f>
        <v>2.1581793258237288E-4</v>
      </c>
      <c r="E11" s="371">
        <v>0</v>
      </c>
      <c r="F11" s="371">
        <v>6021.2136745166872</v>
      </c>
      <c r="G11" s="9">
        <f>F11/F$102</f>
        <v>3.5186295576946154E-3</v>
      </c>
      <c r="K11" s="6">
        <v>38.263133827731806</v>
      </c>
      <c r="L11" s="6">
        <v>25.199369240774811</v>
      </c>
    </row>
    <row r="12" spans="1:12" x14ac:dyDescent="0.25">
      <c r="A12">
        <v>1</v>
      </c>
      <c r="B12" s="6">
        <v>2411.760922769</v>
      </c>
      <c r="C12" s="9">
        <f>B12/B$102</f>
        <v>1.4132563567125416E-3</v>
      </c>
      <c r="E12" s="371">
        <v>1</v>
      </c>
      <c r="F12" s="371">
        <v>24583.033114854919</v>
      </c>
      <c r="G12" s="9">
        <f>F12/F$102</f>
        <v>1.4365639821386531E-2</v>
      </c>
      <c r="K12" s="6"/>
      <c r="L12" s="371"/>
    </row>
    <row r="13" spans="1:12" x14ac:dyDescent="0.25">
      <c r="A13">
        <v>2</v>
      </c>
      <c r="B13" s="6">
        <v>4038.5571738369999</v>
      </c>
      <c r="C13" s="9">
        <f t="shared" ref="C13:C76" si="0">B13/B$102</f>
        <v>2.3665349844541146E-3</v>
      </c>
      <c r="E13" s="371">
        <v>2</v>
      </c>
      <c r="F13" s="371">
        <v>29899.288618222199</v>
      </c>
      <c r="G13" s="9">
        <f t="shared" ref="G13:G76" si="1">F13/F$102</f>
        <v>1.7472311459626685E-2</v>
      </c>
    </row>
    <row r="14" spans="1:12" x14ac:dyDescent="0.25">
      <c r="A14">
        <v>3</v>
      </c>
      <c r="B14" s="6">
        <v>6571.0108476904006</v>
      </c>
      <c r="C14" s="9">
        <f t="shared" si="0"/>
        <v>3.8505155145574905E-3</v>
      </c>
      <c r="E14" s="371">
        <v>3</v>
      </c>
      <c r="F14" s="371">
        <v>34871.376360723021</v>
      </c>
      <c r="G14" s="9">
        <f t="shared" si="1"/>
        <v>2.0377861044797118E-2</v>
      </c>
    </row>
    <row r="15" spans="1:12" x14ac:dyDescent="0.25">
      <c r="A15">
        <v>4</v>
      </c>
      <c r="B15" s="6">
        <v>16601.603950737201</v>
      </c>
      <c r="C15" s="9">
        <f t="shared" si="0"/>
        <v>9.7282952441512076E-3</v>
      </c>
      <c r="E15" s="371">
        <v>4</v>
      </c>
      <c r="F15" s="371">
        <v>37911.720816921108</v>
      </c>
      <c r="G15" s="9">
        <f t="shared" si="1"/>
        <v>2.2154553659847063E-2</v>
      </c>
    </row>
    <row r="16" spans="1:12" x14ac:dyDescent="0.25">
      <c r="A16">
        <v>5</v>
      </c>
      <c r="B16" s="6">
        <v>16278.711525201299</v>
      </c>
      <c r="C16" s="9">
        <f t="shared" si="0"/>
        <v>9.5390850415084764E-3</v>
      </c>
      <c r="E16" s="371">
        <v>5</v>
      </c>
      <c r="F16" s="371">
        <v>40185.64764725956</v>
      </c>
      <c r="G16" s="9">
        <f t="shared" si="1"/>
        <v>2.3483373161989368E-2</v>
      </c>
    </row>
    <row r="17" spans="1:7" x14ac:dyDescent="0.25">
      <c r="A17">
        <v>6</v>
      </c>
      <c r="B17" s="6">
        <v>20724.589436695798</v>
      </c>
      <c r="C17" s="9">
        <f t="shared" si="0"/>
        <v>1.2144303975221702E-2</v>
      </c>
      <c r="E17" s="371">
        <v>6</v>
      </c>
      <c r="F17" s="371">
        <v>39288.951565867239</v>
      </c>
      <c r="G17" s="9">
        <f t="shared" si="1"/>
        <v>2.2959368948418719E-2</v>
      </c>
    </row>
    <row r="18" spans="1:7" x14ac:dyDescent="0.25">
      <c r="A18">
        <v>7</v>
      </c>
      <c r="B18" s="6">
        <v>25749.0615776126</v>
      </c>
      <c r="C18" s="9">
        <f t="shared" si="0"/>
        <v>1.5088570600175169E-2</v>
      </c>
      <c r="E18" s="371">
        <v>7</v>
      </c>
      <c r="F18" s="371">
        <v>38576.684766707978</v>
      </c>
      <c r="G18" s="9">
        <f t="shared" si="1"/>
        <v>2.2543140070328375E-2</v>
      </c>
    </row>
    <row r="19" spans="1:7" x14ac:dyDescent="0.25">
      <c r="A19">
        <v>8</v>
      </c>
      <c r="B19" s="6">
        <v>17257.353669429402</v>
      </c>
      <c r="C19" s="9">
        <f t="shared" si="0"/>
        <v>1.011255491500208E-2</v>
      </c>
      <c r="E19" s="371">
        <v>8</v>
      </c>
      <c r="F19" s="371">
        <v>37376.918044993123</v>
      </c>
      <c r="G19" s="9">
        <f t="shared" si="1"/>
        <v>2.1842029816222817E-2</v>
      </c>
    </row>
    <row r="20" spans="1:7" x14ac:dyDescent="0.25">
      <c r="A20">
        <v>9</v>
      </c>
      <c r="B20" s="6">
        <v>39041.551655352698</v>
      </c>
      <c r="C20" s="9">
        <f t="shared" si="0"/>
        <v>2.2877773883781021E-2</v>
      </c>
      <c r="E20" s="371">
        <v>9</v>
      </c>
      <c r="F20" s="371">
        <v>36778.461977718864</v>
      </c>
      <c r="G20" s="9">
        <f t="shared" si="1"/>
        <v>2.149230875978449E-2</v>
      </c>
    </row>
    <row r="21" spans="1:7" x14ac:dyDescent="0.25">
      <c r="A21">
        <v>10</v>
      </c>
      <c r="B21" s="6">
        <v>16682.669795848899</v>
      </c>
      <c r="C21" s="9">
        <f t="shared" si="0"/>
        <v>9.7757986346551241E-3</v>
      </c>
      <c r="E21" s="371">
        <v>10</v>
      </c>
      <c r="F21" s="371">
        <v>34137.570078051569</v>
      </c>
      <c r="G21" s="9">
        <f t="shared" si="1"/>
        <v>1.9949045092498757E-2</v>
      </c>
    </row>
    <row r="22" spans="1:7" x14ac:dyDescent="0.25">
      <c r="A22">
        <v>11</v>
      </c>
      <c r="B22" s="6">
        <v>14319.210166365301</v>
      </c>
      <c r="C22" s="9">
        <f t="shared" si="0"/>
        <v>8.3908461239534295E-3</v>
      </c>
      <c r="E22" s="371">
        <v>11</v>
      </c>
      <c r="F22" s="371">
        <v>31488.35122509873</v>
      </c>
      <c r="G22" s="9">
        <f t="shared" si="1"/>
        <v>1.8400915385650259E-2</v>
      </c>
    </row>
    <row r="23" spans="1:7" x14ac:dyDescent="0.25">
      <c r="A23">
        <v>12</v>
      </c>
      <c r="B23" s="6">
        <v>36046.3612831153</v>
      </c>
      <c r="C23" s="9">
        <f t="shared" si="0"/>
        <v>2.1122636468141692E-2</v>
      </c>
      <c r="E23" s="371">
        <v>12</v>
      </c>
      <c r="F23" s="371">
        <v>30339.005727476011</v>
      </c>
      <c r="G23" s="9">
        <f t="shared" si="1"/>
        <v>1.7729269890481358E-2</v>
      </c>
    </row>
    <row r="24" spans="1:7" x14ac:dyDescent="0.25">
      <c r="A24">
        <v>13</v>
      </c>
      <c r="B24" s="6">
        <v>31006.387511847202</v>
      </c>
      <c r="C24" s="9">
        <f t="shared" si="0"/>
        <v>1.8169286116262166E-2</v>
      </c>
      <c r="E24" s="371">
        <v>13</v>
      </c>
      <c r="F24" s="371">
        <v>26387.880023031124</v>
      </c>
      <c r="G24" s="9">
        <f t="shared" si="1"/>
        <v>1.5420342082676451E-2</v>
      </c>
    </row>
    <row r="25" spans="1:7" x14ac:dyDescent="0.25">
      <c r="A25">
        <v>14</v>
      </c>
      <c r="B25" s="6">
        <v>18556.994795091799</v>
      </c>
      <c r="C25" s="9">
        <f t="shared" si="0"/>
        <v>1.0874125460800061E-2</v>
      </c>
      <c r="E25" s="371">
        <v>14</v>
      </c>
      <c r="F25" s="371">
        <v>24072.478718918985</v>
      </c>
      <c r="G25" s="9">
        <f t="shared" si="1"/>
        <v>1.406728605328258E-2</v>
      </c>
    </row>
    <row r="26" spans="1:7" x14ac:dyDescent="0.25">
      <c r="A26">
        <v>15</v>
      </c>
      <c r="B26" s="6">
        <v>12120.2283892984</v>
      </c>
      <c r="C26" s="9">
        <f t="shared" si="0"/>
        <v>7.1022752107275915E-3</v>
      </c>
      <c r="E26" s="371">
        <v>15</v>
      </c>
      <c r="F26" s="371">
        <v>23913.649745029867</v>
      </c>
      <c r="G26" s="9">
        <f t="shared" si="1"/>
        <v>1.3974470824932554E-2</v>
      </c>
    </row>
    <row r="27" spans="1:7" x14ac:dyDescent="0.25">
      <c r="A27">
        <v>16</v>
      </c>
      <c r="B27" s="6">
        <v>44631.4887250049</v>
      </c>
      <c r="C27" s="9">
        <f t="shared" si="0"/>
        <v>2.6153394623269103E-2</v>
      </c>
      <c r="E27" s="371">
        <v>16</v>
      </c>
      <c r="F27" s="371">
        <v>20735.580961583943</v>
      </c>
      <c r="G27" s="9">
        <f t="shared" si="1"/>
        <v>1.21172959491851E-2</v>
      </c>
    </row>
    <row r="28" spans="1:7" x14ac:dyDescent="0.25">
      <c r="A28">
        <v>17</v>
      </c>
      <c r="B28" s="6">
        <v>25216.9409814584</v>
      </c>
      <c r="C28" s="9">
        <f t="shared" si="0"/>
        <v>1.4776755773111308E-2</v>
      </c>
      <c r="E28" s="371">
        <v>17</v>
      </c>
      <c r="F28" s="371">
        <v>19175.153050623951</v>
      </c>
      <c r="G28" s="9">
        <f t="shared" si="1"/>
        <v>1.1205425341870006E-2</v>
      </c>
    </row>
    <row r="29" spans="1:7" x14ac:dyDescent="0.25">
      <c r="A29">
        <v>18</v>
      </c>
      <c r="B29" s="6">
        <v>84915.001221767801</v>
      </c>
      <c r="C29" s="9">
        <f t="shared" si="0"/>
        <v>4.9758939256356334E-2</v>
      </c>
      <c r="E29" s="371">
        <v>18</v>
      </c>
      <c r="F29" s="371">
        <v>162916.15189372437</v>
      </c>
      <c r="G29" s="9">
        <f t="shared" si="1"/>
        <v>9.5203661332470033E-2</v>
      </c>
    </row>
    <row r="30" spans="1:7" x14ac:dyDescent="0.25">
      <c r="A30">
        <v>19</v>
      </c>
      <c r="B30" s="6">
        <v>79424.410876252296</v>
      </c>
      <c r="C30" s="9">
        <f t="shared" si="0"/>
        <v>4.6541534233061031E-2</v>
      </c>
      <c r="E30" s="371">
        <v>19</v>
      </c>
      <c r="F30" s="371">
        <v>62702.479193275773</v>
      </c>
      <c r="G30" s="9">
        <f t="shared" si="1"/>
        <v>3.6641582338115763E-2</v>
      </c>
    </row>
    <row r="31" spans="1:7" x14ac:dyDescent="0.25">
      <c r="A31">
        <v>20</v>
      </c>
      <c r="B31" s="6">
        <v>82049.990097483096</v>
      </c>
      <c r="C31" s="9">
        <f t="shared" si="0"/>
        <v>4.8080084961462641E-2</v>
      </c>
      <c r="E31" s="371">
        <v>20</v>
      </c>
      <c r="F31" s="371">
        <v>57664.02572846078</v>
      </c>
      <c r="G31" s="9">
        <f t="shared" si="1"/>
        <v>3.3697250473362611E-2</v>
      </c>
    </row>
    <row r="32" spans="1:7" x14ac:dyDescent="0.25">
      <c r="A32">
        <v>21</v>
      </c>
      <c r="B32" s="6">
        <v>68277.350192033802</v>
      </c>
      <c r="C32" s="9">
        <f t="shared" si="0"/>
        <v>4.0009520955167341E-2</v>
      </c>
      <c r="E32" s="371">
        <v>21</v>
      </c>
      <c r="F32" s="371">
        <v>82682.452628764106</v>
      </c>
      <c r="G32" s="9">
        <f t="shared" si="1"/>
        <v>4.8317322295592942E-2</v>
      </c>
    </row>
    <row r="33" spans="1:7" x14ac:dyDescent="0.25">
      <c r="A33">
        <v>22</v>
      </c>
      <c r="B33" s="6">
        <v>68910.125058940903</v>
      </c>
      <c r="C33" s="9">
        <f t="shared" si="0"/>
        <v>4.0380317701470728E-2</v>
      </c>
      <c r="E33" s="371">
        <v>22</v>
      </c>
      <c r="F33" s="371">
        <v>70094.877885808499</v>
      </c>
      <c r="G33" s="9">
        <f t="shared" si="1"/>
        <v>4.0961494227623074E-2</v>
      </c>
    </row>
    <row r="34" spans="1:7" x14ac:dyDescent="0.25">
      <c r="A34">
        <v>23</v>
      </c>
      <c r="B34" s="6">
        <v>50837.407848923802</v>
      </c>
      <c r="C34" s="9">
        <f t="shared" si="0"/>
        <v>2.978997176834227E-2</v>
      </c>
      <c r="E34" s="371">
        <v>23</v>
      </c>
      <c r="F34" s="371">
        <v>59838.933305869956</v>
      </c>
      <c r="G34" s="9">
        <f t="shared" si="1"/>
        <v>3.4968205882155705E-2</v>
      </c>
    </row>
    <row r="35" spans="1:7" x14ac:dyDescent="0.25">
      <c r="A35">
        <v>24</v>
      </c>
      <c r="B35" s="6">
        <v>41929.796830502601</v>
      </c>
      <c r="C35" s="9">
        <f t="shared" si="0"/>
        <v>2.4570242990063117E-2</v>
      </c>
      <c r="E35" s="371">
        <v>24</v>
      </c>
      <c r="F35" s="371">
        <v>50782.882600452009</v>
      </c>
      <c r="G35" s="9">
        <f t="shared" si="1"/>
        <v>2.9676102095351875E-2</v>
      </c>
    </row>
    <row r="36" spans="1:7" x14ac:dyDescent="0.25">
      <c r="A36">
        <v>25</v>
      </c>
      <c r="B36" s="6">
        <v>31284.4027934759</v>
      </c>
      <c r="C36" s="9">
        <f t="shared" si="0"/>
        <v>1.8332198973965274E-2</v>
      </c>
      <c r="E36" s="371">
        <v>25</v>
      </c>
      <c r="F36" s="371">
        <v>47940.457439820173</v>
      </c>
      <c r="G36" s="9">
        <f t="shared" si="1"/>
        <v>2.8015068003825992E-2</v>
      </c>
    </row>
    <row r="37" spans="1:7" x14ac:dyDescent="0.25">
      <c r="A37">
        <v>26</v>
      </c>
      <c r="B37" s="6">
        <v>84672.254903389301</v>
      </c>
      <c r="C37" s="9">
        <f t="shared" si="0"/>
        <v>4.9616693491331208E-2</v>
      </c>
      <c r="E37" s="371">
        <v>26</v>
      </c>
      <c r="F37" s="371">
        <v>45296.374177508456</v>
      </c>
      <c r="G37" s="9">
        <f t="shared" si="1"/>
        <v>2.6469939393102444E-2</v>
      </c>
    </row>
    <row r="38" spans="1:7" x14ac:dyDescent="0.25">
      <c r="A38">
        <v>27</v>
      </c>
      <c r="B38" s="6">
        <v>28838.155832383</v>
      </c>
      <c r="C38" s="9">
        <f t="shared" si="0"/>
        <v>1.6898734307042976E-2</v>
      </c>
      <c r="E38" s="371">
        <v>27</v>
      </c>
      <c r="F38" s="371">
        <v>31627.776634645568</v>
      </c>
      <c r="G38" s="9">
        <f t="shared" si="1"/>
        <v>1.8482391711461692E-2</v>
      </c>
    </row>
    <row r="39" spans="1:7" x14ac:dyDescent="0.25">
      <c r="A39">
        <v>28</v>
      </c>
      <c r="B39" s="6">
        <v>22226.676152254899</v>
      </c>
      <c r="C39" s="9">
        <f t="shared" si="0"/>
        <v>1.3024504653098215E-2</v>
      </c>
      <c r="E39" s="371">
        <v>28</v>
      </c>
      <c r="F39" s="371">
        <v>36261.516599790244</v>
      </c>
      <c r="G39" s="9">
        <f t="shared" si="1"/>
        <v>2.1190220279817158E-2</v>
      </c>
    </row>
    <row r="40" spans="1:7" x14ac:dyDescent="0.25">
      <c r="A40">
        <v>29</v>
      </c>
      <c r="B40" s="6">
        <v>43361.808919700001</v>
      </c>
      <c r="C40" s="9">
        <f t="shared" si="0"/>
        <v>2.5409380969636922E-2</v>
      </c>
      <c r="E40" s="371">
        <v>29</v>
      </c>
      <c r="F40" s="371">
        <v>36504.284309789713</v>
      </c>
      <c r="G40" s="9">
        <f t="shared" si="1"/>
        <v>2.1332086967537144E-2</v>
      </c>
    </row>
    <row r="41" spans="1:7" x14ac:dyDescent="0.25">
      <c r="A41">
        <v>30</v>
      </c>
      <c r="B41" s="6">
        <v>25489.211956623498</v>
      </c>
      <c r="C41" s="9">
        <f t="shared" si="0"/>
        <v>1.493630255188514E-2</v>
      </c>
      <c r="E41" s="371">
        <v>30</v>
      </c>
      <c r="F41" s="371">
        <v>35345.998482502597</v>
      </c>
      <c r="G41" s="9">
        <f t="shared" si="1"/>
        <v>2.0655216992734541E-2</v>
      </c>
    </row>
    <row r="42" spans="1:7" x14ac:dyDescent="0.25">
      <c r="A42">
        <v>31</v>
      </c>
      <c r="B42" s="6">
        <v>23761.499522065402</v>
      </c>
      <c r="C42" s="9">
        <f t="shared" si="0"/>
        <v>1.3923888527900061E-2</v>
      </c>
      <c r="E42" s="371">
        <v>31</v>
      </c>
      <c r="F42" s="371">
        <v>29189.712485880533</v>
      </c>
      <c r="G42" s="9">
        <f t="shared" si="1"/>
        <v>1.7057654932279245E-2</v>
      </c>
    </row>
    <row r="43" spans="1:7" x14ac:dyDescent="0.25">
      <c r="A43">
        <v>32</v>
      </c>
      <c r="B43" s="6">
        <v>19434.931121753099</v>
      </c>
      <c r="C43" s="9">
        <f t="shared" si="0"/>
        <v>1.1388583209380881E-2</v>
      </c>
      <c r="E43" s="371">
        <v>32</v>
      </c>
      <c r="F43" s="371">
        <v>22272.577529922506</v>
      </c>
      <c r="G43" s="9">
        <f t="shared" si="1"/>
        <v>1.301547393252421E-2</v>
      </c>
    </row>
    <row r="44" spans="1:7" x14ac:dyDescent="0.25">
      <c r="A44">
        <v>33</v>
      </c>
      <c r="B44" s="6">
        <v>13879.9921380944</v>
      </c>
      <c r="C44" s="9">
        <f t="shared" si="0"/>
        <v>8.13347083249049E-3</v>
      </c>
      <c r="E44" s="371">
        <v>33</v>
      </c>
      <c r="F44" s="371">
        <v>30266.871284258683</v>
      </c>
      <c r="G44" s="9">
        <f t="shared" si="1"/>
        <v>1.7687116531083642E-2</v>
      </c>
    </row>
    <row r="45" spans="1:7" x14ac:dyDescent="0.25">
      <c r="A45">
        <v>34</v>
      </c>
      <c r="B45" s="6">
        <v>23300.518411095702</v>
      </c>
      <c r="C45" s="9">
        <f t="shared" si="0"/>
        <v>1.3653760390715405E-2</v>
      </c>
      <c r="E45" s="371">
        <v>34</v>
      </c>
      <c r="F45" s="371">
        <v>24705.262896193974</v>
      </c>
      <c r="G45" s="9">
        <f t="shared" si="1"/>
        <v>1.4437067501036958E-2</v>
      </c>
    </row>
    <row r="46" spans="1:7" x14ac:dyDescent="0.25">
      <c r="A46">
        <v>35</v>
      </c>
      <c r="B46" s="6">
        <v>19565.3307746215</v>
      </c>
      <c r="C46" s="9">
        <f t="shared" si="0"/>
        <v>1.1464995484158842E-2</v>
      </c>
      <c r="E46" s="371">
        <v>35</v>
      </c>
      <c r="F46" s="371">
        <v>21994.151969398976</v>
      </c>
      <c r="G46" s="9">
        <f t="shared" si="1"/>
        <v>1.2852769790164668E-2</v>
      </c>
    </row>
    <row r="47" spans="1:7" x14ac:dyDescent="0.25">
      <c r="A47">
        <v>36</v>
      </c>
      <c r="B47" s="6">
        <v>19454.991889252298</v>
      </c>
      <c r="C47" s="9">
        <f t="shared" si="0"/>
        <v>1.1400338523483999E-2</v>
      </c>
      <c r="E47" s="371">
        <v>36</v>
      </c>
      <c r="F47" s="371">
        <v>18292.107586339975</v>
      </c>
      <c r="G47" s="9">
        <f t="shared" si="1"/>
        <v>1.0689398168715888E-2</v>
      </c>
    </row>
    <row r="48" spans="1:7" x14ac:dyDescent="0.25">
      <c r="A48">
        <v>37</v>
      </c>
      <c r="B48" s="6">
        <v>17439.143684639199</v>
      </c>
      <c r="C48" s="9">
        <f t="shared" si="0"/>
        <v>1.0219081184731646E-2</v>
      </c>
      <c r="E48" s="371">
        <v>37</v>
      </c>
      <c r="F48" s="371">
        <v>15029.653461900723</v>
      </c>
      <c r="G48" s="9">
        <f t="shared" si="1"/>
        <v>8.7829108501445066E-3</v>
      </c>
    </row>
    <row r="49" spans="1:7" x14ac:dyDescent="0.25">
      <c r="A49">
        <v>38</v>
      </c>
      <c r="B49" s="6">
        <v>18335.153339625802</v>
      </c>
      <c r="C49" s="9">
        <f t="shared" si="0"/>
        <v>1.0744129637350145E-2</v>
      </c>
      <c r="E49" s="371">
        <v>38</v>
      </c>
      <c r="F49" s="371">
        <v>14300.567519012089</v>
      </c>
      <c r="G49" s="9">
        <f t="shared" si="1"/>
        <v>8.3568533329358152E-3</v>
      </c>
    </row>
    <row r="50" spans="1:7" x14ac:dyDescent="0.25">
      <c r="A50">
        <v>39</v>
      </c>
      <c r="B50" s="6">
        <v>4167.0391510542004</v>
      </c>
      <c r="C50" s="9">
        <f t="shared" si="0"/>
        <v>2.4418235295627774E-3</v>
      </c>
      <c r="E50" s="371">
        <v>39</v>
      </c>
      <c r="F50" s="371">
        <v>15484.226089649039</v>
      </c>
      <c r="G50" s="9">
        <f t="shared" si="1"/>
        <v>9.048550432224696E-3</v>
      </c>
    </row>
    <row r="51" spans="1:7" x14ac:dyDescent="0.25">
      <c r="A51">
        <v>40</v>
      </c>
      <c r="B51" s="6">
        <v>7278.7932509961001</v>
      </c>
      <c r="C51" s="9">
        <f t="shared" si="0"/>
        <v>4.2652655717450071E-3</v>
      </c>
      <c r="E51" s="371">
        <v>40</v>
      </c>
      <c r="F51" s="371">
        <v>19494.590770339659</v>
      </c>
      <c r="G51" s="9">
        <f t="shared" si="1"/>
        <v>1.1392095847716898E-2</v>
      </c>
    </row>
    <row r="52" spans="1:7" x14ac:dyDescent="0.25">
      <c r="A52">
        <v>41</v>
      </c>
      <c r="B52" s="6">
        <v>5349.7895883290003</v>
      </c>
      <c r="C52" s="9">
        <f t="shared" si="0"/>
        <v>3.134897854676241E-3</v>
      </c>
      <c r="E52" s="371">
        <v>41</v>
      </c>
      <c r="F52" s="371">
        <v>10341.953929018875</v>
      </c>
      <c r="G52" s="9">
        <f t="shared" si="1"/>
        <v>6.0435498133825484E-3</v>
      </c>
    </row>
    <row r="53" spans="1:7" x14ac:dyDescent="0.25">
      <c r="A53">
        <v>42</v>
      </c>
      <c r="B53" s="6">
        <v>8051.5280820192002</v>
      </c>
      <c r="C53" s="9">
        <f t="shared" si="0"/>
        <v>4.7180767943195701E-3</v>
      </c>
      <c r="E53" s="371">
        <v>42</v>
      </c>
      <c r="F53" s="371">
        <v>9227.04210488838</v>
      </c>
      <c r="G53" s="9">
        <f t="shared" si="1"/>
        <v>5.3920263978937816E-3</v>
      </c>
    </row>
    <row r="54" spans="1:7" x14ac:dyDescent="0.25">
      <c r="A54">
        <v>43</v>
      </c>
      <c r="B54" s="6">
        <v>3386.0244571352</v>
      </c>
      <c r="C54" s="9">
        <f t="shared" si="0"/>
        <v>1.9841604293581111E-3</v>
      </c>
      <c r="E54" s="371">
        <v>43</v>
      </c>
      <c r="F54" s="371">
        <v>9315.9164498707287</v>
      </c>
      <c r="G54" s="9">
        <f t="shared" si="1"/>
        <v>5.4439620896130662E-3</v>
      </c>
    </row>
    <row r="55" spans="1:7" x14ac:dyDescent="0.25">
      <c r="A55">
        <v>44</v>
      </c>
      <c r="B55" s="6">
        <v>2497.7442771053002</v>
      </c>
      <c r="C55" s="9">
        <f t="shared" si="0"/>
        <v>1.463641335148848E-3</v>
      </c>
      <c r="E55" s="371">
        <v>44</v>
      </c>
      <c r="F55" s="371">
        <v>8914.8374030376599</v>
      </c>
      <c r="G55" s="9">
        <f t="shared" si="1"/>
        <v>5.2095826662201406E-3</v>
      </c>
    </row>
    <row r="56" spans="1:7" x14ac:dyDescent="0.25">
      <c r="A56">
        <v>45</v>
      </c>
      <c r="B56" s="6">
        <v>53948.408006204103</v>
      </c>
      <c r="C56" s="9">
        <f t="shared" si="0"/>
        <v>3.1612972011236251E-2</v>
      </c>
      <c r="E56" s="371">
        <v>45</v>
      </c>
      <c r="F56" s="371">
        <v>9179.6577853309536</v>
      </c>
      <c r="G56" s="9">
        <f t="shared" si="1"/>
        <v>5.3643363213778722E-3</v>
      </c>
    </row>
    <row r="57" spans="1:7" x14ac:dyDescent="0.25">
      <c r="A57">
        <v>46</v>
      </c>
      <c r="B57" s="6">
        <v>6923.3587785404998</v>
      </c>
      <c r="C57" s="9">
        <f t="shared" si="0"/>
        <v>4.0569862092052402E-3</v>
      </c>
      <c r="E57" s="371">
        <v>46</v>
      </c>
      <c r="F57" s="371">
        <v>8483.0603477232344</v>
      </c>
      <c r="G57" s="9">
        <f t="shared" si="1"/>
        <v>4.9572641817269576E-3</v>
      </c>
    </row>
    <row r="58" spans="1:7" x14ac:dyDescent="0.25">
      <c r="A58">
        <v>47</v>
      </c>
      <c r="B58" s="6">
        <v>3929.6750976079002</v>
      </c>
      <c r="C58" s="9">
        <f t="shared" si="0"/>
        <v>2.3027316924652207E-3</v>
      </c>
      <c r="E58" s="371">
        <v>47</v>
      </c>
      <c r="F58" s="371">
        <v>6682.7399305086865</v>
      </c>
      <c r="G58" s="9">
        <f t="shared" si="1"/>
        <v>3.9052070756750482E-3</v>
      </c>
    </row>
    <row r="59" spans="1:7" x14ac:dyDescent="0.25">
      <c r="A59">
        <v>48</v>
      </c>
      <c r="B59" s="6">
        <v>17507.042086426602</v>
      </c>
      <c r="C59" s="9">
        <f t="shared" si="0"/>
        <v>1.0258868647506563E-2</v>
      </c>
      <c r="E59" s="371">
        <v>48</v>
      </c>
      <c r="F59" s="371">
        <v>8056.6870767706214</v>
      </c>
      <c r="G59" s="9">
        <f t="shared" si="1"/>
        <v>4.7081035182988786E-3</v>
      </c>
    </row>
    <row r="60" spans="1:7" x14ac:dyDescent="0.25">
      <c r="A60">
        <v>49</v>
      </c>
      <c r="B60" s="6">
        <v>7260.8377199875003</v>
      </c>
      <c r="C60" s="9">
        <f t="shared" si="0"/>
        <v>4.2547438951988431E-3</v>
      </c>
      <c r="E60" s="371">
        <v>49</v>
      </c>
      <c r="F60" s="371">
        <v>5237.6973294269583</v>
      </c>
      <c r="G60" s="9">
        <f t="shared" si="1"/>
        <v>3.0607644295332454E-3</v>
      </c>
    </row>
    <row r="61" spans="1:7" x14ac:dyDescent="0.25">
      <c r="A61">
        <v>50</v>
      </c>
      <c r="B61" s="6">
        <v>745.499793006</v>
      </c>
      <c r="C61" s="9">
        <f t="shared" si="0"/>
        <v>4.3685189168085967E-4</v>
      </c>
      <c r="E61" s="371">
        <v>50</v>
      </c>
      <c r="F61" s="371">
        <v>4787.1072055749619</v>
      </c>
      <c r="G61" s="9">
        <f t="shared" si="1"/>
        <v>2.7974521118021905E-3</v>
      </c>
    </row>
    <row r="62" spans="1:7" x14ac:dyDescent="0.25">
      <c r="A62">
        <v>51</v>
      </c>
      <c r="B62" s="6">
        <v>10964.093927625401</v>
      </c>
      <c r="C62" s="9">
        <f t="shared" si="0"/>
        <v>6.4247974550560799E-3</v>
      </c>
      <c r="E62" s="371">
        <v>51</v>
      </c>
      <c r="F62" s="371">
        <v>5698.451989284782</v>
      </c>
      <c r="G62" s="9">
        <f t="shared" si="1"/>
        <v>3.3300166189851339E-3</v>
      </c>
    </row>
    <row r="63" spans="1:7" x14ac:dyDescent="0.25">
      <c r="A63">
        <v>52</v>
      </c>
      <c r="B63" s="6">
        <v>4978.2120747737999</v>
      </c>
      <c r="C63" s="9">
        <f t="shared" si="0"/>
        <v>2.9171589079648864E-3</v>
      </c>
      <c r="E63" s="371">
        <v>52</v>
      </c>
      <c r="F63" s="371">
        <v>4150.7220341241773</v>
      </c>
      <c r="G63" s="9">
        <f t="shared" si="1"/>
        <v>2.4255663433528549E-3</v>
      </c>
    </row>
    <row r="64" spans="1:7" x14ac:dyDescent="0.25">
      <c r="A64">
        <v>53</v>
      </c>
      <c r="B64" s="6">
        <v>1480.5867408828999</v>
      </c>
      <c r="C64" s="9">
        <f t="shared" si="0"/>
        <v>8.6760200957840912E-4</v>
      </c>
      <c r="E64" s="371">
        <v>53</v>
      </c>
      <c r="F64" s="371">
        <v>4354.3545779788619</v>
      </c>
      <c r="G64" s="9">
        <f t="shared" si="1"/>
        <v>2.5445635300409939E-3</v>
      </c>
    </row>
    <row r="65" spans="1:7" x14ac:dyDescent="0.25">
      <c r="A65">
        <v>54</v>
      </c>
      <c r="B65" s="6">
        <v>22755.619428005801</v>
      </c>
      <c r="C65" s="9">
        <f t="shared" si="0"/>
        <v>1.3334457617232429E-2</v>
      </c>
      <c r="E65" s="371">
        <v>54</v>
      </c>
      <c r="F65" s="371">
        <v>3076.2101133769247</v>
      </c>
      <c r="G65" s="9">
        <f t="shared" si="1"/>
        <v>1.7976515061103489E-3</v>
      </c>
    </row>
    <row r="66" spans="1:7" x14ac:dyDescent="0.25">
      <c r="A66">
        <v>55</v>
      </c>
      <c r="B66" s="6">
        <v>334.505088392</v>
      </c>
      <c r="C66" s="9">
        <f t="shared" si="0"/>
        <v>1.9601505193139911E-4</v>
      </c>
      <c r="E66" s="371">
        <v>55</v>
      </c>
      <c r="F66" s="371">
        <v>3312.0834384793807</v>
      </c>
      <c r="G66" s="9">
        <f t="shared" si="1"/>
        <v>1.9354893073313512E-3</v>
      </c>
    </row>
    <row r="67" spans="1:7" x14ac:dyDescent="0.25">
      <c r="A67">
        <v>56</v>
      </c>
      <c r="B67" s="6">
        <v>8196.8429289002997</v>
      </c>
      <c r="C67" s="9">
        <f t="shared" si="0"/>
        <v>4.8032291529719511E-3</v>
      </c>
      <c r="E67" s="371">
        <v>56</v>
      </c>
      <c r="F67" s="371">
        <v>4593.6275472572934</v>
      </c>
      <c r="G67" s="9">
        <f t="shared" si="1"/>
        <v>2.684387988625421E-3</v>
      </c>
    </row>
    <row r="68" spans="1:7" x14ac:dyDescent="0.25">
      <c r="A68">
        <v>57</v>
      </c>
      <c r="B68" s="6">
        <v>2037.2240373599998</v>
      </c>
      <c r="C68" s="9">
        <f t="shared" si="0"/>
        <v>1.1937832617094659E-3</v>
      </c>
      <c r="E68" s="371">
        <v>57</v>
      </c>
      <c r="F68" s="371">
        <v>2753.8365206646113</v>
      </c>
      <c r="G68" s="9">
        <f t="shared" si="1"/>
        <v>1.6092653578594646E-3</v>
      </c>
    </row>
    <row r="69" spans="1:7" x14ac:dyDescent="0.25">
      <c r="A69">
        <v>58</v>
      </c>
      <c r="B69" s="6">
        <v>3553.0490430719997</v>
      </c>
      <c r="C69" s="9">
        <f t="shared" si="0"/>
        <v>2.0820343751435208E-3</v>
      </c>
      <c r="E69" s="371">
        <v>58</v>
      </c>
      <c r="F69" s="371">
        <v>3447.6732833842666</v>
      </c>
      <c r="G69" s="9">
        <f t="shared" si="1"/>
        <v>2.0147242360010857E-3</v>
      </c>
    </row>
    <row r="70" spans="1:7" x14ac:dyDescent="0.25">
      <c r="A70">
        <v>59</v>
      </c>
      <c r="B70" s="6">
        <v>19937.523789111601</v>
      </c>
      <c r="C70" s="9">
        <f t="shared" si="0"/>
        <v>1.1683095105346925E-2</v>
      </c>
      <c r="E70" s="371">
        <v>59</v>
      </c>
      <c r="F70" s="371">
        <v>2693.1682533670537</v>
      </c>
      <c r="G70" s="9">
        <f t="shared" si="1"/>
        <v>1.5738125122926716E-3</v>
      </c>
    </row>
    <row r="71" spans="1:7" x14ac:dyDescent="0.25">
      <c r="A71">
        <v>60</v>
      </c>
      <c r="B71" s="6">
        <v>15085.353204798701</v>
      </c>
      <c r="C71" s="9">
        <f t="shared" si="0"/>
        <v>8.8397946532188954E-3</v>
      </c>
      <c r="E71" s="371">
        <v>60</v>
      </c>
      <c r="F71" s="371">
        <v>2523.4230929734795</v>
      </c>
      <c r="G71" s="9">
        <f t="shared" si="1"/>
        <v>1.4746181686067393E-3</v>
      </c>
    </row>
    <row r="72" spans="1:7" x14ac:dyDescent="0.25">
      <c r="A72">
        <v>61</v>
      </c>
      <c r="B72" s="6">
        <v>10052.4940107454</v>
      </c>
      <c r="C72" s="9">
        <f t="shared" si="0"/>
        <v>5.8906133387340819E-3</v>
      </c>
      <c r="E72" s="371">
        <v>61</v>
      </c>
      <c r="F72" s="371">
        <v>2125.4576201055584</v>
      </c>
      <c r="G72" s="9">
        <f t="shared" si="1"/>
        <v>1.2420582311141737E-3</v>
      </c>
    </row>
    <row r="73" spans="1:7" x14ac:dyDescent="0.25">
      <c r="A73">
        <v>62</v>
      </c>
      <c r="B73" s="6">
        <v>2169.815863151</v>
      </c>
      <c r="C73" s="9">
        <f t="shared" si="0"/>
        <v>1.2714801175122833E-3</v>
      </c>
      <c r="E73" s="371">
        <v>62</v>
      </c>
      <c r="F73" s="371">
        <v>2685.2921753313894</v>
      </c>
      <c r="G73" s="9">
        <f t="shared" si="1"/>
        <v>1.5692099516673467E-3</v>
      </c>
    </row>
    <row r="74" spans="1:7" x14ac:dyDescent="0.25">
      <c r="A74">
        <v>63</v>
      </c>
      <c r="B74" s="6">
        <v>210.14965919100001</v>
      </c>
      <c r="C74" s="9">
        <f t="shared" si="0"/>
        <v>1.2314460314402455E-4</v>
      </c>
      <c r="E74" s="371">
        <v>63</v>
      </c>
      <c r="F74" s="371">
        <v>2287.1152677908876</v>
      </c>
      <c r="G74" s="9">
        <f t="shared" si="1"/>
        <v>1.3365264576413844E-3</v>
      </c>
    </row>
    <row r="75" spans="1:7" x14ac:dyDescent="0.25">
      <c r="A75">
        <v>64</v>
      </c>
      <c r="B75" s="6">
        <v>909.11516691099996</v>
      </c>
      <c r="C75" s="9">
        <f t="shared" si="0"/>
        <v>5.3272808945989132E-4</v>
      </c>
      <c r="E75" s="371">
        <v>64</v>
      </c>
      <c r="F75" s="371">
        <v>1858.3977295967779</v>
      </c>
      <c r="G75" s="9">
        <f t="shared" si="1"/>
        <v>1.0859958697341302E-3</v>
      </c>
    </row>
    <row r="76" spans="1:7" x14ac:dyDescent="0.25">
      <c r="A76">
        <v>65</v>
      </c>
      <c r="B76" s="6">
        <v>927.89834199400002</v>
      </c>
      <c r="C76" s="9">
        <f t="shared" si="0"/>
        <v>5.4373475323600767E-4</v>
      </c>
      <c r="E76" s="371">
        <v>65</v>
      </c>
      <c r="F76" s="371">
        <v>1584.9039539772705</v>
      </c>
      <c r="G76" s="9">
        <f t="shared" si="1"/>
        <v>9.2617372510353925E-4</v>
      </c>
    </row>
    <row r="77" spans="1:7" x14ac:dyDescent="0.25">
      <c r="A77">
        <v>66</v>
      </c>
      <c r="B77" s="6">
        <v>1452.8002120159999</v>
      </c>
      <c r="C77" s="9">
        <f t="shared" ref="C77:C102" si="2">B77/B$102</f>
        <v>8.5131951317448003E-4</v>
      </c>
      <c r="E77" s="371">
        <v>66</v>
      </c>
      <c r="F77" s="371">
        <v>1549.9973710188847</v>
      </c>
      <c r="G77" s="9">
        <f t="shared" ref="G77:G102" si="3">F77/F$102</f>
        <v>9.057752903037056E-4</v>
      </c>
    </row>
    <row r="78" spans="1:7" x14ac:dyDescent="0.25">
      <c r="A78">
        <v>67</v>
      </c>
      <c r="B78" s="6">
        <v>437.38925527129999</v>
      </c>
      <c r="C78" s="9">
        <f t="shared" si="2"/>
        <v>2.5630365743724894E-4</v>
      </c>
      <c r="E78" s="371">
        <v>67</v>
      </c>
      <c r="F78" s="371">
        <v>1513.623085976142</v>
      </c>
      <c r="G78" s="9">
        <f t="shared" si="3"/>
        <v>8.8451917128685694E-4</v>
      </c>
    </row>
    <row r="79" spans="1:7" x14ac:dyDescent="0.25">
      <c r="A79">
        <v>68</v>
      </c>
      <c r="B79" s="6">
        <v>216.45170917600001</v>
      </c>
      <c r="C79" s="9">
        <f t="shared" si="2"/>
        <v>1.2683751155693462E-4</v>
      </c>
      <c r="E79" s="371">
        <v>68</v>
      </c>
      <c r="F79" s="371">
        <v>1357.3567659174723</v>
      </c>
      <c r="G79" s="9">
        <f t="shared" si="3"/>
        <v>7.9320148645569419E-4</v>
      </c>
    </row>
    <row r="80" spans="1:7" x14ac:dyDescent="0.25">
      <c r="A80">
        <v>69</v>
      </c>
      <c r="B80" s="6">
        <v>6926.1072900615</v>
      </c>
      <c r="C80" s="9">
        <f t="shared" si="2"/>
        <v>4.0585967964495559E-3</v>
      </c>
      <c r="E80" s="371">
        <v>69</v>
      </c>
      <c r="F80" s="371">
        <v>1275.708159264881</v>
      </c>
      <c r="G80" s="9">
        <f t="shared" si="3"/>
        <v>7.4548831495203569E-4</v>
      </c>
    </row>
    <row r="81" spans="1:7" x14ac:dyDescent="0.25">
      <c r="A81">
        <v>70</v>
      </c>
      <c r="B81" s="6">
        <v>4848.6279832350001</v>
      </c>
      <c r="C81" s="9">
        <f t="shared" si="2"/>
        <v>2.8412245401064976E-3</v>
      </c>
      <c r="E81" s="371">
        <v>70</v>
      </c>
      <c r="F81" s="371">
        <v>1323.5549591615033</v>
      </c>
      <c r="G81" s="9">
        <f t="shared" si="3"/>
        <v>7.7344865209633552E-4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1260.1034596312122</v>
      </c>
      <c r="G82" s="9">
        <f t="shared" si="3"/>
        <v>7.3636936313633205E-4</v>
      </c>
    </row>
    <row r="83" spans="1:7" x14ac:dyDescent="0.25">
      <c r="A83">
        <v>72</v>
      </c>
      <c r="B83" s="6">
        <v>22938.652547129201</v>
      </c>
      <c r="C83" s="9">
        <f t="shared" si="2"/>
        <v>1.3441712327534759E-2</v>
      </c>
      <c r="E83" s="371">
        <v>72</v>
      </c>
      <c r="F83" s="371">
        <v>1191.6645014870712</v>
      </c>
      <c r="G83" s="9">
        <f t="shared" si="3"/>
        <v>6.96375542282079E-4</v>
      </c>
    </row>
    <row r="84" spans="1:7" x14ac:dyDescent="0.25">
      <c r="A84">
        <v>73</v>
      </c>
      <c r="B84" s="6">
        <v>670.27665725600002</v>
      </c>
      <c r="C84" s="9">
        <f t="shared" si="2"/>
        <v>3.9277224275426482E-4</v>
      </c>
      <c r="E84" s="371">
        <v>73</v>
      </c>
      <c r="F84" s="371">
        <v>1241.9160172891659</v>
      </c>
      <c r="G84" s="9">
        <f t="shared" si="3"/>
        <v>7.2574112842105636E-4</v>
      </c>
    </row>
    <row r="85" spans="1:7" x14ac:dyDescent="0.25">
      <c r="A85">
        <v>74</v>
      </c>
      <c r="B85" s="6">
        <v>6789.006051028</v>
      </c>
      <c r="C85" s="9">
        <f t="shared" si="2"/>
        <v>3.9782574909454273E-3</v>
      </c>
      <c r="E85" s="371">
        <v>74</v>
      </c>
      <c r="F85" s="371">
        <v>903.75443794661521</v>
      </c>
      <c r="G85" s="9">
        <f t="shared" si="3"/>
        <v>5.2812892053891375E-4</v>
      </c>
    </row>
    <row r="86" spans="1:7" x14ac:dyDescent="0.25">
      <c r="A86">
        <v>75</v>
      </c>
      <c r="B86" s="6">
        <v>7010.7300745952998</v>
      </c>
      <c r="C86" s="9">
        <f t="shared" si="2"/>
        <v>4.1081845010333918E-3</v>
      </c>
      <c r="E86" s="371">
        <v>75</v>
      </c>
      <c r="F86" s="371">
        <v>1046.596907487221</v>
      </c>
      <c r="G86" s="9">
        <f t="shared" si="3"/>
        <v>6.1160208103259311E-4</v>
      </c>
    </row>
    <row r="87" spans="1:7" x14ac:dyDescent="0.25">
      <c r="A87">
        <v>76</v>
      </c>
      <c r="B87" s="6">
        <v>9914.513539693</v>
      </c>
      <c r="C87" s="9">
        <f t="shared" si="2"/>
        <v>5.8097588162248151E-3</v>
      </c>
      <c r="E87" s="371">
        <v>76</v>
      </c>
      <c r="F87" s="371">
        <v>910.35994183035768</v>
      </c>
      <c r="G87" s="9">
        <f t="shared" si="3"/>
        <v>5.3198899302017613E-4</v>
      </c>
    </row>
    <row r="88" spans="1:7" x14ac:dyDescent="0.25">
      <c r="A88">
        <v>77</v>
      </c>
      <c r="B88" s="6">
        <v>1693.4946664940001</v>
      </c>
      <c r="C88" s="9">
        <f t="shared" si="2"/>
        <v>9.9236291619385635E-4</v>
      </c>
      <c r="E88" s="371">
        <v>77</v>
      </c>
      <c r="F88" s="371">
        <v>669.92811917370182</v>
      </c>
      <c r="G88" s="9">
        <f t="shared" si="3"/>
        <v>3.9148733279998715E-4</v>
      </c>
    </row>
    <row r="89" spans="1:7" x14ac:dyDescent="0.25">
      <c r="A89">
        <v>78</v>
      </c>
      <c r="B89" s="6">
        <v>3658.3360445950002</v>
      </c>
      <c r="C89" s="9">
        <f t="shared" si="2"/>
        <v>2.1437310063381026E-3</v>
      </c>
      <c r="E89" s="371">
        <v>78</v>
      </c>
      <c r="F89" s="371">
        <v>716.52125322103097</v>
      </c>
      <c r="G89" s="9">
        <f t="shared" si="3"/>
        <v>4.1871506254132027E-4</v>
      </c>
    </row>
    <row r="90" spans="1:7" x14ac:dyDescent="0.25">
      <c r="A90">
        <v>79</v>
      </c>
      <c r="B90" s="6">
        <v>815.65893133999998</v>
      </c>
      <c r="C90" s="9">
        <f t="shared" si="2"/>
        <v>4.7796411275381756E-4</v>
      </c>
      <c r="E90" s="371">
        <v>79</v>
      </c>
      <c r="F90" s="371">
        <v>858.75199688446276</v>
      </c>
      <c r="G90" s="9">
        <f t="shared" si="3"/>
        <v>5.0183074747127052E-4</v>
      </c>
    </row>
    <row r="91" spans="1:7" x14ac:dyDescent="0.25">
      <c r="A91">
        <v>80</v>
      </c>
      <c r="B91" s="6">
        <v>17566.853554128698</v>
      </c>
      <c r="C91" s="9">
        <f t="shared" si="2"/>
        <v>1.0293917286091039E-2</v>
      </c>
      <c r="E91" s="371">
        <v>80</v>
      </c>
      <c r="F91" s="371">
        <v>555.37249640152743</v>
      </c>
      <c r="G91" s="9">
        <f t="shared" si="3"/>
        <v>3.2454421766155259E-4</v>
      </c>
    </row>
    <row r="92" spans="1:7" x14ac:dyDescent="0.25">
      <c r="A92">
        <v>81</v>
      </c>
      <c r="B92" s="6">
        <v>1969.6146971590001</v>
      </c>
      <c r="C92" s="9">
        <f t="shared" si="2"/>
        <v>1.1541651847640523E-3</v>
      </c>
      <c r="E92" s="371">
        <v>81</v>
      </c>
      <c r="F92" s="371">
        <v>608.85533897427422</v>
      </c>
      <c r="G92" s="9">
        <f t="shared" si="3"/>
        <v>3.5579810116056332E-4</v>
      </c>
    </row>
    <row r="93" spans="1:7" x14ac:dyDescent="0.25">
      <c r="A93">
        <v>82</v>
      </c>
      <c r="B93" s="6">
        <v>12908.516398837501</v>
      </c>
      <c r="C93" s="9">
        <f t="shared" si="2"/>
        <v>7.5642003666930267E-3</v>
      </c>
      <c r="E93" s="371">
        <v>82</v>
      </c>
      <c r="F93" s="371">
        <v>668.45446997386728</v>
      </c>
      <c r="G93" s="9">
        <f t="shared" si="3"/>
        <v>3.9062617325433675E-4</v>
      </c>
    </row>
    <row r="94" spans="1:7" x14ac:dyDescent="0.25">
      <c r="A94">
        <v>83</v>
      </c>
      <c r="B94" s="6">
        <v>1983.3277993009001</v>
      </c>
      <c r="C94" s="9">
        <f t="shared" si="2"/>
        <v>1.1622008605183629E-3</v>
      </c>
      <c r="E94" s="371">
        <v>83</v>
      </c>
      <c r="F94" s="371">
        <v>634.05775128487846</v>
      </c>
      <c r="G94" s="9">
        <f t="shared" si="3"/>
        <v>3.7052568893188037E-4</v>
      </c>
    </row>
    <row r="95" spans="1:7" x14ac:dyDescent="0.25">
      <c r="A95">
        <v>84</v>
      </c>
      <c r="B95" s="6">
        <v>5913.2443083910994</v>
      </c>
      <c r="C95" s="9">
        <f t="shared" si="2"/>
        <v>3.4650740165543389E-3</v>
      </c>
      <c r="E95" s="371">
        <v>84</v>
      </c>
      <c r="F95" s="371">
        <v>690.28593289677406</v>
      </c>
      <c r="G95" s="9">
        <f t="shared" si="3"/>
        <v>4.0338387209723985E-4</v>
      </c>
    </row>
    <row r="96" spans="1:7" x14ac:dyDescent="0.25">
      <c r="A96">
        <v>85</v>
      </c>
      <c r="B96" s="6">
        <v>1408.8821269998</v>
      </c>
      <c r="C96" s="9">
        <f t="shared" si="2"/>
        <v>8.2558416261057537E-4</v>
      </c>
      <c r="E96" s="371">
        <v>85</v>
      </c>
      <c r="F96" s="371">
        <v>677.58954202460791</v>
      </c>
      <c r="G96" s="9">
        <f t="shared" si="3"/>
        <v>3.9596445491430225E-4</v>
      </c>
    </row>
    <row r="97" spans="1:7" x14ac:dyDescent="0.25">
      <c r="A97">
        <v>86</v>
      </c>
      <c r="B97" s="6">
        <v>1571.3901850463999</v>
      </c>
      <c r="C97" s="9">
        <f t="shared" si="2"/>
        <v>9.2081148961597505E-4</v>
      </c>
      <c r="E97" s="371">
        <v>86</v>
      </c>
      <c r="F97" s="371">
        <v>665.13376630492564</v>
      </c>
      <c r="G97" s="9">
        <f t="shared" si="3"/>
        <v>3.8868564652442948E-4</v>
      </c>
    </row>
    <row r="98" spans="1:7" x14ac:dyDescent="0.25">
      <c r="A98">
        <v>87</v>
      </c>
      <c r="B98" s="6">
        <v>4902.1787563389998</v>
      </c>
      <c r="C98" s="9">
        <f t="shared" si="2"/>
        <v>2.8726045039253025E-3</v>
      </c>
      <c r="E98" s="371">
        <v>87</v>
      </c>
      <c r="F98" s="371">
        <v>599.4059975485427</v>
      </c>
      <c r="G98" s="9">
        <f t="shared" si="3"/>
        <v>3.5027616923145004E-4</v>
      </c>
    </row>
    <row r="99" spans="1:7" x14ac:dyDescent="0.25">
      <c r="A99">
        <v>88</v>
      </c>
      <c r="B99" s="6">
        <v>5592.4941541029002</v>
      </c>
      <c r="C99" s="9">
        <f t="shared" si="2"/>
        <v>3.2771191532904131E-3</v>
      </c>
      <c r="E99" s="371">
        <v>88</v>
      </c>
      <c r="F99" s="371">
        <v>681.76330844626159</v>
      </c>
      <c r="G99" s="9">
        <f t="shared" si="3"/>
        <v>3.9840348775585353E-4</v>
      </c>
    </row>
    <row r="100" spans="1:7" x14ac:dyDescent="0.25">
      <c r="A100">
        <v>89</v>
      </c>
      <c r="B100" s="6">
        <v>5038.3174449458002</v>
      </c>
      <c r="C100" s="9">
        <f t="shared" si="2"/>
        <v>2.9523797690652531E-3</v>
      </c>
      <c r="E100" s="371">
        <v>89</v>
      </c>
      <c r="F100" s="371">
        <v>504.2409561898333</v>
      </c>
      <c r="G100" s="9">
        <f t="shared" si="3"/>
        <v>2.9466436976963086E-4</v>
      </c>
    </row>
    <row r="101" spans="1:7" ht="15.75" thickBot="1" x14ac:dyDescent="0.3">
      <c r="A101" s="1">
        <v>90</v>
      </c>
      <c r="B101" s="7">
        <v>140651.5372882614</v>
      </c>
      <c r="C101" s="9">
        <f t="shared" si="2"/>
        <v>8.2419727957863356E-2</v>
      </c>
      <c r="E101" s="372">
        <v>90</v>
      </c>
      <c r="F101" s="372">
        <v>35330.99108854706</v>
      </c>
      <c r="G101" s="9">
        <f t="shared" si="3"/>
        <v>2.0646447089719903E-2</v>
      </c>
    </row>
    <row r="102" spans="1:7" x14ac:dyDescent="0.25">
      <c r="B102" s="6">
        <f>SUM(B11:B101)</f>
        <v>1706527.5604909633</v>
      </c>
      <c r="C102" s="9">
        <f t="shared" si="2"/>
        <v>1</v>
      </c>
      <c r="F102" s="6">
        <f>SUM(F11:F101)</f>
        <v>1711238.303375633</v>
      </c>
      <c r="G102" s="9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2017-06-23T18:05:53Z</dcterms:modified>
</cp:coreProperties>
</file>