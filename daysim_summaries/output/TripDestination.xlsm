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drawing+xml" PartName="/xl/drawings/drawing12.xml"/>
  <Override ContentType="application/vnd.openxmlformats-officedocument.drawing+xml" PartName="/xl/drawings/drawing13.xml"/>
  <Override ContentType="application/vnd.openxmlformats-officedocument.drawing+xml" PartName="/xl/drawings/drawing14.xml"/>
  <Override ContentType="application/vnd.openxmlformats-officedocument.drawing+xml" PartName="/xl/drawings/drawing15.xml"/>
  <Override ContentType="application/vnd.openxmlformats-officedocument.drawing+xml" PartName="/xl/drawings/drawing16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bkrcast_all\output\"/>
    </mc:Choice>
  </mc:AlternateContent>
  <bookViews>
    <workbookView windowHeight="15690" windowWidth="28950" xWindow="0" yWindow="0"/>
  </bookViews>
  <sheets>
    <sheet name="TLFD_Home" r:id="rId1" sheetId="3"/>
    <sheet name="TDFD_Home" r:id="rId2" sheetId="4"/>
    <sheet name="TLFD_Work" r:id="rId3" sheetId="8"/>
    <sheet name="TDFD_Work" r:id="rId4" sheetId="9"/>
    <sheet name="TLFD_School" r:id="rId5" sheetId="11"/>
    <sheet name="TDFD_School" r:id="rId6" sheetId="12"/>
    <sheet name="TLFD_Escort" r:id="rId7" sheetId="13"/>
    <sheet name="TDFD_Escort" r:id="rId8" sheetId="14"/>
    <sheet name="TLFD_PerBus" r:id="rId9" sheetId="15"/>
    <sheet name="TDFD_PerBus" r:id="rId10" sheetId="16"/>
    <sheet name="TLFD_Shop" r:id="rId11" sheetId="17"/>
    <sheet name="TDFD_Shop" r:id="rId12" sheetId="18"/>
    <sheet name="TLFD_Meal" r:id="rId13" sheetId="19"/>
    <sheet name="TDFD_Meal" r:id="rId14" sheetId="20"/>
    <sheet name="TLFD_SocRec" r:id="rId15" sheetId="21"/>
    <sheet name="TDFD_SocRec" r:id="rId16" sheetId="22"/>
  </sheets>
  <definedNames>
    <definedName name="AVGD">TLFD_Home!$L$11:$L$13</definedName>
    <definedName name="AVGT">TDFD_Home!$L$11:$L$13</definedName>
    <definedName name="flow">#REF!</definedName>
    <definedName name="out10">#REF!</definedName>
    <definedName name="out9">#REF!</definedName>
    <definedName name="TDFD">TDFD_Home!$E$11:$F$102</definedName>
    <definedName name="TLFD">TLFD_Home!$E$11:$F$102</definedName>
    <definedName name="out1">TLFD_SocRec!$B$11:$B$101</definedName>
    <definedName name="out3">TDFD_SocRec!$B$11:$B$101</definedName>
    <definedName name="out5">TLFD_SocRec!$K$11:$K$11</definedName>
    <definedName name="out7">TDFD_SocRec!$K$11:$K$11</definedName>
    <definedName name="out2">TLFD_SocRec!$F$11:$F$101</definedName>
    <definedName name="out4">TDFD_SocRec!$F$11:$F$101</definedName>
    <definedName name="out6">TLFD_SocRec!$L$11:$L$11</definedName>
    <definedName name="out8">TDFD_SocRec!$L$11:$L$11</definedName>
  </definedNames>
  <calcPr calcId="171027"/>
</workbook>
</file>

<file path=xl/calcChain.xml><?xml version="1.0" encoding="utf-8"?>
<calcChain xmlns="http://schemas.openxmlformats.org/spreadsheetml/2006/main">
  <c i="3" l="1" r="Z16"/>
  <c i="3" r="V16"/>
  <c i="3" r="Z17"/>
  <c i="3" r="V17"/>
  <c i="3" r="Z15"/>
  <c i="3" r="V15"/>
  <c i="3" r="Z14"/>
  <c i="3" r="V14"/>
  <c i="3" r="Z13"/>
  <c i="3" r="V13"/>
  <c i="3" r="Z12"/>
  <c i="3" r="V12"/>
  <c i="3" r="Z11"/>
  <c i="3" r="V11"/>
  <c i="3" r="Z10"/>
  <c i="3" r="V10"/>
  <c i="22" l="1" r="F102"/>
  <c i="22" r="G102" s="1"/>
  <c i="22" r="B102"/>
  <c i="22" r="C65" s="1"/>
  <c i="21" r="F102"/>
  <c i="21" r="B102"/>
  <c i="20" r="F102"/>
  <c i="20" r="G102" s="1"/>
  <c i="20" r="B102"/>
  <c i="20" r="C101" s="1"/>
  <c i="19" r="F102"/>
  <c i="19" r="B102"/>
  <c i="18" r="F102"/>
  <c i="18" r="G48" s="1"/>
  <c i="18" r="B102"/>
  <c i="18" r="C93" s="1"/>
  <c i="17" r="F102"/>
  <c i="17" r="B102"/>
  <c i="16" r="F102"/>
  <c i="16" r="G89" s="1"/>
  <c i="16" r="B102"/>
  <c i="16" r="C37" s="1"/>
  <c i="15" r="F102"/>
  <c i="15" r="B102"/>
  <c i="14" r="F102"/>
  <c i="14" r="G65" s="1"/>
  <c i="14" r="B102"/>
  <c i="14" r="C34" s="1"/>
  <c i="13" r="F102"/>
  <c i="13" r="B102"/>
  <c i="12" r="F102"/>
  <c i="12" r="G102" s="1"/>
  <c i="12" r="B102"/>
  <c i="12" r="C34" s="1"/>
  <c i="11" r="F102"/>
  <c i="11" r="B102"/>
  <c i="9" r="F102"/>
  <c i="9" r="G78" s="1"/>
  <c i="9" r="B102"/>
  <c i="9" r="C61" s="1"/>
  <c i="8" r="F102"/>
  <c i="8" r="B102"/>
  <c i="22" l="1" r="G12"/>
  <c i="22" r="G32"/>
  <c i="22" r="G34"/>
  <c i="22" r="G36"/>
  <c i="15" r="C30"/>
  <c i="3" r="U14"/>
  <c i="3" r="W14" s="1"/>
  <c i="21" r="G29"/>
  <c i="3" r="Y17"/>
  <c i="15" r="G27"/>
  <c i="3" r="Y14"/>
  <c i="3" r="AA14" s="1"/>
  <c i="17" r="G89"/>
  <c i="3" r="Y15"/>
  <c i="3" r="AA15" s="1"/>
  <c i="19" r="G81"/>
  <c i="3" r="Y16"/>
  <c i="3" r="AA16" s="1"/>
  <c i="17" r="C92"/>
  <c i="3" r="U15"/>
  <c i="3" r="W15" s="1"/>
  <c i="22" r="G38"/>
  <c i="8" r="C46"/>
  <c i="3" r="U11"/>
  <c i="3" r="W11" s="1"/>
  <c i="22" r="C40"/>
  <c i="19" r="C100"/>
  <c i="3" r="U16"/>
  <c i="3" r="W16" s="1"/>
  <c i="8" r="G51"/>
  <c i="3" r="Y11"/>
  <c i="3" r="AA11" s="1"/>
  <c i="11" r="C12"/>
  <c i="3" r="U12"/>
  <c i="3" r="W12" s="1"/>
  <c i="13" r="G57"/>
  <c i="3" r="Y13"/>
  <c i="3" r="AA13" s="1"/>
  <c i="21" r="C99"/>
  <c i="3" r="U17"/>
  <c i="11" r="G67"/>
  <c i="3" r="Y12"/>
  <c i="3" r="AA12" s="1"/>
  <c i="13" r="C38"/>
  <c i="3" r="U13"/>
  <c i="3" r="W13" s="1"/>
  <c i="20" r="C33"/>
  <c i="20" r="C32"/>
  <c i="20" r="C34"/>
  <c i="20" r="C30"/>
  <c i="22" r="G40"/>
  <c i="22" r="C42"/>
  <c i="22" r="C43"/>
  <c i="20" r="C37"/>
  <c i="20" r="C31"/>
  <c i="20" r="C38"/>
  <c i="22" r="G18"/>
  <c i="22" r="G22"/>
  <c i="22" r="C23"/>
  <c i="20" r="G29"/>
  <c i="22" r="G24"/>
  <c i="20" r="G69"/>
  <c i="22" r="G44"/>
  <c i="20" r="C73"/>
  <c i="22" r="C47"/>
  <c i="20" r="C74"/>
  <c i="22" r="G48"/>
  <c i="20" r="C39"/>
  <c i="20" r="C72"/>
  <c i="22" r="C45"/>
  <c i="20" r="C75"/>
  <c i="22" r="C50"/>
  <c i="20" r="C76"/>
  <c i="22" r="G50"/>
  <c i="20" r="C79"/>
  <c i="22" r="G54"/>
  <c i="8" r="G81"/>
  <c i="12" r="G12"/>
  <c i="22" r="C22"/>
  <c i="12" r="C13"/>
  <c i="12" r="C16"/>
  <c i="12" r="C18"/>
  <c i="12" r="C60"/>
  <c i="12" r="C64"/>
  <c i="22" r="C48"/>
  <c i="22" r="C53"/>
  <c i="22" r="C11"/>
  <c i="22" r="C15"/>
  <c i="22" r="C16"/>
  <c i="22" r="C18"/>
  <c i="12" r="C68"/>
  <c i="12" r="C62"/>
  <c i="20" r="C88"/>
  <c i="12" r="C66"/>
  <c i="20" r="C90"/>
  <c i="20" r="C91"/>
  <c i="17" r="G12"/>
  <c i="17" r="G33"/>
  <c i="17" r="C34"/>
  <c i="20" r="C92"/>
  <c i="20" r="C94"/>
  <c i="22" r="G58"/>
  <c i="18" r="C33"/>
  <c i="22" r="C59"/>
  <c i="17" r="C12"/>
  <c i="17" r="C35"/>
  <c i="8" r="G83"/>
  <c i="17" r="C36"/>
  <c i="8" r="G87"/>
  <c i="17" r="C37"/>
  <c i="22" r="C61"/>
  <c i="17" r="C40"/>
  <c i="17" r="C41"/>
  <c i="16" r="G94"/>
  <c i="8" r="G97"/>
  <c i="17" r="C82"/>
  <c i="18" r="G50"/>
  <c i="17" r="C84"/>
  <c i="22" r="G60"/>
  <c i="8" r="G89"/>
  <c i="8" r="G99"/>
  <c i="22" r="C13"/>
  <c i="22" r="C62"/>
  <c i="22" r="C14"/>
  <c i="22" r="G62"/>
  <c i="20" r="G21"/>
  <c i="22" r="G14"/>
  <c i="22" r="G64"/>
  <c i="20" r="C28"/>
  <c i="13" r="G99"/>
  <c i="13" r="G19"/>
  <c i="20" r="C29"/>
  <c i="20" r="C45"/>
  <c i="15" r="G42"/>
  <c i="20" r="C58"/>
  <c i="20" r="C47"/>
  <c i="15" r="G38"/>
  <c i="18" r="C94"/>
  <c i="20" r="C59"/>
  <c i="20" r="C95"/>
  <c i="17" r="C85"/>
  <c i="20" r="C102"/>
  <c i="20" r="C46"/>
  <c i="20" r="C57"/>
  <c i="20" r="C60"/>
  <c i="9" r="G74"/>
  <c i="20" r="C50"/>
  <c i="15" r="G40"/>
  <c i="15" r="C44"/>
  <c i="9" r="G72"/>
  <c i="15" r="G45"/>
  <c i="20" r="C61"/>
  <c i="15" r="G46"/>
  <c i="20" r="C11"/>
  <c i="20" r="G61"/>
  <c i="9" r="G76"/>
  <c i="15" r="G49"/>
  <c i="20" r="C12"/>
  <c i="20" r="C62"/>
  <c i="22" r="G16"/>
  <c i="22" r="G66"/>
  <c i="12" r="C70"/>
  <c i="20" r="C56"/>
  <c i="15" r="G50"/>
  <c i="20" r="C15"/>
  <c i="20" r="C65"/>
  <c i="22" r="G96"/>
  <c i="12" r="C100"/>
  <c i="20" r="C40"/>
  <c i="20" r="C44"/>
  <c i="15" r="G51"/>
  <c i="20" r="C16"/>
  <c i="20" r="C66"/>
  <c i="22" r="G98"/>
  <c i="15" r="G43"/>
  <c i="15" r="G56"/>
  <c i="20" r="C17"/>
  <c i="20" r="C67"/>
  <c i="22" r="C19"/>
  <c i="22" r="G100"/>
  <c i="20" r="C41"/>
  <c i="15" r="G85"/>
  <c i="20" r="C18"/>
  <c i="20" r="C68"/>
  <c i="20" r="C96"/>
  <c i="12" r="C12"/>
  <c i="20" r="C19"/>
  <c i="20" r="C69"/>
  <c i="22" r="C63"/>
  <c i="22" r="C64"/>
  <c i="22" r="C24"/>
  <c i="22" r="C27"/>
  <c i="22" r="C29"/>
  <c i="22" r="C66"/>
  <c i="22" r="C90"/>
  <c i="22" r="C98"/>
  <c i="22" r="C94"/>
  <c i="22" r="C37"/>
  <c i="22" r="C34"/>
  <c i="22" r="C35"/>
  <c i="22" r="C38"/>
  <c i="22" r="C39"/>
  <c i="21" r="C84"/>
  <c i="21" r="C32"/>
  <c i="21" r="C33"/>
  <c i="20" r="G37"/>
  <c i="20" r="G45"/>
  <c i="20" r="C98"/>
  <c i="19" r="G89"/>
  <c i="19" r="G14"/>
  <c i="19" r="G22"/>
  <c i="19" r="G46"/>
  <c i="19" r="G54"/>
  <c i="19" r="G57"/>
  <c i="19" r="G41"/>
  <c i="19" r="G62"/>
  <c i="19" r="G86"/>
  <c i="19" r="G65"/>
  <c i="19" r="G70"/>
  <c i="19" r="C42"/>
  <c i="19" r="C56"/>
  <c i="19" r="C92"/>
  <c i="19" r="C54"/>
  <c i="19" r="C62"/>
  <c i="19" r="C12"/>
  <c i="19" r="C52"/>
  <c i="19" r="C64"/>
  <c i="19" r="C22"/>
  <c i="19" r="C46"/>
  <c i="19" r="C66"/>
  <c i="19" r="C84"/>
  <c i="19" r="C14"/>
  <c i="19" r="C86"/>
  <c i="19" r="C44"/>
  <c i="19" r="C88"/>
  <c i="18" r="G70"/>
  <c i="18" r="G12"/>
  <c i="18" r="G14"/>
  <c i="18" r="G32"/>
  <c i="18" r="G22"/>
  <c i="18" r="G40"/>
  <c i="18" r="G52"/>
  <c i="18" r="G42"/>
  <c i="18" r="G20"/>
  <c i="18" r="G44"/>
  <c i="18" r="C44"/>
  <c i="18" r="C48"/>
  <c i="18" r="C95"/>
  <c i="18" r="C41"/>
  <c i="18" r="C43"/>
  <c i="18" r="C50"/>
  <c i="18" r="C71"/>
  <c i="18" r="C53"/>
  <c i="18" r="C11"/>
  <c i="18" r="C72"/>
  <c i="18" r="C97"/>
  <c i="18" r="C73"/>
  <c i="18" r="C76"/>
  <c i="18" r="C77"/>
  <c i="18" r="C36"/>
  <c i="18" r="C12"/>
  <c i="18" r="C19"/>
  <c i="18" r="C20"/>
  <c i="18" r="C80"/>
  <c i="18" r="C34"/>
  <c i="18" r="C45"/>
  <c i="18" r="C15"/>
  <c i="18" r="C83"/>
  <c i="18" r="C96"/>
  <c i="18" r="C42"/>
  <c i="18" r="C49"/>
  <c i="18" r="C78"/>
  <c i="18" r="C79"/>
  <c i="18" r="C21"/>
  <c i="18" r="C90"/>
  <c i="18" r="C22"/>
  <c i="18" r="C91"/>
  <c i="18" r="C92"/>
  <c i="17" r="C89"/>
  <c i="17" r="C86"/>
  <c i="16" r="G98"/>
  <c i="16" r="G36"/>
  <c i="16" r="G37"/>
  <c i="16" r="G39"/>
  <c i="16" r="C41"/>
  <c i="16" r="C89"/>
  <c i="16" r="C94"/>
  <c i="15" r="G93"/>
  <c i="15" r="G96"/>
  <c i="15" r="G97"/>
  <c i="15" r="G94"/>
  <c i="15" r="G98"/>
  <c i="15" r="G99"/>
  <c i="15" r="G101"/>
  <c i="15" r="C94"/>
  <c i="15" r="C86"/>
  <c i="14" r="G12"/>
  <c i="14" r="G45"/>
  <c i="14" r="G98"/>
  <c i="14" r="G19"/>
  <c i="14" r="G46"/>
  <c i="14" r="G48"/>
  <c i="14" r="G47"/>
  <c i="14" r="G49"/>
  <c i="14" r="G13"/>
  <c i="14" r="G21"/>
  <c i="14" r="G44"/>
  <c i="14" r="G50"/>
  <c i="14" r="G51"/>
  <c i="14" r="G18"/>
  <c i="14" r="G83"/>
  <c i="14" r="G87"/>
  <c i="14" r="G85"/>
  <c i="14" r="G90"/>
  <c i="14" r="G20"/>
  <c i="14" r="G52"/>
  <c i="14" r="G56"/>
  <c i="14" r="G92"/>
  <c i="14" r="G94"/>
  <c i="14" r="C46"/>
  <c i="14" r="C50"/>
  <c i="14" r="C82"/>
  <c i="14" r="C14"/>
  <c i="14" r="C84"/>
  <c i="14" r="C18"/>
  <c i="14" r="C93"/>
  <c i="13" r="G59"/>
  <c i="13" r="G21"/>
  <c i="13" r="G64"/>
  <c i="13" r="G49"/>
  <c i="13" r="G51"/>
  <c i="13" r="G65"/>
  <c i="13" r="G41"/>
  <c i="13" r="G43"/>
  <c i="13" r="G67"/>
  <c i="13" r="G22"/>
  <c i="13" r="G48"/>
  <c i="13" r="G70"/>
  <c i="13" r="G25"/>
  <c i="13" r="G32"/>
  <c i="13" r="G62"/>
  <c i="13" r="G72"/>
  <c i="13" r="G40"/>
  <c i="13" r="G38"/>
  <c i="13" r="G83"/>
  <c i="13" r="G80"/>
  <c i="13" r="G86"/>
  <c i="13" r="G75"/>
  <c i="13" r="G16"/>
  <c i="13" r="G88"/>
  <c i="13" r="G30"/>
  <c i="13" r="G17"/>
  <c i="13" r="G96"/>
  <c i="13" r="G24"/>
  <c i="13" r="G26"/>
  <c i="13" r="G27"/>
  <c i="13" r="G33"/>
  <c i="13" r="G81"/>
  <c i="13" r="G18"/>
  <c i="13" r="G97"/>
  <c i="13" r="C30"/>
  <c i="12" r="C76"/>
  <c i="12" r="C80"/>
  <c i="12" r="C84"/>
  <c i="12" r="C86"/>
  <c i="12" r="C82"/>
  <c i="12" r="C89"/>
  <c i="12" r="C92"/>
  <c i="12" r="C72"/>
  <c i="12" r="C74"/>
  <c i="12" r="C97"/>
  <c i="11" r="G22"/>
  <c i="11" r="G24"/>
  <c i="11" r="G25"/>
  <c i="11" r="G49"/>
  <c i="11" r="G51"/>
  <c i="11" r="G20"/>
  <c i="11" r="G52"/>
  <c i="11" r="G59"/>
  <c i="11" r="G19"/>
  <c i="11" r="G21"/>
  <c i="11" r="G60"/>
  <c i="11" r="G62"/>
  <c i="11" r="G92"/>
  <c i="11" r="G100"/>
  <c i="11" r="G94"/>
  <c i="11" r="G95"/>
  <c i="11" r="G63"/>
  <c i="11" r="G96"/>
  <c i="11" r="G97"/>
  <c i="11" r="G99"/>
  <c i="11" r="C54"/>
  <c i="11" r="C58"/>
  <c i="11" r="C62"/>
  <c i="11" r="C18"/>
  <c i="11" r="C22"/>
  <c i="11" r="C94"/>
  <c i="11" r="C20"/>
  <c i="11" r="C98"/>
  <c i="9" r="G24"/>
  <c i="9" r="G36"/>
  <c i="9" r="G14"/>
  <c i="9" r="G38"/>
  <c i="9" r="G40"/>
  <c i="9" r="G42"/>
  <c i="9" r="G44"/>
  <c i="9" r="G48"/>
  <c i="9" r="G50"/>
  <c i="9" r="G52"/>
  <c i="9" r="G54"/>
  <c i="9" r="G58"/>
  <c i="9" r="G60"/>
  <c i="9" r="G70"/>
  <c i="9" r="C17"/>
  <c i="9" r="C41"/>
  <c i="9" r="C33"/>
  <c i="9" r="C44"/>
  <c i="9" r="C28"/>
  <c i="9" r="C49"/>
  <c i="9" r="C25"/>
  <c i="9" r="C52"/>
  <c i="9" r="C12"/>
  <c i="8" r="G12"/>
  <c i="8" r="G15"/>
  <c i="8" r="G25"/>
  <c i="8" r="G29"/>
  <c i="8" r="G31"/>
  <c i="8" r="G33"/>
  <c i="8" r="G35"/>
  <c i="8" r="G13"/>
  <c i="8" r="G37"/>
  <c i="8" r="G14"/>
  <c i="8" r="G39"/>
  <c i="8" r="G69"/>
  <c i="8" r="G71"/>
  <c i="8" r="G73"/>
  <c i="8" r="G75"/>
  <c i="8" r="G77"/>
  <c i="8" r="G79"/>
  <c i="8" r="C25"/>
  <c i="8" r="C34"/>
  <c i="8" r="C86"/>
  <c i="8" r="C15"/>
  <c i="8" r="C33"/>
  <c i="8" r="C14"/>
  <c i="8" r="C94"/>
  <c i="8" r="C37"/>
  <c i="8" r="C39"/>
  <c i="8" r="C29"/>
  <c i="8" r="C31"/>
  <c i="8" r="C36"/>
  <c i="8" r="C70"/>
  <c i="8" r="C38"/>
  <c i="8" r="C30"/>
  <c i="8" r="C12"/>
  <c i="8" r="C81"/>
  <c i="8" r="C13"/>
  <c i="13" r="C54"/>
  <c i="13" r="C46"/>
  <c i="21" r="C30"/>
  <c i="21" r="C98"/>
  <c i="21" r="C31"/>
  <c i="21" r="C102"/>
  <c i="21" r="C66"/>
  <c i="21" r="C37"/>
  <c i="21" r="C65"/>
  <c i="21" r="C36"/>
  <c i="21" r="C64"/>
  <c i="21" r="C35"/>
  <c i="21" r="C96"/>
  <c i="21" r="C57"/>
  <c i="21" r="C28"/>
  <c i="21" r="C95"/>
  <c i="21" r="C56"/>
  <c i="21" r="C27"/>
  <c i="21" r="C91"/>
  <c i="21" r="C55"/>
  <c i="21" r="C26"/>
  <c i="21" r="C54"/>
  <c i="21" r="C92"/>
  <c i="21" r="C25"/>
  <c i="21" r="C88"/>
  <c i="21" r="C53"/>
  <c i="21" r="C24"/>
  <c i="21" r="C89"/>
  <c i="21" r="C85"/>
  <c i="21" r="C52"/>
  <c i="21" r="C23"/>
  <c i="21" r="C50"/>
  <c i="21" r="C21"/>
  <c i="21" r="C81"/>
  <c i="21" r="C20"/>
  <c i="21" r="C73"/>
  <c i="21" r="C44"/>
  <c i="21" r="C15"/>
  <c i="21" r="C72"/>
  <c i="21" r="C43"/>
  <c i="21" r="C14"/>
  <c i="21" r="C68"/>
  <c i="21" r="C39"/>
  <c i="21" r="G99"/>
  <c i="21" r="G55"/>
  <c i="21" r="G26"/>
  <c i="21" r="G81"/>
  <c i="21" r="G49"/>
  <c i="16" r="C31"/>
  <c i="16" r="C69"/>
  <c i="16" r="C29"/>
  <c i="16" r="C65"/>
  <c i="17" r="C38"/>
  <c i="21" r="C34"/>
  <c i="16" r="G102"/>
  <c i="16" r="G29"/>
  <c i="16" r="G28"/>
  <c i="16" r="G27"/>
  <c i="16" r="G67"/>
  <c i="16" r="G65"/>
  <c i="16" r="G63"/>
  <c i="16" r="G26"/>
  <c i="16" r="G59"/>
  <c i="16" r="G23"/>
  <c i="16" r="G57"/>
  <c i="16" r="G22"/>
  <c i="16" r="G92"/>
  <c i="16" r="G49"/>
  <c i="16" r="G17"/>
  <c i="16" r="G91"/>
  <c i="17" r="C39"/>
  <c i="21" r="C38"/>
  <c i="17" r="C102"/>
  <c i="17" r="C68"/>
  <c i="17" r="C33"/>
  <c i="17" r="C15"/>
  <c i="17" r="C65"/>
  <c i="17" r="C14"/>
  <c i="17" r="C66"/>
  <c i="17" r="C32"/>
  <c i="17" r="C31"/>
  <c i="17" r="C63"/>
  <c i="17" r="C30"/>
  <c i="17" r="C13"/>
  <c i="17" r="C60"/>
  <c i="17" r="C58"/>
  <c i="17" r="C27"/>
  <c i="17" r="C11"/>
  <c i="17" r="C97"/>
  <c i="17" r="C50"/>
  <c i="17" r="C24"/>
  <c i="17" r="C93"/>
  <c i="17" r="C49"/>
  <c i="21" r="C40"/>
  <c i="17" r="G63"/>
  <c i="17" r="G13"/>
  <c i="17" r="G14"/>
  <c i="17" r="G31"/>
  <c i="17" r="G27"/>
  <c i="17" r="G11"/>
  <c i="17" r="G23"/>
  <c i="21" r="C41"/>
  <c i="17" r="G15"/>
  <c i="17" r="C42"/>
  <c i="21" r="C42"/>
  <c i="21" r="C45"/>
  <c i="21" r="C46"/>
  <c i="21" r="C47"/>
  <c i="21" r="C48"/>
  <c i="21" r="C49"/>
  <c i="21" r="C51"/>
  <c i="21" r="C58"/>
  <c i="15" r="G11"/>
  <c i="15" r="C24"/>
  <c i="16" r="G16"/>
  <c i="16" r="G69"/>
  <c i="17" r="C20"/>
  <c i="17" r="C54"/>
  <c i="18" r="C101"/>
  <c i="18" r="C100"/>
  <c i="18" r="C69"/>
  <c i="18" r="C47"/>
  <c i="18" r="C99"/>
  <c i="18" r="C98"/>
  <c i="18" r="C68"/>
  <c i="18" r="C46"/>
  <c i="18" r="C89"/>
  <c i="18" r="C61"/>
  <c i="18" r="C40"/>
  <c i="18" r="C87"/>
  <c i="18" r="C38"/>
  <c i="18" r="C88"/>
  <c i="18" r="C39"/>
  <c i="18" r="C18"/>
  <c i="18" r="C60"/>
  <c i="18" r="C17"/>
  <c i="18" r="C86"/>
  <c i="18" r="C85"/>
  <c i="18" r="C37"/>
  <c i="18" r="C16"/>
  <c i="18" r="C59"/>
  <c i="18" r="C84"/>
  <c i="18" r="C58"/>
  <c i="18" r="C82"/>
  <c i="18" r="C35"/>
  <c i="18" r="C14"/>
  <c i="18" r="C81"/>
  <c i="18" r="C56"/>
  <c i="18" r="C13"/>
  <c i="18" r="C75"/>
  <c i="18" r="C52"/>
  <c i="18" r="C74"/>
  <c i="18" r="C51"/>
  <c i="18" r="C30"/>
  <c i="21" r="C60"/>
  <c i="11" r="G101"/>
  <c i="11" r="G89"/>
  <c i="11" r="G57"/>
  <c i="11" r="G28"/>
  <c i="11" r="G87"/>
  <c i="11" r="G27"/>
  <c i="11" r="G88"/>
  <c i="11" r="G56"/>
  <c i="11" r="G55"/>
  <c i="11" r="G86"/>
  <c i="11" r="G54"/>
  <c i="11" r="G26"/>
  <c i="11" r="G23"/>
  <c i="11" r="G75"/>
  <c i="11" r="G43"/>
  <c i="11" r="G18"/>
  <c i="16" r="C49"/>
  <c i="11" r="G102"/>
  <c i="17" r="C17"/>
  <c i="14" r="G23"/>
  <c i="11" r="G32"/>
  <c i="17" r="C47"/>
  <c i="16" r="G13"/>
  <c i="11" r="C34"/>
  <c i="8" r="G41"/>
  <c i="16" r="G15"/>
  <c i="14" r="G59"/>
  <c i="8" r="G17"/>
  <c i="8" r="G45"/>
  <c i="11" r="G36"/>
  <c i="11" r="G73"/>
  <c i="12" r="C24"/>
  <c i="14" r="G28"/>
  <c i="14" r="G60"/>
  <c i="15" r="G24"/>
  <c i="15" r="G66"/>
  <c i="16" r="G18"/>
  <c i="16" r="G71"/>
  <c i="17" r="G20"/>
  <c i="17" r="C55"/>
  <c i="18" r="C54"/>
  <c i="18" r="G102"/>
  <c i="18" r="G68"/>
  <c i="18" r="G46"/>
  <c i="18" r="G18"/>
  <c i="18" r="G38"/>
  <c i="18" r="G60"/>
  <c i="18" r="G16"/>
  <c i="18" r="G58"/>
  <c i="18" r="G36"/>
  <c i="18" r="G56"/>
  <c i="18" r="G34"/>
  <c i="18" r="G30"/>
  <c i="21" r="C61"/>
  <c i="16" r="G43"/>
  <c i="11" r="C26"/>
  <c i="16" r="G51"/>
  <c i="11" r="G30"/>
  <c i="17" r="C52"/>
  <c i="8" r="G16"/>
  <c i="14" r="G58"/>
  <c i="15" r="G65"/>
  <c i="8" r="C18"/>
  <c i="9" r="G16"/>
  <c i="11" r="G37"/>
  <c i="11" r="C74"/>
  <c i="12" r="C26"/>
  <c i="14" r="G29"/>
  <c i="14" r="G61"/>
  <c i="15" r="G25"/>
  <c i="15" r="G67"/>
  <c i="16" r="G19"/>
  <c i="16" r="C73"/>
  <c i="17" r="C21"/>
  <c i="17" r="C57"/>
  <c i="18" r="C23"/>
  <c i="18" r="G54"/>
  <c i="21" r="G61"/>
  <c i="11" r="G64"/>
  <c i="14" r="G53"/>
  <c i="11" r="C66"/>
  <c i="15" r="G58"/>
  <c i="11" r="G31"/>
  <c i="13" r="C62"/>
  <c i="11" r="C70"/>
  <c i="8" r="C102"/>
  <c i="8" r="C62"/>
  <c i="8" r="C28"/>
  <c i="8" r="C11"/>
  <c i="8" r="C26"/>
  <c i="8" r="C24"/>
  <c i="8" r="C44"/>
  <c i="11" r="G34"/>
  <c i="15" r="G64"/>
  <c i="14" r="G27"/>
  <c i="8" r="G18"/>
  <c i="8" r="G47"/>
  <c i="9" r="C100"/>
  <c i="9" r="C20"/>
  <c i="11" r="C38"/>
  <c i="11" r="G76"/>
  <c i="12" r="C30"/>
  <c i="14" r="C30"/>
  <c i="14" r="G63"/>
  <c i="15" r="G26"/>
  <c i="15" r="G69"/>
  <c i="16" r="G20"/>
  <c i="16" r="G73"/>
  <c i="17" r="G21"/>
  <c i="17" r="C61"/>
  <c i="18" r="C24"/>
  <c i="18" r="C55"/>
  <c i="21" r="C62"/>
  <c i="17" r="C16"/>
  <c i="17" r="C45"/>
  <c i="12" r="C20"/>
  <c i="15" r="G22"/>
  <c i="13" r="C70"/>
  <c i="8" r="C19"/>
  <c i="8" r="C49"/>
  <c i="9" r="G102"/>
  <c i="9" r="G68"/>
  <c i="9" r="G22"/>
  <c i="9" r="G20"/>
  <c i="9" r="G66"/>
  <c i="9" r="G64"/>
  <c i="9" r="G62"/>
  <c i="9" r="G18"/>
  <c i="9" r="G56"/>
  <c i="9" r="G12"/>
  <c i="9" r="G46"/>
  <c i="11" r="G38"/>
  <c i="11" r="C78"/>
  <c i="12" r="C32"/>
  <c i="13" r="C78"/>
  <c i="14" r="G30"/>
  <c i="14" r="G64"/>
  <c i="15" r="C70"/>
  <c i="16" r="C21"/>
  <c i="16" r="G75"/>
  <c i="17" r="C22"/>
  <c i="17" r="C62"/>
  <c i="18" r="G24"/>
  <c i="18" r="C57"/>
  <c i="21" r="C11"/>
  <c i="21" r="C63"/>
  <c i="15" r="G102"/>
  <c i="15" r="G91"/>
  <c i="15" r="G21"/>
  <c i="15" r="G89"/>
  <c i="15" r="G19"/>
  <c i="15" r="G90"/>
  <c i="15" r="G54"/>
  <c i="15" r="G53"/>
  <c i="15" r="G88"/>
  <c i="15" r="G18"/>
  <c i="15" r="G86"/>
  <c i="15" r="G83"/>
  <c i="15" r="G48"/>
  <c i="15" r="G14"/>
  <c i="15" r="G82"/>
  <c i="15" r="G13"/>
  <c i="15" r="G75"/>
  <c i="15" r="G41"/>
  <c i="17" r="C46"/>
  <c i="16" r="C13"/>
  <c i="15" r="G16"/>
  <c i="14" r="G26"/>
  <c i="17" r="G19"/>
  <c i="11" r="G72"/>
  <c i="8" r="G19"/>
  <c i="8" r="G49"/>
  <c i="11" r="G11"/>
  <c i="11" r="G39"/>
  <c i="11" r="G78"/>
  <c i="13" r="C20"/>
  <c i="14" r="G32"/>
  <c i="15" r="G29"/>
  <c i="15" r="G70"/>
  <c i="16" r="G21"/>
  <c i="16" r="C77"/>
  <c i="17" r="G22"/>
  <c i="17" r="C69"/>
  <c i="18" r="C25"/>
  <c i="18" r="C62"/>
  <c i="19" r="C18"/>
  <c i="19" r="C94"/>
  <c i="21" r="C12"/>
  <c i="21" r="C67"/>
  <c i="16" r="G41"/>
  <c i="11" r="G29"/>
  <c i="14" r="G69"/>
  <c i="14" r="G42"/>
  <c i="14" r="G17"/>
  <c i="14" r="G41"/>
  <c i="14" r="G15"/>
  <c i="14" r="G14"/>
  <c i="14" r="G16"/>
  <c i="14" r="G67"/>
  <c i="14" r="G40"/>
  <c i="14" r="G62"/>
  <c i="14" r="G37"/>
  <c i="14" r="G11"/>
  <c i="14" r="G36"/>
  <c i="14" r="G57"/>
  <c i="14" r="G31"/>
  <c i="16" r="G12"/>
  <c i="14" r="G24"/>
  <c i="16" r="C61"/>
  <c i="12" r="C42"/>
  <c i="12" r="C40"/>
  <c i="12" r="C38"/>
  <c i="12" r="C36"/>
  <c i="12" r="C94"/>
  <c i="12" r="C28"/>
  <c i="12" r="C78"/>
  <c i="16" r="G61"/>
  <c i="8" r="C20"/>
  <c i="9" r="G26"/>
  <c i="11" r="G40"/>
  <c i="11" r="G79"/>
  <c i="12" r="C44"/>
  <c i="14" r="G33"/>
  <c i="14" r="G71"/>
  <c i="15" r="G72"/>
  <c i="16" r="G24"/>
  <c i="16" r="G77"/>
  <c i="17" r="C23"/>
  <c i="17" r="C70"/>
  <c i="18" r="C26"/>
  <c i="18" r="G62"/>
  <c i="19" r="C20"/>
  <c i="21" r="C13"/>
  <c i="21" r="C69"/>
  <c i="15" r="C54"/>
  <c i="15" r="C56"/>
  <c i="15" r="C52"/>
  <c i="15" r="C20"/>
  <c i="15" r="C48"/>
  <c i="14" r="C54"/>
  <c i="15" r="G59"/>
  <c i="14" r="C58"/>
  <c i="8" r="C21"/>
  <c i="8" r="C54"/>
  <c i="11" r="G12"/>
  <c i="11" r="G41"/>
  <c i="11" r="G80"/>
  <c i="12" r="C46"/>
  <c i="13" r="C22"/>
  <c i="14" r="G73"/>
  <c i="15" r="G30"/>
  <c i="15" r="G73"/>
  <c i="16" r="G25"/>
  <c i="16" r="G79"/>
  <c i="17" r="G24"/>
  <c i="17" r="C71"/>
  <c i="18" r="G26"/>
  <c i="18" r="C63"/>
  <c i="19" r="C102"/>
  <c i="19" r="C50"/>
  <c i="19" r="C96"/>
  <c i="19" r="C48"/>
  <c i="19" r="C80"/>
  <c i="19" r="C36"/>
  <c i="19" r="C78"/>
  <c i="19" r="C32"/>
  <c i="19" r="C34"/>
  <c i="19" r="C76"/>
  <c i="19" r="C72"/>
  <c i="19" r="C30"/>
  <c i="19" r="C70"/>
  <c i="19" r="C26"/>
  <c i="19" r="C68"/>
  <c i="19" r="C60"/>
  <c i="19" r="C58"/>
  <c i="19" r="C16"/>
  <c i="21" r="C16"/>
  <c i="21" r="C70"/>
  <c i="11" r="C102"/>
  <c i="11" r="C28"/>
  <c i="11" r="C82"/>
  <c i="11" r="C50"/>
  <c i="14" r="C66"/>
  <c i="14" r="C68"/>
  <c i="14" r="C42"/>
  <c i="14" r="C62"/>
  <c i="14" r="C97"/>
  <c i="11" r="C30"/>
  <c i="15" r="G57"/>
  <c i="14" r="G22"/>
  <c i="17" r="G17"/>
  <c i="15" r="C16"/>
  <c i="17" r="G47"/>
  <c i="8" r="C16"/>
  <c i="15" r="G17"/>
  <c i="8" r="G101"/>
  <c i="8" r="G11"/>
  <c i="8" r="G27"/>
  <c i="8" r="G26"/>
  <c i="8" r="G61"/>
  <c i="8" r="G59"/>
  <c i="8" r="G57"/>
  <c i="8" r="G53"/>
  <c i="8" r="G91"/>
  <c i="8" r="G20"/>
  <c i="17" r="C53"/>
  <c i="12" r="C22"/>
  <c i="8" r="G21"/>
  <c i="8" r="G55"/>
  <c i="9" r="G28"/>
  <c i="11" r="G13"/>
  <c i="11" r="C42"/>
  <c i="11" r="G81"/>
  <c i="12" r="C48"/>
  <c i="13" r="C86"/>
  <c i="14" r="G34"/>
  <c i="14" r="C74"/>
  <c i="15" r="G32"/>
  <c i="15" r="G74"/>
  <c i="16" r="G30"/>
  <c i="16" r="C81"/>
  <c i="17" r="C25"/>
  <c i="17" r="G71"/>
  <c i="18" r="C27"/>
  <c i="18" r="C64"/>
  <c i="19" r="G101"/>
  <c i="19" r="G97"/>
  <c i="19" r="G49"/>
  <c i="19" r="G94"/>
  <c i="19" r="G78"/>
  <c i="19" r="G33"/>
  <c i="19" r="G73"/>
  <c i="19" r="G30"/>
  <c i="19" r="G25"/>
  <c i="19" r="G17"/>
  <c i="21" r="C17"/>
  <c i="21" r="C71"/>
  <c i="17" r="C43"/>
  <c i="11" r="G65"/>
  <c i="16" r="C53"/>
  <c i="14" r="G54"/>
  <c i="17" r="C18"/>
  <c i="11" r="G33"/>
  <c i="16" r="C57"/>
  <c i="16" r="G14"/>
  <c i="8" r="C22"/>
  <c i="8" r="C57"/>
  <c i="9" r="G30"/>
  <c i="11" r="C14"/>
  <c i="11" r="G44"/>
  <c i="11" r="G83"/>
  <c i="12" r="C50"/>
  <c i="13" r="C24"/>
  <c i="14" r="G35"/>
  <c i="14" r="G75"/>
  <c i="15" r="G33"/>
  <c i="15" r="G77"/>
  <c i="16" r="G31"/>
  <c i="16" r="G81"/>
  <c i="17" r="G25"/>
  <c i="17" r="C74"/>
  <c i="18" r="C28"/>
  <c i="18" r="C65"/>
  <c i="19" r="C24"/>
  <c i="21" r="C18"/>
  <c i="21" r="C74"/>
  <c i="16" r="G45"/>
  <c i="17" r="C44"/>
  <c i="15" r="G61"/>
  <c i="14" r="G25"/>
  <c i="17" r="G18"/>
  <c i="14" r="C26"/>
  <c i="17" r="C19"/>
  <c i="11" r="G71"/>
  <c i="11" r="G35"/>
  <c i="8" r="G22"/>
  <c i="8" r="G63"/>
  <c i="9" r="G32"/>
  <c i="11" r="G14"/>
  <c i="11" r="C46"/>
  <c i="11" r="G84"/>
  <c i="12" r="C52"/>
  <c i="14" r="C38"/>
  <c i="14" r="C76"/>
  <c i="15" r="G34"/>
  <c i="15" r="C78"/>
  <c i="16" r="G32"/>
  <c i="16" r="G83"/>
  <c i="17" r="C26"/>
  <c i="17" r="C77"/>
  <c i="18" r="G28"/>
  <c i="18" r="C66"/>
  <c i="19" r="C28"/>
  <c i="21" r="G18"/>
  <c i="21" r="C75"/>
  <c i="14" r="C22"/>
  <c i="16" r="G11"/>
  <c i="15" r="C12"/>
  <c i="14" r="G55"/>
  <c i="16" r="G55"/>
  <c i="15" r="C62"/>
  <c i="15" r="G62"/>
  <c i="8" r="G43"/>
  <c i="8" r="C23"/>
  <c i="8" r="C65"/>
  <c i="11" r="G15"/>
  <c i="11" r="G46"/>
  <c i="11" r="C86"/>
  <c i="12" r="C54"/>
  <c i="13" r="C94"/>
  <c i="14" r="G38"/>
  <c i="14" r="G77"/>
  <c i="15" r="G35"/>
  <c i="15" r="G78"/>
  <c i="16" r="G33"/>
  <c i="16" r="C85"/>
  <c i="17" r="G26"/>
  <c i="17" r="C78"/>
  <c i="18" r="C29"/>
  <c i="18" r="G66"/>
  <c i="19" r="C38"/>
  <c i="21" r="C19"/>
  <c i="21" r="C76"/>
  <c i="16" r="G47"/>
  <c i="11" r="G68"/>
  <c i="21" r="C59"/>
  <c i="8" r="G23"/>
  <c i="8" r="G65"/>
  <c i="9" r="G34"/>
  <c i="11" r="G16"/>
  <c i="11" r="G47"/>
  <c i="11" r="C90"/>
  <c i="12" r="C56"/>
  <c i="14" r="G39"/>
  <c i="14" r="G79"/>
  <c i="15" r="G37"/>
  <c i="15" r="G80"/>
  <c i="16" r="G34"/>
  <c i="16" r="G85"/>
  <c i="17" r="C28"/>
  <c i="17" r="C79"/>
  <c i="18" r="C31"/>
  <c i="18" r="C67"/>
  <c i="19" r="G38"/>
  <c i="21" r="C22"/>
  <c i="21" r="C78"/>
  <c i="16" r="C45"/>
  <c i="17" r="G16"/>
  <c i="16" r="G53"/>
  <c i="11" r="G70"/>
  <c i="8" r="C17"/>
  <c i="8" r="G24"/>
  <c i="8" r="G67"/>
  <c i="9" r="C36"/>
  <c i="11" r="G17"/>
  <c i="11" r="G48"/>
  <c i="11" r="G91"/>
  <c i="12" r="C58"/>
  <c i="14" r="G43"/>
  <c i="14" r="G81"/>
  <c i="15" r="C38"/>
  <c i="15" r="G81"/>
  <c i="16" r="G35"/>
  <c i="16" r="G87"/>
  <c i="17" r="C29"/>
  <c i="17" r="C81"/>
  <c i="18" r="C32"/>
  <c i="18" r="C70"/>
  <c i="19" r="C40"/>
  <c i="21" r="C29"/>
  <c i="21" r="C79"/>
  <c i="22" r="C68"/>
  <c i="22" r="G42"/>
  <c i="22" r="G68"/>
  <c i="22" r="C70"/>
  <c i="22" r="G70"/>
  <c i="22" r="C72"/>
  <c i="22" r="G72"/>
  <c i="20" r="C13"/>
  <c i="20" r="C42"/>
  <c i="20" r="C70"/>
  <c i="22" r="G20"/>
  <c i="22" r="C46"/>
  <c i="12" r="G14"/>
  <c i="13" r="G35"/>
  <c i="13" r="G91"/>
  <c i="20" r="C14"/>
  <c i="20" r="C43"/>
  <c i="20" r="C71"/>
  <c i="22" r="C21"/>
  <c i="22" r="G46"/>
  <c i="22" r="C74"/>
  <c i="22" r="G74"/>
  <c i="22" r="C76"/>
  <c i="22" r="G76"/>
  <c i="22" r="C78"/>
  <c i="22" r="G78"/>
  <c i="22" r="C80"/>
  <c i="20" r="C20"/>
  <c i="20" r="C48"/>
  <c i="20" r="C77"/>
  <c i="22" r="C26"/>
  <c i="22" r="C51"/>
  <c i="13" r="G46"/>
  <c i="20" r="C21"/>
  <c i="20" r="C49"/>
  <c i="20" r="G77"/>
  <c i="22" r="G26"/>
  <c i="22" r="G52"/>
  <c i="22" r="G80"/>
  <c i="22" r="C82"/>
  <c i="20" r="C22"/>
  <c i="20" r="C51"/>
  <c i="20" r="C80"/>
  <c i="22" r="G28"/>
  <c i="22" r="C54"/>
  <c i="22" r="G82"/>
  <c i="22" r="C84"/>
  <c i="22" r="C30"/>
  <c i="22" r="C55"/>
  <c i="22" r="G84"/>
  <c i="22" r="C86"/>
  <c i="20" r="C23"/>
  <c i="20" r="C52"/>
  <c i="20" r="C82"/>
  <c i="20" r="C53"/>
  <c i="13" r="G54"/>
  <c i="20" r="G53"/>
  <c i="22" r="G30"/>
  <c i="13" r="G13"/>
  <c i="13" r="G56"/>
  <c i="20" r="C26"/>
  <c i="20" r="C54"/>
  <c i="20" r="C86"/>
  <c i="22" r="C31"/>
  <c i="22" r="G56"/>
  <c i="22" r="G86"/>
  <c i="20" r="C24"/>
  <c i="20" r="C83"/>
  <c i="13" r="G11"/>
  <c i="20" r="C25"/>
  <c i="20" r="C84"/>
  <c i="22" r="C56"/>
  <c i="13" r="G14"/>
  <c i="20" r="C27"/>
  <c i="20" r="C55"/>
  <c i="20" r="C87"/>
  <c i="22" r="C32"/>
  <c i="22" r="C58"/>
  <c i="22" r="G88"/>
  <c i="22" r="G90"/>
  <c i="22" r="G92"/>
  <c i="22" r="G94"/>
  <c i="20" r="C35"/>
  <c i="20" r="C63"/>
  <c i="20" r="C99"/>
  <c i="20" r="C36"/>
  <c i="20" r="C64"/>
  <c i="20" r="C100"/>
  <c i="9" r="C68"/>
  <c i="9" r="C77"/>
  <c i="9" r="C81"/>
  <c i="9" r="C97"/>
  <c i="8" r="C41"/>
  <c i="8" r="C89"/>
  <c i="8" r="C97"/>
  <c i="9" r="C13"/>
  <c i="9" r="C16"/>
  <c i="9" r="C21"/>
  <c i="9" r="C24"/>
  <c i="9" r="C29"/>
  <c i="9" r="C32"/>
  <c i="9" r="C37"/>
  <c i="9" r="C40"/>
  <c i="9" r="C45"/>
  <c i="9" r="C48"/>
  <c i="9" r="C53"/>
  <c i="9" r="C60"/>
  <c i="9" r="C69"/>
  <c i="9" r="C76"/>
  <c i="9" r="C84"/>
  <c i="9" r="C89"/>
  <c i="9" r="C94"/>
  <c i="9" r="C102"/>
  <c i="9" r="C99"/>
  <c i="9" r="C95"/>
  <c i="9" r="C91"/>
  <c i="9" r="C87"/>
  <c i="9" r="C83"/>
  <c i="9" r="C79"/>
  <c i="9" r="C74"/>
  <c i="9" r="C71"/>
  <c i="9" r="C66"/>
  <c i="9" r="C63"/>
  <c i="9" r="C58"/>
  <c i="9" r="C55"/>
  <c i="8" r="C73"/>
  <c i="8" r="C78"/>
  <c i="9" r="C11"/>
  <c i="9" r="C14"/>
  <c i="9" r="C19"/>
  <c i="9" r="C22"/>
  <c i="9" r="C27"/>
  <c i="9" r="C30"/>
  <c i="9" r="C35"/>
  <c i="9" r="C38"/>
  <c i="9" r="C43"/>
  <c i="9" r="C46"/>
  <c i="9" r="C51"/>
  <c i="9" r="C54"/>
  <c i="9" r="C57"/>
  <c i="9" r="C64"/>
  <c i="9" r="C67"/>
  <c i="9" r="C70"/>
  <c i="9" r="C73"/>
  <c i="9" r="C80"/>
  <c i="9" r="C85"/>
  <c i="9" r="C90"/>
  <c i="9" r="C96"/>
  <c i="9" r="C101"/>
  <c i="9" r="C86"/>
  <c i="9" r="C92"/>
  <c i="9" r="C15"/>
  <c i="9" r="C18"/>
  <c i="9" r="C23"/>
  <c i="9" r="C26"/>
  <c i="9" r="C31"/>
  <c i="9" r="C34"/>
  <c i="9" r="C39"/>
  <c i="9" r="C42"/>
  <c i="9" r="C47"/>
  <c i="9" r="C50"/>
  <c i="9" r="C56"/>
  <c i="9" r="C59"/>
  <c i="9" r="C62"/>
  <c i="9" r="C65"/>
  <c i="9" r="C72"/>
  <c i="9" r="C75"/>
  <c i="9" r="C78"/>
  <c i="9" r="C82"/>
  <c i="9" r="C88"/>
  <c i="9" r="C93"/>
  <c i="9" r="C98"/>
  <c i="12" r="C102"/>
  <c i="12" r="C99"/>
  <c i="12" r="C95"/>
  <c i="12" r="C91"/>
  <c i="12" r="C87"/>
  <c i="13" r="C102"/>
  <c i="13" r="C98"/>
  <c i="13" r="C90"/>
  <c i="13" r="C82"/>
  <c i="13" r="C74"/>
  <c i="13" r="C66"/>
  <c i="13" r="C58"/>
  <c i="13" r="C50"/>
  <c i="13" r="C42"/>
  <c i="13" r="C34"/>
  <c i="13" r="C26"/>
  <c i="13" r="C18"/>
  <c i="13" r="C96"/>
  <c i="13" r="C88"/>
  <c i="13" r="C80"/>
  <c i="13" r="C72"/>
  <c i="13" r="C64"/>
  <c i="13" r="C56"/>
  <c i="13" r="C48"/>
  <c i="13" r="C40"/>
  <c i="13" r="C32"/>
  <c i="14" r="C102"/>
  <c i="14" r="C99"/>
  <c i="14" r="C94"/>
  <c i="14" r="C91"/>
  <c i="14" r="C95"/>
  <c i="14" r="C92"/>
  <c i="14" r="C88"/>
  <c i="14" r="C83"/>
  <c i="14" r="C80"/>
  <c i="14" r="C75"/>
  <c i="14" r="C72"/>
  <c i="14" r="C67"/>
  <c i="14" r="C100"/>
  <c i="14" r="C96"/>
  <c i="14" r="C89"/>
  <c i="14" r="C86"/>
  <c i="14" r="C81"/>
  <c i="14" r="C78"/>
  <c i="14" r="C73"/>
  <c i="14" r="C70"/>
  <c i="14" r="C65"/>
  <c i="14" r="C63"/>
  <c i="14" r="C61"/>
  <c i="14" r="C59"/>
  <c i="14" r="C57"/>
  <c i="14" r="C55"/>
  <c i="14" r="C53"/>
  <c i="14" r="C51"/>
  <c i="14" r="C49"/>
  <c i="14" r="C47"/>
  <c i="14" r="C45"/>
  <c i="14" r="C43"/>
  <c i="14" r="C41"/>
  <c i="14" r="C39"/>
  <c i="14" r="C37"/>
  <c i="14" r="C35"/>
  <c i="14" r="C33"/>
  <c i="14" r="C31"/>
  <c i="14" r="C29"/>
  <c i="14" r="C27"/>
  <c i="14" r="C25"/>
  <c i="14" r="C23"/>
  <c i="14" r="C21"/>
  <c i="14" r="C19"/>
  <c i="14" r="C17"/>
  <c i="14" r="C15"/>
  <c i="14" r="C13"/>
  <c i="14" r="C11"/>
  <c i="11" r="C36"/>
  <c i="11" r="C44"/>
  <c i="11" r="C52"/>
  <c i="11" r="C60"/>
  <c i="11" r="C68"/>
  <c i="11" r="C76"/>
  <c i="11" r="C84"/>
  <c i="11" r="C92"/>
  <c i="11" r="C100"/>
  <c i="12" r="C15"/>
  <c i="12" r="C19"/>
  <c i="12" r="C23"/>
  <c i="12" r="C27"/>
  <c i="12" r="C31"/>
  <c i="12" r="C35"/>
  <c i="12" r="C39"/>
  <c i="12" r="C43"/>
  <c i="12" r="C47"/>
  <c i="12" r="C51"/>
  <c i="12" r="C55"/>
  <c i="12" r="C59"/>
  <c i="12" r="C63"/>
  <c i="12" r="C67"/>
  <c i="12" r="C71"/>
  <c i="12" r="C75"/>
  <c i="12" r="C79"/>
  <c i="12" r="C83"/>
  <c i="12" r="C88"/>
  <c i="12" r="C93"/>
  <c i="12" r="C98"/>
  <c i="13" r="C14"/>
  <c i="13" r="C28"/>
  <c i="13" r="C44"/>
  <c i="13" r="C60"/>
  <c i="13" r="C76"/>
  <c i="13" r="C92"/>
  <c i="13" r="G102"/>
  <c i="13" r="G100"/>
  <c i="13" r="G95"/>
  <c i="13" r="G92"/>
  <c i="13" r="G87"/>
  <c i="13" r="G84"/>
  <c i="13" r="G79"/>
  <c i="13" r="G76"/>
  <c i="13" r="G71"/>
  <c i="13" r="G68"/>
  <c i="13" r="G63"/>
  <c i="13" r="G60"/>
  <c i="13" r="G55"/>
  <c i="13" r="G52"/>
  <c i="13" r="G47"/>
  <c i="13" r="G44"/>
  <c i="13" r="G39"/>
  <c i="13" r="G36"/>
  <c i="13" r="G31"/>
  <c i="13" r="G28"/>
  <c i="13" r="G23"/>
  <c i="13" r="G20"/>
  <c i="13" r="G15"/>
  <c i="13" r="G12"/>
  <c i="13" r="G101"/>
  <c i="13" r="G98"/>
  <c i="13" r="G93"/>
  <c i="13" r="G90"/>
  <c i="13" r="G85"/>
  <c i="13" r="G82"/>
  <c i="13" r="G77"/>
  <c i="13" r="G74"/>
  <c i="13" r="G69"/>
  <c i="13" r="G66"/>
  <c i="13" r="G61"/>
  <c i="13" r="G58"/>
  <c i="13" r="G53"/>
  <c i="13" r="G50"/>
  <c i="13" r="G45"/>
  <c i="13" r="G42"/>
  <c i="13" r="G37"/>
  <c i="13" r="G34"/>
  <c i="13" r="G29"/>
  <c i="14" r="C16"/>
  <c i="14" r="C24"/>
  <c i="14" r="C32"/>
  <c i="14" r="C40"/>
  <c i="14" r="C48"/>
  <c i="14" r="C56"/>
  <c i="14" r="C64"/>
  <c i="14" r="C71"/>
  <c i="14" r="C79"/>
  <c i="14" r="C87"/>
  <c i="14" r="C98"/>
  <c i="11" r="C16"/>
  <c i="11" r="C24"/>
  <c i="11" r="C32"/>
  <c i="11" r="C40"/>
  <c i="11" r="G42"/>
  <c i="11" r="G45"/>
  <c i="11" r="C48"/>
  <c i="11" r="G50"/>
  <c i="11" r="G53"/>
  <c i="11" r="C56"/>
  <c i="11" r="G58"/>
  <c i="11" r="G61"/>
  <c i="11" r="C64"/>
  <c i="11" r="G66"/>
  <c i="11" r="G69"/>
  <c i="11" r="C72"/>
  <c i="11" r="G74"/>
  <c i="11" r="G77"/>
  <c i="11" r="C80"/>
  <c i="11" r="G82"/>
  <c i="11" r="G85"/>
  <c i="11" r="C88"/>
  <c i="11" r="G90"/>
  <c i="11" r="G93"/>
  <c i="11" r="C96"/>
  <c i="11" r="G98"/>
  <c i="12" r="C11"/>
  <c i="12" r="C14"/>
  <c i="12" r="C17"/>
  <c i="12" r="C21"/>
  <c i="12" r="C25"/>
  <c i="12" r="C29"/>
  <c i="12" r="C33"/>
  <c i="12" r="C37"/>
  <c i="12" r="C41"/>
  <c i="12" r="C45"/>
  <c i="12" r="C49"/>
  <c i="12" r="C53"/>
  <c i="12" r="C57"/>
  <c i="12" r="C61"/>
  <c i="12" r="C65"/>
  <c i="12" r="C69"/>
  <c i="12" r="C73"/>
  <c i="12" r="C77"/>
  <c i="12" r="C81"/>
  <c i="12" r="C85"/>
  <c i="12" r="C90"/>
  <c i="12" r="C96"/>
  <c i="12" r="C101"/>
  <c i="13" r="C12"/>
  <c i="13" r="C16"/>
  <c i="13" r="C36"/>
  <c i="13" r="C52"/>
  <c i="13" r="C68"/>
  <c i="13" r="G73"/>
  <c i="13" r="G78"/>
  <c i="13" r="C84"/>
  <c i="13" r="G89"/>
  <c i="13" r="G94"/>
  <c i="13" r="C100"/>
  <c i="14" r="C12"/>
  <c i="14" r="C20"/>
  <c i="14" r="C28"/>
  <c i="14" r="C36"/>
  <c i="14" r="C44"/>
  <c i="14" r="C52"/>
  <c i="14" r="C60"/>
  <c i="14" r="C69"/>
  <c i="14" r="C77"/>
  <c i="14" r="C85"/>
  <c i="14" r="C90"/>
  <c i="14" r="C101"/>
  <c i="15" r="C22"/>
  <c i="15" r="C36"/>
  <c i="15" r="C40"/>
  <c i="16" r="C17"/>
  <c i="16" r="C25"/>
  <c i="16" r="C33"/>
  <c i="16" r="C39"/>
  <c i="16" r="C43"/>
  <c i="16" r="C47"/>
  <c i="16" r="C51"/>
  <c i="16" r="C55"/>
  <c i="16" r="C59"/>
  <c i="16" r="C63"/>
  <c i="16" r="C67"/>
  <c i="16" r="C71"/>
  <c i="16" r="C75"/>
  <c i="16" r="C79"/>
  <c i="16" r="C83"/>
  <c i="16" r="C87"/>
  <c i="16" r="C97"/>
  <c i="15" r="C102"/>
  <c i="15" r="C98"/>
  <c i="15" r="C90"/>
  <c i="15" r="C82"/>
  <c i="15" r="C74"/>
  <c i="15" r="C66"/>
  <c i="15" r="C58"/>
  <c i="15" r="C50"/>
  <c i="15" r="C42"/>
  <c i="15" r="C34"/>
  <c i="15" r="C26"/>
  <c i="15" r="C18"/>
  <c i="15" r="C100"/>
  <c i="15" r="C92"/>
  <c i="15" r="C84"/>
  <c i="15" r="C76"/>
  <c i="15" r="C68"/>
  <c i="16" r="C15"/>
  <c i="16" r="C23"/>
  <c i="16" r="C101"/>
  <c i="16" r="C98"/>
  <c i="16" r="C95"/>
  <c i="16" r="C93"/>
  <c i="16" r="C91"/>
  <c i="16" r="C102"/>
  <c i="16" r="C92"/>
  <c i="16" r="C100"/>
  <c i="16" r="C99"/>
  <c i="16" r="C96"/>
  <c i="16" r="C90"/>
  <c i="16" r="C88"/>
  <c i="16" r="C86"/>
  <c i="16" r="C84"/>
  <c i="16" r="C82"/>
  <c i="16" r="C80"/>
  <c i="16" r="C78"/>
  <c i="16" r="C76"/>
  <c i="16" r="C74"/>
  <c i="16" r="C72"/>
  <c i="16" r="C70"/>
  <c i="16" r="C68"/>
  <c i="16" r="C66"/>
  <c i="16" r="C64"/>
  <c i="16" r="C62"/>
  <c i="16" r="C60"/>
  <c i="16" r="C58"/>
  <c i="16" r="C56"/>
  <c i="16" r="C54"/>
  <c i="16" r="C52"/>
  <c i="16" r="C50"/>
  <c i="16" r="C48"/>
  <c i="16" r="C46"/>
  <c i="16" r="C44"/>
  <c i="16" r="C42"/>
  <c i="16" r="C40"/>
  <c i="16" r="C38"/>
  <c i="16" r="C36"/>
  <c i="16" r="C34"/>
  <c i="16" r="C32"/>
  <c i="16" r="C30"/>
  <c i="16" r="C28"/>
  <c i="16" r="C26"/>
  <c i="16" r="C24"/>
  <c i="16" r="C22"/>
  <c i="16" r="C20"/>
  <c i="16" r="C18"/>
  <c i="16" r="C16"/>
  <c i="16" r="C14"/>
  <c i="16" r="C12"/>
  <c i="14" r="G102"/>
  <c i="14" r="G96"/>
  <c i="14" r="G88"/>
  <c i="14" r="G86"/>
  <c i="14" r="G84"/>
  <c i="14" r="G82"/>
  <c i="14" r="G80"/>
  <c i="14" r="G78"/>
  <c i="14" r="G76"/>
  <c i="14" r="G74"/>
  <c i="14" r="G72"/>
  <c i="14" r="G70"/>
  <c i="14" r="G68"/>
  <c i="14" r="G66"/>
  <c i="15" r="C14"/>
  <c i="15" r="C28"/>
  <c i="15" r="C32"/>
  <c i="15" r="C46"/>
  <c i="15" r="C60"/>
  <c i="15" r="C64"/>
  <c i="15" r="C72"/>
  <c i="15" r="C80"/>
  <c i="15" r="C88"/>
  <c i="15" r="C96"/>
  <c i="16" r="C11"/>
  <c i="16" r="C19"/>
  <c i="16" r="C27"/>
  <c i="16" r="C35"/>
  <c i="17" r="G91"/>
  <c i="17" r="G87"/>
  <c i="17" r="G73"/>
  <c i="17" r="G67"/>
  <c i="17" r="G59"/>
  <c i="17" r="G51"/>
  <c i="17" r="G43"/>
  <c i="17" r="G35"/>
  <c i="17" r="G83"/>
  <c i="17" r="G79"/>
  <c i="17" r="G69"/>
  <c i="17" r="G61"/>
  <c i="17" r="G53"/>
  <c i="17" r="G45"/>
  <c i="17" r="G37"/>
  <c i="17" r="G29"/>
  <c i="17" r="G95"/>
  <c i="17" r="G81"/>
  <c i="17" r="G65"/>
  <c i="17" r="G57"/>
  <c i="17" r="G49"/>
  <c i="17" r="G41"/>
  <c i="15" r="G12"/>
  <c i="15" r="G15"/>
  <c i="15" r="G20"/>
  <c i="15" r="G23"/>
  <c i="15" r="G28"/>
  <c i="15" r="G31"/>
  <c i="15" r="G36"/>
  <c i="15" r="G39"/>
  <c i="15" r="G44"/>
  <c i="15" r="G47"/>
  <c i="15" r="G52"/>
  <c i="15" r="G55"/>
  <c i="15" r="G60"/>
  <c i="15" r="G63"/>
  <c i="15" r="G68"/>
  <c i="15" r="G71"/>
  <c i="15" r="G76"/>
  <c i="15" r="G79"/>
  <c i="15" r="G84"/>
  <c i="15" r="G87"/>
  <c i="15" r="G92"/>
  <c i="15" r="G95"/>
  <c i="15" r="G100"/>
  <c i="16" r="G38"/>
  <c i="16" r="G40"/>
  <c i="16" r="G42"/>
  <c i="16" r="G44"/>
  <c i="16" r="G46"/>
  <c i="16" r="G48"/>
  <c i="16" r="G50"/>
  <c i="16" r="G52"/>
  <c i="16" r="G54"/>
  <c i="16" r="G56"/>
  <c i="16" r="G58"/>
  <c i="16" r="G60"/>
  <c i="16" r="G62"/>
  <c i="16" r="G64"/>
  <c i="16" r="G66"/>
  <c i="16" r="G68"/>
  <c i="16" r="G70"/>
  <c i="16" r="G72"/>
  <c i="16" r="G74"/>
  <c i="16" r="G76"/>
  <c i="16" r="G78"/>
  <c i="16" r="G80"/>
  <c i="16" r="G82"/>
  <c i="16" r="G84"/>
  <c i="16" r="G86"/>
  <c i="16" r="G88"/>
  <c i="16" r="G90"/>
  <c i="16" r="G93"/>
  <c i="16" r="G96"/>
  <c i="17" r="G39"/>
  <c i="17" r="G55"/>
  <c i="17" r="G75"/>
  <c i="19" r="G11"/>
  <c i="19" r="G16"/>
  <c i="19" r="G19"/>
  <c i="19" r="G24"/>
  <c i="19" r="G27"/>
  <c i="19" r="G32"/>
  <c i="19" r="G35"/>
  <c i="19" r="G40"/>
  <c i="19" r="G43"/>
  <c i="19" r="G48"/>
  <c i="19" r="G51"/>
  <c i="19" r="G56"/>
  <c i="19" r="G59"/>
  <c i="19" r="G64"/>
  <c i="19" r="G67"/>
  <c i="19" r="G72"/>
  <c i="19" r="G75"/>
  <c i="19" r="G80"/>
  <c i="19" r="G83"/>
  <c i="19" r="G88"/>
  <c i="19" r="G91"/>
  <c i="19" r="G96"/>
  <c i="19" r="G99"/>
  <c i="20" r="G11"/>
  <c i="20" r="G13"/>
  <c i="20" r="G15"/>
  <c i="20" r="G23"/>
  <c i="20" r="G31"/>
  <c i="20" r="G39"/>
  <c i="20" r="G47"/>
  <c i="20" r="G55"/>
  <c i="20" r="G63"/>
  <c i="20" r="G71"/>
  <c i="20" r="G79"/>
  <c i="21" r="G12"/>
  <c i="21" r="G20"/>
  <c i="21" r="G31"/>
  <c i="21" r="G37"/>
  <c i="21" r="G57"/>
  <c i="21" r="G63"/>
  <c i="21" r="G69"/>
  <c i="17" r="C48"/>
  <c i="17" r="C51"/>
  <c i="17" r="C56"/>
  <c i="17" r="C59"/>
  <c i="17" r="C64"/>
  <c i="17" r="C67"/>
  <c i="17" r="C73"/>
  <c i="17" r="C76"/>
  <c i="17" r="C87"/>
  <c i="17" r="C90"/>
  <c i="17" r="C94"/>
  <c i="17" r="C98"/>
  <c i="18" r="G64"/>
  <c i="19" r="G12"/>
  <c i="19" r="G15"/>
  <c i="19" r="G20"/>
  <c i="19" r="G23"/>
  <c i="19" r="G28"/>
  <c i="19" r="G31"/>
  <c i="19" r="G36"/>
  <c i="19" r="G39"/>
  <c i="19" r="G44"/>
  <c i="19" r="G47"/>
  <c i="19" r="G52"/>
  <c i="19" r="G55"/>
  <c i="19" r="G60"/>
  <c i="19" r="G63"/>
  <c i="19" r="G68"/>
  <c i="19" r="G71"/>
  <c i="19" r="C74"/>
  <c i="19" r="G76"/>
  <c i="19" r="G79"/>
  <c i="19" r="C82"/>
  <c i="19" r="G84"/>
  <c i="19" r="G87"/>
  <c i="19" r="C90"/>
  <c i="19" r="G92"/>
  <c i="19" r="G95"/>
  <c i="19" r="C98"/>
  <c i="19" r="G100"/>
  <c i="19" r="G102"/>
  <c i="20" r="G12"/>
  <c i="20" r="G14"/>
  <c i="20" r="G19"/>
  <c i="20" r="G27"/>
  <c i="20" r="G35"/>
  <c i="20" r="G43"/>
  <c i="20" r="G51"/>
  <c i="20" r="G59"/>
  <c i="20" r="G67"/>
  <c i="20" r="G75"/>
  <c i="20" r="C78"/>
  <c i="20" r="C81"/>
  <c i="20" r="C85"/>
  <c i="20" r="C89"/>
  <c i="20" r="C93"/>
  <c i="20" r="C97"/>
  <c i="21" r="G16"/>
  <c i="21" r="G24"/>
  <c i="21" r="G41"/>
  <c i="21" r="G47"/>
  <c i="21" r="G53"/>
  <c i="21" r="G73"/>
  <c i="21" r="C77"/>
  <c i="21" r="G79"/>
  <c i="21" r="C82"/>
  <c i="21" r="C86"/>
  <c i="21" r="G89"/>
  <c i="21" r="C93"/>
  <c i="21" r="C97"/>
  <c i="21" r="C100"/>
  <c i="17" r="C95"/>
  <c i="17" r="C101"/>
  <c i="19" r="G13"/>
  <c i="19" r="G18"/>
  <c i="19" r="G21"/>
  <c i="19" r="G26"/>
  <c i="19" r="G29"/>
  <c i="19" r="G34"/>
  <c i="19" r="G37"/>
  <c i="19" r="G42"/>
  <c i="19" r="G45"/>
  <c i="19" r="G50"/>
  <c i="19" r="G53"/>
  <c i="19" r="G58"/>
  <c i="19" r="G61"/>
  <c i="19" r="G66"/>
  <c i="19" r="G69"/>
  <c i="19" r="G74"/>
  <c i="19" r="G77"/>
  <c i="19" r="G82"/>
  <c i="19" r="G85"/>
  <c i="19" r="G90"/>
  <c i="19" r="G93"/>
  <c i="19" r="G98"/>
  <c i="20" r="G17"/>
  <c i="20" r="G25"/>
  <c i="20" r="G33"/>
  <c i="20" r="G41"/>
  <c i="20" r="G49"/>
  <c i="20" r="G57"/>
  <c i="20" r="G65"/>
  <c i="20" r="G73"/>
  <c i="21" r="G14"/>
  <c i="21" r="G22"/>
  <c i="21" r="G33"/>
  <c i="21" r="G39"/>
  <c i="21" r="G45"/>
  <c i="21" r="G65"/>
  <c i="21" r="G71"/>
  <c i="21" r="G77"/>
  <c i="21" r="C80"/>
  <c i="21" r="C83"/>
  <c i="21" r="C87"/>
  <c i="21" r="C90"/>
  <c i="21" r="C94"/>
  <c i="21" r="G97"/>
  <c i="21" r="C101"/>
  <c i="21" r="G11"/>
  <c i="21" r="G13"/>
  <c i="21" r="G15"/>
  <c i="21" r="G17"/>
  <c i="21" r="G19"/>
  <c i="21" r="G21"/>
  <c i="21" r="G23"/>
  <c i="21" r="G25"/>
  <c i="21" r="G27"/>
  <c i="21" r="G35"/>
  <c i="21" r="G43"/>
  <c i="21" r="G51"/>
  <c i="21" r="G59"/>
  <c i="21" r="G67"/>
  <c i="21" r="G75"/>
  <c i="21" r="G83"/>
  <c i="21" r="G91"/>
  <c i="22" r="C12"/>
  <c i="22" r="C17"/>
  <c i="22" r="C20"/>
  <c i="22" r="C25"/>
  <c i="22" r="C28"/>
  <c i="22" r="C33"/>
  <c i="22" r="C36"/>
  <c i="22" r="C41"/>
  <c i="22" r="C44"/>
  <c i="22" r="C49"/>
  <c i="22" r="C52"/>
  <c i="22" r="C57"/>
  <c i="22" r="C60"/>
  <c i="21" r="G100"/>
  <c i="21" r="G98"/>
  <c i="21" r="G96"/>
  <c i="21" r="G94"/>
  <c i="21" r="G92"/>
  <c i="21" r="G90"/>
  <c i="21" r="G88"/>
  <c i="21" r="G86"/>
  <c i="21" r="G84"/>
  <c i="21" r="G82"/>
  <c i="21" r="G80"/>
  <c i="21" r="G78"/>
  <c i="21" r="G76"/>
  <c i="21" r="G74"/>
  <c i="21" r="G72"/>
  <c i="21" r="G70"/>
  <c i="21" r="G68"/>
  <c i="21" r="G66"/>
  <c i="21" r="G64"/>
  <c i="21" r="G62"/>
  <c i="21" r="G60"/>
  <c i="21" r="G58"/>
  <c i="21" r="G56"/>
  <c i="21" r="G54"/>
  <c i="21" r="G52"/>
  <c i="21" r="G50"/>
  <c i="21" r="G48"/>
  <c i="21" r="G46"/>
  <c i="21" r="G44"/>
  <c i="21" r="G42"/>
  <c i="21" r="G40"/>
  <c i="21" r="G38"/>
  <c i="21" r="G36"/>
  <c i="21" r="G34"/>
  <c i="21" r="G32"/>
  <c i="21" r="G30"/>
  <c i="21" r="G28"/>
  <c i="22" r="C101"/>
  <c i="22" r="C99"/>
  <c i="22" r="C97"/>
  <c i="22" r="C95"/>
  <c i="22" r="C93"/>
  <c i="22" r="C91"/>
  <c i="22" r="C89"/>
  <c i="22" r="C87"/>
  <c i="22" r="C85"/>
  <c i="22" r="C83"/>
  <c i="22" r="C81"/>
  <c i="22" r="C79"/>
  <c i="22" r="C77"/>
  <c i="22" r="C75"/>
  <c i="22" r="C73"/>
  <c i="22" r="C71"/>
  <c i="22" r="C69"/>
  <c i="22" r="C67"/>
  <c i="21" r="G87"/>
  <c i="21" r="G95"/>
  <c i="21" r="G102"/>
  <c i="22" r="C102"/>
  <c i="21" r="G85"/>
  <c i="21" r="G93"/>
  <c i="21" r="G101"/>
  <c i="22" r="C88"/>
  <c i="22" r="C92"/>
  <c i="22" r="C96"/>
  <c i="22" r="C100"/>
  <c i="22" r="G11"/>
  <c i="22" r="G13"/>
  <c i="22" r="G15"/>
  <c i="22" r="G17"/>
  <c i="22" r="G19"/>
  <c i="22" r="G21"/>
  <c i="22" r="G23"/>
  <c i="22" r="G25"/>
  <c i="22" r="G27"/>
  <c i="22" r="G29"/>
  <c i="22" r="G31"/>
  <c i="22" r="G33"/>
  <c i="22" r="G35"/>
  <c i="22" r="G37"/>
  <c i="22" r="G39"/>
  <c i="22" r="G41"/>
  <c i="22" r="G43"/>
  <c i="22" r="G45"/>
  <c i="22" r="G47"/>
  <c i="22" r="G49"/>
  <c i="22" r="G51"/>
  <c i="22" r="G53"/>
  <c i="22" r="G55"/>
  <c i="22" r="G57"/>
  <c i="22" r="G59"/>
  <c i="22" r="G61"/>
  <c i="22" r="G63"/>
  <c i="22" r="G65"/>
  <c i="22" r="G67"/>
  <c i="22" r="G69"/>
  <c i="22" r="G71"/>
  <c i="22" r="G73"/>
  <c i="22" r="G75"/>
  <c i="22" r="G77"/>
  <c i="22" r="G79"/>
  <c i="22" r="G81"/>
  <c i="22" r="G83"/>
  <c i="22" r="G85"/>
  <c i="22" r="G87"/>
  <c i="22" r="G89"/>
  <c i="22" r="G91"/>
  <c i="22" r="G93"/>
  <c i="22" r="G95"/>
  <c i="22" r="G97"/>
  <c i="22" r="G99"/>
  <c i="22" r="G101"/>
  <c i="19" r="C11"/>
  <c i="19" r="C13"/>
  <c i="19" r="C15"/>
  <c i="19" r="C17"/>
  <c i="19" r="C19"/>
  <c i="19" r="C21"/>
  <c i="19" r="C23"/>
  <c i="19" r="C25"/>
  <c i="19" r="C27"/>
  <c i="19" r="C29"/>
  <c i="19" r="C31"/>
  <c i="19" r="C33"/>
  <c i="19" r="C35"/>
  <c i="19" r="C37"/>
  <c i="19" r="C39"/>
  <c i="19" r="C41"/>
  <c i="19" r="C43"/>
  <c i="19" r="C45"/>
  <c i="19" r="C47"/>
  <c i="19" r="C49"/>
  <c i="19" r="C51"/>
  <c i="19" r="C53"/>
  <c i="19" r="C55"/>
  <c i="19" r="C57"/>
  <c i="19" r="C59"/>
  <c i="19" r="C61"/>
  <c i="19" r="C63"/>
  <c i="19" r="C65"/>
  <c i="19" r="C67"/>
  <c i="19" r="C69"/>
  <c i="19" r="C71"/>
  <c i="19" r="C73"/>
  <c i="19" r="C75"/>
  <c i="19" r="C77"/>
  <c i="19" r="C79"/>
  <c i="19" r="C81"/>
  <c i="19" r="C83"/>
  <c i="19" r="C85"/>
  <c i="19" r="C87"/>
  <c i="19" r="C89"/>
  <c i="19" r="C91"/>
  <c i="19" r="C93"/>
  <c i="19" r="C95"/>
  <c i="19" r="C97"/>
  <c i="19" r="C99"/>
  <c i="19" r="C101"/>
  <c i="20" r="G16"/>
  <c i="20" r="G18"/>
  <c i="20" r="G20"/>
  <c i="20" r="G22"/>
  <c i="20" r="G24"/>
  <c i="20" r="G26"/>
  <c i="20" r="G28"/>
  <c i="20" r="G30"/>
  <c i="20" r="G32"/>
  <c i="20" r="G34"/>
  <c i="20" r="G36"/>
  <c i="20" r="G38"/>
  <c i="20" r="G40"/>
  <c i="20" r="G42"/>
  <c i="20" r="G44"/>
  <c i="20" r="G46"/>
  <c i="20" r="G48"/>
  <c i="20" r="G50"/>
  <c i="20" r="G52"/>
  <c i="20" r="G54"/>
  <c i="20" r="G56"/>
  <c i="20" r="G58"/>
  <c i="20" r="G60"/>
  <c i="20" r="G62"/>
  <c i="20" r="G64"/>
  <c i="20" r="G66"/>
  <c i="20" r="G68"/>
  <c i="20" r="G70"/>
  <c i="20" r="G72"/>
  <c i="20" r="G74"/>
  <c i="20" r="G76"/>
  <c i="20" r="G78"/>
  <c i="20" r="G80"/>
  <c i="20" r="G82"/>
  <c i="20" r="G84"/>
  <c i="20" r="G86"/>
  <c i="20" r="G88"/>
  <c i="20" r="G90"/>
  <c i="20" r="G92"/>
  <c i="20" r="G94"/>
  <c i="20" r="G96"/>
  <c i="20" r="G98"/>
  <c i="20" r="G100"/>
  <c i="20" r="G81"/>
  <c i="20" r="G83"/>
  <c i="20" r="G85"/>
  <c i="20" r="G87"/>
  <c i="20" r="G89"/>
  <c i="20" r="G91"/>
  <c i="20" r="G93"/>
  <c i="20" r="G95"/>
  <c i="20" r="G97"/>
  <c i="20" r="G99"/>
  <c i="20" r="G101"/>
  <c i="17" r="C99"/>
  <c i="17" r="G100"/>
  <c i="17" r="G98"/>
  <c i="17" r="G96"/>
  <c i="17" r="G94"/>
  <c i="17" r="G92"/>
  <c i="17" r="G90"/>
  <c i="17" r="G88"/>
  <c i="17" r="G86"/>
  <c i="17" r="G84"/>
  <c i="17" r="G82"/>
  <c i="17" r="G80"/>
  <c i="17" r="G78"/>
  <c i="17" r="G76"/>
  <c i="17" r="G74"/>
  <c i="17" r="G72"/>
  <c i="17" r="G70"/>
  <c i="17" r="G68"/>
  <c i="17" r="G66"/>
  <c i="17" r="G64"/>
  <c i="17" r="G62"/>
  <c i="17" r="G60"/>
  <c i="17" r="G58"/>
  <c i="17" r="G56"/>
  <c i="17" r="G54"/>
  <c i="17" r="G52"/>
  <c i="17" r="G50"/>
  <c i="17" r="G48"/>
  <c i="17" r="G46"/>
  <c i="17" r="G44"/>
  <c i="17" r="G42"/>
  <c i="17" r="G40"/>
  <c i="17" r="G38"/>
  <c i="17" r="G36"/>
  <c i="17" r="G34"/>
  <c i="17" r="G32"/>
  <c i="17" r="G30"/>
  <c i="17" r="G28"/>
  <c i="17" r="G102"/>
  <c i="17" r="G101"/>
  <c i="17" r="G99"/>
  <c i="17" r="G97"/>
  <c i="17" r="C72"/>
  <c i="17" r="C75"/>
  <c i="17" r="G77"/>
  <c i="17" r="C80"/>
  <c i="17" r="C83"/>
  <c i="17" r="G85"/>
  <c i="17" r="C88"/>
  <c i="17" r="C91"/>
  <c i="17" r="G93"/>
  <c i="17" r="C96"/>
  <c i="17" r="C100"/>
  <c i="18" r="G72"/>
  <c i="18" r="G74"/>
  <c i="18" r="G76"/>
  <c i="18" r="G78"/>
  <c i="18" r="G80"/>
  <c i="18" r="G82"/>
  <c i="18" r="G84"/>
  <c i="18" r="G86"/>
  <c i="18" r="G88"/>
  <c i="18" r="G90"/>
  <c i="18" r="G92"/>
  <c i="18" r="G94"/>
  <c i="18" r="G96"/>
  <c i="18" r="G98"/>
  <c i="18" r="G100"/>
  <c i="18" r="C102"/>
  <c i="18" r="G11"/>
  <c i="18" r="G13"/>
  <c i="18" r="G15"/>
  <c i="18" r="G17"/>
  <c i="18" r="G19"/>
  <c i="18" r="G21"/>
  <c i="18" r="G23"/>
  <c i="18" r="G25"/>
  <c i="18" r="G27"/>
  <c i="18" r="G29"/>
  <c i="18" r="G31"/>
  <c i="18" r="G33"/>
  <c i="18" r="G35"/>
  <c i="18" r="G37"/>
  <c i="18" r="G39"/>
  <c i="18" r="G41"/>
  <c i="18" r="G43"/>
  <c i="18" r="G45"/>
  <c i="18" r="G47"/>
  <c i="18" r="G49"/>
  <c i="18" r="G51"/>
  <c i="18" r="G53"/>
  <c i="18" r="G55"/>
  <c i="18" r="G57"/>
  <c i="18" r="G59"/>
  <c i="18" r="G61"/>
  <c i="18" r="G63"/>
  <c i="18" r="G65"/>
  <c i="18" r="G67"/>
  <c i="18" r="G69"/>
  <c i="18" r="G71"/>
  <c i="18" r="G73"/>
  <c i="18" r="G75"/>
  <c i="18" r="G77"/>
  <c i="18" r="G79"/>
  <c i="18" r="G81"/>
  <c i="18" r="G83"/>
  <c i="18" r="G85"/>
  <c i="18" r="G87"/>
  <c i="18" r="G89"/>
  <c i="18" r="G91"/>
  <c i="18" r="G93"/>
  <c i="18" r="G95"/>
  <c i="18" r="G97"/>
  <c i="18" r="G99"/>
  <c i="18" r="G101"/>
  <c i="15" r="C11"/>
  <c i="15" r="C13"/>
  <c i="15" r="C15"/>
  <c i="15" r="C17"/>
  <c i="15" r="C19"/>
  <c i="15" r="C21"/>
  <c i="15" r="C23"/>
  <c i="15" r="C25"/>
  <c i="15" r="C27"/>
  <c i="15" r="C29"/>
  <c i="15" r="C31"/>
  <c i="15" r="C33"/>
  <c i="15" r="C35"/>
  <c i="15" r="C37"/>
  <c i="15" r="C39"/>
  <c i="15" r="C41"/>
  <c i="15" r="C43"/>
  <c i="15" r="C45"/>
  <c i="15" r="C47"/>
  <c i="15" r="C49"/>
  <c i="15" r="C51"/>
  <c i="15" r="C53"/>
  <c i="15" r="C55"/>
  <c i="15" r="C57"/>
  <c i="15" r="C59"/>
  <c i="15" r="C61"/>
  <c i="15" r="C63"/>
  <c i="15" r="C65"/>
  <c i="15" r="C67"/>
  <c i="15" r="C69"/>
  <c i="15" r="C71"/>
  <c i="15" r="C73"/>
  <c i="15" r="C75"/>
  <c i="15" r="C77"/>
  <c i="15" r="C79"/>
  <c i="15" r="C81"/>
  <c i="15" r="C83"/>
  <c i="15" r="C85"/>
  <c i="15" r="C87"/>
  <c i="15" r="C89"/>
  <c i="15" r="C91"/>
  <c i="15" r="C93"/>
  <c i="15" r="C95"/>
  <c i="15" r="C97"/>
  <c i="15" r="C99"/>
  <c i="15" r="C101"/>
  <c i="16" r="G100"/>
  <c i="16" r="G95"/>
  <c i="16" r="G97"/>
  <c i="16" r="G99"/>
  <c i="16" r="G101"/>
  <c i="13" r="C11"/>
  <c i="13" r="C13"/>
  <c i="13" r="C15"/>
  <c i="13" r="C17"/>
  <c i="13" r="C19"/>
  <c i="13" r="C21"/>
  <c i="13" r="C23"/>
  <c i="13" r="C25"/>
  <c i="13" r="C27"/>
  <c i="13" r="C29"/>
  <c i="13" r="C31"/>
  <c i="13" r="C33"/>
  <c i="13" r="C35"/>
  <c i="13" r="C37"/>
  <c i="13" r="C39"/>
  <c i="13" r="C41"/>
  <c i="13" r="C43"/>
  <c i="13" r="C45"/>
  <c i="13" r="C47"/>
  <c i="13" r="C49"/>
  <c i="13" r="C51"/>
  <c i="13" r="C53"/>
  <c i="13" r="C55"/>
  <c i="13" r="C57"/>
  <c i="13" r="C59"/>
  <c i="13" r="C61"/>
  <c i="13" r="C63"/>
  <c i="13" r="C65"/>
  <c i="13" r="C67"/>
  <c i="13" r="C69"/>
  <c i="13" r="C71"/>
  <c i="13" r="C73"/>
  <c i="13" r="C75"/>
  <c i="13" r="C77"/>
  <c i="13" r="C79"/>
  <c i="13" r="C81"/>
  <c i="13" r="C83"/>
  <c i="13" r="C85"/>
  <c i="13" r="C87"/>
  <c i="13" r="C89"/>
  <c i="13" r="C91"/>
  <c i="13" r="C93"/>
  <c i="13" r="C95"/>
  <c i="13" r="C97"/>
  <c i="13" r="C99"/>
  <c i="13" r="C101"/>
  <c i="14" r="G100"/>
  <c i="14" r="G89"/>
  <c i="14" r="G91"/>
  <c i="14" r="G93"/>
  <c i="14" r="G95"/>
  <c i="14" r="G97"/>
  <c i="14" r="G99"/>
  <c i="14" r="G101"/>
  <c i="12" r="G11"/>
  <c i="12" r="G15"/>
  <c i="12" r="G17"/>
  <c i="12" r="G21"/>
  <c i="12" r="G25"/>
  <c i="12" r="G29"/>
  <c i="12" r="G47"/>
  <c i="11" r="C11"/>
  <c i="11" r="C13"/>
  <c i="11" r="C15"/>
  <c i="11" r="C17"/>
  <c i="11" r="C19"/>
  <c i="11" r="C21"/>
  <c i="11" r="C23"/>
  <c i="11" r="C25"/>
  <c i="11" r="C27"/>
  <c i="11" r="C29"/>
  <c i="11" r="C31"/>
  <c i="11" r="C33"/>
  <c i="11" r="C35"/>
  <c i="11" r="C37"/>
  <c i="11" r="C39"/>
  <c i="11" r="C41"/>
  <c i="11" r="C43"/>
  <c i="11" r="C45"/>
  <c i="11" r="C47"/>
  <c i="11" r="C49"/>
  <c i="11" r="C51"/>
  <c i="11" r="C53"/>
  <c i="11" r="C55"/>
  <c i="11" r="C57"/>
  <c i="11" r="C59"/>
  <c i="11" r="C61"/>
  <c i="11" r="C63"/>
  <c i="11" r="C65"/>
  <c i="11" r="C67"/>
  <c i="11" r="C69"/>
  <c i="11" r="C71"/>
  <c i="11" r="C73"/>
  <c i="11" r="C75"/>
  <c i="11" r="C77"/>
  <c i="11" r="C79"/>
  <c i="11" r="C81"/>
  <c i="11" r="C83"/>
  <c i="11" r="C85"/>
  <c i="11" r="C87"/>
  <c i="11" r="C89"/>
  <c i="11" r="C91"/>
  <c i="11" r="C93"/>
  <c i="11" r="C95"/>
  <c i="11" r="C97"/>
  <c i="11" r="C99"/>
  <c i="11" r="C101"/>
  <c i="12" r="G16"/>
  <c i="12" r="G18"/>
  <c i="12" r="G20"/>
  <c i="12" r="G22"/>
  <c i="12" r="G24"/>
  <c i="12" r="G26"/>
  <c i="12" r="G28"/>
  <c i="12" r="G30"/>
  <c i="12" r="G32"/>
  <c i="12" r="G34"/>
  <c i="12" r="G36"/>
  <c i="12" r="G38"/>
  <c i="12" r="G40"/>
  <c i="12" r="G42"/>
  <c i="12" r="G44"/>
  <c i="12" r="G46"/>
  <c i="12" r="G48"/>
  <c i="12" r="G50"/>
  <c i="12" r="G52"/>
  <c i="12" r="G54"/>
  <c i="12" r="G56"/>
  <c i="12" r="G58"/>
  <c i="12" r="G60"/>
  <c i="12" r="G62"/>
  <c i="12" r="G64"/>
  <c i="12" r="G66"/>
  <c i="12" r="G68"/>
  <c i="12" r="G70"/>
  <c i="12" r="G72"/>
  <c i="12" r="G74"/>
  <c i="12" r="G76"/>
  <c i="12" r="G78"/>
  <c i="12" r="G80"/>
  <c i="12" r="G82"/>
  <c i="12" r="G84"/>
  <c i="12" r="G86"/>
  <c i="12" r="G88"/>
  <c i="12" r="G90"/>
  <c i="12" r="G92"/>
  <c i="12" r="G94"/>
  <c i="12" r="G96"/>
  <c i="12" r="G98"/>
  <c i="12" r="G100"/>
  <c i="12" r="G13"/>
  <c i="12" r="G19"/>
  <c i="12" r="G23"/>
  <c i="12" r="G27"/>
  <c i="12" r="G31"/>
  <c i="12" r="G33"/>
  <c i="12" r="G35"/>
  <c i="12" r="G37"/>
  <c i="12" r="G39"/>
  <c i="12" r="G41"/>
  <c i="12" r="G43"/>
  <c i="12" r="G45"/>
  <c i="12" r="G49"/>
  <c i="12" r="G51"/>
  <c i="12" r="G53"/>
  <c i="12" r="G55"/>
  <c i="12" r="G57"/>
  <c i="12" r="G59"/>
  <c i="12" r="G61"/>
  <c i="12" r="G63"/>
  <c i="12" r="G65"/>
  <c i="12" r="G67"/>
  <c i="12" r="G69"/>
  <c i="12" r="G71"/>
  <c i="12" r="G73"/>
  <c i="12" r="G75"/>
  <c i="12" r="G77"/>
  <c i="12" r="G79"/>
  <c i="12" r="G81"/>
  <c i="12" r="G83"/>
  <c i="12" r="G85"/>
  <c i="12" r="G87"/>
  <c i="12" r="G89"/>
  <c i="12" r="G91"/>
  <c i="12" r="G93"/>
  <c i="12" r="G95"/>
  <c i="12" r="G97"/>
  <c i="12" r="G99"/>
  <c i="12" r="G101"/>
  <c i="8" r="C42"/>
  <c i="8" r="C45"/>
  <c i="8" r="C50"/>
  <c i="8" r="C53"/>
  <c i="8" r="C58"/>
  <c i="8" r="C61"/>
  <c i="8" r="C66"/>
  <c i="8" r="C69"/>
  <c i="8" r="C74"/>
  <c i="8" r="C77"/>
  <c i="8" r="C82"/>
  <c i="8" r="C85"/>
  <c i="8" r="C90"/>
  <c i="8" r="C93"/>
  <c i="8" r="G95"/>
  <c i="8" r="C98"/>
  <c i="8" r="C101"/>
  <c i="8" r="G102"/>
  <c i="8" r="C27"/>
  <c i="8" r="C32"/>
  <c i="8" r="C35"/>
  <c i="8" r="C40"/>
  <c i="8" r="C43"/>
  <c i="8" r="C48"/>
  <c i="8" r="C51"/>
  <c i="8" r="C56"/>
  <c i="8" r="C59"/>
  <c i="8" r="C64"/>
  <c i="8" r="C67"/>
  <c i="8" r="C72"/>
  <c i="8" r="C75"/>
  <c i="8" r="C80"/>
  <c i="8" r="C83"/>
  <c i="8" r="G85"/>
  <c i="8" r="C88"/>
  <c i="8" r="C91"/>
  <c i="8" r="G93"/>
  <c i="8" r="C96"/>
  <c i="8" r="C99"/>
  <c i="8" r="C47"/>
  <c i="8" r="C52"/>
  <c i="8" r="C55"/>
  <c i="8" r="C60"/>
  <c i="8" r="C63"/>
  <c i="8" r="C68"/>
  <c i="8" r="C71"/>
  <c i="8" r="C76"/>
  <c i="8" r="C79"/>
  <c i="8" r="C84"/>
  <c i="8" r="C87"/>
  <c i="8" r="C92"/>
  <c i="8" r="C95"/>
  <c i="8" r="C100"/>
  <c i="8" r="G100"/>
  <c i="8" r="G98"/>
  <c i="8" r="G96"/>
  <c i="8" r="G94"/>
  <c i="8" r="G92"/>
  <c i="8" r="G90"/>
  <c i="8" r="G88"/>
  <c i="8" r="G86"/>
  <c i="8" r="G84"/>
  <c i="8" r="G82"/>
  <c i="8" r="G80"/>
  <c i="8" r="G78"/>
  <c i="8" r="G76"/>
  <c i="8" r="G74"/>
  <c i="8" r="G72"/>
  <c i="8" r="G70"/>
  <c i="8" r="G68"/>
  <c i="8" r="G66"/>
  <c i="8" r="G64"/>
  <c i="8" r="G62"/>
  <c i="8" r="G60"/>
  <c i="8" r="G58"/>
  <c i="8" r="G56"/>
  <c i="8" r="G54"/>
  <c i="8" r="G52"/>
  <c i="8" r="G50"/>
  <c i="8" r="G48"/>
  <c i="8" r="G46"/>
  <c i="8" r="G44"/>
  <c i="8" r="G42"/>
  <c i="8" r="G40"/>
  <c i="8" r="G38"/>
  <c i="8" r="G36"/>
  <c i="8" r="G34"/>
  <c i="8" r="G32"/>
  <c i="8" r="G30"/>
  <c i="8" r="G28"/>
  <c i="9" r="G80"/>
  <c i="9" r="G82"/>
  <c i="9" r="G84"/>
  <c i="9" r="G86"/>
  <c i="9" r="G88"/>
  <c i="9" r="G90"/>
  <c i="9" r="G92"/>
  <c i="9" r="G94"/>
  <c i="9" r="G96"/>
  <c i="9" r="G98"/>
  <c i="9" r="G100"/>
  <c i="9" r="G11"/>
  <c i="9" r="G13"/>
  <c i="9" r="G15"/>
  <c i="9" r="G17"/>
  <c i="9" r="G19"/>
  <c i="9" r="G21"/>
  <c i="9" r="G23"/>
  <c i="9" r="G25"/>
  <c i="9" r="G27"/>
  <c i="9" r="G29"/>
  <c i="9" r="G31"/>
  <c i="9" r="G33"/>
  <c i="9" r="G35"/>
  <c i="9" r="G37"/>
  <c i="9" r="G39"/>
  <c i="9" r="G41"/>
  <c i="9" r="G43"/>
  <c i="9" r="G45"/>
  <c i="9" r="G47"/>
  <c i="9" r="G49"/>
  <c i="9" r="G51"/>
  <c i="9" r="G53"/>
  <c i="9" r="G55"/>
  <c i="9" r="G57"/>
  <c i="9" r="G59"/>
  <c i="9" r="G61"/>
  <c i="9" r="G63"/>
  <c i="9" r="G65"/>
  <c i="9" r="G67"/>
  <c i="9" r="G69"/>
  <c i="9" r="G71"/>
  <c i="9" r="G73"/>
  <c i="9" r="G75"/>
  <c i="9" r="G77"/>
  <c i="9" r="G79"/>
  <c i="9" r="G81"/>
  <c i="9" r="G83"/>
  <c i="9" r="G85"/>
  <c i="9" r="G87"/>
  <c i="9" r="G89"/>
  <c i="9" r="G91"/>
  <c i="9" r="G93"/>
  <c i="9" r="G95"/>
  <c i="9" r="G97"/>
  <c i="9" r="G99"/>
  <c i="9" r="G101"/>
  <c i="4" r="F102"/>
  <c i="4" r="G101" s="1"/>
  <c i="4" r="B102"/>
  <c i="4" r="C100" s="1"/>
  <c i="3" r="F102"/>
  <c i="3" r="B102"/>
  <c i="3" l="1" r="C13"/>
  <c i="3" r="U10"/>
  <c i="3" r="W10" s="1"/>
  <c i="3" r="G102"/>
  <c i="3" r="Y10"/>
  <c i="3" r="AA10" s="1"/>
  <c i="3" r="AA17"/>
  <c i="3" r="W17"/>
  <c i="3" r="W18" s="1"/>
  <c i="3" r="U18"/>
  <c i="3" r="U19" s="1"/>
  <c i="4" r="C30"/>
  <c i="4" r="C62"/>
  <c i="4" r="C14"/>
  <c i="4" r="C22"/>
  <c i="4" r="C78"/>
  <c i="4" r="C46"/>
  <c i="4" r="C11"/>
  <c i="4" r="C27"/>
  <c i="4" r="C54"/>
  <c i="4" r="C87"/>
  <c i="4" r="C19"/>
  <c i="4" r="C38"/>
  <c i="4" r="C70"/>
  <c i="4" r="C35"/>
  <c i="4" r="C43"/>
  <c i="4" r="C51"/>
  <c i="4" r="C59"/>
  <c i="4" r="C67"/>
  <c i="4" r="C75"/>
  <c i="4" r="C83"/>
  <c i="4" r="C99"/>
  <c i="4" r="C18"/>
  <c i="4" r="C26"/>
  <c i="4" r="C34"/>
  <c i="4" r="C42"/>
  <c i="4" r="C50"/>
  <c i="4" r="C58"/>
  <c i="4" r="C66"/>
  <c i="4" r="C74"/>
  <c i="4" r="C82"/>
  <c i="4" r="C95"/>
  <c i="4" r="C15"/>
  <c i="4" r="C23"/>
  <c i="4" r="C31"/>
  <c i="4" r="C39"/>
  <c i="4" r="C47"/>
  <c i="4" r="C55"/>
  <c i="4" r="C63"/>
  <c i="4" r="C71"/>
  <c i="4" r="C79"/>
  <c i="4" r="C91"/>
  <c i="4" r="G12"/>
  <c i="4" r="G33"/>
  <c i="4" r="G54"/>
  <c i="4" r="C86"/>
  <c i="4" r="C90"/>
  <c i="4" r="C94"/>
  <c i="4" r="C98"/>
  <c i="4" r="C102"/>
  <c i="4" r="G28"/>
  <c i="4" r="G49"/>
  <c i="4" r="C17"/>
  <c i="4" r="C25"/>
  <c i="4" r="C37"/>
  <c i="4" r="C45"/>
  <c i="4" r="C53"/>
  <c i="4" r="C61"/>
  <c i="4" r="C69"/>
  <c i="4" r="C77"/>
  <c i="4" r="C81"/>
  <c i="4" r="C85"/>
  <c i="4" r="C89"/>
  <c i="4" r="C93"/>
  <c i="4" r="C97"/>
  <c i="4" r="C101"/>
  <c i="4" r="G22"/>
  <c i="4" r="G44"/>
  <c i="4" r="G65"/>
  <c i="4" r="C13"/>
  <c i="4" r="C21"/>
  <c i="4" r="C29"/>
  <c i="4" r="C33"/>
  <c i="4" r="C41"/>
  <c i="4" r="C49"/>
  <c i="4" r="C57"/>
  <c i="4" r="C65"/>
  <c i="4" r="C73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72"/>
  <c i="4" r="C76"/>
  <c i="4" r="C80"/>
  <c i="4" r="C84"/>
  <c i="4" r="C88"/>
  <c i="4" r="C92"/>
  <c i="4" r="C96"/>
  <c i="4" r="G17"/>
  <c i="4" r="G38"/>
  <c i="4" r="G60"/>
  <c i="4" r="G70"/>
  <c i="4" r="G92"/>
  <c i="4" r="G14"/>
  <c i="4" r="G20"/>
  <c i="4" r="G25"/>
  <c i="4" r="G30"/>
  <c i="4" r="G36"/>
  <c i="4" r="G41"/>
  <c i="4" r="G46"/>
  <c i="4" r="G52"/>
  <c i="4" r="G57"/>
  <c i="4" r="G62"/>
  <c i="4" r="G68"/>
  <c i="4" r="G74"/>
  <c i="4" r="G84"/>
  <c i="4" r="G100"/>
  <c i="4" r="G13"/>
  <c i="4" r="G18"/>
  <c i="4" r="G24"/>
  <c i="4" r="G29"/>
  <c i="4" r="G34"/>
  <c i="4" r="G40"/>
  <c i="4" r="G45"/>
  <c i="4" r="G50"/>
  <c i="4" r="G56"/>
  <c i="4" r="G61"/>
  <c i="4" r="G66"/>
  <c i="4" r="G73"/>
  <c i="4" r="G82"/>
  <c i="4" r="G98"/>
  <c i="4" r="G78"/>
  <c i="4" r="G16"/>
  <c i="4" r="G21"/>
  <c i="4" r="G26"/>
  <c i="4" r="G32"/>
  <c i="4" r="G37"/>
  <c i="4" r="G42"/>
  <c i="4" r="G48"/>
  <c i="4" r="G53"/>
  <c i="4" r="G58"/>
  <c i="4" r="G64"/>
  <c i="4" r="G69"/>
  <c i="4" r="G77"/>
  <c i="4" r="G90"/>
  <c i="4" r="G11"/>
  <c i="4" r="G15"/>
  <c i="4" r="G19"/>
  <c i="4" r="G23"/>
  <c i="4" r="G27"/>
  <c i="4" r="G31"/>
  <c i="4" r="G35"/>
  <c i="4" r="G39"/>
  <c i="4" r="G43"/>
  <c i="4" r="G47"/>
  <c i="4" r="G51"/>
  <c i="4" r="G55"/>
  <c i="4" r="G59"/>
  <c i="4" r="G63"/>
  <c i="4" r="G67"/>
  <c i="4" r="G71"/>
  <c i="4" r="G75"/>
  <c i="4" r="G79"/>
  <c i="4" r="G86"/>
  <c i="4" r="G94"/>
  <c i="4" r="G102"/>
  <c i="4" r="G72"/>
  <c i="4" r="G76"/>
  <c i="4" r="G80"/>
  <c i="4" r="G88"/>
  <c i="4" r="G96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G101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4" r="G81"/>
  <c i="4" r="G83"/>
  <c i="4" r="G85"/>
  <c i="4" r="G87"/>
  <c i="4" r="G89"/>
  <c i="4" r="G91"/>
  <c i="4" r="G93"/>
  <c i="4" r="G95"/>
  <c i="4" r="G97"/>
  <c i="4" r="G99"/>
  <c i="3" l="1" r="AA18"/>
  <c i="3" r="Y18"/>
  <c i="3" r="Y19" s="1"/>
  <c i="3" r="W19"/>
  <c i="3" r="V19" s="1"/>
  <c i="3" r="V18"/>
  <c i="3" r="AA19"/>
  <c i="3" l="1" r="Z18"/>
  <c i="3" r="Z19"/>
</calcChain>
</file>

<file path=xl/sharedStrings.xml><?xml version="1.0" encoding="utf-8"?>
<sst xmlns="http://schemas.openxmlformats.org/spreadsheetml/2006/main" count="303" uniqueCount="49">
  <si>
    <t>Trip Duration Frequency Distribution</t>
  </si>
  <si>
    <t>Trip Length Frequency Distribution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</si>
  <si>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</si>
  <si>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</si>
  <si>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</si>
  <si>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</si>
  <si>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</si>
  <si>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</si>
  <si>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</si>
  <si>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</si>
  <si>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</si>
  <si>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</si>
  <si>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Time (min)</t>
  </si>
  <si>
    <t>DaySim</t>
  </si>
  <si>
    <t>Table X. Average Trip Length</t>
  </si>
  <si>
    <t>Table X. Average Trip Duration</t>
  </si>
  <si>
    <t>Table X. Observed Trip Lengths: Survey</t>
  </si>
  <si>
    <t>Survey</t>
  </si>
  <si>
    <t>Table X. Observed Trip Durations: Survey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</si>
  <si>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</si>
  <si>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</si>
  <si>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</si>
  <si>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 xml:space="preserve">Observed Sources: Survey </t>
  </si>
  <si>
    <t>Avg. Trip Length</t>
  </si>
  <si>
    <t>Length</t>
  </si>
  <si>
    <t>Trips</t>
  </si>
  <si>
    <t>Walk</t>
  </si>
  <si>
    <t>Bike</t>
  </si>
  <si>
    <t>SOV</t>
  </si>
  <si>
    <t>HOV2</t>
  </si>
  <si>
    <t>HOV3</t>
  </si>
  <si>
    <t>Transit</t>
  </si>
  <si>
    <t>School Bus</t>
  </si>
  <si>
    <t>Trips*Length</t>
  </si>
  <si>
    <t>Meal</t>
  </si>
  <si>
    <t>ALL (mode)</t>
  </si>
  <si>
    <t>ALL (purpose)</t>
  </si>
  <si>
    <t>Meal is included</t>
  </si>
  <si>
    <t>Meal is not included - not a mode</t>
  </si>
  <si>
    <t>Mode</t>
  </si>
  <si>
    <t>Purpose</t>
  </si>
  <si>
    <t>Home</t>
  </si>
  <si>
    <t>Work</t>
  </si>
  <si>
    <t>School</t>
  </si>
  <si>
    <t>Escort</t>
  </si>
  <si>
    <t>PerBus</t>
  </si>
  <si>
    <t>Shop</t>
  </si>
  <si>
    <t>SocRec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</si>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</sst>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mm/dd/yyyy\ hh:mm:ss"/>
    <numFmt numFmtId="165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  <xf applyAlignment="0" applyBorder="0" applyFill="0" applyFont="0" applyProtection="0" borderId="0" fillId="0" fontId="3" numFmtId="43"/>
  </cellStyleXfs>
  <cellXfs count="380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Font="1" applyNumberFormat="1" borderId="0" fillId="0" fontId="0" numFmtId="165" xfId="8"/>
    <xf applyBorder="1" borderId="3" fillId="0" fontId="0" numFmtId="0" xfId="0"/>
    <xf applyBorder="1" applyFont="1" borderId="3" fillId="0" fontId="1" numFmtId="0" xfId="0"/>
    <xf applyBorder="1" applyFont="1" applyNumberFormat="1" borderId="3" fillId="0" fontId="1" numFmtId="165" xfId="8"/>
    <xf applyBorder="1" applyFont="1" applyNumberFormat="1" borderId="3" fillId="0" fontId="1" numFmtId="2" xfId="0"/>
    <xf applyBorder="1" applyFont="1" applyNumberFormat="1" borderId="3" fillId="0" fontId="1" numFmtId="43" xfId="0"/>
    <xf applyBorder="1" applyFont="1" applyNumberFormat="1" borderId="3" fillId="0" fontId="1" numFmtId="165" xfId="0"/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theme/theme1.xml" Type="http://schemas.openxmlformats.org/officeDocument/2006/relationships/theme"/>
<Relationship Id="rId18" Target="styles.xml" Type="http://schemas.openxmlformats.org/officeDocument/2006/relationships/styles"/>
<Relationship Id="rId19" Target="sharedStrings.xml" Type="http://schemas.openxmlformats.org/officeDocument/2006/relationships/sharedStrings"/>
<Relationship Id="rId2" Target="worksheets/sheet2.xml" Type="http://schemas.openxmlformats.org/officeDocument/2006/relationships/worksheet"/>
<Relationship Id="rId20" Target="calcChain.xml" Type="http://schemas.openxmlformats.org/officeDocument/2006/relationships/calcChain"/>
<Relationship Id="rId21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TLFD_Home!$C$11:$C$71</c:f>
              <c:numCache>
                <c:formatCode>0.00%</c:formatCode>
                <c:ptCount val="61"/>
                <c:pt idx="0">
                  <c:v>3.8236086732527902E-2</c:v>
                </c:pt>
                <c:pt idx="1">
                  <c:v>5.8195697299397414E-2</c:v>
                </c:pt>
                <c:pt idx="2">
                  <c:v>7.0891230043307024E-2</c:v>
                </c:pt>
                <c:pt idx="3">
                  <c:v>9.7272902644978093E-2</c:v>
                </c:pt>
                <c:pt idx="4">
                  <c:v>0.16885762538443519</c:v>
                </c:pt>
                <c:pt idx="5">
                  <c:v>0.1011755251985029</c:v>
                </c:pt>
                <c:pt idx="6">
                  <c:v>0.11301178667116919</c:v>
                </c:pt>
                <c:pt idx="7">
                  <c:v>4.8770989350988926E-2</c:v>
                </c:pt>
                <c:pt idx="8">
                  <c:v>5.3059886439917908E-2</c:v>
                </c:pt>
                <c:pt idx="9">
                  <c:v>2.7506633266139165E-2</c:v>
                </c:pt>
                <c:pt idx="10">
                  <c:v>5.1573572684993227E-2</c:v>
                </c:pt>
                <c:pt idx="11">
                  <c:v>1.8234000612110796E-2</c:v>
                </c:pt>
                <c:pt idx="12">
                  <c:v>1.1717969916541686E-2</c:v>
                </c:pt>
                <c:pt idx="13">
                  <c:v>1.1546937642355417E-2</c:v>
                </c:pt>
                <c:pt idx="14">
                  <c:v>1.3472505390533523E-2</c:v>
                </c:pt>
                <c:pt idx="15">
                  <c:v>1.1608526064597842E-2</c:v>
                </c:pt>
                <c:pt idx="16">
                  <c:v>1.7816252301041755E-2</c:v>
                </c:pt>
                <c:pt idx="17">
                  <c:v>1.2077662128500907E-2</c:v>
                </c:pt>
                <c:pt idx="18">
                  <c:v>1.0588301312970071E-2</c:v>
                </c:pt>
                <c:pt idx="19">
                  <c:v>5.3465788209901242E-3</c:v>
                </c:pt>
                <c:pt idx="20">
                  <c:v>5.3118155838205007E-3</c:v>
                </c:pt>
                <c:pt idx="21">
                  <c:v>5.1441850698081097E-3</c:v>
                </c:pt>
                <c:pt idx="22">
                  <c:v>4.7413815013258448E-3</c:v>
                </c:pt>
                <c:pt idx="23">
                  <c:v>7.0152115500568624E-3</c:v>
                </c:pt>
                <c:pt idx="24">
                  <c:v>6.1231532210864218E-3</c:v>
                </c:pt>
                <c:pt idx="25">
                  <c:v>2.5491533907980109E-3</c:v>
                </c:pt>
                <c:pt idx="26">
                  <c:v>4.0435432553542145E-3</c:v>
                </c:pt>
                <c:pt idx="27">
                  <c:v>1.728311034681229E-3</c:v>
                </c:pt>
                <c:pt idx="28">
                  <c:v>2.1653624803671472E-3</c:v>
                </c:pt>
                <c:pt idx="29">
                  <c:v>9.878336596957785E-4</c:v>
                </c:pt>
                <c:pt idx="30">
                  <c:v>1.6315377580754481E-3</c:v>
                </c:pt>
                <c:pt idx="31">
                  <c:v>6.0972242211191708E-4</c:v>
                </c:pt>
                <c:pt idx="32">
                  <c:v>8.8042627325432467E-4</c:v>
                </c:pt>
                <c:pt idx="33">
                  <c:v>1.2399149412124586E-3</c:v>
                </c:pt>
                <c:pt idx="34">
                  <c:v>1.3432440665445749E-3</c:v>
                </c:pt>
                <c:pt idx="35">
                  <c:v>4.8629597530361216E-4</c:v>
                </c:pt>
                <c:pt idx="36">
                  <c:v>7.887169084308199E-4</c:v>
                </c:pt>
                <c:pt idx="37">
                  <c:v>6.904831558018973E-4</c:v>
                </c:pt>
                <c:pt idx="38">
                  <c:v>1.0744979037459444E-3</c:v>
                </c:pt>
                <c:pt idx="39">
                  <c:v>7.997051524749817E-4</c:v>
                </c:pt>
                <c:pt idx="40">
                  <c:v>4.3133738943703791E-4</c:v>
                </c:pt>
                <c:pt idx="41">
                  <c:v>6.7822176129992242E-4</c:v>
                </c:pt>
                <c:pt idx="42">
                  <c:v>2.8144295873249131E-4</c:v>
                </c:pt>
                <c:pt idx="43">
                  <c:v>6.7544529909828888E-4</c:v>
                </c:pt>
                <c:pt idx="44">
                  <c:v>4.3882579231041378E-4</c:v>
                </c:pt>
                <c:pt idx="45">
                  <c:v>7.5672656755772328E-5</c:v>
                </c:pt>
                <c:pt idx="46">
                  <c:v>1.0329816418748322E-3</c:v>
                </c:pt>
                <c:pt idx="47">
                  <c:v>8.6720278890497549E-4</c:v>
                </c:pt>
                <c:pt idx="48">
                  <c:v>1.0650311363165733E-4</c:v>
                </c:pt>
                <c:pt idx="49">
                  <c:v>9.1525435552847342E-4</c:v>
                </c:pt>
                <c:pt idx="50">
                  <c:v>1.0788051647521869E-4</c:v>
                </c:pt>
                <c:pt idx="51">
                  <c:v>1.6511953634138643E-4</c:v>
                </c:pt>
                <c:pt idx="52">
                  <c:v>1.8356357959930196E-4</c:v>
                </c:pt>
                <c:pt idx="53">
                  <c:v>8.7685821460497236E-4</c:v>
                </c:pt>
                <c:pt idx="54">
                  <c:v>2.2957963554981416E-4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1.2097287413979261E-4</c:v>
                </c:pt>
                <c:pt idx="59">
                  <c:v>8.6301580407603556E-5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04-473D-BDA1-D8169557D948}"/>
            </c:ext>
          </c:extLst>
        </c:ser>
        <c:ser>
          <c:idx val="1"/>
          <c:order val="1"/>
          <c:tx>
            <c:strRef>
              <c:f>TLFD_Home!$G$10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TLFD_Home!$G$11:$G$71</c:f>
              <c:numCache>
                <c:formatCode>0.00%</c:formatCode>
                <c:ptCount val="61"/>
                <c:pt idx="0">
                  <c:v>0.13325044638694408</c:v>
                </c:pt>
                <c:pt idx="1">
                  <c:v>0.10942358015977406</c:v>
                </c:pt>
                <c:pt idx="2">
                  <c:v>6.8211927434733616E-2</c:v>
                </c:pt>
                <c:pt idx="3">
                  <c:v>4.3166228243338899E-2</c:v>
                </c:pt>
                <c:pt idx="4">
                  <c:v>0.14115962121833628</c:v>
                </c:pt>
                <c:pt idx="5">
                  <c:v>7.8790323501885751E-2</c:v>
                </c:pt>
                <c:pt idx="6">
                  <c:v>7.5335216896056448E-2</c:v>
                </c:pt>
                <c:pt idx="7">
                  <c:v>5.188295792212845E-2</c:v>
                </c:pt>
                <c:pt idx="8">
                  <c:v>5.1427816353127091E-2</c:v>
                </c:pt>
                <c:pt idx="9">
                  <c:v>2.7124666317249593E-2</c:v>
                </c:pt>
                <c:pt idx="10">
                  <c:v>2.5297410836250738E-2</c:v>
                </c:pt>
                <c:pt idx="11">
                  <c:v>2.2608172673036275E-2</c:v>
                </c:pt>
                <c:pt idx="12">
                  <c:v>2.2682755876025994E-2</c:v>
                </c:pt>
                <c:pt idx="13">
                  <c:v>1.7442509778526075E-2</c:v>
                </c:pt>
                <c:pt idx="14">
                  <c:v>1.3767084671316564E-2</c:v>
                </c:pt>
                <c:pt idx="15">
                  <c:v>1.6657903668560712E-2</c:v>
                </c:pt>
                <c:pt idx="16">
                  <c:v>1.6531706624516248E-2</c:v>
                </c:pt>
                <c:pt idx="17">
                  <c:v>1.1191154210013135E-2</c:v>
                </c:pt>
                <c:pt idx="18">
                  <c:v>8.623452202256859E-3</c:v>
                </c:pt>
                <c:pt idx="19">
                  <c:v>6.7644858707093412E-3</c:v>
                </c:pt>
                <c:pt idx="20">
                  <c:v>6.7672549112941576E-3</c:v>
                </c:pt>
                <c:pt idx="21">
                  <c:v>5.7042278858415911E-3</c:v>
                </c:pt>
                <c:pt idx="22">
                  <c:v>5.0932824977414351E-3</c:v>
                </c:pt>
                <c:pt idx="23">
                  <c:v>5.1020610855429934E-3</c:v>
                </c:pt>
                <c:pt idx="24">
                  <c:v>4.4187061370452767E-3</c:v>
                </c:pt>
                <c:pt idx="25">
                  <c:v>3.4096805766602491E-3</c:v>
                </c:pt>
                <c:pt idx="26">
                  <c:v>3.144077110774733E-3</c:v>
                </c:pt>
                <c:pt idx="27">
                  <c:v>3.4315805608356223E-3</c:v>
                </c:pt>
                <c:pt idx="28">
                  <c:v>2.6564852198639639E-3</c:v>
                </c:pt>
                <c:pt idx="29">
                  <c:v>2.5393669035082946E-3</c:v>
                </c:pt>
                <c:pt idx="30">
                  <c:v>1.9542207224703219E-3</c:v>
                </c:pt>
                <c:pt idx="31">
                  <c:v>1.5888373070655341E-3</c:v>
                </c:pt>
                <c:pt idx="32">
                  <c:v>1.5062117690689515E-3</c:v>
                </c:pt>
                <c:pt idx="33">
                  <c:v>1.2417595755356444E-3</c:v>
                </c:pt>
                <c:pt idx="34">
                  <c:v>1.0218409654084589E-3</c:v>
                </c:pt>
                <c:pt idx="35">
                  <c:v>1.0628556437898837E-3</c:v>
                </c:pt>
                <c:pt idx="36">
                  <c:v>9.5769560840091E-4</c:v>
                </c:pt>
                <c:pt idx="37">
                  <c:v>8.1762875164148943E-4</c:v>
                </c:pt>
                <c:pt idx="38">
                  <c:v>7.9972234599335831E-4</c:v>
                </c:pt>
                <c:pt idx="39">
                  <c:v>6.6532286454436653E-4</c:v>
                </c:pt>
                <c:pt idx="40">
                  <c:v>5.6283964452338452E-4</c:v>
                </c:pt>
                <c:pt idx="41">
                  <c:v>5.1283428341859826E-4</c:v>
                </c:pt>
                <c:pt idx="42">
                  <c:v>4.3688157531447723E-4</c:v>
                </c:pt>
                <c:pt idx="43">
                  <c:v>3.4025713846870336E-4</c:v>
                </c:pt>
                <c:pt idx="44">
                  <c:v>3.4863310117497166E-4</c:v>
                </c:pt>
                <c:pt idx="45">
                  <c:v>3.3389973173203111E-4</c:v>
                </c:pt>
                <c:pt idx="46">
                  <c:v>2.7068312684117599E-4</c:v>
                </c:pt>
                <c:pt idx="47">
                  <c:v>2.648085352221581E-4</c:v>
                </c:pt>
                <c:pt idx="48">
                  <c:v>2.4021463127961608E-4</c:v>
                </c:pt>
                <c:pt idx="49">
                  <c:v>1.9999308610700101E-4</c:v>
                </c:pt>
                <c:pt idx="50">
                  <c:v>1.5071800591850352E-4</c:v>
                </c:pt>
                <c:pt idx="51">
                  <c:v>1.4252766129560284E-4</c:v>
                </c:pt>
                <c:pt idx="52">
                  <c:v>1.1570455607176814E-4</c:v>
                </c:pt>
                <c:pt idx="53">
                  <c:v>8.5236059732536471E-5</c:v>
                </c:pt>
                <c:pt idx="54">
                  <c:v>8.1163259170620968E-5</c:v>
                </c:pt>
                <c:pt idx="55">
                  <c:v>8.1389823077274647E-5</c:v>
                </c:pt>
                <c:pt idx="56">
                  <c:v>7.3210397806857888E-5</c:v>
                </c:pt>
                <c:pt idx="57">
                  <c:v>1.0371396889883584E-4</c:v>
                </c:pt>
                <c:pt idx="58">
                  <c:v>5.3020087052931877E-5</c:v>
                </c:pt>
                <c:pt idx="59">
                  <c:v>5.7213924968058401E-5</c:v>
                </c:pt>
                <c:pt idx="60">
                  <c:v>3.1965301639692597E-5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04-473D-BDA1-D8169557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240"/>
        <c:axId val="58198272"/>
      </c:lineChart>
      <c:catAx>
        <c:axId val="124938240"/>
        <c:scaling>
          <c:orientation val="minMax"/>
        </c:scaling>
        <c:delete val="0"/>
        <c:axPos val="b"/>
        <c:majorTickMark val="none"/>
        <c:minorTickMark val="none"/>
        <c:tickLblPos val="nextTo"/>
        <c:crossAx val="58198272"/>
        <c:crosses val="autoZero"/>
        <c:auto val="1"/>
        <c:lblAlgn val="ctr"/>
        <c:lblOffset val="100"/>
        <c:tickLblSkip val="10"/>
        <c:noMultiLvlLbl val="0"/>
      </c:catAx>
      <c:valAx>
        <c:axId val="5819827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493824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TDFD_Home!$C$11:$C$71</c:f>
              <c:numCache>
                <c:formatCode>0.00%</c:formatCode>
                <c:ptCount val="61"/>
                <c:pt idx="0">
                  <c:v>1.1520591836113835E-3</c:v>
                </c:pt>
                <c:pt idx="1">
                  <c:v>3.2823665731806458E-3</c:v>
                </c:pt>
                <c:pt idx="2">
                  <c:v>4.8030301928631012E-3</c:v>
                </c:pt>
                <c:pt idx="3">
                  <c:v>7.178388057394851E-3</c:v>
                </c:pt>
                <c:pt idx="4">
                  <c:v>5.8610394295050133E-3</c:v>
                </c:pt>
                <c:pt idx="5">
                  <c:v>1.3217378667197181E-2</c:v>
                </c:pt>
                <c:pt idx="6">
                  <c:v>1.199838168494834E-2</c:v>
                </c:pt>
                <c:pt idx="7">
                  <c:v>1.4335265229524862E-2</c:v>
                </c:pt>
                <c:pt idx="8">
                  <c:v>1.1013317726597917E-2</c:v>
                </c:pt>
                <c:pt idx="9">
                  <c:v>1.6656328049919178E-2</c:v>
                </c:pt>
                <c:pt idx="10">
                  <c:v>9.2323699373679062E-3</c:v>
                </c:pt>
                <c:pt idx="11">
                  <c:v>1.4054491354216034E-2</c:v>
                </c:pt>
                <c:pt idx="12">
                  <c:v>1.9981645959129483E-2</c:v>
                </c:pt>
                <c:pt idx="13">
                  <c:v>1.9022497515499313E-2</c:v>
                </c:pt>
                <c:pt idx="14">
                  <c:v>1.339284182292734E-2</c:v>
                </c:pt>
                <c:pt idx="15">
                  <c:v>8.3944410053314947E-3</c:v>
                </c:pt>
                <c:pt idx="16">
                  <c:v>3.4106856851808941E-2</c:v>
                </c:pt>
                <c:pt idx="17">
                  <c:v>2.0967294660688186E-2</c:v>
                </c:pt>
                <c:pt idx="18">
                  <c:v>6.4640991931875849E-2</c:v>
                </c:pt>
                <c:pt idx="19">
                  <c:v>3.8923564678889383E-2</c:v>
                </c:pt>
                <c:pt idx="20">
                  <c:v>5.771479789334328E-2</c:v>
                </c:pt>
                <c:pt idx="21">
                  <c:v>4.9665678307372015E-2</c:v>
                </c:pt>
                <c:pt idx="22">
                  <c:v>4.325311964068803E-2</c:v>
                </c:pt>
                <c:pt idx="23">
                  <c:v>2.7228175262631146E-2</c:v>
                </c:pt>
                <c:pt idx="24">
                  <c:v>3.2389638302866092E-2</c:v>
                </c:pt>
                <c:pt idx="25">
                  <c:v>2.2212784079585542E-2</c:v>
                </c:pt>
                <c:pt idx="26">
                  <c:v>5.6118249793503897E-2</c:v>
                </c:pt>
                <c:pt idx="27">
                  <c:v>1.4418973404381807E-2</c:v>
                </c:pt>
                <c:pt idx="28">
                  <c:v>2.2565264963531978E-2</c:v>
                </c:pt>
                <c:pt idx="29">
                  <c:v>2.0003660979708328E-2</c:v>
                </c:pt>
                <c:pt idx="30">
                  <c:v>1.4777811140685954E-2</c:v>
                </c:pt>
                <c:pt idx="31">
                  <c:v>1.1178617809549781E-2</c:v>
                </c:pt>
                <c:pt idx="32">
                  <c:v>1.1729314475392553E-2</c:v>
                </c:pt>
                <c:pt idx="33">
                  <c:v>1.0436507520170961E-2</c:v>
                </c:pt>
                <c:pt idx="34">
                  <c:v>1.8208570237731338E-2</c:v>
                </c:pt>
                <c:pt idx="35">
                  <c:v>7.9243915344174923E-3</c:v>
                </c:pt>
                <c:pt idx="36">
                  <c:v>1.1244758776609949E-2</c:v>
                </c:pt>
                <c:pt idx="37">
                  <c:v>1.3781191827820819E-2</c:v>
                </c:pt>
                <c:pt idx="38">
                  <c:v>1.5972981835236624E-2</c:v>
                </c:pt>
                <c:pt idx="39">
                  <c:v>5.1170557392510793E-3</c:v>
                </c:pt>
                <c:pt idx="40">
                  <c:v>8.4653023475767808E-3</c:v>
                </c:pt>
                <c:pt idx="41">
                  <c:v>5.3633806649946289E-3</c:v>
                </c:pt>
                <c:pt idx="42">
                  <c:v>4.3505559257213085E-3</c:v>
                </c:pt>
                <c:pt idx="43">
                  <c:v>3.4858359360051432E-3</c:v>
                </c:pt>
                <c:pt idx="44">
                  <c:v>2.9620570223669231E-3</c:v>
                </c:pt>
                <c:pt idx="45">
                  <c:v>3.9808514865644448E-2</c:v>
                </c:pt>
                <c:pt idx="46">
                  <c:v>4.038163030117151E-3</c:v>
                </c:pt>
                <c:pt idx="47">
                  <c:v>4.1814912436694196E-3</c:v>
                </c:pt>
                <c:pt idx="48">
                  <c:v>5.3572064376473374E-3</c:v>
                </c:pt>
                <c:pt idx="49">
                  <c:v>3.1212066718373198E-3</c:v>
                </c:pt>
                <c:pt idx="50">
                  <c:v>1.6714412326665502E-3</c:v>
                </c:pt>
                <c:pt idx="51">
                  <c:v>3.8730333811435899E-3</c:v>
                </c:pt>
                <c:pt idx="52">
                  <c:v>3.4752412903841139E-3</c:v>
                </c:pt>
                <c:pt idx="53">
                  <c:v>3.9996395963273784E-4</c:v>
                </c:pt>
                <c:pt idx="54">
                  <c:v>6.5969000011507377E-3</c:v>
                </c:pt>
                <c:pt idx="55">
                  <c:v>5.7911991902158725E-4</c:v>
                </c:pt>
                <c:pt idx="56">
                  <c:v>1.4118405888683674E-3</c:v>
                </c:pt>
                <c:pt idx="57">
                  <c:v>7.7787905282415421E-4</c:v>
                </c:pt>
                <c:pt idx="58">
                  <c:v>2.6375836739332462E-3</c:v>
                </c:pt>
                <c:pt idx="59">
                  <c:v>3.1759069083167925E-3</c:v>
                </c:pt>
                <c:pt idx="60">
                  <c:v>4.3954320650886137E-3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D-450C-93FC-33AF84977CF4}"/>
            </c:ext>
          </c:extLst>
        </c:ser>
        <c:ser>
          <c:idx val="1"/>
          <c:order val="1"/>
          <c:tx>
            <c:strRef>
              <c:f>TDFD_Home!$G$10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TDFD_Home!$G$11:$G$71</c:f>
              <c:numCache>
                <c:formatCode>0.00%</c:formatCode>
                <c:ptCount val="61"/>
                <c:pt idx="0">
                  <c:v>4.3278240662271462E-3</c:v>
                </c:pt>
                <c:pt idx="1">
                  <c:v>1.5960908473949674E-2</c:v>
                </c:pt>
                <c:pt idx="2">
                  <c:v>2.0411895708077912E-2</c:v>
                </c:pt>
                <c:pt idx="3">
                  <c:v>2.3584990756777731E-2</c:v>
                </c:pt>
                <c:pt idx="4">
                  <c:v>2.5448857545044827E-2</c:v>
                </c:pt>
                <c:pt idx="5">
                  <c:v>2.6033743649077398E-2</c:v>
                </c:pt>
                <c:pt idx="6">
                  <c:v>2.5800215409514202E-2</c:v>
                </c:pt>
                <c:pt idx="7">
                  <c:v>2.4837728043639175E-2</c:v>
                </c:pt>
                <c:pt idx="8">
                  <c:v>2.3666059249578021E-2</c:v>
                </c:pt>
                <c:pt idx="9">
                  <c:v>2.2266431236812094E-2</c:v>
                </c:pt>
                <c:pt idx="10">
                  <c:v>2.0363011430694317E-2</c:v>
                </c:pt>
                <c:pt idx="11">
                  <c:v>1.8462468166823592E-2</c:v>
                </c:pt>
                <c:pt idx="12">
                  <c:v>1.727978545246556E-2</c:v>
                </c:pt>
                <c:pt idx="13">
                  <c:v>1.5385907609526964E-2</c:v>
                </c:pt>
                <c:pt idx="14">
                  <c:v>1.3993081650854371E-2</c:v>
                </c:pt>
                <c:pt idx="15">
                  <c:v>1.376377989689581E-2</c:v>
                </c:pt>
                <c:pt idx="16">
                  <c:v>1.2230728982884725E-2</c:v>
                </c:pt>
                <c:pt idx="17">
                  <c:v>1.1529942817034072E-2</c:v>
                </c:pt>
                <c:pt idx="18">
                  <c:v>9.8225736787717177E-2</c:v>
                </c:pt>
                <c:pt idx="19">
                  <c:v>3.4743333292357542E-2</c:v>
                </c:pt>
                <c:pt idx="20">
                  <c:v>3.3868685611817148E-2</c:v>
                </c:pt>
                <c:pt idx="21">
                  <c:v>4.5840836227418767E-2</c:v>
                </c:pt>
                <c:pt idx="22">
                  <c:v>3.9460872638725213E-2</c:v>
                </c:pt>
                <c:pt idx="23">
                  <c:v>3.1707251826161929E-2</c:v>
                </c:pt>
                <c:pt idx="24">
                  <c:v>2.9929359758205151E-2</c:v>
                </c:pt>
                <c:pt idx="25">
                  <c:v>2.5596294771822823E-2</c:v>
                </c:pt>
                <c:pt idx="26">
                  <c:v>2.4890581168766961E-2</c:v>
                </c:pt>
                <c:pt idx="27">
                  <c:v>2.2091085927049846E-2</c:v>
                </c:pt>
                <c:pt idx="28">
                  <c:v>1.7175168578231478E-2</c:v>
                </c:pt>
                <c:pt idx="29">
                  <c:v>1.8949431968444876E-2</c:v>
                </c:pt>
                <c:pt idx="30">
                  <c:v>1.9971394943076586E-2</c:v>
                </c:pt>
                <c:pt idx="31">
                  <c:v>1.4386068116115234E-2</c:v>
                </c:pt>
                <c:pt idx="32">
                  <c:v>1.3220528007040886E-2</c:v>
                </c:pt>
                <c:pt idx="33">
                  <c:v>1.5333413904895727E-2</c:v>
                </c:pt>
                <c:pt idx="34">
                  <c:v>1.319694089429004E-2</c:v>
                </c:pt>
                <c:pt idx="35">
                  <c:v>1.5534670413151635E-2</c:v>
                </c:pt>
                <c:pt idx="36">
                  <c:v>9.9295823453058821E-3</c:v>
                </c:pt>
                <c:pt idx="37">
                  <c:v>7.4472208511972412E-3</c:v>
                </c:pt>
                <c:pt idx="38">
                  <c:v>8.6233840586721379E-3</c:v>
                </c:pt>
                <c:pt idx="39">
                  <c:v>1.0512190046531969E-2</c:v>
                </c:pt>
                <c:pt idx="40">
                  <c:v>9.2623757374471882E-3</c:v>
                </c:pt>
                <c:pt idx="41">
                  <c:v>5.7294592687683662E-3</c:v>
                </c:pt>
                <c:pt idx="42">
                  <c:v>5.6553403949939464E-3</c:v>
                </c:pt>
                <c:pt idx="43">
                  <c:v>5.9886848074125537E-3</c:v>
                </c:pt>
                <c:pt idx="44">
                  <c:v>5.1081923431707628E-3</c:v>
                </c:pt>
                <c:pt idx="45">
                  <c:v>4.1853301614198117E-3</c:v>
                </c:pt>
                <c:pt idx="46">
                  <c:v>4.1146739537690812E-3</c:v>
                </c:pt>
                <c:pt idx="47">
                  <c:v>3.5786960059623085E-3</c:v>
                </c:pt>
                <c:pt idx="48">
                  <c:v>3.7743824419520138E-3</c:v>
                </c:pt>
                <c:pt idx="49">
                  <c:v>4.9170104876900865E-3</c:v>
                </c:pt>
                <c:pt idx="50">
                  <c:v>3.9191078422138332E-3</c:v>
                </c:pt>
                <c:pt idx="51">
                  <c:v>2.7661121951710692E-3</c:v>
                </c:pt>
                <c:pt idx="52">
                  <c:v>2.3122928187023673E-3</c:v>
                </c:pt>
                <c:pt idx="53">
                  <c:v>2.4752239307100246E-3</c:v>
                </c:pt>
                <c:pt idx="54">
                  <c:v>2.1657821617868749E-3</c:v>
                </c:pt>
                <c:pt idx="55">
                  <c:v>3.012602928600611E-3</c:v>
                </c:pt>
                <c:pt idx="56">
                  <c:v>2.0097629203839787E-3</c:v>
                </c:pt>
                <c:pt idx="57">
                  <c:v>1.9903145759820138E-3</c:v>
                </c:pt>
                <c:pt idx="58">
                  <c:v>1.6704283892716926E-3</c:v>
                </c:pt>
                <c:pt idx="59">
                  <c:v>1.7186080081080411E-3</c:v>
                </c:pt>
                <c:pt idx="60">
                  <c:v>1.3793375504964499E-3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FD-450C-93FC-33AF84977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2592"/>
        <c:axId val="76114176"/>
      </c:lineChart>
      <c:catAx>
        <c:axId val="125102592"/>
        <c:scaling>
          <c:orientation val="minMax"/>
        </c:scaling>
        <c:delete val="0"/>
        <c:axPos val="b"/>
        <c:majorTickMark val="none"/>
        <c:minorTickMark val="none"/>
        <c:tickLblPos val="nextTo"/>
        <c:crossAx val="76114176"/>
        <c:crosses val="autoZero"/>
        <c:auto val="1"/>
        <c:lblAlgn val="ctr"/>
        <c:lblOffset val="100"/>
        <c:tickLblSkip val="10"/>
        <c:noMultiLvlLbl val="0"/>
      </c:catAx>
      <c:valAx>
        <c:axId val="7611417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51025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TLFD_Work!$C$11:$C$71</c:f>
              <c:numCache>
                <c:formatCode>0.00%</c:formatCode>
                <c:ptCount val="61"/>
                <c:pt idx="0">
                  <c:v>4.3350897587176453E-2</c:v>
                </c:pt>
                <c:pt idx="1">
                  <c:v>4.0964048004621383E-2</c:v>
                </c:pt>
                <c:pt idx="2">
                  <c:v>3.4030946650605388E-2</c:v>
                </c:pt>
                <c:pt idx="3">
                  <c:v>6.1107633294971181E-2</c:v>
                </c:pt>
                <c:pt idx="4">
                  <c:v>0.11461934173110985</c:v>
                </c:pt>
                <c:pt idx="5">
                  <c:v>8.2689148775625249E-2</c:v>
                </c:pt>
                <c:pt idx="6">
                  <c:v>7.5025355273952654E-2</c:v>
                </c:pt>
                <c:pt idx="7">
                  <c:v>5.1015080509191402E-2</c:v>
                </c:pt>
                <c:pt idx="8">
                  <c:v>6.0636123713288845E-2</c:v>
                </c:pt>
                <c:pt idx="9">
                  <c:v>3.8362186505982186E-2</c:v>
                </c:pt>
                <c:pt idx="10">
                  <c:v>5.6039289838937911E-2</c:v>
                </c:pt>
                <c:pt idx="11">
                  <c:v>3.1412041498785341E-2</c:v>
                </c:pt>
                <c:pt idx="12">
                  <c:v>2.8320493772279569E-2</c:v>
                </c:pt>
                <c:pt idx="13">
                  <c:v>2.3968400746099006E-2</c:v>
                </c:pt>
                <c:pt idx="14">
                  <c:v>1.5251687906304068E-2</c:v>
                </c:pt>
                <c:pt idx="15">
                  <c:v>2.373658686325935E-2</c:v>
                </c:pt>
                <c:pt idx="16">
                  <c:v>2.6153401933238316E-2</c:v>
                </c:pt>
                <c:pt idx="17">
                  <c:v>2.1122050459274257E-2</c:v>
                </c:pt>
                <c:pt idx="18">
                  <c:v>2.5421502754384394E-2</c:v>
                </c:pt>
                <c:pt idx="19">
                  <c:v>1.4576217497007098E-2</c:v>
                </c:pt>
                <c:pt idx="20">
                  <c:v>1.3506529406207057E-2</c:v>
                </c:pt>
                <c:pt idx="21">
                  <c:v>1.2501670281594596E-2</c:v>
                </c:pt>
                <c:pt idx="22">
                  <c:v>1.0883645839426468E-2</c:v>
                </c:pt>
                <c:pt idx="23">
                  <c:v>1.0444219728167904E-2</c:v>
                </c:pt>
                <c:pt idx="24">
                  <c:v>8.4782146108721649E-3</c:v>
                </c:pt>
                <c:pt idx="25">
                  <c:v>6.5622073241969449E-3</c:v>
                </c:pt>
                <c:pt idx="26">
                  <c:v>7.0758819566800867E-3</c:v>
                </c:pt>
                <c:pt idx="27">
                  <c:v>5.7851088707189099E-3</c:v>
                </c:pt>
                <c:pt idx="28">
                  <c:v>4.7068909969254988E-3</c:v>
                </c:pt>
                <c:pt idx="29">
                  <c:v>3.0273845658872422E-3</c:v>
                </c:pt>
                <c:pt idx="30">
                  <c:v>4.2494242526683965E-3</c:v>
                </c:pt>
                <c:pt idx="31">
                  <c:v>3.6920161319539974E-3</c:v>
                </c:pt>
                <c:pt idx="32">
                  <c:v>1.6421349270643944E-3</c:v>
                </c:pt>
                <c:pt idx="33">
                  <c:v>2.4140565087486243E-3</c:v>
                </c:pt>
                <c:pt idx="34">
                  <c:v>6.1180271648847741E-3</c:v>
                </c:pt>
                <c:pt idx="35">
                  <c:v>2.0283118602045201E-3</c:v>
                </c:pt>
                <c:pt idx="36">
                  <c:v>3.1322379069327437E-3</c:v>
                </c:pt>
                <c:pt idx="37">
                  <c:v>2.3311251628552044E-3</c:v>
                </c:pt>
                <c:pt idx="38">
                  <c:v>3.2625609578060119E-3</c:v>
                </c:pt>
                <c:pt idx="39">
                  <c:v>1.5197843997540959E-3</c:v>
                </c:pt>
                <c:pt idx="40">
                  <c:v>1.6903617759272879E-3</c:v>
                </c:pt>
                <c:pt idx="41">
                  <c:v>1.8514477944162799E-3</c:v>
                </c:pt>
                <c:pt idx="42">
                  <c:v>2.6635161883616494E-4</c:v>
                </c:pt>
                <c:pt idx="43">
                  <c:v>7.8365272688785028E-4</c:v>
                </c:pt>
                <c:pt idx="44">
                  <c:v>2.0845265271744341E-3</c:v>
                </c:pt>
                <c:pt idx="45">
                  <c:v>1.0027415200176382E-3</c:v>
                </c:pt>
                <c:pt idx="46">
                  <c:v>3.0386586780140236E-4</c:v>
                </c:pt>
                <c:pt idx="47">
                  <c:v>2.7686927500679666E-3</c:v>
                </c:pt>
                <c:pt idx="48">
                  <c:v>1.5524519986301871E-3</c:v>
                </c:pt>
                <c:pt idx="49">
                  <c:v>2.1713246608085946E-4</c:v>
                </c:pt>
                <c:pt idx="50">
                  <c:v>5.1701177826402359E-4</c:v>
                </c:pt>
                <c:pt idx="51">
                  <c:v>2.494372632501389E-4</c:v>
                </c:pt>
                <c:pt idx="52">
                  <c:v>9.6723968161660794E-4</c:v>
                </c:pt>
                <c:pt idx="53">
                  <c:v>2.0361044925377203E-4</c:v>
                </c:pt>
                <c:pt idx="54">
                  <c:v>4.3687590986753557E-4</c:v>
                </c:pt>
                <c:pt idx="55">
                  <c:v>7.0949967296781271E-4</c:v>
                </c:pt>
                <c:pt idx="56">
                  <c:v>1.303699415208944E-3</c:v>
                </c:pt>
                <c:pt idx="57">
                  <c:v>5.5919775896026464E-4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5C-4110-8124-C5D24C18B92B}"/>
            </c:ext>
          </c:extLst>
        </c:ser>
        <c:ser>
          <c:idx val="1"/>
          <c:order val="1"/>
          <c:tx>
            <c:strRef>
              <c:f>TLFD_Work!$G$10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TLFD_Work!$G$11:$G$71</c:f>
              <c:numCache>
                <c:formatCode>0.00%</c:formatCode>
                <c:ptCount val="61"/>
                <c:pt idx="0">
                  <c:v>0.10685000171222048</c:v>
                </c:pt>
                <c:pt idx="1">
                  <c:v>6.8407779477926686E-2</c:v>
                </c:pt>
                <c:pt idx="2">
                  <c:v>4.6324159035012732E-2</c:v>
                </c:pt>
                <c:pt idx="3">
                  <c:v>3.2084923608727424E-2</c:v>
                </c:pt>
                <c:pt idx="4">
                  <c:v>8.9139037015733544E-2</c:v>
                </c:pt>
                <c:pt idx="5">
                  <c:v>7.4973840850836776E-2</c:v>
                </c:pt>
                <c:pt idx="6">
                  <c:v>6.5965463653604242E-2</c:v>
                </c:pt>
                <c:pt idx="7">
                  <c:v>4.7465968634070099E-2</c:v>
                </c:pt>
                <c:pt idx="8">
                  <c:v>5.6703356578843588E-2</c:v>
                </c:pt>
                <c:pt idx="9">
                  <c:v>3.1374913239230681E-2</c:v>
                </c:pt>
                <c:pt idx="10">
                  <c:v>3.5333059005265954E-2</c:v>
                </c:pt>
                <c:pt idx="11">
                  <c:v>2.9321288427551131E-2</c:v>
                </c:pt>
                <c:pt idx="12">
                  <c:v>3.130204333361146E-2</c:v>
                </c:pt>
                <c:pt idx="13">
                  <c:v>2.5202715550956094E-2</c:v>
                </c:pt>
                <c:pt idx="14">
                  <c:v>2.3386682501204084E-2</c:v>
                </c:pt>
                <c:pt idx="15">
                  <c:v>2.2719367060816741E-2</c:v>
                </c:pt>
                <c:pt idx="16">
                  <c:v>2.4746705652841285E-2</c:v>
                </c:pt>
                <c:pt idx="17">
                  <c:v>2.0265507609533127E-2</c:v>
                </c:pt>
                <c:pt idx="18">
                  <c:v>1.6549718954933079E-2</c:v>
                </c:pt>
                <c:pt idx="19">
                  <c:v>1.6768710961985716E-2</c:v>
                </c:pt>
                <c:pt idx="20">
                  <c:v>1.3218010945025935E-2</c:v>
                </c:pt>
                <c:pt idx="21">
                  <c:v>1.0930142013067847E-2</c:v>
                </c:pt>
                <c:pt idx="22">
                  <c:v>1.0601231613014083E-2</c:v>
                </c:pt>
                <c:pt idx="23">
                  <c:v>1.137902155523028E-2</c:v>
                </c:pt>
                <c:pt idx="24">
                  <c:v>8.0673059101791025E-3</c:v>
                </c:pt>
                <c:pt idx="25">
                  <c:v>1.0367119952327499E-2</c:v>
                </c:pt>
                <c:pt idx="26">
                  <c:v>8.014157292277193E-3</c:v>
                </c:pt>
                <c:pt idx="27">
                  <c:v>6.1227496281236506E-3</c:v>
                </c:pt>
                <c:pt idx="28">
                  <c:v>5.647868765928786E-3</c:v>
                </c:pt>
                <c:pt idx="29">
                  <c:v>6.0341204455405372E-3</c:v>
                </c:pt>
                <c:pt idx="30">
                  <c:v>4.354274969350409E-3</c:v>
                </c:pt>
                <c:pt idx="31">
                  <c:v>3.9002870894157111E-3</c:v>
                </c:pt>
                <c:pt idx="32">
                  <c:v>3.6108110757703204E-3</c:v>
                </c:pt>
                <c:pt idx="33">
                  <c:v>3.0532416350612908E-3</c:v>
                </c:pt>
                <c:pt idx="34">
                  <c:v>2.7561406938373936E-3</c:v>
                </c:pt>
                <c:pt idx="35">
                  <c:v>2.6285053350995021E-3</c:v>
                </c:pt>
                <c:pt idx="36">
                  <c:v>2.7146955466101075E-3</c:v>
                </c:pt>
                <c:pt idx="37">
                  <c:v>2.2247547403040427E-3</c:v>
                </c:pt>
                <c:pt idx="38">
                  <c:v>2.8005922952469508E-3</c:v>
                </c:pt>
                <c:pt idx="39">
                  <c:v>2.0835897802368958E-3</c:v>
                </c:pt>
                <c:pt idx="40">
                  <c:v>1.3752108543478038E-3</c:v>
                </c:pt>
                <c:pt idx="41">
                  <c:v>1.6944730146161446E-3</c:v>
                </c:pt>
                <c:pt idx="42">
                  <c:v>1.2621686106338837E-3</c:v>
                </c:pt>
                <c:pt idx="43">
                  <c:v>9.749804328280519E-4</c:v>
                </c:pt>
                <c:pt idx="44">
                  <c:v>8.9591842121147108E-4</c:v>
                </c:pt>
                <c:pt idx="45">
                  <c:v>1.2722027725854512E-3</c:v>
                </c:pt>
                <c:pt idx="46">
                  <c:v>8.345742210360891E-4</c:v>
                </c:pt>
                <c:pt idx="47">
                  <c:v>7.9094685220521877E-4</c:v>
                </c:pt>
                <c:pt idx="48">
                  <c:v>6.4585803246955322E-4</c:v>
                </c:pt>
                <c:pt idx="49">
                  <c:v>5.8986392603097861E-4</c:v>
                </c:pt>
                <c:pt idx="50">
                  <c:v>3.6501661046828125E-4</c:v>
                </c:pt>
                <c:pt idx="51">
                  <c:v>4.7310239004679471E-4</c:v>
                </c:pt>
                <c:pt idx="52">
                  <c:v>4.8248410494088225E-4</c:v>
                </c:pt>
                <c:pt idx="53">
                  <c:v>2.9812819215214385E-4</c:v>
                </c:pt>
                <c:pt idx="54">
                  <c:v>2.8310149961501837E-4</c:v>
                </c:pt>
                <c:pt idx="55">
                  <c:v>3.6425432722827453E-4</c:v>
                </c:pt>
                <c:pt idx="56">
                  <c:v>2.9811776337724838E-4</c:v>
                </c:pt>
                <c:pt idx="57">
                  <c:v>2.1247838692395993E-4</c:v>
                </c:pt>
                <c:pt idx="58">
                  <c:v>2.1310949910806473E-4</c:v>
                </c:pt>
                <c:pt idx="59">
                  <c:v>1.3189090422613522E-4</c:v>
                </c:pt>
                <c:pt idx="60">
                  <c:v>8.8344133464257637E-5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5C-4110-8124-C5D24C18B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784"/>
        <c:axId val="81252288"/>
      </c:lineChart>
      <c:catAx>
        <c:axId val="129974784"/>
        <c:scaling>
          <c:orientation val="minMax"/>
        </c:scaling>
        <c:delete val="0"/>
        <c:axPos val="b"/>
        <c:majorTickMark val="none"/>
        <c:minorTickMark val="none"/>
        <c:tickLblPos val="nextTo"/>
        <c:crossAx val="81252288"/>
        <c:crosses val="autoZero"/>
        <c:auto val="1"/>
        <c:lblAlgn val="ctr"/>
        <c:lblOffset val="100"/>
        <c:tickLblSkip val="10"/>
        <c:noMultiLvlLbl val="0"/>
      </c:catAx>
      <c:valAx>
        <c:axId val="8125228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997478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TDFD_Work!$C$11:$C$71</c:f>
              <c:numCache>
                <c:formatCode>0.00%</c:formatCode>
                <c:ptCount val="61"/>
                <c:pt idx="0">
                  <c:v>5.0976018773326421E-4</c:v>
                </c:pt>
                <c:pt idx="1">
                  <c:v>7.5889516367453301E-4</c:v>
                </c:pt>
                <c:pt idx="2">
                  <c:v>3.0040143019223662E-3</c:v>
                </c:pt>
                <c:pt idx="3">
                  <c:v>1.8749009186536383E-3</c:v>
                </c:pt>
                <c:pt idx="4">
                  <c:v>5.0594805929866215E-3</c:v>
                </c:pt>
                <c:pt idx="5">
                  <c:v>1.37955379963598E-2</c:v>
                </c:pt>
                <c:pt idx="6">
                  <c:v>1.1987847147793168E-2</c:v>
                </c:pt>
                <c:pt idx="7">
                  <c:v>1.2030039698227295E-2</c:v>
                </c:pt>
                <c:pt idx="8">
                  <c:v>7.3839074963944181E-3</c:v>
                </c:pt>
                <c:pt idx="9">
                  <c:v>1.7836473748381459E-2</c:v>
                </c:pt>
                <c:pt idx="10">
                  <c:v>6.3823251749068133E-3</c:v>
                </c:pt>
                <c:pt idx="11">
                  <c:v>1.4396909731323395E-2</c:v>
                </c:pt>
                <c:pt idx="12">
                  <c:v>1.0107945006456724E-2</c:v>
                </c:pt>
                <c:pt idx="13">
                  <c:v>1.0648566430076807E-2</c:v>
                </c:pt>
                <c:pt idx="14">
                  <c:v>1.1880051167044397E-2</c:v>
                </c:pt>
                <c:pt idx="15">
                  <c:v>9.8264895193360107E-3</c:v>
                </c:pt>
                <c:pt idx="16">
                  <c:v>1.6807097102083172E-2</c:v>
                </c:pt>
                <c:pt idx="17">
                  <c:v>9.7511778498767226E-3</c:v>
                </c:pt>
                <c:pt idx="18">
                  <c:v>4.6676447814153865E-2</c:v>
                </c:pt>
                <c:pt idx="19">
                  <c:v>3.0123237581621949E-2</c:v>
                </c:pt>
                <c:pt idx="20">
                  <c:v>3.4860110233020256E-2</c:v>
                </c:pt>
                <c:pt idx="21">
                  <c:v>4.7453956169726717E-2</c:v>
                </c:pt>
                <c:pt idx="22">
                  <c:v>3.2159982143700756E-2</c:v>
                </c:pt>
                <c:pt idx="23">
                  <c:v>2.7900418019341035E-2</c:v>
                </c:pt>
                <c:pt idx="24">
                  <c:v>3.7013573910480324E-2</c:v>
                </c:pt>
                <c:pt idx="25">
                  <c:v>2.264879460486225E-2</c:v>
                </c:pt>
                <c:pt idx="26">
                  <c:v>3.6226244682296307E-2</c:v>
                </c:pt>
                <c:pt idx="27">
                  <c:v>2.4501799204792073E-2</c:v>
                </c:pt>
                <c:pt idx="28">
                  <c:v>2.7500900780965253E-2</c:v>
                </c:pt>
                <c:pt idx="29">
                  <c:v>2.2728060092624874E-2</c:v>
                </c:pt>
                <c:pt idx="30">
                  <c:v>2.5690704568350375E-2</c:v>
                </c:pt>
                <c:pt idx="31">
                  <c:v>1.7361334712889712E-2</c:v>
                </c:pt>
                <c:pt idx="32">
                  <c:v>1.8531651256158656E-2</c:v>
                </c:pt>
                <c:pt idx="33">
                  <c:v>2.081973526267035E-2</c:v>
                </c:pt>
                <c:pt idx="34">
                  <c:v>2.9063009398100276E-2</c:v>
                </c:pt>
                <c:pt idx="35">
                  <c:v>1.8701601225951461E-2</c:v>
                </c:pt>
                <c:pt idx="36">
                  <c:v>1.3113100072795297E-2</c:v>
                </c:pt>
                <c:pt idx="37">
                  <c:v>1.7402603886907196E-2</c:v>
                </c:pt>
                <c:pt idx="38">
                  <c:v>2.2029233859835066E-2</c:v>
                </c:pt>
                <c:pt idx="39">
                  <c:v>1.1831276989094457E-2</c:v>
                </c:pt>
                <c:pt idx="40">
                  <c:v>1.005818599877456E-2</c:v>
                </c:pt>
                <c:pt idx="41">
                  <c:v>1.5073451608597523E-2</c:v>
                </c:pt>
                <c:pt idx="42">
                  <c:v>7.3862875346109467E-3</c:v>
                </c:pt>
                <c:pt idx="43">
                  <c:v>1.0306626804415055E-2</c:v>
                </c:pt>
                <c:pt idx="44">
                  <c:v>7.24124309328944E-3</c:v>
                </c:pt>
                <c:pt idx="45">
                  <c:v>3.4533736844136916E-2</c:v>
                </c:pt>
                <c:pt idx="46">
                  <c:v>9.9791041510519998E-3</c:v>
                </c:pt>
                <c:pt idx="47">
                  <c:v>8.5790993785921244E-3</c:v>
                </c:pt>
                <c:pt idx="48">
                  <c:v>7.4169928306962599E-3</c:v>
                </c:pt>
                <c:pt idx="49">
                  <c:v>4.7913337177387981E-3</c:v>
                </c:pt>
                <c:pt idx="50">
                  <c:v>5.9404559129806753E-3</c:v>
                </c:pt>
                <c:pt idx="51">
                  <c:v>4.5939179600581323E-3</c:v>
                </c:pt>
                <c:pt idx="52">
                  <c:v>6.5667686848019814E-3</c:v>
                </c:pt>
                <c:pt idx="53">
                  <c:v>5.1386451510872927E-3</c:v>
                </c:pt>
                <c:pt idx="54">
                  <c:v>4.3482007760616403E-3</c:v>
                </c:pt>
                <c:pt idx="55">
                  <c:v>6.1376500951985024E-3</c:v>
                </c:pt>
                <c:pt idx="56">
                  <c:v>3.2246420618066512E-3</c:v>
                </c:pt>
                <c:pt idx="57">
                  <c:v>1.9611028103021112E-3</c:v>
                </c:pt>
                <c:pt idx="58">
                  <c:v>2.276982589139893E-3</c:v>
                </c:pt>
                <c:pt idx="59">
                  <c:v>2.9270799524444566E-3</c:v>
                </c:pt>
                <c:pt idx="60">
                  <c:v>2.8233676696514734E-3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93-4F4C-9562-5331C5D0CEC7}"/>
            </c:ext>
          </c:extLst>
        </c:ser>
        <c:ser>
          <c:idx val="1"/>
          <c:order val="1"/>
          <c:tx>
            <c:strRef>
              <c:f>TDFD_Work!$G$10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TDFD_Work!$G$11:$G$71</c:f>
              <c:numCache>
                <c:formatCode>0.00%</c:formatCode>
                <c:ptCount val="61"/>
                <c:pt idx="0">
                  <c:v>2.1514705520598093E-3</c:v>
                </c:pt>
                <c:pt idx="1">
                  <c:v>1.4023971963349596E-2</c:v>
                </c:pt>
                <c:pt idx="2">
                  <c:v>1.579009077868505E-2</c:v>
                </c:pt>
                <c:pt idx="3">
                  <c:v>1.6974207232760861E-2</c:v>
                </c:pt>
                <c:pt idx="4">
                  <c:v>1.8586581592094562E-2</c:v>
                </c:pt>
                <c:pt idx="5">
                  <c:v>1.8475722653314926E-2</c:v>
                </c:pt>
                <c:pt idx="6">
                  <c:v>1.8737066385760465E-2</c:v>
                </c:pt>
                <c:pt idx="7">
                  <c:v>1.8178434198273443E-2</c:v>
                </c:pt>
                <c:pt idx="8">
                  <c:v>1.710724017123481E-2</c:v>
                </c:pt>
                <c:pt idx="9">
                  <c:v>1.6582303226356933E-2</c:v>
                </c:pt>
                <c:pt idx="10">
                  <c:v>1.6589866286201703E-2</c:v>
                </c:pt>
                <c:pt idx="11">
                  <c:v>1.4510753297691081E-2</c:v>
                </c:pt>
                <c:pt idx="12">
                  <c:v>1.3764032836017443E-2</c:v>
                </c:pt>
                <c:pt idx="13">
                  <c:v>1.2983057923765411E-2</c:v>
                </c:pt>
                <c:pt idx="14">
                  <c:v>1.1441570398384841E-2</c:v>
                </c:pt>
                <c:pt idx="15">
                  <c:v>1.0908404338366488E-2</c:v>
                </c:pt>
                <c:pt idx="16">
                  <c:v>1.0382863185915005E-2</c:v>
                </c:pt>
                <c:pt idx="17">
                  <c:v>9.8049484346852001E-3</c:v>
                </c:pt>
                <c:pt idx="18">
                  <c:v>5.5420922934042174E-2</c:v>
                </c:pt>
                <c:pt idx="19">
                  <c:v>2.6503988625705008E-2</c:v>
                </c:pt>
                <c:pt idx="20">
                  <c:v>2.4806644321542663E-2</c:v>
                </c:pt>
                <c:pt idx="21">
                  <c:v>4.0182510659766565E-2</c:v>
                </c:pt>
                <c:pt idx="22">
                  <c:v>3.5992159647454697E-2</c:v>
                </c:pt>
                <c:pt idx="23">
                  <c:v>3.097748800926935E-2</c:v>
                </c:pt>
                <c:pt idx="24">
                  <c:v>2.5959938228248176E-2</c:v>
                </c:pt>
                <c:pt idx="25">
                  <c:v>2.5549711092636072E-2</c:v>
                </c:pt>
                <c:pt idx="26">
                  <c:v>2.7717656794961871E-2</c:v>
                </c:pt>
                <c:pt idx="27">
                  <c:v>1.915988473935884E-2</c:v>
                </c:pt>
                <c:pt idx="28">
                  <c:v>2.3681590561366872E-2</c:v>
                </c:pt>
                <c:pt idx="29">
                  <c:v>2.2733758126911453E-2</c:v>
                </c:pt>
                <c:pt idx="30">
                  <c:v>2.280840950293311E-2</c:v>
                </c:pt>
                <c:pt idx="31">
                  <c:v>2.1268017431021725E-2</c:v>
                </c:pt>
                <c:pt idx="32">
                  <c:v>1.9845407634875998E-2</c:v>
                </c:pt>
                <c:pt idx="33">
                  <c:v>1.9432950964099187E-2</c:v>
                </c:pt>
                <c:pt idx="34">
                  <c:v>1.8309270999586617E-2</c:v>
                </c:pt>
                <c:pt idx="35">
                  <c:v>2.0601278026974503E-2</c:v>
                </c:pt>
                <c:pt idx="36">
                  <c:v>1.4779957076530268E-2</c:v>
                </c:pt>
                <c:pt idx="37">
                  <c:v>1.4072505641087809E-2</c:v>
                </c:pt>
                <c:pt idx="38">
                  <c:v>1.3589605390722998E-2</c:v>
                </c:pt>
                <c:pt idx="39">
                  <c:v>1.7050340615750625E-2</c:v>
                </c:pt>
                <c:pt idx="40">
                  <c:v>1.4574262105715111E-2</c:v>
                </c:pt>
                <c:pt idx="41">
                  <c:v>1.0089793525849015E-2</c:v>
                </c:pt>
                <c:pt idx="42">
                  <c:v>9.7655873035189713E-3</c:v>
                </c:pt>
                <c:pt idx="43">
                  <c:v>1.1915735162785121E-2</c:v>
                </c:pt>
                <c:pt idx="44">
                  <c:v>8.6915604491361095E-3</c:v>
                </c:pt>
                <c:pt idx="45">
                  <c:v>8.6436906158461561E-3</c:v>
                </c:pt>
                <c:pt idx="46">
                  <c:v>1.0272237872443841E-2</c:v>
                </c:pt>
                <c:pt idx="47">
                  <c:v>8.4745431517014684E-3</c:v>
                </c:pt>
                <c:pt idx="48">
                  <c:v>5.8288469392856297E-3</c:v>
                </c:pt>
                <c:pt idx="49">
                  <c:v>6.2611180480089254E-3</c:v>
                </c:pt>
                <c:pt idx="50">
                  <c:v>5.4202671054389947E-3</c:v>
                </c:pt>
                <c:pt idx="51">
                  <c:v>5.6982151614806426E-3</c:v>
                </c:pt>
                <c:pt idx="52">
                  <c:v>5.1262818616918844E-3</c:v>
                </c:pt>
                <c:pt idx="53">
                  <c:v>4.8985143622568925E-3</c:v>
                </c:pt>
                <c:pt idx="54">
                  <c:v>4.1716836733512027E-3</c:v>
                </c:pt>
                <c:pt idx="55">
                  <c:v>4.7967371031834953E-3</c:v>
                </c:pt>
                <c:pt idx="56">
                  <c:v>4.6097720417268926E-3</c:v>
                </c:pt>
                <c:pt idx="57">
                  <c:v>4.2057276089244641E-3</c:v>
                </c:pt>
                <c:pt idx="58">
                  <c:v>3.8424393520459445E-3</c:v>
                </c:pt>
                <c:pt idx="59">
                  <c:v>4.8206138520009816E-3</c:v>
                </c:pt>
                <c:pt idx="60">
                  <c:v>3.4583236010110627E-3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93-4F4C-9562-5331C5D0C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2928"/>
        <c:axId val="81254016"/>
      </c:lineChart>
      <c:catAx>
        <c:axId val="151612928"/>
        <c:scaling>
          <c:orientation val="minMax"/>
        </c:scaling>
        <c:delete val="0"/>
        <c:axPos val="b"/>
        <c:majorTickMark val="none"/>
        <c:minorTickMark val="none"/>
        <c:tickLblPos val="nextTo"/>
        <c:crossAx val="81254016"/>
        <c:crosses val="autoZero"/>
        <c:auto val="1"/>
        <c:lblAlgn val="ctr"/>
        <c:lblOffset val="100"/>
        <c:tickLblSkip val="10"/>
        <c:noMultiLvlLbl val="0"/>
      </c:catAx>
      <c:valAx>
        <c:axId val="8125401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5161292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TLFD_School!$C$11:$C$71</c:f>
              <c:numCache>
                <c:formatCode>0.00%</c:formatCode>
                <c:ptCount val="61"/>
                <c:pt idx="0">
                  <c:v>6.7908804863944364E-2</c:v>
                </c:pt>
                <c:pt idx="1">
                  <c:v>5.0332260930260102E-2</c:v>
                </c:pt>
                <c:pt idx="2">
                  <c:v>6.4507688338137734E-2</c:v>
                </c:pt>
                <c:pt idx="3">
                  <c:v>9.5332250844830213E-2</c:v>
                </c:pt>
                <c:pt idx="4">
                  <c:v>0.20234716945580231</c:v>
                </c:pt>
                <c:pt idx="5">
                  <c:v>8.5410977927769027E-2</c:v>
                </c:pt>
                <c:pt idx="6">
                  <c:v>0.14274259339946485</c:v>
                </c:pt>
                <c:pt idx="7">
                  <c:v>5.3596581290139451E-2</c:v>
                </c:pt>
                <c:pt idx="8">
                  <c:v>4.5283578361986404E-2</c:v>
                </c:pt>
                <c:pt idx="9">
                  <c:v>3.4154977371809031E-2</c:v>
                </c:pt>
                <c:pt idx="10">
                  <c:v>6.0641853624114943E-2</c:v>
                </c:pt>
                <c:pt idx="11">
                  <c:v>1.1745761089692474E-2</c:v>
                </c:pt>
                <c:pt idx="12">
                  <c:v>8.9814146376595589E-3</c:v>
                </c:pt>
                <c:pt idx="13">
                  <c:v>6.3888568889515704E-3</c:v>
                </c:pt>
                <c:pt idx="14">
                  <c:v>6.2271882821414793E-3</c:v>
                </c:pt>
                <c:pt idx="15">
                  <c:v>3.1458703056568694E-3</c:v>
                </c:pt>
                <c:pt idx="16">
                  <c:v>1.1986737757805612E-2</c:v>
                </c:pt>
                <c:pt idx="17">
                  <c:v>7.2217516854610276E-3</c:v>
                </c:pt>
                <c:pt idx="18">
                  <c:v>7.044405115650753E-3</c:v>
                </c:pt>
                <c:pt idx="19">
                  <c:v>2.0770411798038684E-3</c:v>
                </c:pt>
                <c:pt idx="20">
                  <c:v>1.9366959719289319E-3</c:v>
                </c:pt>
                <c:pt idx="21">
                  <c:v>9.1799754716662789E-3</c:v>
                </c:pt>
                <c:pt idx="22">
                  <c:v>2.5268726331390923E-3</c:v>
                </c:pt>
                <c:pt idx="23">
                  <c:v>1.100414413466964E-2</c:v>
                </c:pt>
                <c:pt idx="24">
                  <c:v>2.05682651540962E-4</c:v>
                </c:pt>
                <c:pt idx="25">
                  <c:v>1.2489394586892781E-3</c:v>
                </c:pt>
                <c:pt idx="26">
                  <c:v>1.2131687341140614E-3</c:v>
                </c:pt>
                <c:pt idx="27">
                  <c:v>2.0912689731751384E-5</c:v>
                </c:pt>
                <c:pt idx="28">
                  <c:v>1.9737428357836087E-3</c:v>
                </c:pt>
                <c:pt idx="29">
                  <c:v>3.5421573165624737E-4</c:v>
                </c:pt>
                <c:pt idx="30">
                  <c:v>0</c:v>
                </c:pt>
                <c:pt idx="31">
                  <c:v>0</c:v>
                </c:pt>
                <c:pt idx="32">
                  <c:v>1.8267056671200007E-5</c:v>
                </c:pt>
                <c:pt idx="33">
                  <c:v>0</c:v>
                </c:pt>
                <c:pt idx="34">
                  <c:v>6.8482439812463146E-4</c:v>
                </c:pt>
                <c:pt idx="35">
                  <c:v>1.169240757492463E-5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5.9193351078352793E-6</c:v>
                </c:pt>
                <c:pt idx="40">
                  <c:v>6.3208403961574398E-6</c:v>
                </c:pt>
                <c:pt idx="41">
                  <c:v>0</c:v>
                </c:pt>
                <c:pt idx="42">
                  <c:v>3.8969658760836819E-4</c:v>
                </c:pt>
                <c:pt idx="43">
                  <c:v>4.0313855447715661E-4</c:v>
                </c:pt>
                <c:pt idx="44">
                  <c:v>0</c:v>
                </c:pt>
                <c:pt idx="45">
                  <c:v>0</c:v>
                </c:pt>
                <c:pt idx="46">
                  <c:v>1.6378296472056497E-3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20-4EF6-A577-43055DE1D26B}"/>
            </c:ext>
          </c:extLst>
        </c:ser>
        <c:ser>
          <c:idx val="1"/>
          <c:order val="1"/>
          <c:tx>
            <c:strRef>
              <c:f>TLFD_School!$G$10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TLFD_School!$G$11:$G$71</c:f>
              <c:numCache>
                <c:formatCode>0.00%</c:formatCode>
                <c:ptCount val="61"/>
                <c:pt idx="0">
                  <c:v>0.16311210851054175</c:v>
                </c:pt>
                <c:pt idx="1">
                  <c:v>0.16013110841707173</c:v>
                </c:pt>
                <c:pt idx="2">
                  <c:v>8.9520777528554349E-2</c:v>
                </c:pt>
                <c:pt idx="3">
                  <c:v>5.3978476936943943E-2</c:v>
                </c:pt>
                <c:pt idx="4">
                  <c:v>0.16955947094208382</c:v>
                </c:pt>
                <c:pt idx="5">
                  <c:v>7.2514003411216776E-2</c:v>
                </c:pt>
                <c:pt idx="6">
                  <c:v>7.452423582252185E-2</c:v>
                </c:pt>
                <c:pt idx="7">
                  <c:v>4.6431246580805462E-2</c:v>
                </c:pt>
                <c:pt idx="8">
                  <c:v>4.6544076020496448E-2</c:v>
                </c:pt>
                <c:pt idx="9">
                  <c:v>2.4330346331312865E-2</c:v>
                </c:pt>
                <c:pt idx="10">
                  <c:v>1.9028609684391649E-2</c:v>
                </c:pt>
                <c:pt idx="11">
                  <c:v>1.8407465110146567E-2</c:v>
                </c:pt>
                <c:pt idx="12">
                  <c:v>1.1225501181089715E-2</c:v>
                </c:pt>
                <c:pt idx="13">
                  <c:v>8.5728586856854971E-3</c:v>
                </c:pt>
                <c:pt idx="14">
                  <c:v>7.8409400018876457E-3</c:v>
                </c:pt>
                <c:pt idx="15">
                  <c:v>6.5474832546697373E-3</c:v>
                </c:pt>
                <c:pt idx="16">
                  <c:v>6.3014720297417427E-3</c:v>
                </c:pt>
                <c:pt idx="17">
                  <c:v>4.0932209500416077E-3</c:v>
                </c:pt>
                <c:pt idx="18">
                  <c:v>3.2287529308796573E-3</c:v>
                </c:pt>
                <c:pt idx="19">
                  <c:v>2.2401627352884009E-3</c:v>
                </c:pt>
                <c:pt idx="20">
                  <c:v>1.6395298562601661E-3</c:v>
                </c:pt>
                <c:pt idx="21">
                  <c:v>1.3135012427897095E-3</c:v>
                </c:pt>
                <c:pt idx="22">
                  <c:v>1.1850522023258835E-3</c:v>
                </c:pt>
                <c:pt idx="23">
                  <c:v>1.300127128536032E-3</c:v>
                </c:pt>
                <c:pt idx="24">
                  <c:v>9.3247149977680863E-4</c:v>
                </c:pt>
                <c:pt idx="25">
                  <c:v>1.2612402103234128E-3</c:v>
                </c:pt>
                <c:pt idx="26">
                  <c:v>8.0784046579455537E-4</c:v>
                </c:pt>
                <c:pt idx="27">
                  <c:v>6.9150813688735244E-4</c:v>
                </c:pt>
                <c:pt idx="28">
                  <c:v>4.455970773758671E-4</c:v>
                </c:pt>
                <c:pt idx="29">
                  <c:v>4.6806714968680539E-4</c:v>
                </c:pt>
                <c:pt idx="30">
                  <c:v>4.222817163244552E-4</c:v>
                </c:pt>
                <c:pt idx="31">
                  <c:v>1.9644248466242821E-4</c:v>
                </c:pt>
                <c:pt idx="32">
                  <c:v>1.6091673087079177E-4</c:v>
                </c:pt>
                <c:pt idx="33">
                  <c:v>1.5418048190297907E-4</c:v>
                </c:pt>
                <c:pt idx="34">
                  <c:v>1.6580147197761994E-4</c:v>
                </c:pt>
                <c:pt idx="35">
                  <c:v>1.158041160445833E-4</c:v>
                </c:pt>
                <c:pt idx="36">
                  <c:v>1.3368786536952515E-4</c:v>
                </c:pt>
                <c:pt idx="37">
                  <c:v>6.2792237575184248E-5</c:v>
                </c:pt>
                <c:pt idx="38">
                  <c:v>5.6606010123120658E-5</c:v>
                </c:pt>
                <c:pt idx="39">
                  <c:v>3.1122655972115857E-5</c:v>
                </c:pt>
                <c:pt idx="40">
                  <c:v>2.8432672170790428E-5</c:v>
                </c:pt>
                <c:pt idx="41">
                  <c:v>3.1054055745808107E-5</c:v>
                </c:pt>
                <c:pt idx="42">
                  <c:v>7.8773757137583762E-6</c:v>
                </c:pt>
                <c:pt idx="43">
                  <c:v>3.1962079192702868E-5</c:v>
                </c:pt>
                <c:pt idx="44">
                  <c:v>3.9616436322552756E-5</c:v>
                </c:pt>
                <c:pt idx="45">
                  <c:v>2.4091269932551504E-5</c:v>
                </c:pt>
                <c:pt idx="46">
                  <c:v>3.1034439058312203E-5</c:v>
                </c:pt>
                <c:pt idx="47">
                  <c:v>2.9303908860250176E-5</c:v>
                </c:pt>
                <c:pt idx="48">
                  <c:v>1.3264566945608389E-5</c:v>
                </c:pt>
                <c:pt idx="49">
                  <c:v>1.5102535961482847E-5</c:v>
                </c:pt>
                <c:pt idx="50">
                  <c:v>3.6269758915139805E-6</c:v>
                </c:pt>
                <c:pt idx="51">
                  <c:v>6.653139710140057E-6</c:v>
                </c:pt>
                <c:pt idx="52">
                  <c:v>0</c:v>
                </c:pt>
                <c:pt idx="53">
                  <c:v>1.2028659128649541E-5</c:v>
                </c:pt>
                <c:pt idx="54">
                  <c:v>0</c:v>
                </c:pt>
                <c:pt idx="55">
                  <c:v>3.0241544137000264E-7</c:v>
                </c:pt>
                <c:pt idx="56">
                  <c:v>6.0849652445358101E-6</c:v>
                </c:pt>
                <c:pt idx="57">
                  <c:v>3.0241544137000264E-7</c:v>
                </c:pt>
                <c:pt idx="58">
                  <c:v>1.2096617654800104E-5</c:v>
                </c:pt>
                <c:pt idx="59">
                  <c:v>6.083371487269041E-6</c:v>
                </c:pt>
                <c:pt idx="60">
                  <c:v>1.208520575135218E-5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20-4EF6-A577-43055DE1D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664"/>
        <c:axId val="81255744"/>
      </c:lineChart>
      <c:catAx>
        <c:axId val="151857664"/>
        <c:scaling>
          <c:orientation val="minMax"/>
        </c:scaling>
        <c:delete val="0"/>
        <c:axPos val="b"/>
        <c:majorTickMark val="none"/>
        <c:minorTickMark val="none"/>
        <c:tickLblPos val="nextTo"/>
        <c:crossAx val="81255744"/>
        <c:crosses val="autoZero"/>
        <c:auto val="1"/>
        <c:lblAlgn val="ctr"/>
        <c:lblOffset val="100"/>
        <c:tickLblSkip val="10"/>
        <c:noMultiLvlLbl val="0"/>
      </c:catAx>
      <c:valAx>
        <c:axId val="81255744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5185766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TDFD_School!$C$11:$C$71</c:f>
              <c:numCache>
                <c:formatCode>0.00%</c:formatCode>
                <c:ptCount val="61"/>
                <c:pt idx="0">
                  <c:v>0</c:v>
                </c:pt>
                <c:pt idx="1">
                  <c:v>8.156350282673492E-3</c:v>
                </c:pt>
                <c:pt idx="2">
                  <c:v>6.8145609813907559E-3</c:v>
                </c:pt>
                <c:pt idx="3">
                  <c:v>1.4230797282412447E-2</c:v>
                </c:pt>
                <c:pt idx="4">
                  <c:v>1.0782005828019798E-2</c:v>
                </c:pt>
                <c:pt idx="5">
                  <c:v>8.9122035466190682E-3</c:v>
                </c:pt>
                <c:pt idx="6">
                  <c:v>8.7185302939005154E-3</c:v>
                </c:pt>
                <c:pt idx="7">
                  <c:v>1.628655697829668E-2</c:v>
                </c:pt>
                <c:pt idx="8">
                  <c:v>3.9059268496487954E-3</c:v>
                </c:pt>
                <c:pt idx="9">
                  <c:v>1.404400204859528E-2</c:v>
                </c:pt>
                <c:pt idx="10">
                  <c:v>8.3782112783444881E-3</c:v>
                </c:pt>
                <c:pt idx="11">
                  <c:v>1.6176340952326389E-2</c:v>
                </c:pt>
                <c:pt idx="12">
                  <c:v>3.5714752295633805E-2</c:v>
                </c:pt>
                <c:pt idx="13">
                  <c:v>1.1082988615131477E-2</c:v>
                </c:pt>
                <c:pt idx="14">
                  <c:v>1.6656497446691503E-2</c:v>
                </c:pt>
                <c:pt idx="15">
                  <c:v>3.8640665940122111E-3</c:v>
                </c:pt>
                <c:pt idx="16">
                  <c:v>3.9470246796736198E-2</c:v>
                </c:pt>
                <c:pt idx="17">
                  <c:v>1.8142270877281777E-2</c:v>
                </c:pt>
                <c:pt idx="18">
                  <c:v>0.10352030239184527</c:v>
                </c:pt>
                <c:pt idx="19">
                  <c:v>3.7705673872785943E-2</c:v>
                </c:pt>
                <c:pt idx="20">
                  <c:v>6.2675113675186189E-2</c:v>
                </c:pt>
                <c:pt idx="21">
                  <c:v>4.3768441486318484E-2</c:v>
                </c:pt>
                <c:pt idx="22">
                  <c:v>3.7184477296968381E-2</c:v>
                </c:pt>
                <c:pt idx="23">
                  <c:v>1.7217310633650763E-2</c:v>
                </c:pt>
                <c:pt idx="24">
                  <c:v>3.5708769349073792E-2</c:v>
                </c:pt>
                <c:pt idx="25">
                  <c:v>3.4050097702522569E-2</c:v>
                </c:pt>
                <c:pt idx="26">
                  <c:v>7.5578255777844591E-2</c:v>
                </c:pt>
                <c:pt idx="27">
                  <c:v>1.1669069471582237E-2</c:v>
                </c:pt>
                <c:pt idx="28">
                  <c:v>2.1393386884766937E-2</c:v>
                </c:pt>
                <c:pt idx="29">
                  <c:v>1.7511851826455715E-2</c:v>
                </c:pt>
                <c:pt idx="30">
                  <c:v>1.8164293684885039E-2</c:v>
                </c:pt>
                <c:pt idx="31">
                  <c:v>1.5304623438427537E-2</c:v>
                </c:pt>
                <c:pt idx="32">
                  <c:v>6.6257879451451489E-3</c:v>
                </c:pt>
                <c:pt idx="33">
                  <c:v>1.0525344903903817E-2</c:v>
                </c:pt>
                <c:pt idx="34">
                  <c:v>2.2701703283748365E-2</c:v>
                </c:pt>
                <c:pt idx="35">
                  <c:v>5.5420482161368766E-3</c:v>
                </c:pt>
                <c:pt idx="36">
                  <c:v>5.8738532199427533E-3</c:v>
                </c:pt>
                <c:pt idx="37">
                  <c:v>1.1863802433481388E-2</c:v>
                </c:pt>
                <c:pt idx="38">
                  <c:v>1.6185728421689305E-2</c:v>
                </c:pt>
                <c:pt idx="39">
                  <c:v>3.2737425601384474E-3</c:v>
                </c:pt>
                <c:pt idx="40">
                  <c:v>1.1297737866831949E-3</c:v>
                </c:pt>
                <c:pt idx="41">
                  <c:v>8.2949344961728774E-3</c:v>
                </c:pt>
                <c:pt idx="42">
                  <c:v>1.8001743364519905E-3</c:v>
                </c:pt>
                <c:pt idx="43">
                  <c:v>1.3456408174427419E-3</c:v>
                </c:pt>
                <c:pt idx="44">
                  <c:v>1.3729207237601828E-3</c:v>
                </c:pt>
                <c:pt idx="45">
                  <c:v>4.2931962230227549E-2</c:v>
                </c:pt>
                <c:pt idx="46">
                  <c:v>6.3664649595323404E-3</c:v>
                </c:pt>
                <c:pt idx="47">
                  <c:v>4.868653097138154E-3</c:v>
                </c:pt>
                <c:pt idx="48">
                  <c:v>2.8766108689490533E-3</c:v>
                </c:pt>
                <c:pt idx="49">
                  <c:v>1.2439107382505048E-3</c:v>
                </c:pt>
                <c:pt idx="50">
                  <c:v>4.0656239082332386E-4</c:v>
                </c:pt>
                <c:pt idx="51">
                  <c:v>1.6353673182068545E-3</c:v>
                </c:pt>
                <c:pt idx="52">
                  <c:v>1.2570749147342937E-3</c:v>
                </c:pt>
                <c:pt idx="53">
                  <c:v>0</c:v>
                </c:pt>
                <c:pt idx="54">
                  <c:v>2.4149174871741846E-3</c:v>
                </c:pt>
                <c:pt idx="55">
                  <c:v>3.749735808769989E-3</c:v>
                </c:pt>
                <c:pt idx="56">
                  <c:v>0</c:v>
                </c:pt>
                <c:pt idx="57">
                  <c:v>0</c:v>
                </c:pt>
                <c:pt idx="58">
                  <c:v>1.8267056671200007E-5</c:v>
                </c:pt>
                <c:pt idx="59">
                  <c:v>7.4713735066074527E-4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AD-4595-BB53-F284F74F8C11}"/>
            </c:ext>
          </c:extLst>
        </c:ser>
        <c:ser>
          <c:idx val="1"/>
          <c:order val="1"/>
          <c:tx>
            <c:strRef>
              <c:f>TDFD_School!$G$10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TDFD_School!$G$11:$G$71</c:f>
              <c:numCache>
                <c:formatCode>0.00%</c:formatCode>
                <c:ptCount val="61"/>
                <c:pt idx="0">
                  <c:v>8.4055375852373413E-4</c:v>
                </c:pt>
                <c:pt idx="1">
                  <c:v>1.9764357536050325E-2</c:v>
                </c:pt>
                <c:pt idx="2">
                  <c:v>2.691871614146412E-2</c:v>
                </c:pt>
                <c:pt idx="3">
                  <c:v>3.2876779916863663E-2</c:v>
                </c:pt>
                <c:pt idx="4">
                  <c:v>3.5275511754217143E-2</c:v>
                </c:pt>
                <c:pt idx="5">
                  <c:v>3.7291240012363024E-2</c:v>
                </c:pt>
                <c:pt idx="6">
                  <c:v>3.4769056724644039E-2</c:v>
                </c:pt>
                <c:pt idx="7">
                  <c:v>3.2906545373611262E-2</c:v>
                </c:pt>
                <c:pt idx="8">
                  <c:v>3.0229078892977129E-2</c:v>
                </c:pt>
                <c:pt idx="9">
                  <c:v>2.817763727698596E-2</c:v>
                </c:pt>
                <c:pt idx="10">
                  <c:v>2.4860208539172719E-2</c:v>
                </c:pt>
                <c:pt idx="11">
                  <c:v>2.2061142919533778E-2</c:v>
                </c:pt>
                <c:pt idx="12">
                  <c:v>2.0726547901633086E-2</c:v>
                </c:pt>
                <c:pt idx="13">
                  <c:v>1.8145812336192207E-2</c:v>
                </c:pt>
                <c:pt idx="14">
                  <c:v>1.5068242889442918E-2</c:v>
                </c:pt>
                <c:pt idx="15">
                  <c:v>1.5758487893330779E-2</c:v>
                </c:pt>
                <c:pt idx="16">
                  <c:v>1.4311591225120254E-2</c:v>
                </c:pt>
                <c:pt idx="17">
                  <c:v>1.3833461040369175E-2</c:v>
                </c:pt>
                <c:pt idx="18">
                  <c:v>0.12463142146119481</c:v>
                </c:pt>
                <c:pt idx="19">
                  <c:v>3.3117930200453609E-2</c:v>
                </c:pt>
                <c:pt idx="20">
                  <c:v>2.649531064665505E-2</c:v>
                </c:pt>
                <c:pt idx="21">
                  <c:v>4.3072816927575197E-2</c:v>
                </c:pt>
                <c:pt idx="22">
                  <c:v>3.6847536442174741E-2</c:v>
                </c:pt>
                <c:pt idx="23">
                  <c:v>3.4704952064426683E-2</c:v>
                </c:pt>
                <c:pt idx="24">
                  <c:v>2.8606155731559401E-2</c:v>
                </c:pt>
                <c:pt idx="25">
                  <c:v>2.1780378949141102E-2</c:v>
                </c:pt>
                <c:pt idx="26">
                  <c:v>2.4474925554161905E-2</c:v>
                </c:pt>
                <c:pt idx="27">
                  <c:v>1.3013373129188903E-2</c:v>
                </c:pt>
                <c:pt idx="28">
                  <c:v>1.6578092631479892E-2</c:v>
                </c:pt>
                <c:pt idx="29">
                  <c:v>1.5641251940576771E-2</c:v>
                </c:pt>
                <c:pt idx="30">
                  <c:v>1.3758547076391788E-2</c:v>
                </c:pt>
                <c:pt idx="31">
                  <c:v>9.1459270365371274E-3</c:v>
                </c:pt>
                <c:pt idx="32">
                  <c:v>1.0520686797695768E-2</c:v>
                </c:pt>
                <c:pt idx="33">
                  <c:v>1.3801605366420706E-2</c:v>
                </c:pt>
                <c:pt idx="34">
                  <c:v>1.1093426852312164E-2</c:v>
                </c:pt>
                <c:pt idx="35">
                  <c:v>7.0201835583050586E-3</c:v>
                </c:pt>
                <c:pt idx="36">
                  <c:v>5.5600542805935233E-3</c:v>
                </c:pt>
                <c:pt idx="37">
                  <c:v>4.6814885778468747E-3</c:v>
                </c:pt>
                <c:pt idx="38">
                  <c:v>5.5892042524273676E-3</c:v>
                </c:pt>
                <c:pt idx="39">
                  <c:v>4.7040203691182279E-3</c:v>
                </c:pt>
                <c:pt idx="40">
                  <c:v>3.7383395279708622E-3</c:v>
                </c:pt>
                <c:pt idx="41">
                  <c:v>3.6645642735190823E-3</c:v>
                </c:pt>
                <c:pt idx="42">
                  <c:v>2.7533152497986324E-3</c:v>
                </c:pt>
                <c:pt idx="43">
                  <c:v>3.2731035563024913E-3</c:v>
                </c:pt>
                <c:pt idx="44">
                  <c:v>2.7456081568230906E-3</c:v>
                </c:pt>
                <c:pt idx="45">
                  <c:v>2.7063009546050652E-3</c:v>
                </c:pt>
                <c:pt idx="46">
                  <c:v>3.6876480804655361E-3</c:v>
                </c:pt>
                <c:pt idx="47">
                  <c:v>2.4170525377460441E-3</c:v>
                </c:pt>
                <c:pt idx="48">
                  <c:v>1.8280475568082913E-3</c:v>
                </c:pt>
                <c:pt idx="49">
                  <c:v>2.1236630317386426E-3</c:v>
                </c:pt>
                <c:pt idx="50">
                  <c:v>1.5172587109156641E-3</c:v>
                </c:pt>
                <c:pt idx="51">
                  <c:v>1.4681575802391008E-3</c:v>
                </c:pt>
                <c:pt idx="52">
                  <c:v>1.3245122118474785E-3</c:v>
                </c:pt>
                <c:pt idx="53">
                  <c:v>1.3504589500707325E-3</c:v>
                </c:pt>
                <c:pt idx="54">
                  <c:v>1.2272275540924861E-3</c:v>
                </c:pt>
                <c:pt idx="55">
                  <c:v>9.3024195164698707E-4</c:v>
                </c:pt>
                <c:pt idx="56">
                  <c:v>1.1590165608548525E-3</c:v>
                </c:pt>
                <c:pt idx="57">
                  <c:v>1.0994410982353309E-3</c:v>
                </c:pt>
                <c:pt idx="58">
                  <c:v>1.0455844188739614E-3</c:v>
                </c:pt>
                <c:pt idx="59">
                  <c:v>8.1235526697681117E-4</c:v>
                </c:pt>
                <c:pt idx="60">
                  <c:v>8.8935987911263788E-4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AD-4595-BB53-F284F74F8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4896"/>
        <c:axId val="124978880"/>
      </c:lineChart>
      <c:catAx>
        <c:axId val="1556648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978880"/>
        <c:crosses val="autoZero"/>
        <c:auto val="1"/>
        <c:lblAlgn val="ctr"/>
        <c:lblOffset val="100"/>
        <c:tickLblSkip val="10"/>
        <c:noMultiLvlLbl val="0"/>
      </c:catAx>
      <c:valAx>
        <c:axId val="1249788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556648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TLFD_Escort!$C$11:$C$71</c:f>
              <c:numCache>
                <c:formatCode>0.00%</c:formatCode>
                <c:ptCount val="61"/>
                <c:pt idx="0">
                  <c:v>3.3002917508857768E-2</c:v>
                </c:pt>
                <c:pt idx="1">
                  <c:v>5.6307505392293629E-2</c:v>
                </c:pt>
                <c:pt idx="2">
                  <c:v>5.8695532575694383E-2</c:v>
                </c:pt>
                <c:pt idx="3">
                  <c:v>9.7013422472779096E-2</c:v>
                </c:pt>
                <c:pt idx="4">
                  <c:v>0.18803542031521206</c:v>
                </c:pt>
                <c:pt idx="5">
                  <c:v>8.9868904327683727E-2</c:v>
                </c:pt>
                <c:pt idx="6">
                  <c:v>0.10698932365645929</c:v>
                </c:pt>
                <c:pt idx="7">
                  <c:v>8.6745635356909379E-2</c:v>
                </c:pt>
                <c:pt idx="8">
                  <c:v>4.0614525094790611E-2</c:v>
                </c:pt>
                <c:pt idx="9">
                  <c:v>2.558747267793016E-2</c:v>
                </c:pt>
                <c:pt idx="10">
                  <c:v>6.9293528856708211E-2</c:v>
                </c:pt>
                <c:pt idx="11">
                  <c:v>1.887642628104674E-2</c:v>
                </c:pt>
                <c:pt idx="12">
                  <c:v>1.358509470802244E-2</c:v>
                </c:pt>
                <c:pt idx="13">
                  <c:v>1.2821977035172835E-2</c:v>
                </c:pt>
                <c:pt idx="14">
                  <c:v>6.2991970692787029E-3</c:v>
                </c:pt>
                <c:pt idx="15">
                  <c:v>9.9269798065905208E-3</c:v>
                </c:pt>
                <c:pt idx="16">
                  <c:v>8.6996728631704226E-3</c:v>
                </c:pt>
                <c:pt idx="17">
                  <c:v>1.4009534165986584E-2</c:v>
                </c:pt>
                <c:pt idx="18">
                  <c:v>1.5253503865507643E-2</c:v>
                </c:pt>
                <c:pt idx="19">
                  <c:v>4.5944733573741207E-3</c:v>
                </c:pt>
                <c:pt idx="20">
                  <c:v>6.3578166303427741E-3</c:v>
                </c:pt>
                <c:pt idx="21">
                  <c:v>4.7172411067765638E-3</c:v>
                </c:pt>
                <c:pt idx="22">
                  <c:v>4.4260177767830701E-3</c:v>
                </c:pt>
                <c:pt idx="23">
                  <c:v>5.7961590886962486E-3</c:v>
                </c:pt>
                <c:pt idx="24">
                  <c:v>1.5115561072714481E-3</c:v>
                </c:pt>
                <c:pt idx="25">
                  <c:v>1.2645963083644E-3</c:v>
                </c:pt>
                <c:pt idx="26">
                  <c:v>4.0365064043205301E-4</c:v>
                </c:pt>
                <c:pt idx="27">
                  <c:v>2.8578463701409659E-3</c:v>
                </c:pt>
                <c:pt idx="28">
                  <c:v>1.8317804399917315E-3</c:v>
                </c:pt>
                <c:pt idx="29">
                  <c:v>8.9284526438880216E-4</c:v>
                </c:pt>
                <c:pt idx="30">
                  <c:v>0</c:v>
                </c:pt>
                <c:pt idx="31">
                  <c:v>4.9578957916005504E-4</c:v>
                </c:pt>
                <c:pt idx="32">
                  <c:v>1.2819194689799393E-4</c:v>
                </c:pt>
                <c:pt idx="33">
                  <c:v>9.6718777203385145E-4</c:v>
                </c:pt>
                <c:pt idx="34">
                  <c:v>6.7610980625911164E-3</c:v>
                </c:pt>
                <c:pt idx="35">
                  <c:v>6.1173313172016867E-4</c:v>
                </c:pt>
                <c:pt idx="36">
                  <c:v>0</c:v>
                </c:pt>
                <c:pt idx="37">
                  <c:v>1.648766731029229E-4</c:v>
                </c:pt>
                <c:pt idx="38">
                  <c:v>9.6416415419641171E-4</c:v>
                </c:pt>
                <c:pt idx="39">
                  <c:v>1.4299693205245885E-3</c:v>
                </c:pt>
                <c:pt idx="40">
                  <c:v>0</c:v>
                </c:pt>
                <c:pt idx="41">
                  <c:v>0</c:v>
                </c:pt>
                <c:pt idx="42">
                  <c:v>2.5499406287262619E-4</c:v>
                </c:pt>
                <c:pt idx="43">
                  <c:v>6.3858571714947836E-4</c:v>
                </c:pt>
                <c:pt idx="44">
                  <c:v>3.117797563518088E-4</c:v>
                </c:pt>
                <c:pt idx="45">
                  <c:v>2.766257567489554E-4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4.4607575561073375E-4</c:v>
                </c:pt>
                <c:pt idx="53">
                  <c:v>3.6944361598241738E-6</c:v>
                </c:pt>
                <c:pt idx="54">
                  <c:v>0</c:v>
                </c:pt>
                <c:pt idx="55">
                  <c:v>0</c:v>
                </c:pt>
                <c:pt idx="56">
                  <c:v>1.9945983993852241E-4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F-4686-B84D-16296A86AF67}"/>
            </c:ext>
          </c:extLst>
        </c:ser>
        <c:ser>
          <c:idx val="1"/>
          <c:order val="1"/>
          <c:tx>
            <c:strRef>
              <c:f>TLFD_Escort!$G$10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TLFD_Escort!$G$11:$G$71</c:f>
              <c:numCache>
                <c:formatCode>0.00%</c:formatCode>
                <c:ptCount val="61"/>
                <c:pt idx="0">
                  <c:v>0.14992540785514255</c:v>
                </c:pt>
                <c:pt idx="1">
                  <c:v>0.13251572614961599</c:v>
                </c:pt>
                <c:pt idx="2">
                  <c:v>8.366459986114759E-2</c:v>
                </c:pt>
                <c:pt idx="3">
                  <c:v>5.1692762192836639E-2</c:v>
                </c:pt>
                <c:pt idx="4">
                  <c:v>0.15861440450166847</c:v>
                </c:pt>
                <c:pt idx="5">
                  <c:v>7.4542424002807431E-2</c:v>
                </c:pt>
                <c:pt idx="6">
                  <c:v>7.0151966048604256E-2</c:v>
                </c:pt>
                <c:pt idx="7">
                  <c:v>4.1504404637553546E-2</c:v>
                </c:pt>
                <c:pt idx="8">
                  <c:v>4.1121419442400761E-2</c:v>
                </c:pt>
                <c:pt idx="9">
                  <c:v>1.959068300809879E-2</c:v>
                </c:pt>
                <c:pt idx="10">
                  <c:v>2.1016491191058938E-2</c:v>
                </c:pt>
                <c:pt idx="11">
                  <c:v>2.0359007532026945E-2</c:v>
                </c:pt>
                <c:pt idx="12">
                  <c:v>1.3704089290607001E-2</c:v>
                </c:pt>
                <c:pt idx="13">
                  <c:v>1.2473494039207604E-2</c:v>
                </c:pt>
                <c:pt idx="14">
                  <c:v>1.1224760510613349E-2</c:v>
                </c:pt>
                <c:pt idx="15">
                  <c:v>1.4422301821702536E-2</c:v>
                </c:pt>
                <c:pt idx="16">
                  <c:v>1.3543860335399624E-2</c:v>
                </c:pt>
                <c:pt idx="17">
                  <c:v>1.0173610620764486E-2</c:v>
                </c:pt>
                <c:pt idx="18">
                  <c:v>6.5302087059289698E-3</c:v>
                </c:pt>
                <c:pt idx="19">
                  <c:v>7.0034713403037277E-3</c:v>
                </c:pt>
                <c:pt idx="20">
                  <c:v>5.4074021896714985E-3</c:v>
                </c:pt>
                <c:pt idx="21">
                  <c:v>4.9514152276498025E-3</c:v>
                </c:pt>
                <c:pt idx="22">
                  <c:v>3.8848940276775879E-3</c:v>
                </c:pt>
                <c:pt idx="23">
                  <c:v>3.8541842281843109E-3</c:v>
                </c:pt>
                <c:pt idx="24">
                  <c:v>2.8617938207451061E-3</c:v>
                </c:pt>
                <c:pt idx="25">
                  <c:v>3.2465953101979217E-3</c:v>
                </c:pt>
                <c:pt idx="26">
                  <c:v>2.8753364291914905E-3</c:v>
                </c:pt>
                <c:pt idx="27">
                  <c:v>2.3992764587840013E-3</c:v>
                </c:pt>
                <c:pt idx="28">
                  <c:v>1.920556043410792E-3</c:v>
                </c:pt>
                <c:pt idx="29">
                  <c:v>2.4432560546147628E-3</c:v>
                </c:pt>
                <c:pt idx="30">
                  <c:v>1.450900931157118E-3</c:v>
                </c:pt>
                <c:pt idx="31">
                  <c:v>1.3261958900197067E-3</c:v>
                </c:pt>
                <c:pt idx="32">
                  <c:v>1.2717194979326748E-3</c:v>
                </c:pt>
                <c:pt idx="33">
                  <c:v>9.5336652290310491E-4</c:v>
                </c:pt>
                <c:pt idx="34">
                  <c:v>8.4177910693014027E-4</c:v>
                </c:pt>
                <c:pt idx="35">
                  <c:v>6.464099828823388E-4</c:v>
                </c:pt>
                <c:pt idx="36">
                  <c:v>9.0465140114225756E-4</c:v>
                </c:pt>
                <c:pt idx="37">
                  <c:v>6.5886124949151659E-4</c:v>
                </c:pt>
                <c:pt idx="38">
                  <c:v>6.1052015956585568E-4</c:v>
                </c:pt>
                <c:pt idx="39">
                  <c:v>6.3538396902434167E-4</c:v>
                </c:pt>
                <c:pt idx="40">
                  <c:v>3.8190333976500466E-4</c:v>
                </c:pt>
                <c:pt idx="41">
                  <c:v>4.4193991445467851E-4</c:v>
                </c:pt>
                <c:pt idx="42">
                  <c:v>2.0047298825234369E-4</c:v>
                </c:pt>
                <c:pt idx="43">
                  <c:v>2.6688242417377485E-4</c:v>
                </c:pt>
                <c:pt idx="44">
                  <c:v>1.5640267406042974E-4</c:v>
                </c:pt>
                <c:pt idx="45">
                  <c:v>2.7284916016176235E-4</c:v>
                </c:pt>
                <c:pt idx="46">
                  <c:v>1.7854990657556271E-4</c:v>
                </c:pt>
                <c:pt idx="47">
                  <c:v>1.2300702405256396E-4</c:v>
                </c:pt>
                <c:pt idx="48">
                  <c:v>2.0133266186141293E-4</c:v>
                </c:pt>
                <c:pt idx="49">
                  <c:v>1.2842217429464686E-4</c:v>
                </c:pt>
                <c:pt idx="50">
                  <c:v>1.1389363314599135E-4</c:v>
                </c:pt>
                <c:pt idx="51">
                  <c:v>7.8249752064515985E-5</c:v>
                </c:pt>
                <c:pt idx="52">
                  <c:v>7.3968952294592934E-5</c:v>
                </c:pt>
                <c:pt idx="53">
                  <c:v>6.7821821914523976E-5</c:v>
                </c:pt>
                <c:pt idx="54">
                  <c:v>1.0684216722250649E-4</c:v>
                </c:pt>
                <c:pt idx="55">
                  <c:v>4.4508771384583469E-5</c:v>
                </c:pt>
                <c:pt idx="56">
                  <c:v>2.721297822027014E-5</c:v>
                </c:pt>
                <c:pt idx="57">
                  <c:v>6.45584414601748E-5</c:v>
                </c:pt>
                <c:pt idx="58">
                  <c:v>1.6761608093123714E-5</c:v>
                </c:pt>
                <c:pt idx="59">
                  <c:v>1.6304162494157109E-5</c:v>
                </c:pt>
                <c:pt idx="60">
                  <c:v>8.2833003332199416E-6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9F-4686-B84D-16296A86A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0592"/>
        <c:axId val="124980608"/>
      </c:lineChart>
      <c:catAx>
        <c:axId val="186990592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980608"/>
        <c:crosses val="autoZero"/>
        <c:auto val="1"/>
        <c:lblAlgn val="ctr"/>
        <c:lblOffset val="100"/>
        <c:tickLblSkip val="10"/>
        <c:noMultiLvlLbl val="0"/>
      </c:catAx>
      <c:valAx>
        <c:axId val="12498060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869905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TDFD_Escort!$C$11:$C$71</c:f>
              <c:numCache>
                <c:formatCode>0.00%</c:formatCode>
                <c:ptCount val="61"/>
                <c:pt idx="0">
                  <c:v>5.1645030969883401E-3</c:v>
                </c:pt>
                <c:pt idx="1">
                  <c:v>6.1512934716305197E-3</c:v>
                </c:pt>
                <c:pt idx="2">
                  <c:v>6.1599232138814693E-3</c:v>
                </c:pt>
                <c:pt idx="3">
                  <c:v>8.9576542149645434E-3</c:v>
                </c:pt>
                <c:pt idx="4">
                  <c:v>1.2637098679265307E-2</c:v>
                </c:pt>
                <c:pt idx="5">
                  <c:v>1.4072213702253828E-2</c:v>
                </c:pt>
                <c:pt idx="6">
                  <c:v>1.4396306717130568E-2</c:v>
                </c:pt>
                <c:pt idx="7">
                  <c:v>1.908532223430388E-2</c:v>
                </c:pt>
                <c:pt idx="8">
                  <c:v>1.0623944813816446E-2</c:v>
                </c:pt>
                <c:pt idx="9">
                  <c:v>2.0791191375690424E-2</c:v>
                </c:pt>
                <c:pt idx="10">
                  <c:v>1.0471630261524591E-2</c:v>
                </c:pt>
                <c:pt idx="11">
                  <c:v>1.4943443346575925E-2</c:v>
                </c:pt>
                <c:pt idx="12">
                  <c:v>2.1489871541964266E-2</c:v>
                </c:pt>
                <c:pt idx="13">
                  <c:v>1.2274959959544607E-2</c:v>
                </c:pt>
                <c:pt idx="14">
                  <c:v>1.5914639550305025E-2</c:v>
                </c:pt>
                <c:pt idx="15">
                  <c:v>9.1979157512538951E-3</c:v>
                </c:pt>
                <c:pt idx="16">
                  <c:v>4.309808516079916E-2</c:v>
                </c:pt>
                <c:pt idx="17">
                  <c:v>1.6604835931584339E-2</c:v>
                </c:pt>
                <c:pt idx="18">
                  <c:v>8.3280003089701821E-2</c:v>
                </c:pt>
                <c:pt idx="19">
                  <c:v>3.3432086276516983E-2</c:v>
                </c:pt>
                <c:pt idx="20">
                  <c:v>5.6313133079049997E-2</c:v>
                </c:pt>
                <c:pt idx="21">
                  <c:v>5.7880051313527657E-2</c:v>
                </c:pt>
                <c:pt idx="22">
                  <c:v>4.2702172456846703E-2</c:v>
                </c:pt>
                <c:pt idx="23">
                  <c:v>2.4401217588933103E-2</c:v>
                </c:pt>
                <c:pt idx="24">
                  <c:v>3.9747039382930782E-2</c:v>
                </c:pt>
                <c:pt idx="25">
                  <c:v>4.0006255230759923E-2</c:v>
                </c:pt>
                <c:pt idx="26">
                  <c:v>5.4729637009397973E-2</c:v>
                </c:pt>
                <c:pt idx="27">
                  <c:v>1.2321045521130376E-2</c:v>
                </c:pt>
                <c:pt idx="28">
                  <c:v>2.9414536389487336E-2</c:v>
                </c:pt>
                <c:pt idx="29">
                  <c:v>2.8277627720174611E-2</c:v>
                </c:pt>
                <c:pt idx="30">
                  <c:v>1.0756295208275443E-2</c:v>
                </c:pt>
                <c:pt idx="31">
                  <c:v>1.2670117208746509E-2</c:v>
                </c:pt>
                <c:pt idx="32">
                  <c:v>9.3843474123203631E-3</c:v>
                </c:pt>
                <c:pt idx="33">
                  <c:v>9.5293851576014436E-3</c:v>
                </c:pt>
                <c:pt idx="34">
                  <c:v>1.8923966884096578E-2</c:v>
                </c:pt>
                <c:pt idx="35">
                  <c:v>4.5801693702826511E-3</c:v>
                </c:pt>
                <c:pt idx="36">
                  <c:v>7.1096586836436439E-3</c:v>
                </c:pt>
                <c:pt idx="37">
                  <c:v>1.0790483960131091E-2</c:v>
                </c:pt>
                <c:pt idx="38">
                  <c:v>8.4641644005295329E-3</c:v>
                </c:pt>
                <c:pt idx="39">
                  <c:v>6.4487685130528768E-3</c:v>
                </c:pt>
                <c:pt idx="40">
                  <c:v>3.1879036347039745E-3</c:v>
                </c:pt>
                <c:pt idx="41">
                  <c:v>4.1418197264450731E-3</c:v>
                </c:pt>
                <c:pt idx="42">
                  <c:v>3.3451985397053761E-3</c:v>
                </c:pt>
                <c:pt idx="43">
                  <c:v>1.587674726566817E-3</c:v>
                </c:pt>
                <c:pt idx="44">
                  <c:v>4.556915391801938E-3</c:v>
                </c:pt>
                <c:pt idx="45">
                  <c:v>4.8901550131140357E-2</c:v>
                </c:pt>
                <c:pt idx="46">
                  <c:v>4.2009790072001282E-3</c:v>
                </c:pt>
                <c:pt idx="47">
                  <c:v>8.6818041271543981E-4</c:v>
                </c:pt>
                <c:pt idx="48">
                  <c:v>6.2866263164710065E-3</c:v>
                </c:pt>
                <c:pt idx="49">
                  <c:v>2.3801045978379199E-3</c:v>
                </c:pt>
                <c:pt idx="50">
                  <c:v>2.6119479031090485E-4</c:v>
                </c:pt>
                <c:pt idx="51">
                  <c:v>2.4518255475528073E-3</c:v>
                </c:pt>
                <c:pt idx="52">
                  <c:v>7.3852144461299173E-4</c:v>
                </c:pt>
                <c:pt idx="53">
                  <c:v>1.0671982268045308E-3</c:v>
                </c:pt>
                <c:pt idx="54">
                  <c:v>9.7973341398017153E-4</c:v>
                </c:pt>
                <c:pt idx="55">
                  <c:v>1.8123722670677458E-3</c:v>
                </c:pt>
                <c:pt idx="56">
                  <c:v>5.5390061442666733E-5</c:v>
                </c:pt>
                <c:pt idx="57">
                  <c:v>4.6899183107104257E-3</c:v>
                </c:pt>
                <c:pt idx="58">
                  <c:v>1.3518909812850251E-3</c:v>
                </c:pt>
                <c:pt idx="59">
                  <c:v>8.4832267277625841E-4</c:v>
                </c:pt>
                <c:pt idx="60">
                  <c:v>1.4147514805686529E-3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D9-4201-A276-B8BF8229103C}"/>
            </c:ext>
          </c:extLst>
        </c:ser>
        <c:ser>
          <c:idx val="1"/>
          <c:order val="1"/>
          <c:tx>
            <c:strRef>
              <c:f>TDFD_Escort!$G$10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TDFD_Escort!$G$11:$G$71</c:f>
              <c:numCache>
                <c:formatCode>0.00%</c:formatCode>
                <c:ptCount val="61"/>
                <c:pt idx="0">
                  <c:v>6.7298226725815962E-3</c:v>
                </c:pt>
                <c:pt idx="1">
                  <c:v>2.4149213050492332E-2</c:v>
                </c:pt>
                <c:pt idx="2">
                  <c:v>3.0367992225429716E-2</c:v>
                </c:pt>
                <c:pt idx="3">
                  <c:v>3.3841290025197458E-2</c:v>
                </c:pt>
                <c:pt idx="4">
                  <c:v>3.4941362561822488E-2</c:v>
                </c:pt>
                <c:pt idx="5">
                  <c:v>3.5452585673078782E-2</c:v>
                </c:pt>
                <c:pt idx="6">
                  <c:v>3.4428138452968535E-2</c:v>
                </c:pt>
                <c:pt idx="7">
                  <c:v>3.2168916884079572E-2</c:v>
                </c:pt>
                <c:pt idx="8">
                  <c:v>3.0289311712006682E-2</c:v>
                </c:pt>
                <c:pt idx="9">
                  <c:v>2.7170550560196759E-2</c:v>
                </c:pt>
                <c:pt idx="10">
                  <c:v>2.4244449987604316E-2</c:v>
                </c:pt>
                <c:pt idx="11">
                  <c:v>2.1294632350391685E-2</c:v>
                </c:pt>
                <c:pt idx="12">
                  <c:v>1.9433737971353209E-2</c:v>
                </c:pt>
                <c:pt idx="13">
                  <c:v>1.658685681697137E-2</c:v>
                </c:pt>
                <c:pt idx="14">
                  <c:v>1.4566745787955008E-2</c:v>
                </c:pt>
                <c:pt idx="15">
                  <c:v>1.3771553800769731E-2</c:v>
                </c:pt>
                <c:pt idx="16">
                  <c:v>1.2161502965225904E-2</c:v>
                </c:pt>
                <c:pt idx="17">
                  <c:v>1.0994574887086104E-2</c:v>
                </c:pt>
                <c:pt idx="18">
                  <c:v>0.10878355462037179</c:v>
                </c:pt>
                <c:pt idx="19">
                  <c:v>3.3275857191580181E-2</c:v>
                </c:pt>
                <c:pt idx="20">
                  <c:v>2.9940946928571008E-2</c:v>
                </c:pt>
                <c:pt idx="21">
                  <c:v>4.4680575524909387E-2</c:v>
                </c:pt>
                <c:pt idx="22">
                  <c:v>3.6508913932138384E-2</c:v>
                </c:pt>
                <c:pt idx="23">
                  <c:v>2.7881779051456525E-2</c:v>
                </c:pt>
                <c:pt idx="24">
                  <c:v>2.7009613688520926E-2</c:v>
                </c:pt>
                <c:pt idx="25">
                  <c:v>2.0276660989862423E-2</c:v>
                </c:pt>
                <c:pt idx="26">
                  <c:v>2.1305845285667785E-2</c:v>
                </c:pt>
                <c:pt idx="27">
                  <c:v>1.3747723011047311E-2</c:v>
                </c:pt>
                <c:pt idx="28">
                  <c:v>1.5016675531336987E-2</c:v>
                </c:pt>
                <c:pt idx="29">
                  <c:v>1.4348613531864698E-2</c:v>
                </c:pt>
                <c:pt idx="30">
                  <c:v>1.6463672223811131E-2</c:v>
                </c:pt>
                <c:pt idx="31">
                  <c:v>1.0798564660132078E-2</c:v>
                </c:pt>
                <c:pt idx="32">
                  <c:v>1.0985716828068417E-2</c:v>
                </c:pt>
                <c:pt idx="33">
                  <c:v>1.3309872161969822E-2</c:v>
                </c:pt>
                <c:pt idx="34">
                  <c:v>1.4097615864162569E-2</c:v>
                </c:pt>
                <c:pt idx="35">
                  <c:v>9.8208662389570565E-3</c:v>
                </c:pt>
                <c:pt idx="36">
                  <c:v>7.7006540410756476E-3</c:v>
                </c:pt>
                <c:pt idx="37">
                  <c:v>5.6995956626695763E-3</c:v>
                </c:pt>
                <c:pt idx="38">
                  <c:v>6.7691914375374619E-3</c:v>
                </c:pt>
                <c:pt idx="39">
                  <c:v>8.8910463920573325E-3</c:v>
                </c:pt>
                <c:pt idx="40">
                  <c:v>7.8175740581838144E-3</c:v>
                </c:pt>
                <c:pt idx="41">
                  <c:v>4.0153728206167227E-3</c:v>
                </c:pt>
                <c:pt idx="42">
                  <c:v>4.139939127225602E-3</c:v>
                </c:pt>
                <c:pt idx="43">
                  <c:v>4.6655191456588174E-3</c:v>
                </c:pt>
                <c:pt idx="44">
                  <c:v>4.702654189919794E-3</c:v>
                </c:pt>
                <c:pt idx="45">
                  <c:v>3.6761810049990014E-3</c:v>
                </c:pt>
                <c:pt idx="46">
                  <c:v>4.3555708577567949E-3</c:v>
                </c:pt>
                <c:pt idx="47">
                  <c:v>2.7552505446187038E-3</c:v>
                </c:pt>
                <c:pt idx="48">
                  <c:v>2.9274133623894329E-3</c:v>
                </c:pt>
                <c:pt idx="49">
                  <c:v>3.34532471585502E-3</c:v>
                </c:pt>
                <c:pt idx="50">
                  <c:v>2.4396742743050489E-3</c:v>
                </c:pt>
                <c:pt idx="51">
                  <c:v>2.4186697414638092E-3</c:v>
                </c:pt>
                <c:pt idx="52">
                  <c:v>1.7025642940451456E-3</c:v>
                </c:pt>
                <c:pt idx="53">
                  <c:v>1.9703976948380617E-3</c:v>
                </c:pt>
                <c:pt idx="54">
                  <c:v>1.482827132612241E-3</c:v>
                </c:pt>
                <c:pt idx="55">
                  <c:v>2.2014915222373947E-3</c:v>
                </c:pt>
                <c:pt idx="56">
                  <c:v>1.5313601281292369E-3</c:v>
                </c:pt>
                <c:pt idx="57">
                  <c:v>1.4543922904726968E-3</c:v>
                </c:pt>
                <c:pt idx="58">
                  <c:v>1.184416924903771E-3</c:v>
                </c:pt>
                <c:pt idx="59">
                  <c:v>1.1758300577743807E-3</c:v>
                </c:pt>
                <c:pt idx="60">
                  <c:v>1.0590863762960398E-3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D9-4201-A276-B8BF82291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397696"/>
        <c:axId val="124982336"/>
      </c:lineChart>
      <c:catAx>
        <c:axId val="583976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982336"/>
        <c:crosses val="autoZero"/>
        <c:auto val="1"/>
        <c:lblAlgn val="ctr"/>
        <c:lblOffset val="100"/>
        <c:tickLblSkip val="10"/>
        <c:noMultiLvlLbl val="0"/>
      </c:catAx>
      <c:valAx>
        <c:axId val="12498233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3976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TLFD_PerBus!$C$11:$C$71</c:f>
              <c:numCache>
                <c:formatCode>0.00%</c:formatCode>
                <c:ptCount val="61"/>
                <c:pt idx="0">
                  <c:v>4.6236776287227423E-2</c:v>
                </c:pt>
                <c:pt idx="1">
                  <c:v>5.5250373803324829E-2</c:v>
                </c:pt>
                <c:pt idx="2">
                  <c:v>5.4676008544177361E-2</c:v>
                </c:pt>
                <c:pt idx="3">
                  <c:v>0.10375520218227008</c:v>
                </c:pt>
                <c:pt idx="4">
                  <c:v>0.16719262715896963</c:v>
                </c:pt>
                <c:pt idx="5">
                  <c:v>0.11247916584262117</c:v>
                </c:pt>
                <c:pt idx="6">
                  <c:v>0.10637190774336562</c:v>
                </c:pt>
                <c:pt idx="7">
                  <c:v>5.2288370337056474E-2</c:v>
                </c:pt>
                <c:pt idx="8">
                  <c:v>4.4333120987080712E-2</c:v>
                </c:pt>
                <c:pt idx="9">
                  <c:v>3.4065074345841204E-2</c:v>
                </c:pt>
                <c:pt idx="10">
                  <c:v>6.4809027817503001E-2</c:v>
                </c:pt>
                <c:pt idx="11">
                  <c:v>1.9865062069024664E-2</c:v>
                </c:pt>
                <c:pt idx="12">
                  <c:v>1.7768425516007387E-2</c:v>
                </c:pt>
                <c:pt idx="13">
                  <c:v>9.7992022281244012E-3</c:v>
                </c:pt>
                <c:pt idx="14">
                  <c:v>1.0027525123324804E-2</c:v>
                </c:pt>
                <c:pt idx="15">
                  <c:v>9.5597876220541011E-3</c:v>
                </c:pt>
                <c:pt idx="16">
                  <c:v>1.676873476910256E-2</c:v>
                </c:pt>
                <c:pt idx="17">
                  <c:v>7.719047744009974E-3</c:v>
                </c:pt>
                <c:pt idx="18">
                  <c:v>7.9193555086085887E-3</c:v>
                </c:pt>
                <c:pt idx="19">
                  <c:v>1.0177924592792873E-2</c:v>
                </c:pt>
                <c:pt idx="20">
                  <c:v>4.810063850485451E-3</c:v>
                </c:pt>
                <c:pt idx="21">
                  <c:v>5.0168059821366524E-3</c:v>
                </c:pt>
                <c:pt idx="22">
                  <c:v>6.9866698410087948E-3</c:v>
                </c:pt>
                <c:pt idx="23">
                  <c:v>7.8409471073127499E-3</c:v>
                </c:pt>
                <c:pt idx="24">
                  <c:v>5.843594384326616E-4</c:v>
                </c:pt>
                <c:pt idx="25">
                  <c:v>9.4437427219455487E-4</c:v>
                </c:pt>
                <c:pt idx="26">
                  <c:v>7.5274374559130793E-4</c:v>
                </c:pt>
                <c:pt idx="27">
                  <c:v>1.3154828742594183E-3</c:v>
                </c:pt>
                <c:pt idx="28">
                  <c:v>1.8273382394998537E-3</c:v>
                </c:pt>
                <c:pt idx="29">
                  <c:v>5.7160245319095053E-4</c:v>
                </c:pt>
                <c:pt idx="30">
                  <c:v>8.638885626260852E-4</c:v>
                </c:pt>
                <c:pt idx="31">
                  <c:v>1.4660043288270705E-3</c:v>
                </c:pt>
                <c:pt idx="32">
                  <c:v>5.5446143996892719E-4</c:v>
                </c:pt>
                <c:pt idx="33">
                  <c:v>1.0555975859775479E-3</c:v>
                </c:pt>
                <c:pt idx="34">
                  <c:v>7.8911416509754712E-4</c:v>
                </c:pt>
                <c:pt idx="35">
                  <c:v>8.1596731247037218E-4</c:v>
                </c:pt>
                <c:pt idx="36">
                  <c:v>5.9099308238915252E-4</c:v>
                </c:pt>
                <c:pt idx="37">
                  <c:v>3.1086440969103018E-4</c:v>
                </c:pt>
                <c:pt idx="38">
                  <c:v>2.5015606542897654E-6</c:v>
                </c:pt>
                <c:pt idx="39">
                  <c:v>2.1566497253746605E-4</c:v>
                </c:pt>
                <c:pt idx="40">
                  <c:v>1.1050656854427181E-3</c:v>
                </c:pt>
                <c:pt idx="41">
                  <c:v>1.3455651905487605E-3</c:v>
                </c:pt>
                <c:pt idx="42">
                  <c:v>0</c:v>
                </c:pt>
                <c:pt idx="43">
                  <c:v>7.8192604757303344E-5</c:v>
                </c:pt>
                <c:pt idx="44">
                  <c:v>6.1284429473405712E-4</c:v>
                </c:pt>
                <c:pt idx="45">
                  <c:v>0</c:v>
                </c:pt>
                <c:pt idx="46">
                  <c:v>8.3422744392536228E-4</c:v>
                </c:pt>
                <c:pt idx="47">
                  <c:v>2.8040254591594309E-3</c:v>
                </c:pt>
                <c:pt idx="48">
                  <c:v>1.1647348669123168E-4</c:v>
                </c:pt>
                <c:pt idx="49">
                  <c:v>2.2153250016249796E-4</c:v>
                </c:pt>
                <c:pt idx="50">
                  <c:v>2.4742904908839076E-4</c:v>
                </c:pt>
                <c:pt idx="51">
                  <c:v>5.1582922070878976E-5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4.1805770107798695E-4</c:v>
                </c:pt>
                <c:pt idx="57">
                  <c:v>3.5663458588991079E-4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5-4495-9B2C-744DEB858FF7}"/>
            </c:ext>
          </c:extLst>
        </c:ser>
        <c:ser>
          <c:idx val="1"/>
          <c:order val="1"/>
          <c:tx>
            <c:strRef>
              <c:f>TLFD_PerBus!$G$10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TLFD_PerBus!$G$11:$G$71</c:f>
              <c:numCache>
                <c:formatCode>0.00%</c:formatCode>
                <c:ptCount val="61"/>
                <c:pt idx="0">
                  <c:v>0.1814279517433906</c:v>
                </c:pt>
                <c:pt idx="1">
                  <c:v>0.13359722118437864</c:v>
                </c:pt>
                <c:pt idx="2">
                  <c:v>8.1102660322381198E-2</c:v>
                </c:pt>
                <c:pt idx="3">
                  <c:v>4.9134855470786325E-2</c:v>
                </c:pt>
                <c:pt idx="4">
                  <c:v>0.14116462905314689</c:v>
                </c:pt>
                <c:pt idx="5">
                  <c:v>7.3877818754779737E-2</c:v>
                </c:pt>
                <c:pt idx="6">
                  <c:v>6.6081481213953908E-2</c:v>
                </c:pt>
                <c:pt idx="7">
                  <c:v>4.2420523063650593E-2</c:v>
                </c:pt>
                <c:pt idx="8">
                  <c:v>4.4725054727584618E-2</c:v>
                </c:pt>
                <c:pt idx="9">
                  <c:v>2.1671441921335528E-2</c:v>
                </c:pt>
                <c:pt idx="10">
                  <c:v>2.1646747177053231E-2</c:v>
                </c:pt>
                <c:pt idx="11">
                  <c:v>1.930919869947794E-2</c:v>
                </c:pt>
                <c:pt idx="12">
                  <c:v>1.468052823238771E-2</c:v>
                </c:pt>
                <c:pt idx="13">
                  <c:v>1.2600269977279801E-2</c:v>
                </c:pt>
                <c:pt idx="14">
                  <c:v>1.171935810748442E-2</c:v>
                </c:pt>
                <c:pt idx="15">
                  <c:v>1.3782288074671604E-2</c:v>
                </c:pt>
                <c:pt idx="16">
                  <c:v>1.19494818376055E-2</c:v>
                </c:pt>
                <c:pt idx="17">
                  <c:v>9.1761429794198334E-3</c:v>
                </c:pt>
                <c:pt idx="18">
                  <c:v>6.2770876850356148E-3</c:v>
                </c:pt>
                <c:pt idx="19">
                  <c:v>5.6989566620679827E-3</c:v>
                </c:pt>
                <c:pt idx="20">
                  <c:v>4.7256931087570212E-3</c:v>
                </c:pt>
                <c:pt idx="21">
                  <c:v>4.2067351622900734E-3</c:v>
                </c:pt>
                <c:pt idx="22">
                  <c:v>3.4518649670581695E-3</c:v>
                </c:pt>
                <c:pt idx="23">
                  <c:v>3.7889357259007265E-3</c:v>
                </c:pt>
                <c:pt idx="24">
                  <c:v>2.4745195980208539E-3</c:v>
                </c:pt>
                <c:pt idx="25">
                  <c:v>2.887352562861063E-3</c:v>
                </c:pt>
                <c:pt idx="26">
                  <c:v>2.5270957131263219E-3</c:v>
                </c:pt>
                <c:pt idx="27">
                  <c:v>1.9285106292355027E-3</c:v>
                </c:pt>
                <c:pt idx="28">
                  <c:v>1.3274719942253741E-3</c:v>
                </c:pt>
                <c:pt idx="29">
                  <c:v>1.7100377840847697E-3</c:v>
                </c:pt>
                <c:pt idx="30">
                  <c:v>1.1538719512467106E-3</c:v>
                </c:pt>
                <c:pt idx="31">
                  <c:v>9.1447193989259792E-4</c:v>
                </c:pt>
                <c:pt idx="32">
                  <c:v>9.8878069376273593E-4</c:v>
                </c:pt>
                <c:pt idx="33">
                  <c:v>7.1484142269114535E-4</c:v>
                </c:pt>
                <c:pt idx="34">
                  <c:v>6.3861260190351985E-4</c:v>
                </c:pt>
                <c:pt idx="35">
                  <c:v>5.3681283268163958E-4</c:v>
                </c:pt>
                <c:pt idx="36">
                  <c:v>6.9006879124503863E-4</c:v>
                </c:pt>
                <c:pt idx="37">
                  <c:v>4.2889187762287887E-4</c:v>
                </c:pt>
                <c:pt idx="38">
                  <c:v>5.1444397429651907E-4</c:v>
                </c:pt>
                <c:pt idx="39">
                  <c:v>4.4357864242421661E-4</c:v>
                </c:pt>
                <c:pt idx="40">
                  <c:v>2.786372566461267E-4</c:v>
                </c:pt>
                <c:pt idx="41">
                  <c:v>3.0068388166694181E-4</c:v>
                </c:pt>
                <c:pt idx="42">
                  <c:v>1.640307099474121E-4</c:v>
                </c:pt>
                <c:pt idx="43">
                  <c:v>1.5135788843952881E-4</c:v>
                </c:pt>
                <c:pt idx="44">
                  <c:v>1.0648636757080619E-4</c:v>
                </c:pt>
                <c:pt idx="45">
                  <c:v>1.3747079001701594E-4</c:v>
                </c:pt>
                <c:pt idx="46">
                  <c:v>9.104615239888661E-5</c:v>
                </c:pt>
                <c:pt idx="47">
                  <c:v>1.0006627220673549E-4</c:v>
                </c:pt>
                <c:pt idx="48">
                  <c:v>8.3121946313536625E-5</c:v>
                </c:pt>
                <c:pt idx="49">
                  <c:v>1.0565632685286303E-4</c:v>
                </c:pt>
                <c:pt idx="50">
                  <c:v>6.67385205628283E-5</c:v>
                </c:pt>
                <c:pt idx="51">
                  <c:v>3.66620956906624E-5</c:v>
                </c:pt>
                <c:pt idx="52">
                  <c:v>5.9921485800360264E-5</c:v>
                </c:pt>
                <c:pt idx="53">
                  <c:v>2.5637122617396304E-5</c:v>
                </c:pt>
                <c:pt idx="54">
                  <c:v>4.7794854414970731E-5</c:v>
                </c:pt>
                <c:pt idx="55">
                  <c:v>2.8888866024186732E-5</c:v>
                </c:pt>
                <c:pt idx="56">
                  <c:v>1.9649695331012543E-5</c:v>
                </c:pt>
                <c:pt idx="57">
                  <c:v>6.6240706331438079E-6</c:v>
                </c:pt>
                <c:pt idx="58">
                  <c:v>1.1215378788610758E-5</c:v>
                </c:pt>
                <c:pt idx="59">
                  <c:v>1.9397365592698365E-5</c:v>
                </c:pt>
                <c:pt idx="60">
                  <c:v>1.6274483683930233E-5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5-4495-9B2C-744DEB858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00096"/>
        <c:axId val="124984064"/>
      </c:lineChart>
      <c:catAx>
        <c:axId val="585000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984064"/>
        <c:crosses val="autoZero"/>
        <c:auto val="1"/>
        <c:lblAlgn val="ctr"/>
        <c:lblOffset val="100"/>
        <c:tickLblSkip val="10"/>
        <c:noMultiLvlLbl val="0"/>
      </c:catAx>
      <c:valAx>
        <c:axId val="124984064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5000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TDFD_PerBus!$C$11:$C$71</c:f>
              <c:numCache>
                <c:formatCode>0.00%</c:formatCode>
                <c:ptCount val="61"/>
                <c:pt idx="0">
                  <c:v>0</c:v>
                </c:pt>
                <c:pt idx="1">
                  <c:v>2.8933720157589254E-3</c:v>
                </c:pt>
                <c:pt idx="2">
                  <c:v>3.4795066537710953E-3</c:v>
                </c:pt>
                <c:pt idx="3">
                  <c:v>7.6095222191293133E-3</c:v>
                </c:pt>
                <c:pt idx="4">
                  <c:v>7.5149476247249334E-3</c:v>
                </c:pt>
                <c:pt idx="5">
                  <c:v>1.8764804394540573E-2</c:v>
                </c:pt>
                <c:pt idx="6">
                  <c:v>1.5462678678827998E-2</c:v>
                </c:pt>
                <c:pt idx="7">
                  <c:v>1.4350377164324468E-2</c:v>
                </c:pt>
                <c:pt idx="8">
                  <c:v>8.9998730959956977E-3</c:v>
                </c:pt>
                <c:pt idx="9">
                  <c:v>1.4539372732777448E-2</c:v>
                </c:pt>
                <c:pt idx="10">
                  <c:v>7.072178165728818E-3</c:v>
                </c:pt>
                <c:pt idx="11">
                  <c:v>1.6701373641807567E-2</c:v>
                </c:pt>
                <c:pt idx="12">
                  <c:v>1.1070971096952426E-2</c:v>
                </c:pt>
                <c:pt idx="13">
                  <c:v>2.2485768677039667E-2</c:v>
                </c:pt>
                <c:pt idx="14">
                  <c:v>1.6325877670931199E-2</c:v>
                </c:pt>
                <c:pt idx="15">
                  <c:v>9.7475462501301052E-3</c:v>
                </c:pt>
                <c:pt idx="16">
                  <c:v>3.9666973529359328E-2</c:v>
                </c:pt>
                <c:pt idx="17">
                  <c:v>2.5362533890850938E-2</c:v>
                </c:pt>
                <c:pt idx="18">
                  <c:v>6.1678818505154685E-2</c:v>
                </c:pt>
                <c:pt idx="19">
                  <c:v>4.5446814365543424E-2</c:v>
                </c:pt>
                <c:pt idx="20">
                  <c:v>6.1393222011641824E-2</c:v>
                </c:pt>
                <c:pt idx="21">
                  <c:v>6.3266255877520952E-2</c:v>
                </c:pt>
                <c:pt idx="22">
                  <c:v>3.6770334226551751E-2</c:v>
                </c:pt>
                <c:pt idx="23">
                  <c:v>2.754551980728601E-2</c:v>
                </c:pt>
                <c:pt idx="24">
                  <c:v>4.381531254847975E-2</c:v>
                </c:pt>
                <c:pt idx="25">
                  <c:v>1.9479266874167345E-2</c:v>
                </c:pt>
                <c:pt idx="26">
                  <c:v>6.1202465064054655E-2</c:v>
                </c:pt>
                <c:pt idx="27">
                  <c:v>1.3086557031743617E-2</c:v>
                </c:pt>
                <c:pt idx="28">
                  <c:v>1.8462286928969847E-2</c:v>
                </c:pt>
                <c:pt idx="29">
                  <c:v>1.8183095976323154E-2</c:v>
                </c:pt>
                <c:pt idx="30">
                  <c:v>6.8204279497087253E-3</c:v>
                </c:pt>
                <c:pt idx="31">
                  <c:v>1.366257793300696E-2</c:v>
                </c:pt>
                <c:pt idx="32">
                  <c:v>8.0993101653116101E-3</c:v>
                </c:pt>
                <c:pt idx="33">
                  <c:v>1.5001690132754824E-2</c:v>
                </c:pt>
                <c:pt idx="34">
                  <c:v>2.0537579518927478E-2</c:v>
                </c:pt>
                <c:pt idx="35">
                  <c:v>1.3589959456011389E-2</c:v>
                </c:pt>
                <c:pt idx="36">
                  <c:v>6.356419636551299E-3</c:v>
                </c:pt>
                <c:pt idx="37">
                  <c:v>1.3471190402816528E-2</c:v>
                </c:pt>
                <c:pt idx="38">
                  <c:v>1.2081172076688984E-2</c:v>
                </c:pt>
                <c:pt idx="39">
                  <c:v>5.6186942476181686E-3</c:v>
                </c:pt>
                <c:pt idx="40">
                  <c:v>9.6391589117468448E-3</c:v>
                </c:pt>
                <c:pt idx="41">
                  <c:v>9.6491634720670127E-3</c:v>
                </c:pt>
                <c:pt idx="42">
                  <c:v>2.7075393227497897E-3</c:v>
                </c:pt>
                <c:pt idx="43">
                  <c:v>2.4621368015688896E-3</c:v>
                </c:pt>
                <c:pt idx="44">
                  <c:v>3.0364921776072666E-3</c:v>
                </c:pt>
                <c:pt idx="45">
                  <c:v>5.3198214529758488E-2</c:v>
                </c:pt>
                <c:pt idx="46">
                  <c:v>3.5657827547294946E-3</c:v>
                </c:pt>
                <c:pt idx="47">
                  <c:v>2.7591273444230124E-3</c:v>
                </c:pt>
                <c:pt idx="48">
                  <c:v>6.0076489034505771E-4</c:v>
                </c:pt>
                <c:pt idx="49">
                  <c:v>1.7309595829634609E-3</c:v>
                </c:pt>
                <c:pt idx="50">
                  <c:v>1.523978981023303E-3</c:v>
                </c:pt>
                <c:pt idx="51">
                  <c:v>7.6373747073917649E-4</c:v>
                </c:pt>
                <c:pt idx="52">
                  <c:v>9.260706199473881E-4</c:v>
                </c:pt>
                <c:pt idx="53">
                  <c:v>1.9454162142719632E-3</c:v>
                </c:pt>
                <c:pt idx="54">
                  <c:v>3.657664843737096E-3</c:v>
                </c:pt>
                <c:pt idx="55">
                  <c:v>0</c:v>
                </c:pt>
                <c:pt idx="56">
                  <c:v>1.0391057027146218E-3</c:v>
                </c:pt>
                <c:pt idx="57">
                  <c:v>8.4804016581307388E-4</c:v>
                </c:pt>
                <c:pt idx="58">
                  <c:v>3.2429833554041641E-3</c:v>
                </c:pt>
                <c:pt idx="59">
                  <c:v>2.8526089276259864E-3</c:v>
                </c:pt>
                <c:pt idx="60">
                  <c:v>2.7126113779701744E-3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48-4FBD-B191-FEF4647299DD}"/>
            </c:ext>
          </c:extLst>
        </c:ser>
        <c:ser>
          <c:idx val="1"/>
          <c:order val="1"/>
          <c:tx>
            <c:strRef>
              <c:f>TDFD_PerBus!$G$10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TDFD_PerBus!$G$11:$G$71</c:f>
              <c:numCache>
                <c:formatCode>0.00%</c:formatCode>
                <c:ptCount val="61"/>
                <c:pt idx="0">
                  <c:v>8.8901129584583478E-3</c:v>
                </c:pt>
                <c:pt idx="1">
                  <c:v>2.8383774882454613E-2</c:v>
                </c:pt>
                <c:pt idx="2">
                  <c:v>3.1955864601957353E-2</c:v>
                </c:pt>
                <c:pt idx="3">
                  <c:v>3.5311545502633136E-2</c:v>
                </c:pt>
                <c:pt idx="4">
                  <c:v>3.6340816115281102E-2</c:v>
                </c:pt>
                <c:pt idx="5">
                  <c:v>3.5939215845371991E-2</c:v>
                </c:pt>
                <c:pt idx="6">
                  <c:v>3.3598105855389505E-2</c:v>
                </c:pt>
                <c:pt idx="7">
                  <c:v>3.209274249211215E-2</c:v>
                </c:pt>
                <c:pt idx="8">
                  <c:v>2.9106096841295517E-2</c:v>
                </c:pt>
                <c:pt idx="9">
                  <c:v>2.6899364925300991E-2</c:v>
                </c:pt>
                <c:pt idx="10">
                  <c:v>2.3287805921765502E-2</c:v>
                </c:pt>
                <c:pt idx="11">
                  <c:v>2.1123378076777125E-2</c:v>
                </c:pt>
                <c:pt idx="12">
                  <c:v>1.8933210602403945E-2</c:v>
                </c:pt>
                <c:pt idx="13">
                  <c:v>1.6899133959327343E-2</c:v>
                </c:pt>
                <c:pt idx="14">
                  <c:v>1.4780760921002417E-2</c:v>
                </c:pt>
                <c:pt idx="15">
                  <c:v>1.4101883125160707E-2</c:v>
                </c:pt>
                <c:pt idx="16">
                  <c:v>1.2799518199141817E-2</c:v>
                </c:pt>
                <c:pt idx="17">
                  <c:v>1.1057415251591976E-2</c:v>
                </c:pt>
                <c:pt idx="18">
                  <c:v>9.5277868528480497E-2</c:v>
                </c:pt>
                <c:pt idx="19">
                  <c:v>3.3163860685946067E-2</c:v>
                </c:pt>
                <c:pt idx="20">
                  <c:v>2.7487593773005057E-2</c:v>
                </c:pt>
                <c:pt idx="21">
                  <c:v>4.3611716252473426E-2</c:v>
                </c:pt>
                <c:pt idx="22">
                  <c:v>3.5571142408777755E-2</c:v>
                </c:pt>
                <c:pt idx="23">
                  <c:v>2.7879749212168584E-2</c:v>
                </c:pt>
                <c:pt idx="24">
                  <c:v>2.654429149859916E-2</c:v>
                </c:pt>
                <c:pt idx="25">
                  <c:v>2.1607090458610839E-2</c:v>
                </c:pt>
                <c:pt idx="26">
                  <c:v>2.2355715640760155E-2</c:v>
                </c:pt>
                <c:pt idx="27">
                  <c:v>1.4792871987214809E-2</c:v>
                </c:pt>
                <c:pt idx="28">
                  <c:v>1.4994086859069278E-2</c:v>
                </c:pt>
                <c:pt idx="29">
                  <c:v>1.6306171808876627E-2</c:v>
                </c:pt>
                <c:pt idx="30">
                  <c:v>1.6815575768801484E-2</c:v>
                </c:pt>
                <c:pt idx="31">
                  <c:v>1.1576185450041037E-2</c:v>
                </c:pt>
                <c:pt idx="32">
                  <c:v>1.1226732309482786E-2</c:v>
                </c:pt>
                <c:pt idx="33">
                  <c:v>1.3157830834164708E-2</c:v>
                </c:pt>
                <c:pt idx="34">
                  <c:v>1.3162103725055441E-2</c:v>
                </c:pt>
                <c:pt idx="35">
                  <c:v>1.0565086712207713E-2</c:v>
                </c:pt>
                <c:pt idx="36">
                  <c:v>7.3762627682631447E-3</c:v>
                </c:pt>
                <c:pt idx="37">
                  <c:v>6.0293804396863047E-3</c:v>
                </c:pt>
                <c:pt idx="38">
                  <c:v>6.6672893906780991E-3</c:v>
                </c:pt>
                <c:pt idx="39">
                  <c:v>8.0212593168415211E-3</c:v>
                </c:pt>
                <c:pt idx="40">
                  <c:v>7.67199037379799E-3</c:v>
                </c:pt>
                <c:pt idx="41">
                  <c:v>4.3018475852240213E-3</c:v>
                </c:pt>
                <c:pt idx="42">
                  <c:v>4.1720712130508767E-3</c:v>
                </c:pt>
                <c:pt idx="43">
                  <c:v>4.7762687642846861E-3</c:v>
                </c:pt>
                <c:pt idx="44">
                  <c:v>4.8816469803942622E-3</c:v>
                </c:pt>
                <c:pt idx="45">
                  <c:v>3.1413718091054059E-3</c:v>
                </c:pt>
                <c:pt idx="46">
                  <c:v>4.212650746494794E-3</c:v>
                </c:pt>
                <c:pt idx="47">
                  <c:v>3.1894432801711863E-3</c:v>
                </c:pt>
                <c:pt idx="48">
                  <c:v>2.9097980157675816E-3</c:v>
                </c:pt>
                <c:pt idx="49">
                  <c:v>2.8774606145264784E-3</c:v>
                </c:pt>
                <c:pt idx="50">
                  <c:v>2.5122867633805487E-3</c:v>
                </c:pt>
                <c:pt idx="51">
                  <c:v>2.3667193813587269E-3</c:v>
                </c:pt>
                <c:pt idx="52">
                  <c:v>1.7633031212986705E-3</c:v>
                </c:pt>
                <c:pt idx="53">
                  <c:v>1.6729605146196438E-3</c:v>
                </c:pt>
                <c:pt idx="54">
                  <c:v>1.4214256238482856E-3</c:v>
                </c:pt>
                <c:pt idx="55">
                  <c:v>1.9417118022392367E-3</c:v>
                </c:pt>
                <c:pt idx="56">
                  <c:v>1.6725752594682734E-3</c:v>
                </c:pt>
                <c:pt idx="57">
                  <c:v>1.2261085808525495E-3</c:v>
                </c:pt>
                <c:pt idx="58">
                  <c:v>1.1742334280542964E-3</c:v>
                </c:pt>
                <c:pt idx="59">
                  <c:v>1.2075041872087696E-3</c:v>
                </c:pt>
                <c:pt idx="60">
                  <c:v>9.4677873791840423E-4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48-4FBD-B191-FEF464729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48736"/>
        <c:axId val="130090112"/>
      </c:lineChart>
      <c:catAx>
        <c:axId val="5854873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090112"/>
        <c:crosses val="autoZero"/>
        <c:auto val="1"/>
        <c:lblAlgn val="ctr"/>
        <c:lblOffset val="100"/>
        <c:tickLblSkip val="10"/>
        <c:noMultiLvlLbl val="0"/>
      </c:catAx>
      <c:valAx>
        <c:axId val="13009011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54873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TLFD_Shop!$C$11:$C$71</c:f>
              <c:numCache>
                <c:formatCode>0.00%</c:formatCode>
                <c:ptCount val="61"/>
                <c:pt idx="0">
                  <c:v>5.5843831184551433E-2</c:v>
                </c:pt>
                <c:pt idx="1">
                  <c:v>6.2462572276479902E-2</c:v>
                </c:pt>
                <c:pt idx="2">
                  <c:v>6.9899523237605454E-2</c:v>
                </c:pt>
                <c:pt idx="3">
                  <c:v>0.11114010146962439</c:v>
                </c:pt>
                <c:pt idx="4">
                  <c:v>0.20382237910013989</c:v>
                </c:pt>
                <c:pt idx="5">
                  <c:v>0.11340717592690662</c:v>
                </c:pt>
                <c:pt idx="6">
                  <c:v>0.11607164937768556</c:v>
                </c:pt>
                <c:pt idx="7">
                  <c:v>5.2801367708764986E-2</c:v>
                </c:pt>
                <c:pt idx="8">
                  <c:v>4.051973667103146E-2</c:v>
                </c:pt>
                <c:pt idx="9">
                  <c:v>2.2950711339252135E-2</c:v>
                </c:pt>
                <c:pt idx="10">
                  <c:v>5.6812597017551425E-2</c:v>
                </c:pt>
                <c:pt idx="11">
                  <c:v>7.5573865957259088E-3</c:v>
                </c:pt>
                <c:pt idx="12">
                  <c:v>1.102687590890921E-2</c:v>
                </c:pt>
                <c:pt idx="13">
                  <c:v>6.9940630980751886E-3</c:v>
                </c:pt>
                <c:pt idx="14">
                  <c:v>9.5890045541807481E-3</c:v>
                </c:pt>
                <c:pt idx="15">
                  <c:v>9.008858124204806E-3</c:v>
                </c:pt>
                <c:pt idx="16">
                  <c:v>1.232955382937851E-2</c:v>
                </c:pt>
                <c:pt idx="17">
                  <c:v>4.3465495237543202E-3</c:v>
                </c:pt>
                <c:pt idx="18">
                  <c:v>4.9252410689496059E-3</c:v>
                </c:pt>
                <c:pt idx="19">
                  <c:v>2.8459160297066954E-3</c:v>
                </c:pt>
                <c:pt idx="20">
                  <c:v>3.9615823579337841E-3</c:v>
                </c:pt>
                <c:pt idx="21">
                  <c:v>1.6383971625726849E-3</c:v>
                </c:pt>
                <c:pt idx="22">
                  <c:v>2.6966692081005594E-3</c:v>
                </c:pt>
                <c:pt idx="23">
                  <c:v>1.3602373180612709E-3</c:v>
                </c:pt>
                <c:pt idx="24">
                  <c:v>1.2281179872400667E-3</c:v>
                </c:pt>
                <c:pt idx="25">
                  <c:v>2.1405507397082805E-3</c:v>
                </c:pt>
                <c:pt idx="26">
                  <c:v>1.3601822349799603E-3</c:v>
                </c:pt>
                <c:pt idx="27">
                  <c:v>8.0181218823552184E-4</c:v>
                </c:pt>
                <c:pt idx="28">
                  <c:v>3.5433606580560539E-4</c:v>
                </c:pt>
                <c:pt idx="29">
                  <c:v>2.134711774934021E-4</c:v>
                </c:pt>
                <c:pt idx="30">
                  <c:v>2.6219467130926311E-4</c:v>
                </c:pt>
                <c:pt idx="31">
                  <c:v>1.1100622944222771E-3</c:v>
                </c:pt>
                <c:pt idx="32">
                  <c:v>1.27997476059289E-3</c:v>
                </c:pt>
                <c:pt idx="33">
                  <c:v>1.3903445790619358E-4</c:v>
                </c:pt>
                <c:pt idx="34">
                  <c:v>1.2365773466281113E-4</c:v>
                </c:pt>
                <c:pt idx="35">
                  <c:v>4.9345150652888687E-4</c:v>
                </c:pt>
                <c:pt idx="36">
                  <c:v>3.136826037058863E-4</c:v>
                </c:pt>
                <c:pt idx="37">
                  <c:v>0</c:v>
                </c:pt>
                <c:pt idx="38">
                  <c:v>3.2032352671131607E-4</c:v>
                </c:pt>
                <c:pt idx="39">
                  <c:v>3.2710400076910195E-4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2.2629981209936507E-6</c:v>
                </c:pt>
                <c:pt idx="44">
                  <c:v>2.5047666381381711E-3</c:v>
                </c:pt>
                <c:pt idx="45">
                  <c:v>1.2335490858160023E-4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5.7750724904701034E-4</c:v>
                </c:pt>
                <c:pt idx="51">
                  <c:v>0</c:v>
                </c:pt>
                <c:pt idx="52">
                  <c:v>0</c:v>
                </c:pt>
                <c:pt idx="53">
                  <c:v>2.5779088628579013E-4</c:v>
                </c:pt>
                <c:pt idx="54">
                  <c:v>9.194749395880714E-4</c:v>
                </c:pt>
                <c:pt idx="55">
                  <c:v>0</c:v>
                </c:pt>
                <c:pt idx="56">
                  <c:v>3.2942431541475945E-4</c:v>
                </c:pt>
                <c:pt idx="57">
                  <c:v>2.8055078443233204E-4</c:v>
                </c:pt>
                <c:pt idx="58">
                  <c:v>0</c:v>
                </c:pt>
                <c:pt idx="59">
                  <c:v>1.1068447151613751E-4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30-4932-A28F-6DBB9382CB9C}"/>
            </c:ext>
          </c:extLst>
        </c:ser>
        <c:ser>
          <c:idx val="1"/>
          <c:order val="1"/>
          <c:tx>
            <c:strRef>
              <c:f>TLFD_Shop!$G$10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TLFD_Shop!$G$11:$G$71</c:f>
              <c:numCache>
                <c:formatCode>0.00%</c:formatCode>
                <c:ptCount val="61"/>
                <c:pt idx="0">
                  <c:v>0.21237535120993381</c:v>
                </c:pt>
                <c:pt idx="1">
                  <c:v>0.13678478011627854</c:v>
                </c:pt>
                <c:pt idx="2">
                  <c:v>8.1383232224773006E-2</c:v>
                </c:pt>
                <c:pt idx="3">
                  <c:v>4.8175664653201986E-2</c:v>
                </c:pt>
                <c:pt idx="4">
                  <c:v>0.13143738977170411</c:v>
                </c:pt>
                <c:pt idx="5">
                  <c:v>7.083698249779502E-2</c:v>
                </c:pt>
                <c:pt idx="6">
                  <c:v>6.4466782308105874E-2</c:v>
                </c:pt>
                <c:pt idx="7">
                  <c:v>3.975121788723298E-2</c:v>
                </c:pt>
                <c:pt idx="8">
                  <c:v>4.5236353450158806E-2</c:v>
                </c:pt>
                <c:pt idx="9">
                  <c:v>1.9941643766423909E-2</c:v>
                </c:pt>
                <c:pt idx="10">
                  <c:v>2.4206528607165798E-2</c:v>
                </c:pt>
                <c:pt idx="11">
                  <c:v>2.0400215412541712E-2</c:v>
                </c:pt>
                <c:pt idx="12">
                  <c:v>1.3869166045706788E-2</c:v>
                </c:pt>
                <c:pt idx="13">
                  <c:v>1.229180166871782E-2</c:v>
                </c:pt>
                <c:pt idx="14">
                  <c:v>1.0186191666500512E-2</c:v>
                </c:pt>
                <c:pt idx="15">
                  <c:v>1.3419942614755128E-2</c:v>
                </c:pt>
                <c:pt idx="16">
                  <c:v>1.0862997950903666E-2</c:v>
                </c:pt>
                <c:pt idx="17">
                  <c:v>7.9182281642115934E-3</c:v>
                </c:pt>
                <c:pt idx="18">
                  <c:v>4.9443551007940251E-3</c:v>
                </c:pt>
                <c:pt idx="19">
                  <c:v>4.681613226118389E-3</c:v>
                </c:pt>
                <c:pt idx="20">
                  <c:v>3.6616457405895544E-3</c:v>
                </c:pt>
                <c:pt idx="21">
                  <c:v>3.2797280288769026E-3</c:v>
                </c:pt>
                <c:pt idx="22">
                  <c:v>2.5958381599684274E-3</c:v>
                </c:pt>
                <c:pt idx="23">
                  <c:v>2.5468917128843929E-3</c:v>
                </c:pt>
                <c:pt idx="24">
                  <c:v>1.9211160052801568E-3</c:v>
                </c:pt>
                <c:pt idx="25">
                  <c:v>2.048147854450236E-3</c:v>
                </c:pt>
                <c:pt idx="26">
                  <c:v>1.6816560965141126E-3</c:v>
                </c:pt>
                <c:pt idx="27">
                  <c:v>1.3327433459408198E-3</c:v>
                </c:pt>
                <c:pt idx="28">
                  <c:v>8.5415076629311438E-4</c:v>
                </c:pt>
                <c:pt idx="29">
                  <c:v>1.2606680360855872E-3</c:v>
                </c:pt>
                <c:pt idx="30">
                  <c:v>6.4313160029963446E-4</c:v>
                </c:pt>
                <c:pt idx="31">
                  <c:v>7.0148064133855549E-4</c:v>
                </c:pt>
                <c:pt idx="32">
                  <c:v>5.9168845208596962E-4</c:v>
                </c:pt>
                <c:pt idx="33">
                  <c:v>4.6613231279765016E-4</c:v>
                </c:pt>
                <c:pt idx="34">
                  <c:v>4.1184126977671293E-4</c:v>
                </c:pt>
                <c:pt idx="35">
                  <c:v>3.4468325059257597E-4</c:v>
                </c:pt>
                <c:pt idx="36">
                  <c:v>3.901962886270315E-4</c:v>
                </c:pt>
                <c:pt idx="37">
                  <c:v>2.9494446950001656E-4</c:v>
                </c:pt>
                <c:pt idx="38">
                  <c:v>3.2006788004867396E-4</c:v>
                </c:pt>
                <c:pt idx="39">
                  <c:v>2.2121286145855592E-4</c:v>
                </c:pt>
                <c:pt idx="40">
                  <c:v>1.880508417327786E-4</c:v>
                </c:pt>
                <c:pt idx="41">
                  <c:v>1.6561134515965159E-4</c:v>
                </c:pt>
                <c:pt idx="42">
                  <c:v>1.2322926176115334E-4</c:v>
                </c:pt>
                <c:pt idx="43">
                  <c:v>6.3344400680716371E-5</c:v>
                </c:pt>
                <c:pt idx="44">
                  <c:v>9.1809199802530303E-5</c:v>
                </c:pt>
                <c:pt idx="45">
                  <c:v>1.1943186073893782E-4</c:v>
                </c:pt>
                <c:pt idx="46">
                  <c:v>5.6665225959107708E-5</c:v>
                </c:pt>
                <c:pt idx="47">
                  <c:v>7.9952891062186733E-5</c:v>
                </c:pt>
                <c:pt idx="48">
                  <c:v>6.364149560594571E-5</c:v>
                </c:pt>
                <c:pt idx="49">
                  <c:v>3.3159849158894539E-5</c:v>
                </c:pt>
                <c:pt idx="50">
                  <c:v>2.9266024004243055E-5</c:v>
                </c:pt>
                <c:pt idx="51">
                  <c:v>4.3067562113636778E-5</c:v>
                </c:pt>
                <c:pt idx="52">
                  <c:v>1.6290119339984416E-5</c:v>
                </c:pt>
                <c:pt idx="53">
                  <c:v>2.2908034842141963E-5</c:v>
                </c:pt>
                <c:pt idx="54">
                  <c:v>2.1943707029247991E-5</c:v>
                </c:pt>
                <c:pt idx="55">
                  <c:v>1.271871272861567E-5</c:v>
                </c:pt>
                <c:pt idx="56">
                  <c:v>1.4417077077882847E-5</c:v>
                </c:pt>
                <c:pt idx="57">
                  <c:v>1.0841463842350009E-5</c:v>
                </c:pt>
                <c:pt idx="58">
                  <c:v>1.7032444507663248E-5</c:v>
                </c:pt>
                <c:pt idx="59">
                  <c:v>1.7569154969939476E-5</c:v>
                </c:pt>
                <c:pt idx="60">
                  <c:v>1.9977285579295883E-5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30-4932-A28F-6DBB9382C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50784"/>
        <c:axId val="130091840"/>
      </c:lineChart>
      <c:catAx>
        <c:axId val="58550784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091840"/>
        <c:crosses val="autoZero"/>
        <c:auto val="1"/>
        <c:lblAlgn val="ctr"/>
        <c:lblOffset val="100"/>
        <c:tickLblSkip val="10"/>
        <c:noMultiLvlLbl val="0"/>
      </c:catAx>
      <c:valAx>
        <c:axId val="130091840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55078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TDFD_Shop!$C$11:$C$71</c:f>
              <c:numCache>
                <c:formatCode>0.00%</c:formatCode>
                <c:ptCount val="61"/>
                <c:pt idx="0">
                  <c:v>9.4990692580052547E-4</c:v>
                </c:pt>
                <c:pt idx="1">
                  <c:v>9.0592393102139354E-4</c:v>
                </c:pt>
                <c:pt idx="2">
                  <c:v>3.7555370150790246E-3</c:v>
                </c:pt>
                <c:pt idx="3">
                  <c:v>9.2962583154463617E-3</c:v>
                </c:pt>
                <c:pt idx="4">
                  <c:v>1.2330218942352561E-2</c:v>
                </c:pt>
                <c:pt idx="5">
                  <c:v>2.6595062208307031E-2</c:v>
                </c:pt>
                <c:pt idx="6">
                  <c:v>1.1864694141534061E-2</c:v>
                </c:pt>
                <c:pt idx="7">
                  <c:v>1.9685706655212486E-2</c:v>
                </c:pt>
                <c:pt idx="8">
                  <c:v>8.1640696444560054E-3</c:v>
                </c:pt>
                <c:pt idx="9">
                  <c:v>2.0641499816105299E-2</c:v>
                </c:pt>
                <c:pt idx="10">
                  <c:v>7.0399576025592424E-3</c:v>
                </c:pt>
                <c:pt idx="11">
                  <c:v>9.5120949407863521E-3</c:v>
                </c:pt>
                <c:pt idx="12">
                  <c:v>2.1429520218760351E-2</c:v>
                </c:pt>
                <c:pt idx="13">
                  <c:v>2.58173402585994E-2</c:v>
                </c:pt>
                <c:pt idx="14">
                  <c:v>1.3724267989209392E-2</c:v>
                </c:pt>
                <c:pt idx="15">
                  <c:v>1.2639615540393192E-2</c:v>
                </c:pt>
                <c:pt idx="16">
                  <c:v>4.0796368096260069E-2</c:v>
                </c:pt>
                <c:pt idx="17">
                  <c:v>2.9102649840886993E-2</c:v>
                </c:pt>
                <c:pt idx="18">
                  <c:v>8.9242469226963037E-2</c:v>
                </c:pt>
                <c:pt idx="19">
                  <c:v>4.4579412272870378E-2</c:v>
                </c:pt>
                <c:pt idx="20">
                  <c:v>7.2085903372928223E-2</c:v>
                </c:pt>
                <c:pt idx="21">
                  <c:v>6.5547818675991285E-2</c:v>
                </c:pt>
                <c:pt idx="22">
                  <c:v>4.1096056494361946E-2</c:v>
                </c:pt>
                <c:pt idx="23">
                  <c:v>3.1916072637966336E-2</c:v>
                </c:pt>
                <c:pt idx="24">
                  <c:v>3.8844868219717436E-2</c:v>
                </c:pt>
                <c:pt idx="25">
                  <c:v>1.5450675528489447E-2</c:v>
                </c:pt>
                <c:pt idx="26">
                  <c:v>5.9790824529366772E-2</c:v>
                </c:pt>
                <c:pt idx="27">
                  <c:v>8.6045985266105639E-3</c:v>
                </c:pt>
                <c:pt idx="28">
                  <c:v>1.7686097225813019E-2</c:v>
                </c:pt>
                <c:pt idx="29">
                  <c:v>9.3578355915040819E-3</c:v>
                </c:pt>
                <c:pt idx="30">
                  <c:v>9.6040592423160282E-3</c:v>
                </c:pt>
                <c:pt idx="31">
                  <c:v>5.5177195494510783E-3</c:v>
                </c:pt>
                <c:pt idx="32">
                  <c:v>1.2989816029893159E-2</c:v>
                </c:pt>
                <c:pt idx="33">
                  <c:v>5.6005963004291167E-3</c:v>
                </c:pt>
                <c:pt idx="34">
                  <c:v>1.1647286306960105E-2</c:v>
                </c:pt>
                <c:pt idx="35">
                  <c:v>8.7487515238437799E-3</c:v>
                </c:pt>
                <c:pt idx="36">
                  <c:v>4.3319464199289993E-3</c:v>
                </c:pt>
                <c:pt idx="37">
                  <c:v>1.2987423456141196E-2</c:v>
                </c:pt>
                <c:pt idx="38">
                  <c:v>8.6691901106968113E-3</c:v>
                </c:pt>
                <c:pt idx="39">
                  <c:v>1.904760059749912E-3</c:v>
                </c:pt>
                <c:pt idx="40">
                  <c:v>2.9584281789222133E-3</c:v>
                </c:pt>
                <c:pt idx="41">
                  <c:v>3.4237307940261441E-3</c:v>
                </c:pt>
                <c:pt idx="42">
                  <c:v>1.3905428964656797E-3</c:v>
                </c:pt>
                <c:pt idx="43">
                  <c:v>1.3268743886028166E-3</c:v>
                </c:pt>
                <c:pt idx="44">
                  <c:v>1.6432720008175111E-3</c:v>
                </c:pt>
                <c:pt idx="45">
                  <c:v>4.9569683486680456E-2</c:v>
                </c:pt>
                <c:pt idx="46">
                  <c:v>4.6453454986251641E-3</c:v>
                </c:pt>
                <c:pt idx="47">
                  <c:v>1.4252711263155163E-3</c:v>
                </c:pt>
                <c:pt idx="48">
                  <c:v>9.1450246881070475E-4</c:v>
                </c:pt>
                <c:pt idx="49">
                  <c:v>1.9581662115165238E-3</c:v>
                </c:pt>
                <c:pt idx="50">
                  <c:v>5.2143196242836057E-4</c:v>
                </c:pt>
                <c:pt idx="51">
                  <c:v>4.010301906371896E-4</c:v>
                </c:pt>
                <c:pt idx="52">
                  <c:v>6.3170344773330767E-3</c:v>
                </c:pt>
                <c:pt idx="53">
                  <c:v>7.2680702200471001E-4</c:v>
                </c:pt>
                <c:pt idx="54">
                  <c:v>2.8651111012567695E-3</c:v>
                </c:pt>
                <c:pt idx="55">
                  <c:v>3.2658952105125787E-4</c:v>
                </c:pt>
                <c:pt idx="56">
                  <c:v>5.240235581600786E-5</c:v>
                </c:pt>
                <c:pt idx="57">
                  <c:v>7.768342583079086E-4</c:v>
                </c:pt>
                <c:pt idx="58">
                  <c:v>2.4068932868501623E-3</c:v>
                </c:pt>
                <c:pt idx="59">
                  <c:v>7.4110882243809731E-4</c:v>
                </c:pt>
                <c:pt idx="60">
                  <c:v>2.981915721074666E-3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1-4AC4-8DEC-B8ECE6F8A247}"/>
            </c:ext>
          </c:extLst>
        </c:ser>
        <c:ser>
          <c:idx val="1"/>
          <c:order val="1"/>
          <c:tx>
            <c:strRef>
              <c:f>TDFD_Shop!$G$10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TDFD_Shop!$G$11:$G$71</c:f>
              <c:numCache>
                <c:formatCode>0.00%</c:formatCode>
                <c:ptCount val="61"/>
                <c:pt idx="0">
                  <c:v>1.5135745864438358E-2</c:v>
                </c:pt>
                <c:pt idx="1">
                  <c:v>3.4665817255919218E-2</c:v>
                </c:pt>
                <c:pt idx="2">
                  <c:v>3.619541898883382E-2</c:v>
                </c:pt>
                <c:pt idx="3">
                  <c:v>3.7890287333724106E-2</c:v>
                </c:pt>
                <c:pt idx="4">
                  <c:v>3.8440400132851729E-2</c:v>
                </c:pt>
                <c:pt idx="5">
                  <c:v>3.8309814137263656E-2</c:v>
                </c:pt>
                <c:pt idx="6">
                  <c:v>3.58679751483552E-2</c:v>
                </c:pt>
                <c:pt idx="7">
                  <c:v>3.2691089463792351E-2</c:v>
                </c:pt>
                <c:pt idx="8">
                  <c:v>2.9502026891680373E-2</c:v>
                </c:pt>
                <c:pt idx="9">
                  <c:v>2.6253114682283682E-2</c:v>
                </c:pt>
                <c:pt idx="10">
                  <c:v>2.424231823943478E-2</c:v>
                </c:pt>
                <c:pt idx="11">
                  <c:v>2.1399435601550575E-2</c:v>
                </c:pt>
                <c:pt idx="12">
                  <c:v>1.9313011114163288E-2</c:v>
                </c:pt>
                <c:pt idx="13">
                  <c:v>1.7526083433192948E-2</c:v>
                </c:pt>
                <c:pt idx="14">
                  <c:v>1.4383830523678733E-2</c:v>
                </c:pt>
                <c:pt idx="15">
                  <c:v>1.3950989871676785E-2</c:v>
                </c:pt>
                <c:pt idx="16">
                  <c:v>1.2390259086584959E-2</c:v>
                </c:pt>
                <c:pt idx="17">
                  <c:v>1.0941818611728276E-2</c:v>
                </c:pt>
                <c:pt idx="18">
                  <c:v>8.7687687989801325E-2</c:v>
                </c:pt>
                <c:pt idx="19">
                  <c:v>3.2013195228501025E-2</c:v>
                </c:pt>
                <c:pt idx="20">
                  <c:v>2.7119432973783355E-2</c:v>
                </c:pt>
                <c:pt idx="21">
                  <c:v>4.0172472149158714E-2</c:v>
                </c:pt>
                <c:pt idx="22">
                  <c:v>3.4070251796419711E-2</c:v>
                </c:pt>
                <c:pt idx="23">
                  <c:v>2.6848612007703325E-2</c:v>
                </c:pt>
                <c:pt idx="24">
                  <c:v>2.5894026669325398E-2</c:v>
                </c:pt>
                <c:pt idx="25">
                  <c:v>1.9648977280432883E-2</c:v>
                </c:pt>
                <c:pt idx="26">
                  <c:v>2.1974560189520813E-2</c:v>
                </c:pt>
                <c:pt idx="27">
                  <c:v>1.4558686748855408E-2</c:v>
                </c:pt>
                <c:pt idx="28">
                  <c:v>1.4311794448382877E-2</c:v>
                </c:pt>
                <c:pt idx="29">
                  <c:v>1.4658684446603716E-2</c:v>
                </c:pt>
                <c:pt idx="30">
                  <c:v>1.7702352073372809E-2</c:v>
                </c:pt>
                <c:pt idx="31">
                  <c:v>1.0854304829337979E-2</c:v>
                </c:pt>
                <c:pt idx="32">
                  <c:v>1.259042503698179E-2</c:v>
                </c:pt>
                <c:pt idx="33">
                  <c:v>1.3702356401128163E-2</c:v>
                </c:pt>
                <c:pt idx="34">
                  <c:v>1.529549388059198E-2</c:v>
                </c:pt>
                <c:pt idx="35">
                  <c:v>9.4685773633137946E-3</c:v>
                </c:pt>
                <c:pt idx="36">
                  <c:v>7.3849515574288009E-3</c:v>
                </c:pt>
                <c:pt idx="37">
                  <c:v>4.9892713932463634E-3</c:v>
                </c:pt>
                <c:pt idx="38">
                  <c:v>6.1772584770686039E-3</c:v>
                </c:pt>
                <c:pt idx="39">
                  <c:v>8.217668416098018E-3</c:v>
                </c:pt>
                <c:pt idx="40">
                  <c:v>7.7332717221491815E-3</c:v>
                </c:pt>
                <c:pt idx="41">
                  <c:v>3.598400719202892E-3</c:v>
                </c:pt>
                <c:pt idx="42">
                  <c:v>3.2815128328190601E-3</c:v>
                </c:pt>
                <c:pt idx="43">
                  <c:v>4.282004634120996E-3</c:v>
                </c:pt>
                <c:pt idx="44">
                  <c:v>4.1526312594024409E-3</c:v>
                </c:pt>
                <c:pt idx="45">
                  <c:v>2.6291628711586092E-3</c:v>
                </c:pt>
                <c:pt idx="46">
                  <c:v>3.3087219585384172E-3</c:v>
                </c:pt>
                <c:pt idx="47">
                  <c:v>2.7540800654943078E-3</c:v>
                </c:pt>
                <c:pt idx="48">
                  <c:v>2.673829938862754E-3</c:v>
                </c:pt>
                <c:pt idx="49">
                  <c:v>3.1656936609503299E-3</c:v>
                </c:pt>
                <c:pt idx="50">
                  <c:v>2.3237459689593922E-3</c:v>
                </c:pt>
                <c:pt idx="51">
                  <c:v>1.7704862918226304E-3</c:v>
                </c:pt>
                <c:pt idx="52">
                  <c:v>1.4637491505026903E-3</c:v>
                </c:pt>
                <c:pt idx="53">
                  <c:v>1.3328867114759629E-3</c:v>
                </c:pt>
                <c:pt idx="54">
                  <c:v>1.0497928143224184E-3</c:v>
                </c:pt>
                <c:pt idx="55">
                  <c:v>2.0202304016120839E-3</c:v>
                </c:pt>
                <c:pt idx="56">
                  <c:v>1.2551664053297607E-3</c:v>
                </c:pt>
                <c:pt idx="57">
                  <c:v>1.1087144742582371E-3</c:v>
                </c:pt>
                <c:pt idx="58">
                  <c:v>1.0602681977945852E-3</c:v>
                </c:pt>
                <c:pt idx="59">
                  <c:v>9.2708563318536017E-4</c:v>
                </c:pt>
                <c:pt idx="60">
                  <c:v>8.2571916427409957E-4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41-4AC4-8DEC-B8ECE6F8A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054592"/>
        <c:axId val="130094144"/>
      </c:lineChart>
      <c:catAx>
        <c:axId val="123054592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094144"/>
        <c:crosses val="autoZero"/>
        <c:auto val="1"/>
        <c:lblAlgn val="ctr"/>
        <c:lblOffset val="100"/>
        <c:tickLblSkip val="10"/>
        <c:noMultiLvlLbl val="0"/>
      </c:catAx>
      <c:valAx>
        <c:axId val="13009414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0545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TLFD_Meal!$C$11:$C$71</c:f>
              <c:numCache>
                <c:formatCode>0.00%</c:formatCode>
                <c:ptCount val="61"/>
                <c:pt idx="0">
                  <c:v>0.12049175269376761</c:v>
                </c:pt>
                <c:pt idx="1">
                  <c:v>8.0779756980852269E-2</c:v>
                </c:pt>
                <c:pt idx="2">
                  <c:v>6.8001725294796408E-2</c:v>
                </c:pt>
                <c:pt idx="3">
                  <c:v>0.13389993618831017</c:v>
                </c:pt>
                <c:pt idx="4">
                  <c:v>0.19089327819405463</c:v>
                </c:pt>
                <c:pt idx="5">
                  <c:v>0.11738273653336104</c:v>
                </c:pt>
                <c:pt idx="6">
                  <c:v>7.6687444013630229E-2</c:v>
                </c:pt>
                <c:pt idx="7">
                  <c:v>2.4897112455285968E-2</c:v>
                </c:pt>
                <c:pt idx="8">
                  <c:v>3.4600668926060792E-2</c:v>
                </c:pt>
                <c:pt idx="9">
                  <c:v>1.554355798375473E-2</c:v>
                </c:pt>
                <c:pt idx="10">
                  <c:v>4.618190974796834E-2</c:v>
                </c:pt>
                <c:pt idx="11">
                  <c:v>9.4554118375037178E-3</c:v>
                </c:pt>
                <c:pt idx="12">
                  <c:v>8.0812910784510642E-3</c:v>
                </c:pt>
                <c:pt idx="13">
                  <c:v>1.6750178389906396E-2</c:v>
                </c:pt>
                <c:pt idx="14">
                  <c:v>4.7320592727653678E-3</c:v>
                </c:pt>
                <c:pt idx="15">
                  <c:v>1.2470014223277126E-2</c:v>
                </c:pt>
                <c:pt idx="16">
                  <c:v>9.558645987785443E-3</c:v>
                </c:pt>
                <c:pt idx="17">
                  <c:v>3.1309704574170815E-3</c:v>
                </c:pt>
                <c:pt idx="18">
                  <c:v>5.5579624117697759E-3</c:v>
                </c:pt>
                <c:pt idx="19">
                  <c:v>4.8571098507676342E-4</c:v>
                </c:pt>
                <c:pt idx="20">
                  <c:v>1.3122835039455498E-3</c:v>
                </c:pt>
                <c:pt idx="21">
                  <c:v>3.0291780640073211E-3</c:v>
                </c:pt>
                <c:pt idx="22">
                  <c:v>2.8654632216249679E-3</c:v>
                </c:pt>
                <c:pt idx="23">
                  <c:v>2.1386815399655349E-3</c:v>
                </c:pt>
                <c:pt idx="24">
                  <c:v>8.8985922522342585E-4</c:v>
                </c:pt>
                <c:pt idx="25">
                  <c:v>1.4019512646280261E-3</c:v>
                </c:pt>
                <c:pt idx="26">
                  <c:v>1.3584717793717776E-3</c:v>
                </c:pt>
                <c:pt idx="27">
                  <c:v>3.6997578844681227E-4</c:v>
                </c:pt>
                <c:pt idx="28">
                  <c:v>1.145974308257985E-3</c:v>
                </c:pt>
                <c:pt idx="29">
                  <c:v>0</c:v>
                </c:pt>
                <c:pt idx="30">
                  <c:v>0</c:v>
                </c:pt>
                <c:pt idx="31">
                  <c:v>7.4499480921572537E-5</c:v>
                </c:pt>
                <c:pt idx="32">
                  <c:v>3.5141123722922703E-4</c:v>
                </c:pt>
                <c:pt idx="33">
                  <c:v>1.6913195980317847E-4</c:v>
                </c:pt>
                <c:pt idx="34">
                  <c:v>1.6232586634583174E-3</c:v>
                </c:pt>
                <c:pt idx="35">
                  <c:v>4.1375971255318386E-4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4.3239695717107085E-4</c:v>
                </c:pt>
                <c:pt idx="40">
                  <c:v>5.0495652789884441E-4</c:v>
                </c:pt>
                <c:pt idx="41">
                  <c:v>1.7319306104241537E-3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4.6138256188913877E-4</c:v>
                </c:pt>
                <c:pt idx="48">
                  <c:v>0</c:v>
                </c:pt>
                <c:pt idx="49">
                  <c:v>0</c:v>
                </c:pt>
                <c:pt idx="50">
                  <c:v>1.7017930936340188E-5</c:v>
                </c:pt>
                <c:pt idx="51">
                  <c:v>5.0452355333682363E-5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5.5498177470095129E-6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C5-4517-9472-E775D88C89C2}"/>
            </c:ext>
          </c:extLst>
        </c:ser>
        <c:ser>
          <c:idx val="1"/>
          <c:order val="1"/>
          <c:tx>
            <c:strRef>
              <c:f>TLFD_Meal!$G$10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TLFD_Meal!$G$11:$G$71</c:f>
              <c:numCache>
                <c:formatCode>0.00%</c:formatCode>
                <c:ptCount val="61"/>
                <c:pt idx="0">
                  <c:v>0.24770930075539324</c:v>
                </c:pt>
                <c:pt idx="1">
                  <c:v>0.13864594426324958</c:v>
                </c:pt>
                <c:pt idx="2">
                  <c:v>8.1277353545343933E-2</c:v>
                </c:pt>
                <c:pt idx="3">
                  <c:v>4.5182064240099289E-2</c:v>
                </c:pt>
                <c:pt idx="4">
                  <c:v>0.12924720401809339</c:v>
                </c:pt>
                <c:pt idx="5">
                  <c:v>6.8087329464851437E-2</c:v>
                </c:pt>
                <c:pt idx="6">
                  <c:v>6.0999250974754997E-2</c:v>
                </c:pt>
                <c:pt idx="7">
                  <c:v>3.9011906449519129E-2</c:v>
                </c:pt>
                <c:pt idx="8">
                  <c:v>3.7087232031025354E-2</c:v>
                </c:pt>
                <c:pt idx="9">
                  <c:v>1.8300628228309523E-2</c:v>
                </c:pt>
                <c:pt idx="10">
                  <c:v>1.8985432198092959E-2</c:v>
                </c:pt>
                <c:pt idx="11">
                  <c:v>1.6003752354398281E-2</c:v>
                </c:pt>
                <c:pt idx="12">
                  <c:v>1.2320237410405006E-2</c:v>
                </c:pt>
                <c:pt idx="13">
                  <c:v>1.1026975652631133E-2</c:v>
                </c:pt>
                <c:pt idx="14">
                  <c:v>9.3735574012174267E-3</c:v>
                </c:pt>
                <c:pt idx="15">
                  <c:v>9.7947095976349367E-3</c:v>
                </c:pt>
                <c:pt idx="16">
                  <c:v>8.8248131100427951E-3</c:v>
                </c:pt>
                <c:pt idx="17">
                  <c:v>6.2698853754303207E-3</c:v>
                </c:pt>
                <c:pt idx="18">
                  <c:v>5.8248028064570604E-3</c:v>
                </c:pt>
                <c:pt idx="19">
                  <c:v>5.4275027651748053E-3</c:v>
                </c:pt>
                <c:pt idx="20">
                  <c:v>4.2174096947660642E-3</c:v>
                </c:pt>
                <c:pt idx="21">
                  <c:v>2.9583872835034514E-3</c:v>
                </c:pt>
                <c:pt idx="22">
                  <c:v>3.3972390504271818E-3</c:v>
                </c:pt>
                <c:pt idx="23">
                  <c:v>3.0258649333992373E-3</c:v>
                </c:pt>
                <c:pt idx="24">
                  <c:v>2.0451651346700445E-3</c:v>
                </c:pt>
                <c:pt idx="25">
                  <c:v>2.6308631502699143E-3</c:v>
                </c:pt>
                <c:pt idx="26">
                  <c:v>1.7771265196735249E-3</c:v>
                </c:pt>
                <c:pt idx="27">
                  <c:v>1.3881199522383801E-3</c:v>
                </c:pt>
                <c:pt idx="28">
                  <c:v>1.01916275516265E-3</c:v>
                </c:pt>
                <c:pt idx="29">
                  <c:v>1.2731149616007347E-3</c:v>
                </c:pt>
                <c:pt idx="30">
                  <c:v>7.9546948460992005E-4</c:v>
                </c:pt>
                <c:pt idx="31">
                  <c:v>6.9322569887735291E-4</c:v>
                </c:pt>
                <c:pt idx="32">
                  <c:v>6.8221787979118851E-4</c:v>
                </c:pt>
                <c:pt idx="33">
                  <c:v>5.897087991834901E-4</c:v>
                </c:pt>
                <c:pt idx="34">
                  <c:v>5.6506753096212262E-4</c:v>
                </c:pt>
                <c:pt idx="35">
                  <c:v>5.948995274690595E-4</c:v>
                </c:pt>
                <c:pt idx="36">
                  <c:v>4.423877658178471E-4</c:v>
                </c:pt>
                <c:pt idx="37">
                  <c:v>3.2839999765780158E-4</c:v>
                </c:pt>
                <c:pt idx="38">
                  <c:v>3.3524315255754167E-4</c:v>
                </c:pt>
                <c:pt idx="39">
                  <c:v>2.6373101115527144E-4</c:v>
                </c:pt>
                <c:pt idx="40">
                  <c:v>2.7548242939763791E-4</c:v>
                </c:pt>
                <c:pt idx="41">
                  <c:v>3.5340388692388787E-4</c:v>
                </c:pt>
                <c:pt idx="42">
                  <c:v>1.1731061241698823E-4</c:v>
                </c:pt>
                <c:pt idx="43">
                  <c:v>1.0918062286801275E-4</c:v>
                </c:pt>
                <c:pt idx="44">
                  <c:v>1.1853220054720801E-4</c:v>
                </c:pt>
                <c:pt idx="45">
                  <c:v>1.2291569550248056E-4</c:v>
                </c:pt>
                <c:pt idx="46">
                  <c:v>7.1553340253006581E-5</c:v>
                </c:pt>
                <c:pt idx="47">
                  <c:v>3.1083267777725117E-5</c:v>
                </c:pt>
                <c:pt idx="48">
                  <c:v>9.8303010218829835E-5</c:v>
                </c:pt>
                <c:pt idx="49">
                  <c:v>7.3215175148765387E-5</c:v>
                </c:pt>
                <c:pt idx="50">
                  <c:v>4.1748744176105173E-5</c:v>
                </c:pt>
                <c:pt idx="51">
                  <c:v>2.9031149538729866E-5</c:v>
                </c:pt>
                <c:pt idx="52">
                  <c:v>3.8007704724715599E-5</c:v>
                </c:pt>
                <c:pt idx="53">
                  <c:v>2.5435465640948129E-5</c:v>
                </c:pt>
                <c:pt idx="54">
                  <c:v>3.0212619814963948E-7</c:v>
                </c:pt>
                <c:pt idx="55">
                  <c:v>2.5045399347241211E-5</c:v>
                </c:pt>
                <c:pt idx="56">
                  <c:v>1.3628049580821218E-5</c:v>
                </c:pt>
                <c:pt idx="57">
                  <c:v>1.2085047925985579E-6</c:v>
                </c:pt>
                <c:pt idx="58">
                  <c:v>9.0637859444891833E-7</c:v>
                </c:pt>
                <c:pt idx="59">
                  <c:v>1.2205898405245433E-5</c:v>
                </c:pt>
                <c:pt idx="60">
                  <c:v>3.0212619814963948E-7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C5-4517-9472-E775D88C8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187712"/>
        <c:axId val="130095872"/>
      </c:lineChart>
      <c:catAx>
        <c:axId val="123187712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095872"/>
        <c:crosses val="autoZero"/>
        <c:auto val="1"/>
        <c:lblAlgn val="ctr"/>
        <c:lblOffset val="100"/>
        <c:tickLblSkip val="10"/>
        <c:noMultiLvlLbl val="0"/>
      </c:catAx>
      <c:valAx>
        <c:axId val="130095872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18771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TDFD_Meal!$C$11:$C$71</c:f>
              <c:numCache>
                <c:formatCode>0.00%</c:formatCode>
                <c:ptCount val="61"/>
                <c:pt idx="0">
                  <c:v>0</c:v>
                </c:pt>
                <c:pt idx="1">
                  <c:v>2.3437457431708345E-4</c:v>
                </c:pt>
                <c:pt idx="2">
                  <c:v>1.5238115561758364E-3</c:v>
                </c:pt>
                <c:pt idx="3">
                  <c:v>1.2202951508955511E-2</c:v>
                </c:pt>
                <c:pt idx="4">
                  <c:v>1.0621013724945052E-2</c:v>
                </c:pt>
                <c:pt idx="5">
                  <c:v>2.5440347920877824E-2</c:v>
                </c:pt>
                <c:pt idx="6">
                  <c:v>2.0470459801236126E-2</c:v>
                </c:pt>
                <c:pt idx="7">
                  <c:v>2.3423668634067588E-2</c:v>
                </c:pt>
                <c:pt idx="8">
                  <c:v>1.3939643752029817E-2</c:v>
                </c:pt>
                <c:pt idx="9">
                  <c:v>3.2880143089351443E-2</c:v>
                </c:pt>
                <c:pt idx="10">
                  <c:v>1.0384669616977807E-2</c:v>
                </c:pt>
                <c:pt idx="11">
                  <c:v>1.5197866890334944E-2</c:v>
                </c:pt>
                <c:pt idx="12">
                  <c:v>1.5061535912517967E-2</c:v>
                </c:pt>
                <c:pt idx="13">
                  <c:v>2.8722774419301426E-2</c:v>
                </c:pt>
                <c:pt idx="14">
                  <c:v>2.9932576669336325E-2</c:v>
                </c:pt>
                <c:pt idx="15">
                  <c:v>2.4039964738992222E-2</c:v>
                </c:pt>
                <c:pt idx="16">
                  <c:v>3.6114929204905652E-2</c:v>
                </c:pt>
                <c:pt idx="17">
                  <c:v>2.2118265815047077E-2</c:v>
                </c:pt>
                <c:pt idx="18">
                  <c:v>7.7454753541735477E-2</c:v>
                </c:pt>
                <c:pt idx="19">
                  <c:v>4.2204630958494846E-2</c:v>
                </c:pt>
                <c:pt idx="20">
                  <c:v>8.122465540068538E-2</c:v>
                </c:pt>
                <c:pt idx="21">
                  <c:v>4.8324642088993827E-2</c:v>
                </c:pt>
                <c:pt idx="22">
                  <c:v>3.7900420865020927E-2</c:v>
                </c:pt>
                <c:pt idx="23">
                  <c:v>1.7498416310622822E-2</c:v>
                </c:pt>
                <c:pt idx="24">
                  <c:v>2.6145051354282522E-2</c:v>
                </c:pt>
                <c:pt idx="25">
                  <c:v>2.2126876978634025E-2</c:v>
                </c:pt>
                <c:pt idx="26">
                  <c:v>3.292587593525715E-2</c:v>
                </c:pt>
                <c:pt idx="27">
                  <c:v>1.6833741558432636E-2</c:v>
                </c:pt>
                <c:pt idx="28">
                  <c:v>1.6761075487677374E-2</c:v>
                </c:pt>
                <c:pt idx="29">
                  <c:v>1.2293513793541747E-2</c:v>
                </c:pt>
                <c:pt idx="30">
                  <c:v>1.123239238291792E-2</c:v>
                </c:pt>
                <c:pt idx="31">
                  <c:v>6.4757781595168769E-3</c:v>
                </c:pt>
                <c:pt idx="32">
                  <c:v>3.5203353167542438E-3</c:v>
                </c:pt>
                <c:pt idx="33">
                  <c:v>1.0019561802714416E-2</c:v>
                </c:pt>
                <c:pt idx="34">
                  <c:v>1.3340663437289168E-2</c:v>
                </c:pt>
                <c:pt idx="35">
                  <c:v>3.4922333253570555E-3</c:v>
                </c:pt>
                <c:pt idx="36">
                  <c:v>4.3440946508051482E-3</c:v>
                </c:pt>
                <c:pt idx="37">
                  <c:v>5.313078018730222E-3</c:v>
                </c:pt>
                <c:pt idx="38">
                  <c:v>8.9423018411654859E-3</c:v>
                </c:pt>
                <c:pt idx="39">
                  <c:v>8.7677744788658158E-3</c:v>
                </c:pt>
                <c:pt idx="40">
                  <c:v>2.6335204025266915E-3</c:v>
                </c:pt>
                <c:pt idx="41">
                  <c:v>1.6446118527026247E-3</c:v>
                </c:pt>
                <c:pt idx="42">
                  <c:v>1.8972724014916001E-3</c:v>
                </c:pt>
                <c:pt idx="43">
                  <c:v>2.0153542881545285E-4</c:v>
                </c:pt>
                <c:pt idx="44">
                  <c:v>2.0270857605111572E-3</c:v>
                </c:pt>
                <c:pt idx="45">
                  <c:v>4.2262496814412062E-2</c:v>
                </c:pt>
                <c:pt idx="46">
                  <c:v>3.2095736245178349E-3</c:v>
                </c:pt>
                <c:pt idx="47">
                  <c:v>1.109767740090035E-3</c:v>
                </c:pt>
                <c:pt idx="48">
                  <c:v>1.8403876278514574E-3</c:v>
                </c:pt>
                <c:pt idx="49">
                  <c:v>1.5911796434228027E-3</c:v>
                </c:pt>
                <c:pt idx="50">
                  <c:v>6.9635680670331285E-4</c:v>
                </c:pt>
                <c:pt idx="51">
                  <c:v>2.1991877959133882E-3</c:v>
                </c:pt>
                <c:pt idx="52">
                  <c:v>2.8599592723330346E-3</c:v>
                </c:pt>
                <c:pt idx="53">
                  <c:v>1.9746699006875442E-3</c:v>
                </c:pt>
                <c:pt idx="54">
                  <c:v>6.007937558721115E-4</c:v>
                </c:pt>
                <c:pt idx="55">
                  <c:v>0</c:v>
                </c:pt>
                <c:pt idx="56">
                  <c:v>1.7056558421970119E-3</c:v>
                </c:pt>
                <c:pt idx="57">
                  <c:v>4.9256110305866097E-4</c:v>
                </c:pt>
                <c:pt idx="58">
                  <c:v>4.8474318764347437E-4</c:v>
                </c:pt>
                <c:pt idx="59">
                  <c:v>6.0570573874355353E-3</c:v>
                </c:pt>
                <c:pt idx="60">
                  <c:v>5.747862282570626E-3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01-4FA1-A655-C6B6A23892C7}"/>
            </c:ext>
          </c:extLst>
        </c:ser>
        <c:ser>
          <c:idx val="1"/>
          <c:order val="1"/>
          <c:tx>
            <c:strRef>
              <c:f>TDFD_Meal!$G$10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TDFD_Meal!$G$11:$G$71</c:f>
              <c:numCache>
                <c:formatCode>0.00%</c:formatCode>
                <c:ptCount val="61"/>
                <c:pt idx="0">
                  <c:v>1.1709544739436542E-2</c:v>
                </c:pt>
                <c:pt idx="1">
                  <c:v>3.7531209276350626E-2</c:v>
                </c:pt>
                <c:pt idx="2">
                  <c:v>3.8700817175120118E-2</c:v>
                </c:pt>
                <c:pt idx="3">
                  <c:v>4.0875365459524332E-2</c:v>
                </c:pt>
                <c:pt idx="4">
                  <c:v>4.1765292555724323E-2</c:v>
                </c:pt>
                <c:pt idx="5">
                  <c:v>3.9764979484891882E-2</c:v>
                </c:pt>
                <c:pt idx="6">
                  <c:v>3.9012515000106752E-2</c:v>
                </c:pt>
                <c:pt idx="7">
                  <c:v>3.515035453385517E-2</c:v>
                </c:pt>
                <c:pt idx="8">
                  <c:v>3.2034190331320968E-2</c:v>
                </c:pt>
                <c:pt idx="9">
                  <c:v>2.8804822652153148E-2</c:v>
                </c:pt>
                <c:pt idx="10">
                  <c:v>2.5275005727219552E-2</c:v>
                </c:pt>
                <c:pt idx="11">
                  <c:v>2.2506471866521036E-2</c:v>
                </c:pt>
                <c:pt idx="12">
                  <c:v>1.9603233159215236E-2</c:v>
                </c:pt>
                <c:pt idx="13">
                  <c:v>1.773027550840434E-2</c:v>
                </c:pt>
                <c:pt idx="14">
                  <c:v>1.5031216003322889E-2</c:v>
                </c:pt>
                <c:pt idx="15">
                  <c:v>1.4524672406897528E-2</c:v>
                </c:pt>
                <c:pt idx="16">
                  <c:v>1.2615480226056353E-2</c:v>
                </c:pt>
                <c:pt idx="17">
                  <c:v>1.1401661415885085E-2</c:v>
                </c:pt>
                <c:pt idx="18">
                  <c:v>8.8631958709668016E-2</c:v>
                </c:pt>
                <c:pt idx="19">
                  <c:v>3.1480382352922824E-2</c:v>
                </c:pt>
                <c:pt idx="20">
                  <c:v>2.7159805185055716E-2</c:v>
                </c:pt>
                <c:pt idx="21">
                  <c:v>4.187931849389246E-2</c:v>
                </c:pt>
                <c:pt idx="22">
                  <c:v>3.3761211882032571E-2</c:v>
                </c:pt>
                <c:pt idx="23">
                  <c:v>2.7604992708284516E-2</c:v>
                </c:pt>
                <c:pt idx="24">
                  <c:v>2.4181806616242526E-2</c:v>
                </c:pt>
                <c:pt idx="25">
                  <c:v>2.0485727971452795E-2</c:v>
                </c:pt>
                <c:pt idx="26">
                  <c:v>2.0498021368388776E-2</c:v>
                </c:pt>
                <c:pt idx="27">
                  <c:v>1.3449030907334627E-2</c:v>
                </c:pt>
                <c:pt idx="28">
                  <c:v>1.3343862039850477E-2</c:v>
                </c:pt>
                <c:pt idx="29">
                  <c:v>1.4060858605446435E-2</c:v>
                </c:pt>
                <c:pt idx="30">
                  <c:v>1.2459444363114604E-2</c:v>
                </c:pt>
                <c:pt idx="31">
                  <c:v>9.7971287198862621E-3</c:v>
                </c:pt>
                <c:pt idx="32">
                  <c:v>1.0942725294974569E-2</c:v>
                </c:pt>
                <c:pt idx="33">
                  <c:v>1.1227380176617242E-2</c:v>
                </c:pt>
                <c:pt idx="34">
                  <c:v>1.0849426581151409E-2</c:v>
                </c:pt>
                <c:pt idx="35">
                  <c:v>7.937154962125435E-3</c:v>
                </c:pt>
                <c:pt idx="36">
                  <c:v>6.6284649119396702E-3</c:v>
                </c:pt>
                <c:pt idx="37">
                  <c:v>5.3882065695719803E-3</c:v>
                </c:pt>
                <c:pt idx="38">
                  <c:v>6.3198422663907341E-3</c:v>
                </c:pt>
                <c:pt idx="39">
                  <c:v>6.0505196788960477E-3</c:v>
                </c:pt>
                <c:pt idx="40">
                  <c:v>5.4119237275643672E-3</c:v>
                </c:pt>
                <c:pt idx="41">
                  <c:v>3.6176748560742306E-3</c:v>
                </c:pt>
                <c:pt idx="42">
                  <c:v>3.8606443512901934E-3</c:v>
                </c:pt>
                <c:pt idx="43">
                  <c:v>3.7911148549183691E-3</c:v>
                </c:pt>
                <c:pt idx="44">
                  <c:v>3.8682526861660202E-3</c:v>
                </c:pt>
                <c:pt idx="45">
                  <c:v>2.9847125466157579E-3</c:v>
                </c:pt>
                <c:pt idx="46">
                  <c:v>2.9548836655341614E-3</c:v>
                </c:pt>
                <c:pt idx="47">
                  <c:v>2.7000693255691236E-3</c:v>
                </c:pt>
                <c:pt idx="48">
                  <c:v>2.493755430842987E-3</c:v>
                </c:pt>
                <c:pt idx="49">
                  <c:v>2.4622716876504793E-3</c:v>
                </c:pt>
                <c:pt idx="50">
                  <c:v>1.9929751468447296E-3</c:v>
                </c:pt>
                <c:pt idx="51">
                  <c:v>1.5930466520555327E-3</c:v>
                </c:pt>
                <c:pt idx="52">
                  <c:v>1.5090903915957988E-3</c:v>
                </c:pt>
                <c:pt idx="53">
                  <c:v>1.4423327730433261E-3</c:v>
                </c:pt>
                <c:pt idx="54">
                  <c:v>1.1062338797885498E-3</c:v>
                </c:pt>
                <c:pt idx="55">
                  <c:v>1.4595459180034927E-3</c:v>
                </c:pt>
                <c:pt idx="56">
                  <c:v>1.2111646058248747E-3</c:v>
                </c:pt>
                <c:pt idx="57">
                  <c:v>1.1859936995798884E-3</c:v>
                </c:pt>
                <c:pt idx="58">
                  <c:v>1.168068809433526E-3</c:v>
                </c:pt>
                <c:pt idx="59">
                  <c:v>8.3793584065023654E-4</c:v>
                </c:pt>
                <c:pt idx="60">
                  <c:v>8.9575293324967219E-4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01-4FA1-A655-C6B6A2389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286016"/>
        <c:axId val="130146880"/>
      </c:lineChart>
      <c:catAx>
        <c:axId val="12328601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146880"/>
        <c:crosses val="autoZero"/>
        <c:auto val="1"/>
        <c:lblAlgn val="ctr"/>
        <c:lblOffset val="100"/>
        <c:tickLblSkip val="10"/>
        <c:noMultiLvlLbl val="0"/>
      </c:catAx>
      <c:valAx>
        <c:axId val="1301468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28601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TLFD_SocRec!$C$11:$C$71</c:f>
              <c:numCache>
                <c:formatCode>0.00%</c:formatCode>
                <c:ptCount val="61"/>
                <c:pt idx="0">
                  <c:v>5.2146290719061919E-2</c:v>
                </c:pt>
                <c:pt idx="1">
                  <c:v>8.4588131389252585E-2</c:v>
                </c:pt>
                <c:pt idx="2">
                  <c:v>9.3158896183770726E-2</c:v>
                </c:pt>
                <c:pt idx="3">
                  <c:v>9.9096146066588939E-2</c:v>
                </c:pt>
                <c:pt idx="4">
                  <c:v>0.15760963891123325</c:v>
                </c:pt>
                <c:pt idx="5">
                  <c:v>0.10595355900341841</c:v>
                </c:pt>
                <c:pt idx="6">
                  <c:v>9.9579252827036918E-2</c:v>
                </c:pt>
                <c:pt idx="7">
                  <c:v>4.6547439814434169E-2</c:v>
                </c:pt>
                <c:pt idx="8">
                  <c:v>3.8496560844793561E-2</c:v>
                </c:pt>
                <c:pt idx="9">
                  <c:v>3.0977557636269203E-2</c:v>
                </c:pt>
                <c:pt idx="10">
                  <c:v>4.0953301079401275E-2</c:v>
                </c:pt>
                <c:pt idx="11">
                  <c:v>1.1936720534662859E-2</c:v>
                </c:pt>
                <c:pt idx="12">
                  <c:v>2.3958525492174084E-2</c:v>
                </c:pt>
                <c:pt idx="13">
                  <c:v>1.1024714891821885E-2</c:v>
                </c:pt>
                <c:pt idx="14">
                  <c:v>9.4941118926001617E-3</c:v>
                </c:pt>
                <c:pt idx="15">
                  <c:v>1.4205112228725919E-2</c:v>
                </c:pt>
                <c:pt idx="16">
                  <c:v>1.3046370957517563E-2</c:v>
                </c:pt>
                <c:pt idx="17">
                  <c:v>7.6247861193617693E-3</c:v>
                </c:pt>
                <c:pt idx="18">
                  <c:v>6.3883197503428945E-3</c:v>
                </c:pt>
                <c:pt idx="19">
                  <c:v>3.3392104215356887E-3</c:v>
                </c:pt>
                <c:pt idx="20">
                  <c:v>3.6904285062535611E-3</c:v>
                </c:pt>
                <c:pt idx="21">
                  <c:v>2.3599814924849119E-3</c:v>
                </c:pt>
                <c:pt idx="22">
                  <c:v>2.8495040175413851E-3</c:v>
                </c:pt>
                <c:pt idx="23">
                  <c:v>6.0841443173274079E-3</c:v>
                </c:pt>
                <c:pt idx="24">
                  <c:v>5.8286627692899608E-3</c:v>
                </c:pt>
                <c:pt idx="25">
                  <c:v>2.0661629672828661E-3</c:v>
                </c:pt>
                <c:pt idx="26">
                  <c:v>5.5488427161080947E-3</c:v>
                </c:pt>
                <c:pt idx="27">
                  <c:v>1.2193362286474592E-3</c:v>
                </c:pt>
                <c:pt idx="28">
                  <c:v>3.741663609677057E-4</c:v>
                </c:pt>
                <c:pt idx="29">
                  <c:v>6.8134397583786163E-4</c:v>
                </c:pt>
                <c:pt idx="30">
                  <c:v>2.1509212019839728E-4</c:v>
                </c:pt>
                <c:pt idx="31">
                  <c:v>9.8212965757951774E-4</c:v>
                </c:pt>
                <c:pt idx="32">
                  <c:v>8.132027872145511E-4</c:v>
                </c:pt>
                <c:pt idx="33">
                  <c:v>8.068190787764841E-4</c:v>
                </c:pt>
                <c:pt idx="34">
                  <c:v>1.2819671686343003E-3</c:v>
                </c:pt>
                <c:pt idx="35">
                  <c:v>7.3507511268701973E-4</c:v>
                </c:pt>
                <c:pt idx="36">
                  <c:v>1.2529182646009321E-3</c:v>
                </c:pt>
                <c:pt idx="37">
                  <c:v>2.5527080806393265E-4</c:v>
                </c:pt>
                <c:pt idx="38">
                  <c:v>4.0857021423047334E-4</c:v>
                </c:pt>
                <c:pt idx="39">
                  <c:v>7.4819762554532803E-4</c:v>
                </c:pt>
                <c:pt idx="40">
                  <c:v>1.9694839415620424E-4</c:v>
                </c:pt>
                <c:pt idx="41">
                  <c:v>8.5575360772893489E-4</c:v>
                </c:pt>
                <c:pt idx="42">
                  <c:v>2.5537204452163765E-4</c:v>
                </c:pt>
                <c:pt idx="43">
                  <c:v>1.0032606717464531E-3</c:v>
                </c:pt>
                <c:pt idx="44">
                  <c:v>2.4042755236549406E-3</c:v>
                </c:pt>
                <c:pt idx="45">
                  <c:v>0</c:v>
                </c:pt>
                <c:pt idx="46">
                  <c:v>0</c:v>
                </c:pt>
                <c:pt idx="47">
                  <c:v>4.7084229670210171E-4</c:v>
                </c:pt>
                <c:pt idx="48">
                  <c:v>0</c:v>
                </c:pt>
                <c:pt idx="49">
                  <c:v>3.9143545114959612E-4</c:v>
                </c:pt>
                <c:pt idx="50">
                  <c:v>0</c:v>
                </c:pt>
                <c:pt idx="51">
                  <c:v>2.2717147448967487E-4</c:v>
                </c:pt>
                <c:pt idx="52">
                  <c:v>1.0608198941065893E-4</c:v>
                </c:pt>
                <c:pt idx="53">
                  <c:v>4.1418355949091794E-4</c:v>
                </c:pt>
                <c:pt idx="54">
                  <c:v>6.8906259835305292E-4</c:v>
                </c:pt>
                <c:pt idx="55">
                  <c:v>0</c:v>
                </c:pt>
                <c:pt idx="56">
                  <c:v>1.072047547565926E-3</c:v>
                </c:pt>
                <c:pt idx="57">
                  <c:v>3.1768607684895973E-4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C1-4D05-806F-9ED9A0717958}"/>
            </c:ext>
          </c:extLst>
        </c:ser>
        <c:ser>
          <c:idx val="1"/>
          <c:order val="1"/>
          <c:tx>
            <c:strRef>
              <c:f>TLFD_SocRec!$G$10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TLFD_SocRec!$G$11:$G$71</c:f>
              <c:numCache>
                <c:formatCode>0.00%</c:formatCode>
                <c:ptCount val="61"/>
                <c:pt idx="0">
                  <c:v>0.14124805002638646</c:v>
                </c:pt>
                <c:pt idx="1">
                  <c:v>0.11542379985972649</c:v>
                </c:pt>
                <c:pt idx="2">
                  <c:v>7.2551717417917064E-2</c:v>
                </c:pt>
                <c:pt idx="3">
                  <c:v>4.6086899109999975E-2</c:v>
                </c:pt>
                <c:pt idx="4">
                  <c:v>0.16228455658551508</c:v>
                </c:pt>
                <c:pt idx="5">
                  <c:v>8.8819754746221863E-2</c:v>
                </c:pt>
                <c:pt idx="6">
                  <c:v>8.4508204169035317E-2</c:v>
                </c:pt>
                <c:pt idx="7">
                  <c:v>5.2152344438337439E-2</c:v>
                </c:pt>
                <c:pt idx="8">
                  <c:v>6.0797930739523061E-2</c:v>
                </c:pt>
                <c:pt idx="9">
                  <c:v>2.7074654601445963E-2</c:v>
                </c:pt>
                <c:pt idx="10">
                  <c:v>2.5373019158237024E-2</c:v>
                </c:pt>
                <c:pt idx="11">
                  <c:v>2.3792321344565225E-2</c:v>
                </c:pt>
                <c:pt idx="12">
                  <c:v>1.6142472707788406E-2</c:v>
                </c:pt>
                <c:pt idx="13">
                  <c:v>1.2637119617240714E-2</c:v>
                </c:pt>
                <c:pt idx="14">
                  <c:v>1.0382635468258752E-2</c:v>
                </c:pt>
                <c:pt idx="15">
                  <c:v>1.585286092558582E-2</c:v>
                </c:pt>
                <c:pt idx="16">
                  <c:v>1.0194661389986528E-2</c:v>
                </c:pt>
                <c:pt idx="17">
                  <c:v>8.2861525244069638E-3</c:v>
                </c:pt>
                <c:pt idx="18">
                  <c:v>5.1046823712073662E-3</c:v>
                </c:pt>
                <c:pt idx="19">
                  <c:v>3.6374337500252969E-3</c:v>
                </c:pt>
                <c:pt idx="20">
                  <c:v>2.9202790483590633E-3</c:v>
                </c:pt>
                <c:pt idx="21">
                  <c:v>2.4246983905465498E-3</c:v>
                </c:pt>
                <c:pt idx="22">
                  <c:v>2.0075863730079037E-3</c:v>
                </c:pt>
                <c:pt idx="23">
                  <c:v>1.8051656784292911E-3</c:v>
                </c:pt>
                <c:pt idx="24">
                  <c:v>1.2792761253833653E-3</c:v>
                </c:pt>
                <c:pt idx="25">
                  <c:v>1.1904122422688149E-3</c:v>
                </c:pt>
                <c:pt idx="26">
                  <c:v>1.0105397316840141E-3</c:v>
                </c:pt>
                <c:pt idx="27">
                  <c:v>8.2605699683653826E-4</c:v>
                </c:pt>
                <c:pt idx="28">
                  <c:v>6.4464547124661021E-4</c:v>
                </c:pt>
                <c:pt idx="29">
                  <c:v>6.6656473661278338E-4</c:v>
                </c:pt>
                <c:pt idx="30">
                  <c:v>4.0693172229461222E-4</c:v>
                </c:pt>
                <c:pt idx="31">
                  <c:v>3.8630375218045757E-4</c:v>
                </c:pt>
                <c:pt idx="32">
                  <c:v>2.5223261451872423E-4</c:v>
                </c:pt>
                <c:pt idx="33">
                  <c:v>2.4867032281125509E-4</c:v>
                </c:pt>
                <c:pt idx="34">
                  <c:v>2.1275205395376211E-4</c:v>
                </c:pt>
                <c:pt idx="35">
                  <c:v>1.382794420711581E-4</c:v>
                </c:pt>
                <c:pt idx="36">
                  <c:v>1.2916875891820221E-4</c:v>
                </c:pt>
                <c:pt idx="37">
                  <c:v>1.5855986556081978E-4</c:v>
                </c:pt>
                <c:pt idx="38">
                  <c:v>1.6379707534411498E-4</c:v>
                </c:pt>
                <c:pt idx="39">
                  <c:v>1.2427395588850398E-4</c:v>
                </c:pt>
                <c:pt idx="40">
                  <c:v>8.174566534502602E-5</c:v>
                </c:pt>
                <c:pt idx="41">
                  <c:v>8.0922282684903543E-5</c:v>
                </c:pt>
                <c:pt idx="42">
                  <c:v>6.4483282180286162E-5</c:v>
                </c:pt>
                <c:pt idx="43">
                  <c:v>4.9981298706318199E-5</c:v>
                </c:pt>
                <c:pt idx="44">
                  <c:v>6.6600901367450398E-5</c:v>
                </c:pt>
                <c:pt idx="45">
                  <c:v>3.0673389645729089E-5</c:v>
                </c:pt>
                <c:pt idx="46">
                  <c:v>3.8759296945358066E-5</c:v>
                </c:pt>
                <c:pt idx="47">
                  <c:v>3.6218889498923802E-5</c:v>
                </c:pt>
                <c:pt idx="48">
                  <c:v>2.742612386548485E-5</c:v>
                </c:pt>
                <c:pt idx="49">
                  <c:v>1.5694127776645787E-5</c:v>
                </c:pt>
                <c:pt idx="50">
                  <c:v>1.5555752323710527E-5</c:v>
                </c:pt>
                <c:pt idx="51">
                  <c:v>2.2177166033839792E-5</c:v>
                </c:pt>
                <c:pt idx="52">
                  <c:v>6.4511899115851368E-6</c:v>
                </c:pt>
                <c:pt idx="53">
                  <c:v>5.8706923473847779E-7</c:v>
                </c:pt>
                <c:pt idx="54">
                  <c:v>1.3195654374429948E-6</c:v>
                </c:pt>
                <c:pt idx="55">
                  <c:v>4.4030192605385837E-7</c:v>
                </c:pt>
                <c:pt idx="56">
                  <c:v>5.9994881488835262E-6</c:v>
                </c:pt>
                <c:pt idx="57">
                  <c:v>2.0688722626817118E-5</c:v>
                </c:pt>
                <c:pt idx="58">
                  <c:v>1.7732316746099885E-5</c:v>
                </c:pt>
                <c:pt idx="59">
                  <c:v>0</c:v>
                </c:pt>
                <c:pt idx="60">
                  <c:v>6.0013755674464277E-6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C1-4D05-806F-9ED9A0717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398208"/>
        <c:axId val="130148608"/>
      </c:lineChart>
      <c:catAx>
        <c:axId val="58398208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148608"/>
        <c:crosses val="autoZero"/>
        <c:auto val="1"/>
        <c:lblAlgn val="ctr"/>
        <c:lblOffset val="100"/>
        <c:tickLblSkip val="10"/>
        <c:noMultiLvlLbl val="0"/>
      </c:catAx>
      <c:valAx>
        <c:axId val="13014860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39820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TDFD_SocRec!$C$11:$C$71</c:f>
              <c:numCache>
                <c:formatCode>0.00%</c:formatCode>
                <c:ptCount val="61"/>
                <c:pt idx="0">
                  <c:v>2.1581793258237288E-4</c:v>
                </c:pt>
                <c:pt idx="1">
                  <c:v>1.4132563567125416E-3</c:v>
                </c:pt>
                <c:pt idx="2">
                  <c:v>2.3665349844541146E-3</c:v>
                </c:pt>
                <c:pt idx="3">
                  <c:v>3.8505155145574905E-3</c:v>
                </c:pt>
                <c:pt idx="4">
                  <c:v>9.7282952441512076E-3</c:v>
                </c:pt>
                <c:pt idx="5">
                  <c:v>9.5390850415084764E-3</c:v>
                </c:pt>
                <c:pt idx="6">
                  <c:v>1.2144303975221702E-2</c:v>
                </c:pt>
                <c:pt idx="7">
                  <c:v>1.5088570600175169E-2</c:v>
                </c:pt>
                <c:pt idx="8">
                  <c:v>1.011255491500208E-2</c:v>
                </c:pt>
                <c:pt idx="9">
                  <c:v>2.2877773883781021E-2</c:v>
                </c:pt>
                <c:pt idx="10">
                  <c:v>9.7757986346551241E-3</c:v>
                </c:pt>
                <c:pt idx="11">
                  <c:v>8.3908461239534295E-3</c:v>
                </c:pt>
                <c:pt idx="12">
                  <c:v>2.1122636468141692E-2</c:v>
                </c:pt>
                <c:pt idx="13">
                  <c:v>1.8169286116262166E-2</c:v>
                </c:pt>
                <c:pt idx="14">
                  <c:v>1.0874125460800061E-2</c:v>
                </c:pt>
                <c:pt idx="15">
                  <c:v>7.1022752107275915E-3</c:v>
                </c:pt>
                <c:pt idx="16">
                  <c:v>2.6153394623269103E-2</c:v>
                </c:pt>
                <c:pt idx="17">
                  <c:v>1.4776755773111308E-2</c:v>
                </c:pt>
                <c:pt idx="18">
                  <c:v>4.9758939256356334E-2</c:v>
                </c:pt>
                <c:pt idx="19">
                  <c:v>4.6541534233061031E-2</c:v>
                </c:pt>
                <c:pt idx="20">
                  <c:v>4.8080084961462641E-2</c:v>
                </c:pt>
                <c:pt idx="21">
                  <c:v>4.0009520955167341E-2</c:v>
                </c:pt>
                <c:pt idx="22">
                  <c:v>4.0380317701470728E-2</c:v>
                </c:pt>
                <c:pt idx="23">
                  <c:v>2.978997176834227E-2</c:v>
                </c:pt>
                <c:pt idx="24">
                  <c:v>2.4570242990063117E-2</c:v>
                </c:pt>
                <c:pt idx="25">
                  <c:v>1.8332198973965274E-2</c:v>
                </c:pt>
                <c:pt idx="26">
                  <c:v>4.9616693491331208E-2</c:v>
                </c:pt>
                <c:pt idx="27">
                  <c:v>1.6898734307042976E-2</c:v>
                </c:pt>
                <c:pt idx="28">
                  <c:v>1.3024504653098215E-2</c:v>
                </c:pt>
                <c:pt idx="29">
                  <c:v>2.5409380969636922E-2</c:v>
                </c:pt>
                <c:pt idx="30">
                  <c:v>1.493630255188514E-2</c:v>
                </c:pt>
                <c:pt idx="31">
                  <c:v>1.3923888527900061E-2</c:v>
                </c:pt>
                <c:pt idx="32">
                  <c:v>1.1388583209380881E-2</c:v>
                </c:pt>
                <c:pt idx="33">
                  <c:v>8.13347083249049E-3</c:v>
                </c:pt>
                <c:pt idx="34">
                  <c:v>1.3653760390715405E-2</c:v>
                </c:pt>
                <c:pt idx="35">
                  <c:v>1.1464995484158842E-2</c:v>
                </c:pt>
                <c:pt idx="36">
                  <c:v>1.1400338523483999E-2</c:v>
                </c:pt>
                <c:pt idx="37">
                  <c:v>1.0219081184731646E-2</c:v>
                </c:pt>
                <c:pt idx="38">
                  <c:v>1.0744129637350145E-2</c:v>
                </c:pt>
                <c:pt idx="39">
                  <c:v>2.4418235295627774E-3</c:v>
                </c:pt>
                <c:pt idx="40">
                  <c:v>4.2652655717450071E-3</c:v>
                </c:pt>
                <c:pt idx="41">
                  <c:v>3.134897854676241E-3</c:v>
                </c:pt>
                <c:pt idx="42">
                  <c:v>4.7180767943195701E-3</c:v>
                </c:pt>
                <c:pt idx="43">
                  <c:v>1.9841604293581111E-3</c:v>
                </c:pt>
                <c:pt idx="44">
                  <c:v>1.463641335148848E-3</c:v>
                </c:pt>
                <c:pt idx="45">
                  <c:v>3.1612972011236251E-2</c:v>
                </c:pt>
                <c:pt idx="46">
                  <c:v>4.0569862092052402E-3</c:v>
                </c:pt>
                <c:pt idx="47">
                  <c:v>2.3027316924652207E-3</c:v>
                </c:pt>
                <c:pt idx="48">
                  <c:v>1.0258868647506563E-2</c:v>
                </c:pt>
                <c:pt idx="49">
                  <c:v>4.2547438951988431E-3</c:v>
                </c:pt>
                <c:pt idx="50">
                  <c:v>4.3685189168085967E-4</c:v>
                </c:pt>
                <c:pt idx="51">
                  <c:v>6.4247974550560799E-3</c:v>
                </c:pt>
                <c:pt idx="52">
                  <c:v>2.9171589079648864E-3</c:v>
                </c:pt>
                <c:pt idx="53">
                  <c:v>8.6760200957840912E-4</c:v>
                </c:pt>
                <c:pt idx="54">
                  <c:v>1.3334457617232429E-2</c:v>
                </c:pt>
                <c:pt idx="55">
                  <c:v>1.9601505193139911E-4</c:v>
                </c:pt>
                <c:pt idx="56">
                  <c:v>4.8032291529719511E-3</c:v>
                </c:pt>
                <c:pt idx="57">
                  <c:v>1.1937832617094659E-3</c:v>
                </c:pt>
                <c:pt idx="58">
                  <c:v>2.0820343751435208E-3</c:v>
                </c:pt>
                <c:pt idx="59">
                  <c:v>1.1683095105346925E-2</c:v>
                </c:pt>
                <c:pt idx="60">
                  <c:v>8.8397946532188954E-3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6-48A5-AAA5-DA95BA7A82BF}"/>
            </c:ext>
          </c:extLst>
        </c:ser>
        <c:ser>
          <c:idx val="1"/>
          <c:order val="1"/>
          <c:tx>
            <c:strRef>
              <c:f>TDFD_SocRec!$G$10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TDFD_SocRec!$G$11:$G$71</c:f>
              <c:numCache>
                <c:formatCode>0.00%</c:formatCode>
                <c:ptCount val="61"/>
                <c:pt idx="0">
                  <c:v>3.5394121463088552E-3</c:v>
                </c:pt>
                <c:pt idx="1">
                  <c:v>1.5310132416036055E-2</c:v>
                </c:pt>
                <c:pt idx="2">
                  <c:v>1.8295669014746919E-2</c:v>
                </c:pt>
                <c:pt idx="3">
                  <c:v>2.0976140505658523E-2</c:v>
                </c:pt>
                <c:pt idx="4">
                  <c:v>2.3334150894143701E-2</c:v>
                </c:pt>
                <c:pt idx="5">
                  <c:v>2.4762878969100666E-2</c:v>
                </c:pt>
                <c:pt idx="6">
                  <c:v>2.4898678387171039E-2</c:v>
                </c:pt>
                <c:pt idx="7">
                  <c:v>2.4916068172173546E-2</c:v>
                </c:pt>
                <c:pt idx="8">
                  <c:v>2.3904309631589682E-2</c:v>
                </c:pt>
                <c:pt idx="9">
                  <c:v>2.2930758452357616E-2</c:v>
                </c:pt>
                <c:pt idx="10">
                  <c:v>2.1606229242576665E-2</c:v>
                </c:pt>
                <c:pt idx="11">
                  <c:v>1.9832321615667545E-2</c:v>
                </c:pt>
                <c:pt idx="12">
                  <c:v>1.8788412001042407E-2</c:v>
                </c:pt>
                <c:pt idx="13">
                  <c:v>1.6558658886698458E-2</c:v>
                </c:pt>
                <c:pt idx="14">
                  <c:v>1.4839899286459134E-2</c:v>
                </c:pt>
                <c:pt idx="15">
                  <c:v>1.5411883112843109E-2</c:v>
                </c:pt>
                <c:pt idx="16">
                  <c:v>1.3845514457628792E-2</c:v>
                </c:pt>
                <c:pt idx="17">
                  <c:v>1.2548040900343276E-2</c:v>
                </c:pt>
                <c:pt idx="18">
                  <c:v>0.1076267463748003</c:v>
                </c:pt>
                <c:pt idx="19">
                  <c:v>4.1589742687710471E-2</c:v>
                </c:pt>
                <c:pt idx="20">
                  <c:v>3.8399538259297268E-2</c:v>
                </c:pt>
                <c:pt idx="21">
                  <c:v>5.2676359444361498E-2</c:v>
                </c:pt>
                <c:pt idx="22">
                  <c:v>4.4513247212192103E-2</c:v>
                </c:pt>
                <c:pt idx="23">
                  <c:v>3.5266651858165625E-2</c:v>
                </c:pt>
                <c:pt idx="24">
                  <c:v>3.2367122411828479E-2</c:v>
                </c:pt>
                <c:pt idx="25">
                  <c:v>2.8380053475832927E-2</c:v>
                </c:pt>
                <c:pt idx="26">
                  <c:v>2.6333159527474996E-2</c:v>
                </c:pt>
                <c:pt idx="27">
                  <c:v>1.8388669979001591E-2</c:v>
                </c:pt>
                <c:pt idx="28">
                  <c:v>1.9439484486658252E-2</c:v>
                </c:pt>
                <c:pt idx="29">
                  <c:v>1.9369087041246031E-2</c:v>
                </c:pt>
                <c:pt idx="30">
                  <c:v>1.996326240554331E-2</c:v>
                </c:pt>
                <c:pt idx="31">
                  <c:v>1.3158993441951639E-2</c:v>
                </c:pt>
                <c:pt idx="32">
                  <c:v>1.1983613815042695E-2</c:v>
                </c:pt>
                <c:pt idx="33">
                  <c:v>1.3580544983112754E-2</c:v>
                </c:pt>
                <c:pt idx="34">
                  <c:v>1.2075666495012606E-2</c:v>
                </c:pt>
                <c:pt idx="35">
                  <c:v>1.0630609133299461E-2</c:v>
                </c:pt>
                <c:pt idx="36">
                  <c:v>8.1266913771664753E-3</c:v>
                </c:pt>
                <c:pt idx="37">
                  <c:v>5.3205094790681464E-3</c:v>
                </c:pt>
                <c:pt idx="38">
                  <c:v>5.9471062022668454E-3</c:v>
                </c:pt>
                <c:pt idx="39">
                  <c:v>8.6342611494288988E-3</c:v>
                </c:pt>
                <c:pt idx="40">
                  <c:v>5.8147082682633543E-3</c:v>
                </c:pt>
                <c:pt idx="41">
                  <c:v>3.9834682829211921E-3</c:v>
                </c:pt>
                <c:pt idx="42">
                  <c:v>3.4790551871442419E-3</c:v>
                </c:pt>
                <c:pt idx="43">
                  <c:v>3.5088770830709157E-3</c:v>
                </c:pt>
                <c:pt idx="44">
                  <c:v>4.6352742603744087E-3</c:v>
                </c:pt>
                <c:pt idx="45">
                  <c:v>2.8592410547820567E-3</c:v>
                </c:pt>
                <c:pt idx="46">
                  <c:v>3.3932598069020044E-3</c:v>
                </c:pt>
                <c:pt idx="47">
                  <c:v>2.3599620381868211E-3</c:v>
                </c:pt>
                <c:pt idx="48">
                  <c:v>2.1478721219968374E-3</c:v>
                </c:pt>
                <c:pt idx="49">
                  <c:v>3.8047312981720799E-3</c:v>
                </c:pt>
                <c:pt idx="50">
                  <c:v>2.0670869425196583E-3</c:v>
                </c:pt>
                <c:pt idx="51">
                  <c:v>1.8741284874254729E-3</c:v>
                </c:pt>
                <c:pt idx="52">
                  <c:v>1.3468770096912678E-3</c:v>
                </c:pt>
                <c:pt idx="53">
                  <c:v>1.4639724541810673E-3</c:v>
                </c:pt>
                <c:pt idx="54">
                  <c:v>1.3280656280291732E-3</c:v>
                </c:pt>
                <c:pt idx="55">
                  <c:v>2.3150807411785467E-3</c:v>
                </c:pt>
                <c:pt idx="56">
                  <c:v>1.1423633686952273E-3</c:v>
                </c:pt>
                <c:pt idx="57">
                  <c:v>1.2622470505311615E-3</c:v>
                </c:pt>
                <c:pt idx="58">
                  <c:v>1.1262841601747296E-3</c:v>
                </c:pt>
                <c:pt idx="59">
                  <c:v>1.0201924095922256E-3</c:v>
                </c:pt>
                <c:pt idx="60">
                  <c:v>1.0804888989060222E-3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6-48A5-AAA5-DA95BA7A8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378176"/>
        <c:axId val="130150912"/>
      </c:lineChart>
      <c:catAx>
        <c:axId val="12337817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150912"/>
        <c:crosses val="autoZero"/>
        <c:auto val="1"/>
        <c:lblAlgn val="ctr"/>
        <c:lblOffset val="100"/>
        <c:tickLblSkip val="10"/>
        <c:noMultiLvlLbl val="0"/>
      </c:catAx>
      <c:valAx>
        <c:axId val="13015091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37817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3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4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5.xml" Type="http://schemas.openxmlformats.org/officeDocument/2006/relationships/chart"/>
</Relationships>

</file>

<file path=xl/drawings/_rels/drawing6.xml.rels><?xml version="1.0" encoding="UTF-8" standalone="no"?>
<Relationships xmlns="http://schemas.openxmlformats.org/package/2006/relationships">
<Relationship Id="rId1" Target="../charts/chart6.xml" Type="http://schemas.openxmlformats.org/officeDocument/2006/relationships/chart"/>
</Relationships>

</file>

<file path=xl/drawings/_rels/drawing7.xml.rels><?xml version="1.0" encoding="UTF-8" standalone="no"?>
<Relationships xmlns="http://schemas.openxmlformats.org/package/2006/relationships">
<Relationship Id="rId1" Target="../charts/chart7.xml" Type="http://schemas.openxmlformats.org/officeDocument/2006/relationships/chart"/>
</Relationships>

</file>

<file path=xl/drawings/_rels/drawing8.xml.rels><?xml version="1.0" encoding="UTF-8" standalone="no"?>
<Relationships xmlns="http://schemas.openxmlformats.org/package/2006/relationships">
<Relationship Id="rId1" Target="../charts/chart8.xml" Type="http://schemas.openxmlformats.org/officeDocument/2006/relationships/chart"/>
</Relationships>

</file>

<file path=xl/drawings/_rels/drawing9.xml.rels><?xml version="1.0" encoding="UTF-8" standalone="no"?>
<Relationships xmlns="http://schemas.openxmlformats.org/package/2006/relationships">
<Relationship Id="rId1" Target="../charts/chart9.xml" Type="http://schemas.openxmlformats.org/officeDocument/2006/relationships/chart"/>
</Relationships>

</file>

<file path=xl/drawings/_rels/drawing10.xml.rels><?xml version="1.0" encoding="UTF-8" standalone="no"?>
<Relationships xmlns="http://schemas.openxmlformats.org/package/2006/relationships">
<Relationship Id="rId1" Target="../charts/chart10.xml" Type="http://schemas.openxmlformats.org/officeDocument/2006/relationships/chart"/>
</Relationships>

</file>

<file path=xl/drawings/_rels/drawing11.xml.rels><?xml version="1.0" encoding="UTF-8" standalone="no"?>
<Relationships xmlns="http://schemas.openxmlformats.org/package/2006/relationships">
<Relationship Id="rId1" Target="../charts/chart11.xml" Type="http://schemas.openxmlformats.org/officeDocument/2006/relationships/chart"/>
</Relationships>

</file>

<file path=xl/drawings/_rels/drawing12.xml.rels><?xml version="1.0" encoding="UTF-8" standalone="no"?>
<Relationships xmlns="http://schemas.openxmlformats.org/package/2006/relationships">
<Relationship Id="rId1" Target="../charts/chart12.xml" Type="http://schemas.openxmlformats.org/officeDocument/2006/relationships/chart"/>
</Relationships>

</file>

<file path=xl/drawings/_rels/drawing13.xml.rels><?xml version="1.0" encoding="UTF-8" standalone="no"?>
<Relationships xmlns="http://schemas.openxmlformats.org/package/2006/relationships">
<Relationship Id="rId1" Target="../charts/chart13.xml" Type="http://schemas.openxmlformats.org/officeDocument/2006/relationships/chart"/>
</Relationships>

</file>

<file path=xl/drawings/_rels/drawing14.xml.rels><?xml version="1.0" encoding="UTF-8" standalone="no"?>
<Relationships xmlns="http://schemas.openxmlformats.org/package/2006/relationships">
<Relationship Id="rId1" Target="../charts/chart14.xml" Type="http://schemas.openxmlformats.org/officeDocument/2006/relationships/chart"/>
</Relationships>

</file>

<file path=xl/drawings/_rels/drawing15.xml.rels><?xml version="1.0" encoding="UTF-8" standalone="no"?>
<Relationships xmlns="http://schemas.openxmlformats.org/package/2006/relationships">
<Relationship Id="rId1" Target="../charts/chart15.xml" Type="http://schemas.openxmlformats.org/officeDocument/2006/relationships/chart"/>
</Relationships>

</file>

<file path=xl/drawings/_rels/drawing16.xml.rels><?xml version="1.0" encoding="UTF-8" standalone="no"?>
<Relationships xmlns="http://schemas.openxmlformats.org/package/2006/relationships">
<Relationship Id="rId1" Target="../charts/chart16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5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<Relationship Id="rId1" Target="../drawings/drawing6.xml" Type="http://schemas.openxmlformats.org/officeDocument/2006/relationships/drawing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drawings/drawing7.xml" Type="http://schemas.openxmlformats.org/officeDocument/2006/relationships/drawing"/>
</Relationships>

</file>

<file path=xl/worksheets/_rels/sheet8.xml.rels><?xml version="1.0" encoding="UTF-8" standalone="no"?>
<Relationships xmlns="http://schemas.openxmlformats.org/package/2006/relationships">
<Relationship Id="rId1" Target="../drawings/drawing8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drawings/drawing9.xml" Type="http://schemas.openxmlformats.org/officeDocument/2006/relationships/drawing"/>
</Relationships>

</file>

<file path=xl/worksheets/_rels/sheet10.xml.rels><?xml version="1.0" encoding="UTF-8" standalone="no"?>
<Relationships xmlns="http://schemas.openxmlformats.org/package/2006/relationships">
<Relationship Id="rId1" Target="../drawings/drawing10.xml" Type="http://schemas.openxmlformats.org/officeDocument/2006/relationships/drawing"/>
</Relationships>

</file>

<file path=xl/worksheets/_rels/sheet11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drawings/drawing11.xml" Type="http://schemas.openxmlformats.org/officeDocument/2006/relationships/drawing"/>
</Relationships>

</file>

<file path=xl/worksheets/_rels/sheet12.xml.rels><?xml version="1.0" encoding="UTF-8" standalone="no"?>
<Relationships xmlns="http://schemas.openxmlformats.org/package/2006/relationships">
<Relationship Id="rId1" Target="../drawings/drawing12.xml" Type="http://schemas.openxmlformats.org/officeDocument/2006/relationships/drawing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Relationship Id="rId2" Target="../drawings/drawing13.xml" Type="http://schemas.openxmlformats.org/officeDocument/2006/relationships/drawing"/>
</Relationships>

</file>

<file path=xl/worksheets/_rels/sheet14.xml.rels><?xml version="1.0" encoding="UTF-8" standalone="no"?>
<Relationships xmlns="http://schemas.openxmlformats.org/package/2006/relationships">
<Relationship Id="rId1" Target="../drawings/drawing14.xml" Type="http://schemas.openxmlformats.org/officeDocument/2006/relationships/drawing"/>
</Relationships>

</file>

<file path=xl/worksheets/_rels/sheet15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Relationship Id="rId2" Target="../drawings/drawing15.xml" Type="http://schemas.openxmlformats.org/officeDocument/2006/relationships/drawing"/>
</Relationships>

</file>

<file path=xl/worksheets/_rels/sheet16.xml.rels><?xml version="1.0" encoding="UTF-8" standalone="no"?>
<Relationships xmlns="http://schemas.openxmlformats.org/package/2006/relationships">
<Relationship Id="rId1" Target="../drawings/drawing16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AB102"/>
  <sheetViews>
    <sheetView tabSelected="1" workbookViewId="0">
      <selection activeCell="Y24" sqref="Y24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20" max="20" bestFit="true" customWidth="true" width="15.28515625" collapsed="true"/>
    <col min="21" max="21" bestFit="true" customWidth="true" width="14.28515625" collapsed="true"/>
    <col min="23" max="23" bestFit="true" customWidth="true" width="12.28515625" collapsed="true"/>
    <col min="25" max="25" bestFit="true" customWidth="true" width="14.28515625" collapsed="true"/>
    <col min="27" max="27" bestFit="true" customWidth="true" width="12.28515625" collapsed="true"/>
  </cols>
  <sheetData>
    <row r="1" spans="1:27" x14ac:dyDescent="0.25">
      <c r="A1" t="s">
        <v>1</v>
      </c>
    </row>
    <row r="2" spans="1:27" x14ac:dyDescent="0.25">
      <c r="A2" t="s">
        <v>19</v>
      </c>
    </row>
    <row r="3" spans="1:27" x14ac:dyDescent="0.25">
      <c r="A3" t="s">
        <v>20</v>
      </c>
    </row>
    <row r="4" spans="1:27" x14ac:dyDescent="0.25">
      <c r="A4" t="s">
        <v>4</v>
      </c>
    </row>
    <row r="5" spans="1:27" x14ac:dyDescent="0.25">
      <c r="A5" t="s">
        <v>6</v>
      </c>
    </row>
    <row r="7" spans="1:27" x14ac:dyDescent="0.25">
      <c r="A7" t="s">
        <v>9</v>
      </c>
      <c r="T7" t="s">
        <v>23</v>
      </c>
    </row>
    <row r="8" spans="1:27" x14ac:dyDescent="0.25">
      <c r="U8" t="s">
        <v>17</v>
      </c>
      <c r="Y8" t="s">
        <v>13</v>
      </c>
    </row>
    <row ht="15.75" r="9" spans="1:27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  <c r="S9" t="s">
        <v>40</v>
      </c>
      <c r="T9" s="374" t="s">
        <v>39</v>
      </c>
      <c r="U9" s="374" t="s">
        <v>25</v>
      </c>
      <c r="V9" s="374" t="s">
        <v>24</v>
      </c>
      <c r="W9" s="374" t="s">
        <v>33</v>
      </c>
      <c r="X9" s="374"/>
      <c r="Y9" s="374" t="s">
        <v>25</v>
      </c>
      <c r="Z9" s="374" t="s">
        <v>24</v>
      </c>
      <c r="AA9" s="374" t="s">
        <v>33</v>
      </c>
    </row>
    <row r="10" spans="1:27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  <c r="S10" t="s">
        <v>41</v>
      </c>
      <c r="T10" t="s">
        <v>26</v>
      </c>
      <c r="U10" s="373">
        <f>B102</f>
        <v>5883365.0002111141</v>
      </c>
      <c r="V10" s="6">
        <f>K11</f>
        <v>7.371756103631701</v>
      </c>
      <c r="W10" s="373">
        <f>U10*V10</f>
        <v>43370731.850199401</v>
      </c>
      <c r="Y10" s="373">
        <f>F102</f>
        <v>5808739.9489041036</v>
      </c>
      <c r="Z10" s="6">
        <f>L11</f>
        <v>7.0540576407056159</v>
      </c>
      <c r="AA10" s="373">
        <f>Y10*Z10</f>
        <v>40975186.419438943</v>
      </c>
    </row>
    <row r="11" spans="1:27" x14ac:dyDescent="0.25">
      <c r="A11">
        <v>0</v>
      </c>
      <c r="B11" s="6" t="n">
        <v>224956.8544271912</v>
      </c>
      <c r="C11" s="9">
        <f>B11/B$102</f>
        <v>3.8236086732527902E-2</v>
      </c>
      <c r="E11" s="10">
        <v>0</v>
      </c>
      <c r="F11" s="100" t="n">
        <v>767947.4637063877</v>
      </c>
      <c r="G11" s="9">
        <f>F11/F$102</f>
        <v>0.13274806397602357</v>
      </c>
      <c r="K11" s="6" t="n">
        <v>7.371756103631701</v>
      </c>
      <c r="L11" s="6" t="n">
        <v>7.1977067210478065</v>
      </c>
      <c r="S11" t="s">
        <v>42</v>
      </c>
      <c r="T11" t="s">
        <v>27</v>
      </c>
      <c r="U11" s="373">
        <f>TLFD_Work!B102</f>
        <v>2267462.7752703466</v>
      </c>
      <c r="V11" s="6">
        <f>TLFD_Work!K11</f>
        <v>10.388893204831918</v>
      </c>
      <c r="W11" s="373">
        <f ref="W11:W16" si="0" t="shared">U11*V11</f>
        <v>23556428.618215427</v>
      </c>
      <c r="Y11" s="373">
        <f>TLFD_Work!F102</f>
        <v>2264705.1405778541</v>
      </c>
      <c r="Z11" s="6">
        <f>TLFD_Work!L11</f>
        <v>10.189088259777556</v>
      </c>
      <c r="AA11" s="373">
        <f ref="AA11:AA16" si="1" t="shared">Y11*Z11</f>
        <v>23075280.559719693</v>
      </c>
    </row>
    <row r="12" spans="1:27" x14ac:dyDescent="0.25">
      <c r="A12">
        <v>1</v>
      </c>
      <c r="B12" s="6" t="n">
        <v>342386.5286541552</v>
      </c>
      <c r="C12" s="9">
        <f>B12/B$102</f>
        <v>5.8195697299397414E-2</v>
      </c>
      <c r="E12" s="11">
        <v>1</v>
      </c>
      <c r="F12" s="101" t="n">
        <v>634386.4483597643</v>
      </c>
      <c r="G12" s="9">
        <f>F12/F$102</f>
        <v>0.10930015594555138</v>
      </c>
      <c r="K12" s="6"/>
      <c r="L12" s="370"/>
      <c r="S12" t="s">
        <v>43</v>
      </c>
      <c r="T12" t="s">
        <v>28</v>
      </c>
      <c r="U12" s="373">
        <f>TLFD_School!B102</f>
        <v>871719.52693974599</v>
      </c>
      <c r="V12" s="6">
        <f>TLFD_School!K11</f>
        <v>6.0348967635956425</v>
      </c>
      <c r="W12" s="373">
        <f si="0" t="shared"/>
        <v>5260737.351891798</v>
      </c>
      <c r="Y12" s="373">
        <f>TLFD_School!F102</f>
        <v>826677.36431529373</v>
      </c>
      <c r="Z12" s="6">
        <f>TLFD_School!L11</f>
        <v>4.7649013983640565</v>
      </c>
      <c r="AA12" s="373">
        <f si="1" t="shared"/>
        <v>3939036.1292218557</v>
      </c>
    </row>
    <row r="13" spans="1:27" x14ac:dyDescent="0.25">
      <c r="A13">
        <v>2</v>
      </c>
      <c r="B13" s="6" t="n">
        <v>417078.9816587072</v>
      </c>
      <c r="C13" s="9">
        <f ref="C13:C76" si="2" t="shared">B13/B$102</f>
        <v>7.0891230043307024E-2</v>
      </c>
      <c r="E13" s="12">
        <v>2</v>
      </c>
      <c r="F13" s="102" t="n">
        <v>395429.1545816073</v>
      </c>
      <c r="G13" s="9">
        <f ref="G13:G76" si="3" t="shared">F13/F$102</f>
        <v>6.8131997476536046E-2</v>
      </c>
      <c r="S13" t="s">
        <v>44</v>
      </c>
      <c r="T13" t="s">
        <v>29</v>
      </c>
      <c r="U13" s="373">
        <f>TLFD_Escort!B102</f>
        <v>1243423.8409518562</v>
      </c>
      <c r="V13" s="6">
        <f>TLFD_Escort!K11</f>
        <v>6.8939569474179567</v>
      </c>
      <c r="W13" s="373">
        <f si="0" t="shared"/>
        <v>8572110.4269151688</v>
      </c>
      <c r="Y13" s="373">
        <f>TLFD_Escort!F102</f>
        <v>1236756.915389671</v>
      </c>
      <c r="Z13" s="6">
        <f>TLFD_Escort!L11</f>
        <v>6.1558477624768253</v>
      </c>
      <c r="AA13" s="373">
        <f si="1" t="shared"/>
        <v>7613287.2903292468</v>
      </c>
    </row>
    <row r="14" spans="1:27" x14ac:dyDescent="0.25">
      <c r="A14">
        <v>3</v>
      </c>
      <c r="B14" s="6" t="n">
        <v>572291.9908904072</v>
      </c>
      <c r="C14" s="9">
        <f si="2" t="shared"/>
        <v>9.7272902644978093E-2</v>
      </c>
      <c r="E14" s="13">
        <v>3</v>
      </c>
      <c r="F14" s="103" t="n">
        <v>251012.26485438578</v>
      </c>
      <c r="G14" s="9">
        <f si="3" t="shared"/>
        <v>4.3212866818726693E-2</v>
      </c>
      <c r="S14" t="s">
        <v>45</v>
      </c>
      <c r="T14" t="s">
        <v>30</v>
      </c>
      <c r="U14" s="373">
        <f>TLFD_PerBus!B102</f>
        <v>1836353.6347289735</v>
      </c>
      <c r="V14" s="6">
        <f>TLFD_PerBus!K11</f>
        <v>7.1866380900758235</v>
      </c>
      <c r="W14" s="373">
        <f si="0" t="shared"/>
        <v>13197208.978192426</v>
      </c>
      <c r="Y14" s="373">
        <f>TLFD_PerBus!F102</f>
        <v>1843025.8385604217</v>
      </c>
      <c r="Z14" s="6">
        <f>TLFD_PerBus!L11</f>
        <v>5.7846058086865924</v>
      </c>
      <c r="AA14" s="373">
        <f si="1" t="shared"/>
        <v>10661177.971296092</v>
      </c>
    </row>
    <row r="15" spans="1:27" x14ac:dyDescent="0.25">
      <c r="A15">
        <v>4</v>
      </c>
      <c r="B15" s="6" t="n">
        <v>993451.0432055457</v>
      </c>
      <c r="C15" s="9">
        <f si="2" t="shared"/>
        <v>0.16885762538443519</v>
      </c>
      <c r="E15" s="14">
        <v>4</v>
      </c>
      <c r="F15" s="104" t="n">
        <v>830371.1001130003</v>
      </c>
      <c r="G15" s="9">
        <f si="3" t="shared"/>
        <v>0.1419701598201632</v>
      </c>
      <c r="S15" t="s">
        <v>46</v>
      </c>
      <c r="T15" t="s">
        <v>31</v>
      </c>
      <c r="U15" s="373">
        <f>TLFD_Shop!B102</f>
        <v>2029939.8207113619</v>
      </c>
      <c r="V15" s="6">
        <f>TLFD_Shop!K11</f>
        <v>5.9155464547576937</v>
      </c>
      <c r="W15" s="373">
        <f si="0" t="shared"/>
        <v>12008203.309780566</v>
      </c>
      <c r="Y15" s="373">
        <f>TLFD_Shop!F102</f>
        <v>2025952.0332011459</v>
      </c>
      <c r="Z15" s="6">
        <f>TLFD_Shop!L11</f>
        <v>5.302323409649115</v>
      </c>
      <c r="AA15" s="373">
        <f si="1" t="shared"/>
        <v>10742252.892468657</v>
      </c>
    </row>
    <row r="16" spans="1:27" x14ac:dyDescent="0.25">
      <c r="A16">
        <v>5</v>
      </c>
      <c r="B16" s="6" t="n">
        <v>595252.5438308496</v>
      </c>
      <c r="C16" s="9">
        <f si="2" t="shared"/>
        <v>0.1011755251985029</v>
      </c>
      <c r="E16" s="15">
        <v>5</v>
      </c>
      <c r="F16" s="105" t="n">
        <v>456494.3306178341</v>
      </c>
      <c r="G16" s="9">
        <f si="3" t="shared"/>
        <v>7.9302782579462217E-2</v>
      </c>
      <c r="S16" t="s">
        <v>34</v>
      </c>
      <c r="T16" t="s">
        <v>48</v>
      </c>
      <c r="U16" s="6">
        <f>TLFD_Meal!B102</f>
        <v>827729.88400841015</v>
      </c>
      <c r="V16" s="6">
        <f>TLFD_Meal!K11</f>
        <v>5.1336132323735608</v>
      </c>
      <c r="W16" s="373">
        <f si="0" t="shared"/>
        <v>4249245.0853766073</v>
      </c>
      <c r="Y16" s="6">
        <f>TLFD_Meal!F102</f>
        <v>827468.79129024758</v>
      </c>
      <c r="Z16" s="6">
        <f>TLFD_Meal!L11</f>
        <v>5.0278657161703038</v>
      </c>
      <c r="AA16" s="373">
        <f si="1" t="shared"/>
        <v>4160401.9669291163</v>
      </c>
    </row>
    <row r="17" spans="1:28" x14ac:dyDescent="0.25">
      <c r="A17">
        <v>6</v>
      </c>
      <c r="B17" s="6" t="n">
        <v>664889.5903124817</v>
      </c>
      <c r="C17" s="9">
        <f si="2" t="shared"/>
        <v>0.11301178667116919</v>
      </c>
      <c r="E17" s="16">
        <v>6</v>
      </c>
      <c r="F17" s="106" t="n">
        <v>454278.19831653626</v>
      </c>
      <c r="G17" s="9">
        <f si="3" t="shared"/>
        <v>7.5718338791452372E-2</v>
      </c>
      <c r="S17" t="s">
        <v>47</v>
      </c>
      <c r="T17" t="s">
        <v>32</v>
      </c>
      <c r="U17" s="373">
        <f>TLFD_SocRec!B102</f>
        <v>1706527.5604909635</v>
      </c>
      <c r="V17" s="6">
        <f>TLFD_SocRec!K11</f>
        <v>6.8425498388975505</v>
      </c>
      <c r="W17" s="373">
        <f>U17*V17</f>
        <v>11676999.884111673</v>
      </c>
      <c r="Y17" s="373">
        <f>TLFD_SocRec!F102</f>
        <v>1703376.6050531855</v>
      </c>
      <c r="Z17" s="6">
        <f>TLFD_SocRec!L11</f>
        <v>5.7117745152930635</v>
      </c>
      <c r="AA17" s="373">
        <f>Y17*Z17</f>
        <v>9729303.0826892033</v>
      </c>
    </row>
    <row r="18" spans="1:28" x14ac:dyDescent="0.25">
      <c r="A18">
        <v>7</v>
      </c>
      <c r="B18" s="6" t="n">
        <v>286937.5317732772</v>
      </c>
      <c r="C18" s="9">
        <f si="2" t="shared"/>
        <v>4.8770989350988926E-2</v>
      </c>
      <c r="E18" s="17">
        <v>7</v>
      </c>
      <c r="F18" s="107" t="n">
        <v>291775.00044503756</v>
      </c>
      <c r="G18" s="9">
        <f si="3" t="shared"/>
        <v>4.9376800416304101E-2</v>
      </c>
      <c r="T18" s="375" t="s">
        <v>35</v>
      </c>
      <c r="U18" s="376">
        <f>SUM(U10:U15)+U17</f>
        <v>15838792.159304362</v>
      </c>
      <c r="V18" s="377">
        <f>W18/U18</f>
        <v>7.4274868459712966</v>
      </c>
      <c r="W18" s="376">
        <f>SUM(W10:W15)+W17</f>
        <v>117642420.41930646</v>
      </c>
      <c r="X18" s="375"/>
      <c r="Y18" s="376">
        <f>SUM(Y10:Y15)+Y17</f>
        <v>15709233.846001677</v>
      </c>
      <c r="Z18" s="377">
        <f>AA18/Y18</f>
        <v>6.7944449354753278</v>
      </c>
      <c r="AA18" s="376">
        <f>SUM(AA10:AA15)+AA17</f>
        <v>106735524.3451637</v>
      </c>
      <c r="AB18" t="s">
        <v>38</v>
      </c>
    </row>
    <row r="19" spans="1:28" x14ac:dyDescent="0.25">
      <c r="A19">
        <v>8</v>
      </c>
      <c r="B19" s="6" t="n">
        <v>312170.6787957893</v>
      </c>
      <c r="C19" s="9">
        <f si="2" t="shared"/>
        <v>5.3059886439917908E-2</v>
      </c>
      <c r="E19" s="18">
        <v>8</v>
      </c>
      <c r="F19" s="108" t="n">
        <v>296328.47696678486</v>
      </c>
      <c r="G19" s="9">
        <f si="3" t="shared"/>
        <v>5.5503319819802527E-2</v>
      </c>
      <c r="S19" s="375" t="s">
        <v>36</v>
      </c>
      <c r="U19" s="378">
        <f>U18+U16</f>
        <v>16666522.043312771</v>
      </c>
      <c r="V19" s="377">
        <f>W19/U19</f>
        <v>7.3135633930049933</v>
      </c>
      <c r="W19" s="379">
        <f>W18+W16</f>
        <v>121891665.50468306</v>
      </c>
      <c r="X19" s="375"/>
      <c r="Y19" s="378">
        <f>Y18+Y16</f>
        <v>16536702.637291925</v>
      </c>
      <c r="Z19" s="377">
        <f>AA19/Y19</f>
        <v>6.7060482820808165</v>
      </c>
      <c r="AA19" s="379">
        <f>AA18+AA16</f>
        <v>110895926.31209283</v>
      </c>
      <c r="AB19" t="s">
        <v>37</v>
      </c>
    </row>
    <row r="20" spans="1:28" x14ac:dyDescent="0.25">
      <c r="A20">
        <v>9</v>
      </c>
      <c r="B20" s="6" t="n">
        <v>161831.5634316459</v>
      </c>
      <c r="C20" s="9">
        <f si="2" t="shared"/>
        <v>2.7506633266139165E-2</v>
      </c>
      <c r="E20" s="19">
        <v>9</v>
      </c>
      <c r="F20" s="109" t="n">
        <v>167450.33149595652</v>
      </c>
      <c r="G20" s="9">
        <f si="3" t="shared"/>
        <v>2.5042507910845599E-2</v>
      </c>
    </row>
    <row r="21" spans="1:28" x14ac:dyDescent="0.25">
      <c r="A21">
        <v>10</v>
      </c>
      <c r="B21" s="6" t="n">
        <v>303426.1524707331</v>
      </c>
      <c r="C21" s="9">
        <f si="2" t="shared"/>
        <v>5.1573572684993227E-2</v>
      </c>
      <c r="E21" s="20">
        <v>10</v>
      </c>
      <c r="F21" s="110" t="n">
        <v>150925.46791018735</v>
      </c>
      <c r="G21" s="9">
        <f si="3" t="shared"/>
        <v>2.3863429348111705E-2</v>
      </c>
    </row>
    <row r="22" spans="1:28" x14ac:dyDescent="0.25">
      <c r="A22">
        <v>11</v>
      </c>
      <c r="B22" s="6" t="n">
        <v>107277.2810151207</v>
      </c>
      <c r="C22" s="9">
        <f si="2" t="shared"/>
        <v>1.8234000612110796E-2</v>
      </c>
      <c r="E22" s="21">
        <v>11</v>
      </c>
      <c r="F22" s="111" t="n">
        <v>135254.63209531474</v>
      </c>
      <c r="G22" s="9">
        <f si="3" t="shared"/>
        <v>2.4271901896710756E-2</v>
      </c>
    </row>
    <row r="23" spans="1:28" x14ac:dyDescent="0.25">
      <c r="A23">
        <v>12</v>
      </c>
      <c r="B23" s="6" t="n">
        <v>68941.0940805081</v>
      </c>
      <c r="C23" s="9">
        <f si="2" t="shared"/>
        <v>1.1717969916541686E-2</v>
      </c>
      <c r="E23" s="22">
        <v>12</v>
      </c>
      <c r="F23" s="112" t="n">
        <v>124651.59936725635</v>
      </c>
      <c r="G23" s="9">
        <f si="3" t="shared"/>
        <v>2.1991835972113179E-2</v>
      </c>
    </row>
    <row r="24" spans="1:28" x14ac:dyDescent="0.25">
      <c r="A24">
        <v>13</v>
      </c>
      <c r="B24" s="6" t="n">
        <v>67934.8487846541</v>
      </c>
      <c r="C24" s="9">
        <f si="2" t="shared"/>
        <v>1.1546937642355417E-2</v>
      </c>
      <c r="E24" s="23">
        <v>13</v>
      </c>
      <c r="F24" s="113" t="n">
        <v>96205.14698698252</v>
      </c>
      <c r="G24" s="9">
        <f si="3" t="shared"/>
        <v>1.636154473290332E-2</v>
      </c>
    </row>
    <row r="25" spans="1:28" x14ac:dyDescent="0.25">
      <c r="A25">
        <v>14</v>
      </c>
      <c r="B25" s="6" t="n">
        <v>79263.6666798205</v>
      </c>
      <c r="C25" s="9">
        <f si="2" t="shared"/>
        <v>1.3472505390533523E-2</v>
      </c>
      <c r="E25" s="24">
        <v>14</v>
      </c>
      <c r="F25" s="114" t="n">
        <v>98261.40451837154</v>
      </c>
      <c r="G25" s="9">
        <f si="3" t="shared"/>
        <v>1.4850287941314997E-2</v>
      </c>
    </row>
    <row r="26" spans="1:28" x14ac:dyDescent="0.25">
      <c r="A26">
        <v>15</v>
      </c>
      <c r="B26" s="6" t="n">
        <v>68297.1959524934</v>
      </c>
      <c r="C26" s="9">
        <f si="2" t="shared"/>
        <v>1.1608526064597842E-2</v>
      </c>
      <c r="E26" s="25">
        <v>15</v>
      </c>
      <c r="F26" s="115" t="n">
        <v>96840.61881469139</v>
      </c>
      <c r="G26" s="9">
        <f si="3" t="shared"/>
        <v>1.7112818273255843E-2</v>
      </c>
    </row>
    <row r="27" spans="1:28" x14ac:dyDescent="0.25">
      <c r="A27">
        <v>16</v>
      </c>
      <c r="B27" s="6" t="n">
        <v>104819.5152228798</v>
      </c>
      <c r="C27" s="9">
        <f si="2" t="shared"/>
        <v>1.7816252301041755E-2</v>
      </c>
      <c r="E27" s="26">
        <v>16</v>
      </c>
      <c r="F27" s="116" t="n">
        <v>92431.94187163586</v>
      </c>
      <c r="G27" s="9">
        <f si="3" t="shared"/>
        <v>1.6432866316286893E-2</v>
      </c>
    </row>
    <row r="28" spans="1:28" x14ac:dyDescent="0.25">
      <c r="A28">
        <v>17</v>
      </c>
      <c r="B28" s="6" t="n">
        <v>71057.2946511975</v>
      </c>
      <c r="C28" s="9">
        <f si="2" t="shared"/>
        <v>1.2077662128500907E-2</v>
      </c>
      <c r="E28" s="27">
        <v>17</v>
      </c>
      <c r="F28" s="117" t="n">
        <v>65294.16884128329</v>
      </c>
      <c r="G28" s="9">
        <f si="3" t="shared"/>
        <v>1.0721381771628714E-2</v>
      </c>
    </row>
    <row r="29" spans="1:28" x14ac:dyDescent="0.25">
      <c r="A29">
        <v>18</v>
      </c>
      <c r="B29" s="6" t="n">
        <v>62294.8413564175</v>
      </c>
      <c r="C29" s="9">
        <f si="2" t="shared"/>
        <v>1.0588301312970071E-2</v>
      </c>
      <c r="E29" s="28">
        <v>18</v>
      </c>
      <c r="F29" s="118" t="n">
        <v>58289.044971533585</v>
      </c>
      <c r="G29" s="9">
        <f si="3" t="shared"/>
        <v>8.5422853476653671E-3</v>
      </c>
    </row>
    <row r="30" spans="1:28" x14ac:dyDescent="0.25">
      <c r="A30">
        <v>19</v>
      </c>
      <c r="B30" s="6" t="n">
        <v>31455.8747062833</v>
      </c>
      <c r="C30" s="9">
        <f si="2" t="shared"/>
        <v>5.3465788209901242E-3</v>
      </c>
      <c r="E30" s="29">
        <v>19</v>
      </c>
      <c r="F30" s="119" t="n">
        <v>41301.73166423995</v>
      </c>
      <c r="G30" s="9">
        <f si="3" t="shared"/>
        <v>7.3911122741349864E-3</v>
      </c>
    </row>
    <row r="31" spans="1:28" x14ac:dyDescent="0.25">
      <c r="A31">
        <v>20</v>
      </c>
      <c r="B31" s="6" t="n">
        <v>31251.3498934255</v>
      </c>
      <c r="C31" s="9">
        <f si="2" t="shared"/>
        <v>5.3118155838205007E-3</v>
      </c>
      <c r="E31" s="30">
        <v>20</v>
      </c>
      <c r="F31" s="120" t="n">
        <v>43130.605416081264</v>
      </c>
      <c r="G31" s="9">
        <f si="3" t="shared"/>
        <v>6.3467297591034777E-3</v>
      </c>
    </row>
    <row r="32" spans="1:28" x14ac:dyDescent="0.25">
      <c r="A32">
        <v>21</v>
      </c>
      <c r="B32" s="6" t="n">
        <v>30265.1183943176</v>
      </c>
      <c r="C32" s="9">
        <f si="2" t="shared"/>
        <v>5.1441850698081097E-3</v>
      </c>
      <c r="E32" s="31">
        <v>21</v>
      </c>
      <c r="F32" s="121" t="n">
        <v>31858.13690070684</v>
      </c>
      <c r="G32" s="9">
        <f si="3" t="shared"/>
        <v>5.4894107510072522E-3</v>
      </c>
    </row>
    <row r="33" spans="1:7" x14ac:dyDescent="0.25">
      <c r="A33">
        <v>22</v>
      </c>
      <c r="B33" s="6" t="n">
        <v>27895.2779775489</v>
      </c>
      <c r="C33" s="9">
        <f si="2" t="shared"/>
        <v>4.7413815013258448E-3</v>
      </c>
      <c r="E33" s="32">
        <v>22</v>
      </c>
      <c r="F33" s="122" t="n">
        <v>33549.58600816316</v>
      </c>
      <c r="G33" s="9">
        <f si="3" t="shared"/>
        <v>5.2708164151770926E-3</v>
      </c>
    </row>
    <row r="34" spans="1:7" x14ac:dyDescent="0.25">
      <c r="A34">
        <v>23</v>
      </c>
      <c r="B34" s="6" t="n">
        <v>41273.0501026813</v>
      </c>
      <c r="C34" s="9">
        <f si="2" t="shared"/>
        <v>7.0152115500568624E-3</v>
      </c>
      <c r="E34" s="33">
        <v>23</v>
      </c>
      <c r="F34" s="123" t="n">
        <v>30826.814568775077</v>
      </c>
      <c r="G34" s="9">
        <f si="3" t="shared"/>
        <v>5.1520421967036515E-3</v>
      </c>
    </row>
    <row r="35" spans="1:7" x14ac:dyDescent="0.25">
      <c r="A35">
        <v>24</v>
      </c>
      <c r="B35" s="6" t="n">
        <v>36024.7453518698</v>
      </c>
      <c r="C35" s="9">
        <f si="2" t="shared"/>
        <v>6.1231532210864218E-3</v>
      </c>
      <c r="E35" s="34">
        <v>24</v>
      </c>
      <c r="F35" s="124" t="n">
        <v>26282.453616267227</v>
      </c>
      <c r="G35" s="9">
        <f si="3" t="shared"/>
        <v>3.8945041374336717E-3</v>
      </c>
    </row>
    <row r="36" spans="1:7" x14ac:dyDescent="0.25">
      <c r="A36">
        <v>25</v>
      </c>
      <c r="B36" s="6" t="n">
        <v>14997.5998395905</v>
      </c>
      <c r="C36" s="9">
        <f si="2" t="shared"/>
        <v>2.5491533907980109E-3</v>
      </c>
      <c r="E36" s="35">
        <v>25</v>
      </c>
      <c r="F36" s="125" t="n">
        <v>25550.677125799964</v>
      </c>
      <c r="G36" s="9">
        <f si="3" t="shared"/>
        <v>3.5502318133134188E-3</v>
      </c>
    </row>
    <row r="37" spans="1:7" x14ac:dyDescent="0.25">
      <c r="A37">
        <v>26</v>
      </c>
      <c r="B37" s="6" t="n">
        <v>23789.6408653907</v>
      </c>
      <c r="C37" s="9">
        <f si="2" t="shared"/>
        <v>4.0435432553542145E-3</v>
      </c>
      <c r="E37" s="36">
        <v>26</v>
      </c>
      <c r="F37" s="126" t="n">
        <v>25028.63144769887</v>
      </c>
      <c r="G37" s="9">
        <f si="3" t="shared"/>
        <v>3.4533183364078763E-3</v>
      </c>
    </row>
    <row r="38" spans="1:7" x14ac:dyDescent="0.25">
      <c r="A38">
        <v>27</v>
      </c>
      <c r="B38" s="6" t="n">
        <v>10168.2846509222</v>
      </c>
      <c r="C38" s="9">
        <f si="2" t="shared"/>
        <v>1.728311034681229E-3</v>
      </c>
      <c r="E38" s="37">
        <v>27</v>
      </c>
      <c r="F38" s="127" t="n">
        <v>17923.5504257434</v>
      </c>
      <c r="G38" s="9">
        <f si="3" t="shared"/>
        <v>3.1546233481226063E-3</v>
      </c>
    </row>
    <row r="39" spans="1:7" x14ac:dyDescent="0.25">
      <c r="A39">
        <v>28</v>
      </c>
      <c r="B39" s="6" t="n">
        <v>12739.6178297624</v>
      </c>
      <c r="C39" s="9">
        <f si="2" t="shared"/>
        <v>2.1653624803671472E-3</v>
      </c>
      <c r="E39" s="38">
        <v>28</v>
      </c>
      <c r="F39" s="128" t="n">
        <v>16903.170205047918</v>
      </c>
      <c r="G39" s="9">
        <f si="3" t="shared"/>
        <v>2.7862733298493468E-3</v>
      </c>
    </row>
    <row r="40" spans="1:7" x14ac:dyDescent="0.25">
      <c r="A40">
        <v>29</v>
      </c>
      <c r="B40" s="6" t="n">
        <v>5811.7859794846</v>
      </c>
      <c r="C40" s="9">
        <f si="2" t="shared"/>
        <v>9.878336596957785E-4</v>
      </c>
      <c r="E40" s="39">
        <v>29</v>
      </c>
      <c r="F40" s="129" t="n">
        <v>12443.930869357086</v>
      </c>
      <c r="G40" s="9">
        <f si="3" t="shared"/>
        <v>2.7336372281963487E-3</v>
      </c>
    </row>
    <row r="41" spans="1:7" x14ac:dyDescent="0.25">
      <c r="A41">
        <v>30</v>
      </c>
      <c r="B41" s="6" t="n">
        <v>9598.932142384</v>
      </c>
      <c r="C41" s="9">
        <f si="2" t="shared"/>
        <v>1.6315377580754481E-3</v>
      </c>
      <c r="E41" s="40">
        <v>30</v>
      </c>
      <c r="F41" s="130" t="n">
        <v>11788.291019166281</v>
      </c>
      <c r="G41" s="9">
        <f si="3" t="shared"/>
        <v>1.9513382661836974E-3</v>
      </c>
    </row>
    <row r="42" spans="1:7" x14ac:dyDescent="0.25">
      <c r="A42">
        <v>31</v>
      </c>
      <c r="B42" s="6" t="n">
        <v>3587.2195580972</v>
      </c>
      <c r="C42" s="9">
        <f si="2" t="shared"/>
        <v>6.0972242211191708E-4</v>
      </c>
      <c r="E42" s="41">
        <v>31</v>
      </c>
      <c r="F42" s="131" t="n">
        <v>10133.734121080457</v>
      </c>
      <c r="G42" s="9">
        <f si="3" t="shared"/>
        <v>1.5044761563041804E-3</v>
      </c>
    </row>
    <row r="43" spans="1:7" x14ac:dyDescent="0.25">
      <c r="A43">
        <v>32</v>
      </c>
      <c r="B43" s="6" t="n">
        <v>5179.8691213308</v>
      </c>
      <c r="C43" s="9">
        <f si="2" t="shared"/>
        <v>8.8042627325432467E-4</v>
      </c>
      <c r="E43" s="42">
        <v>32</v>
      </c>
      <c r="F43" s="132" t="n">
        <v>9375.211207078757</v>
      </c>
      <c r="G43" s="9">
        <f si="3" t="shared"/>
        <v>1.5470850124249516E-3</v>
      </c>
    </row>
    <row r="44" spans="1:7" x14ac:dyDescent="0.25">
      <c r="A44">
        <v>33</v>
      </c>
      <c r="B44" s="6" t="n">
        <v>7294.8721683682</v>
      </c>
      <c r="C44" s="9">
        <f si="2" t="shared"/>
        <v>1.2399149412124586E-3</v>
      </c>
      <c r="E44" s="43">
        <v>33</v>
      </c>
      <c r="F44" s="133" t="n">
        <v>7752.544567561862</v>
      </c>
      <c r="G44" s="9">
        <f si="3" t="shared"/>
        <v>1.1300511323565697E-3</v>
      </c>
    </row>
    <row r="45" spans="1:7" x14ac:dyDescent="0.25">
      <c r="A45">
        <v>34</v>
      </c>
      <c r="B45" s="6" t="n">
        <v>7902.7951278496</v>
      </c>
      <c r="C45" s="9">
        <f si="2" t="shared"/>
        <v>1.3432440665445749E-3</v>
      </c>
      <c r="E45" s="44">
        <v>34</v>
      </c>
      <c r="F45" s="134" t="n">
        <v>7134.551058816928</v>
      </c>
      <c r="G45" s="9">
        <f si="3" t="shared"/>
        <v>1.132486889814334E-3</v>
      </c>
    </row>
    <row r="46" spans="1:7" x14ac:dyDescent="0.25">
      <c r="A46">
        <v>35</v>
      </c>
      <c r="B46" s="6" t="n">
        <v>2861.0567208448</v>
      </c>
      <c r="C46" s="9">
        <f si="2" t="shared"/>
        <v>4.8629597530361216E-4</v>
      </c>
      <c r="E46" s="45">
        <v>35</v>
      </c>
      <c r="F46" s="135" t="n">
        <v>6791.894181070703</v>
      </c>
      <c r="G46" s="9">
        <f si="3" t="shared"/>
        <v>9.7731544383158507E-4</v>
      </c>
    </row>
    <row r="47" spans="1:7" x14ac:dyDescent="0.25">
      <c r="A47">
        <v>36</v>
      </c>
      <c r="B47" s="6" t="n">
        <v>4640.3094541366</v>
      </c>
      <c r="C47" s="9">
        <f si="2" t="shared"/>
        <v>7.887169084308199E-4</v>
      </c>
      <c r="E47" s="46">
        <v>36</v>
      </c>
      <c r="F47" s="136" t="n">
        <v>6280.832966719917</v>
      </c>
      <c r="G47" s="9">
        <f si="3" t="shared"/>
        <v>9.8729606967802607E-4</v>
      </c>
    </row>
    <row r="48" spans="1:7" x14ac:dyDescent="0.25">
      <c r="A48">
        <v>37</v>
      </c>
      <c r="B48" s="6" t="n">
        <v>4062.3644320802</v>
      </c>
      <c r="C48" s="9">
        <f si="2" t="shared"/>
        <v>6.904831558018973E-4</v>
      </c>
      <c r="E48" s="47">
        <v>37</v>
      </c>
      <c r="F48" s="137" t="n">
        <v>5128.501662653597</v>
      </c>
      <c r="G48" s="9">
        <f si="3" t="shared"/>
        <v>8.0187761491101641E-4</v>
      </c>
    </row>
    <row r="49" spans="1:7" x14ac:dyDescent="0.25">
      <c r="A49">
        <v>38</v>
      </c>
      <c r="B49" s="6" t="n">
        <v>6321.6633596991</v>
      </c>
      <c r="C49" s="9">
        <f si="2" t="shared"/>
        <v>1.0744979037459444E-3</v>
      </c>
      <c r="E49" s="48">
        <v>38</v>
      </c>
      <c r="F49" s="138" t="n">
        <v>6465.4674466949855</v>
      </c>
      <c r="G49" s="9">
        <f si="3" t="shared"/>
        <v>8.5457403108068618E-4</v>
      </c>
    </row>
    <row r="50" spans="1:7" x14ac:dyDescent="0.25">
      <c r="A50">
        <v>39</v>
      </c>
      <c r="B50" s="6" t="n">
        <v>4704.9573045598</v>
      </c>
      <c r="C50" s="9">
        <f si="2" t="shared"/>
        <v>7.997051524749817E-4</v>
      </c>
      <c r="E50" s="49">
        <v>39</v>
      </c>
      <c r="F50" s="139" t="n">
        <v>4536.198129537148</v>
      </c>
      <c r="G50" s="9">
        <f si="3" t="shared"/>
        <v>7.1299250222264614E-4</v>
      </c>
    </row>
    <row r="51" spans="1:7" x14ac:dyDescent="0.25">
      <c r="A51">
        <v>40</v>
      </c>
      <c r="B51" s="6" t="n">
        <v>2537.7153002963</v>
      </c>
      <c r="C51" s="9">
        <f si="2" t="shared"/>
        <v>4.3133738943703791E-4</v>
      </c>
      <c r="E51" s="50">
        <v>40</v>
      </c>
      <c r="F51" s="140" t="n">
        <v>3816.830757785075</v>
      </c>
      <c r="G51" s="9">
        <f si="3" t="shared"/>
        <v>5.570626004461933E-4</v>
      </c>
    </row>
    <row r="52" spans="1:7" x14ac:dyDescent="0.25">
      <c r="A52">
        <v>41</v>
      </c>
      <c r="B52" s="6" t="n">
        <v>3990.2261728135</v>
      </c>
      <c r="C52" s="9">
        <f si="2" t="shared"/>
        <v>6.7822176129992242E-4</v>
      </c>
      <c r="E52" s="51">
        <v>41</v>
      </c>
      <c r="F52" s="141" t="n">
        <v>3391.3931994910813</v>
      </c>
      <c r="G52" s="9">
        <f si="3" t="shared"/>
        <v>5.1714818779186153E-4</v>
      </c>
    </row>
    <row r="53" spans="1:7" x14ac:dyDescent="0.25">
      <c r="A53">
        <v>42</v>
      </c>
      <c r="B53" s="6" t="n">
        <v>1655.8316529626002</v>
      </c>
      <c r="C53" s="9">
        <f si="2" t="shared"/>
        <v>2.8144295873249131E-4</v>
      </c>
      <c r="E53" s="52">
        <v>42</v>
      </c>
      <c r="F53" s="142" t="n">
        <v>2776.5609067845976</v>
      </c>
      <c r="G53" s="9">
        <f si="3" t="shared"/>
        <v>4.1035633987491349E-4</v>
      </c>
    </row>
    <row r="54" spans="1:7" x14ac:dyDescent="0.25">
      <c r="A54">
        <v>43</v>
      </c>
      <c r="B54" s="6" t="n">
        <v>3973.8912322720003</v>
      </c>
      <c r="C54" s="9">
        <f si="2" t="shared"/>
        <v>6.7544529909828888E-4</v>
      </c>
      <c r="E54" s="53">
        <v>43</v>
      </c>
      <c r="F54" s="143" t="n">
        <v>2137.7104796351605</v>
      </c>
      <c r="G54" s="9">
        <f si="3" t="shared"/>
        <v>3.0680750318044857E-4</v>
      </c>
    </row>
    <row r="55" spans="1:7" x14ac:dyDescent="0.25">
      <c r="A55">
        <v>44</v>
      </c>
      <c r="B55" s="6" t="n">
        <v>2581.772307669</v>
      </c>
      <c r="C55" s="9">
        <f si="2" t="shared"/>
        <v>4.3882579231041378E-4</v>
      </c>
      <c r="E55" s="54">
        <v>44</v>
      </c>
      <c r="F55" s="144" t="n">
        <v>2251.4779234806597</v>
      </c>
      <c r="G55" s="9">
        <f si="3" t="shared"/>
        <v>3.7226026388687905E-4</v>
      </c>
    </row>
    <row r="56" spans="1:7" x14ac:dyDescent="0.25">
      <c r="A56">
        <v>45</v>
      </c>
      <c r="B56" s="6" t="n">
        <v>445.2098602299</v>
      </c>
      <c r="C56" s="9">
        <f si="2" t="shared"/>
        <v>7.5672656755772328E-5</v>
      </c>
      <c r="E56" s="55">
        <v>45</v>
      </c>
      <c r="F56" s="145" t="n">
        <v>2627.071872470556</v>
      </c>
      <c r="G56" s="9">
        <f si="3" t="shared"/>
        <v>3.3298224779277068E-4</v>
      </c>
    </row>
    <row r="57" spans="1:7" x14ac:dyDescent="0.25">
      <c r="A57">
        <v>46</v>
      </c>
      <c r="B57" s="6" t="n">
        <v>6077.408037667</v>
      </c>
      <c r="C57" s="9">
        <f si="2" t="shared"/>
        <v>1.0329816418748322E-3</v>
      </c>
      <c r="E57" s="56">
        <v>46</v>
      </c>
      <c r="F57" s="146" t="n">
        <v>1716.292310906257</v>
      </c>
      <c r="G57" s="9">
        <f si="3" t="shared"/>
        <v>2.78029418575657E-4</v>
      </c>
    </row>
    <row r="58" spans="1:7" x14ac:dyDescent="0.25">
      <c r="A58">
        <v>47</v>
      </c>
      <c r="B58" s="6" t="n">
        <v>5102.070536329</v>
      </c>
      <c r="C58" s="9">
        <f si="2" t="shared"/>
        <v>8.6720278890497549E-4</v>
      </c>
      <c r="E58" s="57">
        <v>47</v>
      </c>
      <c r="F58" s="147" t="n">
        <v>1726.5959234781503</v>
      </c>
      <c r="G58" s="9">
        <f si="3" t="shared"/>
        <v>2.524559835313215E-4</v>
      </c>
    </row>
    <row r="59" spans="1:7" x14ac:dyDescent="0.25">
      <c r="A59">
        <v>48</v>
      </c>
      <c r="B59" s="6" t="n">
        <v>626.5966911539999</v>
      </c>
      <c r="C59" s="9">
        <f si="2" t="shared"/>
        <v>1.0650311363165733E-4</v>
      </c>
      <c r="E59" s="58">
        <v>48</v>
      </c>
      <c r="F59" s="148" t="n">
        <v>1232.8721833704822</v>
      </c>
      <c r="G59" s="9">
        <f si="3" t="shared"/>
        <v>2.3009943267961614E-4</v>
      </c>
    </row>
    <row r="60" spans="1:7" x14ac:dyDescent="0.25">
      <c r="A60">
        <v>49</v>
      </c>
      <c r="B60" s="6" t="n">
        <v>5384.775441607</v>
      </c>
      <c r="C60" s="9">
        <f si="2" t="shared"/>
        <v>9.1525435552847342E-4</v>
      </c>
      <c r="E60" s="59">
        <v>49</v>
      </c>
      <c r="F60" s="149" t="n">
        <v>1154.863985111526</v>
      </c>
      <c r="G60" s="9">
        <f si="3" t="shared"/>
        <v>1.9216442947582731E-4</v>
      </c>
    </row>
    <row r="61" spans="1:7" x14ac:dyDescent="0.25">
      <c r="A61">
        <v>50</v>
      </c>
      <c r="B61" s="6" t="n">
        <v>634.7004548350001</v>
      </c>
      <c r="C61" s="9">
        <f si="2" t="shared"/>
        <v>1.0788051647521869E-4</v>
      </c>
      <c r="E61" s="60">
        <v>50</v>
      </c>
      <c r="F61" s="150" t="n">
        <v>900.278379635075</v>
      </c>
      <c r="G61" s="9">
        <f si="3" t="shared"/>
        <v>1.5033368502927958E-4</v>
      </c>
    </row>
    <row r="62" spans="1:7" x14ac:dyDescent="0.25">
      <c r="A62">
        <v>51</v>
      </c>
      <c r="B62" s="6" t="n">
        <v>971.458500962</v>
      </c>
      <c r="C62" s="9">
        <f si="2" t="shared"/>
        <v>1.6511953634138643E-4</v>
      </c>
      <c r="E62" s="61">
        <v>51</v>
      </c>
      <c r="F62" s="151" t="n">
        <v>857.576814898134</v>
      </c>
      <c r="G62" s="9">
        <f si="3" t="shared"/>
        <v>1.466495545154842E-4</v>
      </c>
    </row>
    <row r="63" spans="1:7" x14ac:dyDescent="0.25">
      <c r="A63">
        <v>52</v>
      </c>
      <c r="B63" s="6" t="n">
        <v>1079.971539528</v>
      </c>
      <c r="C63" s="9">
        <f si="2" t="shared"/>
        <v>1.8356357959930196E-4</v>
      </c>
      <c r="E63" s="62">
        <v>52</v>
      </c>
      <c r="F63" s="152" t="n">
        <v>686.4469873376795</v>
      </c>
      <c r="G63" s="9">
        <f si="3" t="shared"/>
        <v>1.0686784349060567E-4</v>
      </c>
    </row>
    <row r="64" spans="1:7" x14ac:dyDescent="0.25">
      <c r="A64">
        <v>53</v>
      </c>
      <c r="B64" s="6" t="n">
        <v>5158.8769299545</v>
      </c>
      <c r="C64" s="9">
        <f si="2" t="shared"/>
        <v>8.7685821460497236E-4</v>
      </c>
      <c r="E64" s="63">
        <v>53</v>
      </c>
      <c r="F64" s="153" t="n">
        <v>628.4960571904902</v>
      </c>
      <c r="G64" s="9">
        <f si="3" t="shared"/>
        <v>7.6153618915998192E-5</v>
      </c>
    </row>
    <row r="65" spans="1:7" x14ac:dyDescent="0.25">
      <c r="A65">
        <v>54</v>
      </c>
      <c r="B65" s="6" t="n">
        <v>1350.700792555</v>
      </c>
      <c r="C65" s="9">
        <f si="2" t="shared"/>
        <v>2.2957963554981416E-4</v>
      </c>
      <c r="E65" s="64">
        <v>54</v>
      </c>
      <c r="F65" s="154" t="n">
        <v>612.5945166010537</v>
      </c>
      <c r="G65" s="9">
        <f si="3" t="shared"/>
        <v>9.6418889649957501E-5</v>
      </c>
    </row>
    <row r="66" spans="1:7" x14ac:dyDescent="0.25">
      <c r="A66">
        <v>55</v>
      </c>
      <c r="B66" s="6" t="n">
        <v>0.0</v>
      </c>
      <c r="C66" s="9">
        <f si="2" t="shared"/>
        <v>0</v>
      </c>
      <c r="E66" s="65">
        <v>55</v>
      </c>
      <c r="F66" s="155" t="n">
        <v>470.9421718196501</v>
      </c>
      <c r="G66" s="9">
        <f si="3" t="shared"/>
        <v>1.0800587848954154E-4</v>
      </c>
    </row>
    <row r="67" spans="1:7" x14ac:dyDescent="0.25">
      <c r="A67">
        <v>56</v>
      </c>
      <c r="B67" s="6" t="n">
        <v>0.0</v>
      </c>
      <c r="C67" s="9">
        <f si="2" t="shared"/>
        <v>0</v>
      </c>
      <c r="E67" s="66">
        <v>56</v>
      </c>
      <c r="F67" s="156" t="n">
        <v>530.6855898206204</v>
      </c>
      <c r="G67" s="9">
        <f si="3" t="shared"/>
        <v>7.5263368548584786E-5</v>
      </c>
    </row>
    <row r="68" spans="1:7" x14ac:dyDescent="0.25">
      <c r="A68">
        <v>57</v>
      </c>
      <c r="B68" s="6" t="n">
        <v>0.0</v>
      </c>
      <c r="C68" s="9">
        <f si="2" t="shared"/>
        <v>0</v>
      </c>
      <c r="E68" s="67">
        <v>57</v>
      </c>
      <c r="F68" s="157" t="n">
        <v>390.3808475184849</v>
      </c>
      <c r="G68" s="9">
        <f si="3" t="shared"/>
        <v>8.4759645729893336E-5</v>
      </c>
    </row>
    <row r="69" spans="1:7" x14ac:dyDescent="0.25">
      <c r="A69">
        <v>58</v>
      </c>
      <c r="B69" s="6" t="n">
        <v>711.727573689</v>
      </c>
      <c r="C69" s="9">
        <f si="2" t="shared"/>
        <v>1.2097287413979261E-4</v>
      </c>
      <c r="E69" s="68">
        <v>58</v>
      </c>
      <c r="F69" s="158" t="n">
        <v>303.8517186794176</v>
      </c>
      <c r="G69" s="9">
        <f si="3" t="shared"/>
        <v>4.9420966764923939E-5</v>
      </c>
    </row>
    <row r="70" spans="1:7" x14ac:dyDescent="0.25">
      <c r="A70">
        <v>59</v>
      </c>
      <c r="B70" s="6" t="n">
        <v>507.743697633</v>
      </c>
      <c r="C70" s="9">
        <f si="2" t="shared"/>
        <v>8.6301580407603556E-5</v>
      </c>
      <c r="E70" s="69">
        <v>59</v>
      </c>
      <c r="F70" s="159" t="n">
        <v>297.3120494578595</v>
      </c>
      <c r="G70" s="9">
        <f si="3" t="shared"/>
        <v>4.6242910976725155E-5</v>
      </c>
    </row>
    <row r="71" spans="1:7" x14ac:dyDescent="0.25">
      <c r="A71">
        <v>60</v>
      </c>
      <c r="B71" s="6" t="n">
        <v>0.0</v>
      </c>
      <c r="C71" s="9">
        <f si="2" t="shared"/>
        <v>0</v>
      </c>
      <c r="E71" s="70">
        <v>60</v>
      </c>
      <c r="F71" s="160" t="n">
        <v>277.0164016408254</v>
      </c>
      <c r="G71" s="9">
        <f si="3" t="shared"/>
        <v>4.7718062036915853E-5</v>
      </c>
    </row>
    <row r="72" spans="1:7" x14ac:dyDescent="0.25">
      <c r="A72">
        <v>61</v>
      </c>
      <c r="B72" s="6" t="n">
        <v>1707.027510072</v>
      </c>
      <c r="C72" s="9">
        <f si="2" t="shared"/>
        <v>2.9014475729633403E-4</v>
      </c>
      <c r="E72" s="71">
        <v>61</v>
      </c>
      <c r="F72" s="161" t="n">
        <v>199.61392931933764</v>
      </c>
      <c r="G72" s="9">
        <f si="3" t="shared"/>
        <v>2.3546995941210258E-5</v>
      </c>
    </row>
    <row r="73" spans="1:7" x14ac:dyDescent="0.25">
      <c r="A73">
        <v>62</v>
      </c>
      <c r="B73" s="6" t="n">
        <v>413.740782213</v>
      </c>
      <c r="C73" s="9">
        <f si="2" t="shared"/>
        <v>7.032383375808804E-5</v>
      </c>
      <c r="E73" s="72">
        <v>62</v>
      </c>
      <c r="F73" s="162" t="n">
        <v>118.90601866866658</v>
      </c>
      <c r="G73" s="9">
        <f si="3" t="shared"/>
        <v>3.4995240183458008E-5</v>
      </c>
    </row>
    <row r="74" spans="1:7" x14ac:dyDescent="0.25">
      <c r="A74">
        <v>63</v>
      </c>
      <c r="B74" s="6" t="n">
        <v>0.0</v>
      </c>
      <c r="C74" s="9">
        <f si="2" t="shared"/>
        <v>0</v>
      </c>
      <c r="E74" s="73">
        <v>63</v>
      </c>
      <c r="F74" s="163" t="n">
        <v>141.2872644425883</v>
      </c>
      <c r="G74" s="9">
        <f si="3" t="shared"/>
        <v>1.8673444514035412E-5</v>
      </c>
    </row>
    <row r="75" spans="1:7" x14ac:dyDescent="0.25">
      <c r="A75">
        <v>64</v>
      </c>
      <c r="B75" s="6" t="n">
        <v>0.0</v>
      </c>
      <c r="C75" s="9">
        <f si="2" t="shared"/>
        <v>0</v>
      </c>
      <c r="E75" s="74">
        <v>64</v>
      </c>
      <c r="F75" s="164" t="n">
        <v>85.6292780748663</v>
      </c>
      <c r="G75" s="9">
        <f si="3" t="shared"/>
        <v>1.1055020351910446E-5</v>
      </c>
    </row>
    <row r="76" spans="1:7" x14ac:dyDescent="0.25">
      <c r="A76">
        <v>65</v>
      </c>
      <c r="B76" s="6" t="n">
        <v>0.0</v>
      </c>
      <c r="C76" s="9">
        <f si="2" t="shared"/>
        <v>0</v>
      </c>
      <c r="E76" s="75">
        <v>65</v>
      </c>
      <c r="F76" s="165" t="n">
        <v>96.46288767880739</v>
      </c>
      <c r="G76" s="9">
        <f si="3" t="shared"/>
        <v>1.8197556602302706E-5</v>
      </c>
    </row>
    <row r="77" spans="1:7" x14ac:dyDescent="0.25">
      <c r="A77">
        <v>66</v>
      </c>
      <c r="B77" s="6" t="n">
        <v>0.0</v>
      </c>
      <c r="C77" s="9">
        <f ref="C77:C102" si="4" t="shared">B77/B$102</f>
        <v>0</v>
      </c>
      <c r="E77" s="76">
        <v>66</v>
      </c>
      <c r="F77" s="166" t="n">
        <v>51.74999999999999</v>
      </c>
      <c r="G77" s="9">
        <f ref="G77:G102" si="5" t="shared">F77/F$102</f>
        <v>1.3173732569026254E-5</v>
      </c>
    </row>
    <row r="78" spans="1:7" x14ac:dyDescent="0.25">
      <c r="A78">
        <v>67</v>
      </c>
      <c r="B78" s="6" t="n">
        <v>0.0</v>
      </c>
      <c r="C78" s="9">
        <f si="4" t="shared"/>
        <v>0</v>
      </c>
      <c r="E78" s="77">
        <v>67</v>
      </c>
      <c r="F78" s="167" t="n">
        <v>161.0</v>
      </c>
      <c r="G78" s="9">
        <f si="5" t="shared"/>
        <v>3.1525014685118458E-5</v>
      </c>
    </row>
    <row r="79" spans="1:7" x14ac:dyDescent="0.25">
      <c r="A79">
        <v>68</v>
      </c>
      <c r="B79" s="6" t="n">
        <v>629.76290591</v>
      </c>
      <c r="C79" s="9">
        <f si="4" t="shared"/>
        <v>1.0704127754905604E-4</v>
      </c>
      <c r="E79" s="78">
        <v>68</v>
      </c>
      <c r="F79" s="168" t="n">
        <v>105.58482764535611</v>
      </c>
      <c r="G79" s="9">
        <f si="5" t="shared"/>
        <v>2.4969198906758534E-5</v>
      </c>
    </row>
    <row r="80" spans="1:7" x14ac:dyDescent="0.25">
      <c r="A80">
        <v>69</v>
      </c>
      <c r="B80" s="6" t="n">
        <v>1092.741662888</v>
      </c>
      <c r="C80" s="9">
        <f si="4" t="shared"/>
        <v>1.857341271277218E-4</v>
      </c>
      <c r="E80" s="79">
        <v>69</v>
      </c>
      <c r="F80" s="169" t="n">
        <v>60.87244415820314</v>
      </c>
      <c r="G80" s="9">
        <f si="5" t="shared"/>
        <v>7.5677987616839205E-6</v>
      </c>
    </row>
    <row r="81" spans="1:7" x14ac:dyDescent="0.25">
      <c r="A81">
        <v>70</v>
      </c>
      <c r="B81" s="6" t="n">
        <v>0.0</v>
      </c>
      <c r="C81" s="9">
        <f si="4" t="shared"/>
        <v>0</v>
      </c>
      <c r="E81" s="80">
        <v>70</v>
      </c>
      <c r="F81" s="170" t="n">
        <v>138.65902896690295</v>
      </c>
      <c r="G81" s="9">
        <f si="5" t="shared"/>
        <v>3.0977379626270711E-5</v>
      </c>
    </row>
    <row r="82" spans="1:7" x14ac:dyDescent="0.25">
      <c r="A82">
        <v>71</v>
      </c>
      <c r="B82" s="6" t="n">
        <v>2000.113239284</v>
      </c>
      <c r="C82" s="9">
        <f si="4" t="shared"/>
        <v>3.3996076041724923E-4</v>
      </c>
      <c r="E82" s="81">
        <v>71</v>
      </c>
      <c r="F82" s="171" t="n">
        <v>54.19492367038704</v>
      </c>
      <c r="G82" s="9">
        <f si="5" t="shared"/>
        <v>6.8926567213107918E-6</v>
      </c>
    </row>
    <row r="83" spans="1:7" x14ac:dyDescent="0.25">
      <c r="A83">
        <v>72</v>
      </c>
      <c r="B83" s="6" t="n">
        <v>432.731781518</v>
      </c>
      <c r="C83" s="9">
        <f si="4" t="shared"/>
        <v>7.3551748277129198E-5</v>
      </c>
      <c r="E83" s="82">
        <v>72</v>
      </c>
      <c r="F83" s="172" t="n">
        <v>56.58399780038463</v>
      </c>
      <c r="G83" s="9">
        <f si="5" t="shared"/>
        <v>1.0336597540525617E-5</v>
      </c>
    </row>
    <row r="84" spans="1:7" x14ac:dyDescent="0.25">
      <c r="A84">
        <v>73</v>
      </c>
      <c r="B84" s="6" t="n">
        <v>0.0</v>
      </c>
      <c r="C84" s="9">
        <f si="4" t="shared"/>
        <v>0</v>
      </c>
      <c r="E84" s="83">
        <v>73</v>
      </c>
      <c r="F84" s="173" t="n">
        <v>56.349999999999994</v>
      </c>
      <c r="G84" s="9">
        <f si="5" t="shared"/>
        <v>5.206079809804644E-6</v>
      </c>
    </row>
    <row r="85" spans="1:7" x14ac:dyDescent="0.25">
      <c r="A85">
        <v>74</v>
      </c>
      <c r="B85" s="6" t="n">
        <v>0.0</v>
      </c>
      <c r="C85" s="9">
        <f si="4" t="shared"/>
        <v>0</v>
      </c>
      <c r="E85" s="84">
        <v>74</v>
      </c>
      <c r="F85" s="174" t="n">
        <v>25.299999999999997</v>
      </c>
      <c r="G85" s="9">
        <f si="5" t="shared"/>
        <v>1.7645823517945229E-6</v>
      </c>
    </row>
    <row r="86" spans="1:7" x14ac:dyDescent="0.25">
      <c r="A86">
        <v>75</v>
      </c>
      <c r="B86" s="6" t="n">
        <v>531.697250215</v>
      </c>
      <c r="C86" s="9">
        <f si="4" t="shared"/>
        <v>9.0372983861433223E-5</v>
      </c>
      <c r="E86" s="85">
        <v>75</v>
      </c>
      <c r="F86" s="175" t="n">
        <v>33.349999999999994</v>
      </c>
      <c r="G86" s="9">
        <f si="5" t="shared"/>
        <v>5.1483084742476635E-6</v>
      </c>
    </row>
    <row r="87" spans="1:7" x14ac:dyDescent="0.25">
      <c r="A87">
        <v>76</v>
      </c>
      <c r="B87" s="6" t="n">
        <v>0.0</v>
      </c>
      <c r="C87" s="9">
        <f si="4" t="shared"/>
        <v>0</v>
      </c>
      <c r="E87" s="86">
        <v>76</v>
      </c>
      <c r="F87" s="176" t="n">
        <v>26.45</v>
      </c>
      <c r="G87" s="9">
        <f si="5" t="shared"/>
        <v>6.8830812792962292E-6</v>
      </c>
    </row>
    <row r="88" spans="1:7" x14ac:dyDescent="0.25">
      <c r="A88">
        <v>77</v>
      </c>
      <c r="B88" s="6" t="n">
        <v>0.0</v>
      </c>
      <c r="C88" s="9">
        <f si="4" t="shared"/>
        <v>0</v>
      </c>
      <c r="E88" s="87">
        <v>77</v>
      </c>
      <c r="F88" s="177" t="n">
        <v>13.799999999999999</v>
      </c>
      <c r="G88" s="9">
        <f si="5" t="shared"/>
        <v>1.7151676698562839E-6</v>
      </c>
    </row>
    <row r="89" spans="1:7" x14ac:dyDescent="0.25">
      <c r="A89">
        <v>78</v>
      </c>
      <c r="B89" s="6" t="n">
        <v>1107.419474436</v>
      </c>
      <c r="C89" s="9">
        <f si="4" t="shared"/>
        <v>1.8822892586067025E-4</v>
      </c>
      <c r="E89" s="88">
        <v>78</v>
      </c>
      <c r="F89" s="178" t="n">
        <v>8.049999999999999</v>
      </c>
      <c r="G89" s="9">
        <f si="5" t="shared"/>
        <v>8.5627588294941989E-6</v>
      </c>
    </row>
    <row r="90" spans="1:7" x14ac:dyDescent="0.25">
      <c r="A90">
        <v>79</v>
      </c>
      <c r="B90" s="6" t="n">
        <v>0.0</v>
      </c>
      <c r="C90" s="9">
        <f si="4" t="shared"/>
        <v>0</v>
      </c>
      <c r="E90" s="89">
        <v>79</v>
      </c>
      <c r="F90" s="179" t="n">
        <v>5.3772337776646095</v>
      </c>
      <c r="G90" s="9">
        <f si="5" t="shared"/>
        <v>1.7094627490213096E-6</v>
      </c>
    </row>
    <row r="91" spans="1:7" x14ac:dyDescent="0.25">
      <c r="A91">
        <v>80</v>
      </c>
      <c r="B91" s="6" t="n">
        <v>0.0</v>
      </c>
      <c r="C91" s="9">
        <f si="4" t="shared"/>
        <v>0</v>
      </c>
      <c r="E91" s="90">
        <v>80</v>
      </c>
      <c r="F91" s="180" t="n">
        <v>13.799999999999999</v>
      </c>
      <c r="G91" s="9">
        <f si="5" t="shared"/>
        <v>3.4354020524919495E-6</v>
      </c>
    </row>
    <row r="92" spans="1:7" x14ac:dyDescent="0.25">
      <c r="A92">
        <v>81</v>
      </c>
      <c r="B92" s="6" t="n">
        <v>779.472231969</v>
      </c>
      <c r="C92" s="9">
        <f si="4" t="shared"/>
        <v>1.3248748495818804E-4</v>
      </c>
      <c r="E92" s="91">
        <v>81</v>
      </c>
      <c r="F92" s="181" t="n">
        <v>22.244393305439385</v>
      </c>
      <c r="G92" s="9">
        <f si="5" t="shared"/>
        <v>5.1641363972451093E-6</v>
      </c>
    </row>
    <row r="93" spans="1:7" x14ac:dyDescent="0.25">
      <c r="A93">
        <v>82</v>
      </c>
      <c r="B93" s="6" t="n">
        <v>0.0</v>
      </c>
      <c r="C93" s="9">
        <f si="4" t="shared"/>
        <v>0</v>
      </c>
      <c r="E93" s="92">
        <v>82</v>
      </c>
      <c r="F93" s="182" t="n">
        <v>0.0</v>
      </c>
      <c r="G93" s="9">
        <f si="5" t="shared"/>
        <v>1.7151676698562839E-6</v>
      </c>
    </row>
    <row r="94" spans="1:7" x14ac:dyDescent="0.25">
      <c r="A94">
        <v>83</v>
      </c>
      <c r="B94" s="6" t="n">
        <v>351.630709955</v>
      </c>
      <c r="C94" s="9">
        <f si="4" t="shared"/>
        <v>5.9766937788558475E-5</v>
      </c>
      <c r="E94" s="93">
        <v>83</v>
      </c>
      <c r="F94" s="183" t="n">
        <v>13.438786610878774</v>
      </c>
      <c r="G94" s="9">
        <f si="5" t="shared"/>
        <v>5.1692311655963424E-6</v>
      </c>
    </row>
    <row r="95" spans="1:7" x14ac:dyDescent="0.25">
      <c r="A95">
        <v>84</v>
      </c>
      <c r="B95" s="6" t="n">
        <v>667.452792716</v>
      </c>
      <c r="C95" s="9">
        <f si="4" t="shared"/>
        <v>1.1344745612282251E-4</v>
      </c>
      <c r="E95" s="94">
        <v>84</v>
      </c>
      <c r="F95" s="184" t="n">
        <v>31.049999999999997</v>
      </c>
      <c r="G95" s="9">
        <f si="5" t="shared"/>
        <v>1.7338404989758078E-6</v>
      </c>
    </row>
    <row r="96" spans="1:7" x14ac:dyDescent="0.25">
      <c r="A96">
        <v>85</v>
      </c>
      <c r="B96" s="6" t="n">
        <v>0.0</v>
      </c>
      <c r="C96" s="9">
        <f si="4" t="shared"/>
        <v>0</v>
      </c>
      <c r="E96" s="95">
        <v>85</v>
      </c>
      <c r="F96" s="185" t="n">
        <v>2.3</v>
      </c>
      <c r="G96" s="9">
        <f si="5" t="shared"/>
        <v>0</v>
      </c>
    </row>
    <row r="97" spans="1:7" x14ac:dyDescent="0.25">
      <c r="A97">
        <v>86</v>
      </c>
      <c r="B97" s="6" t="n">
        <v>143.175005361</v>
      </c>
      <c r="C97" s="9">
        <f si="4" t="shared"/>
        <v>2.4335563976714417E-5</v>
      </c>
      <c r="E97" s="96">
        <v>86</v>
      </c>
      <c r="F97" s="186" t="n">
        <v>12.649999999999999</v>
      </c>
      <c r="G97" s="9">
        <f si="5" t="shared"/>
        <v>1.726260316089E-6</v>
      </c>
    </row>
    <row r="98" spans="1:7" x14ac:dyDescent="0.25">
      <c r="A98">
        <v>87</v>
      </c>
      <c r="B98" s="6" t="n">
        <v>82.8897619551</v>
      </c>
      <c r="C98" s="9">
        <f si="4" t="shared"/>
        <v>1.4088835547705377E-5</v>
      </c>
      <c r="E98" s="97">
        <v>87</v>
      </c>
      <c r="F98" s="187" t="n">
        <v>2.3</v>
      </c>
      <c r="G98" s="9">
        <f si="5" t="shared"/>
        <v>0</v>
      </c>
    </row>
    <row r="99" spans="1:7" x14ac:dyDescent="0.25">
      <c r="A99">
        <v>88</v>
      </c>
      <c r="B99" s="6" t="n">
        <v>0.0</v>
      </c>
      <c r="C99" s="9">
        <f si="4" t="shared"/>
        <v>0</v>
      </c>
      <c r="E99" s="98">
        <v>88</v>
      </c>
      <c r="F99" s="188" t="n">
        <v>1.15</v>
      </c>
      <c r="G99" s="9">
        <f si="5" t="shared"/>
        <v>0</v>
      </c>
    </row>
    <row r="100" spans="1:7" x14ac:dyDescent="0.25">
      <c r="A100">
        <v>89</v>
      </c>
      <c r="B100" s="6" t="n">
        <v>292.16039971099997</v>
      </c>
      <c r="C100" s="9">
        <f si="4" t="shared"/>
        <v>4.9658724165595082E-5</v>
      </c>
      <c r="E100" s="99">
        <v>89</v>
      </c>
      <c r="F100" s="189" t="n">
        <v>0.0</v>
      </c>
      <c r="G100" s="9">
        <f si="5" t="shared"/>
        <v>0</v>
      </c>
    </row>
    <row ht="15.75" r="101" spans="1:7" thickBot="1" x14ac:dyDescent="0.3">
      <c r="A101" s="1">
        <v>90</v>
      </c>
      <c r="B101" s="7" t="n">
        <v>3956.7258062524</v>
      </c>
      <c r="C101" s="9">
        <f si="4" t="shared"/>
        <v>6.7252767865165941E-4</v>
      </c>
      <c r="E101" s="372">
        <v>90</v>
      </c>
      <c r="F101" s="372" t="n">
        <v>5.75</v>
      </c>
      <c r="G101" s="9">
        <f si="5" t="shared"/>
        <v>3.4171898336251026E-6</v>
      </c>
    </row>
    <row r="102" spans="1:7" x14ac:dyDescent="0.25">
      <c r="B102" s="6">
        <f>SUM(B11:B101)</f>
        <v>5883365.0002111141</v>
      </c>
      <c r="C102" s="9">
        <f si="4" t="shared"/>
        <v>1</v>
      </c>
      <c r="F102" s="6">
        <f>SUM(F11:F101)</f>
        <v>5808739.9489041036</v>
      </c>
      <c r="G102" s="9">
        <f si="5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L102"/>
  <sheetViews>
    <sheetView workbookViewId="0">
      <selection activeCell="A3" sqref="A3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6777.984679031</v>
      </c>
      <c r="C11" s="9">
        <f>B11/B$102</f>
        <v>1.1520591836113835E-3</v>
      </c>
      <c r="E11" s="190">
        <v>0</v>
      </c>
      <c r="F11" s="280" t="n">
        <v>24379.707389491887</v>
      </c>
      <c r="G11" s="9">
        <f>F11/F$102</f>
        <v>4.3278240662271462E-3</v>
      </c>
      <c r="K11" s="6" t="n">
        <v>30.8830153996717</v>
      </c>
      <c r="L11" s="6" t="n">
        <v>24.06380780399688</v>
      </c>
    </row>
    <row r="12" spans="1:12" x14ac:dyDescent="0.25">
      <c r="A12">
        <v>1</v>
      </c>
      <c r="B12" s="6" t="n">
        <v>19311.3606145139</v>
      </c>
      <c r="C12" s="9">
        <f>B12/B$102</f>
        <v>3.2823665731806458E-3</v>
      </c>
      <c r="E12" s="191">
        <v>1</v>
      </c>
      <c r="F12" s="281" t="n">
        <v>92766.57272676018</v>
      </c>
      <c r="G12" s="9">
        <f>F12/F$102</f>
        <v>1.5960908473949674E-2</v>
      </c>
      <c r="K12" s="6"/>
      <c r="L12" s="371"/>
    </row>
    <row r="13" spans="1:12" x14ac:dyDescent="0.25">
      <c r="A13">
        <v>2</v>
      </c>
      <c r="B13" s="6" t="n">
        <v>28257.979731648</v>
      </c>
      <c r="C13" s="9">
        <f ref="C13:C76" si="0" t="shared">B13/B$102</f>
        <v>4.8030301928631012E-3</v>
      </c>
      <c r="E13" s="192">
        <v>2</v>
      </c>
      <c r="F13" s="282" t="n">
        <v>118635.64964910364</v>
      </c>
      <c r="G13" s="9">
        <f ref="G13:G76" si="1" t="shared">F13/F$102</f>
        <v>2.0411895708077912E-2</v>
      </c>
    </row>
    <row r="14" spans="1:12" x14ac:dyDescent="0.25">
      <c r="A14">
        <v>3</v>
      </c>
      <c r="B14" s="6" t="n">
        <v>42233.0770548103</v>
      </c>
      <c r="C14" s="9">
        <f si="0" t="shared"/>
        <v>7.178388057394851E-3</v>
      </c>
      <c r="E14" s="193">
        <v>3</v>
      </c>
      <c r="F14" s="283" t="n">
        <v>139208.45448549904</v>
      </c>
      <c r="G14" s="9">
        <f si="1" t="shared"/>
        <v>2.3584990756777731E-2</v>
      </c>
    </row>
    <row r="15" spans="1:12" x14ac:dyDescent="0.25">
      <c r="A15">
        <v>4</v>
      </c>
      <c r="B15" s="6" t="n">
        <v>34482.6342444071</v>
      </c>
      <c r="C15" s="9">
        <f si="0" t="shared"/>
        <v>5.8610394295050133E-3</v>
      </c>
      <c r="E15" s="194">
        <v>4</v>
      </c>
      <c r="F15" s="284" t="n">
        <v>149852.93167630432</v>
      </c>
      <c r="G15" s="9">
        <f si="1" t="shared"/>
        <v>2.5448857545044827E-2</v>
      </c>
    </row>
    <row r="16" spans="1:12" x14ac:dyDescent="0.25">
      <c r="A16">
        <v>5</v>
      </c>
      <c r="B16" s="6" t="n">
        <v>77762.6630451249</v>
      </c>
      <c r="C16" s="9">
        <f si="0" t="shared"/>
        <v>1.3217378667197181E-2</v>
      </c>
      <c r="E16" s="195">
        <v>5</v>
      </c>
      <c r="F16" s="285" t="n">
        <v>152031.7699626669</v>
      </c>
      <c r="G16" s="9">
        <f si="1" t="shared"/>
        <v>2.6033743649077398E-2</v>
      </c>
    </row>
    <row r="17" spans="1:7" x14ac:dyDescent="0.25">
      <c r="A17">
        <v>6</v>
      </c>
      <c r="B17" s="6" t="n">
        <v>70590.8588643991</v>
      </c>
      <c r="C17" s="9">
        <f si="0" t="shared"/>
        <v>1.199838168494834E-2</v>
      </c>
      <c r="E17" s="196">
        <v>6</v>
      </c>
      <c r="F17" s="286" t="n">
        <v>150408.57289886603</v>
      </c>
      <c r="G17" s="9">
        <f si="1" t="shared"/>
        <v>2.5800215409514202E-2</v>
      </c>
    </row>
    <row r="18" spans="1:7" x14ac:dyDescent="0.25">
      <c r="A18">
        <v>7</v>
      </c>
      <c r="B18" s="6" t="n">
        <v>84339.5977201299</v>
      </c>
      <c r="C18" s="9">
        <f si="0" t="shared"/>
        <v>1.4335265229524862E-2</v>
      </c>
      <c r="E18" s="197">
        <v>7</v>
      </c>
      <c r="F18" s="287" t="n">
        <v>145936.28682091236</v>
      </c>
      <c r="G18" s="9">
        <f si="1" t="shared"/>
        <v>2.4837728043639175E-2</v>
      </c>
    </row>
    <row r="19" spans="1:7" x14ac:dyDescent="0.25">
      <c r="A19">
        <v>8</v>
      </c>
      <c r="B19" s="6" t="n">
        <v>64795.3680488708</v>
      </c>
      <c r="C19" s="9">
        <f si="0" t="shared"/>
        <v>1.1013317726597917E-2</v>
      </c>
      <c r="E19" s="198">
        <v>8</v>
      </c>
      <c r="F19" s="288" t="n">
        <v>137994.25871176578</v>
      </c>
      <c r="G19" s="9">
        <f si="1" t="shared"/>
        <v>2.3666059249578021E-2</v>
      </c>
    </row>
    <row r="20" spans="1:7" x14ac:dyDescent="0.25">
      <c r="A20">
        <v>9</v>
      </c>
      <c r="B20" s="6" t="n">
        <v>97995.2574809291</v>
      </c>
      <c r="C20" s="9">
        <f si="0" t="shared"/>
        <v>1.6656328049919178E-2</v>
      </c>
      <c r="E20" s="199">
        <v>9</v>
      </c>
      <c r="F20" s="289" t="n">
        <v>128623.90126332527</v>
      </c>
      <c r="G20" s="9">
        <f si="1" t="shared"/>
        <v>2.2266431236812094E-2</v>
      </c>
    </row>
    <row r="21" spans="1:7" x14ac:dyDescent="0.25">
      <c r="A21">
        <v>10</v>
      </c>
      <c r="B21" s="6" t="n">
        <v>54317.4021585116</v>
      </c>
      <c r="C21" s="9">
        <f si="0" t="shared"/>
        <v>9.2323699373679062E-3</v>
      </c>
      <c r="E21" s="200">
        <v>10</v>
      </c>
      <c r="F21" s="290" t="n">
        <v>118552.57440268257</v>
      </c>
      <c r="G21" s="9">
        <f si="1" t="shared"/>
        <v>2.0363011430694317E-2</v>
      </c>
    </row>
    <row r="22" spans="1:7" x14ac:dyDescent="0.25">
      <c r="A22">
        <v>11</v>
      </c>
      <c r="B22" s="6" t="n">
        <v>82687.7025291643</v>
      </c>
      <c r="C22" s="9">
        <f si="0" t="shared"/>
        <v>1.4054491354216034E-2</v>
      </c>
      <c r="E22" s="201">
        <v>11</v>
      </c>
      <c r="F22" s="291" t="n">
        <v>108823.25119391653</v>
      </c>
      <c r="G22" s="9">
        <f si="1" t="shared"/>
        <v>1.8462468166823592E-2</v>
      </c>
    </row>
    <row r="23" spans="1:7" x14ac:dyDescent="0.25">
      <c r="A23">
        <v>12</v>
      </c>
      <c r="B23" s="6" t="n">
        <v>117559.3164825522</v>
      </c>
      <c r="C23" s="9">
        <f si="0" t="shared"/>
        <v>1.9981645959129483E-2</v>
      </c>
      <c r="E23" s="202">
        <v>12</v>
      </c>
      <c r="F23" s="292" t="n">
        <v>101589.91848397024</v>
      </c>
      <c r="G23" s="9">
        <f si="1" t="shared"/>
        <v>1.727978545246556E-2</v>
      </c>
    </row>
    <row r="24" spans="1:7" x14ac:dyDescent="0.25">
      <c r="A24">
        <v>13</v>
      </c>
      <c r="B24" s="6" t="n">
        <v>111916.2960992915</v>
      </c>
      <c r="C24" s="9">
        <f si="0" t="shared"/>
        <v>1.9022497515499313E-2</v>
      </c>
      <c r="E24" s="203">
        <v>13</v>
      </c>
      <c r="F24" s="293" t="n">
        <v>90347.63382961217</v>
      </c>
      <c r="G24" s="9">
        <f si="1" t="shared"/>
        <v>1.5385907609526964E-2</v>
      </c>
    </row>
    <row r="25" spans="1:7" x14ac:dyDescent="0.25">
      <c r="A25">
        <v>14</v>
      </c>
      <c r="B25" s="6" t="n">
        <v>78794.9768343743</v>
      </c>
      <c r="C25" s="9">
        <f si="0" t="shared"/>
        <v>1.339284182292734E-2</v>
      </c>
      <c r="E25" s="204">
        <v>14</v>
      </c>
      <c r="F25" s="294" t="n">
        <v>81782.6817357795</v>
      </c>
      <c r="G25" s="9">
        <f si="1" t="shared"/>
        <v>1.3993081650854371E-2</v>
      </c>
    </row>
    <row r="26" spans="1:7" x14ac:dyDescent="0.25">
      <c r="A26">
        <v>15</v>
      </c>
      <c r="B26" s="6" t="n">
        <v>49387.5604071043</v>
      </c>
      <c r="C26" s="9">
        <f si="0" t="shared"/>
        <v>8.3944410053314947E-3</v>
      </c>
      <c r="E26" s="205">
        <v>15</v>
      </c>
      <c r="F26" s="295" t="n">
        <v>79622.77145216377</v>
      </c>
      <c r="G26" s="9">
        <f si="1" t="shared"/>
        <v>1.376377989689581E-2</v>
      </c>
    </row>
    <row r="27" spans="1:7" x14ac:dyDescent="0.25">
      <c r="A27">
        <v>16</v>
      </c>
      <c r="B27" s="6" t="n">
        <v>200663.0878691433</v>
      </c>
      <c r="C27" s="9">
        <f si="0" t="shared"/>
        <v>3.4106856851808941E-2</v>
      </c>
      <c r="E27" s="206">
        <v>16</v>
      </c>
      <c r="F27" s="296" t="n">
        <v>74203.1421020374</v>
      </c>
      <c r="G27" s="9">
        <f si="1" t="shared"/>
        <v>1.2230728982884725E-2</v>
      </c>
    </row>
    <row r="28" spans="1:7" x14ac:dyDescent="0.25">
      <c r="A28">
        <v>17</v>
      </c>
      <c r="B28" s="6" t="n">
        <v>123358.2475558062</v>
      </c>
      <c r="C28" s="9">
        <f si="0" t="shared"/>
        <v>2.0967294660688186E-2</v>
      </c>
      <c r="E28" s="207">
        <v>17</v>
      </c>
      <c r="F28" s="297" t="n">
        <v>66797.22096778337</v>
      </c>
      <c r="G28" s="9">
        <f si="1" t="shared"/>
        <v>1.1529942817034072E-2</v>
      </c>
    </row>
    <row r="29" spans="1:7" x14ac:dyDescent="0.25">
      <c r="A29">
        <v>18</v>
      </c>
      <c r="B29" s="6" t="n">
        <v>380306.5495109273</v>
      </c>
      <c r="C29" s="9">
        <f si="0" t="shared"/>
        <v>6.4640991931875849E-2</v>
      </c>
      <c r="E29" s="208">
        <v>18</v>
      </c>
      <c r="F29" s="298" t="n">
        <v>574430.4382473759</v>
      </c>
      <c r="G29" s="9">
        <f si="1" t="shared"/>
        <v>9.8225736787717177E-2</v>
      </c>
    </row>
    <row r="30" spans="1:7" x14ac:dyDescent="0.25">
      <c r="A30">
        <v>19</v>
      </c>
      <c r="B30" s="6" t="n">
        <v>229001.5381152313</v>
      </c>
      <c r="C30" s="9">
        <f si="0" t="shared"/>
        <v>3.8923564678889383E-2</v>
      </c>
      <c r="E30" s="209">
        <v>19</v>
      </c>
      <c r="F30" s="299" t="n">
        <v>206027.76959154633</v>
      </c>
      <c r="G30" s="9">
        <f si="1" t="shared"/>
        <v>3.4743333292357542E-2</v>
      </c>
    </row>
    <row r="31" spans="1:7" x14ac:dyDescent="0.25">
      <c r="A31">
        <v>20</v>
      </c>
      <c r="B31" s="6" t="n">
        <v>339557.2219199539</v>
      </c>
      <c r="C31" s="9">
        <f si="0" t="shared"/>
        <v>5.771479789334328E-2</v>
      </c>
      <c r="E31" s="210">
        <v>20</v>
      </c>
      <c r="F31" s="300" t="n">
        <v>200087.74870920167</v>
      </c>
      <c r="G31" s="9">
        <f si="1" t="shared"/>
        <v>3.3868685611817148E-2</v>
      </c>
    </row>
    <row r="32" spans="1:7" x14ac:dyDescent="0.25">
      <c r="A32">
        <v>21</v>
      </c>
      <c r="B32" s="6" t="n">
        <v>292201.3134653368</v>
      </c>
      <c r="C32" s="9">
        <f si="0" t="shared"/>
        <v>4.9665678307372015E-2</v>
      </c>
      <c r="E32" s="211">
        <v>21</v>
      </c>
      <c r="F32" s="301" t="n">
        <v>251120.852339116</v>
      </c>
      <c r="G32" s="9">
        <f si="1" t="shared"/>
        <v>4.5840836227418767E-2</v>
      </c>
    </row>
    <row r="33" spans="1:7" x14ac:dyDescent="0.25">
      <c r="A33">
        <v>22</v>
      </c>
      <c r="B33" s="6" t="n">
        <v>254473.8902439678</v>
      </c>
      <c r="C33" s="9">
        <f si="0" t="shared"/>
        <v>4.325311964068803E-2</v>
      </c>
      <c r="E33" s="212">
        <v>22</v>
      </c>
      <c r="F33" s="302" t="n">
        <v>245720.97756763292</v>
      </c>
      <c r="G33" s="9">
        <f si="1" t="shared"/>
        <v>3.9460872638725213E-2</v>
      </c>
    </row>
    <row r="34" spans="1:7" x14ac:dyDescent="0.25">
      <c r="A34">
        <v>23</v>
      </c>
      <c r="B34" s="6" t="n">
        <v>160193.2933597781</v>
      </c>
      <c r="C34" s="9">
        <f si="0" t="shared"/>
        <v>2.7228175262631146E-2</v>
      </c>
      <c r="E34" s="213">
        <v>23</v>
      </c>
      <c r="F34" s="303" t="n">
        <v>204882.5458097383</v>
      </c>
      <c r="G34" s="9">
        <f si="1" t="shared"/>
        <v>3.1707251826161929E-2</v>
      </c>
    </row>
    <row r="35" spans="1:7" x14ac:dyDescent="0.25">
      <c r="A35">
        <v>24</v>
      </c>
      <c r="B35" s="6" t="n">
        <v>190560.0643605796</v>
      </c>
      <c r="C35" s="9">
        <f si="0" t="shared"/>
        <v>3.2389638302866092E-2</v>
      </c>
      <c r="E35" s="214">
        <v>24</v>
      </c>
      <c r="F35" s="304" t="n">
        <v>171209.61164072485</v>
      </c>
      <c r="G35" s="9">
        <f si="1" t="shared"/>
        <v>2.9929359758205151E-2</v>
      </c>
    </row>
    <row r="36" spans="1:7" x14ac:dyDescent="0.25">
      <c r="A36">
        <v>25</v>
      </c>
      <c r="B36" s="6" t="n">
        <v>130685.9164110802</v>
      </c>
      <c r="C36" s="9">
        <f si="0" t="shared"/>
        <v>2.2212784079585542E-2</v>
      </c>
      <c r="E36" s="215">
        <v>25</v>
      </c>
      <c r="F36" s="305" t="n">
        <v>161033.4280874767</v>
      </c>
      <c r="G36" s="9">
        <f si="1" t="shared"/>
        <v>2.5596294771822823E-2</v>
      </c>
    </row>
    <row r="37" spans="1:7" x14ac:dyDescent="0.25">
      <c r="A37">
        <v>26</v>
      </c>
      <c r="B37" s="6" t="n">
        <v>330164.1467082053</v>
      </c>
      <c r="C37" s="9">
        <f si="0" t="shared"/>
        <v>5.6118249793503897E-2</v>
      </c>
      <c r="E37" s="216">
        <v>26</v>
      </c>
      <c r="F37" s="306" t="n">
        <v>134522.88414429454</v>
      </c>
      <c r="G37" s="9">
        <f si="1" t="shared"/>
        <v>2.4890581168766961E-2</v>
      </c>
    </row>
    <row r="38" spans="1:7" x14ac:dyDescent="0.25">
      <c r="A38">
        <v>27</v>
      </c>
      <c r="B38" s="6" t="n">
        <v>84832.0834663148</v>
      </c>
      <c r="C38" s="9">
        <f si="0" t="shared"/>
        <v>1.4418973404381807E-2</v>
      </c>
      <c r="E38" s="217">
        <v>27</v>
      </c>
      <c r="F38" s="307" t="n">
        <v>126817.83247700955</v>
      </c>
      <c r="G38" s="9">
        <f si="1" t="shared"/>
        <v>2.2091085927049846E-2</v>
      </c>
    </row>
    <row r="39" spans="1:7" x14ac:dyDescent="0.25">
      <c r="A39">
        <v>28</v>
      </c>
      <c r="B39" s="6" t="n">
        <v>132759.6901069341</v>
      </c>
      <c r="C39" s="9">
        <f si="0" t="shared"/>
        <v>2.2565264963531978E-2</v>
      </c>
      <c r="E39" s="218">
        <v>28</v>
      </c>
      <c r="F39" s="308" t="n">
        <v>108341.36528264682</v>
      </c>
      <c r="G39" s="9">
        <f si="1" t="shared"/>
        <v>1.7175168578231478E-2</v>
      </c>
    </row>
    <row r="40" spans="1:7" x14ac:dyDescent="0.25">
      <c r="A40">
        <v>29</v>
      </c>
      <c r="B40" s="6" t="n">
        <v>117688.8388841047</v>
      </c>
      <c r="C40" s="9">
        <f si="0" t="shared"/>
        <v>2.0003660979708328E-2</v>
      </c>
      <c r="E40" s="219">
        <v>29</v>
      </c>
      <c r="F40" s="309" t="n">
        <v>124233.38920268239</v>
      </c>
      <c r="G40" s="9">
        <f si="1" t="shared"/>
        <v>1.8949431968444876E-2</v>
      </c>
    </row>
    <row r="41" spans="1:7" x14ac:dyDescent="0.25">
      <c r="A41">
        <v>30</v>
      </c>
      <c r="B41" s="6" t="n">
        <v>86943.2568448416</v>
      </c>
      <c r="C41" s="9">
        <f si="0" t="shared"/>
        <v>1.4777811140685954E-2</v>
      </c>
      <c r="E41" s="220">
        <v>30</v>
      </c>
      <c r="F41" s="310" t="n">
        <v>112527.01424777764</v>
      </c>
      <c r="G41" s="9">
        <f si="1" t="shared"/>
        <v>1.9971394943076586E-2</v>
      </c>
    </row>
    <row r="42" spans="1:7" x14ac:dyDescent="0.25">
      <c r="A42">
        <v>31</v>
      </c>
      <c r="B42" s="6" t="n">
        <v>65767.8887714418</v>
      </c>
      <c r="C42" s="9">
        <f si="0" t="shared"/>
        <v>1.1178617809549781E-2</v>
      </c>
      <c r="E42" s="221">
        <v>31</v>
      </c>
      <c r="F42" s="311" t="n">
        <v>91953.46643318044</v>
      </c>
      <c r="G42" s="9">
        <f si="1" t="shared"/>
        <v>1.4386068116115234E-2</v>
      </c>
    </row>
    <row r="43" spans="1:7" x14ac:dyDescent="0.25">
      <c r="A43">
        <v>32</v>
      </c>
      <c r="B43" s="6" t="n">
        <v>69007.8382609941</v>
      </c>
      <c r="C43" s="9">
        <f si="0" t="shared"/>
        <v>1.1729314475392553E-2</v>
      </c>
      <c r="E43" s="222">
        <v>32</v>
      </c>
      <c r="F43" s="312" t="n">
        <v>65209.36338618921</v>
      </c>
      <c r="G43" s="9">
        <f si="1" t="shared"/>
        <v>1.3220528007040886E-2</v>
      </c>
    </row>
    <row r="44" spans="1:7" x14ac:dyDescent="0.25">
      <c r="A44">
        <v>33</v>
      </c>
      <c r="B44" s="6" t="n">
        <v>61401.7830686139</v>
      </c>
      <c r="C44" s="9">
        <f si="0" t="shared"/>
        <v>1.0436507520170961E-2</v>
      </c>
      <c r="E44" s="223">
        <v>33</v>
      </c>
      <c r="F44" s="313" t="n">
        <v>87757.20947626932</v>
      </c>
      <c r="G44" s="9">
        <f si="1" t="shared"/>
        <v>1.5333413904895727E-2</v>
      </c>
    </row>
    <row r="45" spans="1:7" x14ac:dyDescent="0.25">
      <c r="A45">
        <v>34</v>
      </c>
      <c r="B45" s="6" t="n">
        <v>107127.6648405543</v>
      </c>
      <c r="C45" s="9">
        <f si="0" t="shared"/>
        <v>1.8208570237731338E-2</v>
      </c>
      <c r="E45" s="224">
        <v>34</v>
      </c>
      <c r="F45" s="314" t="n">
        <v>95252.50116047922</v>
      </c>
      <c r="G45" s="9">
        <f si="1" t="shared"/>
        <v>1.319694089429004E-2</v>
      </c>
    </row>
    <row r="46" spans="1:7" x14ac:dyDescent="0.25">
      <c r="A46">
        <v>35</v>
      </c>
      <c r="B46" s="6" t="n">
        <v>46622.0878015611</v>
      </c>
      <c r="C46" s="9">
        <f si="0" t="shared"/>
        <v>7.9243915344174923E-3</v>
      </c>
      <c r="E46" s="225">
        <v>35</v>
      </c>
      <c r="F46" s="315" t="n">
        <v>71272.88471517165</v>
      </c>
      <c r="G46" s="9">
        <f si="1" t="shared"/>
        <v>1.5534670413151635E-2</v>
      </c>
    </row>
    <row r="47" spans="1:7" x14ac:dyDescent="0.25">
      <c r="A47">
        <v>36</v>
      </c>
      <c r="B47" s="6" t="n">
        <v>66157.0202221237</v>
      </c>
      <c r="C47" s="9">
        <f si="0" t="shared"/>
        <v>1.1244758776609949E-2</v>
      </c>
      <c r="E47" s="226">
        <v>36</v>
      </c>
      <c r="F47" s="316" t="n">
        <v>53819.205158831275</v>
      </c>
      <c r="G47" s="9">
        <f si="1" t="shared"/>
        <v>9.9295823453058821E-3</v>
      </c>
    </row>
    <row r="48" spans="1:7" x14ac:dyDescent="0.25">
      <c r="A48">
        <v>37</v>
      </c>
      <c r="B48" s="6" t="n">
        <v>81079.7816609964</v>
      </c>
      <c r="C48" s="9">
        <f si="0" t="shared"/>
        <v>1.3781191827820819E-2</v>
      </c>
      <c r="E48" s="227">
        <v>37</v>
      </c>
      <c r="F48" s="317" t="n">
        <v>51387.67832597831</v>
      </c>
      <c r="G48" s="9">
        <f si="1" t="shared"/>
        <v>7.4472208511972412E-3</v>
      </c>
    </row>
    <row r="49" spans="1:7" x14ac:dyDescent="0.25">
      <c r="A49">
        <v>38</v>
      </c>
      <c r="B49" s="6" t="n">
        <v>93974.882278439</v>
      </c>
      <c r="C49" s="9">
        <f si="0" t="shared"/>
        <v>1.5972981835236624E-2</v>
      </c>
      <c r="E49" s="228">
        <v>38</v>
      </c>
      <c r="F49" s="318" t="n">
        <v>54647.18385114187</v>
      </c>
      <c r="G49" s="9">
        <f si="1" t="shared"/>
        <v>8.6233840586721379E-3</v>
      </c>
    </row>
    <row r="50" spans="1:7" x14ac:dyDescent="0.25">
      <c r="A50">
        <v>39</v>
      </c>
      <c r="B50" s="6" t="n">
        <v>30105.5066404392</v>
      </c>
      <c r="C50" s="9">
        <f si="0" t="shared"/>
        <v>5.1170557392510793E-3</v>
      </c>
      <c r="E50" s="229">
        <v>39</v>
      </c>
      <c r="F50" s="319" t="n">
        <v>53625.17705687038</v>
      </c>
      <c r="G50" s="9">
        <f si="1" t="shared"/>
        <v>1.0512190046531969E-2</v>
      </c>
    </row>
    <row r="51" spans="1:7" x14ac:dyDescent="0.25">
      <c r="A51">
        <v>40</v>
      </c>
      <c r="B51" s="6" t="n">
        <v>49804.4635479382</v>
      </c>
      <c r="C51" s="9">
        <f si="0" t="shared"/>
        <v>8.4653023475767808E-3</v>
      </c>
      <c r="E51" s="230">
        <v>40</v>
      </c>
      <c r="F51" s="320" t="n">
        <v>48790.071201061066</v>
      </c>
      <c r="G51" s="9">
        <f si="1" t="shared"/>
        <v>9.2623757374471882E-3</v>
      </c>
    </row>
    <row r="52" spans="1:7" x14ac:dyDescent="0.25">
      <c r="A52">
        <v>41</v>
      </c>
      <c r="B52" s="6" t="n">
        <v>31554.7260872384</v>
      </c>
      <c r="C52" s="9">
        <f si="0" t="shared"/>
        <v>5.3633806649946289E-3</v>
      </c>
      <c r="E52" s="231">
        <v>41</v>
      </c>
      <c r="F52" s="321" t="n">
        <v>37229.11349224586</v>
      </c>
      <c r="G52" s="9">
        <f si="1" t="shared"/>
        <v>5.7294592687683662E-3</v>
      </c>
    </row>
    <row r="53" spans="1:7" x14ac:dyDescent="0.25">
      <c r="A53">
        <v>42</v>
      </c>
      <c r="B53" s="6" t="n">
        <v>25595.9084648498</v>
      </c>
      <c r="C53" s="9">
        <f si="0" t="shared"/>
        <v>4.3505559257213085E-3</v>
      </c>
      <c r="E53" s="232">
        <v>42</v>
      </c>
      <c r="F53" s="322" t="n">
        <v>34728.0581813395</v>
      </c>
      <c r="G53" s="9">
        <f si="1" t="shared"/>
        <v>5.6553403949939464E-3</v>
      </c>
    </row>
    <row r="54" spans="1:7" x14ac:dyDescent="0.25">
      <c r="A54">
        <v>43</v>
      </c>
      <c r="B54" s="6" t="n">
        <v>20508.4451423708</v>
      </c>
      <c r="C54" s="9">
        <f si="0" t="shared"/>
        <v>3.4858359360051432E-3</v>
      </c>
      <c r="E54" s="233">
        <v>43</v>
      </c>
      <c r="F54" s="323" t="n">
        <v>28260.03525974647</v>
      </c>
      <c r="G54" s="9">
        <f si="1" t="shared"/>
        <v>5.9886848074125537E-3</v>
      </c>
    </row>
    <row r="55" spans="1:7" x14ac:dyDescent="0.25">
      <c r="A55">
        <v>44</v>
      </c>
      <c r="B55" s="6" t="n">
        <v>17426.8626140231</v>
      </c>
      <c r="C55" s="9">
        <f si="0" t="shared"/>
        <v>2.9620570223669231E-3</v>
      </c>
      <c r="E55" s="234">
        <v>44</v>
      </c>
      <c r="F55" s="324" t="n">
        <v>35518.883502624</v>
      </c>
      <c r="G55" s="9">
        <f si="1" t="shared"/>
        <v>5.1081923431707628E-3</v>
      </c>
    </row>
    <row r="56" spans="1:7" x14ac:dyDescent="0.25">
      <c r="A56">
        <v>45</v>
      </c>
      <c r="B56" s="6" t="n">
        <v>234208.0230709163</v>
      </c>
      <c r="C56" s="9">
        <f si="0" t="shared"/>
        <v>3.9808514865644448E-2</v>
      </c>
      <c r="E56" s="235">
        <v>45</v>
      </c>
      <c r="F56" s="325" t="n">
        <v>25806.74853270171</v>
      </c>
      <c r="G56" s="9">
        <f si="1" t="shared"/>
        <v>4.1853301614198117E-3</v>
      </c>
    </row>
    <row r="57" spans="1:7" x14ac:dyDescent="0.25">
      <c r="A57">
        <v>46</v>
      </c>
      <c r="B57" s="6" t="n">
        <v>23757.9870365377</v>
      </c>
      <c r="C57" s="9">
        <f si="0" t="shared"/>
        <v>4.038163030117151E-3</v>
      </c>
      <c r="E57" s="236">
        <v>46</v>
      </c>
      <c r="F57" s="326" t="n">
        <v>26623.39344971645</v>
      </c>
      <c r="G57" s="9">
        <f si="1" t="shared"/>
        <v>4.1146739537690812E-3</v>
      </c>
    </row>
    <row r="58" spans="1:7" x14ac:dyDescent="0.25">
      <c r="A58">
        <v>47</v>
      </c>
      <c r="B58" s="6" t="n">
        <v>24601.2392316939</v>
      </c>
      <c r="C58" s="9">
        <f si="0" t="shared"/>
        <v>4.1814912436694196E-3</v>
      </c>
      <c r="E58" s="237">
        <v>47</v>
      </c>
      <c r="F58" s="327" t="n">
        <v>23049.019204081047</v>
      </c>
      <c r="G58" s="9">
        <f si="1" t="shared"/>
        <v>3.5786960059623085E-3</v>
      </c>
    </row>
    <row r="59" spans="1:7" x14ac:dyDescent="0.25">
      <c r="A59">
        <v>48</v>
      </c>
      <c r="B59" s="6" t="n">
        <v>31518.40085416</v>
      </c>
      <c r="C59" s="9">
        <f si="0" t="shared"/>
        <v>5.3572064376473374E-3</v>
      </c>
      <c r="E59" s="238">
        <v>48</v>
      </c>
      <c r="F59" s="328" t="n">
        <v>22726.768835541632</v>
      </c>
      <c r="G59" s="9">
        <f si="1" t="shared"/>
        <v>3.7743824419520138E-3</v>
      </c>
    </row>
    <row r="60" spans="1:7" x14ac:dyDescent="0.25">
      <c r="A60">
        <v>49</v>
      </c>
      <c r="B60" s="6" t="n">
        <v>18363.1980915131</v>
      </c>
      <c r="C60" s="9">
        <f si="0" t="shared"/>
        <v>3.1212066718373198E-3</v>
      </c>
      <c r="E60" s="239">
        <v>49</v>
      </c>
      <c r="F60" s="329" t="n">
        <v>25906.38024423811</v>
      </c>
      <c r="G60" s="9">
        <f si="1" t="shared"/>
        <v>4.9170104876900865E-3</v>
      </c>
    </row>
    <row r="61" spans="1:7" x14ac:dyDescent="0.25">
      <c r="A61">
        <v>50</v>
      </c>
      <c r="B61" s="6" t="n">
        <v>9833.6988481801</v>
      </c>
      <c r="C61" s="9">
        <f si="0" t="shared"/>
        <v>1.6714412326665502E-3</v>
      </c>
      <c r="E61" s="240">
        <v>50</v>
      </c>
      <c r="F61" s="330" t="n">
        <v>17256.947155782844</v>
      </c>
      <c r="G61" s="9">
        <f si="1" t="shared"/>
        <v>3.9191078422138332E-3</v>
      </c>
    </row>
    <row r="62" spans="1:7" x14ac:dyDescent="0.25">
      <c r="A62">
        <v>51</v>
      </c>
      <c r="B62" s="6" t="n">
        <v>22786.4690392695</v>
      </c>
      <c r="C62" s="9">
        <f si="0" t="shared"/>
        <v>3.8730333811435899E-3</v>
      </c>
      <c r="E62" s="241">
        <v>51</v>
      </c>
      <c r="F62" s="331" t="n">
        <v>16955.364145567535</v>
      </c>
      <c r="G62" s="9">
        <f si="1" t="shared"/>
        <v>2.7661121951710692E-3</v>
      </c>
    </row>
    <row r="63" spans="1:7" x14ac:dyDescent="0.25">
      <c r="A63">
        <v>52</v>
      </c>
      <c r="B63" s="6" t="n">
        <v>20446.112975134398</v>
      </c>
      <c r="C63" s="9">
        <f si="0" t="shared"/>
        <v>3.4752412903841139E-3</v>
      </c>
      <c r="E63" s="242">
        <v>52</v>
      </c>
      <c r="F63" s="332" t="n">
        <v>14133.326131407135</v>
      </c>
      <c r="G63" s="9">
        <f si="1" t="shared"/>
        <v>2.3122928187023673E-3</v>
      </c>
    </row>
    <row r="64" spans="1:7" x14ac:dyDescent="0.25">
      <c r="A64">
        <v>53</v>
      </c>
      <c r="B64" s="6" t="n">
        <v>2353.1339614491</v>
      </c>
      <c r="C64" s="9">
        <f si="0" t="shared"/>
        <v>3.9996395963273784E-4</v>
      </c>
      <c r="E64" s="243">
        <v>53</v>
      </c>
      <c r="F64" s="333" t="n">
        <v>15130.25617369547</v>
      </c>
      <c r="G64" s="9">
        <f si="1" t="shared"/>
        <v>2.4752239307100246E-3</v>
      </c>
    </row>
    <row r="65" spans="1:7" x14ac:dyDescent="0.25">
      <c r="A65">
        <v>54</v>
      </c>
      <c r="B65" s="6" t="n">
        <v>38811.9705766629</v>
      </c>
      <c r="C65" s="9">
        <f si="0" t="shared"/>
        <v>6.5969000011507377E-3</v>
      </c>
      <c r="E65" s="244">
        <v>54</v>
      </c>
      <c r="F65" s="334" t="n">
        <v>12044.92016441176</v>
      </c>
      <c r="G65" s="9">
        <f si="1" t="shared"/>
        <v>2.1657821617868749E-3</v>
      </c>
    </row>
    <row r="66" spans="1:7" x14ac:dyDescent="0.25">
      <c r="A66">
        <v>55</v>
      </c>
      <c r="B66" s="6" t="n">
        <v>3407.1738624967</v>
      </c>
      <c r="C66" s="9">
        <f si="0" t="shared"/>
        <v>5.7911991902158725E-4</v>
      </c>
      <c r="E66" s="245">
        <v>55</v>
      </c>
      <c r="F66" s="335" t="n">
        <v>12452.459686160815</v>
      </c>
      <c r="G66" s="9">
        <f si="1" t="shared"/>
        <v>3.012602928600611E-3</v>
      </c>
    </row>
    <row r="67" spans="1:7" x14ac:dyDescent="0.25">
      <c r="A67">
        <v>56</v>
      </c>
      <c r="B67" s="6" t="n">
        <v>8306.3735064256</v>
      </c>
      <c r="C67" s="9">
        <f si="0" t="shared"/>
        <v>1.4118405888683674E-3</v>
      </c>
      <c r="E67" s="246">
        <v>56</v>
      </c>
      <c r="F67" s="336" t="n">
        <v>14798.750459400168</v>
      </c>
      <c r="G67" s="9">
        <f si="1" t="shared"/>
        <v>2.0097629203839787E-3</v>
      </c>
    </row>
    <row r="68" spans="1:7" x14ac:dyDescent="0.25">
      <c r="A68">
        <v>57</v>
      </c>
      <c r="B68" s="6" t="n">
        <v>4576.546393783</v>
      </c>
      <c r="C68" s="9">
        <f si="0" t="shared"/>
        <v>7.7787905282415421E-4</v>
      </c>
      <c r="E68" s="247">
        <v>57</v>
      </c>
      <c r="F68" s="337" t="n">
        <v>11265.11560438984</v>
      </c>
      <c r="G68" s="9">
        <f si="1" t="shared"/>
        <v>1.9903145759820138E-3</v>
      </c>
    </row>
    <row r="69" spans="1:7" x14ac:dyDescent="0.25">
      <c r="A69">
        <v>58</v>
      </c>
      <c r="B69" s="6" t="n">
        <v>15517.8674723471</v>
      </c>
      <c r="C69" s="9">
        <f si="0" t="shared"/>
        <v>2.6375836739332462E-3</v>
      </c>
      <c r="E69" s="248">
        <v>58</v>
      </c>
      <c r="F69" s="338" t="n">
        <v>16026.569108350215</v>
      </c>
      <c r="G69" s="9">
        <f si="1" t="shared"/>
        <v>1.6704283892716926E-3</v>
      </c>
    </row>
    <row r="70" spans="1:7" x14ac:dyDescent="0.25">
      <c r="A70">
        <v>59</v>
      </c>
      <c r="B70" s="6" t="n">
        <v>18685.0195483197</v>
      </c>
      <c r="C70" s="9">
        <f si="0" t="shared"/>
        <v>3.1759069083167925E-3</v>
      </c>
      <c r="E70" s="249">
        <v>59</v>
      </c>
      <c r="F70" s="339" t="n">
        <v>9446.581025869371</v>
      </c>
      <c r="G70" s="9">
        <f si="1" t="shared"/>
        <v>1.7186080081080411E-3</v>
      </c>
    </row>
    <row r="71" spans="1:7" x14ac:dyDescent="0.25">
      <c r="A71">
        <v>60</v>
      </c>
      <c r="B71" s="6" t="n">
        <v>25859.931172548</v>
      </c>
      <c r="C71" s="9">
        <f si="0" t="shared"/>
        <v>4.3954320650886137E-3</v>
      </c>
      <c r="E71" s="250">
        <v>60</v>
      </c>
      <c r="F71" s="340" t="n">
        <v>8401.0246685349</v>
      </c>
      <c r="G71" s="9">
        <f si="1" t="shared"/>
        <v>1.3793375504964499E-3</v>
      </c>
    </row>
    <row r="72" spans="1:7" x14ac:dyDescent="0.25">
      <c r="A72">
        <v>61</v>
      </c>
      <c r="B72" s="6" t="n">
        <v>27551.548556353</v>
      </c>
      <c r="C72" s="9">
        <f si="0" t="shared"/>
        <v>4.682957551565196E-3</v>
      </c>
      <c r="E72" s="251">
        <v>61</v>
      </c>
      <c r="F72" s="341" t="n">
        <v>7045.140379095496</v>
      </c>
      <c r="G72" s="9">
        <f si="1" t="shared"/>
        <v>1.235289452293777E-3</v>
      </c>
    </row>
    <row r="73" spans="1:7" x14ac:dyDescent="0.25">
      <c r="A73">
        <v>62</v>
      </c>
      <c r="B73" s="6" t="n">
        <v>5269.881621041</v>
      </c>
      <c r="C73" s="9">
        <f si="0" t="shared"/>
        <v>8.9572576592679551E-4</v>
      </c>
      <c r="E73" s="252">
        <v>62</v>
      </c>
      <c r="F73" s="342" t="n">
        <v>8377.588021040161</v>
      </c>
      <c r="G73" s="9">
        <f si="1" t="shared"/>
        <v>1.3711083320086972E-3</v>
      </c>
    </row>
    <row r="74" spans="1:7" x14ac:dyDescent="0.25">
      <c r="A74">
        <v>63</v>
      </c>
      <c r="B74" s="6" t="n">
        <v>2698.5191981036</v>
      </c>
      <c r="C74" s="9">
        <f si="0" t="shared"/>
        <v>4.586693495995522E-4</v>
      </c>
      <c r="E74" s="253">
        <v>63</v>
      </c>
      <c r="F74" s="343" t="n">
        <v>7000.8264232272895</v>
      </c>
      <c r="G74" s="9">
        <f si="1" t="shared"/>
        <v>1.0682860047099313E-3</v>
      </c>
    </row>
    <row r="75" spans="1:7" x14ac:dyDescent="0.25">
      <c r="A75">
        <v>64</v>
      </c>
      <c r="B75" s="6" t="n">
        <v>5911.163037777</v>
      </c>
      <c r="C75" s="9">
        <f si="0" t="shared"/>
        <v>1.004724853474991E-3</v>
      </c>
      <c r="E75" s="254">
        <v>64</v>
      </c>
      <c r="F75" s="344" t="n">
        <v>6573.549572458661</v>
      </c>
      <c r="G75" s="9">
        <f si="1" t="shared"/>
        <v>1.527078392428532E-3</v>
      </c>
    </row>
    <row r="76" spans="1:7" x14ac:dyDescent="0.25">
      <c r="A76">
        <v>65</v>
      </c>
      <c r="B76" s="6" t="n">
        <v>6358.2571598738</v>
      </c>
      <c r="C76" s="9">
        <f si="0" t="shared"/>
        <v>1.0807177796457721E-3</v>
      </c>
      <c r="E76" s="255">
        <v>65</v>
      </c>
      <c r="F76" s="345" t="n">
        <v>5887.921553489306</v>
      </c>
      <c r="G76" s="9">
        <f si="1" t="shared"/>
        <v>1.0461285749069557E-3</v>
      </c>
    </row>
    <row r="77" spans="1:7" x14ac:dyDescent="0.25">
      <c r="A77">
        <v>66</v>
      </c>
      <c r="B77" s="6" t="n">
        <v>7571.365467162</v>
      </c>
      <c r="C77" s="9">
        <f ref="C77:C102" si="2" t="shared">B77/B$102</f>
        <v>1.2869107163826002E-3</v>
      </c>
      <c r="E77" s="256">
        <v>66</v>
      </c>
      <c r="F77" s="346" t="n">
        <v>8358.266003815559</v>
      </c>
      <c r="G77" s="9">
        <f ref="G77:G102" si="3" t="shared">F77/F$102</f>
        <v>9.6658513430966826E-4</v>
      </c>
    </row>
    <row r="78" spans="1:7" x14ac:dyDescent="0.25">
      <c r="A78">
        <v>67</v>
      </c>
      <c r="B78" s="6" t="n">
        <v>13229.806233146</v>
      </c>
      <c r="C78" s="9">
        <f si="2" t="shared"/>
        <v>2.2486801741301581E-3</v>
      </c>
      <c r="E78" s="257">
        <v>67</v>
      </c>
      <c r="F78" s="347" t="n">
        <v>5503.274766722593</v>
      </c>
      <c r="G78" s="9">
        <f si="3" t="shared"/>
        <v>8.8640920678607893E-4</v>
      </c>
    </row>
    <row r="79" spans="1:7" x14ac:dyDescent="0.25">
      <c r="A79">
        <v>68</v>
      </c>
      <c r="B79" s="6" t="n">
        <v>1444.023518146</v>
      </c>
      <c r="C79" s="9">
        <f si="2" t="shared"/>
        <v>2.454417698195139E-4</v>
      </c>
      <c r="E79" s="258">
        <v>68</v>
      </c>
      <c r="F79" s="348" t="n">
        <v>5799.663277646875</v>
      </c>
      <c r="G79" s="9">
        <f si="3" t="shared"/>
        <v>9.7335090476424258E-4</v>
      </c>
    </row>
    <row r="80" spans="1:7" x14ac:dyDescent="0.25">
      <c r="A80">
        <v>69</v>
      </c>
      <c r="B80" s="6" t="n">
        <v>9242.7549155323</v>
      </c>
      <c r="C80" s="9">
        <f si="2" t="shared"/>
        <v>1.5709980453704033E-3</v>
      </c>
      <c r="E80" s="259">
        <v>69</v>
      </c>
      <c r="F80" s="349" t="n">
        <v>5712.411803648995</v>
      </c>
      <c r="G80" s="9">
        <f si="3" t="shared"/>
        <v>8.729752533663598E-4</v>
      </c>
    </row>
    <row r="81" spans="1:7" x14ac:dyDescent="0.25">
      <c r="A81">
        <v>70</v>
      </c>
      <c r="B81" s="6" t="n">
        <v>8123.2133185824</v>
      </c>
      <c r="C81" s="9">
        <f si="2" t="shared"/>
        <v>1.3807087131753536E-3</v>
      </c>
      <c r="E81" s="260">
        <v>70</v>
      </c>
      <c r="F81" s="350" t="n">
        <v>4358.67214463269</v>
      </c>
      <c r="G81" s="9">
        <f si="3" t="shared"/>
        <v>7.8403514065758734E-4</v>
      </c>
    </row>
    <row r="82" spans="1:7" x14ac:dyDescent="0.25">
      <c r="A82">
        <v>71</v>
      </c>
      <c r="B82" s="6" t="n">
        <v>6545.5658596602</v>
      </c>
      <c r="C82" s="9">
        <f si="2" t="shared"/>
        <v>1.1125547810522253E-3</v>
      </c>
      <c r="E82" s="261">
        <v>71</v>
      </c>
      <c r="F82" s="351" t="n">
        <v>4368.289181099679</v>
      </c>
      <c r="G82" s="9">
        <f si="3" t="shared"/>
        <v>8.1764437524315336E-4</v>
      </c>
    </row>
    <row r="83" spans="1:7" x14ac:dyDescent="0.25">
      <c r="A83">
        <v>72</v>
      </c>
      <c r="B83" s="6" t="n">
        <v>44741.4452130761</v>
      </c>
      <c r="C83" s="9">
        <f si="2" t="shared"/>
        <v>7.6047372908991107E-3</v>
      </c>
      <c r="E83" s="262">
        <v>72</v>
      </c>
      <c r="F83" s="352" t="n">
        <v>4247.369035995676</v>
      </c>
      <c r="G83" s="9">
        <f si="3" t="shared"/>
        <v>6.8397486421029844E-4</v>
      </c>
    </row>
    <row r="84" spans="1:7" x14ac:dyDescent="0.25">
      <c r="A84">
        <v>73</v>
      </c>
      <c r="B84" s="6" t="n">
        <v>3851.127302794</v>
      </c>
      <c r="C84" s="9">
        <f si="2" t="shared"/>
        <v>6.5457902113090223E-4</v>
      </c>
      <c r="E84" s="263">
        <v>73</v>
      </c>
      <c r="F84" s="353" t="n">
        <v>4977.035185827227</v>
      </c>
      <c r="G84" s="9">
        <f si="3" t="shared"/>
        <v>6.8176066534805162E-4</v>
      </c>
    </row>
    <row r="85" spans="1:7" x14ac:dyDescent="0.25">
      <c r="A85">
        <v>74</v>
      </c>
      <c r="B85" s="6" t="n">
        <v>11507.2270041624</v>
      </c>
      <c r="C85" s="9">
        <f si="2" t="shared"/>
        <v>1.9558920794051512E-3</v>
      </c>
      <c r="E85" s="264">
        <v>74</v>
      </c>
      <c r="F85" s="354" t="n">
        <v>4770.1146367869505</v>
      </c>
      <c r="G85" s="9">
        <f si="3" t="shared"/>
        <v>6.6395764055709973E-4</v>
      </c>
    </row>
    <row r="86" spans="1:7" x14ac:dyDescent="0.25">
      <c r="A86">
        <v>75</v>
      </c>
      <c r="B86" s="6" t="n">
        <v>9615.6426573921</v>
      </c>
      <c r="C86" s="9">
        <f si="2" t="shared"/>
        <v>1.6343780569533018E-3</v>
      </c>
      <c r="E86" s="265">
        <v>75</v>
      </c>
      <c r="F86" s="355" t="n">
        <v>3118.502337232942</v>
      </c>
      <c r="G86" s="9">
        <f si="3" t="shared"/>
        <v>5.6892080656967227E-4</v>
      </c>
    </row>
    <row r="87" spans="1:7" x14ac:dyDescent="0.25">
      <c r="A87">
        <v>76</v>
      </c>
      <c r="B87" s="6" t="n">
        <v>17322.019147213</v>
      </c>
      <c r="C87" s="9">
        <f si="2" t="shared"/>
        <v>2.9442366989964816E-3</v>
      </c>
      <c r="E87" s="266">
        <v>76</v>
      </c>
      <c r="F87" s="356" t="n">
        <v>3784.4249982928486</v>
      </c>
      <c r="G87" s="9">
        <f si="3" t="shared"/>
        <v>5.936669404183753E-4</v>
      </c>
    </row>
    <row r="88" spans="1:7" x14ac:dyDescent="0.25">
      <c r="A88">
        <v>77</v>
      </c>
      <c r="B88" s="6" t="n">
        <v>3761.1715561875</v>
      </c>
      <c r="C88" s="9">
        <f si="2" t="shared"/>
        <v>6.3928917482640262E-4</v>
      </c>
      <c r="E88" s="267">
        <v>77</v>
      </c>
      <c r="F88" s="357" t="n">
        <v>2837.7576227098</v>
      </c>
      <c r="G88" s="9">
        <f si="3" t="shared"/>
        <v>7.8120820564468003E-4</v>
      </c>
    </row>
    <row r="89" spans="1:7" x14ac:dyDescent="0.25">
      <c r="A89">
        <v>78</v>
      </c>
      <c r="B89" s="6" t="n">
        <v>1208.3615056104</v>
      </c>
      <c r="C89" s="9">
        <f si="2" t="shared"/>
        <v>2.0538611926457741E-4</v>
      </c>
      <c r="E89" s="268">
        <v>78</v>
      </c>
      <c r="F89" s="358" t="n">
        <v>2747.306733642009</v>
      </c>
      <c r="G89" s="9">
        <f si="3" t="shared"/>
        <v>4.8308587638218705E-4</v>
      </c>
    </row>
    <row r="90" spans="1:7" x14ac:dyDescent="0.25">
      <c r="A90">
        <v>79</v>
      </c>
      <c r="B90" s="6" t="n">
        <v>2981.6171355287</v>
      </c>
      <c r="C90" s="9">
        <f si="2" t="shared"/>
        <v>5.0678772019443141E-4</v>
      </c>
      <c r="E90" s="269">
        <v>79</v>
      </c>
      <c r="F90" s="359" t="n">
        <v>2980.968681228404</v>
      </c>
      <c r="G90" s="9">
        <f si="3" t="shared"/>
        <v>4.7690290253905366E-4</v>
      </c>
    </row>
    <row r="91" spans="1:7" x14ac:dyDescent="0.25">
      <c r="A91">
        <v>80</v>
      </c>
      <c r="B91" s="6" t="n">
        <v>35198.386924146704</v>
      </c>
      <c r="C91" s="9">
        <f si="2" t="shared"/>
        <v>5.9826964539653211E-3</v>
      </c>
      <c r="E91" s="270">
        <v>80</v>
      </c>
      <c r="F91" s="360" t="n">
        <v>3126.639128931279</v>
      </c>
      <c r="G91" s="9">
        <f si="3" t="shared"/>
        <v>3.8986681815167238E-4</v>
      </c>
    </row>
    <row r="92" spans="1:7" x14ac:dyDescent="0.25">
      <c r="A92">
        <v>81</v>
      </c>
      <c r="B92" s="6" t="n">
        <v>2632.678679736</v>
      </c>
      <c r="C92" s="9">
        <f si="2" t="shared"/>
        <v>4.4747838688259726E-4</v>
      </c>
      <c r="E92" s="271">
        <v>81</v>
      </c>
      <c r="F92" s="361" t="n">
        <v>3417.0080986244066</v>
      </c>
      <c r="G92" s="9">
        <f si="3" t="shared"/>
        <v>3.95922122180262E-4</v>
      </c>
    </row>
    <row r="93" spans="1:7" x14ac:dyDescent="0.25">
      <c r="A93">
        <v>82</v>
      </c>
      <c r="B93" s="6" t="n">
        <v>9855.246057459</v>
      </c>
      <c r="C93" s="9">
        <f si="2" t="shared"/>
        <v>1.6751036281286926E-3</v>
      </c>
      <c r="E93" s="272">
        <v>82</v>
      </c>
      <c r="F93" s="362" t="n">
        <v>2593.613809981564</v>
      </c>
      <c r="G93" s="9">
        <f si="3" t="shared"/>
        <v>3.5362526416864311E-4</v>
      </c>
    </row>
    <row r="94" spans="1:7" x14ac:dyDescent="0.25">
      <c r="A94">
        <v>83</v>
      </c>
      <c r="B94" s="6" t="n">
        <v>5837.9404788961</v>
      </c>
      <c r="C94" s="9">
        <f si="2" t="shared"/>
        <v>9.9227915974729047E-4</v>
      </c>
      <c r="E94" s="273">
        <v>83</v>
      </c>
      <c r="F94" s="363" t="n">
        <v>2326.5392447816434</v>
      </c>
      <c r="G94" s="9">
        <f si="3" t="shared"/>
        <v>3.8055049884101977E-4</v>
      </c>
    </row>
    <row r="95" spans="1:7" x14ac:dyDescent="0.25">
      <c r="A95">
        <v>84</v>
      </c>
      <c r="B95" s="6" t="n">
        <v>8223.5712677336</v>
      </c>
      <c r="C95" s="9">
        <f si="2" t="shared"/>
        <v>1.3977666297159048E-3</v>
      </c>
      <c r="E95" s="274">
        <v>84</v>
      </c>
      <c r="F95" s="364" t="n">
        <v>2638.2093037498908</v>
      </c>
      <c r="G95" s="9">
        <f si="3" t="shared"/>
        <v>3.4154337005823843E-4</v>
      </c>
    </row>
    <row r="96" spans="1:7" x14ac:dyDescent="0.25">
      <c r="A96">
        <v>85</v>
      </c>
      <c r="B96" s="6" t="n">
        <v>5006.9698036617</v>
      </c>
      <c r="C96" s="9">
        <f si="2" t="shared"/>
        <v>8.5103844542741027E-4</v>
      </c>
      <c r="E96" s="275">
        <v>85</v>
      </c>
      <c r="F96" s="365" t="n">
        <v>2431.4126277775963</v>
      </c>
      <c r="G96" s="9">
        <f si="3" t="shared"/>
        <v>4.8781533381534446E-4</v>
      </c>
    </row>
    <row r="97" spans="1:7" x14ac:dyDescent="0.25">
      <c r="A97">
        <v>86</v>
      </c>
      <c r="B97" s="6" t="n">
        <v>2867.0805968983</v>
      </c>
      <c r="C97" s="9">
        <f si="2" t="shared"/>
        <v>4.8731985807363998E-4</v>
      </c>
      <c r="E97" s="276">
        <v>86</v>
      </c>
      <c r="F97" s="366" t="n">
        <v>2178.7749802159356</v>
      </c>
      <c r="G97" s="9">
        <f si="3" t="shared"/>
        <v>3.0522968966004062E-4</v>
      </c>
    </row>
    <row r="98" spans="1:7" x14ac:dyDescent="0.25">
      <c r="A98">
        <v>87</v>
      </c>
      <c r="B98" s="6" t="n">
        <v>7103.3543771546</v>
      </c>
      <c r="C98" s="9">
        <f si="2" t="shared"/>
        <v>1.2073625173518404E-3</v>
      </c>
      <c r="E98" s="277">
        <v>87</v>
      </c>
      <c r="F98" s="367" t="n">
        <v>1962.8074344432932</v>
      </c>
      <c r="G98" s="9">
        <f si="3" t="shared"/>
        <v>2.9828988636765666E-4</v>
      </c>
    </row>
    <row r="99" spans="1:7" x14ac:dyDescent="0.25">
      <c r="A99">
        <v>88</v>
      </c>
      <c r="B99" s="6" t="n">
        <v>6611.2846627433</v>
      </c>
      <c r="C99" s="9">
        <f si="2" t="shared"/>
        <v>1.1237250557301931E-3</v>
      </c>
      <c r="E99" s="278">
        <v>88</v>
      </c>
      <c r="F99" s="368" t="n">
        <v>1825.7570464998819</v>
      </c>
      <c r="G99" s="9">
        <f si="3" t="shared"/>
        <v>3.5575297494351587E-4</v>
      </c>
    </row>
    <row r="100" spans="1:7" x14ac:dyDescent="0.25">
      <c r="A100">
        <v>89</v>
      </c>
      <c r="B100" s="6" t="n">
        <v>12051.0114977885</v>
      </c>
      <c r="C100" s="9">
        <f si="2" t="shared"/>
        <v>2.0483195411734739E-3</v>
      </c>
      <c r="E100" s="279">
        <v>89</v>
      </c>
      <c r="F100" s="369" t="n">
        <v>1576.2692541263593</v>
      </c>
      <c r="G100" s="9">
        <f si="3" t="shared"/>
        <v>2.6411623512038768E-4</v>
      </c>
    </row>
    <row ht="15.75" r="101" spans="1:7" thickBot="1" x14ac:dyDescent="0.3">
      <c r="A101" s="1">
        <v>90</v>
      </c>
      <c r="B101" s="7" t="n">
        <v>255275.5855974669</v>
      </c>
      <c r="C101" s="9">
        <f si="2" t="shared"/>
        <v>4.3389384406425043E-2</v>
      </c>
      <c r="E101" s="372">
        <v>90</v>
      </c>
      <c r="F101" s="372" t="n">
        <v>87630.73935548068</v>
      </c>
      <c r="G101" s="9">
        <f si="3" t="shared"/>
        <v>1.6229807926661375E-2</v>
      </c>
    </row>
    <row r="102" spans="1:7" x14ac:dyDescent="0.25">
      <c r="B102" s="6">
        <f>SUM(B11:B101)</f>
        <v>5883365.0002111122</v>
      </c>
      <c r="C102" s="9">
        <f si="2" t="shared"/>
        <v>1</v>
      </c>
      <c r="F102" s="6">
        <f>SUM(F11:F101)</f>
        <v>5808739.9489041083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L102"/>
  <sheetViews>
    <sheetView workbookViewId="0">
      <selection activeCell="K11" sqref="K11:L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98296.5465534797</v>
      </c>
      <c r="C11" s="9">
        <f>B11/B$102</f>
        <v>4.3350897587176453E-2</v>
      </c>
      <c r="E11" s="371">
        <v>0</v>
      </c>
      <c r="F11" s="371" t="n">
        <v>280073.4754572349</v>
      </c>
      <c r="G11" s="9">
        <f>F11/F$102</f>
        <v>0.10685000171222048</v>
      </c>
      <c r="K11" s="6" t="n">
        <v>10.388893204831918</v>
      </c>
      <c r="L11" s="6" t="n">
        <v>10.400403121336321</v>
      </c>
    </row>
    <row r="12" spans="1:12" x14ac:dyDescent="0.25">
      <c r="A12">
        <v>1</v>
      </c>
      <c r="B12" s="6" t="n">
        <v>92884.4539748665</v>
      </c>
      <c r="C12" s="9">
        <f>B12/B$102</f>
        <v>4.0964048004621383E-2</v>
      </c>
      <c r="E12" s="371">
        <v>1</v>
      </c>
      <c r="F12" s="371" t="n">
        <v>171684.14447820504</v>
      </c>
      <c r="G12" s="9">
        <f>F12/F$102</f>
        <v>6.8407779477926686E-2</v>
      </c>
      <c r="K12" s="6"/>
      <c r="L12" s="371"/>
    </row>
    <row r="13" spans="1:12" x14ac:dyDescent="0.25">
      <c r="A13">
        <v>2</v>
      </c>
      <c r="B13" s="6" t="n">
        <v>77163.9047374588</v>
      </c>
      <c r="C13" s="9">
        <f ref="C13:C76" si="0" t="shared">B13/B$102</f>
        <v>3.4030946650605388E-2</v>
      </c>
      <c r="E13" s="371">
        <v>2</v>
      </c>
      <c r="F13" s="371" t="n">
        <v>115426.91434598355</v>
      </c>
      <c r="G13" s="9">
        <f ref="G13:G76" si="1" t="shared">F13/F$102</f>
        <v>4.6324159035012732E-2</v>
      </c>
    </row>
    <row r="14" spans="1:12" x14ac:dyDescent="0.25">
      <c r="A14">
        <v>3</v>
      </c>
      <c r="B14" s="6" t="n">
        <v>138559.283781218</v>
      </c>
      <c r="C14" s="9">
        <f si="0" t="shared"/>
        <v>6.1107633294971181E-2</v>
      </c>
      <c r="E14" s="371">
        <v>3</v>
      </c>
      <c r="F14" s="371" t="n">
        <v>80767.70768087664</v>
      </c>
      <c r="G14" s="9">
        <f si="1" t="shared"/>
        <v>3.2084923608727424E-2</v>
      </c>
    </row>
    <row r="15" spans="1:12" x14ac:dyDescent="0.25">
      <c r="A15">
        <v>4</v>
      </c>
      <c r="B15" s="6" t="n">
        <v>259895.0907012826</v>
      </c>
      <c r="C15" s="9">
        <f si="0" t="shared"/>
        <v>0.11461934173110985</v>
      </c>
      <c r="E15" s="371">
        <v>4</v>
      </c>
      <c r="F15" s="371" t="n">
        <v>226563.68219957087</v>
      </c>
      <c r="G15" s="9">
        <f si="1" t="shared"/>
        <v>8.9139037015733544E-2</v>
      </c>
    </row>
    <row r="16" spans="1:12" x14ac:dyDescent="0.25">
      <c r="A16">
        <v>5</v>
      </c>
      <c r="B16" s="6" t="n">
        <v>187494.5667675218</v>
      </c>
      <c r="C16" s="9">
        <f si="0" t="shared"/>
        <v>8.2689148775625249E-2</v>
      </c>
      <c r="E16" s="371">
        <v>5</v>
      </c>
      <c r="F16" s="371" t="n">
        <v>189500.17719279963</v>
      </c>
      <c r="G16" s="9">
        <f si="1" t="shared"/>
        <v>7.4973840850836776E-2</v>
      </c>
    </row>
    <row r="17" spans="1:7" x14ac:dyDescent="0.25">
      <c r="A17">
        <v>6</v>
      </c>
      <c r="B17" s="6" t="n">
        <v>170117.2002851204</v>
      </c>
      <c r="C17" s="9">
        <f si="0" t="shared"/>
        <v>7.5025355273952654E-2</v>
      </c>
      <c r="E17" s="371">
        <v>6</v>
      </c>
      <c r="F17" s="371" t="n">
        <v>170440.44456114073</v>
      </c>
      <c r="G17" s="9">
        <f si="1" t="shared"/>
        <v>6.5965463653604242E-2</v>
      </c>
    </row>
    <row r="18" spans="1:7" x14ac:dyDescent="0.25">
      <c r="A18">
        <v>7</v>
      </c>
      <c r="B18" s="6" t="n">
        <v>115674.7960320113</v>
      </c>
      <c r="C18" s="9">
        <f si="0" t="shared"/>
        <v>5.1015080509191402E-2</v>
      </c>
      <c r="E18" s="371">
        <v>7</v>
      </c>
      <c r="F18" s="371" t="n">
        <v>120531.78173514221</v>
      </c>
      <c r="G18" s="9">
        <f si="1" t="shared"/>
        <v>4.7465968634070099E-2</v>
      </c>
    </row>
    <row r="19" spans="1:7" x14ac:dyDescent="0.25">
      <c r="A19">
        <v>8</v>
      </c>
      <c r="B19" s="6" t="n">
        <v>137490.15335657</v>
      </c>
      <c r="C19" s="9">
        <f si="0" t="shared"/>
        <v>6.0636123713288845E-2</v>
      </c>
      <c r="E19" s="371">
        <v>8</v>
      </c>
      <c r="F19" s="371" t="n">
        <v>135188.20265827977</v>
      </c>
      <c r="G19" s="9">
        <f si="1" t="shared"/>
        <v>5.6703356578843588E-2</v>
      </c>
    </row>
    <row r="20" spans="1:7" x14ac:dyDescent="0.25">
      <c r="A20">
        <v>9</v>
      </c>
      <c r="B20" s="6" t="n">
        <v>86984.82988029301</v>
      </c>
      <c r="C20" s="9">
        <f si="0" t="shared"/>
        <v>3.8362186505982186E-2</v>
      </c>
      <c r="E20" s="371">
        <v>9</v>
      </c>
      <c r="F20" s="371" t="n">
        <v>93623.75856638765</v>
      </c>
      <c r="G20" s="9">
        <f si="1" t="shared"/>
        <v>3.1374913239230681E-2</v>
      </c>
    </row>
    <row r="21" spans="1:7" x14ac:dyDescent="0.25">
      <c r="A21">
        <v>10</v>
      </c>
      <c r="B21" s="6" t="n">
        <v>127067.0036623775</v>
      </c>
      <c r="C21" s="9">
        <f si="0" t="shared"/>
        <v>5.6039289838937911E-2</v>
      </c>
      <c r="E21" s="371">
        <v>10</v>
      </c>
      <c r="F21" s="371" t="n">
        <v>85567.9028636519</v>
      </c>
      <c r="G21" s="9">
        <f si="1" t="shared"/>
        <v>3.5333059005265954E-2</v>
      </c>
    </row>
    <row r="22" spans="1:7" x14ac:dyDescent="0.25">
      <c r="A22">
        <v>11</v>
      </c>
      <c r="B22" s="6" t="n">
        <v>71225.6347937431</v>
      </c>
      <c r="C22" s="9">
        <f si="0" t="shared"/>
        <v>3.1412041498785341E-2</v>
      </c>
      <c r="E22" s="371">
        <v>11</v>
      </c>
      <c r="F22" s="371" t="n">
        <v>70557.21113609274</v>
      </c>
      <c r="G22" s="9">
        <f si="1" t="shared"/>
        <v>2.9321288427551131E-2</v>
      </c>
    </row>
    <row r="23" spans="1:7" x14ac:dyDescent="0.25">
      <c r="A23">
        <v>12</v>
      </c>
      <c r="B23" s="6" t="n">
        <v>64215.6654059196</v>
      </c>
      <c r="C23" s="9">
        <f si="0" t="shared"/>
        <v>2.8320493772279569E-2</v>
      </c>
      <c r="E23" s="371">
        <v>12</v>
      </c>
      <c r="F23" s="371" t="n">
        <v>70648.13996350029</v>
      </c>
      <c r="G23" s="9">
        <f si="1" t="shared"/>
        <v>3.130204333361146E-2</v>
      </c>
    </row>
    <row r="24" spans="1:7" x14ac:dyDescent="0.25">
      <c r="A24">
        <v>13</v>
      </c>
      <c r="B24" s="6" t="n">
        <v>54347.4564745415</v>
      </c>
      <c r="C24" s="9">
        <f si="0" t="shared"/>
        <v>2.3968400746099006E-2</v>
      </c>
      <c r="E24" s="371">
        <v>13</v>
      </c>
      <c r="F24" s="371" t="n">
        <v>67344.08041072362</v>
      </c>
      <c r="G24" s="9">
        <f si="1" t="shared"/>
        <v>2.5202715550956094E-2</v>
      </c>
    </row>
    <row r="25" spans="1:7" x14ac:dyDescent="0.25">
      <c r="A25">
        <v>14</v>
      </c>
      <c r="B25" s="6" t="n">
        <v>34582.6345875854</v>
      </c>
      <c r="C25" s="9">
        <f si="0" t="shared"/>
        <v>1.5251687906304068E-2</v>
      </c>
      <c r="E25" s="371">
        <v>14</v>
      </c>
      <c r="F25" s="371" t="n">
        <v>67011.17994275842</v>
      </c>
      <c r="G25" s="9">
        <f si="1" t="shared"/>
        <v>2.3386682501204084E-2</v>
      </c>
    </row>
    <row r="26" spans="1:7" x14ac:dyDescent="0.25">
      <c r="A26">
        <v>15</v>
      </c>
      <c r="B26" s="6" t="n">
        <v>53821.8271244117</v>
      </c>
      <c r="C26" s="9">
        <f si="0" t="shared"/>
        <v>2.373658686325935E-2</v>
      </c>
      <c r="E26" s="371">
        <v>15</v>
      </c>
      <c r="F26" s="371" t="n">
        <v>57661.74079159924</v>
      </c>
      <c r="G26" s="9">
        <f si="1" t="shared"/>
        <v>2.2719367060816741E-2</v>
      </c>
    </row>
    <row r="27" spans="1:7" x14ac:dyDescent="0.25">
      <c r="A27">
        <v>16</v>
      </c>
      <c r="B27" s="6" t="n">
        <v>59301.8653303014</v>
      </c>
      <c r="C27" s="9">
        <f si="0" t="shared"/>
        <v>2.6153401933238316E-2</v>
      </c>
      <c r="E27" s="371">
        <v>16</v>
      </c>
      <c r="F27" s="371" t="n">
        <v>63270.833312940704</v>
      </c>
      <c r="G27" s="9">
        <f si="1" t="shared"/>
        <v>2.4746705652841285E-2</v>
      </c>
    </row>
    <row r="28" spans="1:7" x14ac:dyDescent="0.25">
      <c r="A28">
        <v>17</v>
      </c>
      <c r="B28" s="6" t="n">
        <v>47893.4631537863</v>
      </c>
      <c r="C28" s="9">
        <f si="0" t="shared"/>
        <v>2.1122050459274257E-2</v>
      </c>
      <c r="E28" s="371">
        <v>17</v>
      </c>
      <c r="F28" s="371" t="n">
        <v>49724.4730292465</v>
      </c>
      <c r="G28" s="9">
        <f si="1" t="shared"/>
        <v>2.0265507609533127E-2</v>
      </c>
    </row>
    <row r="29" spans="1:7" x14ac:dyDescent="0.25">
      <c r="A29">
        <v>18</v>
      </c>
      <c r="B29" s="6" t="n">
        <v>57642.3111869992</v>
      </c>
      <c r="C29" s="9">
        <f si="0" t="shared"/>
        <v>2.5421502754384394E-2</v>
      </c>
      <c r="E29" s="371">
        <v>18</v>
      </c>
      <c r="F29" s="371" t="n">
        <v>46371.41158591819</v>
      </c>
      <c r="G29" s="9">
        <f si="1" t="shared"/>
        <v>1.6549718954933079E-2</v>
      </c>
    </row>
    <row r="30" spans="1:7" x14ac:dyDescent="0.25">
      <c r="A30">
        <v>19</v>
      </c>
      <c r="B30" s="6" t="n">
        <v>33051.0305787079</v>
      </c>
      <c r="C30" s="9">
        <f si="0" t="shared"/>
        <v>1.4576217497007098E-2</v>
      </c>
      <c r="E30" s="371">
        <v>19</v>
      </c>
      <c r="F30" s="371" t="n">
        <v>39314.4772787566</v>
      </c>
      <c r="G30" s="9">
        <f si="1" t="shared"/>
        <v>1.6768710961985716E-2</v>
      </c>
    </row>
    <row r="31" spans="1:7" x14ac:dyDescent="0.25">
      <c r="A31">
        <v>20</v>
      </c>
      <c r="B31" s="6" t="n">
        <v>30625.5526516688</v>
      </c>
      <c r="C31" s="9">
        <f si="0" t="shared"/>
        <v>1.3506529406207057E-2</v>
      </c>
      <c r="E31" s="371">
        <v>20</v>
      </c>
      <c r="F31" s="371" t="n">
        <v>40547.47772522199</v>
      </c>
      <c r="G31" s="9">
        <f si="1" t="shared"/>
        <v>1.3218010945025935E-2</v>
      </c>
    </row>
    <row r="32" spans="1:7" x14ac:dyDescent="0.25">
      <c r="A32">
        <v>21</v>
      </c>
      <c r="B32" s="6" t="n">
        <v>28347.0719922193</v>
      </c>
      <c r="C32" s="9">
        <f si="0" t="shared"/>
        <v>1.2501670281594596E-2</v>
      </c>
      <c r="E32" s="371">
        <v>21</v>
      </c>
      <c r="F32" s="371" t="n">
        <v>28536.971909735163</v>
      </c>
      <c r="G32" s="9">
        <f si="1" t="shared"/>
        <v>1.0930142013067847E-2</v>
      </c>
    </row>
    <row r="33" spans="1:7" x14ac:dyDescent="0.25">
      <c r="A33">
        <v>22</v>
      </c>
      <c r="B33" s="6" t="n">
        <v>24678.2618001255</v>
      </c>
      <c r="C33" s="9">
        <f si="0" t="shared"/>
        <v>1.0883645839426468E-2</v>
      </c>
      <c r="E33" s="371">
        <v>22</v>
      </c>
      <c r="F33" s="371" t="n">
        <v>30561.72050797375</v>
      </c>
      <c r="G33" s="9">
        <f si="1" t="shared"/>
        <v>1.0601231613014083E-2</v>
      </c>
    </row>
    <row r="34" spans="1:7" x14ac:dyDescent="0.25">
      <c r="A34">
        <v>23</v>
      </c>
      <c r="B34" s="6" t="n">
        <v>23681.8794503649</v>
      </c>
      <c r="C34" s="9">
        <f si="0" t="shared"/>
        <v>1.0444219728167904E-2</v>
      </c>
      <c r="E34" s="371">
        <v>23</v>
      </c>
      <c r="F34" s="371" t="n">
        <v>30222.481499202488</v>
      </c>
      <c r="G34" s="9">
        <f si="1" t="shared"/>
        <v>1.137902155523028E-2</v>
      </c>
    </row>
    <row r="35" spans="1:7" x14ac:dyDescent="0.25">
      <c r="A35">
        <v>24</v>
      </c>
      <c r="B35" s="6" t="n">
        <v>19224.0360309058</v>
      </c>
      <c r="C35" s="9">
        <f si="0" t="shared"/>
        <v>8.4782146108721649E-3</v>
      </c>
      <c r="E35" s="371">
        <v>24</v>
      </c>
      <c r="F35" s="371" t="n">
        <v>23160.805418975746</v>
      </c>
      <c r="G35" s="9">
        <f si="1" t="shared"/>
        <v>8.0673059101791025E-3</v>
      </c>
    </row>
    <row r="36" spans="1:7" x14ac:dyDescent="0.25">
      <c r="A36">
        <v>25</v>
      </c>
      <c r="B36" s="6" t="n">
        <v>14879.560831223</v>
      </c>
      <c r="C36" s="9">
        <f si="0" t="shared"/>
        <v>6.5622073241969449E-3</v>
      </c>
      <c r="E36" s="371">
        <v>25</v>
      </c>
      <c r="F36" s="371" t="n">
        <v>26725.471074429282</v>
      </c>
      <c r="G36" s="9">
        <f si="1" t="shared"/>
        <v>1.0367119952327499E-2</v>
      </c>
    </row>
    <row r="37" spans="1:7" x14ac:dyDescent="0.25">
      <c r="A37">
        <v>26</v>
      </c>
      <c r="B37" s="6" t="n">
        <v>16044.2989389792</v>
      </c>
      <c r="C37" s="9">
        <f si="0" t="shared"/>
        <v>7.0758819566800867E-3</v>
      </c>
      <c r="E37" s="371">
        <v>26</v>
      </c>
      <c r="F37" s="371" t="n">
        <v>25580.985220529066</v>
      </c>
      <c r="G37" s="9">
        <f si="1" t="shared"/>
        <v>8.014157292277193E-3</v>
      </c>
    </row>
    <row r="38" spans="1:7" x14ac:dyDescent="0.25">
      <c r="A38">
        <v>27</v>
      </c>
      <c r="B38" s="6" t="n">
        <v>13117.5190152414</v>
      </c>
      <c r="C38" s="9">
        <f si="0" t="shared"/>
        <v>5.7851088707189099E-3</v>
      </c>
      <c r="E38" s="371">
        <v>27</v>
      </c>
      <c r="F38" s="371" t="n">
        <v>14895.312423348458</v>
      </c>
      <c r="G38" s="9">
        <f si="1" t="shared"/>
        <v>6.1227496281236506E-3</v>
      </c>
    </row>
    <row r="39" spans="1:7" x14ac:dyDescent="0.25">
      <c r="A39">
        <v>28</v>
      </c>
      <c r="B39" s="6" t="n">
        <v>10672.700122783699</v>
      </c>
      <c r="C39" s="9">
        <f si="0" t="shared"/>
        <v>4.7068909969254988E-3</v>
      </c>
      <c r="E39" s="371">
        <v>28</v>
      </c>
      <c r="F39" s="371" t="n">
        <v>14643.943036439734</v>
      </c>
      <c r="G39" s="9">
        <f si="1" t="shared"/>
        <v>5.647868765928786E-3</v>
      </c>
    </row>
    <row r="40" spans="1:7" x14ac:dyDescent="0.25">
      <c r="A40">
        <v>29</v>
      </c>
      <c r="B40" s="6" t="n">
        <v>6864.4818095773</v>
      </c>
      <c r="C40" s="9">
        <f si="0" t="shared"/>
        <v>3.0273845658872422E-3</v>
      </c>
      <c r="E40" s="371">
        <v>29</v>
      </c>
      <c r="F40" s="371" t="n">
        <v>13383.549307493648</v>
      </c>
      <c r="G40" s="9">
        <f si="1" t="shared"/>
        <v>6.0341204455405372E-3</v>
      </c>
    </row>
    <row r="41" spans="1:7" x14ac:dyDescent="0.25">
      <c r="A41">
        <v>30</v>
      </c>
      <c r="B41" s="6" t="n">
        <v>9635.4113092566</v>
      </c>
      <c r="C41" s="9">
        <f si="0" t="shared"/>
        <v>4.2494242526683965E-3</v>
      </c>
      <c r="E41" s="371">
        <v>30</v>
      </c>
      <c r="F41" s="371" t="n">
        <v>12659.235591737375</v>
      </c>
      <c r="G41" s="9">
        <f si="1" t="shared"/>
        <v>4.354274969350409E-3</v>
      </c>
    </row>
    <row r="42" spans="1:7" x14ac:dyDescent="0.25">
      <c r="A42">
        <v>31</v>
      </c>
      <c r="B42" s="6" t="n">
        <v>8371.5091449033</v>
      </c>
      <c r="C42" s="9">
        <f si="0" t="shared"/>
        <v>3.6920161319539974E-3</v>
      </c>
      <c r="E42" s="371">
        <v>31</v>
      </c>
      <c r="F42" s="371" t="n">
        <v>11334.982048594291</v>
      </c>
      <c r="G42" s="9">
        <f si="1" t="shared"/>
        <v>3.9002870894157111E-3</v>
      </c>
    </row>
    <row r="43" spans="1:7" x14ac:dyDescent="0.25">
      <c r="A43">
        <v>32</v>
      </c>
      <c r="B43" s="6" t="n">
        <v>3723.4798190898</v>
      </c>
      <c r="C43" s="9">
        <f si="0" t="shared"/>
        <v>1.6421349270643944E-3</v>
      </c>
      <c r="E43" s="371">
        <v>32</v>
      </c>
      <c r="F43" s="371" t="n">
        <v>9299.186330586193</v>
      </c>
      <c r="G43" s="9">
        <f si="1" t="shared"/>
        <v>3.6108110757703204E-3</v>
      </c>
    </row>
    <row r="44" spans="1:7" x14ac:dyDescent="0.25">
      <c r="A44">
        <v>33</v>
      </c>
      <c r="B44" s="6" t="n">
        <v>5473.7832709866</v>
      </c>
      <c r="C44" s="9">
        <f si="0" t="shared"/>
        <v>2.4140565087486243E-3</v>
      </c>
      <c r="E44" s="371">
        <v>33</v>
      </c>
      <c r="F44" s="371" t="n">
        <v>9635.927701056642</v>
      </c>
      <c r="G44" s="9">
        <f si="1" t="shared"/>
        <v>3.0532416350612908E-3</v>
      </c>
    </row>
    <row r="45" spans="1:7" x14ac:dyDescent="0.25">
      <c r="A45">
        <v>34</v>
      </c>
      <c r="B45" s="6" t="n">
        <v>13872.398854469</v>
      </c>
      <c r="C45" s="9">
        <f si="0" t="shared"/>
        <v>6.1180271648847741E-3</v>
      </c>
      <c r="E45" s="371">
        <v>34</v>
      </c>
      <c r="F45" s="371" t="n">
        <v>8025.0957620573845</v>
      </c>
      <c r="G45" s="9">
        <f si="1" t="shared"/>
        <v>2.7561406938373936E-3</v>
      </c>
    </row>
    <row r="46" spans="1:7" x14ac:dyDescent="0.25">
      <c r="A46">
        <v>35</v>
      </c>
      <c r="B46" s="6" t="n">
        <v>4599.1216396531</v>
      </c>
      <c r="C46" s="9">
        <f si="0" t="shared"/>
        <v>2.0283118602045201E-3</v>
      </c>
      <c r="E46" s="371">
        <v>35</v>
      </c>
      <c r="F46" s="371" t="n">
        <v>7348.061558169419</v>
      </c>
      <c r="G46" s="9">
        <f si="1" t="shared"/>
        <v>2.6285053350995021E-3</v>
      </c>
    </row>
    <row r="47" spans="1:7" x14ac:dyDescent="0.25">
      <c r="A47">
        <v>36</v>
      </c>
      <c r="B47" s="6" t="n">
        <v>7102.2328572607</v>
      </c>
      <c r="C47" s="9">
        <f si="0" t="shared"/>
        <v>3.1322379069327437E-3</v>
      </c>
      <c r="E47" s="371">
        <v>36</v>
      </c>
      <c r="F47" s="371" t="n">
        <v>8822.687276603912</v>
      </c>
      <c r="G47" s="9">
        <f si="1" t="shared"/>
        <v>2.7146955466101075E-3</v>
      </c>
    </row>
    <row r="48" spans="1:7" x14ac:dyDescent="0.25">
      <c r="A48">
        <v>37</v>
      </c>
      <c r="B48" s="6" t="n">
        <v>5285.7395312702</v>
      </c>
      <c r="C48" s="9">
        <f si="0" t="shared"/>
        <v>2.3311251628552044E-3</v>
      </c>
      <c r="E48" s="371">
        <v>37</v>
      </c>
      <c r="F48" s="371" t="n">
        <v>6952.6716583840325</v>
      </c>
      <c r="G48" s="9">
        <f si="1" t="shared"/>
        <v>2.2247547403040427E-3</v>
      </c>
    </row>
    <row r="49" spans="1:7" x14ac:dyDescent="0.25">
      <c r="A49">
        <v>38</v>
      </c>
      <c r="B49" s="6" t="n">
        <v>7397.7355238755</v>
      </c>
      <c r="C49" s="9">
        <f si="0" t="shared"/>
        <v>3.2625609578060119E-3</v>
      </c>
      <c r="E49" s="371">
        <v>38</v>
      </c>
      <c r="F49" s="371" t="n">
        <v>8131.59883909435</v>
      </c>
      <c r="G49" s="9">
        <f si="1" t="shared"/>
        <v>2.8005922952469508E-3</v>
      </c>
    </row>
    <row r="50" spans="1:7" x14ac:dyDescent="0.25">
      <c r="A50">
        <v>39</v>
      </c>
      <c r="B50" s="6" t="n">
        <v>3446.054552879</v>
      </c>
      <c r="C50" s="9">
        <f si="0" t="shared"/>
        <v>1.5197843997540959E-3</v>
      </c>
      <c r="E50" s="371">
        <v>39</v>
      </c>
      <c r="F50" s="371" t="n">
        <v>6377.387597147684</v>
      </c>
      <c r="G50" s="9">
        <f si="1" t="shared"/>
        <v>2.0835897802368958E-3</v>
      </c>
    </row>
    <row r="51" spans="1:7" x14ac:dyDescent="0.25">
      <c r="A51">
        <v>40</v>
      </c>
      <c r="B51" s="6" t="n">
        <v>3832.832403655</v>
      </c>
      <c r="C51" s="9">
        <f si="0" t="shared"/>
        <v>1.6903617759272879E-3</v>
      </c>
      <c r="E51" s="371">
        <v>40</v>
      </c>
      <c r="F51" s="371" t="n">
        <v>4620.586117579722</v>
      </c>
      <c r="G51" s="9">
        <f si="1" t="shared"/>
        <v>1.3752108543478038E-3</v>
      </c>
    </row>
    <row r="52" spans="1:7" x14ac:dyDescent="0.25">
      <c r="A52">
        <v>41</v>
      </c>
      <c r="B52" s="6" t="n">
        <v>4198.0889541953</v>
      </c>
      <c r="C52" s="9">
        <f si="0" t="shared"/>
        <v>1.8514477944162799E-3</v>
      </c>
      <c r="E52" s="371">
        <v>41</v>
      </c>
      <c r="F52" s="371" t="n">
        <v>3879.8207876087913</v>
      </c>
      <c r="G52" s="9">
        <f si="1" t="shared"/>
        <v>1.6944730146161446E-3</v>
      </c>
    </row>
    <row r="53" spans="1:7" x14ac:dyDescent="0.25">
      <c r="A53">
        <v>42</v>
      </c>
      <c r="B53" s="6" t="n">
        <v>603.942380844</v>
      </c>
      <c r="C53" s="9">
        <f si="0" t="shared"/>
        <v>2.6635161883616494E-4</v>
      </c>
      <c r="E53" s="371">
        <v>42</v>
      </c>
      <c r="F53" s="371" t="n">
        <v>3318.244521529913</v>
      </c>
      <c r="G53" s="9">
        <f si="1" t="shared"/>
        <v>1.2621686106338837E-3</v>
      </c>
    </row>
    <row r="54" spans="1:7" x14ac:dyDescent="0.25">
      <c r="A54">
        <v>43</v>
      </c>
      <c r="B54" s="6" t="n">
        <v>1776.9033869573</v>
      </c>
      <c r="C54" s="9">
        <f si="0" t="shared"/>
        <v>7.8365272688785028E-4</v>
      </c>
      <c r="E54" s="371">
        <v>43</v>
      </c>
      <c r="F54" s="371" t="n">
        <v>2949.7704156805876</v>
      </c>
      <c r="G54" s="9">
        <f si="1" t="shared"/>
        <v>9.749804328280519E-4</v>
      </c>
    </row>
    <row r="55" spans="1:7" x14ac:dyDescent="0.25">
      <c r="A55">
        <v>44</v>
      </c>
      <c r="B55" s="6" t="n">
        <v>4726.5863044316</v>
      </c>
      <c r="C55" s="9">
        <f si="0" t="shared"/>
        <v>2.0845265271744341E-3</v>
      </c>
      <c r="E55" s="371">
        <v>44</v>
      </c>
      <c r="F55" s="371" t="n">
        <v>2761.2091935492626</v>
      </c>
      <c r="G55" s="9">
        <f si="1" t="shared"/>
        <v>8.9591842121147108E-4</v>
      </c>
    </row>
    <row r="56" spans="1:7" x14ac:dyDescent="0.25">
      <c r="A56">
        <v>45</v>
      </c>
      <c r="B56" s="6" t="n">
        <v>2273.679069858</v>
      </c>
      <c r="C56" s="9">
        <f si="0" t="shared"/>
        <v>1.0027415200176382E-3</v>
      </c>
      <c r="E56" s="371">
        <v>45</v>
      </c>
      <c r="F56" s="371" t="n">
        <v>3019.7202012995494</v>
      </c>
      <c r="G56" s="9">
        <f si="1" t="shared"/>
        <v>1.2722027725854512E-3</v>
      </c>
    </row>
    <row r="57" spans="1:7" x14ac:dyDescent="0.25">
      <c r="A57">
        <v>46</v>
      </c>
      <c r="B57" s="6" t="n">
        <v>689.0045439149001</v>
      </c>
      <c r="C57" s="9">
        <f si="0" t="shared"/>
        <v>3.0386586780140236E-4</v>
      </c>
      <c r="E57" s="371">
        <v>46</v>
      </c>
      <c r="F57" s="371" t="n">
        <v>2291.461579155095</v>
      </c>
      <c r="G57" s="9">
        <f si="1" t="shared"/>
        <v>8.345742210360891E-4</v>
      </c>
    </row>
    <row r="58" spans="1:7" x14ac:dyDescent="0.25">
      <c r="A58">
        <v>47</v>
      </c>
      <c r="B58" s="6" t="n">
        <v>6277.90774694</v>
      </c>
      <c r="C58" s="9">
        <f si="0" t="shared"/>
        <v>2.7686927500679666E-3</v>
      </c>
      <c r="E58" s="371">
        <v>47</v>
      </c>
      <c r="F58" s="371" t="n">
        <v>2147.0403112565573</v>
      </c>
      <c r="G58" s="9">
        <f si="1" t="shared"/>
        <v>7.9094685220521877E-4</v>
      </c>
    </row>
    <row r="59" spans="1:7" x14ac:dyDescent="0.25">
      <c r="A59">
        <v>48</v>
      </c>
      <c r="B59" s="6" t="n">
        <v>3520.127117288</v>
      </c>
      <c r="C59" s="9">
        <f si="0" t="shared"/>
        <v>1.5524519986301871E-3</v>
      </c>
      <c r="E59" s="371">
        <v>48</v>
      </c>
      <c r="F59" s="371" t="n">
        <v>1511.2907012027276</v>
      </c>
      <c r="G59" s="9">
        <f si="1" t="shared"/>
        <v>6.4585803246955322E-4</v>
      </c>
    </row>
    <row r="60" spans="1:7" x14ac:dyDescent="0.25">
      <c r="A60">
        <v>49</v>
      </c>
      <c r="B60" s="6" t="n">
        <v>492.339784141</v>
      </c>
      <c r="C60" s="9">
        <f si="0" t="shared"/>
        <v>2.1713246608085946E-4</v>
      </c>
      <c r="E60" s="371">
        <v>49</v>
      </c>
      <c r="F60" s="371" t="n">
        <v>1238.5243843967098</v>
      </c>
      <c r="G60" s="9">
        <f si="1" t="shared"/>
        <v>5.8986392603097861E-4</v>
      </c>
    </row>
    <row r="61" spans="1:7" x14ac:dyDescent="0.25">
      <c r="A61">
        <v>50</v>
      </c>
      <c r="B61" s="6" t="n">
        <v>1172.30496159</v>
      </c>
      <c r="C61" s="9">
        <f si="0" t="shared"/>
        <v>5.1701177826402359E-4</v>
      </c>
      <c r="E61" s="371">
        <v>50</v>
      </c>
      <c r="F61" s="371" t="n">
        <v>1089.5467062389419</v>
      </c>
      <c r="G61" s="9">
        <f si="1" t="shared"/>
        <v>3.6501661046828125E-4</v>
      </c>
    </row>
    <row r="62" spans="1:7" x14ac:dyDescent="0.25">
      <c r="A62">
        <v>51</v>
      </c>
      <c r="B62" s="6" t="n">
        <v>565.589709185</v>
      </c>
      <c r="C62" s="9">
        <f si="0" t="shared"/>
        <v>2.494372632501389E-4</v>
      </c>
      <c r="E62" s="371">
        <v>51</v>
      </c>
      <c r="F62" s="371" t="n">
        <v>1333.0360136978468</v>
      </c>
      <c r="G62" s="9">
        <f si="1" t="shared"/>
        <v>4.7310239004679471E-4</v>
      </c>
    </row>
    <row r="63" spans="1:7" x14ac:dyDescent="0.25">
      <c r="A63">
        <v>52</v>
      </c>
      <c r="B63" s="6" t="n">
        <v>2193.17997283</v>
      </c>
      <c r="C63" s="9">
        <f si="0" t="shared"/>
        <v>9.6723968161660794E-4</v>
      </c>
      <c r="E63" s="371">
        <v>52</v>
      </c>
      <c r="F63" s="371" t="n">
        <v>799.2962400886655</v>
      </c>
      <c r="G63" s="9">
        <f si="1" t="shared"/>
        <v>4.8248410494088225E-4</v>
      </c>
    </row>
    <row r="64" spans="1:7" x14ac:dyDescent="0.25">
      <c r="A64">
        <v>53</v>
      </c>
      <c r="B64" s="6" t="n">
        <v>461.67911433899997</v>
      </c>
      <c r="C64" s="9">
        <f si="0" t="shared"/>
        <v>2.0361044925377203E-4</v>
      </c>
      <c r="E64" s="371">
        <v>53</v>
      </c>
      <c r="F64" s="371" t="n">
        <v>970.745364871618</v>
      </c>
      <c r="G64" s="9">
        <f si="1" t="shared"/>
        <v>2.9812819215214385E-4</v>
      </c>
    </row>
    <row r="65" spans="1:7" x14ac:dyDescent="0.25">
      <c r="A65">
        <v>54</v>
      </c>
      <c r="B65" s="6" t="n">
        <v>990.599863037</v>
      </c>
      <c r="C65" s="9">
        <f si="0" t="shared"/>
        <v>4.3687590986753557E-4</v>
      </c>
      <c r="E65" s="371">
        <v>54</v>
      </c>
      <c r="F65" s="371" t="n">
        <v>839.6447596178666</v>
      </c>
      <c r="G65" s="9">
        <f si="1" t="shared"/>
        <v>2.8310149961501837E-4</v>
      </c>
    </row>
    <row r="66" spans="1:7" x14ac:dyDescent="0.25">
      <c r="A66">
        <v>55</v>
      </c>
      <c r="B66" s="6" t="n">
        <v>1608.764097521</v>
      </c>
      <c r="C66" s="9">
        <f si="0" t="shared"/>
        <v>7.0949967296781271E-4</v>
      </c>
      <c r="E66" s="371">
        <v>55</v>
      </c>
      <c r="F66" s="371" t="n">
        <v>648.8339978003846</v>
      </c>
      <c r="G66" s="9">
        <f si="1" t="shared"/>
        <v>3.6425432722827453E-4</v>
      </c>
    </row>
    <row r="67" spans="1:7" x14ac:dyDescent="0.25">
      <c r="A67">
        <v>56</v>
      </c>
      <c r="B67" s="6" t="n">
        <v>2956.089894128</v>
      </c>
      <c r="C67" s="9">
        <f si="0" t="shared"/>
        <v>1.303699415208944E-3</v>
      </c>
      <c r="E67" s="371">
        <v>56</v>
      </c>
      <c r="F67" s="371" t="n">
        <v>799.7734542087304</v>
      </c>
      <c r="G67" s="9">
        <f si="1" t="shared"/>
        <v>2.9811776337724838E-4</v>
      </c>
    </row>
    <row r="68" spans="1:7" x14ac:dyDescent="0.25">
      <c r="A68">
        <v>57</v>
      </c>
      <c r="B68" s="6" t="n">
        <v>1267.960102457</v>
      </c>
      <c r="C68" s="9">
        <f si="0" t="shared"/>
        <v>5.5919775896026464E-4</v>
      </c>
      <c r="E68" s="371">
        <v>57</v>
      </c>
      <c r="F68" s="371" t="n">
        <v>598.905977295976</v>
      </c>
      <c r="G68" s="9">
        <f si="1" t="shared"/>
        <v>2.1247838692395993E-4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331.6143629649171</v>
      </c>
      <c r="G69" s="9">
        <f si="1" t="shared"/>
        <v>2.1310949910806473E-4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619.1275249887831</v>
      </c>
      <c r="G70" s="9">
        <f si="1" t="shared"/>
        <v>1.3189090422613522E-4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354.71008833100854</v>
      </c>
      <c r="G71" s="9">
        <f si="1" t="shared"/>
        <v>8.8344133464257637E-5</v>
      </c>
    </row>
    <row r="72" spans="1:7" x14ac:dyDescent="0.25">
      <c r="A72">
        <v>61</v>
      </c>
      <c r="B72" s="6" t="n">
        <v>117.951606001</v>
      </c>
      <c r="C72" s="9">
        <f si="0" t="shared"/>
        <v>5.2019202823268751E-5</v>
      </c>
      <c r="E72" s="371">
        <v>61</v>
      </c>
      <c r="F72" s="371" t="n">
        <v>463.9119201621854</v>
      </c>
      <c r="G72" s="9">
        <f si="1" t="shared"/>
        <v>1.4364733024100108E-4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193.2</v>
      </c>
      <c r="G73" s="9">
        <f si="1" t="shared"/>
        <v>9.4057196450489879E-5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125.35</v>
      </c>
      <c r="G74" s="9">
        <f si="1" t="shared"/>
        <v>8.5198718152851389E-5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200.49439330543936</v>
      </c>
      <c r="G75" s="9">
        <f si="1" t="shared"/>
        <v>5.1265498752703198E-5</v>
      </c>
    </row>
    <row r="76" spans="1:7" x14ac:dyDescent="0.25">
      <c r="A76">
        <v>65</v>
      </c>
      <c r="B76" s="6" t="n">
        <v>295.789176212</v>
      </c>
      <c r="C76" s="9">
        <f si="0" t="shared"/>
        <v>1.3044940778652185E-4</v>
      </c>
      <c r="E76" s="371">
        <v>65</v>
      </c>
      <c r="F76" s="371" t="n">
        <v>105.02673658235658</v>
      </c>
      <c r="G76" s="9">
        <f si="1" t="shared"/>
        <v>4.8478718132632576E-5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128.79999999999998</v>
      </c>
      <c r="G77" s="9">
        <f ref="G77:G102" si="3" t="shared">F77/F$102</f>
        <v>1.1926414580805284E-5</v>
      </c>
    </row>
    <row r="78" spans="1:7" x14ac:dyDescent="0.25">
      <c r="A78">
        <v>67</v>
      </c>
      <c r="B78" s="6" t="n">
        <v>103.594494646</v>
      </c>
      <c r="C78" s="9">
        <f si="2" t="shared"/>
        <v>4.5687406988918957E-5</v>
      </c>
      <c r="E78" s="371">
        <v>67</v>
      </c>
      <c r="F78" s="371" t="n">
        <v>111.55</v>
      </c>
      <c r="G78" s="9">
        <f si="3" t="shared"/>
        <v>5.7815945170120807E-5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110.80049719530803</v>
      </c>
      <c r="G79" s="9">
        <f si="3" t="shared"/>
        <v>6.028472561396279E-5</v>
      </c>
    </row>
    <row r="80" spans="1:7" x14ac:dyDescent="0.25">
      <c r="A80">
        <v>69</v>
      </c>
      <c r="B80" s="6" t="n">
        <v>607.47943235</v>
      </c>
      <c r="C80" s="9">
        <f si="2" t="shared"/>
        <v>2.679115348553279E-4</v>
      </c>
      <c r="E80" s="371">
        <v>69</v>
      </c>
      <c r="F80" s="371" t="n">
        <v>97.74999999999999</v>
      </c>
      <c r="G80" s="9">
        <f si="3" t="shared"/>
        <v>6.6610310930164971E-5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144.89999999999998</v>
      </c>
      <c r="G81" s="9">
        <f si="3" t="shared"/>
        <v>7.5762301148860376E-5</v>
      </c>
    </row>
    <row r="82" spans="1:7" x14ac:dyDescent="0.25">
      <c r="A82">
        <v>71</v>
      </c>
      <c r="B82" s="6" t="n">
        <v>213.4047725981</v>
      </c>
      <c r="C82" s="9">
        <f si="2" t="shared"/>
        <v>9.4116108509281277E-5</v>
      </c>
      <c r="E82" s="371">
        <v>71</v>
      </c>
      <c r="F82" s="371" t="n">
        <v>140.29999999999998</v>
      </c>
      <c r="G82" s="9">
        <f si="3" t="shared"/>
        <v>6.6206489143701627E-5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201.24999999999997</v>
      </c>
      <c r="G83" s="9">
        <f si="3" t="shared"/>
        <v>9.2841991039837733E-5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94.67673658235657</v>
      </c>
      <c r="G84" s="9">
        <f si="3" t="shared"/>
        <v>1.4217691368762338E-5</v>
      </c>
    </row>
    <row r="85" spans="1:7" x14ac:dyDescent="0.25">
      <c r="A85">
        <v>74</v>
      </c>
      <c r="B85" s="6" t="n">
        <v>474.816708997</v>
      </c>
      <c r="C85" s="9">
        <f si="2" t="shared"/>
        <v>2.0940441191604048E-4</v>
      </c>
      <c r="E85" s="371">
        <v>74</v>
      </c>
      <c r="F85" s="371" t="n">
        <v>59.8</v>
      </c>
      <c r="G85" s="9">
        <f si="3" t="shared"/>
        <v>2.3602328424721286E-5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35.65</v>
      </c>
      <c r="G86" s="9">
        <f si="3" t="shared"/>
        <v>4.8601896796664752E-6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32.199999999999996</v>
      </c>
      <c r="G87" s="9">
        <f si="3" t="shared"/>
        <v>8.8249377822813581E-6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35.65</v>
      </c>
      <c r="G88" s="9">
        <f si="3" t="shared"/>
        <v>4.4095519149316361E-5</v>
      </c>
    </row>
    <row r="89" spans="1:7" x14ac:dyDescent="0.25">
      <c r="A89">
        <v>78</v>
      </c>
      <c r="B89" s="6" t="n">
        <v>1289.6121573</v>
      </c>
      <c r="C89" s="9">
        <f si="2" t="shared"/>
        <v>5.6874678224706082E-4</v>
      </c>
      <c r="E89" s="371">
        <v>78</v>
      </c>
      <c r="F89" s="371" t="n">
        <v>12.649999999999999</v>
      </c>
      <c r="G89" s="9">
        <f si="3" t="shared"/>
        <v>3.5199387641207009E-5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14.95</v>
      </c>
      <c r="G90" s="9">
        <f si="3" t="shared"/>
        <v>1.3216401107551541E-5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40.25</v>
      </c>
      <c r="G91" s="9">
        <f si="3" t="shared"/>
        <v>4.3845992944007937E-6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14.95</v>
      </c>
      <c r="G92" s="9">
        <f si="3" t="shared"/>
        <v>8.8491945231409044E-6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18.4</v>
      </c>
      <c r="G93" s="9">
        <f si="3" t="shared"/>
        <v>4.4300631925469864E-6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31.049999999999997</v>
      </c>
      <c r="G94" s="9">
        <f si="3" t="shared"/>
        <v>8.8049614835525777E-6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35.65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21.849999999999998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5.75</v>
      </c>
      <c r="G97" s="9">
        <f si="3" t="shared"/>
        <v>4.4471257608656325E-6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8.049999999999999</v>
      </c>
      <c r="G98" s="9">
        <f si="3" t="shared"/>
        <v>1.3274849163086834E-5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4.6</v>
      </c>
      <c r="G99" s="9">
        <f si="3" t="shared"/>
        <v>4.4276833573643254E-6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11.5</v>
      </c>
      <c r="G101" s="9">
        <f si="3" t="shared"/>
        <v>1.3180332646726271E-5</v>
      </c>
    </row>
    <row r="102" spans="1:7" x14ac:dyDescent="0.25">
      <c r="B102" s="6">
        <f>SUM(B11:B101)</f>
        <v>2267462.7752703466</v>
      </c>
      <c r="C102" s="9">
        <f si="2" t="shared"/>
        <v>1</v>
      </c>
      <c r="F102" s="6">
        <f>SUM(F11:F101)</f>
        <v>2264705.1405778541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L102"/>
  <sheetViews>
    <sheetView workbookViewId="0">
      <selection activeCell="A6" sqref="A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1155.86225</v>
      </c>
      <c r="C11" s="9">
        <f>B11/B$102</f>
        <v>5.0976018773326421E-4</v>
      </c>
      <c r="E11" s="371">
        <v>0</v>
      </c>
      <c r="F11" s="371" t="n">
        <v>5521.7206111460655</v>
      </c>
      <c r="G11" s="9">
        <f>F11/F$102</f>
        <v>2.1514705520598093E-3</v>
      </c>
      <c r="K11" s="6" t="n">
        <v>32.52853992810291</v>
      </c>
      <c r="L11" s="6" t="n">
        <v>28.894051274373233</v>
      </c>
    </row>
    <row r="12" spans="1:12" x14ac:dyDescent="0.25">
      <c r="A12">
        <v>1</v>
      </c>
      <c r="B12" s="6" t="n">
        <v>1720.7665339647</v>
      </c>
      <c r="C12" s="9">
        <f>B12/B$102</f>
        <v>7.5889516367453301E-4</v>
      </c>
      <c r="E12" s="371">
        <v>1</v>
      </c>
      <c r="F12" s="371" t="n">
        <v>37149.19415759137</v>
      </c>
      <c r="G12" s="9">
        <f>F12/F$102</f>
        <v>1.4023971963349596E-2</v>
      </c>
      <c r="K12" s="6"/>
      <c r="L12" s="371"/>
    </row>
    <row r="13" spans="1:12" x14ac:dyDescent="0.25">
      <c r="A13">
        <v>2</v>
      </c>
      <c r="B13" s="6" t="n">
        <v>6811.4906059887</v>
      </c>
      <c r="C13" s="9">
        <f ref="C13:C76" si="0" t="shared">B13/B$102</f>
        <v>3.0040143019223662E-3</v>
      </c>
      <c r="E13" s="371">
        <v>2</v>
      </c>
      <c r="F13" s="371" t="n">
        <v>40386.757015851865</v>
      </c>
      <c r="G13" s="9">
        <f ref="G13:G76" si="1" t="shared">F13/F$102</f>
        <v>1.579009077868505E-2</v>
      </c>
    </row>
    <row r="14" spans="1:12" x14ac:dyDescent="0.25">
      <c r="A14">
        <v>3</v>
      </c>
      <c r="B14" s="6" t="n">
        <v>4251.2680403673</v>
      </c>
      <c r="C14" s="9">
        <f si="0" t="shared"/>
        <v>1.8749009186536383E-3</v>
      </c>
      <c r="E14" s="371">
        <v>3</v>
      </c>
      <c r="F14" s="371" t="n">
        <v>44355.922611937895</v>
      </c>
      <c r="G14" s="9">
        <f si="1" t="shared"/>
        <v>1.6974207232760861E-2</v>
      </c>
    </row>
    <row r="15" spans="1:12" x14ac:dyDescent="0.25">
      <c r="A15">
        <v>4</v>
      </c>
      <c r="B15" s="6" t="n">
        <v>11472.1839067999</v>
      </c>
      <c r="C15" s="9">
        <f si="0" t="shared"/>
        <v>5.0594805929866215E-3</v>
      </c>
      <c r="E15" s="371">
        <v>4</v>
      </c>
      <c r="F15" s="371" t="n">
        <v>47237.36866045788</v>
      </c>
      <c r="G15" s="9">
        <f si="1" t="shared"/>
        <v>1.8586581592094562E-2</v>
      </c>
    </row>
    <row r="16" spans="1:12" x14ac:dyDescent="0.25">
      <c r="A16">
        <v>5</v>
      </c>
      <c r="B16" s="6" t="n">
        <v>31280.8688715735</v>
      </c>
      <c r="C16" s="9">
        <f si="0" t="shared"/>
        <v>1.37955379963598E-2</v>
      </c>
      <c r="E16" s="371">
        <v>5</v>
      </c>
      <c r="F16" s="371" t="n">
        <v>48314.47661899453</v>
      </c>
      <c r="G16" s="9">
        <f si="1" t="shared"/>
        <v>1.8475722653314926E-2</v>
      </c>
    </row>
    <row r="17" spans="1:7" x14ac:dyDescent="0.25">
      <c r="A17">
        <v>6</v>
      </c>
      <c r="B17" s="6" t="n">
        <v>27181.9971632518</v>
      </c>
      <c r="C17" s="9">
        <f si="0" t="shared"/>
        <v>1.1987847147793168E-2</v>
      </c>
      <c r="E17" s="371">
        <v>6</v>
      </c>
      <c r="F17" s="371" t="n">
        <v>48736.45723643771</v>
      </c>
      <c r="G17" s="9">
        <f si="1" t="shared"/>
        <v>1.8737066385760465E-2</v>
      </c>
    </row>
    <row r="18" spans="1:7" x14ac:dyDescent="0.25">
      <c r="A18">
        <v>7</v>
      </c>
      <c r="B18" s="6" t="n">
        <v>27277.6672007549</v>
      </c>
      <c r="C18" s="9">
        <f si="0" t="shared"/>
        <v>1.2030039698227295E-2</v>
      </c>
      <c r="E18" s="371">
        <v>7</v>
      </c>
      <c r="F18" s="371" t="n">
        <v>45615.76579511842</v>
      </c>
      <c r="G18" s="9">
        <f si="1" t="shared"/>
        <v>1.8178434198273443E-2</v>
      </c>
    </row>
    <row r="19" spans="1:7" x14ac:dyDescent="0.25">
      <c r="A19">
        <v>8</v>
      </c>
      <c r="B19" s="6" t="n">
        <v>16742.735384114</v>
      </c>
      <c r="C19" s="9">
        <f si="0" t="shared"/>
        <v>7.3839074963944181E-3</v>
      </c>
      <c r="E19" s="371">
        <v>8</v>
      </c>
      <c r="F19" s="371" t="n">
        <v>44418.28400833563</v>
      </c>
      <c r="G19" s="9">
        <f si="1" t="shared"/>
        <v>1.710724017123481E-2</v>
      </c>
    </row>
    <row r="20" spans="1:7" x14ac:dyDescent="0.25">
      <c r="A20">
        <v>9</v>
      </c>
      <c r="B20" s="6" t="n">
        <v>40443.5402665417</v>
      </c>
      <c r="C20" s="9">
        <f si="0" t="shared"/>
        <v>1.7836473748381459E-2</v>
      </c>
      <c r="E20" s="371">
        <v>9</v>
      </c>
      <c r="F20" s="371" t="n">
        <v>43188.650987881396</v>
      </c>
      <c r="G20" s="9">
        <f si="1" t="shared"/>
        <v>1.6582303226356933E-2</v>
      </c>
    </row>
    <row r="21" spans="1:7" x14ac:dyDescent="0.25">
      <c r="A21">
        <v>10</v>
      </c>
      <c r="B21" s="6" t="n">
        <v>14471.684753772</v>
      </c>
      <c r="C21" s="9">
        <f si="0" t="shared"/>
        <v>6.3823251749068133E-3</v>
      </c>
      <c r="E21" s="371">
        <v>10</v>
      </c>
      <c r="F21" s="371" t="n">
        <v>41790.71554781859</v>
      </c>
      <c r="G21" s="9">
        <f si="1" t="shared"/>
        <v>1.6589866286201703E-2</v>
      </c>
    </row>
    <row r="22" spans="1:7" x14ac:dyDescent="0.25">
      <c r="A22">
        <v>11</v>
      </c>
      <c r="B22" s="6" t="n">
        <v>32644.4568947032</v>
      </c>
      <c r="C22" s="9">
        <f si="0" t="shared"/>
        <v>1.4396909731323395E-2</v>
      </c>
      <c r="E22" s="371">
        <v>11</v>
      </c>
      <c r="F22" s="371" t="n">
        <v>38063.62127199599</v>
      </c>
      <c r="G22" s="9">
        <f si="1" t="shared"/>
        <v>1.4510753297691081E-2</v>
      </c>
    </row>
    <row r="23" spans="1:7" x14ac:dyDescent="0.25">
      <c r="A23">
        <v>12</v>
      </c>
      <c r="B23" s="6" t="n">
        <v>22919.3890366204</v>
      </c>
      <c r="C23" s="9">
        <f si="0" t="shared"/>
        <v>1.0107945006456724E-2</v>
      </c>
      <c r="E23" s="371">
        <v>12</v>
      </c>
      <c r="F23" s="371" t="n">
        <v>36280.048082873305</v>
      </c>
      <c r="G23" s="9">
        <f si="1" t="shared"/>
        <v>1.3764032836017443E-2</v>
      </c>
    </row>
    <row r="24" spans="1:7" x14ac:dyDescent="0.25">
      <c r="A24">
        <v>13</v>
      </c>
      <c r="B24" s="6" t="n">
        <v>24145.2279901926</v>
      </c>
      <c r="C24" s="9">
        <f si="0" t="shared"/>
        <v>1.0648566430076807E-2</v>
      </c>
      <c r="E24" s="371">
        <v>13</v>
      </c>
      <c r="F24" s="371" t="n">
        <v>33538.39945974039</v>
      </c>
      <c r="G24" s="9">
        <f si="1" t="shared"/>
        <v>1.2983057923765411E-2</v>
      </c>
    </row>
    <row r="25" spans="1:7" x14ac:dyDescent="0.25">
      <c r="A25">
        <v>14</v>
      </c>
      <c r="B25" s="6" t="n">
        <v>26937.5737895802</v>
      </c>
      <c r="C25" s="9">
        <f si="0" t="shared"/>
        <v>1.1880051167044397E-2</v>
      </c>
      <c r="E25" s="371">
        <v>14</v>
      </c>
      <c r="F25" s="371" t="n">
        <v>29741.1877876306</v>
      </c>
      <c r="G25" s="9">
        <f si="1" t="shared"/>
        <v>1.1441570398384841E-2</v>
      </c>
    </row>
    <row r="26" spans="1:7" x14ac:dyDescent="0.25">
      <c r="A26">
        <v>15</v>
      </c>
      <c r="B26" s="6" t="n">
        <v>22281.1991966786</v>
      </c>
      <c r="C26" s="9">
        <f si="0" t="shared"/>
        <v>9.8264895193360107E-3</v>
      </c>
      <c r="E26" s="371">
        <v>15</v>
      </c>
      <c r="F26" s="371" t="n">
        <v>28707.31545051056</v>
      </c>
      <c r="G26" s="9">
        <f si="1" t="shared"/>
        <v>1.0908404338366488E-2</v>
      </c>
    </row>
    <row r="27" spans="1:7" x14ac:dyDescent="0.25">
      <c r="A27">
        <v>16</v>
      </c>
      <c r="B27" s="6" t="n">
        <v>38109.4670393277</v>
      </c>
      <c r="C27" s="9">
        <f si="0" t="shared"/>
        <v>1.6807097102083172E-2</v>
      </c>
      <c r="E27" s="371">
        <v>16</v>
      </c>
      <c r="F27" s="371" t="n">
        <v>26471.54001867793</v>
      </c>
      <c r="G27" s="9">
        <f si="1" t="shared"/>
        <v>1.0382863185915005E-2</v>
      </c>
    </row>
    <row r="28" spans="1:7" x14ac:dyDescent="0.25">
      <c r="A28">
        <v>17</v>
      </c>
      <c r="B28" s="6" t="n">
        <v>22110.4327896362</v>
      </c>
      <c r="C28" s="9">
        <f si="0" t="shared"/>
        <v>9.7511778498767226E-3</v>
      </c>
      <c r="E28" s="371">
        <v>17</v>
      </c>
      <c r="F28" s="371" t="n">
        <v>24975.347163263756</v>
      </c>
      <c r="G28" s="9">
        <f si="1" t="shared"/>
        <v>9.8049484346852001E-3</v>
      </c>
    </row>
    <row r="29" spans="1:7" x14ac:dyDescent="0.25">
      <c r="A29">
        <v>18</v>
      </c>
      <c r="B29" s="6" t="n">
        <v>105837.1079004428</v>
      </c>
      <c r="C29" s="9">
        <f si="0" t="shared"/>
        <v>4.6676447814153865E-2</v>
      </c>
      <c r="E29" s="371">
        <v>18</v>
      </c>
      <c r="F29" s="371" t="n">
        <v>137969.4712724258</v>
      </c>
      <c r="G29" s="9">
        <f si="1" t="shared"/>
        <v>5.5420922934042174E-2</v>
      </c>
    </row>
    <row r="30" spans="1:7" x14ac:dyDescent="0.25">
      <c r="A30">
        <v>19</v>
      </c>
      <c r="B30" s="6" t="n">
        <v>68303.3198869525</v>
      </c>
      <c r="C30" s="9">
        <f si="0" t="shared"/>
        <v>3.0123237581621949E-2</v>
      </c>
      <c r="E30" s="371">
        <v>19</v>
      </c>
      <c r="F30" s="371" t="n">
        <v>70544.0500363373</v>
      </c>
      <c r="G30" s="9">
        <f si="1" t="shared"/>
        <v>2.6503988625705008E-2</v>
      </c>
    </row>
    <row r="31" spans="1:7" x14ac:dyDescent="0.25">
      <c r="A31">
        <v>20</v>
      </c>
      <c r="B31" s="6" t="n">
        <v>79044.0022951943</v>
      </c>
      <c r="C31" s="9">
        <f si="0" t="shared"/>
        <v>3.4860110233020256E-2</v>
      </c>
      <c r="E31" s="371">
        <v>20</v>
      </c>
      <c r="F31" s="371" t="n">
        <v>64499.41288731003</v>
      </c>
      <c r="G31" s="9">
        <f si="1" t="shared"/>
        <v>2.4806644321542663E-2</v>
      </c>
    </row>
    <row r="32" spans="1:7" x14ac:dyDescent="0.25">
      <c r="A32">
        <v>21</v>
      </c>
      <c r="B32" s="6" t="n">
        <v>107600.0791541659</v>
      </c>
      <c r="C32" s="9">
        <f si="0" t="shared"/>
        <v>4.7453956169726717E-2</v>
      </c>
      <c r="E32" s="371">
        <v>21</v>
      </c>
      <c r="F32" s="371" t="n">
        <v>98571.30751136616</v>
      </c>
      <c r="G32" s="9">
        <f si="1" t="shared"/>
        <v>4.0182510659766565E-2</v>
      </c>
    </row>
    <row r="33" spans="1:7" x14ac:dyDescent="0.25">
      <c r="A33">
        <v>22</v>
      </c>
      <c r="B33" s="6" t="n">
        <v>72921.5623642005</v>
      </c>
      <c r="C33" s="9">
        <f si="0" t="shared"/>
        <v>3.2159982143700756E-2</v>
      </c>
      <c r="E33" s="371">
        <v>22</v>
      </c>
      <c r="F33" s="371" t="n">
        <v>90179.74064834017</v>
      </c>
      <c r="G33" s="9">
        <f si="1" t="shared"/>
        <v>3.5992159647454697E-2</v>
      </c>
    </row>
    <row r="34" spans="1:7" x14ac:dyDescent="0.25">
      <c r="A34">
        <v>23</v>
      </c>
      <c r="B34" s="6" t="n">
        <v>63263.1592733378</v>
      </c>
      <c r="C34" s="9">
        <f si="0" t="shared"/>
        <v>2.7900418019341035E-2</v>
      </c>
      <c r="E34" s="371">
        <v>23</v>
      </c>
      <c r="F34" s="371" t="n">
        <v>83184.49695413644</v>
      </c>
      <c r="G34" s="9">
        <f si="1" t="shared"/>
        <v>3.097748800926935E-2</v>
      </c>
    </row>
    <row r="35" spans="1:7" x14ac:dyDescent="0.25">
      <c r="A35">
        <v>24</v>
      </c>
      <c r="B35" s="6" t="n">
        <v>83926.9010217318</v>
      </c>
      <c r="C35" s="9">
        <f si="0" t="shared"/>
        <v>3.7013573910480324E-2</v>
      </c>
      <c r="E35" s="371">
        <v>24</v>
      </c>
      <c r="F35" s="371" t="n">
        <v>68917.98007067443</v>
      </c>
      <c r="G35" s="9">
        <f si="1" t="shared"/>
        <v>2.5959938228248176E-2</v>
      </c>
    </row>
    <row r="36" spans="1:7" x14ac:dyDescent="0.25">
      <c r="A36">
        <v>25</v>
      </c>
      <c r="B36" s="6" t="n">
        <v>51355.298671268996</v>
      </c>
      <c r="C36" s="9">
        <f si="0" t="shared"/>
        <v>2.264879460486225E-2</v>
      </c>
      <c r="E36" s="371">
        <v>25</v>
      </c>
      <c r="F36" s="371" t="n">
        <v>67480.25659220551</v>
      </c>
      <c r="G36" s="9">
        <f si="1" t="shared"/>
        <v>2.5549711092636072E-2</v>
      </c>
    </row>
    <row r="37" spans="1:7" x14ac:dyDescent="0.25">
      <c r="A37">
        <v>26</v>
      </c>
      <c r="B37" s="6" t="n">
        <v>82141.6613049422</v>
      </c>
      <c r="C37" s="9">
        <f si="0" t="shared"/>
        <v>3.6226244682296307E-2</v>
      </c>
      <c r="E37" s="371">
        <v>26</v>
      </c>
      <c r="F37" s="371" t="n">
        <v>68583.61623002905</v>
      </c>
      <c r="G37" s="9">
        <f si="1" t="shared"/>
        <v>2.7717656794961871E-2</v>
      </c>
    </row>
    <row r="38" spans="1:7" x14ac:dyDescent="0.25">
      <c r="A38">
        <v>27</v>
      </c>
      <c r="B38" s="6" t="n">
        <v>55556.9176240146</v>
      </c>
      <c r="C38" s="9">
        <f si="0" t="shared"/>
        <v>2.4501799204792073E-2</v>
      </c>
      <c r="E38" s="371">
        <v>27</v>
      </c>
      <c r="F38" s="371" t="n">
        <v>52611.15667715588</v>
      </c>
      <c r="G38" s="9">
        <f si="1" t="shared"/>
        <v>1.915988473935884E-2</v>
      </c>
    </row>
    <row r="39" spans="1:7" x14ac:dyDescent="0.25">
      <c r="A39">
        <v>28</v>
      </c>
      <c r="B39" s="6" t="n">
        <v>62357.2688072419</v>
      </c>
      <c r="C39" s="9">
        <f si="0" t="shared"/>
        <v>2.7500900780965253E-2</v>
      </c>
      <c r="E39" s="371">
        <v>28</v>
      </c>
      <c r="F39" s="371" t="n">
        <v>65215.59561139087</v>
      </c>
      <c r="G39" s="9">
        <f si="1" t="shared"/>
        <v>2.3681590561366872E-2</v>
      </c>
    </row>
    <row r="40" spans="1:7" x14ac:dyDescent="0.25">
      <c r="A40">
        <v>29</v>
      </c>
      <c r="B40" s="6" t="n">
        <v>51535.0302141344</v>
      </c>
      <c r="C40" s="9">
        <f si="0" t="shared"/>
        <v>2.2728060092624874E-2</v>
      </c>
      <c r="E40" s="371">
        <v>29</v>
      </c>
      <c r="F40" s="371" t="n">
        <v>63680.17807492261</v>
      </c>
      <c r="G40" s="9">
        <f si="1" t="shared"/>
        <v>2.2733758126911453E-2</v>
      </c>
    </row>
    <row r="41" spans="1:7" x14ac:dyDescent="0.25">
      <c r="A41">
        <v>30</v>
      </c>
      <c r="B41" s="6" t="n">
        <v>58252.7162792023</v>
      </c>
      <c r="C41" s="9">
        <f si="0" t="shared"/>
        <v>2.5690704568350375E-2</v>
      </c>
      <c r="E41" s="371">
        <v>30</v>
      </c>
      <c r="F41" s="371" t="n">
        <v>50685.74387438007</v>
      </c>
      <c r="G41" s="9">
        <f si="1" t="shared"/>
        <v>2.280840950293311E-2</v>
      </c>
    </row>
    <row r="42" spans="1:7" x14ac:dyDescent="0.25">
      <c r="A42">
        <v>31</v>
      </c>
      <c r="B42" s="6" t="n">
        <v>39366.1801904863</v>
      </c>
      <c r="C42" s="9">
        <f si="0" t="shared"/>
        <v>1.7361334712889712E-2</v>
      </c>
      <c r="E42" s="371">
        <v>31</v>
      </c>
      <c r="F42" s="371" t="n">
        <v>49606.24422095741</v>
      </c>
      <c r="G42" s="9">
        <f si="1" t="shared"/>
        <v>2.1268017431021725E-2</v>
      </c>
    </row>
    <row r="43" spans="1:7" x14ac:dyDescent="0.25">
      <c r="A43">
        <v>32</v>
      </c>
      <c r="B43" s="6" t="n">
        <v>42019.829387631704</v>
      </c>
      <c r="C43" s="9">
        <f si="0" t="shared"/>
        <v>1.8531651256158656E-2</v>
      </c>
      <c r="E43" s="371">
        <v>32</v>
      </c>
      <c r="F43" s="371" t="n">
        <v>43829.11329048542</v>
      </c>
      <c r="G43" s="9">
        <f si="1" t="shared"/>
        <v>1.9845407634875998E-2</v>
      </c>
    </row>
    <row r="44" spans="1:7" x14ac:dyDescent="0.25">
      <c r="A44">
        <v>33</v>
      </c>
      <c r="B44" s="6" t="n">
        <v>47207.9746990884</v>
      </c>
      <c r="C44" s="9">
        <f si="0" t="shared"/>
        <v>2.081973526267035E-2</v>
      </c>
      <c r="E44" s="371">
        <v>33</v>
      </c>
      <c r="F44" s="371" t="n">
        <v>49756.30978392168</v>
      </c>
      <c r="G44" s="9">
        <f si="1" t="shared"/>
        <v>1.9432950964099187E-2</v>
      </c>
    </row>
    <row r="45" spans="1:7" x14ac:dyDescent="0.25">
      <c r="A45">
        <v>34</v>
      </c>
      <c r="B45" s="6" t="n">
        <v>65899.2919475246</v>
      </c>
      <c r="C45" s="9">
        <f si="0" t="shared"/>
        <v>2.9063009398100276E-2</v>
      </c>
      <c r="E45" s="371">
        <v>34</v>
      </c>
      <c r="F45" s="371" t="n">
        <v>50913.71056056492</v>
      </c>
      <c r="G45" s="9">
        <f si="1" t="shared"/>
        <v>1.8309270999586617E-2</v>
      </c>
    </row>
    <row r="46" spans="1:7" x14ac:dyDescent="0.25">
      <c r="A46">
        <v>35</v>
      </c>
      <c r="B46" s="6" t="n">
        <v>42405.1846177952</v>
      </c>
      <c r="C46" s="9">
        <f si="0" t="shared"/>
        <v>1.8701601225951461E-2</v>
      </c>
      <c r="E46" s="371">
        <v>35</v>
      </c>
      <c r="F46" s="371" t="n">
        <v>49189.32997209552</v>
      </c>
      <c r="G46" s="9">
        <f si="1" t="shared"/>
        <v>2.0601278026974503E-2</v>
      </c>
    </row>
    <row r="47" spans="1:7" x14ac:dyDescent="0.25">
      <c r="A47">
        <v>36</v>
      </c>
      <c r="B47" s="6" t="n">
        <v>29733.4662834582</v>
      </c>
      <c r="C47" s="9">
        <f si="0" t="shared"/>
        <v>1.3113100072795297E-2</v>
      </c>
      <c r="E47" s="371">
        <v>36</v>
      </c>
      <c r="F47" s="371" t="n">
        <v>34442.65256849611</v>
      </c>
      <c r="G47" s="9">
        <f si="1" t="shared"/>
        <v>1.4779957076530268E-2</v>
      </c>
    </row>
    <row r="48" spans="1:7" x14ac:dyDescent="0.25">
      <c r="A48">
        <v>37</v>
      </c>
      <c r="B48" s="6" t="n">
        <v>39459.7565063371</v>
      </c>
      <c r="C48" s="9">
        <f si="0" t="shared"/>
        <v>1.7402603886907196E-2</v>
      </c>
      <c r="E48" s="371">
        <v>37</v>
      </c>
      <c r="F48" s="371" t="n">
        <v>36914.0759927662</v>
      </c>
      <c r="G48" s="9">
        <f si="1" t="shared"/>
        <v>1.4072505641087809E-2</v>
      </c>
    </row>
    <row r="49" spans="1:7" x14ac:dyDescent="0.25">
      <c r="A49">
        <v>38</v>
      </c>
      <c r="B49" s="6" t="n">
        <v>49950.4677449011</v>
      </c>
      <c r="C49" s="9">
        <f si="0" t="shared"/>
        <v>2.2029233859835066E-2</v>
      </c>
      <c r="E49" s="371">
        <v>38</v>
      </c>
      <c r="F49" s="371" t="n">
        <v>40948.41441857319</v>
      </c>
      <c r="G49" s="9">
        <f si="1" t="shared"/>
        <v>1.3589605390722998E-2</v>
      </c>
    </row>
    <row r="50" spans="1:7" x14ac:dyDescent="0.25">
      <c r="A50">
        <v>39</v>
      </c>
      <c r="B50" s="6" t="n">
        <v>26826.9801566843</v>
      </c>
      <c r="C50" s="9">
        <f si="0" t="shared"/>
        <v>1.1831276989094457E-2</v>
      </c>
      <c r="E50" s="371">
        <v>39</v>
      </c>
      <c r="F50" s="371" t="n">
        <v>31625.819535669663</v>
      </c>
      <c r="G50" s="9">
        <f si="1" t="shared"/>
        <v>1.7050340615750625E-2</v>
      </c>
    </row>
    <row r="51" spans="1:7" x14ac:dyDescent="0.25">
      <c r="A51">
        <v>40</v>
      </c>
      <c r="B51" s="6" t="n">
        <v>22806.5623389667</v>
      </c>
      <c r="C51" s="9">
        <f si="0" t="shared"/>
        <v>1.005818599877456E-2</v>
      </c>
      <c r="E51" s="371">
        <v>40</v>
      </c>
      <c r="F51" s="371" t="n">
        <v>38105.10650395083</v>
      </c>
      <c r="G51" s="9">
        <f si="1" t="shared"/>
        <v>1.4574262105715111E-2</v>
      </c>
    </row>
    <row r="52" spans="1:7" x14ac:dyDescent="0.25">
      <c r="A52">
        <v>41</v>
      </c>
      <c r="B52" s="6" t="n">
        <v>34178.4904173338</v>
      </c>
      <c r="C52" s="9">
        <f si="0" t="shared"/>
        <v>1.5073451608597523E-2</v>
      </c>
      <c r="E52" s="371">
        <v>41</v>
      </c>
      <c r="F52" s="371" t="n">
        <v>29034.741379770945</v>
      </c>
      <c r="G52" s="9">
        <f si="1" t="shared"/>
        <v>1.0089793525849015E-2</v>
      </c>
    </row>
    <row r="53" spans="1:7" x14ac:dyDescent="0.25">
      <c r="A53">
        <v>42</v>
      </c>
      <c r="B53" s="6" t="n">
        <v>16748.1320321737</v>
      </c>
      <c r="C53" s="9">
        <f si="0" t="shared"/>
        <v>7.3862875346109467E-3</v>
      </c>
      <c r="E53" s="371">
        <v>42</v>
      </c>
      <c r="F53" s="371" t="n">
        <v>27373.62148722376</v>
      </c>
      <c r="G53" s="9">
        <f si="1" t="shared"/>
        <v>9.7655873035189713E-3</v>
      </c>
    </row>
    <row r="54" spans="1:7" x14ac:dyDescent="0.25">
      <c r="A54">
        <v>43</v>
      </c>
      <c r="B54" s="6" t="n">
        <v>23369.8926176147</v>
      </c>
      <c r="C54" s="9">
        <f si="0" t="shared"/>
        <v>1.0306626804415055E-2</v>
      </c>
      <c r="E54" s="371">
        <v>43</v>
      </c>
      <c r="F54" s="371" t="n">
        <v>30787.486084276137</v>
      </c>
      <c r="G54" s="9">
        <f si="1" t="shared"/>
        <v>1.1915735162785121E-2</v>
      </c>
    </row>
    <row r="55" spans="1:7" x14ac:dyDescent="0.25">
      <c r="A55">
        <v>44</v>
      </c>
      <c r="B55" s="6" t="n">
        <v>16419.2491607173</v>
      </c>
      <c r="C55" s="9">
        <f si="0" t="shared"/>
        <v>7.24124309328944E-3</v>
      </c>
      <c r="E55" s="371">
        <v>44</v>
      </c>
      <c r="F55" s="371" t="n">
        <v>23507.60257009106</v>
      </c>
      <c r="G55" s="9">
        <f si="1" t="shared"/>
        <v>8.6915604491361095E-3</v>
      </c>
    </row>
    <row r="56" spans="1:7" x14ac:dyDescent="0.25">
      <c r="A56">
        <v>45</v>
      </c>
      <c r="B56" s="6" t="n">
        <v>78303.9627850625</v>
      </c>
      <c r="C56" s="9">
        <f si="0" t="shared"/>
        <v>3.4533736844136916E-2</v>
      </c>
      <c r="E56" s="371">
        <v>45</v>
      </c>
      <c r="F56" s="371" t="n">
        <v>21620.21694025368</v>
      </c>
      <c r="G56" s="9">
        <f si="1" t="shared"/>
        <v>8.6436906158461561E-3</v>
      </c>
    </row>
    <row r="57" spans="1:7" x14ac:dyDescent="0.25">
      <c r="A57">
        <v>46</v>
      </c>
      <c r="B57" s="6" t="n">
        <v>22627.2471930562</v>
      </c>
      <c r="C57" s="9">
        <f si="0" t="shared"/>
        <v>9.9791041510519998E-3</v>
      </c>
      <c r="E57" s="371">
        <v>46</v>
      </c>
      <c r="F57" s="371" t="n">
        <v>20959.86537847788</v>
      </c>
      <c r="G57" s="9">
        <f si="1" t="shared"/>
        <v>1.0272237872443841E-2</v>
      </c>
    </row>
    <row r="58" spans="1:7" x14ac:dyDescent="0.25">
      <c r="A58">
        <v>47</v>
      </c>
      <c r="B58" s="6" t="n">
        <v>19452.7884863026</v>
      </c>
      <c r="C58" s="9">
        <f si="0" t="shared"/>
        <v>8.5790993785921244E-3</v>
      </c>
      <c r="E58" s="371">
        <v>47</v>
      </c>
      <c r="F58" s="371" t="n">
        <v>18888.703886589687</v>
      </c>
      <c r="G58" s="9">
        <f si="1" t="shared"/>
        <v>8.4745431517014684E-3</v>
      </c>
    </row>
    <row r="59" spans="1:7" x14ac:dyDescent="0.25">
      <c r="A59">
        <v>48</v>
      </c>
      <c r="B59" s="6" t="n">
        <v>16817.7551480508</v>
      </c>
      <c r="C59" s="9">
        <f si="0" t="shared"/>
        <v>7.4169928306962599E-3</v>
      </c>
      <c r="E59" s="371">
        <v>48</v>
      </c>
      <c r="F59" s="371" t="n">
        <v>21124.35057832889</v>
      </c>
      <c r="G59" s="9">
        <f si="1" t="shared"/>
        <v>5.8288469392856297E-3</v>
      </c>
    </row>
    <row r="60" spans="1:7" x14ac:dyDescent="0.25">
      <c r="A60">
        <v>49</v>
      </c>
      <c r="B60" s="6" t="n">
        <v>10864.1708488704</v>
      </c>
      <c r="C60" s="9">
        <f si="0" t="shared"/>
        <v>4.7913337177387981E-3</v>
      </c>
      <c r="E60" s="371">
        <v>49</v>
      </c>
      <c r="F60" s="371" t="n">
        <v>18394.5999743841</v>
      </c>
      <c r="G60" s="9">
        <f si="1" t="shared"/>
        <v>6.2611180480089254E-3</v>
      </c>
    </row>
    <row r="61" spans="1:7" x14ac:dyDescent="0.25">
      <c r="A61">
        <v>50</v>
      </c>
      <c r="B61" s="6" t="n">
        <v>13469.7626508183</v>
      </c>
      <c r="C61" s="9">
        <f si="0" t="shared"/>
        <v>5.9404559129806753E-3</v>
      </c>
      <c r="E61" s="371">
        <v>50</v>
      </c>
      <c r="F61" s="371" t="n">
        <v>14752.835046092812</v>
      </c>
      <c r="G61" s="9">
        <f si="1" t="shared"/>
        <v>5.4202671054389947E-3</v>
      </c>
    </row>
    <row r="62" spans="1:7" x14ac:dyDescent="0.25">
      <c r="A62">
        <v>51</v>
      </c>
      <c r="B62" s="6" t="n">
        <v>10416.5379670777</v>
      </c>
      <c r="C62" s="9">
        <f si="0" t="shared"/>
        <v>4.5939179600581323E-3</v>
      </c>
      <c r="E62" s="371">
        <v>51</v>
      </c>
      <c r="F62" s="371" t="n">
        <v>15775.56025713425</v>
      </c>
      <c r="G62" s="9">
        <f si="1" t="shared"/>
        <v>5.6982151614806426E-3</v>
      </c>
    </row>
    <row r="63" spans="1:7" x14ac:dyDescent="0.25">
      <c r="A63">
        <v>52</v>
      </c>
      <c r="B63" s="6" t="n">
        <v>14889.9035465995</v>
      </c>
      <c r="C63" s="9">
        <f si="0" t="shared"/>
        <v>6.5667686848019814E-3</v>
      </c>
      <c r="E63" s="371">
        <v>52</v>
      </c>
      <c r="F63" s="371" t="n">
        <v>15505.444895725856</v>
      </c>
      <c r="G63" s="9">
        <f si="1" t="shared"/>
        <v>5.1262818616918844E-3</v>
      </c>
    </row>
    <row r="64" spans="1:7" x14ac:dyDescent="0.25">
      <c r="A64">
        <v>53</v>
      </c>
      <c r="B64" s="6" t="n">
        <v>11651.6865954139</v>
      </c>
      <c r="C64" s="9">
        <f si="0" t="shared"/>
        <v>5.1386451510872927E-3</v>
      </c>
      <c r="E64" s="371">
        <v>53</v>
      </c>
      <c r="F64" s="371" t="n">
        <v>14509.98079199019</v>
      </c>
      <c r="G64" s="9">
        <f si="1" t="shared"/>
        <v>4.8985143622568925E-3</v>
      </c>
    </row>
    <row r="65" spans="1:7" x14ac:dyDescent="0.25">
      <c r="A65">
        <v>54</v>
      </c>
      <c r="B65" s="6" t="n">
        <v>9859.3833991214</v>
      </c>
      <c r="C65" s="9">
        <f si="0" t="shared"/>
        <v>4.3482007760616403E-3</v>
      </c>
      <c r="E65" s="371">
        <v>54</v>
      </c>
      <c r="F65" s="371" t="n">
        <v>10152.931946453169</v>
      </c>
      <c r="G65" s="9">
        <f si="1" t="shared"/>
        <v>4.1716836733512027E-3</v>
      </c>
    </row>
    <row r="66" spans="1:7" x14ac:dyDescent="0.25">
      <c r="A66">
        <v>55</v>
      </c>
      <c r="B66" s="6" t="n">
        <v>13916.8931184971</v>
      </c>
      <c r="C66" s="9">
        <f si="0" t="shared"/>
        <v>6.1376500951985024E-3</v>
      </c>
      <c r="E66" s="371">
        <v>55</v>
      </c>
      <c r="F66" s="371" t="n">
        <v>10613.015946380272</v>
      </c>
      <c r="G66" s="9">
        <f si="1" t="shared"/>
        <v>4.7967371031834953E-3</v>
      </c>
    </row>
    <row r="67" spans="1:7" x14ac:dyDescent="0.25">
      <c r="A67">
        <v>56</v>
      </c>
      <c r="B67" s="6" t="n">
        <v>7311.7558387176</v>
      </c>
      <c r="C67" s="9">
        <f si="0" t="shared"/>
        <v>3.2246420618066512E-3</v>
      </c>
      <c r="E67" s="371">
        <v>56</v>
      </c>
      <c r="F67" s="371" t="n">
        <v>13113.363146819043</v>
      </c>
      <c r="G67" s="9">
        <f si="1" t="shared"/>
        <v>4.6097720417268926E-3</v>
      </c>
    </row>
    <row r="68" spans="1:7" x14ac:dyDescent="0.25">
      <c r="A68">
        <v>57</v>
      </c>
      <c r="B68" s="6" t="n">
        <v>4446.7276208381</v>
      </c>
      <c r="C68" s="9">
        <f si="0" t="shared"/>
        <v>1.9611028103021112E-3</v>
      </c>
      <c r="E68" s="371">
        <v>57</v>
      </c>
      <c r="F68" s="371" t="n">
        <v>10554.700317018705</v>
      </c>
      <c r="G68" s="9">
        <f si="1" t="shared"/>
        <v>4.2057276089244641E-3</v>
      </c>
    </row>
    <row r="69" spans="1:7" x14ac:dyDescent="0.25">
      <c r="A69">
        <v>58</v>
      </c>
      <c r="B69" s="6" t="n">
        <v>5162.9732608134</v>
      </c>
      <c r="C69" s="9">
        <f si="0" t="shared"/>
        <v>2.276982589139893E-3</v>
      </c>
      <c r="E69" s="371">
        <v>58</v>
      </c>
      <c r="F69" s="371" t="n">
        <v>14773.408710156511</v>
      </c>
      <c r="G69" s="9">
        <f si="1" t="shared"/>
        <v>3.8424393520459445E-3</v>
      </c>
    </row>
    <row r="70" spans="1:7" x14ac:dyDescent="0.25">
      <c r="A70">
        <v>59</v>
      </c>
      <c r="B70" s="6" t="n">
        <v>6637.0448324079</v>
      </c>
      <c r="C70" s="9">
        <f si="0" t="shared"/>
        <v>2.9270799524444566E-3</v>
      </c>
      <c r="E70" s="371">
        <v>59</v>
      </c>
      <c r="F70" s="371" t="n">
        <v>11854.06532170009</v>
      </c>
      <c r="G70" s="9">
        <f si="1" t="shared"/>
        <v>4.8206138520009816E-3</v>
      </c>
    </row>
    <row r="71" spans="1:7" x14ac:dyDescent="0.25">
      <c r="A71">
        <v>60</v>
      </c>
      <c r="B71" s="6" t="n">
        <v>6401.8810918365</v>
      </c>
      <c r="C71" s="9">
        <f si="0" t="shared"/>
        <v>2.8233676696514734E-3</v>
      </c>
      <c r="E71" s="371">
        <v>60</v>
      </c>
      <c r="F71" s="371" t="n">
        <v>10234.50090393954</v>
      </c>
      <c r="G71" s="9">
        <f si="1" t="shared"/>
        <v>3.4583236010110627E-3</v>
      </c>
    </row>
    <row r="72" spans="1:7" x14ac:dyDescent="0.25">
      <c r="A72">
        <v>61</v>
      </c>
      <c r="B72" s="6" t="n">
        <v>11655.4694613099</v>
      </c>
      <c r="C72" s="9">
        <f si="0" t="shared"/>
        <v>5.1403134765554137E-3</v>
      </c>
      <c r="E72" s="371">
        <v>61</v>
      </c>
      <c r="F72" s="371" t="n">
        <v>7644.2915385946035</v>
      </c>
      <c r="G72" s="9">
        <f si="1" t="shared"/>
        <v>2.687623874809815E-3</v>
      </c>
    </row>
    <row r="73" spans="1:7" x14ac:dyDescent="0.25">
      <c r="A73">
        <v>62</v>
      </c>
      <c r="B73" s="6" t="n">
        <v>4935.535422183</v>
      </c>
      <c r="C73" s="9">
        <f si="0" t="shared"/>
        <v>2.1766775957742213E-3</v>
      </c>
      <c r="E73" s="371">
        <v>62</v>
      </c>
      <c r="F73" s="371" t="n">
        <v>9784.505094235965</v>
      </c>
      <c r="G73" s="9">
        <f si="1" t="shared"/>
        <v>2.7960192410464136E-3</v>
      </c>
    </row>
    <row r="74" spans="1:7" x14ac:dyDescent="0.25">
      <c r="A74">
        <v>63</v>
      </c>
      <c r="B74" s="6" t="n">
        <v>3688.8441649693</v>
      </c>
      <c r="C74" s="9">
        <f si="0" t="shared"/>
        <v>1.6268598564002819E-3</v>
      </c>
      <c r="E74" s="371">
        <v>63</v>
      </c>
      <c r="F74" s="371" t="n">
        <v>6577.516600097376</v>
      </c>
      <c r="G74" s="9">
        <f si="1" t="shared"/>
        <v>2.5444904887623964E-3</v>
      </c>
    </row>
    <row r="75" spans="1:7" x14ac:dyDescent="0.25">
      <c r="A75">
        <v>64</v>
      </c>
      <c r="B75" s="6" t="n">
        <v>2942.699904596</v>
      </c>
      <c r="C75" s="9">
        <f si="0" t="shared"/>
        <v>1.2977941409623127E-3</v>
      </c>
      <c r="E75" s="371">
        <v>64</v>
      </c>
      <c r="F75" s="371" t="n">
        <v>6145.929505341359</v>
      </c>
      <c r="G75" s="9">
        <f si="1" t="shared"/>
        <v>2.552307110129725E-3</v>
      </c>
    </row>
    <row r="76" spans="1:7" x14ac:dyDescent="0.25">
      <c r="A76">
        <v>65</v>
      </c>
      <c r="B76" s="6" t="n">
        <v>5892.5558191137</v>
      </c>
      <c r="C76" s="9">
        <f si="0" t="shared"/>
        <v>2.5987442366771111E-3</v>
      </c>
      <c r="E76" s="371">
        <v>65</v>
      </c>
      <c r="F76" s="371" t="n">
        <v>6664.109142337417</v>
      </c>
      <c r="G76" s="9">
        <f si="1" t="shared"/>
        <v>2.0658262829318197E-3</v>
      </c>
    </row>
    <row r="77" spans="1:7" x14ac:dyDescent="0.25">
      <c r="A77">
        <v>66</v>
      </c>
      <c r="B77" s="6" t="n">
        <v>4155.034293272</v>
      </c>
      <c r="C77" s="9">
        <f ref="C77:C102" si="2" t="shared">B77/B$102</f>
        <v>1.832459760128411E-3</v>
      </c>
      <c r="E77" s="371">
        <v>66</v>
      </c>
      <c r="F77" s="371" t="n">
        <v>5145.109565616788</v>
      </c>
      <c r="G77" s="9">
        <f ref="G77:G102" si="3" t="shared">F77/F$102</f>
        <v>2.0491939874785485E-3</v>
      </c>
    </row>
    <row r="78" spans="1:7" x14ac:dyDescent="0.25">
      <c r="A78">
        <v>67</v>
      </c>
      <c r="B78" s="6" t="n">
        <v>6053.7855554197</v>
      </c>
      <c r="C78" s="9">
        <f si="2" t="shared"/>
        <v>2.669850028606497E-3</v>
      </c>
      <c r="E78" s="371">
        <v>67</v>
      </c>
      <c r="F78" s="371" t="n">
        <v>6224.211957236496</v>
      </c>
      <c r="G78" s="9">
        <f si="3" t="shared"/>
        <v>2.2134972895030839E-3</v>
      </c>
    </row>
    <row r="79" spans="1:7" x14ac:dyDescent="0.25">
      <c r="A79">
        <v>68</v>
      </c>
      <c r="B79" s="6" t="n">
        <v>1592.181722849</v>
      </c>
      <c r="C79" s="9">
        <f si="2" t="shared"/>
        <v>7.0218648800493165E-4</v>
      </c>
      <c r="E79" s="371">
        <v>68</v>
      </c>
      <c r="F79" s="371" t="n">
        <v>5564.57634654059</v>
      </c>
      <c r="G79" s="9">
        <f si="3" t="shared"/>
        <v>1.922036412475176E-3</v>
      </c>
    </row>
    <row r="80" spans="1:7" x14ac:dyDescent="0.25">
      <c r="A80">
        <v>69</v>
      </c>
      <c r="B80" s="6" t="n">
        <v>4028.6973121152</v>
      </c>
      <c r="C80" s="9">
        <f si="2" t="shared"/>
        <v>1.7767424259632508E-3</v>
      </c>
      <c r="E80" s="371">
        <v>69</v>
      </c>
      <c r="F80" s="371" t="n">
        <v>8002.971095044767</v>
      </c>
      <c r="G80" s="9">
        <f si="3" t="shared"/>
        <v>1.7852337288149663E-3</v>
      </c>
    </row>
    <row r="81" spans="1:7" x14ac:dyDescent="0.25">
      <c r="A81">
        <v>70</v>
      </c>
      <c r="B81" s="6" t="n">
        <v>7374.5215670546</v>
      </c>
      <c r="C81" s="9">
        <f si="2" t="shared"/>
        <v>3.2523231020519607E-3</v>
      </c>
      <c r="E81" s="371">
        <v>70</v>
      </c>
      <c r="F81" s="371" t="n">
        <v>3794.656934985364</v>
      </c>
      <c r="G81" s="9">
        <f si="3" t="shared"/>
        <v>1.612222912126982E-3</v>
      </c>
    </row>
    <row r="82" spans="1:7" x14ac:dyDescent="0.25">
      <c r="A82">
        <v>71</v>
      </c>
      <c r="B82" s="6" t="n">
        <v>1567.8307832096</v>
      </c>
      <c r="C82" s="9">
        <f si="2" t="shared"/>
        <v>6.9144719829972515E-4</v>
      </c>
      <c r="E82" s="371">
        <v>71</v>
      </c>
      <c r="F82" s="371" t="n">
        <v>4541.778988468949</v>
      </c>
      <c r="G82" s="9">
        <f si="3" t="shared"/>
        <v>2.2991760231939979E-3</v>
      </c>
    </row>
    <row r="83" spans="1:7" x14ac:dyDescent="0.25">
      <c r="A83">
        <v>72</v>
      </c>
      <c r="B83" s="6" t="n">
        <v>11656.6625317656</v>
      </c>
      <c r="C83" s="9">
        <f si="2" t="shared"/>
        <v>5.140839646364556E-3</v>
      </c>
      <c r="E83" s="371">
        <v>72</v>
      </c>
      <c r="F83" s="371" t="n">
        <v>3532.140259006628</v>
      </c>
      <c r="G83" s="9">
        <f si="3" t="shared"/>
        <v>1.5090171019892025E-3</v>
      </c>
    </row>
    <row r="84" spans="1:7" x14ac:dyDescent="0.25">
      <c r="A84">
        <v>73</v>
      </c>
      <c r="B84" s="6" t="n">
        <v>3696.5753452032</v>
      </c>
      <c r="C84" s="9">
        <f si="2" t="shared"/>
        <v>1.6302694736686307E-3</v>
      </c>
      <c r="E84" s="371">
        <v>73</v>
      </c>
      <c r="F84" s="371" t="n">
        <v>4103.382139457124</v>
      </c>
      <c r="G84" s="9">
        <f si="3" t="shared"/>
        <v>1.3690348738150308E-3</v>
      </c>
    </row>
    <row r="85" spans="1:7" x14ac:dyDescent="0.25">
      <c r="A85">
        <v>74</v>
      </c>
      <c r="B85" s="6" t="n">
        <v>7720.0441044545</v>
      </c>
      <c r="C85" s="9">
        <f si="2" t="shared"/>
        <v>3.4047059950230276E-3</v>
      </c>
      <c r="E85" s="371">
        <v>74</v>
      </c>
      <c r="F85" s="371" t="n">
        <v>4093.2093261289365</v>
      </c>
      <c r="G85" s="9">
        <f si="3" t="shared"/>
        <v>1.3030485017900056E-3</v>
      </c>
    </row>
    <row r="86" spans="1:7" x14ac:dyDescent="0.25">
      <c r="A86">
        <v>75</v>
      </c>
      <c r="B86" s="6" t="n">
        <v>5444.093177335</v>
      </c>
      <c r="C86" s="9">
        <f si="2" t="shared"/>
        <v>2.4009625369421595E-3</v>
      </c>
      <c r="E86" s="371">
        <v>75</v>
      </c>
      <c r="F86" s="371" t="n">
        <v>3219.6252083827035</v>
      </c>
      <c r="G86" s="9">
        <f si="3" t="shared"/>
        <v>1.2581638498925355E-3</v>
      </c>
    </row>
    <row r="87" spans="1:7" x14ac:dyDescent="0.25">
      <c r="A87">
        <v>76</v>
      </c>
      <c r="B87" s="6" t="n">
        <v>5967.730672062</v>
      </c>
      <c r="C87" s="9">
        <f si="2" t="shared"/>
        <v>2.6318979685787682E-3</v>
      </c>
      <c r="E87" s="371">
        <v>76</v>
      </c>
      <c r="F87" s="371" t="n">
        <v>3496.2748506254284</v>
      </c>
      <c r="G87" s="9">
        <f si="3" t="shared"/>
        <v>1.015837740435503E-3</v>
      </c>
    </row>
    <row r="88" spans="1:7" x14ac:dyDescent="0.25">
      <c r="A88">
        <v>77</v>
      </c>
      <c r="B88" s="6" t="n">
        <v>8134.7387629777</v>
      </c>
      <c r="C88" s="9">
        <f si="2" t="shared"/>
        <v>3.5875952856636458E-3</v>
      </c>
      <c r="E88" s="371">
        <v>77</v>
      </c>
      <c r="F88" s="371" t="n">
        <v>2582.685794818036</v>
      </c>
      <c r="G88" s="9">
        <f si="3" t="shared"/>
        <v>8.6142029994891759E-4</v>
      </c>
    </row>
    <row r="89" spans="1:7" x14ac:dyDescent="0.25">
      <c r="A89">
        <v>78</v>
      </c>
      <c r="B89" s="6" t="n">
        <v>2079.23907002</v>
      </c>
      <c r="C89" s="9">
        <f si="2" t="shared"/>
        <v>9.1698928542370247E-4</v>
      </c>
      <c r="E89" s="371">
        <v>78</v>
      </c>
      <c r="F89" s="371" t="n">
        <v>2133.138794647502</v>
      </c>
      <c r="G89" s="9">
        <f si="3" t="shared"/>
        <v>8.5724923579603074E-4</v>
      </c>
    </row>
    <row r="90" spans="1:7" x14ac:dyDescent="0.25">
      <c r="A90">
        <v>79</v>
      </c>
      <c r="B90" s="6" t="n">
        <v>4368.2174773080005</v>
      </c>
      <c r="C90" s="9">
        <f si="2" t="shared"/>
        <v>1.9264781433014637E-3</v>
      </c>
      <c r="E90" s="371">
        <v>79</v>
      </c>
      <c r="F90" s="371" t="n">
        <v>2357.4575137362567</v>
      </c>
      <c r="G90" s="9">
        <f si="3" t="shared"/>
        <v>8.4688173487657199E-4</v>
      </c>
    </row>
    <row r="91" spans="1:7" x14ac:dyDescent="0.25">
      <c r="A91">
        <v>80</v>
      </c>
      <c r="B91" s="6" t="n">
        <v>5711.655378544599</v>
      </c>
      <c r="C91" s="9">
        <f si="2" t="shared"/>
        <v>2.5189632398104561E-3</v>
      </c>
      <c r="E91" s="371">
        <v>80</v>
      </c>
      <c r="F91" s="371" t="n">
        <v>2317.4476228379185</v>
      </c>
      <c r="G91" s="9">
        <f si="3" t="shared"/>
        <v>6.9638063446999761E-4</v>
      </c>
    </row>
    <row r="92" spans="1:7" x14ac:dyDescent="0.25">
      <c r="A92">
        <v>81</v>
      </c>
      <c r="B92" s="6" t="n">
        <v>2193.4293356089997</v>
      </c>
      <c r="C92" s="9">
        <f si="2" t="shared"/>
        <v>9.6734965598166455E-4</v>
      </c>
      <c r="E92" s="371">
        <v>81</v>
      </c>
      <c r="F92" s="371" t="n">
        <v>2830.749891293159</v>
      </c>
      <c r="G92" s="9">
        <f si="3" t="shared"/>
        <v>8.9135559940002487E-4</v>
      </c>
    </row>
    <row r="93" spans="1:7" x14ac:dyDescent="0.25">
      <c r="A93">
        <v>82</v>
      </c>
      <c r="B93" s="6" t="n">
        <v>9498.3727614091</v>
      </c>
      <c r="C93" s="9">
        <f si="2" t="shared"/>
        <v>4.1889872967271202E-3</v>
      </c>
      <c r="E93" s="371">
        <v>82</v>
      </c>
      <c r="F93" s="371" t="n">
        <v>2747.78932600152</v>
      </c>
      <c r="G93" s="9">
        <f si="3" t="shared"/>
        <v>7.0958316308977363E-4</v>
      </c>
    </row>
    <row r="94" spans="1:7" x14ac:dyDescent="0.25">
      <c r="A94">
        <v>83</v>
      </c>
      <c r="B94" s="6" t="n">
        <v>5403.1790240475</v>
      </c>
      <c r="C94" s="9">
        <f si="2" t="shared"/>
        <v>2.3829185126989735E-3</v>
      </c>
      <c r="E94" s="371">
        <v>83</v>
      </c>
      <c r="F94" s="371" t="n">
        <v>1404.4495388751889</v>
      </c>
      <c r="G94" s="9">
        <f si="3" t="shared"/>
        <v>6.5012544655378309E-4</v>
      </c>
    </row>
    <row r="95" spans="1:7" x14ac:dyDescent="0.25">
      <c r="A95">
        <v>84</v>
      </c>
      <c r="B95" s="6" t="n">
        <v>3207.608601018</v>
      </c>
      <c r="C95" s="9">
        <f si="2" t="shared"/>
        <v>1.4146245909750655E-3</v>
      </c>
      <c r="E95" s="371">
        <v>84</v>
      </c>
      <c r="F95" s="371" t="n">
        <v>1792.8410114214516</v>
      </c>
      <c r="G95" s="9">
        <f si="3" t="shared"/>
        <v>6.0492942784028819E-4</v>
      </c>
    </row>
    <row r="96" spans="1:7" x14ac:dyDescent="0.25">
      <c r="A96">
        <v>85</v>
      </c>
      <c r="B96" s="6" t="n">
        <v>3556.3916417300998</v>
      </c>
      <c r="C96" s="9">
        <f si="2" t="shared"/>
        <v>1.5684454362458395E-3</v>
      </c>
      <c r="E96" s="371">
        <v>85</v>
      </c>
      <c r="F96" s="371" t="n">
        <v>2076.683929044975</v>
      </c>
      <c r="G96" s="9">
        <f si="3" t="shared"/>
        <v>6.1427575337513155E-4</v>
      </c>
    </row>
    <row r="97" spans="1:7" x14ac:dyDescent="0.25">
      <c r="A97">
        <v>86</v>
      </c>
      <c r="B97" s="6" t="n">
        <v>8154.8321200373</v>
      </c>
      <c r="C97" s="9">
        <f si="2" t="shared"/>
        <v>3.5964568896020848E-3</v>
      </c>
      <c r="E97" s="371">
        <v>86</v>
      </c>
      <c r="F97" s="371" t="n">
        <v>1486.4828061715173</v>
      </c>
      <c r="G97" s="9">
        <f si="3" t="shared"/>
        <v>7.8655962371871593E-4</v>
      </c>
    </row>
    <row r="98" spans="1:7" x14ac:dyDescent="0.25">
      <c r="A98">
        <v>87</v>
      </c>
      <c r="B98" s="6" t="n">
        <v>1438.7523178411</v>
      </c>
      <c r="C98" s="9">
        <f si="2" t="shared"/>
        <v>6.3452081045500721E-4</v>
      </c>
      <c r="E98" s="371">
        <v>87</v>
      </c>
      <c r="F98" s="371" t="n">
        <v>1586.5521246378007</v>
      </c>
      <c r="G98" s="9">
        <f si="3" t="shared"/>
        <v>4.8577981653914276E-4</v>
      </c>
    </row>
    <row r="99" spans="1:7" x14ac:dyDescent="0.25">
      <c r="A99">
        <v>88</v>
      </c>
      <c r="B99" s="6" t="n">
        <v>2191.2054852572</v>
      </c>
      <c r="C99" s="9">
        <f si="2" t="shared"/>
        <v>9.6636889000126854E-4</v>
      </c>
      <c r="E99" s="371">
        <v>88</v>
      </c>
      <c r="F99" s="371" t="n">
        <v>1441.959110517288</v>
      </c>
      <c r="G99" s="9">
        <f si="3" t="shared"/>
        <v>6.6938050356405419E-4</v>
      </c>
    </row>
    <row r="100" spans="1:7" x14ac:dyDescent="0.25">
      <c r="A100">
        <v>89</v>
      </c>
      <c r="B100" s="6" t="n">
        <v>6096.0213704741</v>
      </c>
      <c r="C100" s="9">
        <f si="2" t="shared"/>
        <v>2.6884769342011717E-3</v>
      </c>
      <c r="E100" s="371">
        <v>89</v>
      </c>
      <c r="F100" s="371" t="n">
        <v>1115.7634225902113</v>
      </c>
      <c r="G100" s="9">
        <f si="3" t="shared"/>
        <v>5.3540692987714218E-4</v>
      </c>
    </row>
    <row ht="15.75" r="101" spans="1:7" thickBot="1" x14ac:dyDescent="0.3">
      <c r="A101" s="1">
        <v>90</v>
      </c>
      <c r="B101" s="7" t="n">
        <v>54382.1010922642</v>
      </c>
      <c r="C101" s="9">
        <f si="2" t="shared"/>
        <v>2.3983679769905068E-2</v>
      </c>
      <c r="E101" s="372">
        <v>90</v>
      </c>
      <c r="F101" s="372" t="n">
        <v>36855.31388886085</v>
      </c>
      <c r="G101" s="9">
        <f si="3" t="shared"/>
        <v>1.6805409034587493E-2</v>
      </c>
    </row>
    <row r="102" spans="1:7" x14ac:dyDescent="0.25">
      <c r="B102" s="6">
        <f>SUM(B11:B101)</f>
        <v>2267462.7752703461</v>
      </c>
      <c r="C102" s="9">
        <f si="2" t="shared"/>
        <v>1</v>
      </c>
      <c r="F102" s="6">
        <f>SUM(F11:F101)</f>
        <v>2264705.1405778569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L102"/>
  <sheetViews>
    <sheetView workbookViewId="0">
      <selection activeCell="K11" sqref="K11:L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59197.431251041104</v>
      </c>
      <c r="C11" s="9">
        <f>B11/B$102</f>
        <v>6.7908804863944364E-2</v>
      </c>
      <c r="E11" s="371">
        <v>0</v>
      </c>
      <c r="F11" s="371" t="n">
        <v>142448.02982020486</v>
      </c>
      <c r="G11" s="9">
        <f>F11/F$102</f>
        <v>0.16311210851054175</v>
      </c>
      <c r="K11" s="6" t="n">
        <v>6.0348967635956425</v>
      </c>
      <c r="L11" s="6" t="n">
        <v>4.656338593380176</v>
      </c>
    </row>
    <row r="12" spans="1:12" x14ac:dyDescent="0.25">
      <c r="A12">
        <v>1</v>
      </c>
      <c r="B12" s="6" t="n">
        <v>43875.6146879342</v>
      </c>
      <c r="C12" s="9">
        <f>B12/B$102</f>
        <v>5.0332260930260102E-2</v>
      </c>
      <c r="E12" s="371">
        <v>1</v>
      </c>
      <c r="F12" s="371" t="n">
        <v>138868.44856786734</v>
      </c>
      <c r="G12" s="9">
        <f>F12/F$102</f>
        <v>0.16013110841707173</v>
      </c>
      <c r="K12" s="6"/>
      <c r="L12" s="371"/>
    </row>
    <row r="13" spans="1:12" x14ac:dyDescent="0.25">
      <c r="A13">
        <v>2</v>
      </c>
      <c r="B13" s="6" t="n">
        <v>56232.611562098</v>
      </c>
      <c r="C13" s="9">
        <f ref="C13:C76" si="0" t="shared">B13/B$102</f>
        <v>6.4507688338137734E-2</v>
      </c>
      <c r="E13" s="371">
        <v>2</v>
      </c>
      <c r="F13" s="371" t="n">
        <v>77985.23540444425</v>
      </c>
      <c r="G13" s="9">
        <f ref="G13:G76" si="1" t="shared">F13/F$102</f>
        <v>8.9520777528554349E-2</v>
      </c>
    </row>
    <row r="14" spans="1:12" x14ac:dyDescent="0.25">
      <c r="A14">
        <v>3</v>
      </c>
      <c r="B14" s="6" t="n">
        <v>83102.9846085566</v>
      </c>
      <c r="C14" s="9">
        <f si="0" t="shared"/>
        <v>9.5332250844830213E-2</v>
      </c>
      <c r="E14" s="371">
        <v>3</v>
      </c>
      <c r="F14" s="371" t="n">
        <v>47183.907497148204</v>
      </c>
      <c r="G14" s="9">
        <f si="1" t="shared"/>
        <v>5.3978476936943943E-2</v>
      </c>
    </row>
    <row r="15" spans="1:12" x14ac:dyDescent="0.25">
      <c r="A15">
        <v>4</v>
      </c>
      <c r="B15" s="6" t="n">
        <v>176389.9788356086</v>
      </c>
      <c r="C15" s="9">
        <f si="0" t="shared"/>
        <v>0.20234716945580231</v>
      </c>
      <c r="E15" s="371">
        <v>4</v>
      </c>
      <c r="F15" s="371" t="n">
        <v>147654.23088079624</v>
      </c>
      <c r="G15" s="9">
        <f si="1" t="shared"/>
        <v>0.16955947094208382</v>
      </c>
    </row>
    <row r="16" spans="1:12" x14ac:dyDescent="0.25">
      <c r="A16">
        <v>5</v>
      </c>
      <c r="B16" s="6" t="n">
        <v>74454.4172746559</v>
      </c>
      <c r="C16" s="9">
        <f si="0" t="shared"/>
        <v>8.5410977927769027E-2</v>
      </c>
      <c r="E16" s="371">
        <v>5</v>
      </c>
      <c r="F16" s="371" t="n">
        <v>61601.76627779248</v>
      </c>
      <c r="G16" s="9">
        <f si="1" t="shared"/>
        <v>7.2514003411216776E-2</v>
      </c>
    </row>
    <row r="17" spans="1:7" x14ac:dyDescent="0.25">
      <c r="A17">
        <v>6</v>
      </c>
      <c r="B17" s="6" t="n">
        <v>124431.505992334</v>
      </c>
      <c r="C17" s="9">
        <f si="0" t="shared"/>
        <v>0.14274259339946485</v>
      </c>
      <c r="E17" s="371">
        <v>6</v>
      </c>
      <c r="F17" s="371" t="n">
        <v>67577.7587369489</v>
      </c>
      <c r="G17" s="9">
        <f si="1" t="shared"/>
        <v>7.452423582252185E-2</v>
      </c>
    </row>
    <row r="18" spans="1:7" x14ac:dyDescent="0.25">
      <c r="A18">
        <v>7</v>
      </c>
      <c r="B18" s="6" t="n">
        <v>46721.186487828</v>
      </c>
      <c r="C18" s="9">
        <f si="0" t="shared"/>
        <v>5.3596581290139451E-2</v>
      </c>
      <c r="E18" s="371">
        <v>7</v>
      </c>
      <c r="F18" s="371" t="n">
        <v>39957.65446198733</v>
      </c>
      <c r="G18" s="9">
        <f si="1" t="shared"/>
        <v>4.6431246580805462E-2</v>
      </c>
    </row>
    <row r="19" spans="1:7" x14ac:dyDescent="0.25">
      <c r="A19">
        <v>8</v>
      </c>
      <c r="B19" s="6" t="n">
        <v>39474.5795078497</v>
      </c>
      <c r="C19" s="9">
        <f si="0" t="shared"/>
        <v>4.5283578361986404E-2</v>
      </c>
      <c r="E19" s="371">
        <v>8</v>
      </c>
      <c r="F19" s="371" t="n">
        <v>35389.62924804391</v>
      </c>
      <c r="G19" s="9">
        <f si="1" t="shared"/>
        <v>4.6544076020496448E-2</v>
      </c>
    </row>
    <row r="20" spans="1:7" x14ac:dyDescent="0.25">
      <c r="A20">
        <v>9</v>
      </c>
      <c r="B20" s="6" t="n">
        <v>29773.5607171911</v>
      </c>
      <c r="C20" s="9">
        <f si="0" t="shared"/>
        <v>3.4154977371809031E-2</v>
      </c>
      <c r="E20" s="371">
        <v>9</v>
      </c>
      <c r="F20" s="371" t="n">
        <v>25244.563350052056</v>
      </c>
      <c r="G20" s="9">
        <f si="1" t="shared"/>
        <v>2.4330346331312865E-2</v>
      </c>
    </row>
    <row r="21" spans="1:7" x14ac:dyDescent="0.25">
      <c r="A21">
        <v>10</v>
      </c>
      <c r="B21" s="6" t="n">
        <v>52862.6879539628</v>
      </c>
      <c r="C21" s="9">
        <f si="0" t="shared"/>
        <v>6.0641853624114943E-2</v>
      </c>
      <c r="E21" s="371">
        <v>10</v>
      </c>
      <c r="F21" s="371" t="n">
        <v>13780.040593719894</v>
      </c>
      <c r="G21" s="9">
        <f si="1" t="shared"/>
        <v>1.9028609684391649E-2</v>
      </c>
    </row>
    <row r="22" spans="1:7" x14ac:dyDescent="0.25">
      <c r="A22">
        <v>11</v>
      </c>
      <c r="B22" s="6" t="n">
        <v>10239.009300654</v>
      </c>
      <c r="C22" s="9">
        <f si="0" t="shared"/>
        <v>1.1745761089692474E-2</v>
      </c>
      <c r="E22" s="371">
        <v>11</v>
      </c>
      <c r="F22" s="371" t="n">
        <v>13032.77098639686</v>
      </c>
      <c r="G22" s="9">
        <f si="1" t="shared"/>
        <v>1.8407465110146567E-2</v>
      </c>
    </row>
    <row r="23" spans="1:7" x14ac:dyDescent="0.25">
      <c r="A23">
        <v>12</v>
      </c>
      <c r="B23" s="6" t="n">
        <v>7829.2745191903</v>
      </c>
      <c r="C23" s="9">
        <f si="0" t="shared"/>
        <v>8.9814146376595589E-3</v>
      </c>
      <c r="E23" s="371">
        <v>12</v>
      </c>
      <c r="F23" s="371" t="n">
        <v>10908.461047328108</v>
      </c>
      <c r="G23" s="9">
        <f si="1" t="shared"/>
        <v>1.1225501181089715E-2</v>
      </c>
    </row>
    <row r="24" spans="1:7" x14ac:dyDescent="0.25">
      <c r="A24">
        <v>13</v>
      </c>
      <c r="B24" s="6" t="n">
        <v>5569.2913049226</v>
      </c>
      <c r="C24" s="9">
        <f si="0" t="shared"/>
        <v>6.3888568889515704E-3</v>
      </c>
      <c r="E24" s="371">
        <v>13</v>
      </c>
      <c r="F24" s="371" t="n">
        <v>8210.706662619055</v>
      </c>
      <c r="G24" s="9">
        <f si="1" t="shared"/>
        <v>8.5728586856854971E-3</v>
      </c>
    </row>
    <row r="25" spans="1:7" x14ac:dyDescent="0.25">
      <c r="A25">
        <v>14</v>
      </c>
      <c r="B25" s="6" t="n">
        <v>5428.3616234731</v>
      </c>
      <c r="C25" s="9">
        <f si="0" t="shared"/>
        <v>6.2271882821414793E-3</v>
      </c>
      <c r="E25" s="371">
        <v>14</v>
      </c>
      <c r="F25" s="371" t="n">
        <v>6532.8101230729835</v>
      </c>
      <c r="G25" s="9">
        <f si="1" t="shared"/>
        <v>7.8409400018876457E-3</v>
      </c>
    </row>
    <row r="26" spans="1:7" x14ac:dyDescent="0.25">
      <c r="A26">
        <v>15</v>
      </c>
      <c r="B26" s="6" t="n">
        <v>2742.3165746610002</v>
      </c>
      <c r="C26" s="9">
        <f si="0" t="shared"/>
        <v>3.1458703056568694E-3</v>
      </c>
      <c r="E26" s="371">
        <v>15</v>
      </c>
      <c r="F26" s="371" t="n">
        <v>5448.090411400246</v>
      </c>
      <c r="G26" s="9">
        <f si="1" t="shared"/>
        <v>6.5474832546697373E-3</v>
      </c>
    </row>
    <row r="27" spans="1:7" x14ac:dyDescent="0.25">
      <c r="A27">
        <v>16</v>
      </c>
      <c r="B27" s="6" t="n">
        <v>10449.0733677851</v>
      </c>
      <c r="C27" s="9">
        <f si="0" t="shared"/>
        <v>1.1986737757805612E-2</v>
      </c>
      <c r="E27" s="371">
        <v>16</v>
      </c>
      <c r="F27" s="371" t="n">
        <v>4138.270092547333</v>
      </c>
      <c r="G27" s="9">
        <f si="1" t="shared"/>
        <v>6.3014720297417427E-3</v>
      </c>
    </row>
    <row r="28" spans="1:7" x14ac:dyDescent="0.25">
      <c r="A28">
        <v>17</v>
      </c>
      <c r="B28" s="6" t="n">
        <v>6295.3419629264</v>
      </c>
      <c r="C28" s="9">
        <f si="0" t="shared"/>
        <v>7.2217516854610276E-3</v>
      </c>
      <c r="E28" s="371">
        <v>17</v>
      </c>
      <c r="F28" s="371" t="n">
        <v>3042.518474691533</v>
      </c>
      <c r="G28" s="9">
        <f si="1" t="shared"/>
        <v>4.0932209500416077E-3</v>
      </c>
    </row>
    <row r="29" spans="1:7" x14ac:dyDescent="0.25">
      <c r="A29">
        <v>18</v>
      </c>
      <c r="B29" s="6" t="n">
        <v>6140.745494987001</v>
      </c>
      <c r="C29" s="9">
        <f si="0" t="shared"/>
        <v>7.044405115650753E-3</v>
      </c>
      <c r="E29" s="371">
        <v>18</v>
      </c>
      <c r="F29" s="371" t="n">
        <v>2494.606053299511</v>
      </c>
      <c r="G29" s="9">
        <f si="1" t="shared"/>
        <v>3.2287529308796573E-3</v>
      </c>
    </row>
    <row r="30" spans="1:7" x14ac:dyDescent="0.25">
      <c r="A30">
        <v>19</v>
      </c>
      <c r="B30" s="6" t="n">
        <v>1810.597354693</v>
      </c>
      <c r="C30" s="9">
        <f si="0" t="shared"/>
        <v>2.0770411798038684E-3</v>
      </c>
      <c r="E30" s="371">
        <v>19</v>
      </c>
      <c r="F30" s="371" t="n">
        <v>1750.9453914578912</v>
      </c>
      <c r="G30" s="9">
        <f si="1" t="shared"/>
        <v>2.2401627352884009E-3</v>
      </c>
    </row>
    <row r="31" spans="1:7" x14ac:dyDescent="0.25">
      <c r="A31">
        <v>20</v>
      </c>
      <c r="B31" s="6" t="n">
        <v>1688.2556964760001</v>
      </c>
      <c r="C31" s="9">
        <f si="0" t="shared"/>
        <v>1.9366959719289319E-3</v>
      </c>
      <c r="E31" s="371">
        <v>20</v>
      </c>
      <c r="F31" s="371" t="n">
        <v>1481.9704106048068</v>
      </c>
      <c r="G31" s="9">
        <f si="1" t="shared"/>
        <v>1.6395298562601661E-3</v>
      </c>
    </row>
    <row r="32" spans="1:7" x14ac:dyDescent="0.25">
      <c r="A32">
        <v>21</v>
      </c>
      <c r="B32" s="6" t="n">
        <v>8002.3638754794</v>
      </c>
      <c r="C32" s="9">
        <f si="0" t="shared"/>
        <v>9.1799754716662789E-3</v>
      </c>
      <c r="E32" s="371">
        <v>21</v>
      </c>
      <c r="F32" s="371" t="n">
        <v>1334.5559193209872</v>
      </c>
      <c r="G32" s="9">
        <f si="1" t="shared"/>
        <v>1.3135012427897095E-3</v>
      </c>
    </row>
    <row r="33" spans="1:7" x14ac:dyDescent="0.25">
      <c r="A33">
        <v>22</v>
      </c>
      <c r="B33" s="6" t="n">
        <v>2202.724216397</v>
      </c>
      <c r="C33" s="9">
        <f si="0" t="shared"/>
        <v>2.5268726331390923E-3</v>
      </c>
      <c r="E33" s="371">
        <v>22</v>
      </c>
      <c r="F33" s="371" t="n">
        <v>760.7619576179593</v>
      </c>
      <c r="G33" s="9">
        <f si="1" t="shared"/>
        <v>1.1850522023258835E-3</v>
      </c>
    </row>
    <row r="34" spans="1:7" x14ac:dyDescent="0.25">
      <c r="A34">
        <v>23</v>
      </c>
      <c r="B34" s="6" t="n">
        <v>9592.527319451</v>
      </c>
      <c r="C34" s="9">
        <f si="0" t="shared"/>
        <v>1.100414413466964E-2</v>
      </c>
      <c r="E34" s="371">
        <v>23</v>
      </c>
      <c r="F34" s="371" t="n">
        <v>940.080472098162</v>
      </c>
      <c r="G34" s="9">
        <f si="1" t="shared"/>
        <v>1.300127128536032E-3</v>
      </c>
    </row>
    <row r="35" spans="1:7" x14ac:dyDescent="0.25">
      <c r="A35">
        <v>24</v>
      </c>
      <c r="B35" s="6" t="n">
        <v>179.297583701</v>
      </c>
      <c r="C35" s="9">
        <f si="0" t="shared"/>
        <v>2.05682651540962E-4</v>
      </c>
      <c r="E35" s="371">
        <v>24</v>
      </c>
      <c r="F35" s="371" t="n">
        <v>737.0495848118084</v>
      </c>
      <c r="G35" s="9">
        <f si="1" t="shared"/>
        <v>9.3247149977680863E-4</v>
      </c>
    </row>
    <row r="36" spans="1:7" x14ac:dyDescent="0.25">
      <c r="A36">
        <v>25</v>
      </c>
      <c r="B36" s="6" t="n">
        <v>1088.724914105</v>
      </c>
      <c r="C36" s="9">
        <f si="0" t="shared"/>
        <v>1.2489394586892781E-3</v>
      </c>
      <c r="E36" s="371">
        <v>25</v>
      </c>
      <c r="F36" s="371" t="n">
        <v>558.127779919697</v>
      </c>
      <c r="G36" s="9">
        <f si="1" t="shared"/>
        <v>1.2612402103234128E-3</v>
      </c>
    </row>
    <row r="37" spans="1:7" x14ac:dyDescent="0.25">
      <c r="A37">
        <v>26</v>
      </c>
      <c r="B37" s="6" t="n">
        <v>1057.542875</v>
      </c>
      <c r="C37" s="9">
        <f si="0" t="shared"/>
        <v>1.2131687341140614E-3</v>
      </c>
      <c r="E37" s="371">
        <v>26</v>
      </c>
      <c r="F37" s="371" t="n">
        <v>475.46341568532733</v>
      </c>
      <c r="G37" s="9">
        <f si="1" t="shared"/>
        <v>8.0784046579455537E-4</v>
      </c>
    </row>
    <row r="38" spans="1:7" x14ac:dyDescent="0.25">
      <c r="A38">
        <v>27</v>
      </c>
      <c r="B38" s="6" t="n">
        <v>18.23</v>
      </c>
      <c r="C38" s="9">
        <f si="0" t="shared"/>
        <v>2.0912689731751384E-5</v>
      </c>
      <c r="E38" s="371">
        <v>27</v>
      </c>
      <c r="F38" s="371" t="n">
        <v>434.16873569318534</v>
      </c>
      <c r="G38" s="9">
        <f si="1" t="shared"/>
        <v>6.9150813688735244E-4</v>
      </c>
    </row>
    <row r="39" spans="1:7" x14ac:dyDescent="0.25">
      <c r="A39">
        <v>28</v>
      </c>
      <c r="B39" s="6" t="n">
        <v>1720.55017111</v>
      </c>
      <c r="C39" s="9">
        <f si="0" t="shared"/>
        <v>1.9737428357836087E-3</v>
      </c>
      <c r="E39" s="371">
        <v>28</v>
      </c>
      <c r="F39" s="371" t="n">
        <v>252.87404430745306</v>
      </c>
      <c r="G39" s="9">
        <f si="1" t="shared"/>
        <v>4.455970773758671E-4</v>
      </c>
    </row>
    <row r="40" spans="1:7" x14ac:dyDescent="0.25">
      <c r="A40">
        <v>29</v>
      </c>
      <c r="B40" s="6" t="n">
        <v>308.776770034</v>
      </c>
      <c r="C40" s="9">
        <f si="0" t="shared"/>
        <v>3.5421573165624737E-4</v>
      </c>
      <c r="E40" s="371">
        <v>29</v>
      </c>
      <c r="F40" s="371" t="n">
        <v>245.47399801723927</v>
      </c>
      <c r="G40" s="9">
        <f si="1" t="shared"/>
        <v>4.6806714968680539E-4</v>
      </c>
    </row>
    <row r="41" spans="1:7" x14ac:dyDescent="0.25">
      <c r="A41">
        <v>30</v>
      </c>
      <c r="B41" s="6" t="n">
        <v>0.0</v>
      </c>
      <c r="C41" s="9">
        <f si="0" t="shared"/>
        <v>0</v>
      </c>
      <c r="E41" s="371">
        <v>30</v>
      </c>
      <c r="F41" s="371" t="n">
        <v>207.26581013971852</v>
      </c>
      <c r="G41" s="9">
        <f si="1" t="shared"/>
        <v>4.222817163244552E-4</v>
      </c>
    </row>
    <row r="42" spans="1:7" x14ac:dyDescent="0.25">
      <c r="A42">
        <v>31</v>
      </c>
      <c r="B42" s="6" t="n">
        <v>0.0</v>
      </c>
      <c r="C42" s="9">
        <f si="0" t="shared"/>
        <v>0</v>
      </c>
      <c r="E42" s="371">
        <v>31</v>
      </c>
      <c r="F42" s="371" t="n">
        <v>137.1408746576786</v>
      </c>
      <c r="G42" s="9">
        <f si="1" t="shared"/>
        <v>1.9644248466242821E-4</v>
      </c>
    </row>
    <row r="43" spans="1:7" x14ac:dyDescent="0.25">
      <c r="A43">
        <v>32</v>
      </c>
      <c r="B43" s="6" t="n">
        <v>15.92375</v>
      </c>
      <c r="C43" s="9">
        <f si="0" t="shared"/>
        <v>1.8267056671200007E-5</v>
      </c>
      <c r="E43" s="371">
        <v>32</v>
      </c>
      <c r="F43" s="371" t="n">
        <v>160.20282819362367</v>
      </c>
      <c r="G43" s="9">
        <f si="1" t="shared"/>
        <v>1.6091673087079177E-4</v>
      </c>
    </row>
    <row r="44" spans="1:7" x14ac:dyDescent="0.25">
      <c r="A44">
        <v>33</v>
      </c>
      <c r="B44" s="6" t="n">
        <v>0.0</v>
      </c>
      <c r="C44" s="9">
        <f si="0" t="shared"/>
        <v>0</v>
      </c>
      <c r="E44" s="371">
        <v>33</v>
      </c>
      <c r="F44" s="371" t="n">
        <v>170.48481627332148</v>
      </c>
      <c r="G44" s="9">
        <f si="1" t="shared"/>
        <v>1.5418048190297907E-4</v>
      </c>
    </row>
    <row r="45" spans="1:7" x14ac:dyDescent="0.25">
      <c r="A45">
        <v>34</v>
      </c>
      <c r="B45" s="6" t="n">
        <v>596.97480037</v>
      </c>
      <c r="C45" s="9">
        <f si="0" t="shared"/>
        <v>6.8482439812463146E-4</v>
      </c>
      <c r="E45" s="371">
        <v>34</v>
      </c>
      <c r="F45" s="371" t="n">
        <v>74.55305063199901</v>
      </c>
      <c r="G45" s="9">
        <f si="1" t="shared"/>
        <v>1.6580147197761994E-4</v>
      </c>
    </row>
    <row r="46" spans="1:7" x14ac:dyDescent="0.25">
      <c r="A46">
        <v>35</v>
      </c>
      <c r="B46" s="6" t="n">
        <v>10.1925</v>
      </c>
      <c r="C46" s="9">
        <f si="0" t="shared"/>
        <v>1.169240757492463E-5</v>
      </c>
      <c r="E46" s="371">
        <v>35</v>
      </c>
      <c r="F46" s="371" t="n">
        <v>87.02404730769912</v>
      </c>
      <c r="G46" s="9">
        <f si="1" t="shared"/>
        <v>1.158041160445833E-4</v>
      </c>
    </row>
    <row r="47" spans="1:7" x14ac:dyDescent="0.25">
      <c r="A47">
        <v>36</v>
      </c>
      <c r="B47" s="6" t="n">
        <v>0.0</v>
      </c>
      <c r="C47" s="9">
        <f si="0" t="shared"/>
        <v>0</v>
      </c>
      <c r="E47" s="371">
        <v>36</v>
      </c>
      <c r="F47" s="371" t="n">
        <v>83.79159768300838</v>
      </c>
      <c r="G47" s="9">
        <f si="1" t="shared"/>
        <v>1.3368786536952515E-4</v>
      </c>
    </row>
    <row r="48" spans="1:7" x14ac:dyDescent="0.25">
      <c r="A48">
        <v>37</v>
      </c>
      <c r="B48" s="6" t="n">
        <v>0.0</v>
      </c>
      <c r="C48" s="9">
        <f si="0" t="shared"/>
        <v>0</v>
      </c>
      <c r="E48" s="371">
        <v>37</v>
      </c>
      <c r="F48" s="371" t="n">
        <v>60.20072638774718</v>
      </c>
      <c r="G48" s="9">
        <f si="1" t="shared"/>
        <v>6.2792237575184248E-5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52.357396815163</v>
      </c>
      <c r="G49" s="9">
        <f si="1" t="shared"/>
        <v>5.6606010123120658E-5</v>
      </c>
    </row>
    <row r="50" spans="1:7" x14ac:dyDescent="0.25">
      <c r="A50">
        <v>39</v>
      </c>
      <c r="B50" s="6" t="n">
        <v>5.16</v>
      </c>
      <c r="C50" s="9">
        <f si="0" t="shared"/>
        <v>5.9193351078352793E-6</v>
      </c>
      <c r="E50" s="371">
        <v>39</v>
      </c>
      <c r="F50" s="371" t="n">
        <v>35.13449499569266</v>
      </c>
      <c r="G50" s="9">
        <f si="1" t="shared"/>
        <v>3.1122655972115857E-5</v>
      </c>
    </row>
    <row r="51" spans="1:7" x14ac:dyDescent="0.25">
      <c r="A51">
        <v>40</v>
      </c>
      <c r="B51" s="6" t="n">
        <v>5.51</v>
      </c>
      <c r="C51" s="9">
        <f si="0" t="shared"/>
        <v>6.3208403961574398E-6</v>
      </c>
      <c r="E51" s="371">
        <v>40</v>
      </c>
      <c r="F51" s="371" t="n">
        <v>52.58995444965815</v>
      </c>
      <c r="G51" s="9">
        <f si="1" t="shared"/>
        <v>2.8432672170790428E-5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27.373393011701083</v>
      </c>
      <c r="G52" s="9">
        <f si="1" t="shared"/>
        <v>3.1054055745808107E-5</v>
      </c>
    </row>
    <row r="53" spans="1:7" x14ac:dyDescent="0.25">
      <c r="A53">
        <v>42</v>
      </c>
      <c r="B53" s="6" t="n">
        <v>339.706125</v>
      </c>
      <c r="C53" s="9">
        <f si="0" t="shared"/>
        <v>3.8969658760836819E-4</v>
      </c>
      <c r="E53" s="371">
        <v>42</v>
      </c>
      <c r="F53" s="371" t="n">
        <v>14.95</v>
      </c>
      <c r="G53" s="9">
        <f si="1" t="shared"/>
        <v>7.8773757137583762E-6</v>
      </c>
    </row>
    <row r="54" spans="1:7" x14ac:dyDescent="0.25">
      <c r="A54">
        <v>43</v>
      </c>
      <c r="B54" s="6" t="n">
        <v>351.42375</v>
      </c>
      <c r="C54" s="9">
        <f si="0" t="shared"/>
        <v>4.0313855447715661E-4</v>
      </c>
      <c r="E54" s="371">
        <v>43</v>
      </c>
      <c r="F54" s="371" t="n">
        <v>20.989847340774087</v>
      </c>
      <c r="G54" s="9">
        <f si="1" t="shared"/>
        <v>3.1962079192702868E-5</v>
      </c>
    </row>
    <row r="55" spans="1:7" x14ac:dyDescent="0.25">
      <c r="A55">
        <v>44</v>
      </c>
      <c r="B55" s="6" t="n">
        <v>0.0</v>
      </c>
      <c r="C55" s="9">
        <f si="0" t="shared"/>
        <v>0</v>
      </c>
      <c r="E55" s="371">
        <v>44</v>
      </c>
      <c r="F55" s="371" t="n">
        <v>34.44291468577708</v>
      </c>
      <c r="G55" s="9">
        <f si="1" t="shared"/>
        <v>3.9616436322552756E-5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12.649999999999999</v>
      </c>
      <c r="G56" s="9">
        <f si="1" t="shared"/>
        <v>2.4091269932551504E-5</v>
      </c>
    </row>
    <row r="57" spans="1:7" x14ac:dyDescent="0.25">
      <c r="A57">
        <v>46</v>
      </c>
      <c r="B57" s="6" t="n">
        <v>1427.72808527</v>
      </c>
      <c r="C57" s="9">
        <f si="0" t="shared"/>
        <v>1.6378296472056497E-3</v>
      </c>
      <c r="E57" s="371">
        <v>46</v>
      </c>
      <c r="F57" s="371" t="n">
        <v>31.12724950404115</v>
      </c>
      <c r="G57" s="9">
        <f si="1" t="shared"/>
        <v>3.1034439058312203E-5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3.4499999999999997</v>
      </c>
      <c r="G58" s="9">
        <f si="1" t="shared"/>
        <v>2.9303908860250176E-5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11.32200849319405</v>
      </c>
      <c r="G59" s="9">
        <f si="1" t="shared"/>
        <v>1.3264566945608389E-5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2.810088331008574</v>
      </c>
      <c r="G60" s="9">
        <f si="1" t="shared"/>
        <v>1.5102535961482847E-5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2.3</v>
      </c>
      <c r="G61" s="9">
        <f si="1" t="shared"/>
        <v>3.6269758915139805E-6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9.2</v>
      </c>
      <c r="G62" s="9">
        <f si="1" t="shared"/>
        <v>6.653139710140057E-6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0.0</v>
      </c>
      <c r="G63" s="9">
        <f si="1" t="shared"/>
        <v>0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8.049999999999999</v>
      </c>
      <c r="G64" s="9">
        <f si="1" t="shared"/>
        <v>1.2028659128649541E-5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2.3</v>
      </c>
      <c r="G65" s="9">
        <f si="1" t="shared"/>
        <v>0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0.0</v>
      </c>
      <c r="G66" s="9">
        <f si="1" t="shared"/>
        <v>3.0241544137000264E-7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1.15</v>
      </c>
      <c r="G67" s="9">
        <f si="1" t="shared"/>
        <v>6.0849652445358101E-6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0.0</v>
      </c>
      <c r="G68" s="9">
        <f si="1" t="shared"/>
        <v>3.0241544137000264E-7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0.0</v>
      </c>
      <c r="G69" s="9">
        <f si="1" t="shared"/>
        <v>1.2096617654800104E-5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2.7496747967480077</v>
      </c>
      <c r="G70" s="9">
        <f si="1" t="shared"/>
        <v>6.083371487269041E-6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0.0</v>
      </c>
      <c r="G71" s="9">
        <f si="1" t="shared"/>
        <v>1.208520575135218E-5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1.15</v>
      </c>
      <c r="G72" s="9">
        <f si="1" t="shared"/>
        <v>0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0.0</v>
      </c>
      <c r="G73" s="9">
        <f si="1" t="shared"/>
        <v>0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0.0</v>
      </c>
      <c r="G74" s="9">
        <f si="1" t="shared"/>
        <v>0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0.0</v>
      </c>
      <c r="G75" s="9">
        <f si="1" t="shared"/>
        <v>0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0.0</v>
      </c>
      <c r="G76" s="9">
        <f si="1" t="shared"/>
        <v>0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0.0</v>
      </c>
      <c r="G77" s="9">
        <f ref="G77:G102" si="3" t="shared">F77/F$102</f>
        <v>0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0.0</v>
      </c>
      <c r="G78" s="9">
        <f si="3" t="shared"/>
        <v>0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0.0</v>
      </c>
      <c r="G79" s="9">
        <f si="3" t="shared"/>
        <v>0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0.0</v>
      </c>
      <c r="G81" s="9">
        <f si="3" t="shared"/>
        <v>0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1.2109088394650395E-5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87.344125</v>
      </c>
      <c r="C101" s="9">
        <f si="2" t="shared"/>
        <v>1.0019750883249092E-4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871719.52693974599</v>
      </c>
      <c r="C102" s="9">
        <f si="2" t="shared"/>
        <v>1</v>
      </c>
      <c r="F102" s="6">
        <f>SUM(F11:F101)</f>
        <v>826677.36431529373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L102"/>
  <sheetViews>
    <sheetView workbookViewId="0">
      <selection activeCell="A6" sqref="A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682.1372030517158</v>
      </c>
      <c r="G11" s="9">
        <f>F11/F$102</f>
        <v>8.4055375852373413E-4</v>
      </c>
      <c r="K11" s="6" t="n">
        <v>27.229507297567846</v>
      </c>
      <c r="L11" s="6" t="n">
        <v>20.538999921229603</v>
      </c>
    </row>
    <row r="12" spans="1:12" x14ac:dyDescent="0.25">
      <c r="A12">
        <v>1</v>
      </c>
      <c r="B12" s="6" t="n">
        <v>7110.049809966999</v>
      </c>
      <c r="C12" s="9">
        <f>B12/B$102</f>
        <v>8.156350282673492E-3</v>
      </c>
      <c r="E12" s="371">
        <v>1</v>
      </c>
      <c r="F12" s="371" t="n">
        <v>17770.84044662624</v>
      </c>
      <c r="G12" s="9">
        <f>F12/F$102</f>
        <v>1.9764357536050325E-2</v>
      </c>
      <c r="K12" s="6"/>
      <c r="L12" s="371"/>
    </row>
    <row r="13" spans="1:12" x14ac:dyDescent="0.25">
      <c r="A13">
        <v>2</v>
      </c>
      <c r="B13" s="6" t="n">
        <v>5940.385875</v>
      </c>
      <c r="C13" s="9">
        <f ref="C13:C76" si="0" t="shared">B13/B$102</f>
        <v>6.8145609813907559E-3</v>
      </c>
      <c r="E13" s="371">
        <v>2</v>
      </c>
      <c r="F13" s="371" t="n">
        <v>24693.825100867514</v>
      </c>
      <c r="G13" s="9">
        <f ref="G13:G76" si="1" t="shared">F13/F$102</f>
        <v>2.691871614146412E-2</v>
      </c>
    </row>
    <row r="14" spans="1:12" x14ac:dyDescent="0.25">
      <c r="A14">
        <v>3</v>
      </c>
      <c r="B14" s="6" t="n">
        <v>12405.263875</v>
      </c>
      <c r="C14" s="9">
        <f si="0" t="shared"/>
        <v>1.4230797282412447E-2</v>
      </c>
      <c r="E14" s="371">
        <v>3</v>
      </c>
      <c r="F14" s="371" t="n">
        <v>29256.24871410413</v>
      </c>
      <c r="G14" s="9">
        <f si="1" t="shared"/>
        <v>3.2876779916863663E-2</v>
      </c>
    </row>
    <row r="15" spans="1:12" x14ac:dyDescent="0.25">
      <c r="A15">
        <v>4</v>
      </c>
      <c r="B15" s="6" t="n">
        <v>9398.885019863</v>
      </c>
      <c r="C15" s="9">
        <f si="0" t="shared"/>
        <v>1.0782005828019798E-2</v>
      </c>
      <c r="E15" s="371">
        <v>4</v>
      </c>
      <c r="F15" s="371" t="n">
        <v>30814.525853642906</v>
      </c>
      <c r="G15" s="9">
        <f si="1" t="shared"/>
        <v>3.5275511754217143E-2</v>
      </c>
    </row>
    <row r="16" spans="1:12" x14ac:dyDescent="0.25">
      <c r="A16">
        <v>5</v>
      </c>
      <c r="B16" s="6" t="n">
        <v>7768.9418596495</v>
      </c>
      <c r="C16" s="9">
        <f si="0" t="shared"/>
        <v>8.9122035466190682E-3</v>
      </c>
      <c r="E16" s="371">
        <v>5</v>
      </c>
      <c r="F16" s="371" t="n">
        <v>31145.780975043388</v>
      </c>
      <c r="G16" s="9">
        <f si="1" t="shared"/>
        <v>3.7291240012363024E-2</v>
      </c>
    </row>
    <row r="17" spans="1:7" x14ac:dyDescent="0.25">
      <c r="A17">
        <v>6</v>
      </c>
      <c r="B17" s="6" t="n">
        <v>7600.1131034088</v>
      </c>
      <c r="C17" s="9">
        <f si="0" t="shared"/>
        <v>8.7185302939005154E-3</v>
      </c>
      <c r="E17" s="371">
        <v>6</v>
      </c>
      <c r="F17" s="371" t="n">
        <v>30909.287817518165</v>
      </c>
      <c r="G17" s="9">
        <f si="1" t="shared"/>
        <v>3.4769056724644039E-2</v>
      </c>
    </row>
    <row r="18" spans="1:7" x14ac:dyDescent="0.25">
      <c r="A18">
        <v>7</v>
      </c>
      <c r="B18" s="6" t="n">
        <v>14197.309744598</v>
      </c>
      <c r="C18" s="9">
        <f si="0" t="shared"/>
        <v>1.628655697829668E-2</v>
      </c>
      <c r="E18" s="371">
        <v>7</v>
      </c>
      <c r="F18" s="371" t="n">
        <v>29325.852307545512</v>
      </c>
      <c r="G18" s="9">
        <f si="1" t="shared"/>
        <v>3.2906545373611262E-2</v>
      </c>
    </row>
    <row r="19" spans="1:7" x14ac:dyDescent="0.25">
      <c r="A19">
        <v>8</v>
      </c>
      <c r="B19" s="6" t="n">
        <v>3404.8727056371</v>
      </c>
      <c r="C19" s="9">
        <f si="0" t="shared"/>
        <v>3.9059268496487954E-3</v>
      </c>
      <c r="E19" s="371">
        <v>8</v>
      </c>
      <c r="F19" s="371" t="n">
        <v>26729.15839208665</v>
      </c>
      <c r="G19" s="9">
        <f si="1" t="shared"/>
        <v>3.0229078892977129E-2</v>
      </c>
    </row>
    <row r="20" spans="1:7" x14ac:dyDescent="0.25">
      <c r="A20">
        <v>9</v>
      </c>
      <c r="B20" s="6" t="n">
        <v>12242.4308221423</v>
      </c>
      <c r="C20" s="9">
        <f si="0" t="shared"/>
        <v>1.404400204859528E-2</v>
      </c>
      <c r="E20" s="371">
        <v>9</v>
      </c>
      <c r="F20" s="371" t="n">
        <v>24328.388338138247</v>
      </c>
      <c r="G20" s="9">
        <f si="1" t="shared"/>
        <v>2.817763727698596E-2</v>
      </c>
    </row>
    <row r="21" spans="1:7" x14ac:dyDescent="0.25">
      <c r="A21">
        <v>10</v>
      </c>
      <c r="B21" s="6" t="n">
        <v>7303.4503721597</v>
      </c>
      <c r="C21" s="9">
        <f si="0" t="shared"/>
        <v>8.3782112783444881E-3</v>
      </c>
      <c r="E21" s="371">
        <v>10</v>
      </c>
      <c r="F21" s="371" t="n">
        <v>22077.316179651367</v>
      </c>
      <c r="G21" s="9">
        <f si="1" t="shared"/>
        <v>2.4860208539172719E-2</v>
      </c>
    </row>
    <row r="22" spans="1:7" x14ac:dyDescent="0.25">
      <c r="A22">
        <v>11</v>
      </c>
      <c r="B22" s="6" t="n">
        <v>14101.232282578</v>
      </c>
      <c r="C22" s="9">
        <f si="0" t="shared"/>
        <v>1.6176340952326389E-2</v>
      </c>
      <c r="E22" s="371">
        <v>11</v>
      </c>
      <c r="F22" s="371" t="n">
        <v>19827.682782646472</v>
      </c>
      <c r="G22" s="9">
        <f si="1" t="shared"/>
        <v>2.2061142919533778E-2</v>
      </c>
    </row>
    <row r="23" spans="1:7" x14ac:dyDescent="0.25">
      <c r="A23">
        <v>12</v>
      </c>
      <c r="B23" s="6" t="n">
        <v>31133.2469759201</v>
      </c>
      <c r="C23" s="9">
        <f si="0" t="shared"/>
        <v>3.5714752295633805E-2</v>
      </c>
      <c r="E23" s="371">
        <v>12</v>
      </c>
      <c r="F23" s="371" t="n">
        <v>17875.910271974444</v>
      </c>
      <c r="G23" s="9">
        <f si="1" t="shared"/>
        <v>2.0726547901633086E-2</v>
      </c>
    </row>
    <row r="24" spans="1:7" x14ac:dyDescent="0.25">
      <c r="A24">
        <v>13</v>
      </c>
      <c r="B24" s="6" t="n">
        <v>9661.257592661</v>
      </c>
      <c r="C24" s="9">
        <f si="0" t="shared"/>
        <v>1.1082988615131477E-2</v>
      </c>
      <c r="E24" s="371">
        <v>13</v>
      </c>
      <c r="F24" s="371" t="n">
        <v>15530.2963594718</v>
      </c>
      <c r="G24" s="9">
        <f si="1" t="shared"/>
        <v>1.8145812336192207E-2</v>
      </c>
    </row>
    <row r="25" spans="1:7" x14ac:dyDescent="0.25">
      <c r="A25">
        <v>14</v>
      </c>
      <c r="B25" s="6" t="n">
        <v>14519.794074703</v>
      </c>
      <c r="C25" s="9">
        <f si="0" t="shared"/>
        <v>1.6656497446691503E-2</v>
      </c>
      <c r="E25" s="371">
        <v>14</v>
      </c>
      <c r="F25" s="371" t="n">
        <v>13732.168587288234</v>
      </c>
      <c r="G25" s="9">
        <f si="1" t="shared"/>
        <v>1.5068242889442918E-2</v>
      </c>
    </row>
    <row r="26" spans="1:7" x14ac:dyDescent="0.25">
      <c r="A26">
        <v>15</v>
      </c>
      <c r="B26" s="6" t="n">
        <v>3368.3823033959998</v>
      </c>
      <c r="C26" s="9">
        <f si="0" t="shared"/>
        <v>3.8640665940122111E-3</v>
      </c>
      <c r="E26" s="371">
        <v>15</v>
      </c>
      <c r="F26" s="371" t="n">
        <v>13441.212839940732</v>
      </c>
      <c r="G26" s="9">
        <f si="1" t="shared"/>
        <v>1.5758487893330779E-2</v>
      </c>
    </row>
    <row r="27" spans="1:7" x14ac:dyDescent="0.25">
      <c r="A27">
        <v>16</v>
      </c>
      <c r="B27" s="6" t="n">
        <v>34406.9848658459</v>
      </c>
      <c r="C27" s="9">
        <f si="0" t="shared"/>
        <v>3.9470246796736198E-2</v>
      </c>
      <c r="E27" s="371">
        <v>16</v>
      </c>
      <c r="F27" s="371" t="n">
        <v>12531.378292058784</v>
      </c>
      <c r="G27" s="9">
        <f si="1" t="shared"/>
        <v>1.4311591225120254E-2</v>
      </c>
    </row>
    <row r="28" spans="1:7" x14ac:dyDescent="0.25">
      <c r="A28">
        <v>17</v>
      </c>
      <c r="B28" s="6" t="n">
        <v>15814.9717867568</v>
      </c>
      <c r="C28" s="9">
        <f si="0" t="shared"/>
        <v>1.8142270877281777E-2</v>
      </c>
      <c r="E28" s="371">
        <v>17</v>
      </c>
      <c r="F28" s="371" t="n">
        <v>11807.89181001973</v>
      </c>
      <c r="G28" s="9">
        <f si="1" t="shared"/>
        <v>1.3833461040369175E-2</v>
      </c>
    </row>
    <row r="29" spans="1:7" x14ac:dyDescent="0.25">
      <c r="A29">
        <v>18</v>
      </c>
      <c r="B29" s="6" t="n">
        <v>90240.6690296788</v>
      </c>
      <c r="C29" s="9">
        <f si="0" t="shared"/>
        <v>0.10352030239184527</v>
      </c>
      <c r="E29" s="371">
        <v>18</v>
      </c>
      <c r="F29" s="371" t="n">
        <v>108641.20928889772</v>
      </c>
      <c r="G29" s="9">
        <f si="1" t="shared"/>
        <v>0.12463142146119481</v>
      </c>
    </row>
    <row r="30" spans="1:7" x14ac:dyDescent="0.25">
      <c r="A30">
        <v>19</v>
      </c>
      <c r="B30" s="6" t="n">
        <v>32868.7721913293</v>
      </c>
      <c r="C30" s="9">
        <f si="0" t="shared"/>
        <v>3.7705673872785943E-2</v>
      </c>
      <c r="E30" s="371">
        <v>19</v>
      </c>
      <c r="F30" s="371" t="n">
        <v>28190.163139029988</v>
      </c>
      <c r="G30" s="9">
        <f si="1" t="shared"/>
        <v>3.3117930200453609E-2</v>
      </c>
    </row>
    <row r="31" spans="1:7" x14ac:dyDescent="0.25">
      <c r="A31">
        <v>20</v>
      </c>
      <c r="B31" s="6" t="n">
        <v>54635.1204438281</v>
      </c>
      <c r="C31" s="9">
        <f si="0" t="shared"/>
        <v>6.2675113675186189E-2</v>
      </c>
      <c r="E31" s="371">
        <v>20</v>
      </c>
      <c r="F31" s="371" t="n">
        <v>23595.643445803675</v>
      </c>
      <c r="G31" s="9">
        <f si="1" t="shared"/>
        <v>2.649531064665505E-2</v>
      </c>
    </row>
    <row r="32" spans="1:7" x14ac:dyDescent="0.25">
      <c r="A32">
        <v>21</v>
      </c>
      <c r="B32" s="6" t="n">
        <v>38153.8051073435</v>
      </c>
      <c r="C32" s="9">
        <f si="0" t="shared"/>
        <v>4.3768441486318484E-2</v>
      </c>
      <c r="E32" s="371">
        <v>21</v>
      </c>
      <c r="F32" s="371" t="n">
        <v>35739.93986295526</v>
      </c>
      <c r="G32" s="9">
        <f si="1" t="shared"/>
        <v>4.3072816927575197E-2</v>
      </c>
    </row>
    <row r="33" spans="1:7" x14ac:dyDescent="0.25">
      <c r="A33">
        <v>22</v>
      </c>
      <c r="B33" s="6" t="n">
        <v>32414.434958815</v>
      </c>
      <c r="C33" s="9">
        <f si="0" t="shared"/>
        <v>3.7184477296968381E-2</v>
      </c>
      <c r="E33" s="371">
        <v>22</v>
      </c>
      <c r="F33" s="371" t="n">
        <v>33584.24208993598</v>
      </c>
      <c r="G33" s="9">
        <f si="1" t="shared"/>
        <v>3.6847536442174741E-2</v>
      </c>
    </row>
    <row r="34" spans="1:7" x14ac:dyDescent="0.25">
      <c r="A34">
        <v>23</v>
      </c>
      <c r="B34" s="6" t="n">
        <v>15008.6658807407</v>
      </c>
      <c r="C34" s="9">
        <f si="0" t="shared"/>
        <v>1.7217310633650763E-2</v>
      </c>
      <c r="E34" s="371">
        <v>23</v>
      </c>
      <c r="F34" s="371" t="n">
        <v>30931.724778082455</v>
      </c>
      <c r="G34" s="9">
        <f si="1" t="shared"/>
        <v>3.4704952064426683E-2</v>
      </c>
    </row>
    <row r="35" spans="1:7" x14ac:dyDescent="0.25">
      <c r="A35">
        <v>24</v>
      </c>
      <c r="B35" s="6" t="n">
        <v>31128.0315245751</v>
      </c>
      <c r="C35" s="9">
        <f si="0" t="shared"/>
        <v>3.5708769349073792E-2</v>
      </c>
      <c r="E35" s="371">
        <v>24</v>
      </c>
      <c r="F35" s="371" t="n">
        <v>26094.50223013268</v>
      </c>
      <c r="G35" s="9">
        <f si="1" t="shared"/>
        <v>2.8606155731559401E-2</v>
      </c>
    </row>
    <row r="36" spans="1:7" x14ac:dyDescent="0.25">
      <c r="A36">
        <v>25</v>
      </c>
      <c r="B36" s="6" t="n">
        <v>29682.1350614951</v>
      </c>
      <c r="C36" s="9">
        <f si="0" t="shared"/>
        <v>3.4050097702522569E-2</v>
      </c>
      <c r="E36" s="371">
        <v>25</v>
      </c>
      <c r="F36" s="371" t="n">
        <v>18380.742371425065</v>
      </c>
      <c r="G36" s="9">
        <f si="1" t="shared"/>
        <v>2.1780378949141102E-2</v>
      </c>
    </row>
    <row r="37" spans="1:7" x14ac:dyDescent="0.25">
      <c r="A37">
        <v>26</v>
      </c>
      <c r="B37" s="6" t="n">
        <v>65883.0413735938</v>
      </c>
      <c r="C37" s="9">
        <f si="0" t="shared"/>
        <v>7.5578255777844591E-2</v>
      </c>
      <c r="E37" s="371">
        <v>26</v>
      </c>
      <c r="F37" s="371" t="n">
        <v>19787.891541645826</v>
      </c>
      <c r="G37" s="9">
        <f si="1" t="shared"/>
        <v>2.4474925554161905E-2</v>
      </c>
    </row>
    <row r="38" spans="1:7" x14ac:dyDescent="0.25">
      <c r="A38">
        <v>27</v>
      </c>
      <c r="B38" s="6" t="n">
        <v>10172.155719594699</v>
      </c>
      <c r="C38" s="9">
        <f si="0" t="shared"/>
        <v>1.1669069471582237E-2</v>
      </c>
      <c r="E38" s="371">
        <v>27</v>
      </c>
      <c r="F38" s="371" t="n">
        <v>11063.942776469441</v>
      </c>
      <c r="G38" s="9">
        <f si="1" t="shared"/>
        <v>1.3013373129188903E-2</v>
      </c>
    </row>
    <row r="39" spans="1:7" x14ac:dyDescent="0.25">
      <c r="A39">
        <v>28</v>
      </c>
      <c r="B39" s="6" t="n">
        <v>18649.033094828</v>
      </c>
      <c r="C39" s="9">
        <f si="0" t="shared"/>
        <v>2.1393386884766937E-2</v>
      </c>
      <c r="E39" s="371">
        <v>28</v>
      </c>
      <c r="F39" s="371" t="n">
        <v>14327.647957638388</v>
      </c>
      <c r="G39" s="9">
        <f si="1" t="shared"/>
        <v>1.6578092631479892E-2</v>
      </c>
    </row>
    <row r="40" spans="1:7" x14ac:dyDescent="0.25">
      <c r="A40">
        <v>29</v>
      </c>
      <c r="B40" s="6" t="n">
        <v>15265.4231899969</v>
      </c>
      <c r="C40" s="9">
        <f si="0" t="shared"/>
        <v>1.7511851826455715E-2</v>
      </c>
      <c r="E40" s="371">
        <v>29</v>
      </c>
      <c r="F40" s="371" t="n">
        <v>15929.708921176378</v>
      </c>
      <c r="G40" s="9">
        <f si="1" t="shared"/>
        <v>1.5641251940576771E-2</v>
      </c>
    </row>
    <row r="41" spans="1:7" x14ac:dyDescent="0.25">
      <c r="A41">
        <v>30</v>
      </c>
      <c r="B41" s="6" t="n">
        <v>15834.1694981826</v>
      </c>
      <c r="C41" s="9">
        <f si="0" t="shared"/>
        <v>1.8164293684885039E-2</v>
      </c>
      <c r="E41" s="371">
        <v>30</v>
      </c>
      <c r="F41" s="371" t="n">
        <v>8900.276246382617</v>
      </c>
      <c r="G41" s="9">
        <f si="1" t="shared"/>
        <v>1.3758547076391788E-2</v>
      </c>
    </row>
    <row r="42" spans="1:7" x14ac:dyDescent="0.25">
      <c r="A42">
        <v>31</v>
      </c>
      <c r="B42" s="6" t="n">
        <v>13341.339103737</v>
      </c>
      <c r="C42" s="9">
        <f si="0" t="shared"/>
        <v>1.5304623438427537E-2</v>
      </c>
      <c r="E42" s="371">
        <v>31</v>
      </c>
      <c r="F42" s="371" t="n">
        <v>8424.119201751852</v>
      </c>
      <c r="G42" s="9">
        <f si="1" t="shared"/>
        <v>9.1459270365371274E-3</v>
      </c>
    </row>
    <row r="43" spans="1:7" x14ac:dyDescent="0.25">
      <c r="A43">
        <v>32</v>
      </c>
      <c r="B43" s="6" t="n">
        <v>5775.828733145</v>
      </c>
      <c r="C43" s="9">
        <f si="0" t="shared"/>
        <v>6.6257879451451489E-3</v>
      </c>
      <c r="E43" s="371">
        <v>32</v>
      </c>
      <c r="F43" s="371" t="n">
        <v>6949.078374420141</v>
      </c>
      <c r="G43" s="9">
        <f si="1" t="shared"/>
        <v>1.0520686797695768E-2</v>
      </c>
    </row>
    <row r="44" spans="1:7" x14ac:dyDescent="0.25">
      <c r="A44">
        <v>33</v>
      </c>
      <c r="B44" s="6" t="n">
        <v>9175.1486805087</v>
      </c>
      <c r="C44" s="9">
        <f si="0" t="shared"/>
        <v>1.0525344903903817E-2</v>
      </c>
      <c r="E44" s="371">
        <v>33</v>
      </c>
      <c r="F44" s="371" t="n">
        <v>9759.898874905253</v>
      </c>
      <c r="G44" s="9">
        <f si="1" t="shared"/>
        <v>1.3801605366420706E-2</v>
      </c>
    </row>
    <row r="45" spans="1:7" x14ac:dyDescent="0.25">
      <c r="A45">
        <v>34</v>
      </c>
      <c r="B45" s="6" t="n">
        <v>19789.5180472356</v>
      </c>
      <c r="C45" s="9">
        <f si="0" t="shared"/>
        <v>2.2701703283748365E-2</v>
      </c>
      <c r="E45" s="371">
        <v>34</v>
      </c>
      <c r="F45" s="371" t="n">
        <v>11391.317595534798</v>
      </c>
      <c r="G45" s="9">
        <f si="1" t="shared"/>
        <v>1.1093426852312164E-2</v>
      </c>
    </row>
    <row r="46" spans="1:7" x14ac:dyDescent="0.25">
      <c r="A46">
        <v>35</v>
      </c>
      <c r="B46" s="6" t="n">
        <v>4831.111649248101</v>
      </c>
      <c r="C46" s="9">
        <f si="0" t="shared"/>
        <v>5.5420482161368766E-3</v>
      </c>
      <c r="E46" s="371">
        <v>35</v>
      </c>
      <c r="F46" s="371" t="n">
        <v>5952.797736262275</v>
      </c>
      <c r="G46" s="9">
        <f si="1" t="shared"/>
        <v>7.0201835583050586E-3</v>
      </c>
    </row>
    <row r="47" spans="1:7" x14ac:dyDescent="0.25">
      <c r="A47">
        <v>36</v>
      </c>
      <c r="B47" s="6" t="n">
        <v>5120.352550202</v>
      </c>
      <c r="C47" s="9">
        <f si="0" t="shared"/>
        <v>5.8738532199427533E-3</v>
      </c>
      <c r="E47" s="371">
        <v>36</v>
      </c>
      <c r="F47" s="371" t="n">
        <v>4188.7995986815895</v>
      </c>
      <c r="G47" s="9">
        <f si="1" t="shared"/>
        <v>5.5600542805935233E-3</v>
      </c>
    </row>
    <row r="48" spans="1:7" x14ac:dyDescent="0.25">
      <c r="A48">
        <v>37</v>
      </c>
      <c r="B48" s="6" t="n">
        <v>10341.908245021</v>
      </c>
      <c r="C48" s="9">
        <f si="0" t="shared"/>
        <v>1.1863802433481388E-2</v>
      </c>
      <c r="E48" s="371">
        <v>37</v>
      </c>
      <c r="F48" s="371" t="n">
        <v>4166.258330627623</v>
      </c>
      <c r="G48" s="9">
        <f si="1" t="shared"/>
        <v>4.6814885778468747E-3</v>
      </c>
    </row>
    <row r="49" spans="1:7" x14ac:dyDescent="0.25">
      <c r="A49">
        <v>38</v>
      </c>
      <c r="B49" s="6" t="n">
        <v>14109.4155229302</v>
      </c>
      <c r="C49" s="9">
        <f si="0" t="shared"/>
        <v>1.6185728421689305E-2</v>
      </c>
      <c r="E49" s="371">
        <v>38</v>
      </c>
      <c r="F49" s="371" t="n">
        <v>3763.040796240383</v>
      </c>
      <c r="G49" s="9">
        <f si="1" t="shared"/>
        <v>5.5892042524273676E-3</v>
      </c>
    </row>
    <row r="50" spans="1:7" x14ac:dyDescent="0.25">
      <c r="A50">
        <v>39</v>
      </c>
      <c r="B50" s="6" t="n">
        <v>2853.7853158464</v>
      </c>
      <c r="C50" s="9">
        <f si="0" t="shared"/>
        <v>3.2737425601384474E-3</v>
      </c>
      <c r="E50" s="371">
        <v>39</v>
      </c>
      <c r="F50" s="371" t="n">
        <v>3157.7565267399013</v>
      </c>
      <c r="G50" s="9">
        <f si="1" t="shared"/>
        <v>4.7040203691182279E-3</v>
      </c>
    </row>
    <row r="51" spans="1:7" x14ac:dyDescent="0.25">
      <c r="A51">
        <v>40</v>
      </c>
      <c r="B51" s="6" t="n">
        <v>984.8458708764</v>
      </c>
      <c r="C51" s="9">
        <f si="0" t="shared"/>
        <v>1.1297737866831949E-3</v>
      </c>
      <c r="E51" s="371">
        <v>40</v>
      </c>
      <c r="F51" s="371" t="n">
        <v>3101.207596739131</v>
      </c>
      <c r="G51" s="9">
        <f si="1" t="shared"/>
        <v>3.7383395279708622E-3</v>
      </c>
    </row>
    <row r="52" spans="1:7" x14ac:dyDescent="0.25">
      <c r="A52">
        <v>41</v>
      </c>
      <c r="B52" s="6" t="n">
        <v>7230.856374999999</v>
      </c>
      <c r="C52" s="9">
        <f si="0" t="shared"/>
        <v>8.2949344961728774E-3</v>
      </c>
      <c r="E52" s="371">
        <v>41</v>
      </c>
      <c r="F52" s="371" t="n">
        <v>2734.656583324019</v>
      </c>
      <c r="G52" s="9">
        <f si="1" t="shared"/>
        <v>3.6645642735190823E-3</v>
      </c>
    </row>
    <row r="53" spans="1:7" x14ac:dyDescent="0.25">
      <c r="A53">
        <v>42</v>
      </c>
      <c r="B53" s="6" t="n">
        <v>1569.247120981</v>
      </c>
      <c r="C53" s="9">
        <f si="0" t="shared"/>
        <v>1.8001743364519905E-3</v>
      </c>
      <c r="E53" s="371">
        <v>42</v>
      </c>
      <c r="F53" s="371" t="n">
        <v>2725.7397697037345</v>
      </c>
      <c r="G53" s="9">
        <f si="1" t="shared"/>
        <v>2.7533152497986324E-3</v>
      </c>
    </row>
    <row r="54" spans="1:7" x14ac:dyDescent="0.25">
      <c r="A54">
        <v>43</v>
      </c>
      <c r="B54" s="6" t="n">
        <v>1173.021376812</v>
      </c>
      <c r="C54" s="9">
        <f si="0" t="shared"/>
        <v>1.3456408174427419E-3</v>
      </c>
      <c r="E54" s="371">
        <v>43</v>
      </c>
      <c r="F54" s="371" t="n">
        <v>2643.2089476845517</v>
      </c>
      <c r="G54" s="9">
        <f si="1" t="shared"/>
        <v>3.2731035563024913E-3</v>
      </c>
    </row>
    <row r="55" spans="1:7" x14ac:dyDescent="0.25">
      <c r="A55">
        <v>44</v>
      </c>
      <c r="B55" s="6" t="n">
        <v>1196.801803842</v>
      </c>
      <c r="C55" s="9">
        <f si="0" t="shared"/>
        <v>1.3729207237601828E-3</v>
      </c>
      <c r="E55" s="371">
        <v>44</v>
      </c>
      <c r="F55" s="371" t="n">
        <v>1983.6610254725435</v>
      </c>
      <c r="G55" s="9">
        <f si="1" t="shared"/>
        <v>2.7456081568230906E-3</v>
      </c>
    </row>
    <row r="56" spans="1:7" x14ac:dyDescent="0.25">
      <c r="A56">
        <v>45</v>
      </c>
      <c r="B56" s="6" t="n">
        <v>37424.629805929</v>
      </c>
      <c r="C56" s="9">
        <f si="0" t="shared"/>
        <v>4.2931962230227549E-2</v>
      </c>
      <c r="E56" s="371">
        <v>45</v>
      </c>
      <c r="F56" s="371" t="n">
        <v>2819.914014769506</v>
      </c>
      <c r="G56" s="9">
        <f si="1" t="shared"/>
        <v>2.7063009546050652E-3</v>
      </c>
    </row>
    <row r="57" spans="1:7" x14ac:dyDescent="0.25">
      <c r="A57">
        <v>46</v>
      </c>
      <c r="B57" s="6" t="n">
        <v>5549.771822802</v>
      </c>
      <c r="C57" s="9">
        <f si="0" t="shared"/>
        <v>6.3664649595323404E-3</v>
      </c>
      <c r="E57" s="371">
        <v>46</v>
      </c>
      <c r="F57" s="371" t="n">
        <v>1689.0379148914622</v>
      </c>
      <c r="G57" s="9">
        <f si="1" t="shared"/>
        <v>3.6876480804655361E-3</v>
      </c>
    </row>
    <row r="58" spans="1:7" x14ac:dyDescent="0.25">
      <c r="A58">
        <v>47</v>
      </c>
      <c r="B58" s="6" t="n">
        <v>4244.099974671</v>
      </c>
      <c r="C58" s="9">
        <f si="0" t="shared"/>
        <v>4.868653097138154E-3</v>
      </c>
      <c r="E58" s="371">
        <v>47</v>
      </c>
      <c r="F58" s="371" t="n">
        <v>1368.3689899184035</v>
      </c>
      <c r="G58" s="9">
        <f si="1" t="shared"/>
        <v>2.4170525377460441E-3</v>
      </c>
    </row>
    <row r="59" spans="1:7" x14ac:dyDescent="0.25">
      <c r="A59">
        <v>48</v>
      </c>
      <c r="B59" s="6" t="n">
        <v>2507.59786587</v>
      </c>
      <c r="C59" s="9">
        <f si="0" t="shared"/>
        <v>2.8766108689490533E-3</v>
      </c>
      <c r="E59" s="371">
        <v>48</v>
      </c>
      <c r="F59" s="371" t="n">
        <v>1497.9279832940992</v>
      </c>
      <c r="G59" s="9">
        <f si="1" t="shared"/>
        <v>1.8280475568082913E-3</v>
      </c>
    </row>
    <row r="60" spans="1:7" x14ac:dyDescent="0.25">
      <c r="A60">
        <v>49</v>
      </c>
      <c r="B60" s="6" t="n">
        <v>1084.341280303</v>
      </c>
      <c r="C60" s="9">
        <f si="0" t="shared"/>
        <v>1.2439107382505048E-3</v>
      </c>
      <c r="E60" s="371">
        <v>49</v>
      </c>
      <c r="F60" s="371" t="n">
        <v>1564.5058697706804</v>
      </c>
      <c r="G60" s="9">
        <f si="1" t="shared"/>
        <v>2.1236630317386426E-3</v>
      </c>
    </row>
    <row r="61" spans="1:7" x14ac:dyDescent="0.25">
      <c r="A61">
        <v>50</v>
      </c>
      <c r="B61" s="6" t="n">
        <v>354.408375</v>
      </c>
      <c r="C61" s="9">
        <f si="0" t="shared"/>
        <v>4.0656239082332386E-4</v>
      </c>
      <c r="E61" s="371">
        <v>50</v>
      </c>
      <c r="F61" s="371" t="n">
        <v>1088.7186349235012</v>
      </c>
      <c r="G61" s="9">
        <f si="1" t="shared"/>
        <v>1.5172587109156641E-3</v>
      </c>
    </row>
    <row r="62" spans="1:7" x14ac:dyDescent="0.25">
      <c r="A62">
        <v>51</v>
      </c>
      <c r="B62" s="6" t="n">
        <v>1425.581625</v>
      </c>
      <c r="C62" s="9">
        <f si="0" t="shared"/>
        <v>1.6353673182068545E-3</v>
      </c>
      <c r="E62" s="371">
        <v>51</v>
      </c>
      <c r="F62" s="371" t="n">
        <v>1301.8285896201057</v>
      </c>
      <c r="G62" s="9">
        <f si="1" t="shared"/>
        <v>1.4681575802391008E-3</v>
      </c>
    </row>
    <row r="63" spans="1:7" x14ac:dyDescent="0.25">
      <c r="A63">
        <v>52</v>
      </c>
      <c r="B63" s="6" t="n">
        <v>1095.81675</v>
      </c>
      <c r="C63" s="9">
        <f si="0" t="shared"/>
        <v>1.2570749147342937E-3</v>
      </c>
      <c r="E63" s="371">
        <v>52</v>
      </c>
      <c r="F63" s="371" t="n">
        <v>975.1073475910782</v>
      </c>
      <c r="G63" s="9">
        <f si="1" t="shared"/>
        <v>1.3245122118474785E-3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977.76480035515</v>
      </c>
      <c r="G64" s="9">
        <f si="1" t="shared"/>
        <v>1.3504589500707325E-3</v>
      </c>
    </row>
    <row r="65" spans="1:7" x14ac:dyDescent="0.25">
      <c r="A65">
        <v>54</v>
      </c>
      <c r="B65" s="6" t="n">
        <v>2105.130729518</v>
      </c>
      <c r="C65" s="9">
        <f si="0" t="shared"/>
        <v>2.4149174871741846E-3</v>
      </c>
      <c r="E65" s="371">
        <v>54</v>
      </c>
      <c r="F65" s="371" t="n">
        <v>884.4257831994049</v>
      </c>
      <c r="G65" s="9">
        <f si="1" t="shared"/>
        <v>1.2272275540924861E-3</v>
      </c>
    </row>
    <row r="66" spans="1:7" x14ac:dyDescent="0.25">
      <c r="A66">
        <v>55</v>
      </c>
      <c r="B66" s="6" t="n">
        <v>3268.71792537</v>
      </c>
      <c r="C66" s="9">
        <f si="0" t="shared"/>
        <v>3.749735808769989E-3</v>
      </c>
      <c r="E66" s="371">
        <v>55</v>
      </c>
      <c r="F66" s="371" t="n">
        <v>785.6731114635178</v>
      </c>
      <c r="G66" s="9">
        <f si="1" t="shared"/>
        <v>9.3024195164698707E-4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852.1843381746978</v>
      </c>
      <c r="G67" s="9">
        <f si="1" t="shared"/>
        <v>1.1590165608548525E-3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708.6274964206101</v>
      </c>
      <c r="G68" s="9">
        <f si="1" t="shared"/>
        <v>1.0994410982353309E-3</v>
      </c>
    </row>
    <row r="69" spans="1:7" x14ac:dyDescent="0.25">
      <c r="A69">
        <v>58</v>
      </c>
      <c r="B69" s="6" t="n">
        <v>15.92375</v>
      </c>
      <c r="C69" s="9">
        <f si="0" t="shared"/>
        <v>1.8267056671200007E-5</v>
      </c>
      <c r="E69" s="371">
        <v>58</v>
      </c>
      <c r="F69" s="371" t="n">
        <v>985.6463896011062</v>
      </c>
      <c r="G69" s="9">
        <f si="1" t="shared"/>
        <v>1.0455844188739614E-3</v>
      </c>
    </row>
    <row r="70" spans="1:7" x14ac:dyDescent="0.25">
      <c r="A70">
        <v>59</v>
      </c>
      <c r="B70" s="6" t="n">
        <v>651.2942178769999</v>
      </c>
      <c r="C70" s="9">
        <f si="0" t="shared"/>
        <v>7.4713735066074527E-4</v>
      </c>
      <c r="E70" s="371">
        <v>59</v>
      </c>
      <c r="F70" s="371" t="n">
        <v>727.3853249623797</v>
      </c>
      <c r="G70" s="9">
        <f si="1" t="shared"/>
        <v>8.1235526697681117E-4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743.2854867111574</v>
      </c>
      <c r="G71" s="9">
        <f si="1" t="shared"/>
        <v>8.8935987911263788E-4</v>
      </c>
    </row>
    <row r="72" spans="1:7" x14ac:dyDescent="0.25">
      <c r="A72">
        <v>61</v>
      </c>
      <c r="B72" s="6" t="n">
        <v>6072.2657120416</v>
      </c>
      <c r="C72" s="9">
        <f si="0" t="shared"/>
        <v>6.9658479870915186E-3</v>
      </c>
      <c r="E72" s="371">
        <v>61</v>
      </c>
      <c r="F72" s="371" t="n">
        <v>579.4008437131416</v>
      </c>
      <c r="G72" s="9">
        <f si="1" t="shared"/>
        <v>8.6359167392927917E-4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664.0801317781339</v>
      </c>
      <c r="G73" s="9">
        <f si="1" t="shared"/>
        <v>5.8739736413419125E-4</v>
      </c>
    </row>
    <row r="74" spans="1:7" x14ac:dyDescent="0.25">
      <c r="A74">
        <v>63</v>
      </c>
      <c r="B74" s="6" t="n">
        <v>5.16</v>
      </c>
      <c r="C74" s="9">
        <f si="0" t="shared"/>
        <v>5.9193351078352801E-6</v>
      </c>
      <c r="E74" s="371">
        <v>63</v>
      </c>
      <c r="F74" s="371" t="n">
        <v>518.4237884594382</v>
      </c>
      <c r="G74" s="9">
        <f si="1" t="shared"/>
        <v>7.8833044594582439E-4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570.4601919187294</v>
      </c>
      <c r="G75" s="9">
        <f si="1" t="shared"/>
        <v>7.9728951938073153E-4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494.9500405105006</v>
      </c>
      <c r="G76" s="9">
        <f si="1" t="shared"/>
        <v>7.7317125496531862E-4</v>
      </c>
    </row>
    <row r="77" spans="1:7" x14ac:dyDescent="0.25">
      <c r="A77">
        <v>66</v>
      </c>
      <c r="B77" s="6" t="n">
        <v>1427.72808527</v>
      </c>
      <c r="C77" s="9">
        <f ref="C77:C102" si="2" t="shared">B77/B$102</f>
        <v>1.6378296472056499E-3</v>
      </c>
      <c r="E77" s="371">
        <v>66</v>
      </c>
      <c r="F77" s="371" t="n">
        <v>535.6455098414341</v>
      </c>
      <c r="G77" s="9">
        <f ref="G77:G102" si="3" t="shared">F77/F$102</f>
        <v>6.3236126843392376E-4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484.8287456171986</v>
      </c>
      <c r="G78" s="9">
        <f si="3" t="shared"/>
        <v>4.9564389032436191E-4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465.0654221279727</v>
      </c>
      <c r="G79" s="9">
        <f si="3" t="shared"/>
        <v>6.7796934248042829E-4</v>
      </c>
    </row>
    <row r="80" spans="1:7" x14ac:dyDescent="0.25">
      <c r="A80">
        <v>69</v>
      </c>
      <c r="B80" s="6" t="n">
        <v>1036.537015762</v>
      </c>
      <c r="C80" s="9">
        <f si="2" t="shared"/>
        <v>1.1890716953431818E-3</v>
      </c>
      <c r="E80" s="371">
        <v>69</v>
      </c>
      <c r="F80" s="371" t="n">
        <v>423.17426983249464</v>
      </c>
      <c r="G80" s="9">
        <f si="3" t="shared"/>
        <v>5.2273366494903165E-4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475.5567289387726</v>
      </c>
      <c r="G81" s="9">
        <f si="3" t="shared"/>
        <v>5.4213399329104304E-4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429.8986007907711</v>
      </c>
      <c r="G82" s="9">
        <f si="3" t="shared"/>
        <v>5.9400750828910028E-4</v>
      </c>
    </row>
    <row r="83" spans="1:7" x14ac:dyDescent="0.25">
      <c r="A83">
        <v>72</v>
      </c>
      <c r="B83" s="6" t="n">
        <v>3300.7833570129</v>
      </c>
      <c r="C83" s="9">
        <f si="2" t="shared"/>
        <v>3.7865199241327234E-3</v>
      </c>
      <c r="E83" s="371">
        <v>72</v>
      </c>
      <c r="F83" s="371" t="n">
        <v>403.93582095618314</v>
      </c>
      <c r="G83" s="9">
        <f si="3" t="shared"/>
        <v>4.4182091180966802E-4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454.27520404349326</v>
      </c>
      <c r="G84" s="9">
        <f si="3" t="shared"/>
        <v>4.7800158846623709E-4</v>
      </c>
    </row>
    <row r="85" spans="1:7" x14ac:dyDescent="0.25">
      <c r="A85">
        <v>74</v>
      </c>
      <c r="B85" s="6" t="n">
        <v>1126.495875</v>
      </c>
      <c r="C85" s="9">
        <f si="2" t="shared"/>
        <v>1.2922687173874271E-3</v>
      </c>
      <c r="E85" s="371">
        <v>74</v>
      </c>
      <c r="F85" s="371" t="n">
        <v>378.4245443372821</v>
      </c>
      <c r="G85" s="9">
        <f si="3" t="shared"/>
        <v>4.6325456538061068E-4</v>
      </c>
    </row>
    <row r="86" spans="1:7" x14ac:dyDescent="0.25">
      <c r="A86">
        <v>75</v>
      </c>
      <c r="B86" s="6" t="n">
        <v>970.9034999999999</v>
      </c>
      <c r="C86" s="9">
        <f si="2" t="shared"/>
        <v>1.1137796848585562E-3</v>
      </c>
      <c r="E86" s="371">
        <v>75</v>
      </c>
      <c r="F86" s="371" t="n">
        <v>331.99779351821746</v>
      </c>
      <c r="G86" s="9">
        <f si="3" t="shared"/>
        <v>4.0318934835661643E-4</v>
      </c>
    </row>
    <row r="87" spans="1:7" x14ac:dyDescent="0.25">
      <c r="A87">
        <v>76</v>
      </c>
      <c r="B87" s="6" t="n">
        <v>2431.275216484</v>
      </c>
      <c r="C87" s="9">
        <f si="2" t="shared"/>
        <v>2.789056733671233E-3</v>
      </c>
      <c r="E87" s="371">
        <v>76</v>
      </c>
      <c r="F87" s="371" t="n">
        <v>343.1960527166316</v>
      </c>
      <c r="G87" s="9">
        <f si="3" t="shared"/>
        <v>4.4554476029645863E-4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330.0350141576305</v>
      </c>
      <c r="G88" s="9">
        <f si="3" t="shared"/>
        <v>3.5597021180825078E-4</v>
      </c>
    </row>
    <row r="89" spans="1:7" x14ac:dyDescent="0.25">
      <c r="A89">
        <v>78</v>
      </c>
      <c r="B89" s="6" t="n">
        <v>265.778875</v>
      </c>
      <c r="C89" s="9">
        <f si="2" t="shared"/>
        <v>3.0489035381946986E-4</v>
      </c>
      <c r="E89" s="371">
        <v>78</v>
      </c>
      <c r="F89" s="371" t="n">
        <v>289.80315423240916</v>
      </c>
      <c r="G89" s="9">
        <f si="3" t="shared"/>
        <v>3.051146280369311E-4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306.09992308536613</v>
      </c>
      <c r="G90" s="9">
        <f si="3" t="shared"/>
        <v>4.8471735791657156E-4</v>
      </c>
    </row>
    <row r="91" spans="1:7" x14ac:dyDescent="0.25">
      <c r="A91">
        <v>80</v>
      </c>
      <c r="B91" s="6" t="n">
        <v>8712.436162205</v>
      </c>
      <c r="C91" s="9">
        <f si="2" t="shared"/>
        <v>9.9945405522701026E-3</v>
      </c>
      <c r="E91" s="371">
        <v>80</v>
      </c>
      <c r="F91" s="371" t="n">
        <v>275.45231535940997</v>
      </c>
      <c r="G91" s="9">
        <f si="3" t="shared"/>
        <v>2.5162534967236664E-4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285.97601704747325</v>
      </c>
      <c r="G92" s="9">
        <f si="3" t="shared"/>
        <v>3.4053396883246501E-4</v>
      </c>
    </row>
    <row r="93" spans="1:7" x14ac:dyDescent="0.25">
      <c r="A93">
        <v>82</v>
      </c>
      <c r="B93" s="6" t="n">
        <v>1587.06225</v>
      </c>
      <c r="C93" s="9">
        <f si="2" t="shared"/>
        <v>1.8206111036327621E-3</v>
      </c>
      <c r="E93" s="371">
        <v>82</v>
      </c>
      <c r="F93" s="371" t="n">
        <v>202.57267938390356</v>
      </c>
      <c r="G93" s="9">
        <f si="3" t="shared"/>
        <v>3.2960879517976248E-4</v>
      </c>
    </row>
    <row r="94" spans="1:7" x14ac:dyDescent="0.25">
      <c r="A94">
        <v>83</v>
      </c>
      <c r="B94" s="6" t="n">
        <v>21.551250000000003</v>
      </c>
      <c r="C94" s="9">
        <f si="2" t="shared"/>
        <v>2.4722688128437036E-5</v>
      </c>
      <c r="E94" s="371">
        <v>83</v>
      </c>
      <c r="F94" s="371" t="n">
        <v>266.6903774936758</v>
      </c>
      <c r="G94" s="9">
        <f si="3" t="shared"/>
        <v>2.9636643975474808E-4</v>
      </c>
    </row>
    <row r="95" spans="1:7" x14ac:dyDescent="0.25">
      <c r="A95">
        <v>84</v>
      </c>
      <c r="B95" s="6" t="n">
        <v>736.1920170764</v>
      </c>
      <c r="C95" s="9">
        <f si="2" t="shared"/>
        <v>8.4452853736209394E-4</v>
      </c>
      <c r="E95" s="371">
        <v>84</v>
      </c>
      <c r="F95" s="371" t="n">
        <v>277.61701734888754</v>
      </c>
      <c r="G95" s="9">
        <f si="3" t="shared"/>
        <v>3.2914829526777521E-4</v>
      </c>
    </row>
    <row r="96" spans="1:7" x14ac:dyDescent="0.25">
      <c r="A96">
        <v>85</v>
      </c>
      <c r="B96" s="6" t="n">
        <v>176.449698513</v>
      </c>
      <c r="C96" s="9">
        <f si="2" t="shared"/>
        <v>2.024156773594867E-4</v>
      </c>
      <c r="E96" s="371">
        <v>85</v>
      </c>
      <c r="F96" s="371" t="n">
        <v>247.29589366380935</v>
      </c>
      <c r="G96" s="9">
        <f si="3" t="shared"/>
        <v>3.4552658696828124E-4</v>
      </c>
    </row>
    <row r="97" spans="1:7" x14ac:dyDescent="0.25">
      <c r="A97">
        <v>86</v>
      </c>
      <c r="B97" s="6" t="n">
        <v>339.706125</v>
      </c>
      <c r="C97" s="9">
        <f si="2" t="shared"/>
        <v>3.8969658760836824E-4</v>
      </c>
      <c r="E97" s="371">
        <v>86</v>
      </c>
      <c r="F97" s="371" t="n">
        <v>244.6370074631297</v>
      </c>
      <c r="G97" s="9">
        <f si="3" t="shared"/>
        <v>2.2946450268725337E-4</v>
      </c>
    </row>
    <row r="98" spans="1:7" x14ac:dyDescent="0.25">
      <c r="A98">
        <v>87</v>
      </c>
      <c r="B98" s="6" t="n">
        <v>143.194</v>
      </c>
      <c r="C98" s="9">
        <f si="2" t="shared"/>
        <v>1.6426613787429555E-4</v>
      </c>
      <c r="E98" s="371">
        <v>87</v>
      </c>
      <c r="F98" s="371" t="n">
        <v>217.43248227341383</v>
      </c>
      <c r="G98" s="9">
        <f si="3" t="shared"/>
        <v>1.9375451129776319E-4</v>
      </c>
    </row>
    <row r="99" spans="1:7" x14ac:dyDescent="0.25">
      <c r="A99">
        <v>88</v>
      </c>
      <c r="B99" s="6" t="n">
        <v>195.04500000000002</v>
      </c>
      <c r="C99" s="9">
        <f si="2" t="shared"/>
        <v>2.2374742560227369E-4</v>
      </c>
      <c r="E99" s="371">
        <v>88</v>
      </c>
      <c r="F99" s="371" t="n">
        <v>208.76314441531926</v>
      </c>
      <c r="G99" s="9">
        <f si="3" t="shared"/>
        <v>3.147394938173154E-4</v>
      </c>
    </row>
    <row r="100" spans="1:7" x14ac:dyDescent="0.25">
      <c r="A100">
        <v>89</v>
      </c>
      <c r="B100" s="6" t="n">
        <v>3248.298665265</v>
      </c>
      <c r="C100" s="9">
        <f si="2" t="shared"/>
        <v>3.7263116918677514E-3</v>
      </c>
      <c r="E100" s="371">
        <v>89</v>
      </c>
      <c r="F100" s="371" t="n">
        <v>193.2161704479757</v>
      </c>
      <c r="G100" s="9">
        <f si="3" t="shared"/>
        <v>1.8797938512732062E-4</v>
      </c>
    </row>
    <row ht="15.75" r="101" spans="1:7" thickBot="1" x14ac:dyDescent="0.3">
      <c r="A101" s="1">
        <v>90</v>
      </c>
      <c r="B101" s="7" t="n">
        <v>22389.1394741028</v>
      </c>
      <c r="C101" s="9">
        <f si="2" t="shared"/>
        <v>2.5683879713813456E-2</v>
      </c>
      <c r="E101" s="372">
        <v>90</v>
      </c>
      <c r="F101" s="372" t="n">
        <v>13319.346333115445</v>
      </c>
      <c r="G101" s="9">
        <f si="3" t="shared"/>
        <v>1.6113490285824251E-2</v>
      </c>
    </row>
    <row r="102" spans="1:7" x14ac:dyDescent="0.25">
      <c r="B102" s="6">
        <f>SUM(B11:B101)</f>
        <v>871719.52693974588</v>
      </c>
      <c r="C102" s="9">
        <f si="2" t="shared"/>
        <v>1</v>
      </c>
      <c r="F102" s="6">
        <f>SUM(F11:F101)</f>
        <v>826677.36431529408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L102"/>
  <sheetViews>
    <sheetView workbookViewId="0">
      <selection activeCell="K11" sqref="K11:L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41036.6144514812</v>
      </c>
      <c r="C11" s="9">
        <f>B11/B$102</f>
        <v>3.3002917508857768E-2</v>
      </c>
      <c r="E11" s="371">
        <v>0</v>
      </c>
      <c r="F11" s="371" t="n">
        <v>196351.05433573978</v>
      </c>
      <c r="G11" s="9">
        <f>F11/F$102</f>
        <v>0.14992540785514255</v>
      </c>
      <c r="K11" s="6" t="n">
        <v>6.893956947417957</v>
      </c>
      <c r="L11" s="6" t="n">
        <v>6.220207479107076</v>
      </c>
    </row>
    <row r="12" spans="1:12" x14ac:dyDescent="0.25">
      <c r="A12">
        <v>1</v>
      </c>
      <c r="B12" s="6" t="n">
        <v>70014.0946293031</v>
      </c>
      <c r="C12" s="9">
        <f>B12/B$102</f>
        <v>5.6307505392293629E-2</v>
      </c>
      <c r="E12" s="371">
        <v>1</v>
      </c>
      <c r="F12" s="371" t="n">
        <v>173699.30367276265</v>
      </c>
      <c r="G12" s="9">
        <f>F12/F$102</f>
        <v>0.13251572614961599</v>
      </c>
      <c r="K12" s="6"/>
      <c r="L12" s="371"/>
    </row>
    <row r="13" spans="1:12" x14ac:dyDescent="0.25">
      <c r="A13">
        <v>2</v>
      </c>
      <c r="B13" s="6" t="n">
        <v>72983.4245619847</v>
      </c>
      <c r="C13" s="9">
        <f ref="C13:C76" si="0" t="shared">B13/B$102</f>
        <v>5.8695532575694383E-2</v>
      </c>
      <c r="E13" s="371">
        <v>2</v>
      </c>
      <c r="F13" s="371" t="n">
        <v>108873.97662423443</v>
      </c>
      <c r="G13" s="9">
        <f ref="G13:G76" si="1" t="shared">F13/F$102</f>
        <v>8.366459986114759E-2</v>
      </c>
    </row>
    <row r="14" spans="1:12" x14ac:dyDescent="0.25">
      <c r="A14">
        <v>3</v>
      </c>
      <c r="B14" s="6" t="n">
        <v>120628.8023949881</v>
      </c>
      <c r="C14" s="9">
        <f si="0" t="shared"/>
        <v>9.7013422472779096E-2</v>
      </c>
      <c r="E14" s="371">
        <v>3</v>
      </c>
      <c r="F14" s="371" t="n">
        <v>67451.33426462926</v>
      </c>
      <c r="G14" s="9">
        <f si="1" t="shared"/>
        <v>5.1692762192836639E-2</v>
      </c>
    </row>
    <row r="15" spans="1:12" x14ac:dyDescent="0.25">
      <c r="A15">
        <v>4</v>
      </c>
      <c r="B15" s="6" t="n">
        <v>233807.7245633377</v>
      </c>
      <c r="C15" s="9">
        <f si="0" t="shared"/>
        <v>0.18803542031521206</v>
      </c>
      <c r="E15" s="371">
        <v>4</v>
      </c>
      <c r="F15" s="371" t="n">
        <v>204778.23334727855</v>
      </c>
      <c r="G15" s="9">
        <f si="1" t="shared"/>
        <v>0.15861440450166847</v>
      </c>
    </row>
    <row r="16" spans="1:12" x14ac:dyDescent="0.25">
      <c r="A16">
        <v>5</v>
      </c>
      <c r="B16" s="6" t="n">
        <v>111745.1382012634</v>
      </c>
      <c r="C16" s="9">
        <f si="0" t="shared"/>
        <v>8.9868904327683727E-2</v>
      </c>
      <c r="E16" s="371">
        <v>5</v>
      </c>
      <c r="F16" s="371" t="n">
        <v>94830.45451895741</v>
      </c>
      <c r="G16" s="9">
        <f si="1" t="shared"/>
        <v>7.4542424002807431E-2</v>
      </c>
    </row>
    <row r="17" spans="1:7" x14ac:dyDescent="0.25">
      <c r="A17">
        <v>6</v>
      </c>
      <c r="B17" s="6" t="n">
        <v>133033.0757617559</v>
      </c>
      <c r="C17" s="9">
        <f si="0" t="shared"/>
        <v>0.10698932365645929</v>
      </c>
      <c r="E17" s="371">
        <v>6</v>
      </c>
      <c r="F17" s="371" t="n">
        <v>96412.53128034015</v>
      </c>
      <c r="G17" s="9">
        <f si="1" t="shared"/>
        <v>7.0151966048604256E-2</v>
      </c>
    </row>
    <row r="18" spans="1:7" x14ac:dyDescent="0.25">
      <c r="A18">
        <v>7</v>
      </c>
      <c r="B18" s="6" t="n">
        <v>107861.5911012974</v>
      </c>
      <c r="C18" s="9">
        <f si="0" t="shared"/>
        <v>8.6745635356909379E-2</v>
      </c>
      <c r="E18" s="371">
        <v>7</v>
      </c>
      <c r="F18" s="371" t="n">
        <v>54377.722658312305</v>
      </c>
      <c r="G18" s="9">
        <f si="1" t="shared"/>
        <v>4.1504404637553546E-2</v>
      </c>
    </row>
    <row r="19" spans="1:7" x14ac:dyDescent="0.25">
      <c r="A19">
        <v>8</v>
      </c>
      <c r="B19" s="6" t="n">
        <v>50501.0687918001</v>
      </c>
      <c r="C19" s="9">
        <f si="0" t="shared"/>
        <v>4.0614525094790611E-2</v>
      </c>
      <c r="E19" s="371">
        <v>8</v>
      </c>
      <c r="F19" s="371" t="n">
        <v>50732.90601350663</v>
      </c>
      <c r="G19" s="9">
        <f si="1" t="shared"/>
        <v>4.1121419442400761E-2</v>
      </c>
    </row>
    <row r="20" spans="1:7" x14ac:dyDescent="0.25">
      <c r="A20">
        <v>9</v>
      </c>
      <c r="B20" s="6" t="n">
        <v>31816.0735574426</v>
      </c>
      <c r="C20" s="9">
        <f si="0" t="shared"/>
        <v>2.558747267793016E-2</v>
      </c>
      <c r="E20" s="371">
        <v>9</v>
      </c>
      <c r="F20" s="371" t="n">
        <v>31283.165654652184</v>
      </c>
      <c r="G20" s="9">
        <f si="1" t="shared"/>
        <v>1.959068300809879E-2</v>
      </c>
    </row>
    <row r="21" spans="1:7" x14ac:dyDescent="0.25">
      <c r="A21">
        <v>10</v>
      </c>
      <c r="B21" s="6" t="n">
        <v>86161.2258041164</v>
      </c>
      <c r="C21" s="9">
        <f si="0" t="shared"/>
        <v>6.9293528856708211E-2</v>
      </c>
      <c r="E21" s="371">
        <v>10</v>
      </c>
      <c r="F21" s="371" t="n">
        <v>23302.57775630596</v>
      </c>
      <c r="G21" s="9">
        <f si="1" t="shared"/>
        <v>2.1016491191058938E-2</v>
      </c>
    </row>
    <row r="22" spans="1:7" x14ac:dyDescent="0.25">
      <c r="A22">
        <v>11</v>
      </c>
      <c r="B22" s="6" t="n">
        <v>23471.3984698237</v>
      </c>
      <c r="C22" s="9">
        <f si="0" t="shared"/>
        <v>1.887642628104674E-2</v>
      </c>
      <c r="E22" s="371">
        <v>11</v>
      </c>
      <c r="F22" s="371" t="n">
        <v>23966.22481935789</v>
      </c>
      <c r="G22" s="9">
        <f si="1" t="shared"/>
        <v>2.0359007532026945E-2</v>
      </c>
    </row>
    <row r="23" spans="1:7" x14ac:dyDescent="0.25">
      <c r="A23">
        <v>12</v>
      </c>
      <c r="B23" s="6" t="n">
        <v>16892.030641544</v>
      </c>
      <c r="C23" s="9">
        <f si="0" t="shared"/>
        <v>1.358509470802244E-2</v>
      </c>
      <c r="E23" s="371">
        <v>12</v>
      </c>
      <c r="F23" s="371" t="n">
        <v>21094.902087433653</v>
      </c>
      <c r="G23" s="9">
        <f si="1" t="shared"/>
        <v>1.3704089290607001E-2</v>
      </c>
    </row>
    <row r="24" spans="1:7" x14ac:dyDescent="0.25">
      <c r="A24">
        <v>13</v>
      </c>
      <c r="B24" s="6" t="n">
        <v>15943.1519336711</v>
      </c>
      <c r="C24" s="9">
        <f si="0" t="shared"/>
        <v>1.2821977035172835E-2</v>
      </c>
      <c r="E24" s="371">
        <v>13</v>
      </c>
      <c r="F24" s="371" t="n">
        <v>16829.627208331895</v>
      </c>
      <c r="G24" s="9">
        <f si="1" t="shared"/>
        <v>1.2473494039207604E-2</v>
      </c>
    </row>
    <row r="25" spans="1:7" x14ac:dyDescent="0.25">
      <c r="A25">
        <v>14</v>
      </c>
      <c r="B25" s="6" t="n">
        <v>7832.5718147952</v>
      </c>
      <c r="C25" s="9">
        <f si="0" t="shared"/>
        <v>6.2991970692787029E-3</v>
      </c>
      <c r="E25" s="371">
        <v>14</v>
      </c>
      <c r="F25" s="371" t="n">
        <v>16563.408511393012</v>
      </c>
      <c r="G25" s="9">
        <f si="1" t="shared"/>
        <v>1.1224760510613349E-2</v>
      </c>
    </row>
    <row r="26" spans="1:7" x14ac:dyDescent="0.25">
      <c r="A26">
        <v>15</v>
      </c>
      <c r="B26" s="6" t="n">
        <v>12343.4433601623</v>
      </c>
      <c r="C26" s="9">
        <f si="0" t="shared"/>
        <v>9.9269798065905208E-3</v>
      </c>
      <c r="E26" s="371">
        <v>15</v>
      </c>
      <c r="F26" s="371" t="n">
        <v>18479.31701819414</v>
      </c>
      <c r="G26" s="9">
        <f si="1" t="shared"/>
        <v>1.4422301821702536E-2</v>
      </c>
    </row>
    <row r="27" spans="1:7" x14ac:dyDescent="0.25">
      <c r="A27">
        <v>16</v>
      </c>
      <c r="B27" s="6" t="n">
        <v>10817.380646548</v>
      </c>
      <c r="C27" s="9">
        <f si="0" t="shared"/>
        <v>8.6996728631704226E-3</v>
      </c>
      <c r="E27" s="371">
        <v>16</v>
      </c>
      <c r="F27" s="371" t="n">
        <v>17113.739829134738</v>
      </c>
      <c r="G27" s="9">
        <f si="1" t="shared"/>
        <v>1.3543860335399624E-2</v>
      </c>
    </row>
    <row r="28" spans="1:7" x14ac:dyDescent="0.25">
      <c r="A28">
        <v>17</v>
      </c>
      <c r="B28" s="6" t="n">
        <v>17419.7887826173</v>
      </c>
      <c r="C28" s="9">
        <f si="0" t="shared"/>
        <v>1.4009534165986584E-2</v>
      </c>
      <c r="E28" s="371">
        <v>17</v>
      </c>
      <c r="F28" s="371" t="n">
        <v>12360.551509546674</v>
      </c>
      <c r="G28" s="9">
        <f si="1" t="shared"/>
        <v>1.0173610620764486E-2</v>
      </c>
    </row>
    <row r="29" spans="1:7" x14ac:dyDescent="0.25">
      <c r="A29">
        <v>18</v>
      </c>
      <c r="B29" s="6" t="n">
        <v>18966.5703644235</v>
      </c>
      <c r="C29" s="9">
        <f si="0" t="shared"/>
        <v>1.5253503865507643E-2</v>
      </c>
      <c r="E29" s="371">
        <v>18</v>
      </c>
      <c r="F29" s="371" t="n">
        <v>10028.169680304733</v>
      </c>
      <c r="G29" s="9">
        <f si="1" t="shared"/>
        <v>6.5302087059289698E-3</v>
      </c>
    </row>
    <row r="30" spans="1:7" x14ac:dyDescent="0.25">
      <c r="A30">
        <v>19</v>
      </c>
      <c r="B30" s="6" t="n">
        <v>5712.8777091771</v>
      </c>
      <c r="C30" s="9">
        <f si="0" t="shared"/>
        <v>4.5944733573741207E-3</v>
      </c>
      <c r="E30" s="371">
        <v>19</v>
      </c>
      <c r="F30" s="371" t="n">
        <v>7657.207736282159</v>
      </c>
      <c r="G30" s="9">
        <f si="1" t="shared"/>
        <v>7.0034713403037277E-3</v>
      </c>
    </row>
    <row r="31" spans="1:7" x14ac:dyDescent="0.25">
      <c r="A31">
        <v>20</v>
      </c>
      <c r="B31" s="6" t="n">
        <v>7905.4607745684</v>
      </c>
      <c r="C31" s="9">
        <f si="0" t="shared"/>
        <v>6.3578166303427741E-3</v>
      </c>
      <c r="E31" s="371">
        <v>20</v>
      </c>
      <c r="F31" s="371" t="n">
        <v>8245.994016854052</v>
      </c>
      <c r="G31" s="9">
        <f si="1" t="shared"/>
        <v>5.4074021896714985E-3</v>
      </c>
    </row>
    <row r="32" spans="1:7" x14ac:dyDescent="0.25">
      <c r="A32">
        <v>21</v>
      </c>
      <c r="B32" s="6" t="n">
        <v>5865.5300556841</v>
      </c>
      <c r="C32" s="9">
        <f si="0" t="shared"/>
        <v>4.7172411067765638E-3</v>
      </c>
      <c r="E32" s="371">
        <v>21</v>
      </c>
      <c r="F32" s="371" t="n">
        <v>5790.755568748651</v>
      </c>
      <c r="G32" s="9">
        <f si="1" t="shared"/>
        <v>4.9514152276498025E-3</v>
      </c>
    </row>
    <row r="33" spans="1:7" x14ac:dyDescent="0.25">
      <c r="A33">
        <v>22</v>
      </c>
      <c r="B33" s="6" t="n">
        <v>5503.4160241288</v>
      </c>
      <c r="C33" s="9">
        <f si="0" t="shared"/>
        <v>4.4260177767830701E-3</v>
      </c>
      <c r="E33" s="371">
        <v>22</v>
      </c>
      <c r="F33" s="371" t="n">
        <v>6034.002244478928</v>
      </c>
      <c r="G33" s="9">
        <f si="1" t="shared"/>
        <v>3.8848940276775879E-3</v>
      </c>
    </row>
    <row r="34" spans="1:7" x14ac:dyDescent="0.25">
      <c r="A34">
        <v>23</v>
      </c>
      <c r="B34" s="6" t="n">
        <v>7207.0823968347</v>
      </c>
      <c r="C34" s="9">
        <f si="0" t="shared"/>
        <v>5.7961590886962486E-3</v>
      </c>
      <c r="E34" s="371">
        <v>23</v>
      </c>
      <c r="F34" s="371" t="n">
        <v>4961.222150711141</v>
      </c>
      <c r="G34" s="9">
        <f si="1" t="shared"/>
        <v>3.8541842281843109E-3</v>
      </c>
    </row>
    <row r="35" spans="1:7" x14ac:dyDescent="0.25">
      <c r="A35">
        <v>24</v>
      </c>
      <c r="B35" s="6" t="n">
        <v>1879.5049007177</v>
      </c>
      <c r="C35" s="9">
        <f si="0" t="shared"/>
        <v>1.5115561072714481E-3</v>
      </c>
      <c r="E35" s="371">
        <v>24</v>
      </c>
      <c r="F35" s="371" t="n">
        <v>4856.809920977201</v>
      </c>
      <c r="G35" s="9">
        <f si="1" t="shared"/>
        <v>2.8617938207451061E-3</v>
      </c>
    </row>
    <row r="36" spans="1:7" x14ac:dyDescent="0.25">
      <c r="A36">
        <v>25</v>
      </c>
      <c r="B36" s="6" t="n">
        <v>1572.4291990000002</v>
      </c>
      <c r="C36" s="9">
        <f si="0" t="shared"/>
        <v>1.2645963083644E-3</v>
      </c>
      <c r="E36" s="371">
        <v>25</v>
      </c>
      <c r="F36" s="371" t="n">
        <v>4570.655010013908</v>
      </c>
      <c r="G36" s="9">
        <f si="1" t="shared"/>
        <v>3.2465953101979217E-3</v>
      </c>
    </row>
    <row r="37" spans="1:7" x14ac:dyDescent="0.25">
      <c r="A37">
        <v>26</v>
      </c>
      <c r="B37" s="6" t="n">
        <v>501.90882972869997</v>
      </c>
      <c r="C37" s="9">
        <f si="0" t="shared"/>
        <v>4.0365064043205301E-4</v>
      </c>
      <c r="E37" s="371">
        <v>26</v>
      </c>
      <c r="F37" s="371" t="n">
        <v>4426.494261729675</v>
      </c>
      <c r="G37" s="9">
        <f si="1" t="shared"/>
        <v>2.8753364291914905E-3</v>
      </c>
    </row>
    <row r="38" spans="1:7" x14ac:dyDescent="0.25">
      <c r="A38">
        <v>27</v>
      </c>
      <c r="B38" s="6" t="n">
        <v>3553.514310411</v>
      </c>
      <c r="C38" s="9">
        <f si="0" t="shared"/>
        <v>2.8578463701409659E-3</v>
      </c>
      <c r="E38" s="371">
        <v>27</v>
      </c>
      <c r="F38" s="371" t="n">
        <v>2923.6724717171014</v>
      </c>
      <c r="G38" s="9">
        <f si="1" t="shared"/>
        <v>2.3992764587840013E-3</v>
      </c>
    </row>
    <row r="39" spans="1:7" x14ac:dyDescent="0.25">
      <c r="A39">
        <v>28</v>
      </c>
      <c r="B39" s="6" t="n">
        <v>2277.679470475</v>
      </c>
      <c r="C39" s="9">
        <f si="0" t="shared"/>
        <v>1.8317804399917315E-3</v>
      </c>
      <c r="E39" s="371">
        <v>28</v>
      </c>
      <c r="F39" s="371" t="n">
        <v>3240.0023193656107</v>
      </c>
      <c r="G39" s="9">
        <f si="1" t="shared"/>
        <v>1.920556043410792E-3</v>
      </c>
    </row>
    <row r="40" spans="1:7" x14ac:dyDescent="0.25">
      <c r="A40">
        <v>29</v>
      </c>
      <c r="B40" s="6" t="n">
        <v>1110.185088022</v>
      </c>
      <c r="C40" s="9">
        <f si="0" t="shared"/>
        <v>8.9284526438880216E-4</v>
      </c>
      <c r="E40" s="371">
        <v>29</v>
      </c>
      <c r="F40" s="371" t="n">
        <v>2463.3132554153767</v>
      </c>
      <c r="G40" s="9">
        <f si="1" t="shared"/>
        <v>2.4432560546147628E-3</v>
      </c>
    </row>
    <row r="41" spans="1:7" x14ac:dyDescent="0.25">
      <c r="A41">
        <v>30</v>
      </c>
      <c r="B41" s="6" t="n">
        <v>0.0</v>
      </c>
      <c r="C41" s="9">
        <f si="0" t="shared"/>
        <v>0</v>
      </c>
      <c r="E41" s="371">
        <v>30</v>
      </c>
      <c r="F41" s="371" t="n">
        <v>2207.7335585450787</v>
      </c>
      <c r="G41" s="9">
        <f si="1" t="shared"/>
        <v>1.450900931157118E-3</v>
      </c>
    </row>
    <row r="42" spans="1:7" x14ac:dyDescent="0.25">
      <c r="A42">
        <v>31</v>
      </c>
      <c r="B42" s="6" t="n">
        <v>616.4765828231</v>
      </c>
      <c r="C42" s="9">
        <f si="0" t="shared"/>
        <v>4.9578957916005504E-4</v>
      </c>
      <c r="E42" s="371">
        <v>31</v>
      </c>
      <c r="F42" s="371" t="n">
        <v>1929.866869565845</v>
      </c>
      <c r="G42" s="9">
        <f si="1" t="shared"/>
        <v>1.3261958900197067E-3</v>
      </c>
    </row>
    <row r="43" spans="1:7" x14ac:dyDescent="0.25">
      <c r="A43">
        <v>32</v>
      </c>
      <c r="B43" s="6" t="n">
        <v>159.396922991</v>
      </c>
      <c r="C43" s="9">
        <f si="0" t="shared"/>
        <v>1.2819194689799393E-4</v>
      </c>
      <c r="E43" s="371">
        <v>32</v>
      </c>
      <c r="F43" s="371" t="n">
        <v>1514.5582368990915</v>
      </c>
      <c r="G43" s="9">
        <f si="1" t="shared"/>
        <v>1.2717194979326748E-3</v>
      </c>
    </row>
    <row r="44" spans="1:7" x14ac:dyDescent="0.25">
      <c r="A44">
        <v>33</v>
      </c>
      <c r="B44" s="6" t="n">
        <v>1202.624334424</v>
      </c>
      <c r="C44" s="9">
        <f si="0" t="shared"/>
        <v>9.6718777203385145E-4</v>
      </c>
      <c r="E44" s="371">
        <v>33</v>
      </c>
      <c r="F44" s="371" t="n">
        <v>1413.2039080320985</v>
      </c>
      <c r="G44" s="9">
        <f si="1" t="shared"/>
        <v>9.5336652290310491E-4</v>
      </c>
    </row>
    <row r="45" spans="1:7" x14ac:dyDescent="0.25">
      <c r="A45">
        <v>34</v>
      </c>
      <c r="B45" s="6" t="n">
        <v>8406.9105220392</v>
      </c>
      <c r="C45" s="9">
        <f si="0" t="shared"/>
        <v>6.7610980625911164E-3</v>
      </c>
      <c r="E45" s="371">
        <v>34</v>
      </c>
      <c r="F45" s="371" t="n">
        <v>1182.8265465113554</v>
      </c>
      <c r="G45" s="9">
        <f si="1" t="shared"/>
        <v>8.4177910693014027E-4</v>
      </c>
    </row>
    <row r="46" spans="1:7" x14ac:dyDescent="0.25">
      <c r="A46">
        <v>35</v>
      </c>
      <c r="B46" s="6" t="n">
        <v>760.643560281</v>
      </c>
      <c r="C46" s="9">
        <f si="0" t="shared"/>
        <v>6.1173313172016867E-4</v>
      </c>
      <c r="E46" s="371">
        <v>35</v>
      </c>
      <c r="F46" s="371" t="n">
        <v>978.4921629119478</v>
      </c>
      <c r="G46" s="9">
        <f si="1" t="shared"/>
        <v>6.464099828823388E-4</v>
      </c>
    </row>
    <row r="47" spans="1:7" x14ac:dyDescent="0.25">
      <c r="A47">
        <v>36</v>
      </c>
      <c r="B47" s="6" t="n">
        <v>0.0</v>
      </c>
      <c r="C47" s="9">
        <f si="0" t="shared"/>
        <v>0</v>
      </c>
      <c r="E47" s="371">
        <v>36</v>
      </c>
      <c r="F47" s="371" t="n">
        <v>1190.4734253737693</v>
      </c>
      <c r="G47" s="9">
        <f si="1" t="shared"/>
        <v>9.0465140114225756E-4</v>
      </c>
    </row>
    <row r="48" spans="1:7" x14ac:dyDescent="0.25">
      <c r="A48">
        <v>37</v>
      </c>
      <c r="B48" s="6" t="n">
        <v>205.011586153</v>
      </c>
      <c r="C48" s="9">
        <f si="0" t="shared"/>
        <v>1.648766731029229E-4</v>
      </c>
      <c r="E48" s="371">
        <v>37</v>
      </c>
      <c r="F48" s="371" t="n">
        <v>886.8179469804011</v>
      </c>
      <c r="G48" s="9">
        <f si="1" t="shared"/>
        <v>6.5886124949151659E-4</v>
      </c>
    </row>
    <row r="49" spans="1:7" x14ac:dyDescent="0.25">
      <c r="A49">
        <v>38</v>
      </c>
      <c r="B49" s="6" t="n">
        <v>1198.864695919</v>
      </c>
      <c r="C49" s="9">
        <f si="0" t="shared"/>
        <v>9.6416415419641171E-4</v>
      </c>
      <c r="E49" s="371">
        <v>38</v>
      </c>
      <c r="F49" s="371" t="n">
        <v>905.8120198969465</v>
      </c>
      <c r="G49" s="9">
        <f si="1" t="shared"/>
        <v>6.1052015956585568E-4</v>
      </c>
    </row>
    <row r="50" spans="1:7" x14ac:dyDescent="0.25">
      <c r="A50">
        <v>39</v>
      </c>
      <c r="B50" s="6" t="n">
        <v>1778.0579449699999</v>
      </c>
      <c r="C50" s="9">
        <f si="0" t="shared"/>
        <v>1.4299693205245885E-3</v>
      </c>
      <c r="E50" s="371">
        <v>39</v>
      </c>
      <c r="F50" s="371" t="n">
        <v>776.3386973987377</v>
      </c>
      <c r="G50" s="9">
        <f si="1" t="shared"/>
        <v>6.3538396902434167E-4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614.3159217665184</v>
      </c>
      <c r="G51" s="9">
        <f si="1" t="shared"/>
        <v>3.8190333976500466E-4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454.4506965187492</v>
      </c>
      <c r="G52" s="9">
        <f si="1" t="shared"/>
        <v>4.4193991445467851E-4</v>
      </c>
    </row>
    <row r="53" spans="1:7" x14ac:dyDescent="0.25">
      <c r="A53">
        <v>42</v>
      </c>
      <c r="B53" s="6" t="n">
        <v>317.065697077</v>
      </c>
      <c r="C53" s="9">
        <f si="0" t="shared"/>
        <v>2.5499406287262619E-4</v>
      </c>
      <c r="E53" s="371">
        <v>42</v>
      </c>
      <c r="F53" s="371" t="n">
        <v>409.98370239260714</v>
      </c>
      <c r="G53" s="9">
        <f si="1" t="shared"/>
        <v>2.0047298825234369E-4</v>
      </c>
    </row>
    <row r="54" spans="1:7" x14ac:dyDescent="0.25">
      <c r="A54">
        <v>43</v>
      </c>
      <c r="B54" s="6" t="n">
        <v>794.0327051950001</v>
      </c>
      <c r="C54" s="9">
        <f si="0" t="shared"/>
        <v>6.3858571714947836E-4</v>
      </c>
      <c r="E54" s="371">
        <v>43</v>
      </c>
      <c r="F54" s="371" t="n">
        <v>312.39973706462183</v>
      </c>
      <c r="G54" s="9">
        <f si="1" t="shared"/>
        <v>2.6688242417377485E-4</v>
      </c>
    </row>
    <row r="55" spans="1:7" x14ac:dyDescent="0.25">
      <c r="A55">
        <v>44</v>
      </c>
      <c r="B55" s="6" t="n">
        <v>387.674382174</v>
      </c>
      <c r="C55" s="9">
        <f si="0" t="shared"/>
        <v>3.117797563518088E-4</v>
      </c>
      <c r="E55" s="371">
        <v>44</v>
      </c>
      <c r="F55" s="371" t="n">
        <v>275.8475569304552</v>
      </c>
      <c r="G55" s="9">
        <f si="1" t="shared"/>
        <v>1.5640267406042974E-4</v>
      </c>
    </row>
    <row r="56" spans="1:7" x14ac:dyDescent="0.25">
      <c r="A56">
        <v>45</v>
      </c>
      <c r="B56" s="6" t="n">
        <v>343.963060963</v>
      </c>
      <c r="C56" s="9">
        <f si="0" t="shared"/>
        <v>2.766257567489554E-4</v>
      </c>
      <c r="E56" s="371">
        <v>45</v>
      </c>
      <c r="F56" s="371" t="n">
        <v>304.2256911498563</v>
      </c>
      <c r="G56" s="9">
        <f si="1" t="shared"/>
        <v>2.7284916016176235E-4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224.50156339332577</v>
      </c>
      <c r="G57" s="9">
        <f si="1" t="shared"/>
        <v>1.7854990657556271E-4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218.79459500513227</v>
      </c>
      <c r="G58" s="9">
        <f si="1" t="shared"/>
        <v>1.2300702405256396E-4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169.03333582111736</v>
      </c>
      <c r="G59" s="9">
        <f si="1" t="shared"/>
        <v>2.0133266186141293E-4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150.44535222833375</v>
      </c>
      <c r="G60" s="9">
        <f si="1" t="shared"/>
        <v>1.2842217429464686E-4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107.72396008475434</v>
      </c>
      <c r="G61" s="9">
        <f si="1" t="shared"/>
        <v>1.1389363314599135E-4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152.98872993408924</v>
      </c>
      <c r="G62" s="9">
        <f si="1" t="shared"/>
        <v>7.8249752064515985E-5</v>
      </c>
    </row>
    <row r="63" spans="1:7" x14ac:dyDescent="0.25">
      <c r="A63">
        <v>52</v>
      </c>
      <c r="B63" s="6" t="n">
        <v>554.661229397</v>
      </c>
      <c r="C63" s="9">
        <f si="0" t="shared"/>
        <v>4.4607575561073375E-4</v>
      </c>
      <c r="E63" s="371">
        <v>52</v>
      </c>
      <c r="F63" s="371" t="n">
        <v>88.95754175344958</v>
      </c>
      <c r="G63" s="9">
        <f si="1" t="shared"/>
        <v>7.3968952294592934E-5</v>
      </c>
    </row>
    <row r="64" spans="1:7" x14ac:dyDescent="0.25">
      <c r="A64">
        <v>53</v>
      </c>
      <c r="B64" s="6" t="n">
        <v>4.59375</v>
      </c>
      <c r="C64" s="9">
        <f si="0" t="shared"/>
        <v>3.6944361598241738E-6</v>
      </c>
      <c r="E64" s="371">
        <v>53</v>
      </c>
      <c r="F64" s="371" t="n">
        <v>86.82958171132466</v>
      </c>
      <c r="G64" s="9">
        <f si="1" t="shared"/>
        <v>6.7821821914523976E-5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74.40777301221443</v>
      </c>
      <c r="G65" s="9">
        <f si="1" t="shared"/>
        <v>1.0684216722250649E-4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55.66539853508298</v>
      </c>
      <c r="G66" s="9">
        <f si="1" t="shared"/>
        <v>4.4508771384583469E-5</v>
      </c>
    </row>
    <row r="67" spans="1:7" x14ac:dyDescent="0.25">
      <c r="A67">
        <v>56</v>
      </c>
      <c r="B67" s="6" t="n">
        <v>248.013120292</v>
      </c>
      <c r="C67" s="9">
        <f si="0" t="shared"/>
        <v>1.9945983993852241E-4</v>
      </c>
      <c r="E67" s="371">
        <v>56</v>
      </c>
      <c r="F67" s="371" t="n">
        <v>51.77135938914985</v>
      </c>
      <c r="G67" s="9">
        <f si="1" t="shared"/>
        <v>2.721297822027014E-5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43.41196813276155</v>
      </c>
      <c r="G68" s="9">
        <f si="1" t="shared"/>
        <v>6.45584414601748E-5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49.98084566105227</v>
      </c>
      <c r="G69" s="9">
        <f si="1" t="shared"/>
        <v>1.6761608093123714E-5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33.3331370071571</v>
      </c>
      <c r="G70" s="9">
        <f si="1" t="shared"/>
        <v>1.6304162494157109E-5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27.07087775303515</v>
      </c>
      <c r="G71" s="9">
        <f si="1" t="shared"/>
        <v>8.2833003332199416E-6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22.312941946748214</v>
      </c>
      <c r="G72" s="9">
        <f si="1" t="shared"/>
        <v>1.6390794600927364E-5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18.538756373157057</v>
      </c>
      <c r="G73" s="9">
        <f si="1" t="shared"/>
        <v>4.0428316492773566E-7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24.700823459045097</v>
      </c>
      <c r="G74" s="9">
        <f si="1" t="shared"/>
        <v>1.6208337830006782E-5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12.649999999999999</v>
      </c>
      <c r="G75" s="9">
        <f si="1" t="shared"/>
        <v>1.6168377093004475E-5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4.6</v>
      </c>
      <c r="G76" s="9">
        <f si="1" t="shared"/>
        <v>8.0751350911347235E-6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0.0</v>
      </c>
      <c r="G77" s="9">
        <f ref="G77:G102" si="3" t="shared">F77/F$102</f>
        <v>0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18.4</v>
      </c>
      <c r="G78" s="9">
        <f si="3" t="shared"/>
        <v>1.6166112627720461E-5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17.21477856159799</v>
      </c>
      <c r="G79" s="9">
        <f si="3" t="shared"/>
        <v>8.0305337760645669E-6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4.6</v>
      </c>
      <c r="G80" s="9">
        <f si="3" t="shared"/>
        <v>1.2361735235290348E-5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4.6</v>
      </c>
      <c r="G81" s="9">
        <f si="3" t="shared"/>
        <v>2.0214158246386783E-7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2.3</v>
      </c>
      <c r="G82" s="9">
        <f si="3" t="shared"/>
        <v>8.0896860166136888E-6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3.6839978003846348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0.389406779661043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2.3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1.15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3.4499999999999997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2.3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2.694393305439387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8.1434180364015559E-6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1.938786610878774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1.15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81.0922660552</v>
      </c>
      <c r="C101" s="9">
        <f si="2" t="shared"/>
        <v>6.5216914284933509E-5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1243423.8409518562</v>
      </c>
      <c r="C102" s="9">
        <f si="2" t="shared"/>
        <v>1</v>
      </c>
      <c r="F102" s="6">
        <f>SUM(F11:F101)</f>
        <v>1236756.915389671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L102"/>
  <sheetViews>
    <sheetView workbookViewId="0">
      <selection activeCell="D5" sqref="D5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6421.666277464999</v>
      </c>
      <c r="C11" s="9">
        <f>B11/B$102</f>
        <v>5.1645030969883401E-3</v>
      </c>
      <c r="E11" s="371">
        <v>0</v>
      </c>
      <c r="F11" s="371" t="n">
        <v>8813.28804258204</v>
      </c>
      <c r="G11" s="9">
        <f>F11/F$102</f>
        <v>6.7298226725815962E-3</v>
      </c>
      <c r="K11" s="6" t="n">
        <v>25.652639512133877</v>
      </c>
      <c r="L11" s="6" t="n">
        <v>20.35014486182907</v>
      </c>
    </row>
    <row r="12" spans="1:12" x14ac:dyDescent="0.25">
      <c r="A12">
        <v>1</v>
      </c>
      <c r="B12" s="6" t="n">
        <v>7648.6649553169</v>
      </c>
      <c r="C12" s="9">
        <f>B12/B$102</f>
        <v>6.1512934716305197E-3</v>
      </c>
      <c r="E12" s="371">
        <v>1</v>
      </c>
      <c r="F12" s="371" t="n">
        <v>31292.074818410078</v>
      </c>
      <c r="G12" s="9">
        <f>F12/F$102</f>
        <v>2.4149213050492332E-2</v>
      </c>
      <c r="K12" s="6"/>
      <c r="L12" s="371"/>
    </row>
    <row r="13" spans="1:12" x14ac:dyDescent="0.25">
      <c r="A13">
        <v>2</v>
      </c>
      <c r="B13" s="6" t="n">
        <v>7659.3953825730005</v>
      </c>
      <c r="C13" s="9">
        <f ref="C13:C76" si="0" t="shared">B13/B$102</f>
        <v>6.1599232138814693E-3</v>
      </c>
      <c r="E13" s="371">
        <v>2</v>
      </c>
      <c r="F13" s="371" t="n">
        <v>39143.00751632075</v>
      </c>
      <c r="G13" s="9">
        <f ref="G13:G76" si="1" t="shared">F13/F$102</f>
        <v>3.0367992225429716E-2</v>
      </c>
    </row>
    <row r="14" spans="1:12" x14ac:dyDescent="0.25">
      <c r="A14">
        <v>3</v>
      </c>
      <c r="B14" s="6" t="n">
        <v>11138.1608098898</v>
      </c>
      <c r="C14" s="9">
        <f si="0" t="shared"/>
        <v>8.9576542149645434E-3</v>
      </c>
      <c r="E14" s="371">
        <v>3</v>
      </c>
      <c r="F14" s="371" t="n">
        <v>44060.243500227974</v>
      </c>
      <c r="G14" s="9">
        <f si="1" t="shared"/>
        <v>3.3841290025197458E-2</v>
      </c>
    </row>
    <row r="15" spans="1:12" x14ac:dyDescent="0.25">
      <c r="A15">
        <v>4</v>
      </c>
      <c r="B15" s="6" t="n">
        <v>15713.2697782597</v>
      </c>
      <c r="C15" s="9">
        <f si="0" t="shared"/>
        <v>1.2637098679265307E-2</v>
      </c>
      <c r="E15" s="371">
        <v>4</v>
      </c>
      <c r="F15" s="371" t="n">
        <v>47209.110546966585</v>
      </c>
      <c r="G15" s="9">
        <f si="1" t="shared"/>
        <v>3.4941362561822488E-2</v>
      </c>
    </row>
    <row r="16" spans="1:12" x14ac:dyDescent="0.25">
      <c r="A16">
        <v>5</v>
      </c>
      <c r="B16" s="6" t="n">
        <v>17497.7260123518</v>
      </c>
      <c r="C16" s="9">
        <f si="0" t="shared"/>
        <v>1.4072213702253828E-2</v>
      </c>
      <c r="E16" s="371">
        <v>5</v>
      </c>
      <c r="F16" s="371" t="n">
        <v>47129.08947634959</v>
      </c>
      <c r="G16" s="9">
        <f si="1" t="shared"/>
        <v>3.5452585673078782E-2</v>
      </c>
    </row>
    <row r="17" spans="1:7" x14ac:dyDescent="0.25">
      <c r="A17">
        <v>6</v>
      </c>
      <c r="B17" s="6" t="n">
        <v>17900.7109937355</v>
      </c>
      <c r="C17" s="9">
        <f si="0" t="shared"/>
        <v>1.4396306717130568E-2</v>
      </c>
      <c r="E17" s="371">
        <v>6</v>
      </c>
      <c r="F17" s="371" t="n">
        <v>44822.92732412449</v>
      </c>
      <c r="G17" s="9">
        <f si="1" t="shared"/>
        <v>3.4428138452968535E-2</v>
      </c>
    </row>
    <row r="18" spans="1:7" x14ac:dyDescent="0.25">
      <c r="A18">
        <v>7</v>
      </c>
      <c r="B18" s="6" t="n">
        <v>23731.144678382</v>
      </c>
      <c r="C18" s="9">
        <f si="0" t="shared"/>
        <v>1.908532223430388E-2</v>
      </c>
      <c r="E18" s="371">
        <v>7</v>
      </c>
      <c r="F18" s="371" t="n">
        <v>42490.25181511829</v>
      </c>
      <c r="G18" s="9">
        <f si="1" t="shared"/>
        <v>3.2168916884079572E-2</v>
      </c>
    </row>
    <row r="19" spans="1:7" x14ac:dyDescent="0.25">
      <c r="A19">
        <v>8</v>
      </c>
      <c r="B19" s="6" t="n">
        <v>13210.0662664562</v>
      </c>
      <c r="C19" s="9">
        <f si="0" t="shared"/>
        <v>1.0623944813816446E-2</v>
      </c>
      <c r="E19" s="371">
        <v>8</v>
      </c>
      <c r="F19" s="371" t="n">
        <v>39218.994888223126</v>
      </c>
      <c r="G19" s="9">
        <f si="1" t="shared"/>
        <v>3.0289311712006682E-2</v>
      </c>
    </row>
    <row r="20" spans="1:7" x14ac:dyDescent="0.25">
      <c r="A20">
        <v>9</v>
      </c>
      <c r="B20" s="6" t="n">
        <v>25852.2630383261</v>
      </c>
      <c r="C20" s="9">
        <f si="0" t="shared"/>
        <v>2.0791191375690424E-2</v>
      </c>
      <c r="E20" s="371">
        <v>9</v>
      </c>
      <c r="F20" s="371" t="n">
        <v>35574.975255507496</v>
      </c>
      <c r="G20" s="9">
        <f si="1" t="shared"/>
        <v>2.7170550560196759E-2</v>
      </c>
    </row>
    <row r="21" spans="1:7" x14ac:dyDescent="0.25">
      <c r="A21">
        <v>10</v>
      </c>
      <c r="B21" s="6" t="n">
        <v>13020.6747208126</v>
      </c>
      <c r="C21" s="9">
        <f si="0" t="shared"/>
        <v>1.0471630261524591E-2</v>
      </c>
      <c r="E21" s="371">
        <v>10</v>
      </c>
      <c r="F21" s="371" t="n">
        <v>31806.38119009888</v>
      </c>
      <c r="G21" s="9">
        <f si="1" t="shared"/>
        <v>2.4244449987604316E-2</v>
      </c>
    </row>
    <row r="22" spans="1:7" x14ac:dyDescent="0.25">
      <c r="A22">
        <v>11</v>
      </c>
      <c r="B22" s="6" t="n">
        <v>18581.0337230459</v>
      </c>
      <c r="C22" s="9">
        <f si="0" t="shared"/>
        <v>1.4943443346575925E-2</v>
      </c>
      <c r="E22" s="371">
        <v>11</v>
      </c>
      <c r="F22" s="371" t="n">
        <v>27426.568624756554</v>
      </c>
      <c r="G22" s="9">
        <f si="1" t="shared"/>
        <v>2.1294632350391685E-2</v>
      </c>
    </row>
    <row r="23" spans="1:7" x14ac:dyDescent="0.25">
      <c r="A23">
        <v>12</v>
      </c>
      <c r="B23" s="6" t="n">
        <v>26721.0186142712</v>
      </c>
      <c r="C23" s="9">
        <f si="0" t="shared"/>
        <v>2.1489871541964266E-2</v>
      </c>
      <c r="E23" s="371">
        <v>12</v>
      </c>
      <c r="F23" s="371" t="n">
        <v>25489.967881544253</v>
      </c>
      <c r="G23" s="9">
        <f si="1" t="shared"/>
        <v>1.9433737971353209E-2</v>
      </c>
    </row>
    <row r="24" spans="1:7" x14ac:dyDescent="0.25">
      <c r="A24">
        <v>13</v>
      </c>
      <c r="B24" s="6" t="n">
        <v>15262.9778604272</v>
      </c>
      <c r="C24" s="9">
        <f si="0" t="shared"/>
        <v>1.2274959959544607E-2</v>
      </c>
      <c r="E24" s="371">
        <v>13</v>
      </c>
      <c r="F24" s="371" t="n">
        <v>21761.56350049274</v>
      </c>
      <c r="G24" s="9">
        <f si="1" t="shared"/>
        <v>1.658685681697137E-2</v>
      </c>
    </row>
    <row r="25" spans="1:7" x14ac:dyDescent="0.25">
      <c r="A25">
        <v>14</v>
      </c>
      <c r="B25" s="6" t="n">
        <v>19788.6422370046</v>
      </c>
      <c r="C25" s="9">
        <f si="0" t="shared"/>
        <v>1.5914639550305025E-2</v>
      </c>
      <c r="E25" s="371">
        <v>14</v>
      </c>
      <c r="F25" s="371" t="n">
        <v>18990.554130044988</v>
      </c>
      <c r="G25" s="9">
        <f si="1" t="shared"/>
        <v>1.4566745787955008E-2</v>
      </c>
    </row>
    <row r="26" spans="1:7" x14ac:dyDescent="0.25">
      <c r="A26">
        <v>15</v>
      </c>
      <c r="B26" s="6" t="n">
        <v>11436.9077321757</v>
      </c>
      <c r="C26" s="9">
        <f si="0" t="shared"/>
        <v>9.1979157512538951E-3</v>
      </c>
      <c r="E26" s="371">
        <v>15</v>
      </c>
      <c r="F26" s="371" t="n">
        <v>18203.55377220234</v>
      </c>
      <c r="G26" s="9">
        <f si="1" t="shared"/>
        <v>1.3771553800769731E-2</v>
      </c>
    </row>
    <row r="27" spans="1:7" x14ac:dyDescent="0.25">
      <c r="A27">
        <v>16</v>
      </c>
      <c r="B27" s="6" t="n">
        <v>53589.1865883111</v>
      </c>
      <c r="C27" s="9">
        <f si="0" t="shared"/>
        <v>4.309808516079916E-2</v>
      </c>
      <c r="E27" s="371">
        <v>16</v>
      </c>
      <c r="F27" s="371" t="n">
        <v>16405.403166334698</v>
      </c>
      <c r="G27" s="9">
        <f si="1" t="shared"/>
        <v>1.2161502965225904E-2</v>
      </c>
    </row>
    <row r="28" spans="1:7" x14ac:dyDescent="0.25">
      <c r="A28">
        <v>17</v>
      </c>
      <c r="B28" s="6" t="n">
        <v>20646.848872426</v>
      </c>
      <c r="C28" s="9">
        <f si="0" t="shared"/>
        <v>1.6604835931584339E-2</v>
      </c>
      <c r="E28" s="371">
        <v>17</v>
      </c>
      <c r="F28" s="371" t="n">
        <v>14171.141753161022</v>
      </c>
      <c r="G28" s="9">
        <f si="1" t="shared"/>
        <v>1.0994574887086104E-2</v>
      </c>
    </row>
    <row r="29" spans="1:7" x14ac:dyDescent="0.25">
      <c r="A29">
        <v>18</v>
      </c>
      <c r="B29" s="6" t="n">
        <v>103552.3413162795</v>
      </c>
      <c r="C29" s="9">
        <f si="0" t="shared"/>
        <v>8.3280003089701821E-2</v>
      </c>
      <c r="E29" s="371">
        <v>18</v>
      </c>
      <c r="F29" s="371" t="n">
        <v>140505.2172363219</v>
      </c>
      <c r="G29" s="9">
        <f si="1" t="shared"/>
        <v>0.10878355462037179</v>
      </c>
    </row>
    <row r="30" spans="1:7" x14ac:dyDescent="0.25">
      <c r="A30">
        <v>19</v>
      </c>
      <c r="B30" s="6" t="n">
        <v>41570.2531289806</v>
      </c>
      <c r="C30" s="9">
        <f si="0" t="shared"/>
        <v>3.3432086276516983E-2</v>
      </c>
      <c r="E30" s="371">
        <v>19</v>
      </c>
      <c r="F30" s="371" t="n">
        <v>44730.240979528135</v>
      </c>
      <c r="G30" s="9">
        <f si="1" t="shared"/>
        <v>3.3275857191580181E-2</v>
      </c>
    </row>
    <row r="31" spans="1:7" x14ac:dyDescent="0.25">
      <c r="A31">
        <v>20</v>
      </c>
      <c r="B31" s="6" t="n">
        <v>70021.0922291854</v>
      </c>
      <c r="C31" s="9">
        <f si="0" t="shared"/>
        <v>5.6313133079049997E-2</v>
      </c>
      <c r="E31" s="371">
        <v>20</v>
      </c>
      <c r="F31" s="371" t="n">
        <v>39082.227426144185</v>
      </c>
      <c r="G31" s="9">
        <f si="1" t="shared"/>
        <v>2.9940946928571008E-2</v>
      </c>
    </row>
    <row r="32" spans="1:7" x14ac:dyDescent="0.25">
      <c r="A32">
        <v>21</v>
      </c>
      <c r="B32" s="6" t="n">
        <v>71969.4357187571</v>
      </c>
      <c r="C32" s="9">
        <f si="0" t="shared"/>
        <v>5.7880051313527657E-2</v>
      </c>
      <c r="E32" s="371">
        <v>21</v>
      </c>
      <c r="F32" s="371" t="n">
        <v>54827.31934169866</v>
      </c>
      <c r="G32" s="9">
        <f si="1" t="shared"/>
        <v>4.4680575524909387E-2</v>
      </c>
    </row>
    <row r="33" spans="1:7" x14ac:dyDescent="0.25">
      <c r="A33">
        <v>22</v>
      </c>
      <c r="B33" s="6" t="n">
        <v>53096.8992932809</v>
      </c>
      <c r="C33" s="9">
        <f si="0" t="shared"/>
        <v>4.2702172456846703E-2</v>
      </c>
      <c r="E33" s="371">
        <v>22</v>
      </c>
      <c r="F33" s="371" t="n">
        <v>50923.49213953643</v>
      </c>
      <c r="G33" s="9">
        <f si="1" t="shared"/>
        <v>3.6508913932138384E-2</v>
      </c>
    </row>
    <row r="34" spans="1:7" x14ac:dyDescent="0.25">
      <c r="A34">
        <v>23</v>
      </c>
      <c r="B34" s="6" t="n">
        <v>30341.0556983332</v>
      </c>
      <c r="C34" s="9">
        <f si="0" t="shared"/>
        <v>2.4401217588933103E-2</v>
      </c>
      <c r="E34" s="371">
        <v>23</v>
      </c>
      <c r="F34" s="371" t="n">
        <v>39410.46228637834</v>
      </c>
      <c r="G34" s="9">
        <f si="1" t="shared"/>
        <v>2.7881779051456525E-2</v>
      </c>
    </row>
    <row r="35" spans="1:7" x14ac:dyDescent="0.25">
      <c r="A35">
        <v>24</v>
      </c>
      <c r="B35" s="6" t="n">
        <v>49422.4163759885</v>
      </c>
      <c r="C35" s="9">
        <f si="0" t="shared"/>
        <v>3.9747039382930782E-2</v>
      </c>
      <c r="E35" s="371">
        <v>24</v>
      </c>
      <c r="F35" s="371" t="n">
        <v>34468.0834553934</v>
      </c>
      <c r="G35" s="9">
        <f si="1" t="shared"/>
        <v>2.7009613688520926E-2</v>
      </c>
    </row>
    <row r="36" spans="1:7" x14ac:dyDescent="0.25">
      <c r="A36">
        <v>25</v>
      </c>
      <c r="B36" s="6" t="n">
        <v>49744.7315411318</v>
      </c>
      <c r="C36" s="9">
        <f si="0" t="shared"/>
        <v>4.0006255230759923E-2</v>
      </c>
      <c r="E36" s="371">
        <v>25</v>
      </c>
      <c r="F36" s="371" t="n">
        <v>28151.06558497352</v>
      </c>
      <c r="G36" s="9">
        <f si="1" t="shared"/>
        <v>2.0276660989862423E-2</v>
      </c>
    </row>
    <row r="37" spans="1:7" x14ac:dyDescent="0.25">
      <c r="A37">
        <v>26</v>
      </c>
      <c r="B37" s="6" t="n">
        <v>68052.1354641265</v>
      </c>
      <c r="C37" s="9">
        <f si="0" t="shared"/>
        <v>5.4729637009397973E-2</v>
      </c>
      <c r="E37" s="371">
        <v>26</v>
      </c>
      <c r="F37" s="371" t="n">
        <v>25861.591607047474</v>
      </c>
      <c r="G37" s="9">
        <f si="1" t="shared"/>
        <v>2.1305845285667785E-2</v>
      </c>
    </row>
    <row r="38" spans="1:7" x14ac:dyDescent="0.25">
      <c r="A38">
        <v>27</v>
      </c>
      <c r="B38" s="6" t="n">
        <v>15320.281746426599</v>
      </c>
      <c r="C38" s="9">
        <f si="0" t="shared"/>
        <v>1.2321045521130376E-2</v>
      </c>
      <c r="E38" s="371">
        <v>27</v>
      </c>
      <c r="F38" s="371" t="n">
        <v>18708.99912061611</v>
      </c>
      <c r="G38" s="9">
        <f si="1" t="shared"/>
        <v>1.3747723011047311E-2</v>
      </c>
    </row>
    <row r="39" spans="1:7" x14ac:dyDescent="0.25">
      <c r="A39">
        <v>28</v>
      </c>
      <c r="B39" s="6" t="n">
        <v>36574.7358172345</v>
      </c>
      <c r="C39" s="9">
        <f si="0" t="shared"/>
        <v>2.9414536389487336E-2</v>
      </c>
      <c r="E39" s="371">
        <v>28</v>
      </c>
      <c r="F39" s="371" t="n">
        <v>20639.71875314755</v>
      </c>
      <c r="G39" s="9">
        <f si="1" t="shared"/>
        <v>1.5016675531336987E-2</v>
      </c>
    </row>
    <row r="40" spans="1:7" x14ac:dyDescent="0.25">
      <c r="A40">
        <v>29</v>
      </c>
      <c r="B40" s="6" t="n">
        <v>35161.0764728262</v>
      </c>
      <c r="C40" s="9">
        <f si="0" t="shared"/>
        <v>2.8277627720174611E-2</v>
      </c>
      <c r="E40" s="371">
        <v>29</v>
      </c>
      <c r="F40" s="371" t="n">
        <v>25076.49016857615</v>
      </c>
      <c r="G40" s="9">
        <f si="1" t="shared"/>
        <v>1.4348613531864698E-2</v>
      </c>
    </row>
    <row r="41" spans="1:7" x14ac:dyDescent="0.25">
      <c r="A41">
        <v>30</v>
      </c>
      <c r="B41" s="6" t="n">
        <v>13374.6339022859</v>
      </c>
      <c r="C41" s="9">
        <f si="0" t="shared"/>
        <v>1.0756295208275443E-2</v>
      </c>
      <c r="E41" s="371">
        <v>30</v>
      </c>
      <c r="F41" s="371" t="n">
        <v>17698.320640747123</v>
      </c>
      <c r="G41" s="9">
        <f si="1" t="shared"/>
        <v>1.6463672223811131E-2</v>
      </c>
    </row>
    <row r="42" spans="1:7" x14ac:dyDescent="0.25">
      <c r="A42">
        <v>31</v>
      </c>
      <c r="B42" s="6" t="n">
        <v>15754.3258050098</v>
      </c>
      <c r="C42" s="9">
        <f si="0" t="shared"/>
        <v>1.2670117208746509E-2</v>
      </c>
      <c r="E42" s="371">
        <v>31</v>
      </c>
      <c r="F42" s="371" t="n">
        <v>15914.694952550632</v>
      </c>
      <c r="G42" s="9">
        <f si="1" t="shared"/>
        <v>1.0798564660132078E-2</v>
      </c>
    </row>
    <row r="43" spans="1:7" x14ac:dyDescent="0.25">
      <c r="A43">
        <v>32</v>
      </c>
      <c r="B43" s="6" t="n">
        <v>11668.721304254</v>
      </c>
      <c r="C43" s="9">
        <f si="0" t="shared"/>
        <v>9.3843474123203631E-3</v>
      </c>
      <c r="E43" s="371">
        <v>32</v>
      </c>
      <c r="F43" s="371" t="n">
        <v>11902.936746499267</v>
      </c>
      <c r="G43" s="9">
        <f si="1" t="shared"/>
        <v>1.0985716828068417E-2</v>
      </c>
    </row>
    <row r="44" spans="1:7" x14ac:dyDescent="0.25">
      <c r="A44">
        <v>33</v>
      </c>
      <c r="B44" s="6" t="n">
        <v>11849.0646945744</v>
      </c>
      <c r="C44" s="9">
        <f si="0" t="shared"/>
        <v>9.5293851576014436E-3</v>
      </c>
      <c r="E44" s="371">
        <v>33</v>
      </c>
      <c r="F44" s="371" t="n">
        <v>15741.593498226923</v>
      </c>
      <c r="G44" s="9">
        <f si="1" t="shared"/>
        <v>1.3309872161969822E-2</v>
      </c>
    </row>
    <row r="45" spans="1:7" x14ac:dyDescent="0.25">
      <c r="A45">
        <v>34</v>
      </c>
      <c r="B45" s="6" t="n">
        <v>23530.5115890691</v>
      </c>
      <c r="C45" s="9">
        <f si="0" t="shared"/>
        <v>1.8923966884096578E-2</v>
      </c>
      <c r="E45" s="371">
        <v>34</v>
      </c>
      <c r="F45" s="371" t="n">
        <v>18547.288023224464</v>
      </c>
      <c r="G45" s="9">
        <f si="1" t="shared"/>
        <v>1.4097615864162569E-2</v>
      </c>
    </row>
    <row r="46" spans="1:7" x14ac:dyDescent="0.25">
      <c r="A46">
        <v>35</v>
      </c>
      <c r="B46" s="6" t="n">
        <v>5695.0917906069</v>
      </c>
      <c r="C46" s="9">
        <f si="0" t="shared"/>
        <v>4.5801693702826511E-3</v>
      </c>
      <c r="E46" s="371">
        <v>35</v>
      </c>
      <c r="F46" s="371" t="n">
        <v>12726.513097843472</v>
      </c>
      <c r="G46" s="9">
        <f si="1" t="shared"/>
        <v>9.8208662389570565E-3</v>
      </c>
    </row>
    <row r="47" spans="1:7" x14ac:dyDescent="0.25">
      <c r="A47">
        <v>36</v>
      </c>
      <c r="B47" s="6" t="n">
        <v>8840.319108272899</v>
      </c>
      <c r="C47" s="9">
        <f si="0" t="shared"/>
        <v>7.1096586836436439E-3</v>
      </c>
      <c r="E47" s="371">
        <v>36</v>
      </c>
      <c r="F47" s="371" t="n">
        <v>8729.447148354695</v>
      </c>
      <c r="G47" s="9">
        <f si="1" t="shared"/>
        <v>7.7006540410756476E-3</v>
      </c>
    </row>
    <row r="48" spans="1:7" x14ac:dyDescent="0.25">
      <c r="A48">
        <v>37</v>
      </c>
      <c r="B48" s="6" t="n">
        <v>13417.1450114356</v>
      </c>
      <c r="C48" s="9">
        <f si="0" t="shared"/>
        <v>1.0790483960131091E-2</v>
      </c>
      <c r="E48" s="371">
        <v>37</v>
      </c>
      <c r="F48" s="371" t="n">
        <v>9056.053336460676</v>
      </c>
      <c r="G48" s="9">
        <f si="1" t="shared"/>
        <v>5.6995956626695763E-3</v>
      </c>
    </row>
    <row r="49" spans="1:7" x14ac:dyDescent="0.25">
      <c r="A49">
        <v>38</v>
      </c>
      <c r="B49" s="6" t="n">
        <v>10524.5438093544</v>
      </c>
      <c r="C49" s="9">
        <f si="0" t="shared"/>
        <v>8.4641644005295329E-3</v>
      </c>
      <c r="E49" s="371">
        <v>38</v>
      </c>
      <c r="F49" s="371" t="n">
        <v>9663.766586711123</v>
      </c>
      <c r="G49" s="9">
        <f si="1" t="shared"/>
        <v>6.7691914375374619E-3</v>
      </c>
    </row>
    <row r="50" spans="1:7" x14ac:dyDescent="0.25">
      <c r="A50">
        <v>39</v>
      </c>
      <c r="B50" s="6" t="n">
        <v>8018.5525139096</v>
      </c>
      <c r="C50" s="9">
        <f si="0" t="shared"/>
        <v>6.4487685130528768E-3</v>
      </c>
      <c r="E50" s="371">
        <v>39</v>
      </c>
      <c r="F50" s="371" t="n">
        <v>9043.683986647933</v>
      </c>
      <c r="G50" s="9">
        <f si="1" t="shared"/>
        <v>8.8910463920573325E-3</v>
      </c>
    </row>
    <row r="51" spans="1:7" x14ac:dyDescent="0.25">
      <c r="A51">
        <v>40</v>
      </c>
      <c r="B51" s="6" t="n">
        <v>3963.915382048</v>
      </c>
      <c r="C51" s="9">
        <f si="0" t="shared"/>
        <v>3.1879036347039745E-3</v>
      </c>
      <c r="E51" s="371">
        <v>40</v>
      </c>
      <c r="F51" s="371" t="n">
        <v>9308.716622709098</v>
      </c>
      <c r="G51" s="9">
        <f si="1" t="shared"/>
        <v>7.8175740581838144E-3</v>
      </c>
    </row>
    <row r="52" spans="1:7" x14ac:dyDescent="0.25">
      <c r="A52">
        <v>41</v>
      </c>
      <c r="B52" s="6" t="n">
        <v>5150.0373927865</v>
      </c>
      <c r="C52" s="9">
        <f si="0" t="shared"/>
        <v>4.1418197264450731E-3</v>
      </c>
      <c r="E52" s="371">
        <v>41</v>
      </c>
      <c r="F52" s="371" t="n">
        <v>5880.342813989644</v>
      </c>
      <c r="G52" s="9">
        <f si="1" t="shared"/>
        <v>4.0153728206167227E-3</v>
      </c>
    </row>
    <row r="53" spans="1:7" x14ac:dyDescent="0.25">
      <c r="A53">
        <v>42</v>
      </c>
      <c r="B53" s="6" t="n">
        <v>4159.499616987</v>
      </c>
      <c r="C53" s="9">
        <f si="0" t="shared"/>
        <v>3.3451985397053761E-3</v>
      </c>
      <c r="E53" s="371">
        <v>42</v>
      </c>
      <c r="F53" s="371" t="n">
        <v>7122.11352236719</v>
      </c>
      <c r="G53" s="9">
        <f si="1" t="shared"/>
        <v>4.139939127225602E-3</v>
      </c>
    </row>
    <row r="54" spans="1:7" x14ac:dyDescent="0.25">
      <c r="A54">
        <v>43</v>
      </c>
      <c r="B54" s="6" t="n">
        <v>1974.1526066899</v>
      </c>
      <c r="C54" s="9">
        <f si="0" t="shared"/>
        <v>1.587674726566817E-3</v>
      </c>
      <c r="E54" s="371">
        <v>43</v>
      </c>
      <c r="F54" s="371" t="n">
        <v>5531.322858593408</v>
      </c>
      <c r="G54" s="9">
        <f si="1" t="shared"/>
        <v>4.6655191456588174E-3</v>
      </c>
    </row>
    <row r="55" spans="1:7" x14ac:dyDescent="0.25">
      <c r="A55">
        <v>44</v>
      </c>
      <c r="B55" s="6" t="n">
        <v>5666.177239367</v>
      </c>
      <c r="C55" s="9">
        <f si="0" t="shared"/>
        <v>4.556915391801938E-3</v>
      </c>
      <c r="E55" s="371">
        <v>44</v>
      </c>
      <c r="F55" s="371" t="n">
        <v>6723.7316316943015</v>
      </c>
      <c r="G55" s="9">
        <f si="1" t="shared"/>
        <v>4.702654189919794E-3</v>
      </c>
    </row>
    <row r="56" spans="1:7" x14ac:dyDescent="0.25">
      <c r="A56">
        <v>45</v>
      </c>
      <c r="B56" s="6" t="n">
        <v>60805.3532925623</v>
      </c>
      <c r="C56" s="9">
        <f si="0" t="shared"/>
        <v>4.8901550131140357E-2</v>
      </c>
      <c r="E56" s="371">
        <v>45</v>
      </c>
      <c r="F56" s="371" t="n">
        <v>5134.244398866627</v>
      </c>
      <c r="G56" s="9">
        <f si="1" t="shared"/>
        <v>3.6761810049990014E-3</v>
      </c>
    </row>
    <row r="57" spans="1:7" x14ac:dyDescent="0.25">
      <c r="A57">
        <v>46</v>
      </c>
      <c r="B57" s="6" t="n">
        <v>5223.5974528909</v>
      </c>
      <c r="C57" s="9">
        <f si="0" t="shared"/>
        <v>4.2009790072001282E-3</v>
      </c>
      <c r="E57" s="371">
        <v>46</v>
      </c>
      <c r="F57" s="371" t="n">
        <v>4203.307917562712</v>
      </c>
      <c r="G57" s="9">
        <f si="1" t="shared"/>
        <v>4.3555708577567949E-3</v>
      </c>
    </row>
    <row r="58" spans="1:7" x14ac:dyDescent="0.25">
      <c r="A58">
        <v>47</v>
      </c>
      <c r="B58" s="6" t="n">
        <v>1079.5162234178001</v>
      </c>
      <c r="C58" s="9">
        <f si="0" t="shared"/>
        <v>8.6818041271543981E-4</v>
      </c>
      <c r="E58" s="371">
        <v>47</v>
      </c>
      <c r="F58" s="371" t="n">
        <v>3721.921523213415</v>
      </c>
      <c r="G58" s="9">
        <f si="1" t="shared"/>
        <v>2.7552505446187038E-3</v>
      </c>
    </row>
    <row r="59" spans="1:7" x14ac:dyDescent="0.25">
      <c r="A59">
        <v>48</v>
      </c>
      <c r="B59" s="6" t="n">
        <v>7816.9410410554</v>
      </c>
      <c r="C59" s="9">
        <f si="0" t="shared"/>
        <v>6.2866263164710065E-3</v>
      </c>
      <c r="E59" s="371">
        <v>48</v>
      </c>
      <c r="F59" s="371" t="n">
        <v>4119.163548080999</v>
      </c>
      <c r="G59" s="9">
        <f si="1" t="shared"/>
        <v>2.9274133623894329E-3</v>
      </c>
    </row>
    <row r="60" spans="1:7" x14ac:dyDescent="0.25">
      <c r="A60">
        <v>49</v>
      </c>
      <c r="B60" s="6" t="n">
        <v>2959.4788009108</v>
      </c>
      <c r="C60" s="9">
        <f si="0" t="shared"/>
        <v>2.3801045978379199E-3</v>
      </c>
      <c r="E60" s="371">
        <v>49</v>
      </c>
      <c r="F60" s="371" t="n">
        <v>4319.493070347296</v>
      </c>
      <c r="G60" s="9">
        <f si="1" t="shared"/>
        <v>3.34532471585502E-3</v>
      </c>
    </row>
    <row r="61" spans="1:7" x14ac:dyDescent="0.25">
      <c r="A61">
        <v>50</v>
      </c>
      <c r="B61" s="6" t="n">
        <v>324.775829405</v>
      </c>
      <c r="C61" s="9">
        <f si="0" t="shared"/>
        <v>2.6119479031090485E-4</v>
      </c>
      <c r="E61" s="371">
        <v>50</v>
      </c>
      <c r="F61" s="371" t="n">
        <v>2454.1878399182333</v>
      </c>
      <c r="G61" s="9">
        <f si="1" t="shared"/>
        <v>2.4396742743050489E-3</v>
      </c>
    </row>
    <row r="62" spans="1:7" x14ac:dyDescent="0.25">
      <c r="A62">
        <v>51</v>
      </c>
      <c r="B62" s="6" t="n">
        <v>3048.658339682</v>
      </c>
      <c r="C62" s="9">
        <f si="0" t="shared"/>
        <v>2.4518255475528073E-3</v>
      </c>
      <c r="E62" s="371">
        <v>51</v>
      </c>
      <c r="F62" s="371" t="n">
        <v>2991.9349119932804</v>
      </c>
      <c r="G62" s="9">
        <f si="1" t="shared"/>
        <v>2.4186697414638092E-3</v>
      </c>
    </row>
    <row r="63" spans="1:7" x14ac:dyDescent="0.25">
      <c r="A63">
        <v>52</v>
      </c>
      <c r="B63" s="6" t="n">
        <v>918.2951712859999</v>
      </c>
      <c r="C63" s="9">
        <f si="0" t="shared"/>
        <v>7.3852144461299173E-4</v>
      </c>
      <c r="E63" s="371">
        <v>52</v>
      </c>
      <c r="F63" s="371" t="n">
        <v>2543.6789508473007</v>
      </c>
      <c r="G63" s="9">
        <f si="1" t="shared"/>
        <v>1.7025642940451456E-3</v>
      </c>
    </row>
    <row r="64" spans="1:7" x14ac:dyDescent="0.25">
      <c r="A64">
        <v>53</v>
      </c>
      <c r="B64" s="6" t="n">
        <v>1326.9797182303</v>
      </c>
      <c r="C64" s="9">
        <f si="0" t="shared"/>
        <v>1.0671982268045308E-3</v>
      </c>
      <c r="E64" s="371">
        <v>53</v>
      </c>
      <c r="F64" s="371" t="n">
        <v>2624.868942652505</v>
      </c>
      <c r="G64" s="9">
        <f si="1" t="shared"/>
        <v>1.9703976948380617E-3</v>
      </c>
    </row>
    <row r="65" spans="1:7" x14ac:dyDescent="0.25">
      <c r="A65">
        <v>54</v>
      </c>
      <c r="B65" s="6" t="n">
        <v>1218.2238847201002</v>
      </c>
      <c r="C65" s="9">
        <f si="0" t="shared"/>
        <v>9.7973341398017153E-4</v>
      </c>
      <c r="E65" s="371">
        <v>54</v>
      </c>
      <c r="F65" s="371" t="n">
        <v>1807.592437762004</v>
      </c>
      <c r="G65" s="9">
        <f si="1" t="shared"/>
        <v>1.482827132612241E-3</v>
      </c>
    </row>
    <row r="66" spans="1:7" x14ac:dyDescent="0.25">
      <c r="A66">
        <v>55</v>
      </c>
      <c r="B66" s="6" t="n">
        <v>2253.5468855520003</v>
      </c>
      <c r="C66" s="9">
        <f si="0" t="shared"/>
        <v>1.8123722670677458E-3</v>
      </c>
      <c r="E66" s="371">
        <v>55</v>
      </c>
      <c r="F66" s="371" t="n">
        <v>1787.0864039518733</v>
      </c>
      <c r="G66" s="9">
        <f si="1" t="shared"/>
        <v>2.2014915222373947E-3</v>
      </c>
    </row>
    <row r="67" spans="1:7" x14ac:dyDescent="0.25">
      <c r="A67">
        <v>56</v>
      </c>
      <c r="B67" s="6" t="n">
        <v>68.8733229496</v>
      </c>
      <c r="C67" s="9">
        <f si="0" t="shared"/>
        <v>5.5390061442666733E-5</v>
      </c>
      <c r="E67" s="371">
        <v>56</v>
      </c>
      <c r="F67" s="371" t="n">
        <v>2198.731496156574</v>
      </c>
      <c r="G67" s="9">
        <f si="1" t="shared"/>
        <v>1.5313601281292369E-3</v>
      </c>
    </row>
    <row r="68" spans="1:7" x14ac:dyDescent="0.25">
      <c r="A68">
        <v>57</v>
      </c>
      <c r="B68" s="6" t="n">
        <v>5831.556239654</v>
      </c>
      <c r="C68" s="9">
        <f si="0" t="shared"/>
        <v>4.6899183107104257E-3</v>
      </c>
      <c r="E68" s="371">
        <v>57</v>
      </c>
      <c r="F68" s="371" t="n">
        <v>1594.9341559097688</v>
      </c>
      <c r="G68" s="9">
        <f si="1" t="shared"/>
        <v>1.4543922904726968E-3</v>
      </c>
    </row>
    <row r="69" spans="1:7" x14ac:dyDescent="0.25">
      <c r="A69">
        <v>58</v>
      </c>
      <c r="B69" s="6" t="n">
        <v>1680.9734764976001</v>
      </c>
      <c r="C69" s="9">
        <f si="0" t="shared"/>
        <v>1.3518909812850251E-3</v>
      </c>
      <c r="E69" s="371">
        <v>58</v>
      </c>
      <c r="F69" s="371" t="n">
        <v>2724.8062742777965</v>
      </c>
      <c r="G69" s="9">
        <f si="1" t="shared"/>
        <v>1.184416924903771E-3</v>
      </c>
    </row>
    <row r="70" spans="1:7" x14ac:dyDescent="0.25">
      <c r="A70">
        <v>59</v>
      </c>
      <c r="B70" s="6" t="n">
        <v>1054.82463615</v>
      </c>
      <c r="C70" s="9">
        <f si="0" t="shared"/>
        <v>8.4832267277625841E-4</v>
      </c>
      <c r="E70" s="371">
        <v>59</v>
      </c>
      <c r="F70" s="371" t="n">
        <v>1514.037968195091</v>
      </c>
      <c r="G70" s="9">
        <f si="1" t="shared"/>
        <v>1.1758300577743807E-3</v>
      </c>
    </row>
    <row r="71" spans="1:7" x14ac:dyDescent="0.25">
      <c r="A71">
        <v>60</v>
      </c>
      <c r="B71" s="6" t="n">
        <v>1759.1357199610002</v>
      </c>
      <c r="C71" s="9">
        <f si="0" t="shared"/>
        <v>1.4147514805686529E-3</v>
      </c>
      <c r="E71" s="371">
        <v>60</v>
      </c>
      <c r="F71" s="371" t="n">
        <v>1246.7544710119073</v>
      </c>
      <c r="G71" s="9">
        <f si="1" t="shared"/>
        <v>1.0590863762960398E-3</v>
      </c>
    </row>
    <row r="72" spans="1:7" x14ac:dyDescent="0.25">
      <c r="A72">
        <v>61</v>
      </c>
      <c r="B72" s="6" t="n">
        <v>5521.870757824</v>
      </c>
      <c r="C72" s="9">
        <f si="0" t="shared"/>
        <v>4.4408596457318518E-3</v>
      </c>
      <c r="E72" s="371">
        <v>61</v>
      </c>
      <c r="F72" s="371" t="n">
        <v>963.5008965512943</v>
      </c>
      <c r="G72" s="9">
        <f si="1" t="shared"/>
        <v>6.9087692890547065E-4</v>
      </c>
    </row>
    <row r="73" spans="1:7" x14ac:dyDescent="0.25">
      <c r="A73">
        <v>62</v>
      </c>
      <c r="B73" s="6" t="n">
        <v>1229.465098057</v>
      </c>
      <c r="C73" s="9">
        <f si="0" t="shared"/>
        <v>9.8877394623206609E-4</v>
      </c>
      <c r="E73" s="371">
        <v>62</v>
      </c>
      <c r="F73" s="371" t="n">
        <v>1085.7507709062747</v>
      </c>
      <c r="G73" s="9">
        <f si="1" t="shared"/>
        <v>8.1638402036531346E-4</v>
      </c>
    </row>
    <row r="74" spans="1:7" x14ac:dyDescent="0.25">
      <c r="A74">
        <v>63</v>
      </c>
      <c r="B74" s="6" t="n">
        <v>122.959794439</v>
      </c>
      <c r="C74" s="9">
        <f si="0" t="shared"/>
        <v>9.8888078537140447E-5</v>
      </c>
      <c r="E74" s="371">
        <v>63</v>
      </c>
      <c r="F74" s="371" t="n">
        <v>779.813835350533</v>
      </c>
      <c r="G74" s="9">
        <f si="1" t="shared"/>
        <v>7.2008622667545758E-4</v>
      </c>
    </row>
    <row r="75" spans="1:7" x14ac:dyDescent="0.25">
      <c r="A75">
        <v>64</v>
      </c>
      <c r="B75" s="6" t="n">
        <v>1118.42644497</v>
      </c>
      <c r="C75" s="9">
        <f si="0" t="shared"/>
        <v>8.9947321913486111E-4</v>
      </c>
      <c r="E75" s="371">
        <v>64</v>
      </c>
      <c r="F75" s="371" t="n">
        <v>830.403527078283</v>
      </c>
      <c r="G75" s="9">
        <f si="1" t="shared"/>
        <v>9.0598288343338911E-4</v>
      </c>
    </row>
    <row r="76" spans="1:7" x14ac:dyDescent="0.25">
      <c r="A76">
        <v>65</v>
      </c>
      <c r="B76" s="6" t="n">
        <v>400.04927174700003</v>
      </c>
      <c r="C76" s="9">
        <f si="0" t="shared"/>
        <v>3.2173202617762043E-4</v>
      </c>
      <c r="E76" s="371">
        <v>65</v>
      </c>
      <c r="F76" s="371" t="n">
        <v>762.0581747629782</v>
      </c>
      <c r="G76" s="9">
        <f si="1" t="shared"/>
        <v>5.3255325151264704E-4</v>
      </c>
    </row>
    <row r="77" spans="1:7" x14ac:dyDescent="0.25">
      <c r="A77">
        <v>66</v>
      </c>
      <c r="B77" s="6" t="n">
        <v>466.560819543</v>
      </c>
      <c r="C77" s="9">
        <f ref="C77:C102" si="2" t="shared">B77/B$102</f>
        <v>3.7522267482489467E-4</v>
      </c>
      <c r="E77" s="371">
        <v>66</v>
      </c>
      <c r="F77" s="371" t="n">
        <v>835.148791260848</v>
      </c>
      <c r="G77" s="9">
        <f ref="G77:G102" si="3" t="shared">F77/F$102</f>
        <v>6.0454422738580565E-4</v>
      </c>
    </row>
    <row r="78" spans="1:7" x14ac:dyDescent="0.25">
      <c r="A78">
        <v>67</v>
      </c>
      <c r="B78" s="6" t="n">
        <v>1515.945734731</v>
      </c>
      <c r="C78" s="9">
        <f si="2" t="shared"/>
        <v>1.2191705553679304E-3</v>
      </c>
      <c r="E78" s="371">
        <v>67</v>
      </c>
      <c r="F78" s="371" t="n">
        <v>652.9091393199731</v>
      </c>
      <c r="G78" s="9">
        <f si="3" t="shared"/>
        <v>4.7966874593545727E-4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889.844736327734</v>
      </c>
      <c r="G79" s="9">
        <f si="3" t="shared"/>
        <v>5.49218975493078E-4</v>
      </c>
    </row>
    <row r="80" spans="1:7" x14ac:dyDescent="0.25">
      <c r="A80">
        <v>69</v>
      </c>
      <c r="B80" s="6" t="n">
        <v>561.315777145</v>
      </c>
      <c r="C80" s="9">
        <f si="2" t="shared"/>
        <v>4.5142754920583295E-4</v>
      </c>
      <c r="E80" s="371">
        <v>69</v>
      </c>
      <c r="F80" s="371" t="n">
        <v>697.7754916783357</v>
      </c>
      <c r="G80" s="9">
        <f si="3" t="shared"/>
        <v>5.50745124347268E-4</v>
      </c>
    </row>
    <row r="81" spans="1:7" x14ac:dyDescent="0.25">
      <c r="A81">
        <v>70</v>
      </c>
      <c r="B81" s="6" t="n">
        <v>636.3466766844</v>
      </c>
      <c r="C81" s="9">
        <f si="2" t="shared"/>
        <v>5.1176972463168205E-4</v>
      </c>
      <c r="E81" s="371">
        <v>70</v>
      </c>
      <c r="F81" s="371" t="n">
        <v>502.0439277753862</v>
      </c>
      <c r="G81" s="9">
        <f si="3" t="shared"/>
        <v>4.0863932120673913E-4</v>
      </c>
    </row>
    <row r="82" spans="1:7" x14ac:dyDescent="0.25">
      <c r="A82">
        <v>71</v>
      </c>
      <c r="B82" s="6" t="n">
        <v>422.35595372</v>
      </c>
      <c r="C82" s="9">
        <f si="2" t="shared"/>
        <v>3.3967175134480391E-4</v>
      </c>
      <c r="E82" s="371">
        <v>71</v>
      </c>
      <c r="F82" s="371" t="n">
        <v>509.29728088237573</v>
      </c>
      <c r="G82" s="9">
        <f si="3" t="shared"/>
        <v>7.1413349438953738E-4</v>
      </c>
    </row>
    <row r="83" spans="1:7" x14ac:dyDescent="0.25">
      <c r="A83">
        <v>72</v>
      </c>
      <c r="B83" s="6" t="n">
        <v>5978.151532144</v>
      </c>
      <c r="C83" s="9">
        <f si="2" t="shared"/>
        <v>4.8078147894990101E-3</v>
      </c>
      <c r="E83" s="371">
        <v>72</v>
      </c>
      <c r="F83" s="371" t="n">
        <v>471.03171042466323</v>
      </c>
      <c r="G83" s="9">
        <f si="3" t="shared"/>
        <v>4.3397257811784887E-4</v>
      </c>
    </row>
    <row r="84" spans="1:7" x14ac:dyDescent="0.25">
      <c r="A84">
        <v>73</v>
      </c>
      <c r="B84" s="6" t="n">
        <v>65.7862003602</v>
      </c>
      <c r="C84" s="9">
        <f si="2" t="shared"/>
        <v>5.2907301753069045E-5</v>
      </c>
      <c r="E84" s="371">
        <v>73</v>
      </c>
      <c r="F84" s="371" t="n">
        <v>1018.9095530673812</v>
      </c>
      <c r="G84" s="9">
        <f si="3" t="shared"/>
        <v>3.2957092370672884E-4</v>
      </c>
    </row>
    <row r="85" spans="1:7" x14ac:dyDescent="0.25">
      <c r="A85">
        <v>74</v>
      </c>
      <c r="B85" s="6" t="n">
        <v>411.770390229</v>
      </c>
      <c r="C85" s="9">
        <f si="2" t="shared"/>
        <v>3.3115851302463738E-4</v>
      </c>
      <c r="E85" s="371">
        <v>74</v>
      </c>
      <c r="F85" s="371" t="n">
        <v>723.7085224799027</v>
      </c>
      <c r="G85" s="9">
        <f si="3" t="shared"/>
        <v>2.470349966483328E-4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373.34953137955694</v>
      </c>
      <c r="G86" s="9">
        <f si="3" t="shared"/>
        <v>3.4106297136356049E-4</v>
      </c>
    </row>
    <row r="87" spans="1:7" x14ac:dyDescent="0.25">
      <c r="A87">
        <v>76</v>
      </c>
      <c r="B87" s="6" t="n">
        <v>2655.91924548</v>
      </c>
      <c r="C87" s="9">
        <f si="2" t="shared"/>
        <v>2.1359725927780674E-3</v>
      </c>
      <c r="E87" s="371">
        <v>76</v>
      </c>
      <c r="F87" s="371" t="n">
        <v>795.3979264498016</v>
      </c>
      <c r="G87" s="9">
        <f si="3" t="shared"/>
        <v>2.8739507553635459E-4</v>
      </c>
    </row>
    <row r="88" spans="1:7" x14ac:dyDescent="0.25">
      <c r="A88">
        <v>77</v>
      </c>
      <c r="B88" s="6" t="n">
        <v>808.1524794</v>
      </c>
      <c r="C88" s="9">
        <f si="2" t="shared"/>
        <v>6.4994127728912549E-4</v>
      </c>
      <c r="E88" s="371">
        <v>77</v>
      </c>
      <c r="F88" s="371" t="n">
        <v>280.7111965746109</v>
      </c>
      <c r="G88" s="9">
        <f si="3" t="shared"/>
        <v>2.4379599971816366E-4</v>
      </c>
    </row>
    <row r="89" spans="1:7" x14ac:dyDescent="0.25">
      <c r="A89">
        <v>78</v>
      </c>
      <c r="B89" s="6" t="n">
        <v>256.371317496</v>
      </c>
      <c r="C89" s="9">
        <f si="2" t="shared"/>
        <v>2.0618176124059562E-4</v>
      </c>
      <c r="E89" s="371">
        <v>78</v>
      </c>
      <c r="F89" s="371" t="n">
        <v>337.36110061682984</v>
      </c>
      <c r="G89" s="9">
        <f si="3" t="shared"/>
        <v>2.7514044360363847E-4</v>
      </c>
    </row>
    <row r="90" spans="1:7" x14ac:dyDescent="0.25">
      <c r="A90">
        <v>79</v>
      </c>
      <c r="B90" s="6" t="n">
        <v>256.371317496</v>
      </c>
      <c r="C90" s="9">
        <f si="2" t="shared"/>
        <v>2.0618176124059562E-4</v>
      </c>
      <c r="E90" s="371">
        <v>79</v>
      </c>
      <c r="F90" s="371" t="n">
        <v>512.7971006763862</v>
      </c>
      <c r="G90" s="9">
        <f si="3" t="shared"/>
        <v>2.5200234991019764E-4</v>
      </c>
    </row>
    <row r="91" spans="1:7" x14ac:dyDescent="0.25">
      <c r="A91">
        <v>80</v>
      </c>
      <c r="B91" s="6" t="n">
        <v>1593.262710215</v>
      </c>
      <c r="C91" s="9">
        <f si="2" t="shared"/>
        <v>1.2813512639385598E-3</v>
      </c>
      <c r="E91" s="371">
        <v>80</v>
      </c>
      <c r="F91" s="371" t="n">
        <v>607.7067100476872</v>
      </c>
      <c r="G91" s="9">
        <f si="3" t="shared"/>
        <v>2.4000665666421291E-4</v>
      </c>
    </row>
    <row r="92" spans="1:7" x14ac:dyDescent="0.25">
      <c r="A92">
        <v>81</v>
      </c>
      <c r="B92" s="6" t="n">
        <v>554.661229397</v>
      </c>
      <c r="C92" s="9">
        <f si="2" t="shared"/>
        <v>4.4607575561073364E-4</v>
      </c>
      <c r="E92" s="371">
        <v>81</v>
      </c>
      <c r="F92" s="371" t="n">
        <v>543.4569338667336</v>
      </c>
      <c r="G92" s="9">
        <f si="3" t="shared"/>
        <v>2.3481289278482639E-4</v>
      </c>
    </row>
    <row r="93" spans="1:7" x14ac:dyDescent="0.25">
      <c r="A93">
        <v>82</v>
      </c>
      <c r="B93" s="6" t="n">
        <v>739.676000992</v>
      </c>
      <c r="C93" s="9">
        <f si="2" t="shared"/>
        <v>5.9487037052930304E-4</v>
      </c>
      <c r="E93" s="371">
        <v>82</v>
      </c>
      <c r="F93" s="371" t="n">
        <v>313.6144815465743</v>
      </c>
      <c r="G93" s="9">
        <f si="3" t="shared"/>
        <v>1.4739449698261841E-4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244.6242894434399</v>
      </c>
      <c r="G94" s="9">
        <f si="3" t="shared"/>
        <v>1.4820192304309794E-4</v>
      </c>
    </row>
    <row r="95" spans="1:7" x14ac:dyDescent="0.25">
      <c r="A95">
        <v>84</v>
      </c>
      <c r="B95" s="6" t="n">
        <v>2404.586148969</v>
      </c>
      <c r="C95" s="9">
        <f si="2" t="shared"/>
        <v>1.9338427250423793E-3</v>
      </c>
      <c r="E95" s="371">
        <v>84</v>
      </c>
      <c r="F95" s="371" t="n">
        <v>335.1913281596055</v>
      </c>
      <c r="G95" s="9">
        <f si="3" t="shared"/>
        <v>1.7425855424769724E-4</v>
      </c>
    </row>
    <row r="96" spans="1:7" x14ac:dyDescent="0.25">
      <c r="A96">
        <v>85</v>
      </c>
      <c r="B96" s="6" t="n">
        <v>76.8761145204</v>
      </c>
      <c r="C96" s="9">
        <f si="2" t="shared"/>
        <v>6.1826154516669371E-5</v>
      </c>
      <c r="E96" s="371">
        <v>85</v>
      </c>
      <c r="F96" s="371" t="n">
        <v>258.853654055327</v>
      </c>
      <c r="G96" s="9">
        <f si="3" t="shared"/>
        <v>2.087800781852058E-4</v>
      </c>
    </row>
    <row r="97" spans="1:7" x14ac:dyDescent="0.25">
      <c r="A97">
        <v>86</v>
      </c>
      <c r="B97" s="6" t="n">
        <v>880.136943483</v>
      </c>
      <c r="C97" s="9">
        <f si="2" t="shared"/>
        <v>7.0783341487906822E-4</v>
      </c>
      <c r="E97" s="371">
        <v>86</v>
      </c>
      <c r="F97" s="371" t="n">
        <v>251.2612963326735</v>
      </c>
      <c r="G97" s="9">
        <f si="3" t="shared"/>
        <v>1.8942698690379631E-4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243.00931253353752</v>
      </c>
      <c r="G98" s="9">
        <f si="3" t="shared"/>
        <v>1.4163345370297163E-4</v>
      </c>
    </row>
    <row r="99" spans="1:7" x14ac:dyDescent="0.25">
      <c r="A99">
        <v>88</v>
      </c>
      <c r="B99" s="6" t="n">
        <v>300.952409273</v>
      </c>
      <c r="C99" s="9">
        <f si="2" t="shared"/>
        <v>2.4203525729619047E-4</v>
      </c>
      <c r="E99" s="371">
        <v>88</v>
      </c>
      <c r="F99" s="371" t="n">
        <v>227.3482608153889</v>
      </c>
      <c r="G99" s="9">
        <f si="3" t="shared"/>
        <v>1.6359274322387136E-4</v>
      </c>
    </row>
    <row r="100" spans="1:7" x14ac:dyDescent="0.25">
      <c r="A100">
        <v>89</v>
      </c>
      <c r="B100" s="6" t="n">
        <v>357.255567611</v>
      </c>
      <c r="C100" s="9">
        <f si="2" t="shared"/>
        <v>2.8731600267332529E-4</v>
      </c>
      <c r="E100" s="371">
        <v>89</v>
      </c>
      <c r="F100" s="371" t="n">
        <v>160.24613371246676</v>
      </c>
      <c r="G100" s="9">
        <f si="3" t="shared"/>
        <v>1.4512923291239014E-4</v>
      </c>
    </row>
    <row ht="15.75" r="101" spans="1:7" thickBot="1" x14ac:dyDescent="0.3">
      <c r="A101" s="1">
        <v>90</v>
      </c>
      <c r="B101" s="7" t="n">
        <v>22484.3798705738</v>
      </c>
      <c r="C101" s="9">
        <f si="2" t="shared"/>
        <v>1.8082635325185441E-2</v>
      </c>
      <c r="E101" s="372">
        <v>90</v>
      </c>
      <c r="F101" s="372" t="n">
        <v>9562.165635634756</v>
      </c>
      <c r="G101" s="9">
        <f si="3" t="shared"/>
        <v>7.895650995813016E-3</v>
      </c>
    </row>
    <row r="102" spans="1:7" x14ac:dyDescent="0.25">
      <c r="B102" s="6">
        <f>SUM(B11:B101)</f>
        <v>1243423.8409518565</v>
      </c>
      <c r="C102" s="9">
        <f si="2" t="shared"/>
        <v>1</v>
      </c>
      <c r="F102" s="6">
        <f>SUM(F11:F101)</f>
        <v>1236756.915389671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1:L102"/>
  <sheetViews>
    <sheetView workbookViewId="0">
      <selection activeCell="U14" sqref="U14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84907.0721932005</v>
      </c>
      <c r="C11" s="9">
        <f>B11/B$102</f>
        <v>4.6236776287227423E-2</v>
      </c>
      <c r="E11" s="371">
        <v>0</v>
      </c>
      <c r="F11" s="371" t="n">
        <v>313784.0178817952</v>
      </c>
      <c r="G11" s="9">
        <f>F11/F$102</f>
        <v>0.1814279517433906</v>
      </c>
      <c r="K11" s="6" t="n">
        <v>7.1866380900758235</v>
      </c>
      <c r="L11" s="6" t="n">
        <v>5.765353703576883</v>
      </c>
    </row>
    <row r="12" spans="1:12" x14ac:dyDescent="0.25">
      <c r="A12">
        <v>1</v>
      </c>
      <c r="B12" s="6" t="n">
        <v>101459.22475387</v>
      </c>
      <c r="C12" s="9">
        <f>B12/B$102</f>
        <v>5.5250373803324829E-2</v>
      </c>
      <c r="E12" s="371">
        <v>1</v>
      </c>
      <c r="F12" s="371" t="n">
        <v>233205.35903500707</v>
      </c>
      <c r="G12" s="9">
        <f>F12/F$102</f>
        <v>0.13359722118437864</v>
      </c>
      <c r="K12" s="6"/>
      <c r="L12" s="371"/>
    </row>
    <row r="13" spans="1:12" x14ac:dyDescent="0.25">
      <c r="A13">
        <v>2</v>
      </c>
      <c r="B13" s="6" t="n">
        <v>100404.4870225725</v>
      </c>
      <c r="C13" s="9">
        <f ref="C13:C76" si="0" t="shared">B13/B$102</f>
        <v>5.4676008544177361E-2</v>
      </c>
      <c r="E13" s="371">
        <v>2</v>
      </c>
      <c r="F13" s="371" t="n">
        <v>139996.75565423138</v>
      </c>
      <c r="G13" s="9">
        <f ref="G13:G76" si="1" t="shared">F13/F$102</f>
        <v>8.1102660322381198E-2</v>
      </c>
    </row>
    <row r="14" spans="1:12" x14ac:dyDescent="0.25">
      <c r="A14">
        <v>3</v>
      </c>
      <c r="B14" s="6" t="n">
        <v>190531.2426494512</v>
      </c>
      <c r="C14" s="9">
        <f si="0" t="shared"/>
        <v>0.10375520218227008</v>
      </c>
      <c r="E14" s="371">
        <v>3</v>
      </c>
      <c r="F14" s="371" t="n">
        <v>84579.63895343161</v>
      </c>
      <c r="G14" s="9">
        <f si="1" t="shared"/>
        <v>4.9134855470786325E-2</v>
      </c>
    </row>
    <row r="15" spans="1:12" x14ac:dyDescent="0.25">
      <c r="A15">
        <v>4</v>
      </c>
      <c r="B15" s="6" t="n">
        <v>307024.78858326</v>
      </c>
      <c r="C15" s="9">
        <f si="0" t="shared"/>
        <v>0.16719262715896963</v>
      </c>
      <c r="E15" s="371">
        <v>4</v>
      </c>
      <c r="F15" s="371" t="n">
        <v>246199.22678553968</v>
      </c>
      <c r="G15" s="9">
        <f si="1" t="shared"/>
        <v>0.14116462905314689</v>
      </c>
    </row>
    <row r="16" spans="1:12" x14ac:dyDescent="0.25">
      <c r="A16">
        <v>5</v>
      </c>
      <c r="B16" s="6" t="n">
        <v>206551.5250263804</v>
      </c>
      <c r="C16" s="9">
        <f si="0" t="shared"/>
        <v>0.11247916584262117</v>
      </c>
      <c r="E16" s="371">
        <v>5</v>
      </c>
      <c r="F16" s="371" t="n">
        <v>126683.03302507145</v>
      </c>
      <c r="G16" s="9">
        <f si="1" t="shared"/>
        <v>7.3877818754779737E-2</v>
      </c>
    </row>
    <row r="17" spans="1:7" x14ac:dyDescent="0.25">
      <c r="A17">
        <v>6</v>
      </c>
      <c r="B17" s="6" t="n">
        <v>195336.4394175845</v>
      </c>
      <c r="C17" s="9">
        <f si="0" t="shared"/>
        <v>0.10637190774336562</v>
      </c>
      <c r="E17" s="371">
        <v>6</v>
      </c>
      <c r="F17" s="371" t="n">
        <v>119263.71689913642</v>
      </c>
      <c r="G17" s="9">
        <f si="1" t="shared"/>
        <v>6.6081481213953908E-2</v>
      </c>
    </row>
    <row r="18" spans="1:7" x14ac:dyDescent="0.25">
      <c r="A18">
        <v>7</v>
      </c>
      <c r="B18" s="6" t="n">
        <v>96019.9389225083</v>
      </c>
      <c r="C18" s="9">
        <f si="0" t="shared"/>
        <v>5.2288370337056474E-2</v>
      </c>
      <c r="E18" s="371">
        <v>7</v>
      </c>
      <c r="F18" s="371" t="n">
        <v>71803.14727934108</v>
      </c>
      <c r="G18" s="9">
        <f si="1" t="shared"/>
        <v>4.2420523063650593E-2</v>
      </c>
    </row>
    <row r="19" spans="1:7" x14ac:dyDescent="0.25">
      <c r="A19">
        <v>8</v>
      </c>
      <c r="B19" s="6" t="n">
        <v>81411.287863505</v>
      </c>
      <c r="C19" s="9">
        <f si="0" t="shared"/>
        <v>4.4333120987080712E-2</v>
      </c>
      <c r="E19" s="371">
        <v>8</v>
      </c>
      <c r="F19" s="371" t="n">
        <v>72990.80898817304</v>
      </c>
      <c r="G19" s="9">
        <f si="1" t="shared"/>
        <v>4.4725054727584618E-2</v>
      </c>
    </row>
    <row r="20" spans="1:7" x14ac:dyDescent="0.25">
      <c r="A20">
        <v>9</v>
      </c>
      <c r="B20" s="6" t="n">
        <v>62555.5230922982</v>
      </c>
      <c r="C20" s="9">
        <f si="0" t="shared"/>
        <v>3.4065074345841204E-2</v>
      </c>
      <c r="E20" s="371">
        <v>9</v>
      </c>
      <c r="F20" s="371" t="n">
        <v>44602.7663764172</v>
      </c>
      <c r="G20" s="9">
        <f si="1" t="shared"/>
        <v>2.1671441921335528E-2</v>
      </c>
    </row>
    <row r="21" spans="1:7" x14ac:dyDescent="0.25">
      <c r="A21">
        <v>10</v>
      </c>
      <c r="B21" s="6" t="n">
        <v>119012.2937959228</v>
      </c>
      <c r="C21" s="9">
        <f si="0" t="shared"/>
        <v>6.4809027817503001E-2</v>
      </c>
      <c r="E21" s="371">
        <v>10</v>
      </c>
      <c r="F21" s="371" t="n">
        <v>31079.225770975852</v>
      </c>
      <c r="G21" s="9">
        <f si="1" t="shared"/>
        <v>2.1646747177053231E-2</v>
      </c>
    </row>
    <row r="22" spans="1:7" x14ac:dyDescent="0.25">
      <c r="A22">
        <v>11</v>
      </c>
      <c r="B22" s="6" t="n">
        <v>36479.2789345701</v>
      </c>
      <c r="C22" s="9">
        <f si="0" t="shared"/>
        <v>1.9865062069024664E-2</v>
      </c>
      <c r="E22" s="371">
        <v>11</v>
      </c>
      <c r="F22" s="371" t="n">
        <v>30641.43289416471</v>
      </c>
      <c r="G22" s="9">
        <f si="1" t="shared"/>
        <v>1.930919869947794E-2</v>
      </c>
    </row>
    <row r="23" spans="1:7" x14ac:dyDescent="0.25">
      <c r="A23">
        <v>12</v>
      </c>
      <c r="B23" s="6" t="n">
        <v>32629.1127797312</v>
      </c>
      <c r="C23" s="9">
        <f si="0" t="shared"/>
        <v>1.7768425516007387E-2</v>
      </c>
      <c r="E23" s="371">
        <v>12</v>
      </c>
      <c r="F23" s="371" t="n">
        <v>26251.211190650094</v>
      </c>
      <c r="G23" s="9">
        <f si="1" t="shared"/>
        <v>1.468052823238771E-2</v>
      </c>
    </row>
    <row r="24" spans="1:7" x14ac:dyDescent="0.25">
      <c r="A24">
        <v>13</v>
      </c>
      <c r="B24" s="6" t="n">
        <v>17994.8006290605</v>
      </c>
      <c r="C24" s="9">
        <f si="0" t="shared"/>
        <v>9.7992022281244012E-3</v>
      </c>
      <c r="E24" s="371">
        <v>13</v>
      </c>
      <c r="F24" s="371" t="n">
        <v>21766.20675128203</v>
      </c>
      <c r="G24" s="9">
        <f si="1" t="shared"/>
        <v>1.2600269977279801E-2</v>
      </c>
    </row>
    <row r="25" spans="1:7" x14ac:dyDescent="0.25">
      <c r="A25">
        <v>14</v>
      </c>
      <c r="B25" s="6" t="n">
        <v>18414.0822075536</v>
      </c>
      <c r="C25" s="9">
        <f si="0" t="shared"/>
        <v>1.0027525123324804E-2</v>
      </c>
      <c r="E25" s="371">
        <v>14</v>
      </c>
      <c r="F25" s="371" t="n">
        <v>22567.690504216574</v>
      </c>
      <c r="G25" s="9">
        <f si="1" t="shared"/>
        <v>1.171935810748442E-2</v>
      </c>
    </row>
    <row r="26" spans="1:7" x14ac:dyDescent="0.25">
      <c r="A26">
        <v>15</v>
      </c>
      <c r="B26" s="6" t="n">
        <v>17555.1507469961</v>
      </c>
      <c r="C26" s="9">
        <f si="0" t="shared"/>
        <v>9.5597876220541011E-3</v>
      </c>
      <c r="E26" s="371">
        <v>15</v>
      </c>
      <c r="F26" s="371" t="n">
        <v>22152.77924940022</v>
      </c>
      <c r="G26" s="9">
        <f si="1" t="shared"/>
        <v>1.3782288074671604E-2</v>
      </c>
    </row>
    <row r="27" spans="1:7" x14ac:dyDescent="0.25">
      <c r="A27">
        <v>16</v>
      </c>
      <c r="B27" s="6" t="n">
        <v>30793.3270430476</v>
      </c>
      <c r="C27" s="9">
        <f si="0" t="shared"/>
        <v>1.676873476910256E-2</v>
      </c>
      <c r="E27" s="371">
        <v>16</v>
      </c>
      <c r="F27" s="371" t="n">
        <v>19864.212036653338</v>
      </c>
      <c r="G27" s="9">
        <f si="1" t="shared"/>
        <v>1.19494818376055E-2</v>
      </c>
    </row>
    <row r="28" spans="1:7" x14ac:dyDescent="0.25">
      <c r="A28">
        <v>17</v>
      </c>
      <c r="B28" s="6" t="n">
        <v>14174.9013813592</v>
      </c>
      <c r="C28" s="9">
        <f si="0" t="shared"/>
        <v>7.719047744009974E-3</v>
      </c>
      <c r="E28" s="371">
        <v>17</v>
      </c>
      <c r="F28" s="371" t="n">
        <v>15250.723922718296</v>
      </c>
      <c r="G28" s="9">
        <f si="1" t="shared"/>
        <v>9.1761429794198334E-3</v>
      </c>
    </row>
    <row r="29" spans="1:7" x14ac:dyDescent="0.25">
      <c r="A29">
        <v>18</v>
      </c>
      <c r="B29" s="6" t="n">
        <v>14542.7372729443</v>
      </c>
      <c r="C29" s="9">
        <f si="0" t="shared"/>
        <v>7.9193555086085887E-3</v>
      </c>
      <c r="E29" s="371">
        <v>18</v>
      </c>
      <c r="F29" s="371" t="n">
        <v>11955.826725803023</v>
      </c>
      <c r="G29" s="9">
        <f si="1" t="shared"/>
        <v>6.2770876850356148E-3</v>
      </c>
    </row>
    <row r="30" spans="1:7" x14ac:dyDescent="0.25">
      <c r="A30">
        <v>19</v>
      </c>
      <c r="B30" s="6" t="n">
        <v>18690.2688199726</v>
      </c>
      <c r="C30" s="9">
        <f si="0" t="shared"/>
        <v>1.0177924592792873E-2</v>
      </c>
      <c r="E30" s="371">
        <v>19</v>
      </c>
      <c r="F30" s="371" t="n">
        <v>9115.036115375895</v>
      </c>
      <c r="G30" s="9">
        <f si="1" t="shared"/>
        <v>5.6989566620679827E-3</v>
      </c>
    </row>
    <row r="31" spans="1:7" x14ac:dyDescent="0.25">
      <c r="A31">
        <v>20</v>
      </c>
      <c r="B31" s="6" t="n">
        <v>8832.9782351174</v>
      </c>
      <c r="C31" s="9">
        <f si="0" t="shared"/>
        <v>4.810063850485451E-3</v>
      </c>
      <c r="E31" s="371">
        <v>20</v>
      </c>
      <c r="F31" s="371" t="n">
        <v>8786.846647571347</v>
      </c>
      <c r="G31" s="9">
        <f si="1" t="shared"/>
        <v>4.7256931087570212E-3</v>
      </c>
    </row>
    <row r="32" spans="1:7" x14ac:dyDescent="0.25">
      <c r="A32">
        <v>21</v>
      </c>
      <c r="B32" s="6" t="n">
        <v>9212.629900026699</v>
      </c>
      <c r="C32" s="9">
        <f si="0" t="shared"/>
        <v>5.0168059821366524E-3</v>
      </c>
      <c r="E32" s="371">
        <v>21</v>
      </c>
      <c r="F32" s="371" t="n">
        <v>6652.307807521224</v>
      </c>
      <c r="G32" s="9">
        <f si="1" t="shared"/>
        <v>4.2067351622900734E-3</v>
      </c>
    </row>
    <row r="33" spans="1:7" x14ac:dyDescent="0.25">
      <c r="A33">
        <v>22</v>
      </c>
      <c r="B33" s="6" t="n">
        <v>12829.9965571878</v>
      </c>
      <c r="C33" s="9">
        <f si="0" t="shared"/>
        <v>6.9866698410087948E-3</v>
      </c>
      <c r="E33" s="371">
        <v>22</v>
      </c>
      <c r="F33" s="371" t="n">
        <v>6614.328600996931</v>
      </c>
      <c r="G33" s="9">
        <f si="1" t="shared"/>
        <v>3.4518649670581695E-3</v>
      </c>
    </row>
    <row r="34" spans="1:7" x14ac:dyDescent="0.25">
      <c r="A34">
        <v>23</v>
      </c>
      <c r="B34" s="6" t="n">
        <v>14398.7517202314</v>
      </c>
      <c r="C34" s="9">
        <f si="0" t="shared"/>
        <v>7.8409471073127499E-3</v>
      </c>
      <c r="E34" s="371">
        <v>23</v>
      </c>
      <c r="F34" s="371" t="n">
        <v>5744.069107451114</v>
      </c>
      <c r="G34" s="9">
        <f si="1" t="shared"/>
        <v>3.7889357259007265E-3</v>
      </c>
    </row>
    <row r="35" spans="1:7" x14ac:dyDescent="0.25">
      <c r="A35">
        <v>24</v>
      </c>
      <c r="B35" s="6" t="n">
        <v>1073.090578754</v>
      </c>
      <c r="C35" s="9">
        <f si="0" t="shared"/>
        <v>5.843594384326616E-4</v>
      </c>
      <c r="E35" s="371">
        <v>24</v>
      </c>
      <c r="F35" s="371" t="n">
        <v>5333.866393666434</v>
      </c>
      <c r="G35" s="9">
        <f si="1" t="shared"/>
        <v>2.4745195980208539E-3</v>
      </c>
    </row>
    <row r="36" spans="1:7" x14ac:dyDescent="0.25">
      <c r="A36">
        <v>25</v>
      </c>
      <c r="B36" s="6" t="n">
        <v>1734.2051272889998</v>
      </c>
      <c r="C36" s="9">
        <f si="0" t="shared"/>
        <v>9.4437427219455487E-4</v>
      </c>
      <c r="E36" s="371">
        <v>25</v>
      </c>
      <c r="F36" s="371" t="n">
        <v>5241.684061256518</v>
      </c>
      <c r="G36" s="9">
        <f si="1" t="shared"/>
        <v>2.887352562861063E-3</v>
      </c>
    </row>
    <row r="37" spans="1:7" x14ac:dyDescent="0.25">
      <c r="A37">
        <v>26</v>
      </c>
      <c r="B37" s="6" t="n">
        <v>1382.3037132361</v>
      </c>
      <c r="C37" s="9">
        <f si="0" t="shared"/>
        <v>7.5274374559130793E-4</v>
      </c>
      <c r="E37" s="371">
        <v>26</v>
      </c>
      <c r="F37" s="371" t="n">
        <v>4111.204881289459</v>
      </c>
      <c r="G37" s="9">
        <f si="1" t="shared"/>
        <v>2.5270957131263219E-3</v>
      </c>
    </row>
    <row r="38" spans="1:7" x14ac:dyDescent="0.25">
      <c r="A38">
        <v>27</v>
      </c>
      <c r="B38" s="6" t="n">
        <v>2415.69175757</v>
      </c>
      <c r="C38" s="9">
        <f si="0" t="shared"/>
        <v>1.3154828742594183E-3</v>
      </c>
      <c r="E38" s="371">
        <v>27</v>
      </c>
      <c r="F38" s="371" t="n">
        <v>2652.3094172071173</v>
      </c>
      <c r="G38" s="9">
        <f si="1" t="shared"/>
        <v>1.9285106292355027E-3</v>
      </c>
    </row>
    <row r="39" spans="1:7" x14ac:dyDescent="0.25">
      <c r="A39">
        <v>28</v>
      </c>
      <c r="B39" s="6" t="n">
        <v>3355.6392179848</v>
      </c>
      <c r="C39" s="9">
        <f si="0" t="shared"/>
        <v>1.8273382394998537E-3</v>
      </c>
      <c r="E39" s="371">
        <v>28</v>
      </c>
      <c r="F39" s="371" t="n">
        <v>2959.925007467786</v>
      </c>
      <c r="G39" s="9">
        <f si="1" t="shared"/>
        <v>1.3274719942253741E-3</v>
      </c>
    </row>
    <row r="40" spans="1:7" x14ac:dyDescent="0.25">
      <c r="A40">
        <v>29</v>
      </c>
      <c r="B40" s="6" t="n">
        <v>1049.6642425372</v>
      </c>
      <c r="C40" s="9">
        <f si="0" t="shared"/>
        <v>5.7160245319095053E-4</v>
      </c>
      <c r="E40" s="371">
        <v>29</v>
      </c>
      <c r="F40" s="371" t="n">
        <v>2384.9483353583473</v>
      </c>
      <c r="G40" s="9">
        <f si="1" t="shared"/>
        <v>1.7100377840847697E-3</v>
      </c>
    </row>
    <row r="41" spans="1:7" x14ac:dyDescent="0.25">
      <c r="A41">
        <v>30</v>
      </c>
      <c r="B41" s="6" t="n">
        <v>1586.4049019792</v>
      </c>
      <c r="C41" s="9">
        <f si="0" t="shared"/>
        <v>8.638885626260852E-4</v>
      </c>
      <c r="E41" s="371">
        <v>30</v>
      </c>
      <c r="F41" s="371" t="n">
        <v>2239.1751962870467</v>
      </c>
      <c r="G41" s="9">
        <f si="1" t="shared"/>
        <v>1.1538719512467106E-3</v>
      </c>
    </row>
    <row r="42" spans="1:7" x14ac:dyDescent="0.25">
      <c r="A42">
        <v>31</v>
      </c>
      <c r="B42" s="6" t="n">
        <v>2692.10237777</v>
      </c>
      <c r="C42" s="9">
        <f si="0" t="shared"/>
        <v>1.4660043288270705E-3</v>
      </c>
      <c r="E42" s="371">
        <v>31</v>
      </c>
      <c r="F42" s="371" t="n">
        <v>1726.6124958050511</v>
      </c>
      <c r="G42" s="9">
        <f si="1" t="shared"/>
        <v>9.1447193989259792E-4</v>
      </c>
    </row>
    <row r="43" spans="1:7" x14ac:dyDescent="0.25">
      <c r="A43">
        <v>32</v>
      </c>
      <c r="B43" s="6" t="n">
        <v>1018.187280604</v>
      </c>
      <c r="C43" s="9">
        <f si="0" t="shared"/>
        <v>5.5446143996892719E-4</v>
      </c>
      <c r="E43" s="371">
        <v>32</v>
      </c>
      <c r="F43" s="371" t="n">
        <v>1588.8624761989445</v>
      </c>
      <c r="G43" s="9">
        <f si="1" t="shared"/>
        <v>9.8878069376273593E-4</v>
      </c>
    </row>
    <row r="44" spans="1:7" x14ac:dyDescent="0.25">
      <c r="A44">
        <v>33</v>
      </c>
      <c r="B44" s="6" t="n">
        <v>1938.450463821</v>
      </c>
      <c r="C44" s="9">
        <f si="0" t="shared"/>
        <v>1.0555975859775479E-3</v>
      </c>
      <c r="E44" s="371">
        <v>33</v>
      </c>
      <c r="F44" s="371" t="n">
        <v>1342.2334261097983</v>
      </c>
      <c r="G44" s="9">
        <f si="1" t="shared"/>
        <v>7.1484142269114535E-4</v>
      </c>
    </row>
    <row r="45" spans="1:7" x14ac:dyDescent="0.25">
      <c r="A45">
        <v>34</v>
      </c>
      <c r="B45" s="6" t="n">
        <v>1449.092665293</v>
      </c>
      <c r="C45" s="9">
        <f si="0" t="shared"/>
        <v>7.8911416509754712E-4</v>
      </c>
      <c r="E45" s="371">
        <v>34</v>
      </c>
      <c r="F45" s="371" t="n">
        <v>1156.9540451498724</v>
      </c>
      <c r="G45" s="9">
        <f si="1" t="shared"/>
        <v>6.3861260190351985E-4</v>
      </c>
    </row>
    <row r="46" spans="1:7" x14ac:dyDescent="0.25">
      <c r="A46">
        <v>35</v>
      </c>
      <c r="B46" s="6" t="n">
        <v>1498.404540075</v>
      </c>
      <c r="C46" s="9">
        <f si="0" t="shared"/>
        <v>8.1596731247037218E-4</v>
      </c>
      <c r="E46" s="371">
        <v>35</v>
      </c>
      <c r="F46" s="371" t="n">
        <v>918.3152114449521</v>
      </c>
      <c r="G46" s="9">
        <f si="1" t="shared"/>
        <v>5.3681283268163958E-4</v>
      </c>
    </row>
    <row r="47" spans="1:7" x14ac:dyDescent="0.25">
      <c r="A47">
        <v>36</v>
      </c>
      <c r="B47" s="6" t="n">
        <v>1085.2722949449999</v>
      </c>
      <c r="C47" s="9">
        <f si="0" t="shared"/>
        <v>5.9099308238915252E-4</v>
      </c>
      <c r="E47" s="371">
        <v>36</v>
      </c>
      <c r="F47" s="371" t="n">
        <v>1231.8201160839462</v>
      </c>
      <c r="G47" s="9">
        <f si="1" t="shared"/>
        <v>6.9006879124503863E-4</v>
      </c>
    </row>
    <row r="48" spans="1:7" x14ac:dyDescent="0.25">
      <c r="A48">
        <v>37</v>
      </c>
      <c r="B48" s="6" t="n">
        <v>570.856988644</v>
      </c>
      <c r="C48" s="9">
        <f si="0" t="shared"/>
        <v>3.1086440969103018E-4</v>
      </c>
      <c r="E48" s="371">
        <v>37</v>
      </c>
      <c r="F48" s="371" t="n">
        <v>855.1419230086035</v>
      </c>
      <c r="G48" s="9">
        <f si="1" t="shared"/>
        <v>4.2889187762287887E-4</v>
      </c>
    </row>
    <row r="49" spans="1:7" x14ac:dyDescent="0.25">
      <c r="A49">
        <v>38</v>
      </c>
      <c r="B49" s="6" t="n">
        <v>4.59375</v>
      </c>
      <c r="C49" s="9">
        <f si="0" t="shared"/>
        <v>2.5015606542897654E-6</v>
      </c>
      <c r="E49" s="371">
        <v>38</v>
      </c>
      <c r="F49" s="371" t="n">
        <v>827.3658718136496</v>
      </c>
      <c r="G49" s="9">
        <f si="1" t="shared"/>
        <v>5.1444397429651907E-4</v>
      </c>
    </row>
    <row r="50" spans="1:7" x14ac:dyDescent="0.25">
      <c r="A50">
        <v>39</v>
      </c>
      <c r="B50" s="6" t="n">
        <v>396.0371562029</v>
      </c>
      <c r="C50" s="9">
        <f si="0" t="shared"/>
        <v>2.1566497253746605E-4</v>
      </c>
      <c r="E50" s="371">
        <v>39</v>
      </c>
      <c r="F50" s="371" t="n">
        <v>709.8771716278235</v>
      </c>
      <c r="G50" s="9">
        <f si="1" t="shared"/>
        <v>4.4357864242421661E-4</v>
      </c>
    </row>
    <row r="51" spans="1:7" x14ac:dyDescent="0.25">
      <c r="A51">
        <v>40</v>
      </c>
      <c r="B51" s="6" t="n">
        <v>2029.291388077</v>
      </c>
      <c r="C51" s="9">
        <f si="0" t="shared"/>
        <v>1.1050656854427181E-3</v>
      </c>
      <c r="E51" s="371">
        <v>40</v>
      </c>
      <c r="F51" s="371" t="n">
        <v>514.5155968414017</v>
      </c>
      <c r="G51" s="9">
        <f si="1" t="shared"/>
        <v>2.786372566461267E-4</v>
      </c>
    </row>
    <row r="52" spans="1:7" x14ac:dyDescent="0.25">
      <c r="A52">
        <v>41</v>
      </c>
      <c r="B52" s="6" t="n">
        <v>2470.933528429</v>
      </c>
      <c r="C52" s="9">
        <f si="0" t="shared"/>
        <v>1.3455651905487605E-3</v>
      </c>
      <c r="E52" s="371">
        <v>41</v>
      </c>
      <c r="F52" s="371" t="n">
        <v>416.34462608480453</v>
      </c>
      <c r="G52" s="9">
        <f si="1" t="shared"/>
        <v>3.0068388166694181E-4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323.8772993097679</v>
      </c>
      <c r="G53" s="9">
        <f si="1" t="shared"/>
        <v>1.640307099474121E-4</v>
      </c>
    </row>
    <row r="54" spans="1:7" x14ac:dyDescent="0.25">
      <c r="A54">
        <v>43</v>
      </c>
      <c r="B54" s="6" t="n">
        <v>143.589273955</v>
      </c>
      <c r="C54" s="9">
        <f si="0" t="shared"/>
        <v>7.8192604757303344E-5</v>
      </c>
      <c r="E54" s="371">
        <v>43</v>
      </c>
      <c r="F54" s="371" t="n">
        <v>219.70282113264605</v>
      </c>
      <c r="G54" s="9">
        <f si="1" t="shared"/>
        <v>1.5135788843952881E-4</v>
      </c>
    </row>
    <row r="55" spans="1:7" x14ac:dyDescent="0.25">
      <c r="A55">
        <v>44</v>
      </c>
      <c r="B55" s="6" t="n">
        <v>1125.3988481578</v>
      </c>
      <c r="C55" s="9">
        <f si="0" t="shared"/>
        <v>6.1284429473405712E-4</v>
      </c>
      <c r="E55" s="371">
        <v>44</v>
      </c>
      <c r="F55" s="371" t="n">
        <v>225.27872347621002</v>
      </c>
      <c r="G55" s="9">
        <f si="1" t="shared"/>
        <v>1.0648636757080619E-4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290.3782956245118</v>
      </c>
      <c r="G56" s="9">
        <f si="1" t="shared"/>
        <v>1.3747079001701594E-4</v>
      </c>
    </row>
    <row r="57" spans="1:7" x14ac:dyDescent="0.25">
      <c r="A57">
        <v>46</v>
      </c>
      <c r="B57" s="6" t="n">
        <v>1531.936598843</v>
      </c>
      <c r="C57" s="9">
        <f si="0" t="shared"/>
        <v>8.3422744392536228E-4</v>
      </c>
      <c r="E57" s="371">
        <v>46</v>
      </c>
      <c r="F57" s="371" t="n">
        <v>163.86055307402503</v>
      </c>
      <c r="G57" s="9">
        <f si="1" t="shared"/>
        <v>9.104615239888661E-5</v>
      </c>
    </row>
    <row r="58" spans="1:7" x14ac:dyDescent="0.25">
      <c r="A58">
        <v>47</v>
      </c>
      <c r="B58" s="6" t="n">
        <v>5149.1823438</v>
      </c>
      <c r="C58" s="9">
        <f si="0" t="shared"/>
        <v>2.8040254591594309E-3</v>
      </c>
      <c r="E58" s="371">
        <v>47</v>
      </c>
      <c r="F58" s="371" t="n">
        <v>173.89177277791995</v>
      </c>
      <c r="G58" s="9">
        <f si="1" t="shared"/>
        <v>1.0006627220673549E-4</v>
      </c>
    </row>
    <row r="59" spans="1:7" x14ac:dyDescent="0.25">
      <c r="A59">
        <v>48</v>
      </c>
      <c r="B59" s="6" t="n">
        <v>213.886510635</v>
      </c>
      <c r="C59" s="9">
        <f si="0" t="shared"/>
        <v>1.1647348669123168E-4</v>
      </c>
      <c r="E59" s="371">
        <v>48</v>
      </c>
      <c r="F59" s="371" t="n">
        <v>116.20437486112179</v>
      </c>
      <c r="G59" s="9">
        <f si="1" t="shared"/>
        <v>8.3121946313536625E-5</v>
      </c>
    </row>
    <row r="60" spans="1:7" x14ac:dyDescent="0.25">
      <c r="A60">
        <v>49</v>
      </c>
      <c r="B60" s="6" t="n">
        <v>406.812011884</v>
      </c>
      <c r="C60" s="9">
        <f si="0" t="shared"/>
        <v>2.2153250016249796E-4</v>
      </c>
      <c r="E60" s="371">
        <v>49</v>
      </c>
      <c r="F60" s="371" t="n">
        <v>135.00989430701776</v>
      </c>
      <c r="G60" s="9">
        <f si="1" t="shared"/>
        <v>1.0565632685286303E-4</v>
      </c>
    </row>
    <row r="61" spans="1:7" x14ac:dyDescent="0.25">
      <c r="A61">
        <v>50</v>
      </c>
      <c r="B61" s="6" t="n">
        <v>454.367233631</v>
      </c>
      <c r="C61" s="9">
        <f si="0" t="shared"/>
        <v>2.4742904908839076E-4</v>
      </c>
      <c r="E61" s="371">
        <v>50</v>
      </c>
      <c r="F61" s="371" t="n">
        <v>97.37593265194116</v>
      </c>
      <c r="G61" s="9">
        <f si="1" t="shared"/>
        <v>6.67385205628283E-5</v>
      </c>
    </row>
    <row r="62" spans="1:7" x14ac:dyDescent="0.25">
      <c r="A62">
        <v>51</v>
      </c>
      <c r="B62" s="6" t="n">
        <v>94.7244864348</v>
      </c>
      <c r="C62" s="9">
        <f si="0" t="shared"/>
        <v>5.1582922070878976E-5</v>
      </c>
      <c r="E62" s="371">
        <v>51</v>
      </c>
      <c r="F62" s="371" t="n">
        <v>106.96785242070685</v>
      </c>
      <c r="G62" s="9">
        <f si="1" t="shared"/>
        <v>3.66620956906624E-5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63.516680691174535</v>
      </c>
      <c r="G63" s="9">
        <f si="1" t="shared"/>
        <v>5.9921485800360264E-5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50.317255857051805</v>
      </c>
      <c r="G64" s="9">
        <f si="1" t="shared"/>
        <v>2.5637122617396304E-5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48.58327361597707</v>
      </c>
      <c r="G65" s="9">
        <f si="1" t="shared"/>
        <v>4.7794854414970731E-5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63.11800550119217</v>
      </c>
      <c r="G66" s="9">
        <f si="1" t="shared"/>
        <v>2.8888866024186732E-5</v>
      </c>
    </row>
    <row r="67" spans="1:7" x14ac:dyDescent="0.25">
      <c r="A67">
        <v>56</v>
      </c>
      <c r="B67" s="6" t="n">
        <v>767.701778901</v>
      </c>
      <c r="C67" s="9">
        <f si="0" t="shared"/>
        <v>4.1805770107798695E-4</v>
      </c>
      <c r="E67" s="371">
        <v>56</v>
      </c>
      <c r="F67" s="371" t="n">
        <v>39.9057883102879</v>
      </c>
      <c r="G67" s="9">
        <f si="1" t="shared"/>
        <v>1.9649695331012543E-5</v>
      </c>
    </row>
    <row r="68" spans="1:7" x14ac:dyDescent="0.25">
      <c r="A68">
        <v>57</v>
      </c>
      <c r="B68" s="6" t="n">
        <v>654.907218069</v>
      </c>
      <c r="C68" s="9">
        <f si="0" t="shared"/>
        <v>3.5663458588991079E-4</v>
      </c>
      <c r="E68" s="371">
        <v>57</v>
      </c>
      <c r="F68" s="371" t="n">
        <v>33.09630944118293</v>
      </c>
      <c r="G68" s="9">
        <f si="1" t="shared"/>
        <v>6.6240706331438079E-6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13.55595915917885</v>
      </c>
      <c r="G69" s="9">
        <f si="1" t="shared"/>
        <v>1.1215378788610758E-5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18.520210919189214</v>
      </c>
      <c r="G70" s="9">
        <f si="1" t="shared"/>
        <v>1.9397365592698365E-5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13.658111539752602</v>
      </c>
      <c r="G71" s="9">
        <f si="1" t="shared"/>
        <v>1.6274483683930233E-5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22.101050384349737</v>
      </c>
      <c r="G72" s="9">
        <f si="1" t="shared"/>
        <v>1.3525608332242983E-5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8.197279237084219</v>
      </c>
      <c r="G73" s="9">
        <f si="1" t="shared"/>
        <v>5.3354289058769238E-6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4.989406779661042</v>
      </c>
      <c r="G74" s="9">
        <f si="1" t="shared"/>
        <v>1.0864402821492823E-5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2.3</v>
      </c>
      <c r="G75" s="9">
        <f si="1" t="shared"/>
        <v>0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6.72330955118318</v>
      </c>
      <c r="G76" s="9">
        <f si="1" t="shared"/>
        <v>0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3.4499999999999997</v>
      </c>
      <c r="G77" s="9">
        <f ref="G77:G102" si="3" t="shared">F77/F$102</f>
        <v>5.5682887267690107E-6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6.373194193322125</v>
      </c>
      <c r="G78" s="9">
        <f si="3" t="shared"/>
        <v>0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3.4499999999999997</v>
      </c>
      <c r="G79" s="9">
        <f si="3" t="shared"/>
        <v>5.4435049771410973E-6</v>
      </c>
    </row>
    <row r="80" spans="1:7" x14ac:dyDescent="0.25">
      <c r="A80">
        <v>69</v>
      </c>
      <c r="B80" s="6" t="n">
        <v>376.597523036</v>
      </c>
      <c r="C80" s="9">
        <f si="2" t="shared"/>
        <v>2.0507897602826475E-4</v>
      </c>
      <c r="E80" s="371">
        <v>69</v>
      </c>
      <c r="F80" s="371" t="n">
        <v>2.3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2.700497195308028</v>
      </c>
      <c r="G81" s="9">
        <f si="3" t="shared"/>
        <v>0</v>
      </c>
    </row>
    <row r="82" spans="1:7" x14ac:dyDescent="0.25">
      <c r="A82">
        <v>71</v>
      </c>
      <c r="B82" s="6" t="n">
        <v>5138.639889169</v>
      </c>
      <c r="C82" s="9">
        <f si="2" t="shared"/>
        <v>2.7982844872509586E-3</v>
      </c>
      <c r="E82" s="371">
        <v>71</v>
      </c>
      <c r="F82" s="371" t="n">
        <v>1.15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5.223404580045678</v>
      </c>
      <c r="G83" s="9">
        <f si="3" t="shared"/>
        <v>0</v>
      </c>
    </row>
    <row r="84" spans="1:7" x14ac:dyDescent="0.25">
      <c r="A84">
        <v>73</v>
      </c>
      <c r="B84" s="6" t="n">
        <v>224.140299381</v>
      </c>
      <c r="C84" s="9">
        <f si="2" t="shared"/>
        <v>1.2205726344973895E-4</v>
      </c>
      <c r="E84" s="371">
        <v>73</v>
      </c>
      <c r="F84" s="371" t="n">
        <v>6.8999999999999995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5.4767273408842593E-6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1.383997800384635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1.3564649760704048E-7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0.400497195308028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0.0588178294574379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1.15</v>
      </c>
      <c r="G92" s="9">
        <f si="3" t="shared"/>
        <v>0</v>
      </c>
    </row>
    <row r="93" spans="1:7" x14ac:dyDescent="0.25">
      <c r="A93">
        <v>82</v>
      </c>
      <c r="B93" s="6" t="n">
        <v>85.7260115733</v>
      </c>
      <c r="C93" s="9">
        <f si="2" t="shared"/>
        <v>4.6682735804289817E-5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297.868494818</v>
      </c>
      <c r="C95" s="9">
        <f si="2" t="shared"/>
        <v>1.6220649943710991E-4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1.15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176.0946851223</v>
      </c>
      <c r="C101" s="9">
        <f si="2" t="shared"/>
        <v>9.5893667642229342E-5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1836353.6347289735</v>
      </c>
      <c r="C102" s="9">
        <f si="2" t="shared"/>
        <v>1</v>
      </c>
      <c r="F102" s="6">
        <f>SUM(F11:F101)</f>
        <v>1843025.8385604217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0"/>
  <dimension ref="A1:L102"/>
  <sheetViews>
    <sheetView workbookViewId="0">
      <selection activeCell="A6" sqref="A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15595.73792610518</v>
      </c>
      <c r="G11" s="9">
        <f>F11/F$102</f>
        <v>8.8901129584583478E-3</v>
      </c>
      <c r="K11" s="6" t="n">
        <v>28.84352924141742</v>
      </c>
      <c r="L11" s="6" t="n">
        <v>20.481795857833138</v>
      </c>
    </row>
    <row r="12" spans="1:12" x14ac:dyDescent="0.25">
      <c r="A12">
        <v>1</v>
      </c>
      <c r="B12" s="6" t="n">
        <v>5313.254217762</v>
      </c>
      <c r="C12" s="9">
        <f>B12/B$102</f>
        <v>2.8933720157589254E-3</v>
      </c>
      <c r="E12" s="371">
        <v>1</v>
      </c>
      <c r="F12" s="371" t="n">
        <v>48745.60978583511</v>
      </c>
      <c r="G12" s="9">
        <f>F12/F$102</f>
        <v>2.8383774882454613E-2</v>
      </c>
      <c r="K12" s="6"/>
      <c r="L12" s="371"/>
    </row>
    <row r="13" spans="1:12" x14ac:dyDescent="0.25">
      <c r="A13">
        <v>2</v>
      </c>
      <c r="B13" s="6" t="n">
        <v>6389.6046907162</v>
      </c>
      <c r="C13" s="9">
        <f ref="C13:C76" si="0" t="shared">B13/B$102</f>
        <v>3.4795066537710953E-3</v>
      </c>
      <c r="E13" s="371">
        <v>2</v>
      </c>
      <c r="F13" s="371" t="n">
        <v>55894.05569777213</v>
      </c>
      <c r="G13" s="9">
        <f ref="G13:G76" si="1" t="shared">F13/F$102</f>
        <v>3.1955864601957353E-2</v>
      </c>
    </row>
    <row r="14" spans="1:12" x14ac:dyDescent="0.25">
      <c r="A14">
        <v>3</v>
      </c>
      <c r="B14" s="6" t="n">
        <v>13973.773785649</v>
      </c>
      <c r="C14" s="9">
        <f si="0" t="shared"/>
        <v>7.6095222191293133E-3</v>
      </c>
      <c r="E14" s="371">
        <v>3</v>
      </c>
      <c r="F14" s="371" t="n">
        <v>61347.216779739574</v>
      </c>
      <c r="G14" s="9">
        <f si="1" t="shared"/>
        <v>3.5311545502633136E-2</v>
      </c>
    </row>
    <row r="15" spans="1:12" x14ac:dyDescent="0.25">
      <c r="A15">
        <v>4</v>
      </c>
      <c r="B15" s="6" t="n">
        <v>13800.1013854615</v>
      </c>
      <c r="C15" s="9">
        <f si="0" t="shared"/>
        <v>7.5149476247249334E-3</v>
      </c>
      <c r="E15" s="371">
        <v>4</v>
      </c>
      <c r="F15" s="371" t="n">
        <v>63975.58615283599</v>
      </c>
      <c r="G15" s="9">
        <f si="1" t="shared"/>
        <v>3.6340816115281102E-2</v>
      </c>
    </row>
    <row r="16" spans="1:12" x14ac:dyDescent="0.25">
      <c r="A16">
        <v>5</v>
      </c>
      <c r="B16" s="6" t="n">
        <v>34458.8167548928</v>
      </c>
      <c r="C16" s="9">
        <f si="0" t="shared"/>
        <v>1.8764804394540573E-2</v>
      </c>
      <c r="E16" s="371">
        <v>5</v>
      </c>
      <c r="F16" s="371" t="n">
        <v>63194.05256843788</v>
      </c>
      <c r="G16" s="9">
        <f si="1" t="shared"/>
        <v>3.5939215845371991E-2</v>
      </c>
    </row>
    <row r="17" spans="1:7" x14ac:dyDescent="0.25">
      <c r="A17">
        <v>6</v>
      </c>
      <c r="B17" s="6" t="n">
        <v>28394.946194512</v>
      </c>
      <c r="C17" s="9">
        <f si="0" t="shared"/>
        <v>1.5462678678827998E-2</v>
      </c>
      <c r="E17" s="371">
        <v>6</v>
      </c>
      <c r="F17" s="371" t="n">
        <v>59989.24781576547</v>
      </c>
      <c r="G17" s="9">
        <f si="1" t="shared"/>
        <v>3.3598105855389505E-2</v>
      </c>
    </row>
    <row r="18" spans="1:7" x14ac:dyDescent="0.25">
      <c r="A18">
        <v>7</v>
      </c>
      <c r="B18" s="6" t="n">
        <v>26352.3672654389</v>
      </c>
      <c r="C18" s="9">
        <f si="0" t="shared"/>
        <v>1.4350377164324468E-2</v>
      </c>
      <c r="E18" s="371">
        <v>7</v>
      </c>
      <c r="F18" s="371" t="n">
        <v>55806.62124377891</v>
      </c>
      <c r="G18" s="9">
        <f si="1" t="shared"/>
        <v>3.209274249211215E-2</v>
      </c>
    </row>
    <row r="19" spans="1:7" x14ac:dyDescent="0.25">
      <c r="A19">
        <v>8</v>
      </c>
      <c r="B19" s="6" t="n">
        <v>16526.9496719312</v>
      </c>
      <c r="C19" s="9">
        <f si="0" t="shared"/>
        <v>8.9998730959956977E-3</v>
      </c>
      <c r="E19" s="371">
        <v>8</v>
      </c>
      <c r="F19" s="371" t="n">
        <v>50838.28319985576</v>
      </c>
      <c r="G19" s="9">
        <f si="1" t="shared"/>
        <v>2.9106096841295517E-2</v>
      </c>
    </row>
    <row r="20" spans="1:7" x14ac:dyDescent="0.25">
      <c r="A20">
        <v>9</v>
      </c>
      <c r="B20" s="6" t="n">
        <v>26699.4299645152</v>
      </c>
      <c r="C20" s="9">
        <f si="0" t="shared"/>
        <v>1.4539372732777448E-2</v>
      </c>
      <c r="E20" s="371">
        <v>9</v>
      </c>
      <c r="F20" s="371" t="n">
        <v>46012.96333750312</v>
      </c>
      <c r="G20" s="9">
        <f si="1" t="shared"/>
        <v>2.6899364925300991E-2</v>
      </c>
    </row>
    <row r="21" spans="1:7" x14ac:dyDescent="0.25">
      <c r="A21">
        <v>10</v>
      </c>
      <c r="B21" s="6" t="n">
        <v>12987.020080087</v>
      </c>
      <c r="C21" s="9">
        <f si="0" t="shared"/>
        <v>7.072178165728818E-3</v>
      </c>
      <c r="E21" s="371">
        <v>10</v>
      </c>
      <c r="F21" s="371" t="n">
        <v>41282.59861828207</v>
      </c>
      <c r="G21" s="9">
        <f si="1" t="shared"/>
        <v>2.3287805921765502E-2</v>
      </c>
    </row>
    <row r="22" spans="1:7" x14ac:dyDescent="0.25">
      <c r="A22">
        <v>11</v>
      </c>
      <c r="B22" s="6" t="n">
        <v>30669.6281921</v>
      </c>
      <c r="C22" s="9">
        <f si="0" t="shared"/>
        <v>1.6701373641807567E-2</v>
      </c>
      <c r="E22" s="371">
        <v>11</v>
      </c>
      <c r="F22" s="371" t="n">
        <v>36253.02136148003</v>
      </c>
      <c r="G22" s="9">
        <f si="1" t="shared"/>
        <v>2.1123378076777125E-2</v>
      </c>
    </row>
    <row r="23" spans="1:7" x14ac:dyDescent="0.25">
      <c r="A23">
        <v>12</v>
      </c>
      <c r="B23" s="6" t="n">
        <v>20330.218013868</v>
      </c>
      <c r="C23" s="9">
        <f si="0" t="shared"/>
        <v>1.1070971096952426E-2</v>
      </c>
      <c r="E23" s="371">
        <v>12</v>
      </c>
      <c r="F23" s="371" t="n">
        <v>33334.49979081024</v>
      </c>
      <c r="G23" s="9">
        <f si="1" t="shared"/>
        <v>1.8933210602403945E-2</v>
      </c>
    </row>
    <row r="24" spans="1:7" x14ac:dyDescent="0.25">
      <c r="A24">
        <v>13</v>
      </c>
      <c r="B24" s="6" t="n">
        <v>41291.8230397567</v>
      </c>
      <c r="C24" s="9">
        <f si="0" t="shared"/>
        <v>2.2485768677039667E-2</v>
      </c>
      <c r="E24" s="371">
        <v>13</v>
      </c>
      <c r="F24" s="371" t="n">
        <v>29885.02997102637</v>
      </c>
      <c r="G24" s="9">
        <f si="1" t="shared"/>
        <v>1.6899133959327343E-2</v>
      </c>
    </row>
    <row r="25" spans="1:7" x14ac:dyDescent="0.25">
      <c r="A25">
        <v>14</v>
      </c>
      <c r="B25" s="6" t="n">
        <v>29980.0848011551</v>
      </c>
      <c r="C25" s="9">
        <f si="0" t="shared"/>
        <v>1.6325877670931199E-2</v>
      </c>
      <c r="E25" s="371">
        <v>14</v>
      </c>
      <c r="F25" s="371" t="n">
        <v>25516.362490555523</v>
      </c>
      <c r="G25" s="9">
        <f si="1" t="shared"/>
        <v>1.4780760921002417E-2</v>
      </c>
    </row>
    <row r="26" spans="1:7" x14ac:dyDescent="0.25">
      <c r="A26">
        <v>15</v>
      </c>
      <c r="B26" s="6" t="n">
        <v>17899.9419861152</v>
      </c>
      <c r="C26" s="9">
        <f si="0" t="shared"/>
        <v>9.7475462501301052E-3</v>
      </c>
      <c r="E26" s="371">
        <v>15</v>
      </c>
      <c r="F26" s="371" t="n">
        <v>23998.309717946773</v>
      </c>
      <c r="G26" s="9">
        <f si="1" t="shared"/>
        <v>1.4101883125160707E-2</v>
      </c>
    </row>
    <row r="27" spans="1:7" x14ac:dyDescent="0.25">
      <c r="A27">
        <v>16</v>
      </c>
      <c r="B27" s="6" t="n">
        <v>72842.591019337</v>
      </c>
      <c r="C27" s="9">
        <f si="0" t="shared"/>
        <v>3.9666973529359328E-2</v>
      </c>
      <c r="E27" s="371">
        <v>16</v>
      </c>
      <c r="F27" s="371" t="n">
        <v>21483.18790074163</v>
      </c>
      <c r="G27" s="9">
        <f si="1" t="shared"/>
        <v>1.2799518199141817E-2</v>
      </c>
    </row>
    <row r="28" spans="1:7" x14ac:dyDescent="0.25">
      <c r="A28">
        <v>17</v>
      </c>
      <c r="B28" s="6" t="n">
        <v>46574.5812964009</v>
      </c>
      <c r="C28" s="9">
        <f si="0" t="shared"/>
        <v>2.5362533890850938E-2</v>
      </c>
      <c r="E28" s="371">
        <v>17</v>
      </c>
      <c r="F28" s="371" t="n">
        <v>19236.770044422152</v>
      </c>
      <c r="G28" s="9">
        <f si="1" t="shared"/>
        <v>1.1057415251591976E-2</v>
      </c>
    </row>
    <row r="29" spans="1:7" x14ac:dyDescent="0.25">
      <c r="A29">
        <v>18</v>
      </c>
      <c r="B29" s="6" t="n">
        <v>113264.1225477295</v>
      </c>
      <c r="C29" s="9">
        <f si="0" t="shared"/>
        <v>6.1678818505154685E-2</v>
      </c>
      <c r="E29" s="371">
        <v>18</v>
      </c>
      <c r="F29" s="371" t="n">
        <v>166342.74359625712</v>
      </c>
      <c r="G29" s="9">
        <f si="1" t="shared"/>
        <v>9.5277868528480497E-2</v>
      </c>
    </row>
    <row r="30" spans="1:7" x14ac:dyDescent="0.25">
      <c r="A30">
        <v>19</v>
      </c>
      <c r="B30" s="6" t="n">
        <v>83456.4227470186</v>
      </c>
      <c r="C30" s="9">
        <f si="0" t="shared"/>
        <v>4.5446814365543424E-2</v>
      </c>
      <c r="E30" s="371">
        <v>19</v>
      </c>
      <c r="F30" s="371" t="n">
        <v>58242.9363105875</v>
      </c>
      <c r="G30" s="9">
        <f si="1" t="shared"/>
        <v>3.3163860685946067E-2</v>
      </c>
    </row>
    <row r="31" spans="1:7" x14ac:dyDescent="0.25">
      <c r="A31">
        <v>20</v>
      </c>
      <c r="B31" s="6" t="n">
        <v>112739.6663888013</v>
      </c>
      <c r="C31" s="9">
        <f si="0" t="shared"/>
        <v>6.1393222011641824E-2</v>
      </c>
      <c r="E31" s="371">
        <v>20</v>
      </c>
      <c r="F31" s="371" t="n">
        <v>48622.51627799066</v>
      </c>
      <c r="G31" s="9">
        <f si="1" t="shared"/>
        <v>2.7487593773005057E-2</v>
      </c>
    </row>
    <row r="32" spans="1:7" x14ac:dyDescent="0.25">
      <c r="A32">
        <v>21</v>
      </c>
      <c r="B32" s="6" t="n">
        <v>116179.21893637891</v>
      </c>
      <c r="C32" s="9">
        <f si="0" t="shared"/>
        <v>6.3266255877520952E-2</v>
      </c>
      <c r="E32" s="371">
        <v>21</v>
      </c>
      <c r="F32" s="371" t="n">
        <v>70867.74503806762</v>
      </c>
      <c r="G32" s="9">
        <f si="1" t="shared"/>
        <v>4.3611716252473426E-2</v>
      </c>
    </row>
    <row r="33" spans="1:7" x14ac:dyDescent="0.25">
      <c r="A33">
        <v>22</v>
      </c>
      <c r="B33" s="6" t="n">
        <v>67523.3369071275</v>
      </c>
      <c r="C33" s="9">
        <f si="0" t="shared"/>
        <v>3.6770334226551751E-2</v>
      </c>
      <c r="E33" s="371">
        <v>22</v>
      </c>
      <c r="F33" s="371" t="n">
        <v>67132.26781581686</v>
      </c>
      <c r="G33" s="9">
        <f si="1" t="shared"/>
        <v>3.5571142408777755E-2</v>
      </c>
    </row>
    <row r="34" spans="1:7" x14ac:dyDescent="0.25">
      <c r="A34">
        <v>23</v>
      </c>
      <c r="B34" s="6" t="n">
        <v>50583.3154186086</v>
      </c>
      <c r="C34" s="9">
        <f si="0" t="shared"/>
        <v>2.754551980728601E-2</v>
      </c>
      <c r="E34" s="371">
        <v>23</v>
      </c>
      <c r="F34" s="371" t="n">
        <v>52314.35869816179</v>
      </c>
      <c r="G34" s="9">
        <f si="1" t="shared"/>
        <v>2.7879749212168584E-2</v>
      </c>
    </row>
    <row r="35" spans="1:7" x14ac:dyDescent="0.25">
      <c r="A35">
        <v>24</v>
      </c>
      <c r="B35" s="6" t="n">
        <v>80460.4084551868</v>
      </c>
      <c r="C35" s="9">
        <f si="0" t="shared"/>
        <v>4.381531254847975E-2</v>
      </c>
      <c r="E35" s="371">
        <v>24</v>
      </c>
      <c r="F35" s="371" t="n">
        <v>45327.00509932275</v>
      </c>
      <c r="G35" s="9">
        <f si="1" t="shared"/>
        <v>2.654429149859916E-2</v>
      </c>
    </row>
    <row r="36" spans="1:7" x14ac:dyDescent="0.25">
      <c r="A36">
        <v>25</v>
      </c>
      <c r="B36" s="6" t="n">
        <v>35770.8225262329</v>
      </c>
      <c r="C36" s="9">
        <f si="0" t="shared"/>
        <v>1.9479266874167345E-2</v>
      </c>
      <c r="E36" s="371">
        <v>25</v>
      </c>
      <c r="F36" s="371" t="n">
        <v>39139.53372186584</v>
      </c>
      <c r="G36" s="9">
        <f si="1" t="shared"/>
        <v>2.1607090458610839E-2</v>
      </c>
    </row>
    <row r="37" spans="1:7" x14ac:dyDescent="0.25">
      <c r="A37">
        <v>26</v>
      </c>
      <c r="B37" s="6" t="n">
        <v>112389.3691747498</v>
      </c>
      <c r="C37" s="9">
        <f si="0" t="shared"/>
        <v>6.1202465064054655E-2</v>
      </c>
      <c r="E37" s="371">
        <v>26</v>
      </c>
      <c r="F37" s="371" t="n">
        <v>34278.46630161226</v>
      </c>
      <c r="G37" s="9">
        <f si="1" t="shared"/>
        <v>2.2355715640760155E-2</v>
      </c>
    </row>
    <row r="38" spans="1:7" x14ac:dyDescent="0.25">
      <c r="A38">
        <v>27</v>
      </c>
      <c r="B38" s="6" t="n">
        <v>24031.5465713304</v>
      </c>
      <c r="C38" s="9">
        <f si="0" t="shared"/>
        <v>1.3086557031743617E-2</v>
      </c>
      <c r="E38" s="371">
        <v>27</v>
      </c>
      <c r="F38" s="371" t="n">
        <v>25753.018242288937</v>
      </c>
      <c r="G38" s="9">
        <f si="1" t="shared"/>
        <v>1.4792871987214809E-2</v>
      </c>
    </row>
    <row r="39" spans="1:7" x14ac:dyDescent="0.25">
      <c r="A39">
        <v>28</v>
      </c>
      <c r="B39" s="6" t="n">
        <v>33903.287707423</v>
      </c>
      <c r="C39" s="9">
        <f si="0" t="shared"/>
        <v>1.8462286928969847E-2</v>
      </c>
      <c r="E39" s="371">
        <v>28</v>
      </c>
      <c r="F39" s="371" t="n">
        <v>26905.760586830456</v>
      </c>
      <c r="G39" s="9">
        <f si="1" t="shared"/>
        <v>1.4994086859069278E-2</v>
      </c>
    </row>
    <row r="40" spans="1:7" x14ac:dyDescent="0.25">
      <c r="A40">
        <v>29</v>
      </c>
      <c r="B40" s="6" t="n">
        <v>33390.5943867468</v>
      </c>
      <c r="C40" s="9">
        <f si="0" t="shared"/>
        <v>1.8183095976323154E-2</v>
      </c>
      <c r="E40" s="371">
        <v>29</v>
      </c>
      <c r="F40" s="371" t="n">
        <v>34739.12891719511</v>
      </c>
      <c r="G40" s="9">
        <f si="1" t="shared"/>
        <v>1.6306171808876627E-2</v>
      </c>
    </row>
    <row r="41" spans="1:7" x14ac:dyDescent="0.25">
      <c r="A41">
        <v>30</v>
      </c>
      <c r="B41" s="6" t="n">
        <v>12524.7176558547</v>
      </c>
      <c r="C41" s="9">
        <f si="0" t="shared"/>
        <v>6.8204279497087253E-3</v>
      </c>
      <c r="E41" s="371">
        <v>30</v>
      </c>
      <c r="F41" s="371" t="n">
        <v>22468.932677517325</v>
      </c>
      <c r="G41" s="9">
        <f si="1" t="shared"/>
        <v>1.6815575768801484E-2</v>
      </c>
    </row>
    <row r="42" spans="1:7" x14ac:dyDescent="0.25">
      <c r="A42">
        <v>31</v>
      </c>
      <c r="B42" s="6" t="n">
        <v>25089.3246470452</v>
      </c>
      <c r="C42" s="9">
        <f si="0" t="shared"/>
        <v>1.366257793300696E-2</v>
      </c>
      <c r="E42" s="371">
        <v>31</v>
      </c>
      <c r="F42" s="371" t="n">
        <v>21689.95180502434</v>
      </c>
      <c r="G42" s="9">
        <f si="1" t="shared"/>
        <v>1.1576185450041037E-2</v>
      </c>
    </row>
    <row r="43" spans="1:7" x14ac:dyDescent="0.25">
      <c r="A43">
        <v>32</v>
      </c>
      <c r="B43" s="6" t="n">
        <v>14873.1976608673</v>
      </c>
      <c r="C43" s="9">
        <f si="0" t="shared"/>
        <v>8.0993101653116101E-3</v>
      </c>
      <c r="E43" s="371">
        <v>32</v>
      </c>
      <c r="F43" s="371" t="n">
        <v>16113.924004807468</v>
      </c>
      <c r="G43" s="9">
        <f si="1" t="shared"/>
        <v>1.1226732309482786E-2</v>
      </c>
    </row>
    <row r="44" spans="1:7" x14ac:dyDescent="0.25">
      <c r="A44">
        <v>33</v>
      </c>
      <c r="B44" s="6" t="n">
        <v>27548.4082023621</v>
      </c>
      <c r="C44" s="9">
        <f si="0" t="shared"/>
        <v>1.5001690132754824E-2</v>
      </c>
      <c r="E44" s="371">
        <v>33</v>
      </c>
      <c r="F44" s="371" t="n">
        <v>20887.771938554368</v>
      </c>
      <c r="G44" s="9">
        <f si="1" t="shared"/>
        <v>1.3157830834164708E-2</v>
      </c>
    </row>
    <row r="45" spans="1:7" x14ac:dyDescent="0.25">
      <c r="A45">
        <v>34</v>
      </c>
      <c r="B45" s="6" t="n">
        <v>37714.2587981178</v>
      </c>
      <c r="C45" s="9">
        <f si="0" t="shared"/>
        <v>2.0537579518927478E-2</v>
      </c>
      <c r="E45" s="371">
        <v>34</v>
      </c>
      <c r="F45" s="371" t="n">
        <v>25169.69571810825</v>
      </c>
      <c r="G45" s="9">
        <f si="1" t="shared"/>
        <v>1.3162103725055441E-2</v>
      </c>
    </row>
    <row r="46" spans="1:7" x14ac:dyDescent="0.25">
      <c r="A46">
        <v>35</v>
      </c>
      <c r="B46" s="6" t="n">
        <v>24955.9714428659</v>
      </c>
      <c r="C46" s="9">
        <f si="0" t="shared"/>
        <v>1.3589959456011389E-2</v>
      </c>
      <c r="E46" s="371">
        <v>35</v>
      </c>
      <c r="F46" s="371" t="n">
        <v>16519.422250453426</v>
      </c>
      <c r="G46" s="9">
        <f si="1" t="shared"/>
        <v>1.0565086712207713E-2</v>
      </c>
    </row>
    <row r="47" spans="1:7" x14ac:dyDescent="0.25">
      <c r="A47">
        <v>36</v>
      </c>
      <c r="B47" s="6" t="n">
        <v>11672.6343034436</v>
      </c>
      <c r="C47" s="9">
        <f si="0" t="shared"/>
        <v>6.356419636551299E-3</v>
      </c>
      <c r="E47" s="371">
        <v>36</v>
      </c>
      <c r="F47" s="371" t="n">
        <v>11655.911079961252</v>
      </c>
      <c r="G47" s="9">
        <f si="1" t="shared"/>
        <v>7.3762627682631447E-3</v>
      </c>
    </row>
    <row r="48" spans="1:7" x14ac:dyDescent="0.25">
      <c r="A48">
        <v>37</v>
      </c>
      <c r="B48" s="6" t="n">
        <v>24737.8694603382</v>
      </c>
      <c r="C48" s="9">
        <f si="0" t="shared"/>
        <v>1.3471190402816528E-2</v>
      </c>
      <c r="E48" s="371">
        <v>37</v>
      </c>
      <c r="F48" s="371" t="n">
        <v>12042.805761642014</v>
      </c>
      <c r="G48" s="9">
        <f si="1" t="shared"/>
        <v>6.0293804396863047E-3</v>
      </c>
    </row>
    <row r="49" spans="1:7" x14ac:dyDescent="0.25">
      <c r="A49">
        <v>38</v>
      </c>
      <c r="B49" s="6" t="n">
        <v>22185.304254814</v>
      </c>
      <c r="C49" s="9">
        <f si="0" t="shared"/>
        <v>1.2081172076688984E-2</v>
      </c>
      <c r="E49" s="371">
        <v>38</v>
      </c>
      <c r="F49" s="371" t="n">
        <v>12593.569067475246</v>
      </c>
      <c r="G49" s="9">
        <f si="1" t="shared"/>
        <v>6.6672893906780991E-3</v>
      </c>
    </row>
    <row r="50" spans="1:7" x14ac:dyDescent="0.25">
      <c r="A50">
        <v>39</v>
      </c>
      <c r="B50" s="6" t="n">
        <v>10317.9096040444</v>
      </c>
      <c r="C50" s="9">
        <f si="0" t="shared"/>
        <v>5.6186942476181686E-3</v>
      </c>
      <c r="E50" s="371">
        <v>39</v>
      </c>
      <c r="F50" s="371" t="n">
        <v>11652.21479509702</v>
      </c>
      <c r="G50" s="9">
        <f si="1" t="shared"/>
        <v>8.0212593168415211E-3</v>
      </c>
    </row>
    <row r="51" spans="1:7" x14ac:dyDescent="0.25">
      <c r="A51">
        <v>40</v>
      </c>
      <c r="B51" s="6" t="n">
        <v>17700.9045033165</v>
      </c>
      <c r="C51" s="9">
        <f si="0" t="shared"/>
        <v>9.6391589117468448E-3</v>
      </c>
      <c r="E51" s="371">
        <v>40</v>
      </c>
      <c r="F51" s="371" t="n">
        <v>11417.70360231375</v>
      </c>
      <c r="G51" s="9">
        <f si="1" t="shared"/>
        <v>7.67199037379799E-3</v>
      </c>
    </row>
    <row r="52" spans="1:7" x14ac:dyDescent="0.25">
      <c r="A52">
        <v>41</v>
      </c>
      <c r="B52" s="6" t="n">
        <v>17719.2764140243</v>
      </c>
      <c r="C52" s="9">
        <f si="0" t="shared"/>
        <v>9.6491634720670127E-3</v>
      </c>
      <c r="E52" s="371">
        <v>41</v>
      </c>
      <c r="F52" s="371" t="n">
        <v>7491.3942600322225</v>
      </c>
      <c r="G52" s="9">
        <f si="1" t="shared"/>
        <v>4.3018475852240213E-3</v>
      </c>
    </row>
    <row r="53" spans="1:7" x14ac:dyDescent="0.25">
      <c r="A53">
        <v>42</v>
      </c>
      <c r="B53" s="6" t="n">
        <v>4971.9996765032</v>
      </c>
      <c r="C53" s="9">
        <f si="0" t="shared"/>
        <v>2.7075393227497897E-3</v>
      </c>
      <c r="E53" s="371">
        <v>42</v>
      </c>
      <c r="F53" s="371" t="n">
        <v>7961.568243191786</v>
      </c>
      <c r="G53" s="9">
        <f si="1" t="shared"/>
        <v>4.1720712130508767E-3</v>
      </c>
    </row>
    <row r="54" spans="1:7" x14ac:dyDescent="0.25">
      <c r="A54">
        <v>43</v>
      </c>
      <c r="B54" s="6" t="n">
        <v>4521.353864761</v>
      </c>
      <c r="C54" s="9">
        <f si="0" t="shared"/>
        <v>2.4621368015688896E-3</v>
      </c>
      <c r="E54" s="371">
        <v>43</v>
      </c>
      <c r="F54" s="371" t="n">
        <v>6919.227588533633</v>
      </c>
      <c r="G54" s="9">
        <f si="1" t="shared"/>
        <v>4.7762687642846861E-3</v>
      </c>
    </row>
    <row r="55" spans="1:7" x14ac:dyDescent="0.25">
      <c r="A55">
        <v>44</v>
      </c>
      <c r="B55" s="6" t="n">
        <v>5576.0734471752</v>
      </c>
      <c r="C55" s="9">
        <f si="0" t="shared"/>
        <v>3.0364921776072666E-3</v>
      </c>
      <c r="E55" s="371">
        <v>44</v>
      </c>
      <c r="F55" s="371" t="n">
        <v>8811.577690547168</v>
      </c>
      <c r="G55" s="9">
        <f si="1" t="shared"/>
        <v>4.8816469803942622E-3</v>
      </c>
    </row>
    <row r="56" spans="1:7" x14ac:dyDescent="0.25">
      <c r="A56">
        <v>45</v>
      </c>
      <c r="B56" s="6" t="n">
        <v>97690.7346128137</v>
      </c>
      <c r="C56" s="9">
        <f si="0" t="shared"/>
        <v>5.3198214529758488E-2</v>
      </c>
      <c r="E56" s="371">
        <v>45</v>
      </c>
      <c r="F56" s="371" t="n">
        <v>5993.526406984789</v>
      </c>
      <c r="G56" s="9">
        <f si="1" t="shared"/>
        <v>3.1413718091054059E-3</v>
      </c>
    </row>
    <row r="57" spans="1:7" x14ac:dyDescent="0.25">
      <c r="A57">
        <v>46</v>
      </c>
      <c r="B57" s="6" t="n">
        <v>6548.0381223014</v>
      </c>
      <c r="C57" s="9">
        <f si="0" t="shared"/>
        <v>3.5657827547294946E-3</v>
      </c>
      <c r="E57" s="371">
        <v>46</v>
      </c>
      <c r="F57" s="371" t="n">
        <v>5276.315501808163</v>
      </c>
      <c r="G57" s="9">
        <f si="1" t="shared"/>
        <v>4.212650746494794E-3</v>
      </c>
    </row>
    <row r="58" spans="1:7" x14ac:dyDescent="0.25">
      <c r="A58">
        <v>47</v>
      </c>
      <c r="B58" s="6" t="n">
        <v>5066.7335276113</v>
      </c>
      <c r="C58" s="9">
        <f si="0" t="shared"/>
        <v>2.7591273444230124E-3</v>
      </c>
      <c r="E58" s="371">
        <v>47</v>
      </c>
      <c r="F58" s="371" t="n">
        <v>4884.743908218715</v>
      </c>
      <c r="G58" s="9">
        <f si="1" t="shared"/>
        <v>3.1894432801711863E-3</v>
      </c>
    </row>
    <row r="59" spans="1:7" x14ac:dyDescent="0.25">
      <c r="A59">
        <v>48</v>
      </c>
      <c r="B59" s="6" t="n">
        <v>1103.2167900027</v>
      </c>
      <c r="C59" s="9">
        <f si="0" t="shared"/>
        <v>6.0076489034505771E-4</v>
      </c>
      <c r="E59" s="371">
        <v>48</v>
      </c>
      <c r="F59" s="371" t="n">
        <v>4864.062195767799</v>
      </c>
      <c r="G59" s="9">
        <f si="1" t="shared"/>
        <v>2.9097980157675816E-3</v>
      </c>
    </row>
    <row r="60" spans="1:7" x14ac:dyDescent="0.25">
      <c r="A60">
        <v>49</v>
      </c>
      <c r="B60" s="6" t="n">
        <v>3178.6539217439</v>
      </c>
      <c r="C60" s="9">
        <f si="0" t="shared"/>
        <v>1.7309595829634609E-3</v>
      </c>
      <c r="E60" s="371">
        <v>49</v>
      </c>
      <c r="F60" s="371" t="n">
        <v>5189.407398653841</v>
      </c>
      <c r="G60" s="9">
        <f si="1" t="shared"/>
        <v>2.8774606145264784E-3</v>
      </c>
    </row>
    <row r="61" spans="1:7" x14ac:dyDescent="0.25">
      <c r="A61">
        <v>50</v>
      </c>
      <c r="B61" s="6" t="n">
        <v>2798.5643410527</v>
      </c>
      <c r="C61" s="9">
        <f si="0" t="shared"/>
        <v>1.523978981023303E-3</v>
      </c>
      <c r="E61" s="371">
        <v>50</v>
      </c>
      <c r="F61" s="371" t="n">
        <v>3047.526020700558</v>
      </c>
      <c r="G61" s="9">
        <f si="1" t="shared"/>
        <v>2.5122867633805487E-3</v>
      </c>
    </row>
    <row r="62" spans="1:7" x14ac:dyDescent="0.25">
      <c r="A62">
        <v>51</v>
      </c>
      <c r="B62" s="6" t="n">
        <v>1402.4920803706</v>
      </c>
      <c r="C62" s="9">
        <f si="0" t="shared"/>
        <v>7.6373747073917649E-4</v>
      </c>
      <c r="E62" s="371">
        <v>51</v>
      </c>
      <c r="F62" s="371" t="n">
        <v>3746.8934122261244</v>
      </c>
      <c r="G62" s="9">
        <f si="1" t="shared"/>
        <v>2.3667193813587269E-3</v>
      </c>
    </row>
    <row r="63" spans="1:7" x14ac:dyDescent="0.25">
      <c r="A63">
        <v>52</v>
      </c>
      <c r="B63" s="6" t="n">
        <v>1700.5931489561</v>
      </c>
      <c r="C63" s="9">
        <f si="0" t="shared"/>
        <v>9.260706199473881E-4</v>
      </c>
      <c r="E63" s="371">
        <v>52</v>
      </c>
      <c r="F63" s="371" t="n">
        <v>2849.743509900482</v>
      </c>
      <c r="G63" s="9">
        <f si="1" t="shared"/>
        <v>1.7633031212986705E-3</v>
      </c>
    </row>
    <row r="64" spans="1:7" x14ac:dyDescent="0.25">
      <c r="A64">
        <v>53</v>
      </c>
      <c r="B64" s="6" t="n">
        <v>3572.4721361389998</v>
      </c>
      <c r="C64" s="9">
        <f si="0" t="shared"/>
        <v>1.9454162142719632E-3</v>
      </c>
      <c r="E64" s="371">
        <v>53</v>
      </c>
      <c r="F64" s="371" t="n">
        <v>3073.611828359333</v>
      </c>
      <c r="G64" s="9">
        <f si="1" t="shared"/>
        <v>1.6729605146196438E-3</v>
      </c>
    </row>
    <row r="65" spans="1:7" x14ac:dyDescent="0.25">
      <c r="A65">
        <v>54</v>
      </c>
      <c r="B65" s="6" t="n">
        <v>6716.766130417</v>
      </c>
      <c r="C65" s="9">
        <f si="0" t="shared"/>
        <v>3.657664843737096E-3</v>
      </c>
      <c r="E65" s="371">
        <v>54</v>
      </c>
      <c r="F65" s="371" t="n">
        <v>2337.5711632256625</v>
      </c>
      <c r="G65" s="9">
        <f si="1" t="shared"/>
        <v>1.4214256238482856E-3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2155.978461057504</v>
      </c>
      <c r="G66" s="9">
        <f si="1" t="shared"/>
        <v>1.9417118022392367E-3</v>
      </c>
    </row>
    <row r="67" spans="1:7" x14ac:dyDescent="0.25">
      <c r="A67">
        <v>56</v>
      </c>
      <c r="B67" s="6" t="n">
        <v>1908.1655340476</v>
      </c>
      <c r="C67" s="9">
        <f si="0" t="shared"/>
        <v>1.0391057027146218E-3</v>
      </c>
      <c r="E67" s="371">
        <v>56</v>
      </c>
      <c r="F67" s="371" t="n">
        <v>2945.241943527066</v>
      </c>
      <c r="G67" s="9">
        <f si="1" t="shared"/>
        <v>1.6725752594682734E-3</v>
      </c>
    </row>
    <row r="68" spans="1:7" x14ac:dyDescent="0.25">
      <c r="A68">
        <v>57</v>
      </c>
      <c r="B68" s="6" t="n">
        <v>1557.3016408869998</v>
      </c>
      <c r="C68" s="9">
        <f si="0" t="shared"/>
        <v>8.4804016581307388E-4</v>
      </c>
      <c r="E68" s="371">
        <v>57</v>
      </c>
      <c r="F68" s="371" t="n">
        <v>1860.8603858111671</v>
      </c>
      <c r="G68" s="9">
        <f si="1" t="shared"/>
        <v>1.2261085808525495E-3</v>
      </c>
    </row>
    <row r="69" spans="1:7" x14ac:dyDescent="0.25">
      <c r="A69">
        <v>58</v>
      </c>
      <c r="B69" s="6" t="n">
        <v>5955.264272062</v>
      </c>
      <c r="C69" s="9">
        <f si="0" t="shared"/>
        <v>3.2429833554041641E-3</v>
      </c>
      <c r="E69" s="371">
        <v>58</v>
      </c>
      <c r="F69" s="371" t="n">
        <v>3232.5350990736983</v>
      </c>
      <c r="G69" s="9">
        <f si="1" t="shared"/>
        <v>1.1742334280542964E-3</v>
      </c>
    </row>
    <row r="70" spans="1:7" x14ac:dyDescent="0.25">
      <c r="A70">
        <v>59</v>
      </c>
      <c r="B70" s="6" t="n">
        <v>5238.3987727063</v>
      </c>
      <c r="C70" s="9">
        <f si="0" t="shared"/>
        <v>2.8526089276259864E-3</v>
      </c>
      <c r="E70" s="371">
        <v>59</v>
      </c>
      <c r="F70" s="371" t="n">
        <v>1803.4722666541252</v>
      </c>
      <c r="G70" s="9">
        <f si="1" t="shared"/>
        <v>1.2075041872087696E-3</v>
      </c>
    </row>
    <row r="71" spans="1:7" x14ac:dyDescent="0.25">
      <c r="A71">
        <v>60</v>
      </c>
      <c r="B71" s="6" t="n">
        <v>4981.3137635427</v>
      </c>
      <c r="C71" s="9">
        <f si="0" t="shared"/>
        <v>2.7126113779701744E-3</v>
      </c>
      <c r="E71" s="371">
        <v>60</v>
      </c>
      <c r="F71" s="371" t="n">
        <v>1538.395651134423</v>
      </c>
      <c r="G71" s="9">
        <f si="1" t="shared"/>
        <v>9.4677873791840423E-4</v>
      </c>
    </row>
    <row r="72" spans="1:7" x14ac:dyDescent="0.25">
      <c r="A72">
        <v>61</v>
      </c>
      <c r="B72" s="6" t="n">
        <v>6562.2558684261</v>
      </c>
      <c r="C72" s="9">
        <f si="0" t="shared"/>
        <v>3.5735251338964566E-3</v>
      </c>
      <c r="E72" s="371">
        <v>61</v>
      </c>
      <c r="F72" s="371" t="n">
        <v>1295.422987445081</v>
      </c>
      <c r="G72" s="9">
        <f si="1" t="shared"/>
        <v>8.109019971361904E-4</v>
      </c>
    </row>
    <row r="73" spans="1:7" x14ac:dyDescent="0.25">
      <c r="A73">
        <v>62</v>
      </c>
      <c r="B73" s="6" t="n">
        <v>249.386870068</v>
      </c>
      <c r="C73" s="9">
        <f si="0" t="shared"/>
        <v>1.3580547088077992E-4</v>
      </c>
      <c r="E73" s="371">
        <v>62</v>
      </c>
      <c r="F73" s="371" t="n">
        <v>1348.1580113282043</v>
      </c>
      <c r="G73" s="9">
        <f si="1" t="shared"/>
        <v>9.4716642549470841E-4</v>
      </c>
    </row>
    <row r="74" spans="1:7" x14ac:dyDescent="0.25">
      <c r="A74">
        <v>63</v>
      </c>
      <c r="B74" s="6" t="n">
        <v>803.2207739549999</v>
      </c>
      <c r="C74" s="9">
        <f si="0" t="shared"/>
        <v>4.3739983343325198E-4</v>
      </c>
      <c r="E74" s="371">
        <v>63</v>
      </c>
      <c r="F74" s="371" t="n">
        <v>1135.5737948114868</v>
      </c>
      <c r="G74" s="9">
        <f si="1" t="shared"/>
        <v>7.453816550245417E-4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1080.6107314606718</v>
      </c>
      <c r="G75" s="9">
        <f si="1" t="shared"/>
        <v>8.4930144103330081E-4</v>
      </c>
    </row>
    <row r="76" spans="1:7" x14ac:dyDescent="0.25">
      <c r="A76">
        <v>65</v>
      </c>
      <c r="B76" s="6" t="n">
        <v>2021.7684500008</v>
      </c>
      <c r="C76" s="9">
        <f si="0" t="shared"/>
        <v>1.100969013683027E-3</v>
      </c>
      <c r="E76" s="371">
        <v>65</v>
      </c>
      <c r="F76" s="371" t="n">
        <v>1026.3614808117031</v>
      </c>
      <c r="G76" s="9">
        <f si="1" t="shared"/>
        <v>5.8580655943655797E-4</v>
      </c>
    </row>
    <row r="77" spans="1:7" x14ac:dyDescent="0.25">
      <c r="A77">
        <v>66</v>
      </c>
      <c r="B77" s="6" t="n">
        <v>915.373954487</v>
      </c>
      <c r="C77" s="9">
        <f ref="C77:C102" si="2" t="shared">B77/B$102</f>
        <v>4.9847368021906059E-4</v>
      </c>
      <c r="E77" s="371">
        <v>66</v>
      </c>
      <c r="F77" s="371" t="n">
        <v>1095.5544521825839</v>
      </c>
      <c r="G77" s="9">
        <f ref="G77:G102" si="3" t="shared">F77/F$102</f>
        <v>6.245261329561355E-4</v>
      </c>
    </row>
    <row r="78" spans="1:7" x14ac:dyDescent="0.25">
      <c r="A78">
        <v>67</v>
      </c>
      <c r="B78" s="6" t="n">
        <v>6064.041144876</v>
      </c>
      <c r="C78" s="9">
        <f si="2" t="shared"/>
        <v>3.3022186087654014E-3</v>
      </c>
      <c r="E78" s="371">
        <v>67</v>
      </c>
      <c r="F78" s="371" t="n">
        <v>886.3372075375809</v>
      </c>
      <c r="G78" s="9">
        <f si="3" t="shared"/>
        <v>5.8700334208919302E-4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1143.9514395556287</v>
      </c>
      <c r="G79" s="9">
        <f si="3" t="shared"/>
        <v>5.7850232601642322E-4</v>
      </c>
    </row>
    <row r="80" spans="1:7" x14ac:dyDescent="0.25">
      <c r="A80">
        <v>69</v>
      </c>
      <c r="B80" s="6" t="n">
        <v>2099.717678017</v>
      </c>
      <c r="C80" s="9">
        <f si="2" t="shared"/>
        <v>1.1434168442871276E-3</v>
      </c>
      <c r="E80" s="371">
        <v>69</v>
      </c>
      <c r="F80" s="371" t="n">
        <v>844.1525488551541</v>
      </c>
      <c r="G80" s="9">
        <f si="3" t="shared"/>
        <v>5.139648462512299E-4</v>
      </c>
    </row>
    <row r="81" spans="1:7" x14ac:dyDescent="0.25">
      <c r="A81">
        <v>70</v>
      </c>
      <c r="B81" s="6" t="n">
        <v>4.59375</v>
      </c>
      <c r="C81" s="9">
        <f si="2" t="shared"/>
        <v>2.501560654289765E-6</v>
      </c>
      <c r="E81" s="371">
        <v>70</v>
      </c>
      <c r="F81" s="371" t="n">
        <v>748.0002116457206</v>
      </c>
      <c r="G81" s="9">
        <f si="3" t="shared"/>
        <v>5.1353384277464265E-4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740.3632383795172</v>
      </c>
      <c r="G82" s="9">
        <f si="3" t="shared"/>
        <v>6.2186237498650294E-4</v>
      </c>
    </row>
    <row r="83" spans="1:7" x14ac:dyDescent="0.25">
      <c r="A83">
        <v>72</v>
      </c>
      <c r="B83" s="6" t="n">
        <v>16235.1886455532</v>
      </c>
      <c r="C83" s="9">
        <f si="2" t="shared"/>
        <v>8.840992463823201E-3</v>
      </c>
      <c r="E83" s="371">
        <v>72</v>
      </c>
      <c r="F83" s="371" t="n">
        <v>690.0979757358617</v>
      </c>
      <c r="G83" s="9">
        <f si="3" t="shared"/>
        <v>4.500651862363886E-4</v>
      </c>
    </row>
    <row r="84" spans="1:7" x14ac:dyDescent="0.25">
      <c r="A84">
        <v>73</v>
      </c>
      <c r="B84" s="6" t="n">
        <v>1610.438278859</v>
      </c>
      <c r="C84" s="9">
        <f si="2" t="shared"/>
        <v>8.7697611636588927E-4</v>
      </c>
      <c r="E84" s="371">
        <v>73</v>
      </c>
      <c r="F84" s="371" t="n">
        <v>1226.716072358748</v>
      </c>
      <c r="G84" s="9">
        <f si="3" t="shared"/>
        <v>4.1076701277613641E-4</v>
      </c>
    </row>
    <row r="85" spans="1:7" x14ac:dyDescent="0.25">
      <c r="A85">
        <v>74</v>
      </c>
      <c r="B85" s="6" t="n">
        <v>3050.173453257</v>
      </c>
      <c r="C85" s="9">
        <f si="2" t="shared"/>
        <v>1.6609945903514238E-3</v>
      </c>
      <c r="E85" s="371">
        <v>74</v>
      </c>
      <c r="F85" s="371" t="n">
        <v>1015.4977428753386</v>
      </c>
      <c r="G85" s="9">
        <f si="3" t="shared"/>
        <v>3.468257649741186E-4</v>
      </c>
    </row>
    <row r="86" spans="1:7" x14ac:dyDescent="0.25">
      <c r="A86">
        <v>75</v>
      </c>
      <c r="B86" s="6" t="n">
        <v>876.744893286</v>
      </c>
      <c r="C86" s="9">
        <f si="2" t="shared"/>
        <v>4.7743793826258209E-4</v>
      </c>
      <c r="E86" s="371">
        <v>75</v>
      </c>
      <c r="F86" s="371" t="n">
        <v>546.5768473454667</v>
      </c>
      <c r="G86" s="9">
        <f si="3" t="shared"/>
        <v>3.8271557849458795E-4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938.2909090484584</v>
      </c>
      <c r="G87" s="9">
        <f si="3" t="shared"/>
        <v>2.8029443561917989E-4</v>
      </c>
    </row>
    <row r="88" spans="1:7" x14ac:dyDescent="0.25">
      <c r="A88">
        <v>77</v>
      </c>
      <c r="B88" s="6" t="n">
        <v>103.884081167</v>
      </c>
      <c r="C88" s="9">
        <f si="2" t="shared"/>
        <v>5.6570847358783477E-5</v>
      </c>
      <c r="E88" s="371">
        <v>77</v>
      </c>
      <c r="F88" s="371" t="n">
        <v>471.29366252861973</v>
      </c>
      <c r="G88" s="9">
        <f si="3" t="shared"/>
        <v>3.7875601011326185E-4</v>
      </c>
    </row>
    <row r="89" spans="1:7" x14ac:dyDescent="0.25">
      <c r="A89">
        <v>78</v>
      </c>
      <c r="B89" s="6" t="n">
        <v>552.1879851022</v>
      </c>
      <c r="C89" s="9">
        <f si="2" t="shared"/>
        <v>3.0069806526328302E-4</v>
      </c>
      <c r="E89" s="371">
        <v>78</v>
      </c>
      <c r="F89" s="371" t="n">
        <v>569.3471423397883</v>
      </c>
      <c r="G89" s="9">
        <f si="3" t="shared"/>
        <v>3.1378108468325716E-4</v>
      </c>
    </row>
    <row r="90" spans="1:7" x14ac:dyDescent="0.25">
      <c r="A90">
        <v>79</v>
      </c>
      <c r="B90" s="6" t="n">
        <v>3617.977487135</v>
      </c>
      <c r="C90" s="9">
        <f si="2" t="shared"/>
        <v>1.9701964908676074E-3</v>
      </c>
      <c r="E90" s="371">
        <v>79</v>
      </c>
      <c r="F90" s="371" t="n">
        <v>703.4767876357881</v>
      </c>
      <c r="G90" s="9">
        <f si="3" t="shared"/>
        <v>3.3040412824056402E-4</v>
      </c>
    </row>
    <row r="91" spans="1:7" x14ac:dyDescent="0.25">
      <c r="A91">
        <v>80</v>
      </c>
      <c r="B91" s="6" t="n">
        <v>2416.7367966575</v>
      </c>
      <c r="C91" s="9">
        <f si="2" t="shared"/>
        <v>1.3160519580501086E-3</v>
      </c>
      <c r="E91" s="371">
        <v>80</v>
      </c>
      <c r="F91" s="371" t="n">
        <v>682.8853801021722</v>
      </c>
      <c r="G91" s="9">
        <f si="3" t="shared"/>
        <v>2.4175985967182272E-4</v>
      </c>
    </row>
    <row r="92" spans="1:7" x14ac:dyDescent="0.25">
      <c r="A92">
        <v>81</v>
      </c>
      <c r="B92" s="6" t="n">
        <v>761.4660318990001</v>
      </c>
      <c r="C92" s="9">
        <f si="2" t="shared"/>
        <v>4.1466197877043675E-4</v>
      </c>
      <c r="E92" s="371">
        <v>81</v>
      </c>
      <c r="F92" s="371" t="n">
        <v>682.4538775306711</v>
      </c>
      <c r="G92" s="9">
        <f si="3" t="shared"/>
        <v>3.1233258229656157E-4</v>
      </c>
    </row>
    <row r="93" spans="1:7" x14ac:dyDescent="0.25">
      <c r="A93">
        <v>82</v>
      </c>
      <c r="B93" s="6" t="n">
        <v>3526.6496723439</v>
      </c>
      <c r="C93" s="9">
        <f si="2" t="shared"/>
        <v>1.9204632515481671E-3</v>
      </c>
      <c r="E93" s="371">
        <v>82</v>
      </c>
      <c r="F93" s="371" t="n">
        <v>410.7728904912389</v>
      </c>
      <c r="G93" s="9">
        <f si="3" t="shared"/>
        <v>2.45210386597146E-4</v>
      </c>
    </row>
    <row r="94" spans="1:7" x14ac:dyDescent="0.25">
      <c r="A94">
        <v>83</v>
      </c>
      <c r="B94" s="6" t="n">
        <v>820.3342852221</v>
      </c>
      <c r="C94" s="9">
        <f si="2" t="shared"/>
        <v>4.4671912299897108E-4</v>
      </c>
      <c r="E94" s="371">
        <v>83</v>
      </c>
      <c r="F94" s="371" t="n">
        <v>355.7605317710296</v>
      </c>
      <c r="G94" s="9">
        <f si="3" t="shared"/>
        <v>1.8827894448721614E-4</v>
      </c>
    </row>
    <row r="95" spans="1:7" x14ac:dyDescent="0.25">
      <c r="A95">
        <v>84</v>
      </c>
      <c r="B95" s="6" t="n">
        <v>2873.8604379418</v>
      </c>
      <c r="C95" s="9">
        <f si="2" t="shared"/>
        <v>1.5649820293823476E-3</v>
      </c>
      <c r="E95" s="371">
        <v>84</v>
      </c>
      <c r="F95" s="371" t="n">
        <v>483.55735317122947</v>
      </c>
      <c r="G95" s="9">
        <f si="3" t="shared"/>
        <v>1.7958717759780478E-4</v>
      </c>
    </row>
    <row r="96" spans="1:7" x14ac:dyDescent="0.25">
      <c r="A96">
        <v>85</v>
      </c>
      <c r="B96" s="6" t="n">
        <v>1261.1307661893</v>
      </c>
      <c r="C96" s="9">
        <f si="2" t="shared"/>
        <v>6.8675811801109296E-4</v>
      </c>
      <c r="E96" s="371">
        <v>85</v>
      </c>
      <c r="F96" s="371" t="n">
        <v>425.60542770366993</v>
      </c>
      <c r="G96" s="9">
        <f si="3" t="shared"/>
        <v>2.8164046879823503E-4</v>
      </c>
    </row>
    <row r="97" spans="1:7" x14ac:dyDescent="0.25">
      <c r="A97">
        <v>86</v>
      </c>
      <c r="B97" s="6" t="n">
        <v>2109.970783763</v>
      </c>
      <c r="C97" s="9">
        <f si="2" t="shared"/>
        <v>1.1490002491129161E-3</v>
      </c>
      <c r="E97" s="371">
        <v>86</v>
      </c>
      <c r="F97" s="371" t="n">
        <v>400.3947069424695</v>
      </c>
      <c r="G97" s="9">
        <f si="3" t="shared"/>
        <v>2.0192839294703283E-4</v>
      </c>
    </row>
    <row r="98" spans="1:7" x14ac:dyDescent="0.25">
      <c r="A98">
        <v>87</v>
      </c>
      <c r="B98" s="6" t="n">
        <v>388.0936255263</v>
      </c>
      <c r="C98" s="9">
        <f si="2" t="shared"/>
        <v>2.1133926395586571E-4</v>
      </c>
      <c r="E98" s="371">
        <v>87</v>
      </c>
      <c r="F98" s="371" t="n">
        <v>344.1282101496291</v>
      </c>
      <c r="G98" s="9">
        <f si="3" t="shared"/>
        <v>2.1139842307188331E-4</v>
      </c>
    </row>
    <row r="99" spans="1:7" x14ac:dyDescent="0.25">
      <c r="A99">
        <v>88</v>
      </c>
      <c r="B99" s="6" t="n">
        <v>1669.1180393491</v>
      </c>
      <c r="C99" s="9">
        <f si="2" t="shared"/>
        <v>9.0893061542334354E-4</v>
      </c>
      <c r="E99" s="371">
        <v>88</v>
      </c>
      <c r="F99" s="371" t="n">
        <v>314.8546463143956</v>
      </c>
      <c r="G99" s="9">
        <f si="3" t="shared"/>
        <v>1.9501775006255833E-4</v>
      </c>
    </row>
    <row r="100" spans="1:7" x14ac:dyDescent="0.25">
      <c r="A100">
        <v>89</v>
      </c>
      <c r="B100" s="6" t="n">
        <v>2315.2432777259</v>
      </c>
      <c r="C100" s="9">
        <f si="2" t="shared"/>
        <v>1.2607829090977923E-3</v>
      </c>
      <c r="E100" s="371">
        <v>89</v>
      </c>
      <c r="F100" s="371" t="n">
        <v>274.36026403042433</v>
      </c>
      <c r="G100" s="9">
        <f si="3" t="shared"/>
        <v>1.8259172308136059E-4</v>
      </c>
    </row>
    <row ht="15.75" r="101" spans="1:7" thickBot="1" x14ac:dyDescent="0.3">
      <c r="A101" s="1">
        <v>90</v>
      </c>
      <c r="B101" s="7" t="n">
        <v>53738.9208409459</v>
      </c>
      <c r="C101" s="9">
        <f si="2" t="shared"/>
        <v>2.9263928158846809E-2</v>
      </c>
      <c r="E101" s="372">
        <v>90</v>
      </c>
      <c r="F101" s="372" t="n">
        <v>17907.59784770015</v>
      </c>
      <c r="G101" s="9">
        <f si="3" t="shared"/>
        <v>1.1757925457356704E-2</v>
      </c>
    </row>
    <row r="102" spans="1:7" x14ac:dyDescent="0.25">
      <c r="B102" s="6">
        <f>SUM(B11:B101)</f>
        <v>1836353.6347289737</v>
      </c>
      <c r="C102" s="9">
        <f si="2" t="shared"/>
        <v>1</v>
      </c>
      <c r="F102" s="6">
        <f>SUM(F11:F101)</f>
        <v>1843025.8385604222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1"/>
  <dimension ref="A1:L102"/>
  <sheetViews>
    <sheetView workbookViewId="0">
      <selection activeCell="K11" sqref="K11:L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113359.6166626039</v>
      </c>
      <c r="C11" s="9">
        <f>B11/B$102</f>
        <v>5.5843831184551433E-2</v>
      </c>
      <c r="E11" s="371">
        <v>0</v>
      </c>
      <c r="F11" s="371" t="n">
        <v>402643.0311461981</v>
      </c>
      <c r="G11" s="9">
        <f>F11/F$102</f>
        <v>0.21237535120993381</v>
      </c>
      <c r="K11" s="6" t="n">
        <v>5.915546454757694</v>
      </c>
      <c r="L11" s="6" t="n">
        <v>5.435253332735914</v>
      </c>
    </row>
    <row r="12" spans="1:12" x14ac:dyDescent="0.25">
      <c r="A12">
        <v>1</v>
      </c>
      <c r="B12" s="6" t="n">
        <v>126795.2627680881</v>
      </c>
      <c r="C12" s="9">
        <f>B12/B$102</f>
        <v>6.2462572276479902E-2</v>
      </c>
      <c r="E12" s="371">
        <v>1</v>
      </c>
      <c r="F12" s="371" t="n">
        <v>258634.07446000524</v>
      </c>
      <c r="G12" s="9">
        <f>F12/F$102</f>
        <v>0.13678478011627854</v>
      </c>
      <c r="K12" s="6"/>
      <c r="L12" s="371"/>
    </row>
    <row r="13" spans="1:12" x14ac:dyDescent="0.25">
      <c r="A13">
        <v>2</v>
      </c>
      <c r="B13" s="6" t="n">
        <v>141891.8256687545</v>
      </c>
      <c r="C13" s="9">
        <f ref="C13:C76" si="0" t="shared">B13/B$102</f>
        <v>6.9899523237605454E-2</v>
      </c>
      <c r="E13" s="371">
        <v>2</v>
      </c>
      <c r="F13" s="371" t="n">
        <v>155023.75322057048</v>
      </c>
      <c r="G13" s="9">
        <f ref="G13:G76" si="1" t="shared">F13/F$102</f>
        <v>8.1383232224773006E-2</v>
      </c>
    </row>
    <row r="14" spans="1:12" x14ac:dyDescent="0.25">
      <c r="A14">
        <v>3</v>
      </c>
      <c r="B14" s="6" t="n">
        <v>225607.7176510919</v>
      </c>
      <c r="C14" s="9">
        <f si="0" t="shared"/>
        <v>0.11114010146962439</v>
      </c>
      <c r="E14" s="371">
        <v>3</v>
      </c>
      <c r="F14" s="371" t="n">
        <v>93422.76657338336</v>
      </c>
      <c r="G14" s="9">
        <f si="1" t="shared"/>
        <v>4.8175664653201986E-2</v>
      </c>
    </row>
    <row r="15" spans="1:12" x14ac:dyDescent="0.25">
      <c r="A15">
        <v>4</v>
      </c>
      <c r="B15" s="6" t="n">
        <v>413747.1636875012</v>
      </c>
      <c r="C15" s="9">
        <f si="0" t="shared"/>
        <v>0.20382237910013989</v>
      </c>
      <c r="E15" s="371">
        <v>4</v>
      </c>
      <c r="F15" s="371" t="n">
        <v>254895.25390980992</v>
      </c>
      <c r="G15" s="9">
        <f si="1" t="shared"/>
        <v>0.13143738977170411</v>
      </c>
    </row>
    <row r="16" spans="1:12" x14ac:dyDescent="0.25">
      <c r="A16">
        <v>5</v>
      </c>
      <c r="B16" s="6" t="n">
        <v>230209.7423684467</v>
      </c>
      <c r="C16" s="9">
        <f si="0" t="shared"/>
        <v>0.11340717592690662</v>
      </c>
      <c r="E16" s="371">
        <v>5</v>
      </c>
      <c r="F16" s="371" t="n">
        <v>134125.11313726116</v>
      </c>
      <c r="G16" s="9">
        <f si="1" t="shared"/>
        <v>7.083698249779502E-2</v>
      </c>
    </row>
    <row r="17" spans="1:7" x14ac:dyDescent="0.25">
      <c r="A17">
        <v>6</v>
      </c>
      <c r="B17" s="6" t="n">
        <v>235618.4631274111</v>
      </c>
      <c r="C17" s="9">
        <f si="0" t="shared"/>
        <v>0.11607164937768556</v>
      </c>
      <c r="E17" s="371">
        <v>6</v>
      </c>
      <c r="F17" s="371" t="n">
        <v>130791.44274359135</v>
      </c>
      <c r="G17" s="9">
        <f si="1" t="shared"/>
        <v>6.4466782308105874E-2</v>
      </c>
    </row>
    <row r="18" spans="1:7" x14ac:dyDescent="0.25">
      <c r="A18">
        <v>7</v>
      </c>
      <c r="B18" s="6" t="n">
        <v>107183.5989000451</v>
      </c>
      <c r="C18" s="9">
        <f si="0" t="shared"/>
        <v>5.2801367708764986E-2</v>
      </c>
      <c r="E18" s="371">
        <v>7</v>
      </c>
      <c r="F18" s="371" t="n">
        <v>75527.52126905433</v>
      </c>
      <c r="G18" s="9">
        <f si="1" t="shared"/>
        <v>3.975121788723298E-2</v>
      </c>
    </row>
    <row r="19" spans="1:7" x14ac:dyDescent="0.25">
      <c r="A19">
        <v>8</v>
      </c>
      <c r="B19" s="6" t="n">
        <v>82252.6269932652</v>
      </c>
      <c r="C19" s="9">
        <f si="0" t="shared"/>
        <v>4.051973667103146E-2</v>
      </c>
      <c r="E19" s="371">
        <v>8</v>
      </c>
      <c r="F19" s="371" t="n">
        <v>83362.27603350174</v>
      </c>
      <c r="G19" s="9">
        <f si="1" t="shared"/>
        <v>4.5236353450158806E-2</v>
      </c>
    </row>
    <row r="20" spans="1:7" x14ac:dyDescent="0.25">
      <c r="A20">
        <v>9</v>
      </c>
      <c r="B20" s="6" t="n">
        <v>46588.5628611997</v>
      </c>
      <c r="C20" s="9">
        <f si="0" t="shared"/>
        <v>2.2950711339252135E-2</v>
      </c>
      <c r="E20" s="371">
        <v>9</v>
      </c>
      <c r="F20" s="371" t="n">
        <v>49838.52275110029</v>
      </c>
      <c r="G20" s="9">
        <f si="1" t="shared"/>
        <v>1.9941643766423909E-2</v>
      </c>
    </row>
    <row r="21" spans="1:7" x14ac:dyDescent="0.25">
      <c r="A21">
        <v>10</v>
      </c>
      <c r="B21" s="6" t="n">
        <v>115326.1530039552</v>
      </c>
      <c r="C21" s="9">
        <f si="0" t="shared"/>
        <v>5.6812597017551425E-2</v>
      </c>
      <c r="E21" s="371">
        <v>10</v>
      </c>
      <c r="F21" s="371" t="n">
        <v>37344.728901130504</v>
      </c>
      <c r="G21" s="9">
        <f si="1" t="shared"/>
        <v>2.4206528607165798E-2</v>
      </c>
    </row>
    <row r="22" spans="1:7" x14ac:dyDescent="0.25">
      <c r="A22">
        <v>11</v>
      </c>
      <c r="B22" s="6" t="n">
        <v>15341.0399911743</v>
      </c>
      <c r="C22" s="9">
        <f si="0" t="shared"/>
        <v>7.5573865957259088E-3</v>
      </c>
      <c r="E22" s="371">
        <v>11</v>
      </c>
      <c r="F22" s="371" t="n">
        <v>35297.14956286226</v>
      </c>
      <c r="G22" s="9">
        <f si="1" t="shared"/>
        <v>2.0400215412541712E-2</v>
      </c>
    </row>
    <row r="23" spans="1:7" x14ac:dyDescent="0.25">
      <c r="A23">
        <v>12</v>
      </c>
      <c r="B23" s="6" t="n">
        <v>22383.8945055376</v>
      </c>
      <c r="C23" s="9">
        <f si="0" t="shared"/>
        <v>1.102687590890921E-2</v>
      </c>
      <c r="E23" s="371">
        <v>12</v>
      </c>
      <c r="F23" s="371" t="n">
        <v>30260.253323353187</v>
      </c>
      <c r="G23" s="9">
        <f si="1" t="shared"/>
        <v>1.3869166045706788E-2</v>
      </c>
    </row>
    <row r="24" spans="1:7" x14ac:dyDescent="0.25">
      <c r="A24">
        <v>13</v>
      </c>
      <c r="B24" s="6" t="n">
        <v>14197.5271913507</v>
      </c>
      <c r="C24" s="9">
        <f si="0" t="shared"/>
        <v>6.9940630980751886E-3</v>
      </c>
      <c r="E24" s="371">
        <v>13</v>
      </c>
      <c r="F24" s="371" t="n">
        <v>25026.04816402507</v>
      </c>
      <c r="G24" s="9">
        <f si="1" t="shared"/>
        <v>1.229180166871782E-2</v>
      </c>
    </row>
    <row r="25" spans="1:7" x14ac:dyDescent="0.25">
      <c r="A25">
        <v>14</v>
      </c>
      <c r="B25" s="6" t="n">
        <v>19465.1021855141</v>
      </c>
      <c r="C25" s="9">
        <f si="0" t="shared"/>
        <v>9.5890045541807481E-3</v>
      </c>
      <c r="E25" s="371">
        <v>14</v>
      </c>
      <c r="F25" s="371" t="n">
        <v>23196.888158338003</v>
      </c>
      <c r="G25" s="9">
        <f si="1" t="shared"/>
        <v>1.0186191666500512E-2</v>
      </c>
    </row>
    <row r="26" spans="1:7" x14ac:dyDescent="0.25">
      <c r="A26">
        <v>15</v>
      </c>
      <c r="B26" s="6" t="n">
        <v>18287.4398454624</v>
      </c>
      <c r="C26" s="9">
        <f si="0" t="shared"/>
        <v>9.008858124204806E-3</v>
      </c>
      <c r="E26" s="371">
        <v>15</v>
      </c>
      <c r="F26" s="371" t="n">
        <v>24832.858480351584</v>
      </c>
      <c r="G26" s="9">
        <f si="1" t="shared"/>
        <v>1.3419942614755128E-2</v>
      </c>
    </row>
    <row r="27" spans="1:7" x14ac:dyDescent="0.25">
      <c r="A27">
        <v>16</v>
      </c>
      <c r="B27" s="6" t="n">
        <v>25028.252289859698</v>
      </c>
      <c r="C27" s="9">
        <f si="0" t="shared"/>
        <v>1.232955382937851E-2</v>
      </c>
      <c r="E27" s="371">
        <v>16</v>
      </c>
      <c r="F27" s="371" t="n">
        <v>21535.147808798425</v>
      </c>
      <c r="G27" s="9">
        <f si="1" t="shared"/>
        <v>1.0862997950903666E-2</v>
      </c>
    </row>
    <row r="28" spans="1:7" x14ac:dyDescent="0.25">
      <c r="A28">
        <v>17</v>
      </c>
      <c r="B28" s="6" t="n">
        <v>8823.2339609629</v>
      </c>
      <c r="C28" s="9">
        <f si="0" t="shared"/>
        <v>4.3465495237543202E-3</v>
      </c>
      <c r="E28" s="371">
        <v>17</v>
      </c>
      <c r="F28" s="371" t="n">
        <v>15779.77389496206</v>
      </c>
      <c r="G28" s="9">
        <f si="1" t="shared"/>
        <v>7.9182281642115934E-3</v>
      </c>
    </row>
    <row r="29" spans="1:7" x14ac:dyDescent="0.25">
      <c r="A29">
        <v>18</v>
      </c>
      <c r="B29" s="6" t="n">
        <v>9997.9429724638</v>
      </c>
      <c r="C29" s="9">
        <f si="0" t="shared"/>
        <v>4.9252410689496059E-3</v>
      </c>
      <c r="E29" s="371">
        <v>18</v>
      </c>
      <c r="F29" s="371" t="n">
        <v>10368.52770555645</v>
      </c>
      <c r="G29" s="9">
        <f si="1" t="shared"/>
        <v>4.9443551007940251E-3</v>
      </c>
    </row>
    <row r="30" spans="1:7" x14ac:dyDescent="0.25">
      <c r="A30">
        <v>19</v>
      </c>
      <c r="B30" s="6" t="n">
        <v>5777.0382751024</v>
      </c>
      <c r="C30" s="9">
        <f si="0" t="shared"/>
        <v>2.8459160297066954E-3</v>
      </c>
      <c r="E30" s="371">
        <v>19</v>
      </c>
      <c r="F30" s="371" t="n">
        <v>8641.095454572473</v>
      </c>
      <c r="G30" s="9">
        <f si="1" t="shared"/>
        <v>4.681613226118389E-3</v>
      </c>
    </row>
    <row r="31" spans="1:7" x14ac:dyDescent="0.25">
      <c r="A31">
        <v>20</v>
      </c>
      <c r="B31" s="6" t="n">
        <v>8041.7737813974</v>
      </c>
      <c r="C31" s="9">
        <f si="0" t="shared"/>
        <v>3.9615823579337841E-3</v>
      </c>
      <c r="E31" s="371">
        <v>20</v>
      </c>
      <c r="F31" s="371" t="n">
        <v>8545.90538813734</v>
      </c>
      <c r="G31" s="9">
        <f si="1" t="shared"/>
        <v>3.6616457405895544E-3</v>
      </c>
    </row>
    <row r="32" spans="1:7" x14ac:dyDescent="0.25">
      <c r="A32">
        <v>21</v>
      </c>
      <c r="B32" s="6" t="n">
        <v>3325.8476424468</v>
      </c>
      <c r="C32" s="9">
        <f si="0" t="shared"/>
        <v>1.6383971625726849E-3</v>
      </c>
      <c r="E32" s="371">
        <v>21</v>
      </c>
      <c r="F32" s="371" t="n">
        <v>6046.006838996101</v>
      </c>
      <c r="G32" s="9">
        <f si="1" t="shared"/>
        <v>3.2797280288769026E-3</v>
      </c>
    </row>
    <row r="33" spans="1:7" x14ac:dyDescent="0.25">
      <c r="A33">
        <v>22</v>
      </c>
      <c r="B33" s="6" t="n">
        <v>5474.0762088095</v>
      </c>
      <c r="C33" s="9">
        <f si="0" t="shared"/>
        <v>2.6966692081005594E-3</v>
      </c>
      <c r="E33" s="371">
        <v>22</v>
      </c>
      <c r="F33" s="371" t="n">
        <v>6299.172382428719</v>
      </c>
      <c r="G33" s="9">
        <f si="1" t="shared"/>
        <v>2.5958381599684274E-3</v>
      </c>
    </row>
    <row r="34" spans="1:7" x14ac:dyDescent="0.25">
      <c r="A34">
        <v>23</v>
      </c>
      <c r="B34" s="6" t="n">
        <v>2761.1998975502</v>
      </c>
      <c r="C34" s="9">
        <f si="0" t="shared"/>
        <v>1.3602373180612709E-3</v>
      </c>
      <c r="E34" s="371">
        <v>23</v>
      </c>
      <c r="F34" s="371" t="n">
        <v>4846.679069653675</v>
      </c>
      <c r="G34" s="9">
        <f si="1" t="shared"/>
        <v>2.5468917128843929E-3</v>
      </c>
    </row>
    <row r="35" spans="1:7" x14ac:dyDescent="0.25">
      <c r="A35">
        <v>24</v>
      </c>
      <c r="B35" s="6" t="n">
        <v>2493.0056068305</v>
      </c>
      <c r="C35" s="9">
        <f si="0" t="shared"/>
        <v>1.2281179872400667E-3</v>
      </c>
      <c r="E35" s="371">
        <v>24</v>
      </c>
      <c r="F35" s="371" t="n">
        <v>4852.598317243755</v>
      </c>
      <c r="G35" s="9">
        <f si="1" t="shared"/>
        <v>1.9211160052801568E-3</v>
      </c>
    </row>
    <row r="36" spans="1:7" x14ac:dyDescent="0.25">
      <c r="A36">
        <v>25</v>
      </c>
      <c r="B36" s="6" t="n">
        <v>4345.189184787</v>
      </c>
      <c r="C36" s="9">
        <f si="0" t="shared"/>
        <v>2.1405507397082805E-3</v>
      </c>
      <c r="E36" s="371">
        <v>25</v>
      </c>
      <c r="F36" s="371" t="n">
        <v>4596.660523521168</v>
      </c>
      <c r="G36" s="9">
        <f si="1" t="shared"/>
        <v>2.048147854450236E-3</v>
      </c>
    </row>
    <row r="37" spans="1:7" x14ac:dyDescent="0.25">
      <c r="A37">
        <v>26</v>
      </c>
      <c r="B37" s="6" t="n">
        <v>2761.0880822100003</v>
      </c>
      <c r="C37" s="9">
        <f si="0" t="shared"/>
        <v>1.3601822349799603E-3</v>
      </c>
      <c r="E37" s="371">
        <v>26</v>
      </c>
      <c r="F37" s="371" t="n">
        <v>3328.691699109739</v>
      </c>
      <c r="G37" s="9">
        <f si="1" t="shared"/>
        <v>1.6816560965141126E-3</v>
      </c>
    </row>
    <row r="38" spans="1:7" x14ac:dyDescent="0.25">
      <c r="A38">
        <v>27</v>
      </c>
      <c r="B38" s="6" t="n">
        <v>1627.630489631</v>
      </c>
      <c r="C38" s="9">
        <f si="0" t="shared"/>
        <v>8.0181218823552184E-4</v>
      </c>
      <c r="E38" s="371">
        <v>27</v>
      </c>
      <c r="F38" s="371" t="n">
        <v>2133.0619350554734</v>
      </c>
      <c r="G38" s="9">
        <f si="1" t="shared"/>
        <v>1.3327433459408198E-3</v>
      </c>
    </row>
    <row r="39" spans="1:7" x14ac:dyDescent="0.25">
      <c r="A39">
        <v>28</v>
      </c>
      <c r="B39" s="6" t="n">
        <v>719.280889893</v>
      </c>
      <c r="C39" s="9">
        <f si="0" t="shared"/>
        <v>3.5433606580560539E-4</v>
      </c>
      <c r="E39" s="371">
        <v>28</v>
      </c>
      <c r="F39" s="371" t="n">
        <v>2620.678209678922</v>
      </c>
      <c r="G39" s="9">
        <f si="1" t="shared"/>
        <v>8.5415076629311438E-4</v>
      </c>
    </row>
    <row r="40" spans="1:7" x14ac:dyDescent="0.25">
      <c r="A40">
        <v>29</v>
      </c>
      <c r="B40" s="6" t="n">
        <v>433.333643768</v>
      </c>
      <c r="C40" s="9">
        <f si="0" t="shared"/>
        <v>2.134711774934021E-4</v>
      </c>
      <c r="E40" s="371">
        <v>29</v>
      </c>
      <c r="F40" s="371" t="n">
        <v>2039.5741603873976</v>
      </c>
      <c r="G40" s="9">
        <f si="1" t="shared"/>
        <v>1.2606680360855872E-3</v>
      </c>
    </row>
    <row r="41" spans="1:7" x14ac:dyDescent="0.25">
      <c r="A41">
        <v>30</v>
      </c>
      <c r="B41" s="6" t="n">
        <v>532.239404069</v>
      </c>
      <c r="C41" s="9">
        <f si="0" t="shared"/>
        <v>2.6219467130926311E-4</v>
      </c>
      <c r="E41" s="371">
        <v>30</v>
      </c>
      <c r="F41" s="371" t="n">
        <v>2187.7490678677873</v>
      </c>
      <c r="G41" s="9">
        <f si="1" t="shared"/>
        <v>6.4313160029963446E-4</v>
      </c>
    </row>
    <row r="42" spans="1:7" x14ac:dyDescent="0.25">
      <c r="A42">
        <v>31</v>
      </c>
      <c r="B42" s="6" t="n">
        <v>2253.359654918</v>
      </c>
      <c r="C42" s="9">
        <f si="0" t="shared"/>
        <v>1.1100622944222771E-3</v>
      </c>
      <c r="E42" s="371">
        <v>31</v>
      </c>
      <c r="F42" s="371" t="n">
        <v>1610.0372512608424</v>
      </c>
      <c r="G42" s="9">
        <f si="1" t="shared"/>
        <v>7.0148064133855549E-4</v>
      </c>
    </row>
    <row r="43" spans="1:7" x14ac:dyDescent="0.25">
      <c r="A43">
        <v>32</v>
      </c>
      <c r="B43" s="6" t="n">
        <v>2598.271736033</v>
      </c>
      <c r="C43" s="9">
        <f si="0" t="shared"/>
        <v>1.27997476059289E-3</v>
      </c>
      <c r="E43" s="371">
        <v>32</v>
      </c>
      <c r="F43" s="371" t="n">
        <v>1278.7202371894016</v>
      </c>
      <c r="G43" s="9">
        <f si="1" t="shared"/>
        <v>5.9168845208596962E-4</v>
      </c>
    </row>
    <row r="44" spans="1:7" x14ac:dyDescent="0.25">
      <c r="A44">
        <v>33</v>
      </c>
      <c r="B44" s="6" t="n">
        <v>282.2315825548</v>
      </c>
      <c r="C44" s="9">
        <f si="0" t="shared"/>
        <v>1.3903445790619358E-4</v>
      </c>
      <c r="E44" s="371">
        <v>33</v>
      </c>
      <c r="F44" s="371" t="n">
        <v>1077.7277691287509</v>
      </c>
      <c r="G44" s="9">
        <f si="1" t="shared"/>
        <v>4.6613231279765016E-4</v>
      </c>
    </row>
    <row r="45" spans="1:7" x14ac:dyDescent="0.25">
      <c r="A45">
        <v>34</v>
      </c>
      <c r="B45" s="6" t="n">
        <v>251.017759731</v>
      </c>
      <c r="C45" s="9">
        <f si="0" t="shared"/>
        <v>1.2365773466281113E-4</v>
      </c>
      <c r="E45" s="371">
        <v>34</v>
      </c>
      <c r="F45" s="371" t="n">
        <v>1057.7444162200377</v>
      </c>
      <c r="G45" s="9">
        <f si="1" t="shared"/>
        <v>4.1184126977671293E-4</v>
      </c>
    </row>
    <row r="46" spans="1:7" x14ac:dyDescent="0.25">
      <c r="A46">
        <v>35</v>
      </c>
      <c r="B46" s="6" t="n">
        <v>1001.676862693</v>
      </c>
      <c r="C46" s="9">
        <f si="0" t="shared"/>
        <v>4.9345150652888687E-4</v>
      </c>
      <c r="E46" s="371">
        <v>35</v>
      </c>
      <c r="F46" s="371" t="n">
        <v>766.6612764390219</v>
      </c>
      <c r="G46" s="9">
        <f si="1" t="shared"/>
        <v>3.4468325059257597E-4</v>
      </c>
    </row>
    <row r="47" spans="1:7" x14ac:dyDescent="0.25">
      <c r="A47">
        <v>36</v>
      </c>
      <c r="B47" s="6" t="n">
        <v>636.756808327</v>
      </c>
      <c r="C47" s="9">
        <f si="0" t="shared"/>
        <v>3.136826037058863E-4</v>
      </c>
      <c r="E47" s="371">
        <v>36</v>
      </c>
      <c r="F47" s="371" t="n">
        <v>989.3812021751446</v>
      </c>
      <c r="G47" s="9">
        <f si="1" t="shared"/>
        <v>3.901962886270315E-4</v>
      </c>
    </row>
    <row r="48" spans="1:7" x14ac:dyDescent="0.25">
      <c r="A48">
        <v>37</v>
      </c>
      <c r="B48" s="6" t="n">
        <v>0.0</v>
      </c>
      <c r="C48" s="9">
        <f si="0" t="shared"/>
        <v>0</v>
      </c>
      <c r="E48" s="371">
        <v>37</v>
      </c>
      <c r="F48" s="371" t="n">
        <v>706.0796712691764</v>
      </c>
      <c r="G48" s="9">
        <f si="1" t="shared"/>
        <v>2.9494446950001656E-4</v>
      </c>
    </row>
    <row r="49" spans="1:7" x14ac:dyDescent="0.25">
      <c r="A49">
        <v>38</v>
      </c>
      <c r="B49" s="6" t="n">
        <v>650.237482382</v>
      </c>
      <c r="C49" s="9">
        <f si="0" t="shared"/>
        <v>3.2032352671131607E-4</v>
      </c>
      <c r="E49" s="371">
        <v>38</v>
      </c>
      <c r="F49" s="371" t="n">
        <v>758.6822421426323</v>
      </c>
      <c r="G49" s="9">
        <f si="1" t="shared"/>
        <v>3.2006788004867396E-4</v>
      </c>
    </row>
    <row r="50" spans="1:7" x14ac:dyDescent="0.25">
      <c r="A50">
        <v>39</v>
      </c>
      <c r="B50" s="6" t="n">
        <v>664.0014366752</v>
      </c>
      <c r="C50" s="9">
        <f si="0" t="shared"/>
        <v>3.2710400076910195E-4</v>
      </c>
      <c r="E50" s="371">
        <v>39</v>
      </c>
      <c r="F50" s="371" t="n">
        <v>599.1852341629376</v>
      </c>
      <c r="G50" s="9">
        <f si="1" t="shared"/>
        <v>2.2121286145855592E-4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478.20191552285377</v>
      </c>
      <c r="G51" s="9">
        <f si="1" t="shared"/>
        <v>1.880508417327786E-4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330.4195412273379</v>
      </c>
      <c r="G52" s="9">
        <f si="1" t="shared"/>
        <v>1.6561134515965159E-4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254.2141040799814</v>
      </c>
      <c r="G53" s="9">
        <f si="1" t="shared"/>
        <v>1.2322926176115334E-4</v>
      </c>
    </row>
    <row r="54" spans="1:7" x14ac:dyDescent="0.25">
      <c r="A54">
        <v>43</v>
      </c>
      <c r="B54" s="6" t="n">
        <v>4.59375</v>
      </c>
      <c r="C54" s="9">
        <f si="0" t="shared"/>
        <v>2.2629981209936507E-6</v>
      </c>
      <c r="E54" s="371">
        <v>43</v>
      </c>
      <c r="F54" s="371" t="n">
        <v>185.1638019703552</v>
      </c>
      <c r="G54" s="9">
        <f si="1" t="shared"/>
        <v>6.3344400680716371E-5</v>
      </c>
    </row>
    <row r="55" spans="1:7" x14ac:dyDescent="0.25">
      <c r="A55">
        <v>44</v>
      </c>
      <c r="B55" s="6" t="n">
        <v>5084.525540346</v>
      </c>
      <c r="C55" s="9">
        <f si="0" t="shared"/>
        <v>2.5047666381381711E-3</v>
      </c>
      <c r="E55" s="371">
        <v>44</v>
      </c>
      <c r="F55" s="371" t="n">
        <v>187.27134618106552</v>
      </c>
      <c r="G55" s="9">
        <f si="1" t="shared"/>
        <v>9.1809199802530303E-5</v>
      </c>
    </row>
    <row r="56" spans="1:7" x14ac:dyDescent="0.25">
      <c r="A56">
        <v>45</v>
      </c>
      <c r="B56" s="6" t="n">
        <v>250.40304101</v>
      </c>
      <c r="C56" s="9">
        <f si="0" t="shared"/>
        <v>1.2335490858160023E-4</v>
      </c>
      <c r="E56" s="371">
        <v>45</v>
      </c>
      <c r="F56" s="371" t="n">
        <v>220.46581948776227</v>
      </c>
      <c r="G56" s="9">
        <f si="1" t="shared"/>
        <v>1.1943186073893782E-4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142.9308436905072</v>
      </c>
      <c r="G57" s="9">
        <f si="1" t="shared"/>
        <v>5.6665225959107708E-5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125.74031373087223</v>
      </c>
      <c r="G58" s="9">
        <f si="1" t="shared"/>
        <v>7.9952891062186733E-5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104.35449331171695</v>
      </c>
      <c r="G59" s="9">
        <f si="1" t="shared"/>
        <v>6.364149560594571E-5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89.59837832408927</v>
      </c>
      <c r="G60" s="9">
        <f si="1" t="shared"/>
        <v>3.3159849158894539E-5</v>
      </c>
    </row>
    <row r="61" spans="1:7" x14ac:dyDescent="0.25">
      <c r="A61">
        <v>50</v>
      </c>
      <c r="B61" s="6" t="n">
        <v>1172.30496159</v>
      </c>
      <c r="C61" s="9">
        <f si="0" t="shared"/>
        <v>5.7750724904701034E-4</v>
      </c>
      <c r="E61" s="371">
        <v>50</v>
      </c>
      <c r="F61" s="371" t="n">
        <v>58.81543412050085</v>
      </c>
      <c r="G61" s="9">
        <f si="1" t="shared"/>
        <v>2.9266024004243055E-5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103.17595161869045</v>
      </c>
      <c r="G62" s="9">
        <f si="1" t="shared"/>
        <v>4.3067562113636778E-5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56.545722170847576</v>
      </c>
      <c r="G63" s="9">
        <f si="1" t="shared"/>
        <v>1.6290119339984416E-5</v>
      </c>
    </row>
    <row r="64" spans="1:7" x14ac:dyDescent="0.25">
      <c r="A64">
        <v>53</v>
      </c>
      <c r="B64" s="6" t="n">
        <v>523.299985488</v>
      </c>
      <c r="C64" s="9">
        <f si="0" t="shared"/>
        <v>2.5779088628579013E-4</v>
      </c>
      <c r="E64" s="371">
        <v>53</v>
      </c>
      <c r="F64" s="371" t="n">
        <v>49.984630618737135</v>
      </c>
      <c r="G64" s="9">
        <f si="1" t="shared"/>
        <v>2.2908034842141963E-5</v>
      </c>
    </row>
    <row r="65" spans="1:7" x14ac:dyDescent="0.25">
      <c r="A65">
        <v>54</v>
      </c>
      <c r="B65" s="6" t="n">
        <v>1866.478794016</v>
      </c>
      <c r="C65" s="9">
        <f si="0" t="shared"/>
        <v>9.194749395880714E-4</v>
      </c>
      <c r="E65" s="371">
        <v>54</v>
      </c>
      <c r="F65" s="371" t="n">
        <v>27.30132694184652</v>
      </c>
      <c r="G65" s="9">
        <f si="1" t="shared"/>
        <v>2.1943707029247991E-5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31.1280635242031</v>
      </c>
      <c r="G66" s="9">
        <f si="1" t="shared"/>
        <v>1.271871272861567E-5</v>
      </c>
    </row>
    <row r="67" spans="1:7" x14ac:dyDescent="0.25">
      <c r="A67">
        <v>56</v>
      </c>
      <c r="B67" s="6" t="n">
        <v>668.711535771</v>
      </c>
      <c r="C67" s="9">
        <f si="0" t="shared"/>
        <v>3.2942431541475945E-4</v>
      </c>
      <c r="E67" s="371">
        <v>56</v>
      </c>
      <c r="F67" s="371" t="n">
        <v>34.046729360409294</v>
      </c>
      <c r="G67" s="9">
        <f si="1" t="shared"/>
        <v>1.4417077077882847E-5</v>
      </c>
    </row>
    <row r="68" spans="1:7" x14ac:dyDescent="0.25">
      <c r="A68">
        <v>57</v>
      </c>
      <c r="B68" s="6" t="n">
        <v>569.501209051</v>
      </c>
      <c r="C68" s="9">
        <f si="0" t="shared"/>
        <v>2.8055078443233204E-4</v>
      </c>
      <c r="E68" s="371">
        <v>57</v>
      </c>
      <c r="F68" s="371" t="n">
        <v>8.949349593496015</v>
      </c>
      <c r="G68" s="9">
        <f si="1" t="shared"/>
        <v>1.0841463842350009E-5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15.399674796748007</v>
      </c>
      <c r="G69" s="9">
        <f si="1" t="shared"/>
        <v>1.7032444507663248E-5</v>
      </c>
    </row>
    <row r="70" spans="1:7" x14ac:dyDescent="0.25">
      <c r="A70">
        <v>59</v>
      </c>
      <c r="B70" s="6" t="n">
        <v>224.682816265</v>
      </c>
      <c r="C70" s="9">
        <f si="0" t="shared"/>
        <v>1.1068447151613751E-4</v>
      </c>
      <c r="E70" s="371">
        <v>59</v>
      </c>
      <c r="F70" s="371" t="n">
        <v>17.63940677966104</v>
      </c>
      <c r="G70" s="9">
        <f si="1" t="shared"/>
        <v>1.7569154969939476E-5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24.15</v>
      </c>
      <c r="G71" s="9">
        <f si="1" t="shared"/>
        <v>1.9977285579295883E-5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14.95</v>
      </c>
      <c r="G72" s="9">
        <f si="1" t="shared"/>
        <v>9.8802354591065989E-6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4.658817829457438</v>
      </c>
      <c r="G73" s="9">
        <f si="1" t="shared"/>
        <v>1.2339877544138226E-7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10.35</v>
      </c>
      <c r="G74" s="9">
        <f si="1" t="shared"/>
        <v>4.9668007115156357E-6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3.5949236703870446</v>
      </c>
      <c r="G75" s="9">
        <f si="1" t="shared"/>
        <v>1.2339877544138226E-7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6.8999999999999995</v>
      </c>
      <c r="G76" s="9">
        <f si="1" t="shared"/>
        <v>1.4782651634601479E-5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4.6</v>
      </c>
      <c r="G77" s="9">
        <f ref="G77:G102" si="3" t="shared">F77/F$102</f>
        <v>0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5.75</v>
      </c>
      <c r="G78" s="9">
        <f si="3" t="shared"/>
        <v>4.9112712625670132E-6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8.049999999999999</v>
      </c>
      <c r="G79" s="9">
        <f si="3" t="shared"/>
        <v>0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2.6767365823565816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2.7250311665183267</v>
      </c>
      <c r="G81" s="9">
        <f si="3" t="shared"/>
        <v>0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2.3</v>
      </c>
      <c r="G82" s="9">
        <f si="3" t="shared"/>
        <v>4.9350910958752086E-6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3.4499999999999997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3.4499999999999997</v>
      </c>
      <c r="G84" s="9">
        <f si="3" t="shared"/>
        <v>5.9114081181591294E-6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5.0346700380083952E-6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1.15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1.15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1.15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1.15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598.2158718779999</v>
      </c>
      <c r="C100" s="9">
        <f si="2" t="shared"/>
        <v>2.9469635787939967E-4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242.68014145</v>
      </c>
      <c r="C101" s="9">
        <f si="2" t="shared"/>
        <v>1.1955041177770305E-4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2029939.8207113619</v>
      </c>
      <c r="C102" s="9">
        <f si="2" t="shared"/>
        <v>1</v>
      </c>
      <c r="F102" s="6">
        <f>SUM(F11:F101)</f>
        <v>2025952.0332011459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2"/>
  <dimension ref="A1:L102"/>
  <sheetViews>
    <sheetView workbookViewId="0">
      <selection activeCell="A6" sqref="A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1928.2538946519999</v>
      </c>
      <c r="C11" s="9">
        <f>B11/B$102</f>
        <v>9.4990692580052547E-4</v>
      </c>
      <c r="E11" s="371">
        <v>0</v>
      </c>
      <c r="F11" s="371" t="n">
        <v>28480.516406940056</v>
      </c>
      <c r="G11" s="9">
        <f>F11/F$102</f>
        <v>1.5135745864438358E-2</v>
      </c>
      <c r="K11" s="6" t="n">
        <v>26.420330496551912</v>
      </c>
      <c r="L11" s="6" t="n">
        <v>20.084020523583998</v>
      </c>
    </row>
    <row r="12" spans="1:12" x14ac:dyDescent="0.25">
      <c r="A12">
        <v>1</v>
      </c>
      <c r="B12" s="6" t="n">
        <v>1838.9710621157</v>
      </c>
      <c r="C12" s="9">
        <f>B12/B$102</f>
        <v>9.0592393102139354E-4</v>
      </c>
      <c r="E12" s="371">
        <v>1</v>
      </c>
      <c r="F12" s="371" t="n">
        <v>65904.97620683769</v>
      </c>
      <c r="G12" s="9">
        <f>F12/F$102</f>
        <v>3.4665817255919218E-2</v>
      </c>
      <c r="K12" s="6"/>
      <c r="L12" s="371"/>
    </row>
    <row r="13" spans="1:12" x14ac:dyDescent="0.25">
      <c r="A13">
        <v>2</v>
      </c>
      <c r="B13" s="6" t="n">
        <v>7623.5141350644</v>
      </c>
      <c r="C13" s="9">
        <f ref="C13:C76" si="0" t="shared">B13/B$102</f>
        <v>3.7555370150790246E-3</v>
      </c>
      <c r="E13" s="371">
        <v>2</v>
      </c>
      <c r="F13" s="371" t="n">
        <v>68537.02390820379</v>
      </c>
      <c r="G13" s="9">
        <f ref="G13:G76" si="1" t="shared">F13/F$102</f>
        <v>3.619541898883382E-2</v>
      </c>
    </row>
    <row r="14" spans="1:12" x14ac:dyDescent="0.25">
      <c r="A14">
        <v>3</v>
      </c>
      <c r="B14" s="6" t="n">
        <v>18870.8449381437</v>
      </c>
      <c r="C14" s="9">
        <f si="0" t="shared"/>
        <v>9.2962583154463617E-3</v>
      </c>
      <c r="E14" s="371">
        <v>3</v>
      </c>
      <c r="F14" s="371" t="n">
        <v>72072.78869614533</v>
      </c>
      <c r="G14" s="9">
        <f si="1" t="shared"/>
        <v>3.7890287333724106E-2</v>
      </c>
    </row>
    <row r="15" spans="1:12" x14ac:dyDescent="0.25">
      <c r="A15">
        <v>4</v>
      </c>
      <c r="B15" s="6" t="n">
        <v>25029.602429171</v>
      </c>
      <c r="C15" s="9">
        <f si="0" t="shared"/>
        <v>1.2330218942352561E-2</v>
      </c>
      <c r="E15" s="371">
        <v>4</v>
      </c>
      <c r="F15" s="371" t="n">
        <v>74697.59700243163</v>
      </c>
      <c r="G15" s="9">
        <f si="1" t="shared"/>
        <v>3.8440400132851729E-2</v>
      </c>
    </row>
    <row r="16" spans="1:12" x14ac:dyDescent="0.25">
      <c r="A16">
        <v>5</v>
      </c>
      <c r="B16" s="6" t="n">
        <v>53986.3758109383</v>
      </c>
      <c r="C16" s="9">
        <f si="0" t="shared"/>
        <v>2.6595062208307031E-2</v>
      </c>
      <c r="E16" s="371">
        <v>5</v>
      </c>
      <c r="F16" s="371" t="n">
        <v>73054.70212564986</v>
      </c>
      <c r="G16" s="9">
        <f si="1" t="shared"/>
        <v>3.8309814137263656E-2</v>
      </c>
    </row>
    <row r="17" spans="1:7" x14ac:dyDescent="0.25">
      <c r="A17">
        <v>6</v>
      </c>
      <c r="B17" s="6" t="n">
        <v>24084.6150984608</v>
      </c>
      <c r="C17" s="9">
        <f si="0" t="shared"/>
        <v>1.1864694141534061E-2</v>
      </c>
      <c r="E17" s="371">
        <v>6</v>
      </c>
      <c r="F17" s="371" t="n">
        <v>68471.59058926237</v>
      </c>
      <c r="G17" s="9">
        <f si="1" t="shared"/>
        <v>3.58679751483552E-2</v>
      </c>
    </row>
    <row r="18" spans="1:7" x14ac:dyDescent="0.25">
      <c r="A18">
        <v>7</v>
      </c>
      <c r="B18" s="6" t="n">
        <v>39960.7998382585</v>
      </c>
      <c r="C18" s="9">
        <f si="0" t="shared"/>
        <v>1.9685706655212486E-2</v>
      </c>
      <c r="E18" s="371">
        <v>7</v>
      </c>
      <c r="F18" s="371" t="n">
        <v>63132.36327527714</v>
      </c>
      <c r="G18" s="9">
        <f si="1" t="shared"/>
        <v>3.2691089463792351E-2</v>
      </c>
    </row>
    <row r="19" spans="1:7" x14ac:dyDescent="0.25">
      <c r="A19">
        <v>8</v>
      </c>
      <c r="B19" s="6" t="n">
        <v>16572.5700703421</v>
      </c>
      <c r="C19" s="9">
        <f si="0" t="shared"/>
        <v>8.1640696444560054E-3</v>
      </c>
      <c r="E19" s="371">
        <v>8</v>
      </c>
      <c r="F19" s="371" t="n">
        <v>56867.848723348674</v>
      </c>
      <c r="G19" s="9">
        <f si="1" t="shared"/>
        <v>2.9502026891680373E-2</v>
      </c>
    </row>
    <row r="20" spans="1:7" x14ac:dyDescent="0.25">
      <c r="A20">
        <v>9</v>
      </c>
      <c r="B20" s="6" t="n">
        <v>41901.0024359184</v>
      </c>
      <c r="C20" s="9">
        <f si="0" t="shared"/>
        <v>2.0641499816105299E-2</v>
      </c>
      <c r="E20" s="371">
        <v>9</v>
      </c>
      <c r="F20" s="371" t="n">
        <v>50411.80914769173</v>
      </c>
      <c r="G20" s="9">
        <f si="1" t="shared"/>
        <v>2.6253114682283682E-2</v>
      </c>
    </row>
    <row r="21" spans="1:7" x14ac:dyDescent="0.25">
      <c r="A21">
        <v>10</v>
      </c>
      <c r="B21" s="6" t="n">
        <v>14290.6902735547</v>
      </c>
      <c r="C21" s="9">
        <f si="0" t="shared"/>
        <v>7.0399576025592424E-3</v>
      </c>
      <c r="E21" s="371">
        <v>10</v>
      </c>
      <c r="F21" s="371" t="n">
        <v>46188.21957636087</v>
      </c>
      <c r="G21" s="9">
        <f si="1" t="shared"/>
        <v>2.424231823943478E-2</v>
      </c>
    </row>
    <row r="22" spans="1:7" x14ac:dyDescent="0.25">
      <c r="A22">
        <v>11</v>
      </c>
      <c r="B22" s="6" t="n">
        <v>19308.9802986893</v>
      </c>
      <c r="C22" s="9">
        <f si="0" t="shared"/>
        <v>9.5120949407863521E-3</v>
      </c>
      <c r="E22" s="371">
        <v>11</v>
      </c>
      <c r="F22" s="371" t="n">
        <v>41370.96551609426</v>
      </c>
      <c r="G22" s="9">
        <f si="1" t="shared"/>
        <v>2.1399435601550575E-2</v>
      </c>
    </row>
    <row r="23" spans="1:7" x14ac:dyDescent="0.25">
      <c r="A23">
        <v>12</v>
      </c>
      <c r="B23" s="6" t="n">
        <v>43500.6364308009</v>
      </c>
      <c r="C23" s="9">
        <f si="0" t="shared"/>
        <v>2.1429520218760351E-2</v>
      </c>
      <c r="E23" s="371">
        <v>12</v>
      </c>
      <c r="F23" s="371" t="n">
        <v>37744.009567330744</v>
      </c>
      <c r="G23" s="9">
        <f si="1" t="shared"/>
        <v>1.9313011114163288E-2</v>
      </c>
    </row>
    <row r="24" spans="1:7" x14ac:dyDescent="0.25">
      <c r="A24">
        <v>13</v>
      </c>
      <c r="B24" s="6" t="n">
        <v>52407.6470557855</v>
      </c>
      <c r="C24" s="9">
        <f si="0" t="shared"/>
        <v>2.58173402585994E-2</v>
      </c>
      <c r="E24" s="371">
        <v>13</v>
      </c>
      <c r="F24" s="371" t="n">
        <v>33475.50762665491</v>
      </c>
      <c r="G24" s="9">
        <f si="1" t="shared"/>
        <v>1.7526083433192948E-2</v>
      </c>
    </row>
    <row r="25" spans="1:7" x14ac:dyDescent="0.25">
      <c r="A25">
        <v>14</v>
      </c>
      <c r="B25" s="6" t="n">
        <v>27859.4381014104</v>
      </c>
      <c r="C25" s="9">
        <f si="0" t="shared"/>
        <v>1.3724267989209392E-2</v>
      </c>
      <c r="E25" s="371">
        <v>14</v>
      </c>
      <c r="F25" s="371" t="n">
        <v>28181.47892520251</v>
      </c>
      <c r="G25" s="9">
        <f si="1" t="shared"/>
        <v>1.4383830523678733E-2</v>
      </c>
    </row>
    <row r="26" spans="1:7" x14ac:dyDescent="0.25">
      <c r="A26">
        <v>15</v>
      </c>
      <c r="B26" s="6" t="n">
        <v>25657.6589039263</v>
      </c>
      <c r="C26" s="9">
        <f si="0" t="shared"/>
        <v>1.2639615540393192E-2</v>
      </c>
      <c r="E26" s="371">
        <v>15</v>
      </c>
      <c r="F26" s="371" t="n">
        <v>26955.175430349038</v>
      </c>
      <c r="G26" s="9">
        <f si="1" t="shared"/>
        <v>1.3950989871676785E-2</v>
      </c>
    </row>
    <row r="27" spans="1:7" x14ac:dyDescent="0.25">
      <c r="A27">
        <v>16</v>
      </c>
      <c r="B27" s="6" t="n">
        <v>82814.1721389969</v>
      </c>
      <c r="C27" s="9">
        <f si="0" t="shared"/>
        <v>4.0796368096260069E-2</v>
      </c>
      <c r="E27" s="371">
        <v>16</v>
      </c>
      <c r="F27" s="371" t="n">
        <v>23929.29617075236</v>
      </c>
      <c r="G27" s="9">
        <f si="1" t="shared"/>
        <v>1.2390259086584959E-2</v>
      </c>
    </row>
    <row r="28" spans="1:7" x14ac:dyDescent="0.25">
      <c r="A28">
        <v>17</v>
      </c>
      <c r="B28" s="6" t="n">
        <v>59076.6278002357</v>
      </c>
      <c r="C28" s="9">
        <f si="0" t="shared"/>
        <v>2.9102649840886993E-2</v>
      </c>
      <c r="E28" s="371">
        <v>17</v>
      </c>
      <c r="F28" s="371" t="n">
        <v>20901.998741754367</v>
      </c>
      <c r="G28" s="9">
        <f si="1" t="shared"/>
        <v>1.0941818611728276E-2</v>
      </c>
    </row>
    <row r="29" spans="1:7" x14ac:dyDescent="0.25">
      <c r="A29">
        <v>18</v>
      </c>
      <c r="B29" s="6" t="n">
        <v>181156.8419824206</v>
      </c>
      <c r="C29" s="9">
        <f si="0" t="shared"/>
        <v>8.9242469226963037E-2</v>
      </c>
      <c r="E29" s="371">
        <v>18</v>
      </c>
      <c r="F29" s="371" t="n">
        <v>168395.18377884594</v>
      </c>
      <c r="G29" s="9">
        <f si="1" t="shared"/>
        <v>8.7687687989801325E-2</v>
      </c>
    </row>
    <row r="30" spans="1:7" x14ac:dyDescent="0.25">
      <c r="A30">
        <v>19</v>
      </c>
      <c r="B30" s="6" t="n">
        <v>90493.5241566084</v>
      </c>
      <c r="C30" s="9">
        <f si="0" t="shared"/>
        <v>4.4579412272870378E-2</v>
      </c>
      <c r="E30" s="371">
        <v>19</v>
      </c>
      <c r="F30" s="371" t="n">
        <v>63804.905068322616</v>
      </c>
      <c r="G30" s="9">
        <f si="1" t="shared"/>
        <v>3.2013195228501025E-2</v>
      </c>
    </row>
    <row r="31" spans="1:7" x14ac:dyDescent="0.25">
      <c r="A31">
        <v>20</v>
      </c>
      <c r="B31" s="6" t="n">
        <v>146330.04576865849</v>
      </c>
      <c r="C31" s="9">
        <f si="0" t="shared"/>
        <v>7.2085903372928223E-2</v>
      </c>
      <c r="E31" s="371">
        <v>20</v>
      </c>
      <c r="F31" s="371" t="n">
        <v>53991.20449688066</v>
      </c>
      <c r="G31" s="9">
        <f si="1" t="shared"/>
        <v>2.7119432973783355E-2</v>
      </c>
    </row>
    <row r="32" spans="1:7" x14ac:dyDescent="0.25">
      <c r="A32">
        <v>21</v>
      </c>
      <c r="B32" s="6" t="n">
        <v>133058.12729116261</v>
      </c>
      <c r="C32" s="9">
        <f si="0" t="shared"/>
        <v>6.5547818675991285E-2</v>
      </c>
      <c r="E32" s="371">
        <v>21</v>
      </c>
      <c r="F32" s="371" t="n">
        <v>72851.51792791572</v>
      </c>
      <c r="G32" s="9">
        <f si="1" t="shared"/>
        <v>4.0172472149158714E-2</v>
      </c>
    </row>
    <row r="33" spans="1:7" x14ac:dyDescent="0.25">
      <c r="A33">
        <v>22</v>
      </c>
      <c r="B33" s="6" t="n">
        <v>83422.5215521091</v>
      </c>
      <c r="C33" s="9">
        <f si="0" t="shared"/>
        <v>4.1096056494361946E-2</v>
      </c>
      <c r="E33" s="371">
        <v>22</v>
      </c>
      <c r="F33" s="371" t="n">
        <v>71069.33399400047</v>
      </c>
      <c r="G33" s="9">
        <f si="1" t="shared"/>
        <v>3.4070251796419711E-2</v>
      </c>
    </row>
    <row r="34" spans="1:7" x14ac:dyDescent="0.25">
      <c r="A34">
        <v>23</v>
      </c>
      <c r="B34" s="6" t="n">
        <v>64787.7067685242</v>
      </c>
      <c r="C34" s="9">
        <f si="0" t="shared"/>
        <v>3.1916072637966336E-2</v>
      </c>
      <c r="E34" s="371">
        <v>23</v>
      </c>
      <c r="F34" s="371" t="n">
        <v>57398.7701450016</v>
      </c>
      <c r="G34" s="9">
        <f si="1" t="shared"/>
        <v>2.6848612007703325E-2</v>
      </c>
    </row>
    <row r="35" spans="1:7" x14ac:dyDescent="0.25">
      <c r="A35">
        <v>24</v>
      </c>
      <c r="B35" s="6" t="n">
        <v>78852.7448294897</v>
      </c>
      <c r="C35" s="9">
        <f si="0" t="shared"/>
        <v>3.8844868219717436E-2</v>
      </c>
      <c r="E35" s="371">
        <v>24</v>
      </c>
      <c r="F35" s="371" t="n">
        <v>46335.25021753826</v>
      </c>
      <c r="G35" s="9">
        <f si="1" t="shared"/>
        <v>2.5894026669325398E-2</v>
      </c>
    </row>
    <row r="36" spans="1:7" x14ac:dyDescent="0.25">
      <c r="A36">
        <v>25</v>
      </c>
      <c r="B36" s="6" t="n">
        <v>31363.9415121713</v>
      </c>
      <c r="C36" s="9">
        <f si="0" t="shared"/>
        <v>1.5450675528489447E-2</v>
      </c>
      <c r="E36" s="371">
        <v>25</v>
      </c>
      <c r="F36" s="371" t="n">
        <v>40443.04406706915</v>
      </c>
      <c r="G36" s="9">
        <f si="1" t="shared"/>
        <v>1.9648977280432883E-2</v>
      </c>
    </row>
    <row r="37" spans="1:7" x14ac:dyDescent="0.25">
      <c r="A37">
        <v>26</v>
      </c>
      <c r="B37" s="6" t="n">
        <v>121371.7756253273</v>
      </c>
      <c r="C37" s="9">
        <f si="0" t="shared"/>
        <v>5.9790824529366772E-2</v>
      </c>
      <c r="E37" s="371">
        <v>26</v>
      </c>
      <c r="F37" s="371" t="n">
        <v>38751.625568410185</v>
      </c>
      <c r="G37" s="9">
        <f si="1" t="shared"/>
        <v>2.1974560189520813E-2</v>
      </c>
    </row>
    <row r="38" spans="1:7" x14ac:dyDescent="0.25">
      <c r="A38">
        <v>27</v>
      </c>
      <c r="B38" s="6" t="n">
        <v>17466.8171904011</v>
      </c>
      <c r="C38" s="9">
        <f si="0" t="shared"/>
        <v>8.6045985266105639E-3</v>
      </c>
      <c r="E38" s="371">
        <v>27</v>
      </c>
      <c r="F38" s="371" t="n">
        <v>29466.138006948</v>
      </c>
      <c r="G38" s="9">
        <f si="1" t="shared"/>
        <v>1.4558686748855408E-2</v>
      </c>
    </row>
    <row r="39" spans="1:7" x14ac:dyDescent="0.25">
      <c r="A39">
        <v>28</v>
      </c>
      <c r="B39" s="6" t="n">
        <v>35901.7130316506</v>
      </c>
      <c r="C39" s="9">
        <f si="0" t="shared"/>
        <v>1.7686097225813019E-2</v>
      </c>
      <c r="E39" s="371">
        <v>28</v>
      </c>
      <c r="F39" s="371" t="n">
        <v>28823.90880476734</v>
      </c>
      <c r="G39" s="9">
        <f si="1" t="shared"/>
        <v>1.4311794448382877E-2</v>
      </c>
    </row>
    <row r="40" spans="1:7" x14ac:dyDescent="0.25">
      <c r="A40">
        <v>29</v>
      </c>
      <c r="B40" s="6" t="n">
        <v>18995.8431028642</v>
      </c>
      <c r="C40" s="9">
        <f si="0" t="shared"/>
        <v>9.3578355915040819E-3</v>
      </c>
      <c r="E40" s="371">
        <v>29</v>
      </c>
      <c r="F40" s="371" t="n">
        <v>38265.41852756575</v>
      </c>
      <c r="G40" s="9">
        <f si="1" t="shared"/>
        <v>1.4658684446603716E-2</v>
      </c>
    </row>
    <row r="41" spans="1:7" x14ac:dyDescent="0.25">
      <c r="A41">
        <v>30</v>
      </c>
      <c r="B41" s="6" t="n">
        <v>19495.6622964483</v>
      </c>
      <c r="C41" s="9">
        <f si="0" t="shared"/>
        <v>9.6040592423160282E-3</v>
      </c>
      <c r="E41" s="371">
        <v>30</v>
      </c>
      <c r="F41" s="371" t="n">
        <v>26034.11526718836</v>
      </c>
      <c r="G41" s="9">
        <f si="1" t="shared"/>
        <v>1.7702352073372809E-2</v>
      </c>
    </row>
    <row r="42" spans="1:7" x14ac:dyDescent="0.25">
      <c r="A42">
        <v>31</v>
      </c>
      <c r="B42" s="6" t="n">
        <v>11200.6386329483</v>
      </c>
      <c r="C42" s="9">
        <f si="0" t="shared"/>
        <v>5.5177195494510783E-3</v>
      </c>
      <c r="E42" s="371">
        <v>31</v>
      </c>
      <c r="F42" s="371" t="n">
        <v>24625.371882817977</v>
      </c>
      <c r="G42" s="9">
        <f si="1" t="shared"/>
        <v>1.0854304829337979E-2</v>
      </c>
    </row>
    <row r="43" spans="1:7" x14ac:dyDescent="0.25">
      <c r="A43">
        <v>32</v>
      </c>
      <c r="B43" s="6" t="n">
        <v>26368.5448227949</v>
      </c>
      <c r="C43" s="9">
        <f si="0" t="shared"/>
        <v>1.2989816029893159E-2</v>
      </c>
      <c r="E43" s="371">
        <v>32</v>
      </c>
      <c r="F43" s="371" t="n">
        <v>18069.821002832676</v>
      </c>
      <c r="G43" s="9">
        <f si="1" t="shared"/>
        <v>1.259042503698179E-2</v>
      </c>
    </row>
    <row r="44" spans="1:7" x14ac:dyDescent="0.25">
      <c r="A44">
        <v>33</v>
      </c>
      <c r="B44" s="6" t="n">
        <v>11368.8734499698</v>
      </c>
      <c r="C44" s="9">
        <f si="0" t="shared"/>
        <v>5.6005963004291167E-3</v>
      </c>
      <c r="E44" s="371">
        <v>33</v>
      </c>
      <c r="F44" s="371" t="n">
        <v>26462.51137233329</v>
      </c>
      <c r="G44" s="9">
        <f si="1" t="shared"/>
        <v>1.3702356401128163E-2</v>
      </c>
    </row>
    <row r="45" spans="1:7" x14ac:dyDescent="0.25">
      <c r="A45">
        <v>34</v>
      </c>
      <c r="B45" s="6" t="n">
        <v>23643.2902777245</v>
      </c>
      <c r="C45" s="9">
        <f si="0" t="shared"/>
        <v>1.1647286306960105E-2</v>
      </c>
      <c r="E45" s="371">
        <v>34</v>
      </c>
      <c r="F45" s="371" t="n">
        <v>28139.84128769765</v>
      </c>
      <c r="G45" s="9">
        <f si="1" t="shared"/>
        <v>1.529549388059198E-2</v>
      </c>
    </row>
    <row r="46" spans="1:7" x14ac:dyDescent="0.25">
      <c r="A46">
        <v>35</v>
      </c>
      <c r="B46" s="6" t="n">
        <v>17759.4390997597</v>
      </c>
      <c r="C46" s="9">
        <f si="0" t="shared"/>
        <v>8.7487515238437799E-3</v>
      </c>
      <c r="E46" s="371">
        <v>35</v>
      </c>
      <c r="F46" s="371" t="n">
        <v>18336.54585106499</v>
      </c>
      <c r="G46" s="9">
        <f si="1" t="shared"/>
        <v>9.4685773633137946E-3</v>
      </c>
    </row>
    <row r="47" spans="1:7" x14ac:dyDescent="0.25">
      <c r="A47">
        <v>36</v>
      </c>
      <c r="B47" s="6" t="n">
        <v>8793.5905390019</v>
      </c>
      <c r="C47" s="9">
        <f si="0" t="shared"/>
        <v>4.3319464199289993E-3</v>
      </c>
      <c r="E47" s="371">
        <v>36</v>
      </c>
      <c r="F47" s="371" t="n">
        <v>12109.695881359567</v>
      </c>
      <c r="G47" s="9">
        <f si="1" t="shared"/>
        <v>7.3849515574288009E-3</v>
      </c>
    </row>
    <row r="48" spans="1:7" x14ac:dyDescent="0.25">
      <c r="A48">
        <v>37</v>
      </c>
      <c r="B48" s="6" t="n">
        <v>26363.6880420618</v>
      </c>
      <c r="C48" s="9">
        <f si="0" t="shared"/>
        <v>1.2987423456141196E-2</v>
      </c>
      <c r="E48" s="371">
        <v>37</v>
      </c>
      <c r="F48" s="371" t="n">
        <v>12749.474599970974</v>
      </c>
      <c r="G48" s="9">
        <f si="1" t="shared"/>
        <v>4.9892713932463634E-3</v>
      </c>
    </row>
    <row r="49" spans="1:7" x14ac:dyDescent="0.25">
      <c r="A49">
        <v>38</v>
      </c>
      <c r="B49" s="6" t="n">
        <v>17597.9342190206</v>
      </c>
      <c r="C49" s="9">
        <f si="0" t="shared"/>
        <v>8.6691901106968113E-3</v>
      </c>
      <c r="E49" s="371">
        <v>38</v>
      </c>
      <c r="F49" s="371" t="n">
        <v>13439.481103247896</v>
      </c>
      <c r="G49" s="9">
        <f si="1" t="shared"/>
        <v>6.1772584770686039E-3</v>
      </c>
    </row>
    <row r="50" spans="1:7" x14ac:dyDescent="0.25">
      <c r="A50">
        <v>39</v>
      </c>
      <c r="B50" s="6" t="n">
        <v>3866.5482941869</v>
      </c>
      <c r="C50" s="9">
        <f si="0" t="shared"/>
        <v>1.904760059749912E-3</v>
      </c>
      <c r="E50" s="371">
        <v>39</v>
      </c>
      <c r="F50" s="371" t="n">
        <v>12433.704506912509</v>
      </c>
      <c r="G50" s="9">
        <f si="1" t="shared"/>
        <v>8.217668416098018E-3</v>
      </c>
    </row>
    <row r="51" spans="1:7" x14ac:dyDescent="0.25">
      <c r="A51">
        <v>40</v>
      </c>
      <c r="B51" s="6" t="n">
        <v>6005.4311671088</v>
      </c>
      <c r="C51" s="9">
        <f si="0" t="shared"/>
        <v>2.9584281789222133E-3</v>
      </c>
      <c r="E51" s="371">
        <v>40</v>
      </c>
      <c r="F51" s="371" t="n">
        <v>12071.065422240283</v>
      </c>
      <c r="G51" s="9">
        <f si="1" t="shared"/>
        <v>7.7332717221491815E-3</v>
      </c>
    </row>
    <row r="52" spans="1:7" x14ac:dyDescent="0.25">
      <c r="A52">
        <v>41</v>
      </c>
      <c r="B52" s="6" t="n">
        <v>6949.9674741894005</v>
      </c>
      <c r="C52" s="9">
        <f si="0" t="shared"/>
        <v>3.4237307940261441E-3</v>
      </c>
      <c r="E52" s="371">
        <v>41</v>
      </c>
      <c r="F52" s="371" t="n">
        <v>7220.490549006454</v>
      </c>
      <c r="G52" s="9">
        <f si="1" t="shared"/>
        <v>3.598400719202892E-3</v>
      </c>
    </row>
    <row r="53" spans="1:7" x14ac:dyDescent="0.25">
      <c r="A53">
        <v>42</v>
      </c>
      <c r="B53" s="6" t="n">
        <v>2822.718397943</v>
      </c>
      <c r="C53" s="9">
        <f si="0" t="shared"/>
        <v>1.3905428964656797E-3</v>
      </c>
      <c r="E53" s="371">
        <v>42</v>
      </c>
      <c r="F53" s="371" t="n">
        <v>7836.625942869543</v>
      </c>
      <c r="G53" s="9">
        <f si="1" t="shared"/>
        <v>3.2815128328190601E-3</v>
      </c>
    </row>
    <row r="54" spans="1:7" x14ac:dyDescent="0.25">
      <c r="A54">
        <v>43</v>
      </c>
      <c r="B54" s="6" t="n">
        <v>2693.4751585069</v>
      </c>
      <c r="C54" s="9">
        <f si="0" t="shared"/>
        <v>1.3268743886028166E-3</v>
      </c>
      <c r="E54" s="371">
        <v>43</v>
      </c>
      <c r="F54" s="371" t="n">
        <v>6559.09623271591</v>
      </c>
      <c r="G54" s="9">
        <f si="1" t="shared"/>
        <v>4.282004634120996E-3</v>
      </c>
    </row>
    <row r="55" spans="1:7" x14ac:dyDescent="0.25">
      <c r="A55">
        <v>44</v>
      </c>
      <c r="B55" s="6" t="n">
        <v>3335.7432707195</v>
      </c>
      <c r="C55" s="9">
        <f si="0" t="shared"/>
        <v>1.6432720008175111E-3</v>
      </c>
      <c r="E55" s="371">
        <v>44</v>
      </c>
      <c r="F55" s="371" t="n">
        <v>8917.553461354057</v>
      </c>
      <c r="G55" s="9">
        <f si="1" t="shared"/>
        <v>4.1526312594024409E-3</v>
      </c>
    </row>
    <row r="56" spans="1:7" x14ac:dyDescent="0.25">
      <c r="A56">
        <v>45</v>
      </c>
      <c r="B56" s="6" t="n">
        <v>100623.4744096711</v>
      </c>
      <c r="C56" s="9">
        <f si="0" t="shared"/>
        <v>4.9569683486680456E-2</v>
      </c>
      <c r="E56" s="371">
        <v>45</v>
      </c>
      <c r="F56" s="371" t="n">
        <v>6274.798198274749</v>
      </c>
      <c r="G56" s="9">
        <f si="1" t="shared"/>
        <v>2.6291628711586092E-3</v>
      </c>
    </row>
    <row r="57" spans="1:7" x14ac:dyDescent="0.25">
      <c r="A57">
        <v>46</v>
      </c>
      <c r="B57" s="6" t="n">
        <v>9429.771808621499</v>
      </c>
      <c r="C57" s="9">
        <f si="0" t="shared"/>
        <v>4.6453454986251641E-3</v>
      </c>
      <c r="E57" s="371">
        <v>46</v>
      </c>
      <c r="F57" s="371" t="n">
        <v>5861.471614949455</v>
      </c>
      <c r="G57" s="9">
        <f si="1" t="shared"/>
        <v>3.3087219585384172E-3</v>
      </c>
    </row>
    <row r="58" spans="1:7" x14ac:dyDescent="0.25">
      <c r="A58">
        <v>47</v>
      </c>
      <c r="B58" s="6" t="n">
        <v>2893.2146146180003</v>
      </c>
      <c r="C58" s="9">
        <f si="0" t="shared"/>
        <v>1.4252711263155163E-3</v>
      </c>
      <c r="E58" s="371">
        <v>47</v>
      </c>
      <c r="F58" s="371" t="n">
        <v>5439.077134666277</v>
      </c>
      <c r="G58" s="9">
        <f si="1" t="shared"/>
        <v>2.7540800654943078E-3</v>
      </c>
    </row>
    <row r="59" spans="1:7" x14ac:dyDescent="0.25">
      <c r="A59">
        <v>48</v>
      </c>
      <c r="B59" s="6" t="n">
        <v>1856.3849775777</v>
      </c>
      <c r="C59" s="9">
        <f si="0" t="shared"/>
        <v>9.1450246881070475E-4</v>
      </c>
      <c r="E59" s="371">
        <v>48</v>
      </c>
      <c r="F59" s="371" t="n">
        <v>5015.824317958761</v>
      </c>
      <c r="G59" s="9">
        <f si="1" t="shared"/>
        <v>2.673829938862754E-3</v>
      </c>
    </row>
    <row r="60" spans="1:7" x14ac:dyDescent="0.25">
      <c r="A60">
        <v>49</v>
      </c>
      <c r="B60" s="6" t="n">
        <v>3974.9595683289</v>
      </c>
      <c r="C60" s="9">
        <f si="0" t="shared"/>
        <v>1.9581662115165238E-3</v>
      </c>
      <c r="E60" s="371">
        <v>49</v>
      </c>
      <c r="F60" s="371" t="n">
        <v>5675.054972427372</v>
      </c>
      <c r="G60" s="9">
        <f si="1" t="shared"/>
        <v>3.1656936609503299E-3</v>
      </c>
    </row>
    <row r="61" spans="1:7" x14ac:dyDescent="0.25">
      <c r="A61">
        <v>50</v>
      </c>
      <c r="B61" s="6" t="n">
        <v>1058.475504325</v>
      </c>
      <c r="C61" s="9">
        <f si="0" t="shared"/>
        <v>5.2143196242836057E-4</v>
      </c>
      <c r="E61" s="371">
        <v>50</v>
      </c>
      <c r="F61" s="371" t="n">
        <v>3080.9154176163966</v>
      </c>
      <c r="G61" s="9">
        <f si="1" t="shared"/>
        <v>2.3237459689593922E-3</v>
      </c>
    </row>
    <row r="62" spans="1:7" x14ac:dyDescent="0.25">
      <c r="A62">
        <v>51</v>
      </c>
      <c r="B62" s="6" t="n">
        <v>814.0671532819</v>
      </c>
      <c r="C62" s="9">
        <f si="0" t="shared"/>
        <v>4.010301906371896E-4</v>
      </c>
      <c r="E62" s="371">
        <v>51</v>
      </c>
      <c r="F62" s="371" t="n">
        <v>3803.0594744906534</v>
      </c>
      <c r="G62" s="9">
        <f si="1" t="shared"/>
        <v>1.7704862918226304E-3</v>
      </c>
    </row>
    <row r="63" spans="1:7" x14ac:dyDescent="0.25">
      <c r="A63">
        <v>52</v>
      </c>
      <c r="B63" s="6" t="n">
        <v>12823.199834345</v>
      </c>
      <c r="C63" s="9">
        <f si="0" t="shared"/>
        <v>6.3170344773330767E-3</v>
      </c>
      <c r="E63" s="371">
        <v>52</v>
      </c>
      <c r="F63" s="371" t="n">
        <v>2932.2631762612964</v>
      </c>
      <c r="G63" s="9">
        <f si="1" t="shared"/>
        <v>1.4637491505026903E-3</v>
      </c>
    </row>
    <row r="64" spans="1:7" x14ac:dyDescent="0.25">
      <c r="A64">
        <v>53</v>
      </c>
      <c r="B64" s="6" t="n">
        <v>1475.37451594</v>
      </c>
      <c r="C64" s="9">
        <f si="0" t="shared"/>
        <v>7.2680702200471001E-4</v>
      </c>
      <c r="E64" s="371">
        <v>53</v>
      </c>
      <c r="F64" s="371" t="n">
        <v>2721.1816329220446</v>
      </c>
      <c r="G64" s="9">
        <f si="1" t="shared"/>
        <v>1.3328867114759629E-3</v>
      </c>
    </row>
    <row r="65" spans="1:7" x14ac:dyDescent="0.25">
      <c r="A65">
        <v>54</v>
      </c>
      <c r="B65" s="6" t="n">
        <v>5816.0031152033</v>
      </c>
      <c r="C65" s="9">
        <f si="0" t="shared"/>
        <v>2.8651111012567695E-3</v>
      </c>
      <c r="E65" s="371">
        <v>54</v>
      </c>
      <c r="F65" s="371" t="n">
        <v>2263.9015017573042</v>
      </c>
      <c r="G65" s="9">
        <f si="1" t="shared"/>
        <v>1.0497928143224184E-3</v>
      </c>
    </row>
    <row r="66" spans="1:7" x14ac:dyDescent="0.25">
      <c r="A66">
        <v>55</v>
      </c>
      <c r="B66" s="6" t="n">
        <v>662.957073809</v>
      </c>
      <c r="C66" s="9">
        <f si="0" t="shared"/>
        <v>3.2658952105125787E-4</v>
      </c>
      <c r="E66" s="371">
        <v>55</v>
      </c>
      <c r="F66" s="371" t="n">
        <v>2369.188740490313</v>
      </c>
      <c r="G66" s="9">
        <f si="1" t="shared"/>
        <v>2.0202304016120839E-3</v>
      </c>
    </row>
    <row r="67" spans="1:7" x14ac:dyDescent="0.25">
      <c r="A67">
        <v>56</v>
      </c>
      <c r="B67" s="6" t="n">
        <v>106.37362877</v>
      </c>
      <c r="C67" s="9">
        <f si="0" t="shared"/>
        <v>5.240235581600786E-5</v>
      </c>
      <c r="E67" s="371">
        <v>56</v>
      </c>
      <c r="F67" s="371" t="n">
        <v>2902.9670048058765</v>
      </c>
      <c r="G67" s="9">
        <f si="1" t="shared"/>
        <v>1.2551664053297607E-3</v>
      </c>
    </row>
    <row r="68" spans="1:7" x14ac:dyDescent="0.25">
      <c r="A68">
        <v>57</v>
      </c>
      <c r="B68" s="6" t="n">
        <v>1576.926795032</v>
      </c>
      <c r="C68" s="9">
        <f si="0" t="shared"/>
        <v>7.768342583079086E-4</v>
      </c>
      <c r="E68" s="371">
        <v>57</v>
      </c>
      <c r="F68" s="371" t="n">
        <v>1962.8098676748857</v>
      </c>
      <c r="G68" s="9">
        <f si="1" t="shared"/>
        <v>1.1087144742582371E-3</v>
      </c>
    </row>
    <row r="69" spans="1:7" x14ac:dyDescent="0.25">
      <c r="A69">
        <v>58</v>
      </c>
      <c r="B69" s="6" t="n">
        <v>4885.84852718</v>
      </c>
      <c r="C69" s="9">
        <f si="0" t="shared"/>
        <v>2.4068932868501623E-3</v>
      </c>
      <c r="E69" s="371">
        <v>58</v>
      </c>
      <c r="F69" s="371" t="n">
        <v>3578.0663588806524</v>
      </c>
      <c r="G69" s="9">
        <f si="1" t="shared"/>
        <v>1.0602681977945852E-3</v>
      </c>
    </row>
    <row r="70" spans="1:7" x14ac:dyDescent="0.25">
      <c r="A70">
        <v>59</v>
      </c>
      <c r="B70" s="6" t="n">
        <v>1504.4063101476</v>
      </c>
      <c r="C70" s="9">
        <f si="0" t="shared"/>
        <v>7.4110882243809731E-4</v>
      </c>
      <c r="E70" s="371">
        <v>59</v>
      </c>
      <c r="F70" s="371" t="n">
        <v>1852.6687078213918</v>
      </c>
      <c r="G70" s="9">
        <f si="1" t="shared"/>
        <v>9.2708563318536017E-4</v>
      </c>
    </row>
    <row r="71" spans="1:7" x14ac:dyDescent="0.25">
      <c r="A71">
        <v>60</v>
      </c>
      <c r="B71" s="6" t="n">
        <v>6053.1094642147</v>
      </c>
      <c r="C71" s="9">
        <f si="0" t="shared"/>
        <v>2.981915721074666E-3</v>
      </c>
      <c r="E71" s="371">
        <v>60</v>
      </c>
      <c r="F71" s="371" t="n">
        <v>1520.469200559125</v>
      </c>
      <c r="G71" s="9">
        <f si="1" t="shared"/>
        <v>8.2571916427409957E-4</v>
      </c>
    </row>
    <row r="72" spans="1:7" x14ac:dyDescent="0.25">
      <c r="A72">
        <v>61</v>
      </c>
      <c r="B72" s="6" t="n">
        <v>6516.230696508</v>
      </c>
      <c r="C72" s="9">
        <f si="0" t="shared"/>
        <v>3.2100610225107478E-3</v>
      </c>
      <c r="E72" s="371">
        <v>61</v>
      </c>
      <c r="F72" s="371" t="n">
        <v>1293.3436318764057</v>
      </c>
      <c r="G72" s="9">
        <f si="1" t="shared"/>
        <v>6.4550182370758894E-4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1423.1096426595645</v>
      </c>
      <c r="G73" s="9">
        <f si="1" t="shared"/>
        <v>7.828052514567412E-4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1162.9725855636168</v>
      </c>
      <c r="G74" s="9">
        <f si="1" t="shared"/>
        <v>6.597564019349383E-4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1147.265025215055</v>
      </c>
      <c r="G75" s="9">
        <f si="1" t="shared"/>
        <v>6.7742241470588596E-4</v>
      </c>
    </row>
    <row r="76" spans="1:7" x14ac:dyDescent="0.25">
      <c r="A76">
        <v>65</v>
      </c>
      <c r="B76" s="6" t="n">
        <v>6039.223909766</v>
      </c>
      <c r="C76" s="9">
        <f si="0" t="shared"/>
        <v>2.9750753436866145E-3</v>
      </c>
      <c r="E76" s="371">
        <v>65</v>
      </c>
      <c r="F76" s="371" t="n">
        <v>1049.928240744184</v>
      </c>
      <c r="G76" s="9">
        <f si="1" t="shared"/>
        <v>5.7177605609826901E-4</v>
      </c>
    </row>
    <row r="77" spans="1:7" x14ac:dyDescent="0.25">
      <c r="A77">
        <v>66</v>
      </c>
      <c r="B77" s="6" t="n">
        <v>1262.824399592</v>
      </c>
      <c r="C77" s="9">
        <f ref="C77:C102" si="2" t="shared">B77/B$102</f>
        <v>6.220994271394026E-4</v>
      </c>
      <c r="E77" s="371">
        <v>66</v>
      </c>
      <c r="F77" s="371" t="n">
        <v>1059.9342212727956</v>
      </c>
      <c r="G77" s="9">
        <f ref="G77:G102" si="3" t="shared">F77/F$102</f>
        <v>5.2630356053656139E-4</v>
      </c>
    </row>
    <row r="78" spans="1:7" x14ac:dyDescent="0.25">
      <c r="A78">
        <v>67</v>
      </c>
      <c r="B78" s="6" t="n">
        <v>2362.394573078</v>
      </c>
      <c r="C78" s="9">
        <f si="2" t="shared"/>
        <v>1.1637756690984732E-3</v>
      </c>
      <c r="E78" s="371">
        <v>67</v>
      </c>
      <c r="F78" s="371" t="n">
        <v>962.8085918261628</v>
      </c>
      <c r="G78" s="9">
        <f si="3" t="shared"/>
        <v>5.1822219649249918E-4</v>
      </c>
    </row>
    <row r="79" spans="1:7" x14ac:dyDescent="0.25">
      <c r="A79">
        <v>68</v>
      </c>
      <c r="B79" s="6" t="n">
        <v>385.51800510500004</v>
      </c>
      <c r="C79" s="9">
        <f si="2" t="shared"/>
        <v>1.8991597739577375E-4</v>
      </c>
      <c r="E79" s="371">
        <v>68</v>
      </c>
      <c r="F79" s="371" t="n">
        <v>1040.8132631409776</v>
      </c>
      <c r="G79" s="9">
        <f si="3" t="shared"/>
        <v>4.6875093687515741E-4</v>
      </c>
    </row>
    <row r="80" spans="1:7" x14ac:dyDescent="0.25">
      <c r="A80">
        <v>69</v>
      </c>
      <c r="B80" s="6" t="n">
        <v>2700.8750317959</v>
      </c>
      <c r="C80" s="9">
        <f si="2" t="shared"/>
        <v>1.3305197544474096E-3</v>
      </c>
      <c r="E80" s="371">
        <v>69</v>
      </c>
      <c r="F80" s="371" t="n">
        <v>934.8868284675613</v>
      </c>
      <c r="G80" s="9">
        <f si="3" t="shared"/>
        <v>4.3132588818592025E-4</v>
      </c>
    </row>
    <row r="81" spans="1:7" x14ac:dyDescent="0.25">
      <c r="A81">
        <v>70</v>
      </c>
      <c r="B81" s="6" t="n">
        <v>3317.574433313</v>
      </c>
      <c r="C81" s="9">
        <f si="2" t="shared"/>
        <v>1.6343215692721401E-3</v>
      </c>
      <c r="E81" s="371">
        <v>70</v>
      </c>
      <c r="F81" s="371" t="n">
        <v>740.0803489472257</v>
      </c>
      <c r="G81" s="9">
        <f si="3" t="shared"/>
        <v>4.4539025845019347E-4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725.6217605734349</v>
      </c>
      <c r="G82" s="9">
        <f si="3" t="shared"/>
        <v>5.1546806922926906E-4</v>
      </c>
    </row>
    <row r="83" spans="1:7" x14ac:dyDescent="0.25">
      <c r="A83">
        <v>72</v>
      </c>
      <c r="B83" s="6" t="n">
        <v>10258.7789274218</v>
      </c>
      <c r="C83" s="9">
        <f si="2" t="shared"/>
        <v>5.0537354963689331E-3</v>
      </c>
      <c r="E83" s="371">
        <v>72</v>
      </c>
      <c r="F83" s="371" t="n">
        <v>719.2523665148375</v>
      </c>
      <c r="G83" s="9">
        <f si="3" t="shared"/>
        <v>4.4462623144563121E-4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2835.0158073625553</v>
      </c>
      <c r="G84" s="9">
        <f si="3" t="shared"/>
        <v>3.4503827728385157E-4</v>
      </c>
    </row>
    <row r="85" spans="1:7" x14ac:dyDescent="0.25">
      <c r="A85">
        <v>74</v>
      </c>
      <c r="B85" s="6" t="n">
        <v>3967.364534988</v>
      </c>
      <c r="C85" s="9">
        <f si="2" t="shared"/>
        <v>1.9544247048652388E-3</v>
      </c>
      <c r="E85" s="371">
        <v>74</v>
      </c>
      <c r="F85" s="371" t="n">
        <v>1750.3706169783986</v>
      </c>
      <c r="G85" s="9">
        <f si="3" t="shared"/>
        <v>3.0506421424138171E-4</v>
      </c>
    </row>
    <row r="86" spans="1:7" x14ac:dyDescent="0.25">
      <c r="A86">
        <v>75</v>
      </c>
      <c r="B86" s="6" t="n">
        <v>5834.957319452</v>
      </c>
      <c r="C86" s="9">
        <f si="2" t="shared"/>
        <v>2.8744484244893655E-3</v>
      </c>
      <c r="E86" s="371">
        <v>75</v>
      </c>
      <c r="F86" s="371" t="n">
        <v>586.0889360844161</v>
      </c>
      <c r="G86" s="9">
        <f si="3" t="shared"/>
        <v>3.3570602087154165E-4</v>
      </c>
    </row>
    <row r="87" spans="1:7" x14ac:dyDescent="0.25">
      <c r="A87">
        <v>76</v>
      </c>
      <c r="B87" s="6" t="n">
        <v>3993.8384281549997</v>
      </c>
      <c r="C87" s="9">
        <f si="2" t="shared"/>
        <v>1.9674664181696866E-3</v>
      </c>
      <c r="E87" s="371">
        <v>76</v>
      </c>
      <c r="F87" s="371" t="n">
        <v>1378.957563682726</v>
      </c>
      <c r="G87" s="9">
        <f si="3" t="shared"/>
        <v>2.9547795931650833E-4</v>
      </c>
    </row>
    <row r="88" spans="1:7" x14ac:dyDescent="0.25">
      <c r="A88">
        <v>77</v>
      </c>
      <c r="B88" s="6" t="n">
        <v>1083.714443592</v>
      </c>
      <c r="C88" s="9">
        <f si="2" t="shared"/>
        <v>5.3386530602282992E-4</v>
      </c>
      <c r="E88" s="371">
        <v>77</v>
      </c>
      <c r="F88" s="371" t="n">
        <v>550.15364568525</v>
      </c>
      <c r="G88" s="9">
        <f si="3" t="shared"/>
        <v>3.2503522830707387E-4</v>
      </c>
    </row>
    <row r="89" spans="1:7" x14ac:dyDescent="0.25">
      <c r="A89">
        <v>78</v>
      </c>
      <c r="B89" s="6" t="n">
        <v>523.299985488</v>
      </c>
      <c r="C89" s="9">
        <f si="2" t="shared"/>
        <v>2.5779088628579013E-4</v>
      </c>
      <c r="E89" s="371">
        <v>78</v>
      </c>
      <c r="F89" s="371" t="n">
        <v>639.2640311760495</v>
      </c>
      <c r="G89" s="9">
        <f si="3" t="shared"/>
        <v>2.9805595558871951E-4</v>
      </c>
    </row>
    <row r="90" spans="1:7" x14ac:dyDescent="0.25">
      <c r="A90">
        <v>79</v>
      </c>
      <c r="B90" s="6" t="n">
        <v>649.4609449740001</v>
      </c>
      <c r="C90" s="9">
        <f si="2" t="shared"/>
        <v>3.1994098462801037E-4</v>
      </c>
      <c r="E90" s="371">
        <v>79</v>
      </c>
      <c r="F90" s="371" t="n">
        <v>776.8700159911368</v>
      </c>
      <c r="G90" s="9">
        <f si="3" t="shared"/>
        <v>3.3754798328312072E-4</v>
      </c>
    </row>
    <row r="91" spans="1:7" x14ac:dyDescent="0.25">
      <c r="A91">
        <v>80</v>
      </c>
      <c r="B91" s="6" t="n">
        <v>5404.0538728265</v>
      </c>
      <c r="C91" s="9">
        <f si="2" t="shared"/>
        <v>2.6621744239357448E-3</v>
      </c>
      <c r="E91" s="371">
        <v>80</v>
      </c>
      <c r="F91" s="371" t="n">
        <v>1326.9622536535364</v>
      </c>
      <c r="G91" s="9">
        <f si="3" t="shared"/>
        <v>2.5860208251566984E-4</v>
      </c>
    </row>
    <row r="92" spans="1:7" x14ac:dyDescent="0.25">
      <c r="A92">
        <v>81</v>
      </c>
      <c r="B92" s="6" t="n">
        <v>668.711535771</v>
      </c>
      <c r="C92" s="9">
        <f si="2" t="shared"/>
        <v>3.294243154147594E-4</v>
      </c>
      <c r="E92" s="371">
        <v>81</v>
      </c>
      <c r="F92" s="371" t="n">
        <v>1027.6536435649393</v>
      </c>
      <c r="G92" s="9">
        <f si="3" t="shared"/>
        <v>3.2215566049620799E-4</v>
      </c>
    </row>
    <row r="93" spans="1:7" x14ac:dyDescent="0.25">
      <c r="A93">
        <v>82</v>
      </c>
      <c r="B93" s="6" t="n">
        <v>3436.0861575477</v>
      </c>
      <c r="C93" s="9">
        <f si="2" t="shared"/>
        <v>1.6927034597230448E-3</v>
      </c>
      <c r="E93" s="371">
        <v>82</v>
      </c>
      <c r="F93" s="371" t="n">
        <v>561.6213624575468</v>
      </c>
      <c r="G93" s="9">
        <f si="3" t="shared"/>
        <v>2.0679310020511792E-4</v>
      </c>
    </row>
    <row r="94" spans="1:7" x14ac:dyDescent="0.25">
      <c r="A94">
        <v>83</v>
      </c>
      <c r="B94" s="6" t="n">
        <v>4707.4822341093995</v>
      </c>
      <c r="C94" s="9">
        <f si="2" t="shared"/>
        <v>2.3190255130123671E-3</v>
      </c>
      <c r="E94" s="371">
        <v>83</v>
      </c>
      <c r="F94" s="371" t="n">
        <v>415.85941864313594</v>
      </c>
      <c r="G94" s="9">
        <f si="3" t="shared"/>
        <v>1.8316410646150797E-4</v>
      </c>
    </row>
    <row r="95" spans="1:7" x14ac:dyDescent="0.25">
      <c r="A95">
        <v>84</v>
      </c>
      <c r="B95" s="6" t="n">
        <v>4050.4151157999</v>
      </c>
      <c r="C95" s="9">
        <f si="2" t="shared"/>
        <v>1.9953375338883162E-3</v>
      </c>
      <c r="E95" s="371">
        <v>84</v>
      </c>
      <c r="F95" s="371" t="n">
        <v>588.771023724417</v>
      </c>
      <c r="G95" s="9">
        <f si="3" t="shared"/>
        <v>1.2838320474511947E-4</v>
      </c>
    </row>
    <row r="96" spans="1:7" x14ac:dyDescent="0.25">
      <c r="A96">
        <v>85</v>
      </c>
      <c r="B96" s="6" t="n">
        <v>745.6925231339001</v>
      </c>
      <c r="C96" s="9">
        <f si="2" t="shared"/>
        <v>3.6734710828648272E-4</v>
      </c>
      <c r="E96" s="371">
        <v>85</v>
      </c>
      <c r="F96" s="371" t="n">
        <v>465.97100655989976</v>
      </c>
      <c r="G96" s="9">
        <f si="3" t="shared"/>
        <v>3.4510071436974688E-4</v>
      </c>
    </row>
    <row r="97" spans="1:7" x14ac:dyDescent="0.25">
      <c r="A97">
        <v>86</v>
      </c>
      <c r="B97" s="6" t="n">
        <v>2097.1040707583998</v>
      </c>
      <c r="C97" s="9">
        <f si="2" t="shared"/>
        <v>1.0330868183193239E-3</v>
      </c>
      <c r="E97" s="371">
        <v>86</v>
      </c>
      <c r="F97" s="371" t="n">
        <v>498.4576545488367</v>
      </c>
      <c r="G97" s="9">
        <f si="3" t="shared"/>
        <v>2.07887304717993E-4</v>
      </c>
    </row>
    <row r="98" spans="1:7" x14ac:dyDescent="0.25">
      <c r="A98">
        <v>87</v>
      </c>
      <c r="B98" s="6" t="n">
        <v>2490.6570966944</v>
      </c>
      <c r="C98" s="9">
        <f si="2" t="shared"/>
        <v>1.2269610513978618E-3</v>
      </c>
      <c r="E98" s="371">
        <v>87</v>
      </c>
      <c r="F98" s="371" t="n">
        <v>423.3387898703147</v>
      </c>
      <c r="G98" s="9">
        <f si="3" t="shared"/>
        <v>1.8191641175765481E-4</v>
      </c>
    </row>
    <row r="99" spans="1:7" x14ac:dyDescent="0.25">
      <c r="A99">
        <v>88</v>
      </c>
      <c r="B99" s="6" t="n">
        <v>289.143108231</v>
      </c>
      <c r="C99" s="9">
        <f si="2" t="shared"/>
        <v>1.4243925129252063E-4</v>
      </c>
      <c r="E99" s="371">
        <v>88</v>
      </c>
      <c r="F99" s="371" t="n">
        <v>354.18681688958526</v>
      </c>
      <c r="G99" s="9">
        <f si="3" t="shared"/>
        <v>2.0171027067036819E-4</v>
      </c>
    </row>
    <row r="100" spans="1:7" x14ac:dyDescent="0.25">
      <c r="A100">
        <v>89</v>
      </c>
      <c r="B100" s="6" t="n">
        <v>2614.6389136738</v>
      </c>
      <c r="C100" s="9">
        <f si="2" t="shared"/>
        <v>1.2880376487011021E-3</v>
      </c>
      <c r="E100" s="371">
        <v>89</v>
      </c>
      <c r="F100" s="371" t="n">
        <v>344.25557905512596</v>
      </c>
      <c r="G100" s="9">
        <f si="3" t="shared"/>
        <v>1.9152050732054908E-4</v>
      </c>
    </row>
    <row ht="15.75" r="101" spans="1:7" thickBot="1" x14ac:dyDescent="0.3">
      <c r="A101" s="1">
        <v>90</v>
      </c>
      <c r="B101" s="7" t="n">
        <v>50805.684478285</v>
      </c>
      <c r="C101" s="9">
        <f si="2" t="shared"/>
        <v>2.5028172736904539E-2</v>
      </c>
      <c r="E101" s="372">
        <v>90</v>
      </c>
      <c r="F101" s="372" t="n">
        <v>20493.68134934094</v>
      </c>
      <c r="G101" s="9">
        <f si="3" t="shared"/>
        <v>1.1685859294283675E-2</v>
      </c>
    </row>
    <row r="102" spans="1:7" x14ac:dyDescent="0.25">
      <c r="B102" s="6">
        <f>SUM(B11:B101)</f>
        <v>2029939.8207113622</v>
      </c>
      <c r="C102" s="9">
        <f si="2" t="shared"/>
        <v>1</v>
      </c>
      <c r="F102" s="6">
        <f>SUM(F11:F101)</f>
        <v>2025952.0332011448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3"/>
  <dimension ref="A1:L102"/>
  <sheetViews>
    <sheetView workbookViewId="0">
      <selection activeCell="A6" sqref="A6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99734.6244811823</v>
      </c>
      <c r="C11" s="9">
        <f>B11/B$102</f>
        <v>0.12049175269376761</v>
      </c>
      <c r="E11" s="371">
        <v>0</v>
      </c>
      <c r="F11" s="371" t="n">
        <v>212914.17552334117</v>
      </c>
      <c r="G11" s="9">
        <f>F11/F$102</f>
        <v>0.24770930075539324</v>
      </c>
      <c r="K11" s="6" t="n">
        <v>5.133613232373561</v>
      </c>
      <c r="L11" s="6" t="n">
        <v>5.03234568633661</v>
      </c>
    </row>
    <row r="12" spans="1:12" x14ac:dyDescent="0.25">
      <c r="A12">
        <v>1</v>
      </c>
      <c r="B12" s="6" t="n">
        <v>66863.8188759884</v>
      </c>
      <c r="C12" s="9">
        <f>B12/B$102</f>
        <v>8.0779756980852269E-2</v>
      </c>
      <c r="E12" s="371">
        <v>1</v>
      </c>
      <c r="F12" s="371" t="n">
        <v>117651.80611740182</v>
      </c>
      <c r="G12" s="9">
        <f>F12/F$102</f>
        <v>0.13864594426324958</v>
      </c>
      <c r="K12" s="6"/>
      <c r="L12" s="371"/>
    </row>
    <row r="13" spans="1:12" x14ac:dyDescent="0.25">
      <c r="A13">
        <v>2</v>
      </c>
      <c r="B13" s="6" t="n">
        <v>56287.0601906336</v>
      </c>
      <c r="C13" s="9">
        <f ref="C13:C76" si="0" t="shared">B13/B$102</f>
        <v>6.8001725294796408E-2</v>
      </c>
      <c r="E13" s="371">
        <v>2</v>
      </c>
      <c r="F13" s="371" t="n">
        <v>67286.42602529902</v>
      </c>
      <c r="G13" s="9">
        <f ref="G13:G76" si="1" t="shared">F13/F$102</f>
        <v>8.1277353545343933E-2</v>
      </c>
    </row>
    <row r="14" spans="1:12" x14ac:dyDescent="0.25">
      <c r="A14">
        <v>3</v>
      </c>
      <c r="B14" s="6" t="n">
        <v>110832.9786498835</v>
      </c>
      <c r="C14" s="9">
        <f si="0" t="shared"/>
        <v>0.13389993618831017</v>
      </c>
      <c r="E14" s="371">
        <v>3</v>
      </c>
      <c r="F14" s="371" t="n">
        <v>37923.53709259427</v>
      </c>
      <c r="G14" s="9">
        <f si="1" t="shared"/>
        <v>4.5182064240099289E-2</v>
      </c>
    </row>
    <row r="15" spans="1:12" x14ac:dyDescent="0.25">
      <c r="A15">
        <v>4</v>
      </c>
      <c r="B15" s="6" t="n">
        <v>158008.07101755</v>
      </c>
      <c r="C15" s="9">
        <f si="0" t="shared"/>
        <v>0.19089327819405463</v>
      </c>
      <c r="E15" s="371">
        <v>4</v>
      </c>
      <c r="F15" s="371" t="n">
        <v>108916.80054265547</v>
      </c>
      <c r="G15" s="9">
        <f si="1" t="shared"/>
        <v>0.12924720401809339</v>
      </c>
    </row>
    <row r="16" spans="1:12" x14ac:dyDescent="0.25">
      <c r="A16">
        <v>5</v>
      </c>
      <c r="B16" s="6" t="n">
        <v>97161.1988953487</v>
      </c>
      <c r="C16" s="9">
        <f si="0" t="shared"/>
        <v>0.11738273653336104</v>
      </c>
      <c r="E16" s="371">
        <v>5</v>
      </c>
      <c r="F16" s="371" t="n">
        <v>56914.132467497744</v>
      </c>
      <c r="G16" s="9">
        <f si="1" t="shared"/>
        <v>6.8087329464851437E-2</v>
      </c>
    </row>
    <row r="17" spans="1:7" x14ac:dyDescent="0.25">
      <c r="A17">
        <v>6</v>
      </c>
      <c r="B17" s="6" t="n">
        <v>63476.4891383036</v>
      </c>
      <c r="C17" s="9">
        <f si="0" t="shared"/>
        <v>7.6687444013630229E-2</v>
      </c>
      <c r="E17" s="371">
        <v>6</v>
      </c>
      <c r="F17" s="371" t="n">
        <v>52034.13639034544</v>
      </c>
      <c r="G17" s="9">
        <f si="1" t="shared"/>
        <v>6.0999250974754997E-2</v>
      </c>
    </row>
    <row r="18" spans="1:7" x14ac:dyDescent="0.25">
      <c r="A18">
        <v>7</v>
      </c>
      <c r="B18" s="6" t="n">
        <v>20608.0840047582</v>
      </c>
      <c r="C18" s="9">
        <f si="0" t="shared"/>
        <v>2.4897112455285968E-2</v>
      </c>
      <c r="E18" s="371">
        <v>7</v>
      </c>
      <c r="F18" s="371" t="n">
        <v>31466.39899246242</v>
      </c>
      <c r="G18" s="9">
        <f si="1" t="shared"/>
        <v>3.9011906449519129E-2</v>
      </c>
    </row>
    <row r="19" spans="1:7" x14ac:dyDescent="0.25">
      <c r="A19">
        <v>8</v>
      </c>
      <c r="B19" s="6" t="n">
        <v>28640.0076767817</v>
      </c>
      <c r="C19" s="9">
        <f si="0" t="shared"/>
        <v>3.4600668926060792E-2</v>
      </c>
      <c r="E19" s="371">
        <v>8</v>
      </c>
      <c r="F19" s="371" t="n">
        <v>29696.47791736237</v>
      </c>
      <c r="G19" s="9">
        <f si="1" t="shared"/>
        <v>3.7087232031025354E-2</v>
      </c>
    </row>
    <row r="20" spans="1:7" x14ac:dyDescent="0.25">
      <c r="A20">
        <v>9</v>
      </c>
      <c r="B20" s="6" t="n">
        <v>12865.8674469713</v>
      </c>
      <c r="C20" s="9">
        <f si="0" t="shared"/>
        <v>1.554355798375473E-2</v>
      </c>
      <c r="E20" s="371">
        <v>9</v>
      </c>
      <c r="F20" s="371" t="n">
        <v>19313.206087216622</v>
      </c>
      <c r="G20" s="9">
        <f si="1" t="shared"/>
        <v>1.8300628228309523E-2</v>
      </c>
    </row>
    <row r="21" spans="1:7" x14ac:dyDescent="0.25">
      <c r="A21">
        <v>10</v>
      </c>
      <c r="B21" s="6" t="n">
        <v>38226.1467989727</v>
      </c>
      <c r="C21" s="9">
        <f si="0" t="shared"/>
        <v>4.618190974796834E-2</v>
      </c>
      <c r="E21" s="371">
        <v>10</v>
      </c>
      <c r="F21" s="371" t="n">
        <v>13661.150951131296</v>
      </c>
      <c r="G21" s="9">
        <f si="1" t="shared"/>
        <v>1.8985432198092959E-2</v>
      </c>
    </row>
    <row r="22" spans="1:7" x14ac:dyDescent="0.25">
      <c r="A22">
        <v>11</v>
      </c>
      <c r="B22" s="6" t="n">
        <v>7826.5269435087</v>
      </c>
      <c r="C22" s="9">
        <f si="0" t="shared"/>
        <v>9.4554118375037178E-3</v>
      </c>
      <c r="E22" s="371">
        <v>11</v>
      </c>
      <c r="F22" s="371" t="n">
        <v>12051.724407162901</v>
      </c>
      <c r="G22" s="9">
        <f si="1" t="shared"/>
        <v>1.6003752354398281E-2</v>
      </c>
    </row>
    <row r="23" spans="1:7" x14ac:dyDescent="0.25">
      <c r="A23">
        <v>12</v>
      </c>
      <c r="B23" s="6" t="n">
        <v>6689.1261270045</v>
      </c>
      <c r="C23" s="9">
        <f si="0" t="shared"/>
        <v>8.0812910784510642E-3</v>
      </c>
      <c r="E23" s="371">
        <v>12</v>
      </c>
      <c r="F23" s="371" t="n">
        <v>10929.741563356642</v>
      </c>
      <c r="G23" s="9">
        <f si="1" t="shared"/>
        <v>1.2320237410405006E-2</v>
      </c>
    </row>
    <row r="24" spans="1:7" x14ac:dyDescent="0.25">
      <c r="A24">
        <v>13</v>
      </c>
      <c r="B24" s="6" t="n">
        <v>13864.623215797401</v>
      </c>
      <c r="C24" s="9">
        <f si="0" t="shared"/>
        <v>1.6750178389906396E-2</v>
      </c>
      <c r="E24" s="371">
        <v>13</v>
      </c>
      <c r="F24" s="371" t="n">
        <v>8744.355963636137</v>
      </c>
      <c r="G24" s="9">
        <f si="1" t="shared"/>
        <v>1.1026975652631133E-2</v>
      </c>
    </row>
    <row r="25" spans="1:7" x14ac:dyDescent="0.25">
      <c r="A25">
        <v>14</v>
      </c>
      <c r="B25" s="6" t="n">
        <v>3916.866872967</v>
      </c>
      <c r="C25" s="9">
        <f si="0" t="shared"/>
        <v>4.7320592727653678E-3</v>
      </c>
      <c r="E25" s="371">
        <v>14</v>
      </c>
      <c r="F25" s="371" t="n">
        <v>8844.015054713997</v>
      </c>
      <c r="G25" s="9">
        <f si="1" t="shared"/>
        <v>9.3735574012174267E-3</v>
      </c>
    </row>
    <row r="26" spans="1:7" x14ac:dyDescent="0.25">
      <c r="A26">
        <v>15</v>
      </c>
      <c r="B26" s="6" t="n">
        <v>10321.8034266164</v>
      </c>
      <c r="C26" s="9">
        <f si="0" t="shared"/>
        <v>1.2470014223277126E-2</v>
      </c>
      <c r="E26" s="371">
        <v>15</v>
      </c>
      <c r="F26" s="371" t="n">
        <v>7784.028359358359</v>
      </c>
      <c r="G26" s="9">
        <f si="1" t="shared"/>
        <v>9.7947095976349367E-3</v>
      </c>
    </row>
    <row r="27" spans="1:7" x14ac:dyDescent="0.25">
      <c r="A27">
        <v>16</v>
      </c>
      <c r="B27" s="6" t="n">
        <v>7911.9769347471</v>
      </c>
      <c r="C27" s="9">
        <f si="0" t="shared"/>
        <v>9.558645987785443E-3</v>
      </c>
      <c r="E27" s="371">
        <v>16</v>
      </c>
      <c r="F27" s="371" t="n">
        <v>7278.067919665754</v>
      </c>
      <c r="G27" s="9">
        <f si="1" t="shared"/>
        <v>8.8248131100427951E-3</v>
      </c>
    </row>
    <row r="28" spans="1:7" x14ac:dyDescent="0.25">
      <c r="A28">
        <v>17</v>
      </c>
      <c r="B28" s="6" t="n">
        <v>2591.5978135515998</v>
      </c>
      <c r="C28" s="9">
        <f si="0" t="shared"/>
        <v>3.1309704574170815E-3</v>
      </c>
      <c r="E28" s="371">
        <v>17</v>
      </c>
      <c r="F28" s="371" t="n">
        <v>5170.453595962401</v>
      </c>
      <c r="G28" s="9">
        <f si="1" t="shared"/>
        <v>6.2698853754303207E-3</v>
      </c>
    </row>
    <row r="29" spans="1:7" x14ac:dyDescent="0.25">
      <c r="A29">
        <v>18</v>
      </c>
      <c r="B29" s="6" t="n">
        <v>4600.4915824173</v>
      </c>
      <c r="C29" s="9">
        <f si="0" t="shared"/>
        <v>5.5579624117697759E-3</v>
      </c>
      <c r="E29" s="371">
        <v>18</v>
      </c>
      <c r="F29" s="371" t="n">
        <v>5243.914504515777</v>
      </c>
      <c r="G29" s="9">
        <f si="1" t="shared"/>
        <v>5.8248028064570604E-3</v>
      </c>
    </row>
    <row r="30" spans="1:7" x14ac:dyDescent="0.25">
      <c r="A30">
        <v>19</v>
      </c>
      <c r="B30" s="6" t="n">
        <v>402.0374973392</v>
      </c>
      <c r="C30" s="9">
        <f si="0" t="shared"/>
        <v>4.8571098507676342E-4</v>
      </c>
      <c r="E30" s="371">
        <v>19</v>
      </c>
      <c r="F30" s="371" t="n">
        <v>4278.245251971559</v>
      </c>
      <c r="G30" s="9">
        <f si="1" t="shared"/>
        <v>5.4275027651748053E-3</v>
      </c>
    </row>
    <row r="31" spans="1:7" x14ac:dyDescent="0.25">
      <c r="A31">
        <v>20</v>
      </c>
      <c r="B31" s="6" t="n">
        <v>1086.216272507</v>
      </c>
      <c r="C31" s="9">
        <f si="0" t="shared"/>
        <v>1.3122835039455498E-3</v>
      </c>
      <c r="E31" s="371">
        <v>20</v>
      </c>
      <c r="F31" s="371" t="n">
        <v>3643.5269654158847</v>
      </c>
      <c r="G31" s="9">
        <f si="1" t="shared"/>
        <v>4.2174096947660642E-3</v>
      </c>
    </row>
    <row r="32" spans="1:7" x14ac:dyDescent="0.25">
      <c r="A32">
        <v>21</v>
      </c>
      <c r="B32" s="6" t="n">
        <v>2507.3412075616</v>
      </c>
      <c r="C32" s="9">
        <f si="0" t="shared"/>
        <v>3.0291780640073211E-3</v>
      </c>
      <c r="E32" s="371">
        <v>21</v>
      </c>
      <c r="F32" s="371" t="n">
        <v>2804.8953382767754</v>
      </c>
      <c r="G32" s="9">
        <f si="1" t="shared"/>
        <v>2.9583872835034514E-3</v>
      </c>
    </row>
    <row r="33" spans="1:7" x14ac:dyDescent="0.25">
      <c r="A33">
        <v>22</v>
      </c>
      <c r="B33" s="6" t="n">
        <v>2371.829540066</v>
      </c>
      <c r="C33" s="9">
        <f si="0" t="shared"/>
        <v>2.8654632216249679E-3</v>
      </c>
      <c r="E33" s="371">
        <v>22</v>
      </c>
      <c r="F33" s="371" t="n">
        <v>2807.0364996795824</v>
      </c>
      <c r="G33" s="9">
        <f si="1" t="shared"/>
        <v>3.3972390504271818E-3</v>
      </c>
    </row>
    <row r="34" spans="1:7" x14ac:dyDescent="0.25">
      <c r="A34">
        <v>23</v>
      </c>
      <c r="B34" s="6" t="n">
        <v>1770.2506230066</v>
      </c>
      <c r="C34" s="9">
        <f si="0" t="shared"/>
        <v>2.1386815399655349E-3</v>
      </c>
      <c r="E34" s="371">
        <v>23</v>
      </c>
      <c r="F34" s="371" t="n">
        <v>2492.789233253996</v>
      </c>
      <c r="G34" s="9">
        <f si="1" t="shared"/>
        <v>3.0258649333992373E-3</v>
      </c>
    </row>
    <row r="35" spans="1:7" x14ac:dyDescent="0.25">
      <c r="A35">
        <v>24</v>
      </c>
      <c r="B35" s="6" t="n">
        <v>736.563073278</v>
      </c>
      <c r="C35" s="9">
        <f si="0" t="shared"/>
        <v>8.8985922522342585E-4</v>
      </c>
      <c r="E35" s="371">
        <v>24</v>
      </c>
      <c r="F35" s="371" t="n">
        <v>2105.854712969318</v>
      </c>
      <c r="G35" s="9">
        <f si="1" t="shared"/>
        <v>2.0451651346700445E-3</v>
      </c>
    </row>
    <row r="36" spans="1:7" x14ac:dyDescent="0.25">
      <c r="A36">
        <v>25</v>
      </c>
      <c r="B36" s="6" t="n">
        <v>1160.436957656</v>
      </c>
      <c r="C36" s="9">
        <f si="0" t="shared"/>
        <v>1.4019512646280261E-3</v>
      </c>
      <c r="E36" s="371">
        <v>25</v>
      </c>
      <c r="F36" s="371" t="n">
        <v>2091.367471196654</v>
      </c>
      <c r="G36" s="9">
        <f si="1" t="shared"/>
        <v>2.6308631502699143E-3</v>
      </c>
    </row>
    <row r="37" spans="1:7" x14ac:dyDescent="0.25">
      <c r="A37">
        <v>26</v>
      </c>
      <c r="B37" s="6" t="n">
        <v>1124.4476883681</v>
      </c>
      <c r="C37" s="9">
        <f si="0" t="shared"/>
        <v>1.3584717793717776E-3</v>
      </c>
      <c r="E37" s="371">
        <v>26</v>
      </c>
      <c r="F37" s="371" t="n">
        <v>1519.6940221322493</v>
      </c>
      <c r="G37" s="9">
        <f si="1" t="shared"/>
        <v>1.7771265196735249E-3</v>
      </c>
    </row>
    <row r="38" spans="1:7" x14ac:dyDescent="0.25">
      <c r="A38">
        <v>27</v>
      </c>
      <c r="B38" s="6" t="n">
        <v>306.240016457</v>
      </c>
      <c r="C38" s="9">
        <f si="0" t="shared"/>
        <v>3.6997578844681227E-4</v>
      </c>
      <c r="E38" s="371">
        <v>27</v>
      </c>
      <c r="F38" s="371" t="n">
        <v>1036.9150526577416</v>
      </c>
      <c r="G38" s="9">
        <f si="1" t="shared"/>
        <v>1.3881199522383801E-3</v>
      </c>
    </row>
    <row r="39" spans="1:7" x14ac:dyDescent="0.25">
      <c r="A39">
        <v>28</v>
      </c>
      <c r="B39" s="6" t="n">
        <v>948.557181251</v>
      </c>
      <c r="C39" s="9">
        <f si="0" t="shared"/>
        <v>1.145974308257985E-3</v>
      </c>
      <c r="E39" s="371">
        <v>28</v>
      </c>
      <c r="F39" s="371" t="n">
        <v>1087.2730773716842</v>
      </c>
      <c r="G39" s="9">
        <f si="1" t="shared"/>
        <v>1.01916275516265E-3</v>
      </c>
    </row>
    <row r="40" spans="1:7" x14ac:dyDescent="0.25">
      <c r="A40">
        <v>29</v>
      </c>
      <c r="B40" s="6" t="n">
        <v>0.0</v>
      </c>
      <c r="C40" s="9">
        <f si="0" t="shared"/>
        <v>0</v>
      </c>
      <c r="E40" s="371">
        <v>29</v>
      </c>
      <c r="F40" s="371" t="n">
        <v>921.6837452964172</v>
      </c>
      <c r="G40" s="9">
        <f si="1" t="shared"/>
        <v>1.2731149616007347E-3</v>
      </c>
    </row>
    <row r="41" spans="1:7" x14ac:dyDescent="0.25">
      <c r="A41">
        <v>30</v>
      </c>
      <c r="B41" s="6" t="n">
        <v>0.0</v>
      </c>
      <c r="C41" s="9">
        <f si="0" t="shared"/>
        <v>0</v>
      </c>
      <c r="E41" s="371">
        <v>30</v>
      </c>
      <c r="F41" s="371" t="n">
        <v>780.4645205531506</v>
      </c>
      <c r="G41" s="9">
        <f si="1" t="shared"/>
        <v>7.9546948460992005E-4</v>
      </c>
    </row>
    <row r="42" spans="1:7" x14ac:dyDescent="0.25">
      <c r="A42">
        <v>31</v>
      </c>
      <c r="B42" s="6" t="n">
        <v>61.6654467019</v>
      </c>
      <c r="C42" s="9">
        <f si="0" t="shared"/>
        <v>7.4499480921572537E-5</v>
      </c>
      <c r="E42" s="371">
        <v>31</v>
      </c>
      <c r="F42" s="371" t="n">
        <v>709.3036955170489</v>
      </c>
      <c r="G42" s="9">
        <f si="1" t="shared"/>
        <v>6.9322569887735291E-4</v>
      </c>
    </row>
    <row r="43" spans="1:7" x14ac:dyDescent="0.25">
      <c r="A43">
        <v>32</v>
      </c>
      <c r="B43" s="6" t="n">
        <v>290.873582631</v>
      </c>
      <c r="C43" s="9">
        <f si="0" t="shared"/>
        <v>3.5141123722922703E-4</v>
      </c>
      <c r="E43" s="371">
        <v>32</v>
      </c>
      <c r="F43" s="371" t="n">
        <v>613.2614656577234</v>
      </c>
      <c r="G43" s="9">
        <f si="1" t="shared"/>
        <v>6.8221787979118851E-4</v>
      </c>
    </row>
    <row r="44" spans="1:7" x14ac:dyDescent="0.25">
      <c r="A44">
        <v>33</v>
      </c>
      <c r="B44" s="6" t="n">
        <v>139.99557747</v>
      </c>
      <c r="C44" s="9">
        <f si="0" t="shared"/>
        <v>1.6913195980317847E-4</v>
      </c>
      <c r="E44" s="371">
        <v>33</v>
      </c>
      <c r="F44" s="371" t="n">
        <v>541.5424300120444</v>
      </c>
      <c r="G44" s="9">
        <f si="1" t="shared"/>
        <v>5.897087991834901E-4</v>
      </c>
    </row>
    <row r="45" spans="1:7" x14ac:dyDescent="0.25">
      <c r="A45">
        <v>34</v>
      </c>
      <c r="B45" s="6" t="n">
        <v>1343.61970522</v>
      </c>
      <c r="C45" s="9">
        <f si="0" t="shared"/>
        <v>1.6232586634583174E-3</v>
      </c>
      <c r="E45" s="371">
        <v>34</v>
      </c>
      <c r="F45" s="371" t="n">
        <v>534.4707065420902</v>
      </c>
      <c r="G45" s="9">
        <f si="1" t="shared"/>
        <v>5.6506753096212262E-4</v>
      </c>
    </row>
    <row r="46" spans="1:7" x14ac:dyDescent="0.25">
      <c r="A46">
        <v>35</v>
      </c>
      <c r="B46" s="6" t="n">
        <v>342.481278879</v>
      </c>
      <c r="C46" s="9">
        <f si="0" t="shared"/>
        <v>4.1375971255318386E-4</v>
      </c>
      <c r="E46" s="371">
        <v>35</v>
      </c>
      <c r="F46" s="371" t="n">
        <v>431.26321663368583</v>
      </c>
      <c r="G46" s="9">
        <f si="1" t="shared"/>
        <v>5.948995274690595E-4</v>
      </c>
    </row>
    <row r="47" spans="1:7" x14ac:dyDescent="0.25">
      <c r="A47">
        <v>36</v>
      </c>
      <c r="B47" s="6" t="n">
        <v>0.0</v>
      </c>
      <c r="C47" s="9">
        <f si="0" t="shared"/>
        <v>0</v>
      </c>
      <c r="E47" s="371">
        <v>36</v>
      </c>
      <c r="F47" s="371" t="n">
        <v>520.8475253166346</v>
      </c>
      <c r="G47" s="9">
        <f si="1" t="shared"/>
        <v>4.423877658178471E-4</v>
      </c>
    </row>
    <row r="48" spans="1:7" x14ac:dyDescent="0.25">
      <c r="A48">
        <v>37</v>
      </c>
      <c r="B48" s="6" t="n">
        <v>0.0</v>
      </c>
      <c r="C48" s="9">
        <f si="0" t="shared"/>
        <v>0</v>
      </c>
      <c r="E48" s="371">
        <v>37</v>
      </c>
      <c r="F48" s="371" t="n">
        <v>362.05392718726347</v>
      </c>
      <c r="G48" s="9">
        <f si="1" t="shared"/>
        <v>3.2839999765780158E-4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363.9827366499853</v>
      </c>
      <c r="G49" s="9">
        <f si="1" t="shared"/>
        <v>3.3524315255754167E-4</v>
      </c>
    </row>
    <row r="50" spans="1:7" x14ac:dyDescent="0.25">
      <c r="A50">
        <v>39</v>
      </c>
      <c r="B50" s="6" t="n">
        <v>357.9078832048</v>
      </c>
      <c r="C50" s="9">
        <f si="0" t="shared"/>
        <v>4.3239695717107085E-4</v>
      </c>
      <c r="E50" s="371">
        <v>39</v>
      </c>
      <c r="F50" s="371" t="n">
        <v>339.2044386927295</v>
      </c>
      <c r="G50" s="9">
        <f si="1" t="shared"/>
        <v>2.6373101115527144E-4</v>
      </c>
    </row>
    <row r="51" spans="1:7" x14ac:dyDescent="0.25">
      <c r="A51">
        <v>40</v>
      </c>
      <c r="B51" s="6" t="n">
        <v>417.967608267</v>
      </c>
      <c r="C51" s="9">
        <f si="0" t="shared"/>
        <v>5.0495652789884441E-4</v>
      </c>
      <c r="E51" s="371">
        <v>40</v>
      </c>
      <c r="F51" s="371" t="n">
        <v>256.3266159322271</v>
      </c>
      <c r="G51" s="9">
        <f si="1" t="shared"/>
        <v>2.7548242939763791E-4</v>
      </c>
    </row>
    <row r="52" spans="1:7" x14ac:dyDescent="0.25">
      <c r="A52">
        <v>41</v>
      </c>
      <c r="B52" s="6" t="n">
        <v>1433.5707232769998</v>
      </c>
      <c r="C52" s="9">
        <f si="0" t="shared"/>
        <v>1.7319306104241537E-3</v>
      </c>
      <c r="E52" s="371">
        <v>41</v>
      </c>
      <c r="F52" s="371" t="n">
        <v>218.2433151292237</v>
      </c>
      <c r="G52" s="9">
        <f si="1" t="shared"/>
        <v>3.5340388692388787E-4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151.990991632727</v>
      </c>
      <c r="G53" s="9">
        <f si="1" t="shared"/>
        <v>1.1731061241698823E-4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109.12231844684703</v>
      </c>
      <c r="G54" s="9">
        <f si="1" t="shared"/>
        <v>1.0918062286801275E-4</v>
      </c>
    </row>
    <row r="55" spans="1:7" x14ac:dyDescent="0.25">
      <c r="A55">
        <v>44</v>
      </c>
      <c r="B55" s="6" t="n">
        <v>0.0</v>
      </c>
      <c r="C55" s="9">
        <f si="0" t="shared"/>
        <v>0</v>
      </c>
      <c r="E55" s="371">
        <v>44</v>
      </c>
      <c r="F55" s="371" t="n">
        <v>101.17448211030697</v>
      </c>
      <c r="G55" s="9">
        <f si="1" t="shared"/>
        <v>1.1853220054720801E-4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101.52255361443513</v>
      </c>
      <c r="G56" s="9">
        <f si="1" t="shared"/>
        <v>1.2291569550248056E-4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51.31020469250424</v>
      </c>
      <c r="G57" s="9">
        <f si="1" t="shared"/>
        <v>7.1553340253006581E-5</v>
      </c>
    </row>
    <row r="58" spans="1:7" x14ac:dyDescent="0.25">
      <c r="A58">
        <v>47</v>
      </c>
      <c r="B58" s="6" t="n">
        <v>381.900134436</v>
      </c>
      <c r="C58" s="9">
        <f si="0" t="shared"/>
        <v>4.6138256188913877E-4</v>
      </c>
      <c r="E58" s="371">
        <v>47</v>
      </c>
      <c r="F58" s="371" t="n">
        <v>52.951581161764416</v>
      </c>
      <c r="G58" s="9">
        <f si="1" t="shared"/>
        <v>3.1083267777725117E-5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55.14668064977867</v>
      </c>
      <c r="G59" s="9">
        <f si="1" t="shared"/>
        <v>9.8303010218829835E-5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53.40691479327339</v>
      </c>
      <c r="G60" s="9">
        <f si="1" t="shared"/>
        <v>7.3215175148765387E-5</v>
      </c>
    </row>
    <row r="61" spans="1:7" x14ac:dyDescent="0.25">
      <c r="A61">
        <v>50</v>
      </c>
      <c r="B61" s="6" t="n">
        <v>14.08625</v>
      </c>
      <c r="C61" s="9">
        <f si="0" t="shared"/>
        <v>1.7017930936340188E-5</v>
      </c>
      <c r="E61" s="371">
        <v>50</v>
      </c>
      <c r="F61" s="371" t="n">
        <v>55.00848372520086</v>
      </c>
      <c r="G61" s="9">
        <f si="1" t="shared"/>
        <v>4.1748744176105173E-5</v>
      </c>
    </row>
    <row r="62" spans="1:7" x14ac:dyDescent="0.25">
      <c r="A62">
        <v>51</v>
      </c>
      <c r="B62" s="6" t="n">
        <v>41.7609222283</v>
      </c>
      <c r="C62" s="9">
        <f si="0" t="shared"/>
        <v>5.0452355333682363E-5</v>
      </c>
      <c r="E62" s="371">
        <v>51</v>
      </c>
      <c r="F62" s="371" t="n">
        <v>41.78940677966104</v>
      </c>
      <c r="G62" s="9">
        <f si="1" t="shared"/>
        <v>2.9031149538729866E-5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18.77673658235658</v>
      </c>
      <c r="G63" s="9">
        <f si="1" t="shared"/>
        <v>3.8007704724715599E-5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21.38346221040909</v>
      </c>
      <c r="G64" s="9">
        <f si="1" t="shared"/>
        <v>2.5435465640948129E-5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17.931145770122114</v>
      </c>
      <c r="G65" s="9">
        <f si="1" t="shared"/>
        <v>3.0212619814963948E-7</v>
      </c>
    </row>
    <row r="66" spans="1:7" x14ac:dyDescent="0.25">
      <c r="A66">
        <v>55</v>
      </c>
      <c r="B66" s="6" t="n">
        <v>4.59375</v>
      </c>
      <c r="C66" s="9">
        <f si="0" t="shared"/>
        <v>5.5498177470095129E-6</v>
      </c>
      <c r="E66" s="371">
        <v>55</v>
      </c>
      <c r="F66" s="371" t="n">
        <v>23.23378741366108</v>
      </c>
      <c r="G66" s="9">
        <f si="1" t="shared"/>
        <v>2.5045399347241211E-5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14.95</v>
      </c>
      <c r="G67" s="9">
        <f si="1" t="shared"/>
        <v>1.3628049580821218E-5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3.4499999999999997</v>
      </c>
      <c r="G68" s="9">
        <f si="1" t="shared"/>
        <v>1.2085047925985579E-6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14.95</v>
      </c>
      <c r="G69" s="9">
        <f si="1" t="shared"/>
        <v>9.0637859444891833E-7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5.75</v>
      </c>
      <c r="G70" s="9">
        <f si="1" t="shared"/>
        <v>1.2205898405245433E-5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6.8999999999999995</v>
      </c>
      <c r="G71" s="9">
        <f si="1" t="shared"/>
        <v>3.0212619814963948E-7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9.2</v>
      </c>
      <c r="G72" s="9">
        <f si="1" t="shared"/>
        <v>0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0.0</v>
      </c>
      <c r="G73" s="9">
        <f si="1" t="shared"/>
        <v>0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6.8999999999999995</v>
      </c>
      <c r="G74" s="9">
        <f si="1" t="shared"/>
        <v>0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0.231470973374108</v>
      </c>
      <c r="G75" s="9">
        <f si="1" t="shared"/>
        <v>0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1.15</v>
      </c>
      <c r="G76" s="9">
        <f si="1" t="shared"/>
        <v>0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0.0</v>
      </c>
      <c r="G77" s="9">
        <f ref="G77:G102" si="3" t="shared">F77/F$102</f>
        <v>0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2.3</v>
      </c>
      <c r="G78" s="9">
        <f si="3" t="shared"/>
        <v>0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3.4499999999999997</v>
      </c>
      <c r="G79" s="9">
        <f si="3" t="shared"/>
        <v>3.0212619814963948E-7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1.15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2.3</v>
      </c>
      <c r="G81" s="9">
        <f si="3" t="shared"/>
        <v>0</v>
      </c>
    </row>
    <row r="82" spans="1:7" x14ac:dyDescent="0.25">
      <c r="A82">
        <v>71</v>
      </c>
      <c r="B82" s="6" t="n">
        <v>58.1809956208</v>
      </c>
      <c r="C82" s="9">
        <f si="2" t="shared"/>
        <v>7.0289833368162948E-5</v>
      </c>
      <c r="E82" s="371">
        <v>71</v>
      </c>
      <c r="F82" s="371" t="n">
        <v>2.3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1.15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1.15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1.2073673763231714E-5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6.1354858701157595E-6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827729.88400841015</v>
      </c>
      <c r="C102" s="9">
        <f si="2" t="shared"/>
        <v>1</v>
      </c>
      <c r="F102" s="6">
        <f>SUM(F11:F101)</f>
        <v>827468.79129024758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4"/>
  <dimension ref="A1:L102"/>
  <sheetViews>
    <sheetView workbookViewId="0">
      <selection activeCell="A4" sqref="A4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9733.298063352193</v>
      </c>
      <c r="G11" s="9">
        <f>F11/F$102</f>
        <v>1.1709544739436542E-2</v>
      </c>
      <c r="K11" s="6" t="n">
        <v>27.432840636719497</v>
      </c>
      <c r="L11" s="6" t="n">
        <v>19.077944044534288</v>
      </c>
    </row>
    <row r="12" spans="1:12" x14ac:dyDescent="0.25">
      <c r="A12">
        <v>1</v>
      </c>
      <c r="B12" s="6" t="n">
        <v>193.998839214</v>
      </c>
      <c r="C12" s="9">
        <f>B12/B$102</f>
        <v>2.3437457431708345E-4</v>
      </c>
      <c r="E12" s="371">
        <v>1</v>
      </c>
      <c r="F12" s="371" t="n">
        <v>31814.394331619675</v>
      </c>
      <c r="G12" s="9">
        <f>F12/F$102</f>
        <v>3.7531209276350626E-2</v>
      </c>
      <c r="K12" s="6"/>
      <c r="L12" s="371"/>
    </row>
    <row r="13" spans="1:12" x14ac:dyDescent="0.25">
      <c r="A13">
        <v>2</v>
      </c>
      <c r="B13" s="6" t="n">
        <v>1261.3043626441001</v>
      </c>
      <c r="C13" s="9">
        <f ref="C13:C76" si="0" t="shared">B13/B$102</f>
        <v>1.5238115561758364E-3</v>
      </c>
      <c r="E13" s="371">
        <v>2</v>
      </c>
      <c r="F13" s="371" t="n">
        <v>33433.79638346404</v>
      </c>
      <c r="G13" s="9">
        <f ref="G13:G76" si="1" t="shared">F13/F$102</f>
        <v>3.8700817175120118E-2</v>
      </c>
    </row>
    <row r="14" spans="1:12" x14ac:dyDescent="0.25">
      <c r="A14">
        <v>3</v>
      </c>
      <c r="B14" s="6" t="n">
        <v>10100.747637068</v>
      </c>
      <c r="C14" s="9">
        <f si="0" t="shared"/>
        <v>1.2202951508955511E-2</v>
      </c>
      <c r="E14" s="371">
        <v>3</v>
      </c>
      <c r="F14" s="371" t="n">
        <v>35300.767739761475</v>
      </c>
      <c r="G14" s="9">
        <f si="1" t="shared"/>
        <v>4.0875365459524332E-2</v>
      </c>
    </row>
    <row r="15" spans="1:12" x14ac:dyDescent="0.25">
      <c r="A15">
        <v>4</v>
      </c>
      <c r="B15" s="6" t="n">
        <v>8791.3304586005</v>
      </c>
      <c r="C15" s="9">
        <f si="0" t="shared"/>
        <v>1.0621013724945052E-2</v>
      </c>
      <c r="E15" s="371">
        <v>4</v>
      </c>
      <c r="F15" s="371" t="n">
        <v>35674.55875353968</v>
      </c>
      <c r="G15" s="9">
        <f si="1" t="shared"/>
        <v>4.1765292555724323E-2</v>
      </c>
    </row>
    <row r="16" spans="1:12" x14ac:dyDescent="0.25">
      <c r="A16">
        <v>5</v>
      </c>
      <c r="B16" s="6" t="n">
        <v>21057.7362336818</v>
      </c>
      <c r="C16" s="9">
        <f si="0" t="shared"/>
        <v>2.5440347920877824E-2</v>
      </c>
      <c r="E16" s="371">
        <v>5</v>
      </c>
      <c r="F16" s="371" t="n">
        <v>35337.90285752573</v>
      </c>
      <c r="G16" s="9">
        <f si="1" t="shared"/>
        <v>3.9764979484891882E-2</v>
      </c>
    </row>
    <row r="17" spans="1:7" x14ac:dyDescent="0.25">
      <c r="A17">
        <v>6</v>
      </c>
      <c r="B17" s="6" t="n">
        <v>16944.011316876</v>
      </c>
      <c r="C17" s="9">
        <f si="0" t="shared"/>
        <v>2.0470459801236126E-2</v>
      </c>
      <c r="E17" s="371">
        <v>6</v>
      </c>
      <c r="F17" s="371" t="n">
        <v>32884.472055591956</v>
      </c>
      <c r="G17" s="9">
        <f si="1" t="shared"/>
        <v>3.9012515000106752E-2</v>
      </c>
    </row>
    <row r="18" spans="1:7" x14ac:dyDescent="0.25">
      <c r="A18">
        <v>7</v>
      </c>
      <c r="B18" s="6" t="n">
        <v>19388.4705215282</v>
      </c>
      <c r="C18" s="9">
        <f si="0" t="shared"/>
        <v>2.3423668634067588E-2</v>
      </c>
      <c r="E18" s="371">
        <v>7</v>
      </c>
      <c r="F18" s="371" t="n">
        <v>30177.77816470927</v>
      </c>
      <c r="G18" s="9">
        <f si="1" t="shared"/>
        <v>3.515035453385517E-2</v>
      </c>
    </row>
    <row r="19" spans="1:7" x14ac:dyDescent="0.25">
      <c r="A19">
        <v>8</v>
      </c>
      <c r="B19" s="6" t="n">
        <v>11538.2597059862</v>
      </c>
      <c r="C19" s="9">
        <f si="0" t="shared"/>
        <v>1.3939643752029817E-2</v>
      </c>
      <c r="E19" s="371">
        <v>8</v>
      </c>
      <c r="F19" s="371" t="n">
        <v>27100.543928317962</v>
      </c>
      <c r="G19" s="9">
        <f si="1" t="shared"/>
        <v>3.2034190331320968E-2</v>
      </c>
    </row>
    <row r="20" spans="1:7" x14ac:dyDescent="0.25">
      <c r="A20">
        <v>9</v>
      </c>
      <c r="B20" s="6" t="n">
        <v>27215.8770255288</v>
      </c>
      <c r="C20" s="9">
        <f si="0" t="shared"/>
        <v>3.2880143089351443E-2</v>
      </c>
      <c r="E20" s="371">
        <v>9</v>
      </c>
      <c r="F20" s="371" t="n">
        <v>23774.35527771363</v>
      </c>
      <c r="G20" s="9">
        <f si="1" t="shared"/>
        <v>2.8804822652153148E-2</v>
      </c>
    </row>
    <row r="21" spans="1:7" x14ac:dyDescent="0.25">
      <c r="A21">
        <v>10</v>
      </c>
      <c r="B21" s="6" t="n">
        <v>8595.7013775267</v>
      </c>
      <c r="C21" s="9">
        <f si="0" t="shared"/>
        <v>1.0384669616977807E-2</v>
      </c>
      <c r="E21" s="371">
        <v>10</v>
      </c>
      <c r="F21" s="371" t="n">
        <v>21541.662428462892</v>
      </c>
      <c r="G21" s="9">
        <f si="1" t="shared"/>
        <v>2.5275005727219552E-2</v>
      </c>
    </row>
    <row r="22" spans="1:7" x14ac:dyDescent="0.25">
      <c r="A22">
        <v>11</v>
      </c>
      <c r="B22" s="6" t="n">
        <v>12579.7285983122</v>
      </c>
      <c r="C22" s="9">
        <f si="0" t="shared"/>
        <v>1.5197866890334944E-2</v>
      </c>
      <c r="E22" s="371">
        <v>11</v>
      </c>
      <c r="F22" s="371" t="n">
        <v>18838.87362605158</v>
      </c>
      <c r="G22" s="9">
        <f si="1" t="shared"/>
        <v>2.2506471866521036E-2</v>
      </c>
    </row>
    <row r="23" spans="1:7" x14ac:dyDescent="0.25">
      <c r="A23">
        <v>12</v>
      </c>
      <c r="B23" s="6" t="n">
        <v>12466.883373857001</v>
      </c>
      <c r="C23" s="9">
        <f si="0" t="shared"/>
        <v>1.5061535912517967E-2</v>
      </c>
      <c r="E23" s="371">
        <v>12</v>
      </c>
      <c r="F23" s="371" t="n">
        <v>17156.79874662163</v>
      </c>
      <c r="G23" s="9">
        <f si="1" t="shared"/>
        <v>1.9603233159215236E-2</v>
      </c>
    </row>
    <row r="24" spans="1:7" x14ac:dyDescent="0.25">
      <c r="A24">
        <v>13</v>
      </c>
      <c r="B24" s="6" t="n">
        <v>23774.6987384881</v>
      </c>
      <c r="C24" s="9">
        <f si="0" t="shared"/>
        <v>2.8722774419301426E-2</v>
      </c>
      <c r="E24" s="371">
        <v>13</v>
      </c>
      <c r="F24" s="371" t="n">
        <v>15094.054500756083</v>
      </c>
      <c r="G24" s="9">
        <f si="1" t="shared"/>
        <v>1.773027550840434E-2</v>
      </c>
    </row>
    <row r="25" spans="1:7" x14ac:dyDescent="0.25">
      <c r="A25">
        <v>14</v>
      </c>
      <c r="B25" s="6" t="n">
        <v>24776.0882145826</v>
      </c>
      <c r="C25" s="9">
        <f si="0" t="shared"/>
        <v>2.9932576669336325E-2</v>
      </c>
      <c r="E25" s="371">
        <v>14</v>
      </c>
      <c r="F25" s="371" t="n">
        <v>12867.7663646594</v>
      </c>
      <c r="G25" s="9">
        <f si="1" t="shared"/>
        <v>1.5031216003322889E-2</v>
      </c>
    </row>
    <row r="26" spans="1:7" x14ac:dyDescent="0.25">
      <c r="A26">
        <v>15</v>
      </c>
      <c r="B26" s="6" t="n">
        <v>19898.5972249723</v>
      </c>
      <c r="C26" s="9">
        <f si="0" t="shared"/>
        <v>2.4039964738992222E-2</v>
      </c>
      <c r="E26" s="371">
        <v>15</v>
      </c>
      <c r="F26" s="371" t="n">
        <v>11910.25143108463</v>
      </c>
      <c r="G26" s="9">
        <f si="1" t="shared"/>
        <v>1.4524672406897528E-2</v>
      </c>
    </row>
    <row r="27" spans="1:7" x14ac:dyDescent="0.25">
      <c r="A27">
        <v>16</v>
      </c>
      <c r="B27" s="6" t="n">
        <v>29893.4061617485</v>
      </c>
      <c r="C27" s="9">
        <f si="0" t="shared"/>
        <v>3.6114929204905652E-2</v>
      </c>
      <c r="E27" s="371">
        <v>16</v>
      </c>
      <c r="F27" s="371" t="n">
        <v>10958.300609791835</v>
      </c>
      <c r="G27" s="9">
        <f si="1" t="shared"/>
        <v>1.2615480226056353E-2</v>
      </c>
    </row>
    <row r="28" spans="1:7" x14ac:dyDescent="0.25">
      <c r="A28">
        <v>17</v>
      </c>
      <c r="B28" s="6" t="n">
        <v>18307.9495975561</v>
      </c>
      <c r="C28" s="9">
        <f si="0" t="shared"/>
        <v>2.2118265815047077E-2</v>
      </c>
      <c r="E28" s="371">
        <v>17</v>
      </c>
      <c r="F28" s="371" t="n">
        <v>9565.116533002642</v>
      </c>
      <c r="G28" s="9">
        <f si="1" t="shared"/>
        <v>1.1401661415885085E-2</v>
      </c>
    </row>
    <row r="29" spans="1:7" x14ac:dyDescent="0.25">
      <c r="A29">
        <v>18</v>
      </c>
      <c r="B29" s="6" t="n">
        <v>64111.6141650007</v>
      </c>
      <c r="C29" s="9">
        <f si="0" t="shared"/>
        <v>7.7454753541735477E-2</v>
      </c>
      <c r="E29" s="371">
        <v>18</v>
      </c>
      <c r="F29" s="371" t="n">
        <v>73750.49188091651</v>
      </c>
      <c r="G29" s="9">
        <f si="1" t="shared"/>
        <v>8.8631958709668016E-2</v>
      </c>
    </row>
    <row r="30" spans="1:7" x14ac:dyDescent="0.25">
      <c r="A30">
        <v>19</v>
      </c>
      <c r="B30" s="6" t="n">
        <v>34934.0342878927</v>
      </c>
      <c r="C30" s="9">
        <f si="0" t="shared"/>
        <v>4.2204630958494846E-2</v>
      </c>
      <c r="E30" s="371">
        <v>19</v>
      </c>
      <c r="F30" s="371" t="n">
        <v>27400.865167530512</v>
      </c>
      <c r="G30" s="9">
        <f si="1" t="shared"/>
        <v>3.1480382352922824E-2</v>
      </c>
    </row>
    <row r="31" spans="1:7" x14ac:dyDescent="0.25">
      <c r="A31">
        <v>20</v>
      </c>
      <c r="B31" s="6" t="n">
        <v>67232.0745934324</v>
      </c>
      <c r="C31" s="9">
        <f si="0" t="shared"/>
        <v>8.122465540068538E-2</v>
      </c>
      <c r="E31" s="371">
        <v>20</v>
      </c>
      <c r="F31" s="371" t="n">
        <v>23758.838290877673</v>
      </c>
      <c r="G31" s="9">
        <f si="1" t="shared"/>
        <v>2.7159805185055716E-2</v>
      </c>
    </row>
    <row r="32" spans="1:7" x14ac:dyDescent="0.25">
      <c r="A32">
        <v>21</v>
      </c>
      <c r="B32" s="6" t="n">
        <v>39999.7503910708</v>
      </c>
      <c r="C32" s="9">
        <f si="0" t="shared"/>
        <v>4.8324642088993827E-2</v>
      </c>
      <c r="E32" s="371">
        <v>21</v>
      </c>
      <c r="F32" s="371" t="n">
        <v>33417.75512832799</v>
      </c>
      <c r="G32" s="9">
        <f si="1" t="shared"/>
        <v>4.187931849389246E-2</v>
      </c>
    </row>
    <row r="33" spans="1:7" x14ac:dyDescent="0.25">
      <c r="A33">
        <v>22</v>
      </c>
      <c r="B33" s="6" t="n">
        <v>31371.3109664737</v>
      </c>
      <c r="C33" s="9">
        <f si="0" t="shared"/>
        <v>3.7900420865020927E-2</v>
      </c>
      <c r="E33" s="371">
        <v>22</v>
      </c>
      <c r="F33" s="371" t="n">
        <v>30348.659649275094</v>
      </c>
      <c r="G33" s="9">
        <f si="1" t="shared"/>
        <v>3.3761211882032571E-2</v>
      </c>
    </row>
    <row r="34" spans="1:7" x14ac:dyDescent="0.25">
      <c r="A34">
        <v>23</v>
      </c>
      <c r="B34" s="6" t="n">
        <v>14483.9621031227</v>
      </c>
      <c r="C34" s="9">
        <f si="0" t="shared"/>
        <v>1.7498416310622822E-2</v>
      </c>
      <c r="E34" s="371">
        <v>23</v>
      </c>
      <c r="F34" s="371" t="n">
        <v>23870.5828324178</v>
      </c>
      <c r="G34" s="9">
        <f si="1" t="shared"/>
        <v>2.7604992708284516E-2</v>
      </c>
    </row>
    <row r="35" spans="1:7" x14ac:dyDescent="0.25">
      <c r="A35">
        <v>24</v>
      </c>
      <c r="B35" s="6" t="n">
        <v>21641.0403248742</v>
      </c>
      <c r="C35" s="9">
        <f si="0" t="shared"/>
        <v>2.6145051354282522E-2</v>
      </c>
      <c r="E35" s="371">
        <v>24</v>
      </c>
      <c r="F35" s="371" t="n">
        <v>20344.211767116118</v>
      </c>
      <c r="G35" s="9">
        <f si="1" t="shared"/>
        <v>2.4181806616242526E-2</v>
      </c>
    </row>
    <row r="36" spans="1:7" x14ac:dyDescent="0.25">
      <c r="A36">
        <v>25</v>
      </c>
      <c r="B36" s="6" t="n">
        <v>18315.0773149931</v>
      </c>
      <c r="C36" s="9">
        <f si="0" t="shared"/>
        <v>2.2126876978634025E-2</v>
      </c>
      <c r="E36" s="371">
        <v>25</v>
      </c>
      <c r="F36" s="371" t="n">
        <v>17857.84887768925</v>
      </c>
      <c r="G36" s="9">
        <f si="1" t="shared"/>
        <v>2.0485727971452795E-2</v>
      </c>
    </row>
    <row r="37" spans="1:7" x14ac:dyDescent="0.25">
      <c r="A37">
        <v>26</v>
      </c>
      <c r="B37" s="6" t="n">
        <v>27253.7314687657</v>
      </c>
      <c r="C37" s="9">
        <f si="0" t="shared"/>
        <v>3.292587593525715E-2</v>
      </c>
      <c r="E37" s="371">
        <v>26</v>
      </c>
      <c r="F37" s="371" t="n">
        <v>15685.647064452582</v>
      </c>
      <c r="G37" s="9">
        <f si="1" t="shared"/>
        <v>2.0498021368388776E-2</v>
      </c>
    </row>
    <row r="38" spans="1:7" x14ac:dyDescent="0.25">
      <c r="A38">
        <v>27</v>
      </c>
      <c r="B38" s="6" t="n">
        <v>13933.790947589</v>
      </c>
      <c r="C38" s="9">
        <f si="0" t="shared"/>
        <v>1.6833741558432636E-2</v>
      </c>
      <c r="E38" s="371">
        <v>27</v>
      </c>
      <c r="F38" s="371" t="n">
        <v>11530.900536982741</v>
      </c>
      <c r="G38" s="9">
        <f si="1" t="shared"/>
        <v>1.3449030907334627E-2</v>
      </c>
    </row>
    <row r="39" spans="1:7" x14ac:dyDescent="0.25">
      <c r="A39">
        <v>28</v>
      </c>
      <c r="B39" s="6" t="n">
        <v>13873.6430692714</v>
      </c>
      <c r="C39" s="9">
        <f si="0" t="shared"/>
        <v>1.6761075487677374E-2</v>
      </c>
      <c r="E39" s="371">
        <v>28</v>
      </c>
      <c r="F39" s="371" t="n">
        <v>11851.708193370194</v>
      </c>
      <c r="G39" s="9">
        <f si="1" t="shared"/>
        <v>1.3343862039850477E-2</v>
      </c>
    </row>
    <row r="40" spans="1:7" x14ac:dyDescent="0.25">
      <c r="A40">
        <v>29</v>
      </c>
      <c r="B40" s="6" t="n">
        <v>10175.7087463841</v>
      </c>
      <c r="C40" s="9">
        <f si="0" t="shared"/>
        <v>1.2293513793541747E-2</v>
      </c>
      <c r="E40" s="371">
        <v>29</v>
      </c>
      <c r="F40" s="371" t="n">
        <v>13775.153472290509</v>
      </c>
      <c r="G40" s="9">
        <f si="1" t="shared"/>
        <v>1.4060858605446435E-2</v>
      </c>
    </row>
    <row r="41" spans="1:7" x14ac:dyDescent="0.25">
      <c r="A41">
        <v>30</v>
      </c>
      <c r="B41" s="6" t="n">
        <v>9297.3868442496</v>
      </c>
      <c r="C41" s="9">
        <f si="0" t="shared"/>
        <v>1.123239238291792E-2</v>
      </c>
      <c r="E41" s="371">
        <v>30</v>
      </c>
      <c r="F41" s="371" t="n">
        <v>9450.497696646047</v>
      </c>
      <c r="G41" s="9">
        <f si="1" t="shared"/>
        <v>1.2459444363114604E-2</v>
      </c>
    </row>
    <row r="42" spans="1:7" x14ac:dyDescent="0.25">
      <c r="A42">
        <v>31</v>
      </c>
      <c r="B42" s="6" t="n">
        <v>5360.1951048411</v>
      </c>
      <c r="C42" s="9">
        <f si="0" t="shared"/>
        <v>6.4757781595168769E-3</v>
      </c>
      <c r="E42" s="371">
        <v>31</v>
      </c>
      <c r="F42" s="371" t="n">
        <v>8757.178917503858</v>
      </c>
      <c r="G42" s="9">
        <f si="1" t="shared"/>
        <v>9.7971287198862621E-3</v>
      </c>
    </row>
    <row r="43" spans="1:7" x14ac:dyDescent="0.25">
      <c r="A43">
        <v>32</v>
      </c>
      <c r="B43" s="6" t="n">
        <v>2913.8867434077</v>
      </c>
      <c r="C43" s="9">
        <f si="0" t="shared"/>
        <v>3.5203353167542438E-3</v>
      </c>
      <c r="E43" s="371">
        <v>32</v>
      </c>
      <c r="F43" s="371" t="n">
        <v>7108.783779508875</v>
      </c>
      <c r="G43" s="9">
        <f si="1" t="shared"/>
        <v>1.0942725294974569E-2</v>
      </c>
    </row>
    <row r="44" spans="1:7" x14ac:dyDescent="0.25">
      <c r="A44">
        <v>33</v>
      </c>
      <c r="B44" s="6" t="n">
        <v>8293.4907287759</v>
      </c>
      <c r="C44" s="9">
        <f si="0" t="shared"/>
        <v>1.0019561802714416E-2</v>
      </c>
      <c r="E44" s="371">
        <v>33</v>
      </c>
      <c r="F44" s="371" t="n">
        <v>8750.018501074901</v>
      </c>
      <c r="G44" s="9">
        <f si="1" t="shared"/>
        <v>1.1227380176617242E-2</v>
      </c>
    </row>
    <row r="45" spans="1:7" x14ac:dyDescent="0.25">
      <c r="A45">
        <v>34</v>
      </c>
      <c r="B45" s="6" t="n">
        <v>11042.4657995426</v>
      </c>
      <c r="C45" s="9">
        <f si="0" t="shared"/>
        <v>1.3340663437289168E-2</v>
      </c>
      <c r="E45" s="371">
        <v>34</v>
      </c>
      <c r="F45" s="371" t="n">
        <v>7999.966640463713</v>
      </c>
      <c r="G45" s="9">
        <f si="1" t="shared"/>
        <v>1.0849426581151409E-2</v>
      </c>
    </row>
    <row r="46" spans="1:7" x14ac:dyDescent="0.25">
      <c r="A46">
        <v>35</v>
      </c>
      <c r="B46" s="6" t="n">
        <v>2890.6258853281</v>
      </c>
      <c r="C46" s="9">
        <f si="0" t="shared"/>
        <v>3.4922333253570555E-3</v>
      </c>
      <c r="E46" s="371">
        <v>35</v>
      </c>
      <c r="F46" s="371" t="n">
        <v>7295.810925173486</v>
      </c>
      <c r="G46" s="9">
        <f si="1" t="shared"/>
        <v>7.937154962125435E-3</v>
      </c>
    </row>
    <row r="47" spans="1:7" x14ac:dyDescent="0.25">
      <c r="A47">
        <v>36</v>
      </c>
      <c r="B47" s="6" t="n">
        <v>3595.7369614325003</v>
      </c>
      <c r="C47" s="9">
        <f si="0" t="shared"/>
        <v>4.3440946508051482E-3</v>
      </c>
      <c r="E47" s="371">
        <v>36</v>
      </c>
      <c r="F47" s="371" t="n">
        <v>5050.0695598981265</v>
      </c>
      <c r="G47" s="9">
        <f si="1" t="shared"/>
        <v>6.6284649119396702E-3</v>
      </c>
    </row>
    <row r="48" spans="1:7" x14ac:dyDescent="0.25">
      <c r="A48">
        <v>37</v>
      </c>
      <c r="B48" s="6" t="n">
        <v>4397.7934521712</v>
      </c>
      <c r="C48" s="9">
        <f si="0" t="shared"/>
        <v>5.313078018730222E-3</v>
      </c>
      <c r="E48" s="371">
        <v>37</v>
      </c>
      <c r="F48" s="371" t="n">
        <v>4821.336772604347</v>
      </c>
      <c r="G48" s="9">
        <f si="1" t="shared"/>
        <v>5.3882065695719803E-3</v>
      </c>
    </row>
    <row r="49" spans="1:7" x14ac:dyDescent="0.25">
      <c r="A49">
        <v>38</v>
      </c>
      <c r="B49" s="6" t="n">
        <v>7401.8104657561</v>
      </c>
      <c r="C49" s="9">
        <f si="0" t="shared"/>
        <v>8.9423018411654859E-3</v>
      </c>
      <c r="E49" s="371">
        <v>38</v>
      </c>
      <c r="F49" s="371" t="n">
        <v>4934.203635743009</v>
      </c>
      <c r="G49" s="9">
        <f si="1" t="shared"/>
        <v>6.3198422663907341E-3</v>
      </c>
    </row>
    <row r="50" spans="1:7" x14ac:dyDescent="0.25">
      <c r="A50">
        <v>39</v>
      </c>
      <c r="B50" s="6" t="n">
        <v>7257.3489524035</v>
      </c>
      <c r="C50" s="9">
        <f si="0" t="shared"/>
        <v>8.7677744788658158E-3</v>
      </c>
      <c r="E50" s="371">
        <v>39</v>
      </c>
      <c r="F50" s="371" t="n">
        <v>4663.292403346236</v>
      </c>
      <c r="G50" s="9">
        <f si="1" t="shared"/>
        <v>6.0505196788960477E-3</v>
      </c>
    </row>
    <row r="51" spans="1:7" x14ac:dyDescent="0.25">
      <c r="A51">
        <v>40</v>
      </c>
      <c r="B51" s="6" t="n">
        <v>2179.8435373172</v>
      </c>
      <c r="C51" s="9">
        <f si="0" t="shared"/>
        <v>2.6335204025266915E-3</v>
      </c>
      <c r="E51" s="371">
        <v>40</v>
      </c>
      <c r="F51" s="371" t="n">
        <v>4205.182228720536</v>
      </c>
      <c r="G51" s="9">
        <f si="1" t="shared"/>
        <v>5.4119237275643672E-3</v>
      </c>
    </row>
    <row r="52" spans="1:7" x14ac:dyDescent="0.25">
      <c r="A52">
        <v>41</v>
      </c>
      <c r="B52" s="6" t="n">
        <v>1361.2943780764</v>
      </c>
      <c r="C52" s="9">
        <f si="0" t="shared"/>
        <v>1.6446118527026247E-3</v>
      </c>
      <c r="E52" s="371">
        <v>41</v>
      </c>
      <c r="F52" s="371" t="n">
        <v>3373.871221042071</v>
      </c>
      <c r="G52" s="9">
        <f si="1" t="shared"/>
        <v>3.6176748560742306E-3</v>
      </c>
    </row>
    <row r="53" spans="1:7" x14ac:dyDescent="0.25">
      <c r="A53">
        <v>42</v>
      </c>
      <c r="B53" s="6" t="n">
        <v>1570.429064819</v>
      </c>
      <c r="C53" s="9">
        <f si="0" t="shared"/>
        <v>1.8972724014916001E-3</v>
      </c>
      <c r="E53" s="371">
        <v>42</v>
      </c>
      <c r="F53" s="371" t="n">
        <v>3254.4677072322006</v>
      </c>
      <c r="G53" s="9">
        <f si="1" t="shared"/>
        <v>3.8606443512901934E-3</v>
      </c>
    </row>
    <row r="54" spans="1:7" x14ac:dyDescent="0.25">
      <c r="A54">
        <v>43</v>
      </c>
      <c r="B54" s="6" t="n">
        <v>166.816897117</v>
      </c>
      <c r="C54" s="9">
        <f si="0" t="shared"/>
        <v>2.0153542881545285E-4</v>
      </c>
      <c r="E54" s="371">
        <v>43</v>
      </c>
      <c r="F54" s="371" t="n">
        <v>2990.7169912107083</v>
      </c>
      <c r="G54" s="9">
        <f si="1" t="shared"/>
        <v>3.7911148549183691E-3</v>
      </c>
    </row>
    <row r="55" spans="1:7" x14ac:dyDescent="0.25">
      <c r="A55">
        <v>44</v>
      </c>
      <c r="B55" s="6" t="n">
        <v>1677.879461423</v>
      </c>
      <c r="C55" s="9">
        <f si="0" t="shared"/>
        <v>2.0270857605111572E-3</v>
      </c>
      <c r="E55" s="371">
        <v>44</v>
      </c>
      <c r="F55" s="371" t="n">
        <v>3011.4115411650223</v>
      </c>
      <c r="G55" s="9">
        <f si="1" t="shared"/>
        <v>3.8682526861660202E-3</v>
      </c>
    </row>
    <row r="56" spans="1:7" x14ac:dyDescent="0.25">
      <c r="A56">
        <v>45</v>
      </c>
      <c r="B56" s="6" t="n">
        <v>34981.9315860991</v>
      </c>
      <c r="C56" s="9">
        <f si="0" t="shared"/>
        <v>4.2262496814412062E-2</v>
      </c>
      <c r="E56" s="371">
        <v>45</v>
      </c>
      <c r="F56" s="371" t="n">
        <v>2728.009965800097</v>
      </c>
      <c r="G56" s="9">
        <f si="1" t="shared"/>
        <v>2.9847125466157579E-3</v>
      </c>
    </row>
    <row r="57" spans="1:7" x14ac:dyDescent="0.25">
      <c r="A57">
        <v>46</v>
      </c>
      <c r="B57" s="6" t="n">
        <v>2656.6600039386</v>
      </c>
      <c r="C57" s="9">
        <f si="0" t="shared"/>
        <v>3.2095736245178349E-3</v>
      </c>
      <c r="E57" s="371">
        <v>46</v>
      </c>
      <c r="F57" s="371" t="n">
        <v>2417.1591426507516</v>
      </c>
      <c r="G57" s="9">
        <f si="1" t="shared"/>
        <v>2.9548836655341614E-3</v>
      </c>
    </row>
    <row r="58" spans="1:7" x14ac:dyDescent="0.25">
      <c r="A58">
        <v>47</v>
      </c>
      <c r="B58" s="6" t="n">
        <v>918.5879227810001</v>
      </c>
      <c r="C58" s="9">
        <f si="0" t="shared"/>
        <v>1.109767740090035E-3</v>
      </c>
      <c r="E58" s="371">
        <v>47</v>
      </c>
      <c r="F58" s="371" t="n">
        <v>2343.990339297397</v>
      </c>
      <c r="G58" s="9">
        <f si="1" t="shared"/>
        <v>2.7000693255691236E-3</v>
      </c>
    </row>
    <row r="59" spans="1:7" x14ac:dyDescent="0.25">
      <c r="A59">
        <v>48</v>
      </c>
      <c r="B59" s="6" t="n">
        <v>1523.3438377319999</v>
      </c>
      <c r="C59" s="9">
        <f si="0" t="shared"/>
        <v>1.8403876278514574E-3</v>
      </c>
      <c r="E59" s="371">
        <v>48</v>
      </c>
      <c r="F59" s="371" t="n">
        <v>1927.9773870673978</v>
      </c>
      <c r="G59" s="9">
        <f si="1" t="shared"/>
        <v>2.493755430842987E-3</v>
      </c>
    </row>
    <row r="60" spans="1:7" x14ac:dyDescent="0.25">
      <c r="A60">
        <v>49</v>
      </c>
      <c r="B60" s="6" t="n">
        <v>1317.0669416869</v>
      </c>
      <c r="C60" s="9">
        <f si="0" t="shared"/>
        <v>1.5911796434228027E-3</v>
      </c>
      <c r="E60" s="371">
        <v>49</v>
      </c>
      <c r="F60" s="371" t="n">
        <v>1896.343373371582</v>
      </c>
      <c r="G60" s="9">
        <f si="1" t="shared"/>
        <v>2.4622716876504793E-3</v>
      </c>
    </row>
    <row r="61" spans="1:7" x14ac:dyDescent="0.25">
      <c r="A61">
        <v>50</v>
      </c>
      <c r="B61" s="6" t="n">
        <v>576.395338841</v>
      </c>
      <c r="C61" s="9">
        <f si="0" t="shared"/>
        <v>6.9635680670331285E-4</v>
      </c>
      <c r="E61" s="371">
        <v>50</v>
      </c>
      <c r="F61" s="371" t="n">
        <v>1472.1797657471363</v>
      </c>
      <c r="G61" s="9">
        <f si="1" t="shared"/>
        <v>1.9929751468447296E-3</v>
      </c>
    </row>
    <row r="62" spans="1:7" x14ac:dyDescent="0.25">
      <c r="A62">
        <v>51</v>
      </c>
      <c r="B62" s="6" t="n">
        <v>1820.3334592241001</v>
      </c>
      <c r="C62" s="9">
        <f si="0" t="shared"/>
        <v>2.1991877959133882E-3</v>
      </c>
      <c r="E62" s="371">
        <v>51</v>
      </c>
      <c r="F62" s="371" t="n">
        <v>1510.9893251598087</v>
      </c>
      <c r="G62" s="9">
        <f si="1" t="shared"/>
        <v>1.5930466520555327E-3</v>
      </c>
    </row>
    <row r="63" spans="1:7" x14ac:dyDescent="0.25">
      <c r="A63">
        <v>52</v>
      </c>
      <c r="B63" s="6" t="n">
        <v>2367.273756757</v>
      </c>
      <c r="C63" s="9">
        <f si="0" t="shared"/>
        <v>2.8599592723330346E-3</v>
      </c>
      <c r="E63" s="371">
        <v>52</v>
      </c>
      <c r="F63" s="371" t="n">
        <v>1247.554187815359</v>
      </c>
      <c r="G63" s="9">
        <f si="1" t="shared"/>
        <v>1.5090903915957988E-3</v>
      </c>
    </row>
    <row r="64" spans="1:7" x14ac:dyDescent="0.25">
      <c r="A64">
        <v>53</v>
      </c>
      <c r="B64" s="6" t="n">
        <v>1634.4932878509999</v>
      </c>
      <c r="C64" s="9">
        <f si="0" t="shared"/>
        <v>1.9746699006875442E-3</v>
      </c>
      <c r="E64" s="371">
        <v>53</v>
      </c>
      <c r="F64" s="371" t="n">
        <v>1252.329868448063</v>
      </c>
      <c r="G64" s="9">
        <f si="1" t="shared"/>
        <v>1.4423327730433261E-3</v>
      </c>
    </row>
    <row r="65" spans="1:7" x14ac:dyDescent="0.25">
      <c r="A65">
        <v>54</v>
      </c>
      <c r="B65" s="6" t="n">
        <v>497.294945861</v>
      </c>
      <c r="C65" s="9">
        <f si="0" t="shared"/>
        <v>6.007937558721115E-4</v>
      </c>
      <c r="E65" s="371">
        <v>54</v>
      </c>
      <c r="F65" s="371" t="n">
        <v>1050.4743140197734</v>
      </c>
      <c r="G65" s="9">
        <f si="1" t="shared"/>
        <v>1.1062338797885498E-3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1081.5664674196328</v>
      </c>
      <c r="G66" s="9">
        <f si="1" t="shared"/>
        <v>1.4595459180034927E-3</v>
      </c>
    </row>
    <row r="67" spans="1:7" x14ac:dyDescent="0.25">
      <c r="A67">
        <v>56</v>
      </c>
      <c r="B67" s="6" t="n">
        <v>1411.82231242</v>
      </c>
      <c r="C67" s="9">
        <f si="0" t="shared"/>
        <v>1.7056558421970119E-3</v>
      </c>
      <c r="E67" s="371">
        <v>56</v>
      </c>
      <c r="F67" s="371" t="n">
        <v>1180.1375104974986</v>
      </c>
      <c r="G67" s="9">
        <f si="1" t="shared"/>
        <v>1.2111646058248747E-3</v>
      </c>
    </row>
    <row r="68" spans="1:7" x14ac:dyDescent="0.25">
      <c r="A68">
        <v>57</v>
      </c>
      <c r="B68" s="6" t="n">
        <v>407.7075447018</v>
      </c>
      <c r="C68" s="9">
        <f si="0" t="shared"/>
        <v>4.9256110305866097E-4</v>
      </c>
      <c r="E68" s="371">
        <v>57</v>
      </c>
      <c r="F68" s="371" t="n">
        <v>952.1471514267253</v>
      </c>
      <c r="G68" s="9">
        <f si="1" t="shared"/>
        <v>1.1859936995798884E-3</v>
      </c>
    </row>
    <row r="69" spans="1:7" x14ac:dyDescent="0.25">
      <c r="A69">
        <v>58</v>
      </c>
      <c r="B69" s="6" t="n">
        <v>401.236422482</v>
      </c>
      <c r="C69" s="9">
        <f si="0" t="shared"/>
        <v>4.8474318764347437E-4</v>
      </c>
      <c r="E69" s="371">
        <v>58</v>
      </c>
      <c r="F69" s="371" t="n">
        <v>1219.3357933844718</v>
      </c>
      <c r="G69" s="9">
        <f si="1" t="shared"/>
        <v>1.168068809433526E-3</v>
      </c>
    </row>
    <row r="70" spans="1:7" x14ac:dyDescent="0.25">
      <c r="A70">
        <v>59</v>
      </c>
      <c r="B70" s="6" t="n">
        <v>5013.6074087342995</v>
      </c>
      <c r="C70" s="9">
        <f si="0" t="shared"/>
        <v>6.0570573874355353E-3</v>
      </c>
      <c r="E70" s="371">
        <v>59</v>
      </c>
      <c r="F70" s="371" t="n">
        <v>815.3557617770773</v>
      </c>
      <c r="G70" s="9">
        <f si="1" t="shared"/>
        <v>8.3793584065023654E-4</v>
      </c>
    </row>
    <row r="71" spans="1:7" x14ac:dyDescent="0.25">
      <c r="A71">
        <v>60</v>
      </c>
      <c r="B71" s="6" t="n">
        <v>4757.6773804485</v>
      </c>
      <c r="C71" s="9">
        <f si="0" t="shared"/>
        <v>5.747862282570626E-3</v>
      </c>
      <c r="E71" s="371">
        <v>60</v>
      </c>
      <c r="F71" s="371" t="n">
        <v>767.8537619590985</v>
      </c>
      <c r="G71" s="9">
        <f si="1" t="shared"/>
        <v>8.9575293324967219E-4</v>
      </c>
    </row>
    <row r="72" spans="1:7" x14ac:dyDescent="0.25">
      <c r="A72">
        <v>61</v>
      </c>
      <c r="B72" s="6" t="n">
        <v>5067.707759863</v>
      </c>
      <c r="C72" s="9">
        <f si="0" t="shared"/>
        <v>6.1224172979255512E-3</v>
      </c>
      <c r="E72" s="371">
        <v>61</v>
      </c>
      <c r="F72" s="371" t="n">
        <v>673.4679508728526</v>
      </c>
      <c r="G72" s="9">
        <f si="1" t="shared"/>
        <v>8.2079878600957424E-4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655.4744933615658</v>
      </c>
      <c r="G73" s="9">
        <f si="1" t="shared"/>
        <v>8.9559114815268538E-4</v>
      </c>
    </row>
    <row r="74" spans="1:7" x14ac:dyDescent="0.25">
      <c r="A74">
        <v>63</v>
      </c>
      <c r="B74" s="6" t="n">
        <v>292.681617382</v>
      </c>
      <c r="C74" s="9">
        <f si="0" t="shared"/>
        <v>3.5359556666559379E-4</v>
      </c>
      <c r="E74" s="371">
        <v>63</v>
      </c>
      <c r="F74" s="371" t="n">
        <v>550.4980321044319</v>
      </c>
      <c r="G74" s="9">
        <f si="1" t="shared"/>
        <v>8.0464376246394166E-4</v>
      </c>
    </row>
    <row r="75" spans="1:7" x14ac:dyDescent="0.25">
      <c r="A75">
        <v>64</v>
      </c>
      <c r="B75" s="6" t="n">
        <v>139.99557747</v>
      </c>
      <c r="C75" s="9">
        <f si="0" t="shared"/>
        <v>1.6913195980317847E-4</v>
      </c>
      <c r="E75" s="371">
        <v>64</v>
      </c>
      <c r="F75" s="371" t="n">
        <v>571.9612285336319</v>
      </c>
      <c r="G75" s="9">
        <f si="1" t="shared"/>
        <v>6.54225540915076E-4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495.8508426604021</v>
      </c>
      <c r="G76" s="9">
        <f si="1" t="shared"/>
        <v>6.8297145851351577E-4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525.016733324561</v>
      </c>
      <c r="G77" s="9">
        <f ref="G77:G102" si="3" t="shared">F77/F$102</f>
        <v>6.3761948602072656E-4</v>
      </c>
    </row>
    <row r="78" spans="1:7" x14ac:dyDescent="0.25">
      <c r="A78">
        <v>67</v>
      </c>
      <c r="B78" s="6" t="n">
        <v>572.780526274</v>
      </c>
      <c r="C78" s="9">
        <f si="2" t="shared"/>
        <v>6.9198966636340538E-4</v>
      </c>
      <c r="E78" s="371">
        <v>67</v>
      </c>
      <c r="F78" s="371" t="n">
        <v>435.1524973245256</v>
      </c>
      <c r="G78" s="9">
        <f si="3" t="shared"/>
        <v>5.5570103163798317E-4</v>
      </c>
    </row>
    <row r="79" spans="1:7" x14ac:dyDescent="0.25">
      <c r="A79">
        <v>68</v>
      </c>
      <c r="B79" s="6" t="n">
        <v>417.967608267</v>
      </c>
      <c r="C79" s="9">
        <f si="2" t="shared"/>
        <v>5.0495652789884441E-4</v>
      </c>
      <c r="E79" s="371">
        <v>68</v>
      </c>
      <c r="F79" s="371" t="n">
        <v>408.27293090973996</v>
      </c>
      <c r="G79" s="9">
        <f si="3" t="shared"/>
        <v>4.3863904402465052E-4</v>
      </c>
    </row>
    <row r="80" spans="1:7" x14ac:dyDescent="0.25">
      <c r="A80">
        <v>69</v>
      </c>
      <c r="B80" s="6" t="n">
        <v>1800.3456108754</v>
      </c>
      <c r="C80" s="9">
        <f si="2" t="shared"/>
        <v>2.1750400047862808E-3</v>
      </c>
      <c r="E80" s="371">
        <v>69</v>
      </c>
      <c r="F80" s="371" t="n">
        <v>394.97317969587414</v>
      </c>
      <c r="G80" s="9">
        <f si="3" t="shared"/>
        <v>4.0326495832548501E-4</v>
      </c>
    </row>
    <row r="81" spans="1:7" x14ac:dyDescent="0.25">
      <c r="A81">
        <v>70</v>
      </c>
      <c r="B81" s="6" t="n">
        <v>447.66186162099996</v>
      </c>
      <c r="C81" s="9">
        <f si="2" t="shared"/>
        <v>5.4083085589845818E-4</v>
      </c>
      <c r="E81" s="371">
        <v>70</v>
      </c>
      <c r="F81" s="371" t="n">
        <v>369.45760306655734</v>
      </c>
      <c r="G81" s="9">
        <f si="3" t="shared"/>
        <v>4.6612268223532647E-4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328.5388475765147</v>
      </c>
      <c r="G82" s="9">
        <f si="3" t="shared"/>
        <v>5.0858244962381002E-4</v>
      </c>
    </row>
    <row r="83" spans="1:7" x14ac:dyDescent="0.25">
      <c r="A83">
        <v>72</v>
      </c>
      <c r="B83" s="6" t="n">
        <v>5043.1483091938</v>
      </c>
      <c r="C83" s="9">
        <f si="2" t="shared"/>
        <v>6.0927464461855273E-3</v>
      </c>
      <c r="E83" s="371">
        <v>72</v>
      </c>
      <c r="F83" s="371" t="n">
        <v>360.79047273703446</v>
      </c>
      <c r="G83" s="9">
        <f si="3" t="shared"/>
        <v>3.4043936819019621E-4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480.2631602893667</v>
      </c>
      <c r="G84" s="9">
        <f si="3" t="shared"/>
        <v>4.6524615915667709E-4</v>
      </c>
    </row>
    <row r="85" spans="1:7" x14ac:dyDescent="0.25">
      <c r="A85">
        <v>74</v>
      </c>
      <c r="B85" s="6" t="n">
        <v>1148.663232487</v>
      </c>
      <c r="C85" s="9">
        <f si="2" t="shared"/>
        <v>1.3877271494952199E-3</v>
      </c>
      <c r="E85" s="371">
        <v>74</v>
      </c>
      <c r="F85" s="371" t="n">
        <v>540.7284605264837</v>
      </c>
      <c r="G85" s="9">
        <f si="3" t="shared"/>
        <v>2.7438352526165281E-4</v>
      </c>
    </row>
    <row r="86" spans="1:7" x14ac:dyDescent="0.25">
      <c r="A86">
        <v>75</v>
      </c>
      <c r="B86" s="6" t="n">
        <v>163.60110245</v>
      </c>
      <c r="C86" s="9">
        <f si="2" t="shared"/>
        <v>1.9765035141384088E-4</v>
      </c>
      <c r="E86" s="371">
        <v>75</v>
      </c>
      <c r="F86" s="371" t="n">
        <v>245.1396361652613</v>
      </c>
      <c r="G86" s="9">
        <f si="3" t="shared"/>
        <v>4.1397143431774075E-4</v>
      </c>
    </row>
    <row r="87" spans="1:7" x14ac:dyDescent="0.25">
      <c r="A87">
        <v>76</v>
      </c>
      <c r="B87" s="6" t="n">
        <v>389.7060896903</v>
      </c>
      <c r="C87" s="9">
        <f si="2" t="shared"/>
        <v>4.7081312058359898E-4</v>
      </c>
      <c r="E87" s="371">
        <v>76</v>
      </c>
      <c r="F87" s="371" t="n">
        <v>406.3168559469589</v>
      </c>
      <c r="G87" s="9">
        <f si="3" t="shared"/>
        <v>2.8392620171199866E-4</v>
      </c>
    </row>
    <row r="88" spans="1:7" x14ac:dyDescent="0.25">
      <c r="A88">
        <v>77</v>
      </c>
      <c r="B88" s="6" t="n">
        <v>675.1977254860001</v>
      </c>
      <c r="C88" s="9">
        <f si="2" t="shared"/>
        <v>8.1572230087459277E-4</v>
      </c>
      <c r="E88" s="371">
        <v>77</v>
      </c>
      <c r="F88" s="371" t="n">
        <v>268.76692471148147</v>
      </c>
      <c r="G88" s="9">
        <f si="3" t="shared"/>
        <v>3.5412972941287603E-4</v>
      </c>
    </row>
    <row r="89" spans="1:7" x14ac:dyDescent="0.25">
      <c r="A89">
        <v>78</v>
      </c>
      <c r="B89" s="6" t="n">
        <v>396.701349191</v>
      </c>
      <c r="C89" s="9">
        <f si="2" t="shared"/>
        <v>4.7926425861286086E-4</v>
      </c>
      <c r="E89" s="371">
        <v>78</v>
      </c>
      <c r="F89" s="371" t="n">
        <v>284.3251235326856</v>
      </c>
      <c r="G89" s="9">
        <f si="3" t="shared"/>
        <v>3.517597900033107E-4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274.11440040678974</v>
      </c>
      <c r="G90" s="9">
        <f si="3" t="shared"/>
        <v>2.6467265743154288E-4</v>
      </c>
    </row>
    <row r="91" spans="1:7" x14ac:dyDescent="0.25">
      <c r="A91">
        <v>80</v>
      </c>
      <c r="B91" s="6" t="n">
        <v>5233.4319689765</v>
      </c>
      <c r="C91" s="9">
        <f si="2" t="shared"/>
        <v>6.3226326245861691E-3</v>
      </c>
      <c r="E91" s="371">
        <v>80</v>
      </c>
      <c r="F91" s="371" t="n">
        <v>284.6076762202643</v>
      </c>
      <c r="G91" s="9">
        <f si="3" t="shared"/>
        <v>1.650895525798461E-4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346.7111411969952</v>
      </c>
      <c r="G92" s="9">
        <f si="3" t="shared"/>
        <v>3.2828384903291246E-4</v>
      </c>
    </row>
    <row r="93" spans="1:7" x14ac:dyDescent="0.25">
      <c r="A93">
        <v>82</v>
      </c>
      <c r="B93" s="6" t="n">
        <v>5586.8327977748</v>
      </c>
      <c r="C93" s="9">
        <f si="2" t="shared"/>
        <v>6.7495845030019902E-3</v>
      </c>
      <c r="E93" s="371">
        <v>82</v>
      </c>
      <c r="F93" s="371" t="n">
        <v>229.29992337348156</v>
      </c>
      <c r="G93" s="9">
        <f si="3" t="shared"/>
        <v>1.552963921559021E-4</v>
      </c>
    </row>
    <row r="94" spans="1:7" x14ac:dyDescent="0.25">
      <c r="A94">
        <v>83</v>
      </c>
      <c r="B94" s="6" t="n">
        <v>4737.5454665157</v>
      </c>
      <c r="C94" s="9">
        <f si="2" t="shared"/>
        <v>5.7235404424126899E-3</v>
      </c>
      <c r="E94" s="371">
        <v>83</v>
      </c>
      <c r="F94" s="371" t="n">
        <v>184.94849066012077</v>
      </c>
      <c r="G94" s="9">
        <f si="3" t="shared"/>
        <v>2.3601669317011156E-4</v>
      </c>
    </row>
    <row r="95" spans="1:7" x14ac:dyDescent="0.25">
      <c r="A95">
        <v>84</v>
      </c>
      <c r="B95" s="6" t="n">
        <v>1122.5382264593</v>
      </c>
      <c r="C95" s="9">
        <f si="2" t="shared"/>
        <v>1.3561649133932857E-3</v>
      </c>
      <c r="E95" s="371">
        <v>84</v>
      </c>
      <c r="F95" s="371" t="n">
        <v>217.30784576593416</v>
      </c>
      <c r="G95" s="9">
        <f si="3" t="shared"/>
        <v>2.3827808277067538E-4</v>
      </c>
    </row>
    <row r="96" spans="1:7" x14ac:dyDescent="0.25">
      <c r="A96">
        <v>85</v>
      </c>
      <c r="B96" s="6" t="n">
        <v>2026.8807861107</v>
      </c>
      <c r="C96" s="9">
        <f si="2" t="shared"/>
        <v>2.4487224942214432E-3</v>
      </c>
      <c r="E96" s="371">
        <v>85</v>
      </c>
      <c r="F96" s="371" t="n">
        <v>230.6304056621666</v>
      </c>
      <c r="G96" s="9">
        <f si="3" t="shared"/>
        <v>2.3238044171778986E-4</v>
      </c>
    </row>
    <row r="97" spans="1:7" x14ac:dyDescent="0.25">
      <c r="A97">
        <v>86</v>
      </c>
      <c r="B97" s="6" t="n">
        <v>4191.5226006486</v>
      </c>
      <c r="C97" s="9">
        <f si="2" t="shared"/>
        <v>5.0638773368317964E-3</v>
      </c>
      <c r="E97" s="371">
        <v>86</v>
      </c>
      <c r="F97" s="371" t="n">
        <v>202.7089319687386</v>
      </c>
      <c r="G97" s="9">
        <f si="3" t="shared"/>
        <v>2.4748030054312609E-4</v>
      </c>
    </row>
    <row r="98" spans="1:7" x14ac:dyDescent="0.25">
      <c r="A98">
        <v>87</v>
      </c>
      <c r="B98" s="6" t="n">
        <v>180.749366264</v>
      </c>
      <c r="C98" s="9">
        <f si="2" t="shared"/>
        <v>2.1836757347541108E-4</v>
      </c>
      <c r="E98" s="371">
        <v>87</v>
      </c>
      <c r="F98" s="371" t="n">
        <v>156.3001638466992</v>
      </c>
      <c r="G98" s="9">
        <f si="3" t="shared"/>
        <v>2.652516216398012E-4</v>
      </c>
    </row>
    <row r="99" spans="1:7" x14ac:dyDescent="0.25">
      <c r="A99">
        <v>88</v>
      </c>
      <c r="B99" s="6" t="n">
        <v>418.0378414412</v>
      </c>
      <c r="C99" s="9">
        <f si="2" t="shared"/>
        <v>5.0504137825347923E-4</v>
      </c>
      <c r="E99" s="371">
        <v>88</v>
      </c>
      <c r="F99" s="371" t="n">
        <v>146.21453541605396</v>
      </c>
      <c r="G99" s="9">
        <f si="3" t="shared"/>
        <v>2.1476290704919537E-4</v>
      </c>
    </row>
    <row r="100" spans="1:7" x14ac:dyDescent="0.25">
      <c r="A100">
        <v>89</v>
      </c>
      <c r="B100" s="6" t="n">
        <v>3949.6120293596</v>
      </c>
      <c r="C100" s="9">
        <f si="2" t="shared"/>
        <v>4.771619468700335E-3</v>
      </c>
      <c r="E100" s="371">
        <v>89</v>
      </c>
      <c r="F100" s="371" t="n">
        <v>139.1132244182432</v>
      </c>
      <c r="G100" s="9">
        <f si="3" t="shared"/>
        <v>1.8063744378067647E-4</v>
      </c>
    </row>
    <row ht="15.75" r="101" spans="1:7" thickBot="1" x14ac:dyDescent="0.3">
      <c r="A101" s="1">
        <v>90</v>
      </c>
      <c r="B101" s="7" t="n">
        <v>29923.6103613486</v>
      </c>
      <c r="C101" s="9">
        <f si="2" t="shared"/>
        <v>3.6151419610995418E-2</v>
      </c>
      <c r="E101" s="372">
        <v>90</v>
      </c>
      <c r="F101" s="372" t="n">
        <v>8522.306653558004</v>
      </c>
      <c r="G101" s="9">
        <f si="3" t="shared"/>
        <v>1.1398011832610345E-2</v>
      </c>
    </row>
    <row r="102" spans="1:7" x14ac:dyDescent="0.25">
      <c r="B102" s="6">
        <f>SUM(B11:B101)</f>
        <v>827729.88400841015</v>
      </c>
      <c r="C102" s="9">
        <f si="2" t="shared"/>
        <v>1</v>
      </c>
      <c r="F102" s="6">
        <f>SUM(F11:F101)</f>
        <v>827468.79129024805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5"/>
  <dimension ref="A1:L102"/>
  <sheetViews>
    <sheetView workbookViewId="0">
      <selection activeCell="H11" sqref="H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6" max="6" bestFit="true" customWidth="true" width="12.0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88989.0822894533</v>
      </c>
      <c r="C11" s="9">
        <f>B11/B$102</f>
        <v>5.2146290719061919E-2</v>
      </c>
      <c r="E11" s="371">
        <v>0</v>
      </c>
      <c r="F11" s="371" t="n">
        <v>239949.64199017393</v>
      </c>
      <c r="G11" s="9">
        <f>F11/F$102</f>
        <v>0.14124805002638646</v>
      </c>
      <c r="K11" s="6" t="n">
        <v>6.8425498388975505</v>
      </c>
      <c r="L11" s="6" t="n">
        <v>5.69398295993665</v>
      </c>
    </row>
    <row r="12" spans="1:12" x14ac:dyDescent="0.25">
      <c r="A12">
        <v>1</v>
      </c>
      <c r="B12" s="6" t="n">
        <v>144351.9775061903</v>
      </c>
      <c r="C12" s="9">
        <f>B12/B$102</f>
        <v>8.4588131389252585E-2</v>
      </c>
      <c r="E12" s="371">
        <v>1</v>
      </c>
      <c r="F12" s="371" t="n">
        <v>194396.77502668224</v>
      </c>
      <c r="G12" s="9">
        <f>F12/F$102</f>
        <v>0.11542379985972649</v>
      </c>
      <c r="K12" s="6"/>
      <c r="L12" s="371"/>
    </row>
    <row r="13" spans="1:12" x14ac:dyDescent="0.25">
      <c r="A13">
        <v>2</v>
      </c>
      <c r="B13" s="6" t="n">
        <v>158978.2238425212</v>
      </c>
      <c r="C13" s="9">
        <f ref="C13:C76" si="0" t="shared">B13/B$102</f>
        <v>9.3158896183770726E-2</v>
      </c>
      <c r="E13" s="371">
        <v>2</v>
      </c>
      <c r="F13" s="371" t="n">
        <v>121564.34802570198</v>
      </c>
      <c r="G13" s="9">
        <f ref="G13:G76" si="1" t="shared">F13/F$102</f>
        <v>7.2551717417917064E-2</v>
      </c>
    </row>
    <row r="14" spans="1:12" x14ac:dyDescent="0.25">
      <c r="A14">
        <v>3</v>
      </c>
      <c r="B14" s="6" t="n">
        <v>169110.3044010722</v>
      </c>
      <c r="C14" s="9">
        <f si="0" t="shared"/>
        <v>9.9096146066588939E-2</v>
      </c>
      <c r="E14" s="371">
        <v>3</v>
      </c>
      <c r="F14" s="371" t="n">
        <v>78158.6724407345</v>
      </c>
      <c r="G14" s="9">
        <f si="1" t="shared"/>
        <v>4.6086899109999975E-2</v>
      </c>
    </row>
    <row r="15" spans="1:12" x14ac:dyDescent="0.25">
      <c r="A15">
        <v>4</v>
      </c>
      <c r="B15" s="6" t="n">
        <v>268965.1926010485</v>
      </c>
      <c r="C15" s="9">
        <f si="0" t="shared"/>
        <v>0.15760963891123325</v>
      </c>
      <c r="E15" s="371">
        <v>4</v>
      </c>
      <c r="F15" s="371" t="n">
        <v>276334.46102043166</v>
      </c>
      <c r="G15" s="9">
        <f si="1" t="shared"/>
        <v>0.16228455658551508</v>
      </c>
    </row>
    <row r="16" spans="1:12" x14ac:dyDescent="0.25">
      <c r="A16">
        <v>5</v>
      </c>
      <c r="B16" s="6" t="n">
        <v>180812.668571439</v>
      </c>
      <c r="C16" s="9">
        <f si="0" t="shared"/>
        <v>0.10595355900341841</v>
      </c>
      <c r="E16" s="371">
        <v>5</v>
      </c>
      <c r="F16" s="371" t="n">
        <v>150204.35401945407</v>
      </c>
      <c r="G16" s="9">
        <f si="1" t="shared"/>
        <v>8.8819754746221863E-2</v>
      </c>
    </row>
    <row r="17" spans="1:7" x14ac:dyDescent="0.25">
      <c r="A17">
        <v>6</v>
      </c>
      <c r="B17" s="6" t="n">
        <v>169934.7394024362</v>
      </c>
      <c r="C17" s="9">
        <f si="0" t="shared"/>
        <v>9.9579252827036918E-2</v>
      </c>
      <c r="E17" s="371">
        <v>6</v>
      </c>
      <c r="F17" s="371" t="n">
        <v>148080.70382636695</v>
      </c>
      <c r="G17" s="9">
        <f si="1" t="shared"/>
        <v>8.4508204169035317E-2</v>
      </c>
    </row>
    <row r="18" spans="1:7" x14ac:dyDescent="0.25">
      <c r="A18">
        <v>7</v>
      </c>
      <c r="B18" s="6" t="n">
        <v>79434.4889136263</v>
      </c>
      <c r="C18" s="9">
        <f si="0" t="shared"/>
        <v>4.6547439814434169E-2</v>
      </c>
      <c r="E18" s="371">
        <v>7</v>
      </c>
      <c r="F18" s="371" t="n">
        <v>87753.13512864015</v>
      </c>
      <c r="G18" s="9">
        <f si="1" t="shared"/>
        <v>5.2152344438337439E-2</v>
      </c>
    </row>
    <row r="19" spans="1:7" x14ac:dyDescent="0.25">
      <c r="A19">
        <v>8</v>
      </c>
      <c r="B19" s="6" t="n">
        <v>65695.4420657575</v>
      </c>
      <c r="C19" s="9">
        <f si="0" t="shared"/>
        <v>3.8496560844793561E-2</v>
      </c>
      <c r="E19" s="371">
        <v>8</v>
      </c>
      <c r="F19" s="371" t="n">
        <v>98470.7072307396</v>
      </c>
      <c r="G19" s="9">
        <f si="1" t="shared"/>
        <v>6.0797930739523061E-2</v>
      </c>
    </row>
    <row r="20" spans="1:7" x14ac:dyDescent="0.25">
      <c r="A20">
        <v>9</v>
      </c>
      <c r="B20" s="6" t="n">
        <v>52864.0558629907</v>
      </c>
      <c r="C20" s="9">
        <f si="0" t="shared"/>
        <v>3.0977557636269203E-2</v>
      </c>
      <c r="E20" s="371">
        <v>9</v>
      </c>
      <c r="F20" s="371" t="n">
        <v>54387.84950522444</v>
      </c>
      <c r="G20" s="9">
        <f si="1" t="shared"/>
        <v>2.7074654601445963E-2</v>
      </c>
    </row>
    <row r="21" spans="1:7" x14ac:dyDescent="0.25">
      <c r="A21">
        <v>10</v>
      </c>
      <c r="B21" s="6" t="n">
        <v>69887.9369850826</v>
      </c>
      <c r="C21" s="9">
        <f si="0" t="shared"/>
        <v>4.0953301079401275E-2</v>
      </c>
      <c r="E21" s="371">
        <v>10</v>
      </c>
      <c r="F21" s="371" t="n">
        <v>36436.365937572235</v>
      </c>
      <c r="G21" s="9">
        <f si="1" t="shared"/>
        <v>2.5373019158237024E-2</v>
      </c>
    </row>
    <row r="22" spans="1:7" x14ac:dyDescent="0.25">
      <c r="A22">
        <v>11</v>
      </c>
      <c r="B22" s="6" t="n">
        <v>20370.3425742806</v>
      </c>
      <c r="C22" s="9">
        <f si="0" t="shared"/>
        <v>1.1936720534662859E-2</v>
      </c>
      <c r="E22" s="371">
        <v>11</v>
      </c>
      <c r="F22" s="371" t="n">
        <v>36819.930624973385</v>
      </c>
      <c r="G22" s="9">
        <f si="1" t="shared"/>
        <v>2.3792321344565225E-2</v>
      </c>
    </row>
    <row r="23" spans="1:7" x14ac:dyDescent="0.25">
      <c r="A23">
        <v>12</v>
      </c>
      <c r="B23" s="6" t="n">
        <v>40885.8840611204</v>
      </c>
      <c r="C23" s="9">
        <f si="0" t="shared"/>
        <v>2.3958525492174084E-2</v>
      </c>
      <c r="E23" s="371">
        <v>12</v>
      </c>
      <c r="F23" s="371" t="n">
        <v>28328.666914042587</v>
      </c>
      <c r="G23" s="9">
        <f si="1" t="shared"/>
        <v>1.6142472707788406E-2</v>
      </c>
    </row>
    <row r="24" spans="1:7" x14ac:dyDescent="0.25">
      <c r="A24">
        <v>13</v>
      </c>
      <c r="B24" s="6" t="n">
        <v>18813.9798094492</v>
      </c>
      <c r="C24" s="9">
        <f si="0" t="shared"/>
        <v>1.1024714891821885E-2</v>
      </c>
      <c r="E24" s="371">
        <v>13</v>
      </c>
      <c r="F24" s="371" t="n">
        <v>21166.51430064668</v>
      </c>
      <c r="G24" s="9">
        <f si="1" t="shared"/>
        <v>1.2637119617240714E-2</v>
      </c>
    </row>
    <row r="25" spans="1:7" x14ac:dyDescent="0.25">
      <c r="A25">
        <v>14</v>
      </c>
      <c r="B25" s="6" t="n">
        <v>16201.9636071072</v>
      </c>
      <c r="C25" s="9">
        <f si="0" t="shared"/>
        <v>9.4941118926001617E-3</v>
      </c>
      <c r="E25" s="371">
        <v>14</v>
      </c>
      <c r="F25" s="371" t="n">
        <v>22539.49927512846</v>
      </c>
      <c r="G25" s="9">
        <f si="1" t="shared"/>
        <v>1.0382635468258752E-2</v>
      </c>
    </row>
    <row r="26" spans="1:7" x14ac:dyDescent="0.25">
      <c r="A26">
        <v>15</v>
      </c>
      <c r="B26" s="6" t="n">
        <v>24241.415518187998</v>
      </c>
      <c r="C26" s="9">
        <f si="0" t="shared"/>
        <v>1.4205112228725919E-2</v>
      </c>
      <c r="E26" s="371">
        <v>15</v>
      </c>
      <c r="F26" s="371" t="n">
        <v>20973.22805421118</v>
      </c>
      <c r="G26" s="9">
        <f si="1" t="shared"/>
        <v>1.585286092558582E-2</v>
      </c>
    </row>
    <row r="27" spans="1:7" x14ac:dyDescent="0.25">
      <c r="A27">
        <v>16</v>
      </c>
      <c r="B27" s="6" t="n">
        <v>22263.991603392602</v>
      </c>
      <c r="C27" s="9">
        <f si="0" t="shared"/>
        <v>1.3046370957517563E-2</v>
      </c>
      <c r="E27" s="371">
        <v>16</v>
      </c>
      <c r="F27" s="371" t="n">
        <v>17651.062772832793</v>
      </c>
      <c r="G27" s="9">
        <f si="1" t="shared"/>
        <v>1.0194661389986528E-2</v>
      </c>
    </row>
    <row r="28" spans="1:7" x14ac:dyDescent="0.25">
      <c r="A28">
        <v>17</v>
      </c>
      <c r="B28" s="6" t="n">
        <v>13011.9076555398</v>
      </c>
      <c r="C28" s="9">
        <f si="0" t="shared"/>
        <v>7.6247861193617693E-3</v>
      </c>
      <c r="E28" s="371">
        <v>17</v>
      </c>
      <c r="F28" s="371" t="n">
        <v>12227.773092290607</v>
      </c>
      <c r="G28" s="9">
        <f si="1" t="shared"/>
        <v>8.2861525244069638E-3</v>
      </c>
    </row>
    <row r="29" spans="1:7" x14ac:dyDescent="0.25">
      <c r="A29">
        <v>18</v>
      </c>
      <c r="B29" s="6" t="n">
        <v>10901.8437191889</v>
      </c>
      <c r="C29" s="9">
        <f si="0" t="shared"/>
        <v>6.3883197503428945E-3</v>
      </c>
      <c r="E29" s="371">
        <v>18</v>
      </c>
      <c r="F29" s="371" t="n">
        <v>9266.989700792261</v>
      </c>
      <c r="G29" s="9">
        <f si="1" t="shared"/>
        <v>5.1046823712073662E-3</v>
      </c>
    </row>
    <row r="30" spans="1:7" x14ac:dyDescent="0.25">
      <c r="A30">
        <v>19</v>
      </c>
      <c r="B30" s="6" t="n">
        <v>5698.4546146293005</v>
      </c>
      <c r="C30" s="9">
        <f si="0" t="shared"/>
        <v>3.3392104215356887E-3</v>
      </c>
      <c r="E30" s="371">
        <v>19</v>
      </c>
      <c r="F30" s="371" t="n">
        <v>6098.6521845182815</v>
      </c>
      <c r="G30" s="9">
        <f si="1" t="shared"/>
        <v>3.6374337500252969E-3</v>
      </c>
    </row>
    <row r="31" spans="1:7" x14ac:dyDescent="0.25">
      <c r="A31">
        <v>20</v>
      </c>
      <c r="B31" s="6" t="n">
        <v>6297.8179559432</v>
      </c>
      <c r="C31" s="9">
        <f si="0" t="shared"/>
        <v>3.6904285062535611E-3</v>
      </c>
      <c r="E31" s="371">
        <v>20</v>
      </c>
      <c r="F31" s="371" t="n">
        <v>5046.828916996897</v>
      </c>
      <c r="G31" s="9">
        <f si="1" t="shared"/>
        <v>2.9202790483590633E-3</v>
      </c>
    </row>
    <row r="32" spans="1:7" x14ac:dyDescent="0.25">
      <c r="A32">
        <v>21</v>
      </c>
      <c r="B32" s="6" t="n">
        <v>4027.3734591741</v>
      </c>
      <c r="C32" s="9">
        <f si="0" t="shared"/>
        <v>2.3599814924849119E-3</v>
      </c>
      <c r="E32" s="371">
        <v>21</v>
      </c>
      <c r="F32" s="371" t="n">
        <v>3914.8559717037765</v>
      </c>
      <c r="G32" s="9">
        <f si="1" t="shared"/>
        <v>2.4246983905465498E-3</v>
      </c>
    </row>
    <row r="33" spans="1:7" x14ac:dyDescent="0.25">
      <c r="A33">
        <v>22</v>
      </c>
      <c r="B33" s="6" t="n">
        <v>4862.7571396641</v>
      </c>
      <c r="C33" s="9">
        <f si="0" t="shared"/>
        <v>2.8495040175413851E-3</v>
      </c>
      <c r="E33" s="371">
        <v>22</v>
      </c>
      <c r="F33" s="371" t="n">
        <v>3746.9272776467224</v>
      </c>
      <c r="G33" s="9">
        <f si="1" t="shared"/>
        <v>2.0075863730079037E-3</v>
      </c>
    </row>
    <row r="34" spans="1:7" x14ac:dyDescent="0.25">
      <c r="A34">
        <v>23</v>
      </c>
      <c r="B34" s="6" t="n">
        <v>10382.7599595237</v>
      </c>
      <c r="C34" s="9">
        <f si="0" t="shared"/>
        <v>6.0841443173274079E-3</v>
      </c>
      <c r="E34" s="371">
        <v>23</v>
      </c>
      <c r="F34" s="371" t="n">
        <v>2844.6016804801684</v>
      </c>
      <c r="G34" s="9">
        <f si="1" t="shared"/>
        <v>1.8051656784292911E-3</v>
      </c>
    </row>
    <row r="35" spans="1:7" x14ac:dyDescent="0.25">
      <c r="A35">
        <v>24</v>
      </c>
      <c r="B35" s="6" t="n">
        <v>9946.7736566009</v>
      </c>
      <c r="C35" s="9">
        <f si="0" t="shared"/>
        <v>5.8286627692899608E-3</v>
      </c>
      <c r="E35" s="371">
        <v>24</v>
      </c>
      <c r="F35" s="371" t="n">
        <v>2441.248567209434</v>
      </c>
      <c r="G35" s="9">
        <f si="1" t="shared"/>
        <v>1.2792761253833653E-3</v>
      </c>
    </row>
    <row r="36" spans="1:7" x14ac:dyDescent="0.25">
      <c r="A36">
        <v>25</v>
      </c>
      <c r="B36" s="6" t="n">
        <v>3525.9640481339998</v>
      </c>
      <c r="C36" s="9">
        <f si="0" t="shared"/>
        <v>2.0661629672828661E-3</v>
      </c>
      <c r="E36" s="371">
        <v>25</v>
      </c>
      <c r="F36" s="371" t="n">
        <v>2125.416029834892</v>
      </c>
      <c r="G36" s="9">
        <f si="1" t="shared"/>
        <v>1.1904122422688149E-3</v>
      </c>
    </row>
    <row r="37" spans="1:7" x14ac:dyDescent="0.25">
      <c r="A37">
        <v>26</v>
      </c>
      <c r="B37" s="6" t="n">
        <v>9469.253023868</v>
      </c>
      <c r="C37" s="9">
        <f si="0" t="shared"/>
        <v>5.5488427161080947E-3</v>
      </c>
      <c r="E37" s="371">
        <v>26</v>
      </c>
      <c r="F37" s="371" t="n">
        <v>1907.2469941879351</v>
      </c>
      <c r="G37" s="9">
        <f si="1" t="shared"/>
        <v>1.0105397316840141E-3</v>
      </c>
    </row>
    <row r="38" spans="1:7" x14ac:dyDescent="0.25">
      <c r="A38">
        <v>27</v>
      </c>
      <c r="B38" s="6" t="n">
        <v>2080.830879692</v>
      </c>
      <c r="C38" s="9">
        <f si="0" t="shared"/>
        <v>1.2193362286474592E-3</v>
      </c>
      <c r="E38" s="371">
        <v>27</v>
      </c>
      <c r="F38" s="371" t="n">
        <v>1204.4175485375772</v>
      </c>
      <c r="G38" s="9">
        <f si="1" t="shared"/>
        <v>8.2605699683653826E-4</v>
      </c>
    </row>
    <row r="39" spans="1:7" x14ac:dyDescent="0.25">
      <c r="A39">
        <v>28</v>
      </c>
      <c r="B39" s="6" t="n">
        <v>638.5252072000001</v>
      </c>
      <c r="C39" s="9">
        <f si="0" t="shared"/>
        <v>3.741663609677057E-4</v>
      </c>
      <c r="E39" s="371">
        <v>28</v>
      </c>
      <c r="F39" s="371" t="n">
        <v>1161.24512760151</v>
      </c>
      <c r="G39" s="9">
        <f si="1" t="shared"/>
        <v>6.4464547124661021E-4</v>
      </c>
    </row>
    <row r="40" spans="1:7" x14ac:dyDescent="0.25">
      <c r="A40">
        <v>29</v>
      </c>
      <c r="B40" s="6" t="n">
        <v>1162.7322729418</v>
      </c>
      <c r="C40" s="9">
        <f si="0" t="shared"/>
        <v>6.8134397583786163E-4</v>
      </c>
      <c r="E40" s="371">
        <v>29</v>
      </c>
      <c r="F40" s="371" t="n">
        <v>848.7112187370024</v>
      </c>
      <c r="G40" s="9">
        <f si="1" t="shared"/>
        <v>6.6656473661278338E-4</v>
      </c>
    </row>
    <row r="41" spans="1:7" x14ac:dyDescent="0.25">
      <c r="A41">
        <v>30</v>
      </c>
      <c r="B41" s="6" t="n">
        <v>367.060631163</v>
      </c>
      <c r="C41" s="9">
        <f si="0" t="shared"/>
        <v>2.1509212019839728E-4</v>
      </c>
      <c r="E41" s="371">
        <v>30</v>
      </c>
      <c r="F41" s="371" t="n">
        <v>799.07705293837</v>
      </c>
      <c r="G41" s="9">
        <f si="1" t="shared"/>
        <v>4.0693172229461222E-4</v>
      </c>
    </row>
    <row r="42" spans="1:7" x14ac:dyDescent="0.25">
      <c r="A42">
        <v>31</v>
      </c>
      <c r="B42" s="6" t="n">
        <v>1676.031328635</v>
      </c>
      <c r="C42" s="9">
        <f si="0" t="shared"/>
        <v>9.8212965757951774E-4</v>
      </c>
      <c r="E42" s="371">
        <v>31</v>
      </c>
      <c r="F42" s="371" t="n">
        <v>655.1785795648971</v>
      </c>
      <c r="G42" s="9">
        <f si="1" t="shared"/>
        <v>3.8630375218045757E-4</v>
      </c>
    </row>
    <row r="43" spans="1:7" x14ac:dyDescent="0.25">
      <c r="A43">
        <v>32</v>
      </c>
      <c r="B43" s="6" t="n">
        <v>1387.7529686497</v>
      </c>
      <c r="C43" s="9">
        <f si="0" t="shared"/>
        <v>8.132027872145511E-4</v>
      </c>
      <c r="E43" s="371">
        <v>32</v>
      </c>
      <c r="F43" s="371" t="n">
        <v>464.3665066584883</v>
      </c>
      <c r="G43" s="9">
        <f si="1" t="shared"/>
        <v>2.5223261451872423E-4</v>
      </c>
    </row>
    <row r="44" spans="1:7" x14ac:dyDescent="0.25">
      <c r="A44">
        <v>33</v>
      </c>
      <c r="B44" s="6" t="n">
        <v>1376.858994262</v>
      </c>
      <c r="C44" s="9">
        <f si="0" t="shared"/>
        <v>8.068190787764841E-4</v>
      </c>
      <c r="E44" s="371">
        <v>33</v>
      </c>
      <c r="F44" s="371" t="n">
        <v>533.4628291770024</v>
      </c>
      <c r="G44" s="9">
        <f si="1" t="shared"/>
        <v>2.4867032281125509E-4</v>
      </c>
    </row>
    <row r="45" spans="1:7" x14ac:dyDescent="0.25">
      <c r="A45">
        <v>34</v>
      </c>
      <c r="B45" s="6" t="n">
        <v>2187.712304919</v>
      </c>
      <c r="C45" s="9">
        <f si="0" t="shared"/>
        <v>1.2819671686343003E-3</v>
      </c>
      <c r="E45" s="371">
        <v>34</v>
      </c>
      <c r="F45" s="371" t="n">
        <v>426.6437639171635</v>
      </c>
      <c r="G45" s="9">
        <f si="1" t="shared"/>
        <v>2.1275205395376211E-4</v>
      </c>
    </row>
    <row r="46" spans="1:7" x14ac:dyDescent="0.25">
      <c r="A46">
        <v>35</v>
      </c>
      <c r="B46" s="6" t="n">
        <v>1254.4259388314</v>
      </c>
      <c r="C46" s="9">
        <f si="0" t="shared"/>
        <v>7.3507511268701973E-4</v>
      </c>
      <c r="E46" s="371">
        <v>35</v>
      </c>
      <c r="F46" s="371" t="n">
        <v>343.62329093289225</v>
      </c>
      <c r="G46" s="9">
        <f si="1" t="shared"/>
        <v>1.382794420711581E-4</v>
      </c>
    </row>
    <row r="47" spans="1:7" x14ac:dyDescent="0.25">
      <c r="A47">
        <v>36</v>
      </c>
      <c r="B47" s="6" t="n">
        <v>2138.139549584</v>
      </c>
      <c r="C47" s="9">
        <f si="0" t="shared"/>
        <v>1.2529182646009321E-3</v>
      </c>
      <c r="E47" s="371">
        <v>36</v>
      </c>
      <c r="F47" s="371" t="n">
        <v>378.1171168337332</v>
      </c>
      <c r="G47" s="9">
        <f si="1" t="shared"/>
        <v>1.2916875891820221E-4</v>
      </c>
    </row>
    <row r="48" spans="1:7" x14ac:dyDescent="0.25">
      <c r="A48">
        <v>37</v>
      </c>
      <c r="B48" s="6" t="n">
        <v>435.6266693499</v>
      </c>
      <c r="C48" s="9">
        <f si="0" t="shared"/>
        <v>2.5527080806393265E-4</v>
      </c>
      <c r="E48" s="371">
        <v>37</v>
      </c>
      <c r="F48" s="371" t="n">
        <v>249.99856724185733</v>
      </c>
      <c r="G48" s="9">
        <f si="1" t="shared"/>
        <v>1.5855986556081978E-4</v>
      </c>
    </row>
    <row r="49" spans="1:7" x14ac:dyDescent="0.25">
      <c r="A49">
        <v>38</v>
      </c>
      <c r="B49" s="6" t="n">
        <v>697.23633098</v>
      </c>
      <c r="C49" s="9">
        <f si="0" t="shared"/>
        <v>4.0857021423047334E-4</v>
      </c>
      <c r="E49" s="371">
        <v>38</v>
      </c>
      <c r="F49" s="371" t="n">
        <v>283.66160483353957</v>
      </c>
      <c r="G49" s="9">
        <f si="1" t="shared"/>
        <v>1.6379707534411498E-4</v>
      </c>
    </row>
    <row r="50" spans="1:7" x14ac:dyDescent="0.25">
      <c r="A50">
        <v>39</v>
      </c>
      <c r="B50" s="6" t="n">
        <v>1276.819868687</v>
      </c>
      <c r="C50" s="9">
        <f si="0" t="shared"/>
        <v>7.4819762554532803E-4</v>
      </c>
      <c r="E50" s="371">
        <v>39</v>
      </c>
      <c r="F50" s="371" t="n">
        <v>230.6432858258627</v>
      </c>
      <c r="G50" s="9">
        <f si="1" t="shared"/>
        <v>1.2427395588850398E-4</v>
      </c>
    </row>
    <row r="51" spans="1:7" x14ac:dyDescent="0.25">
      <c r="A51">
        <v>40</v>
      </c>
      <c r="B51" s="6" t="n">
        <v>336.097862622</v>
      </c>
      <c r="C51" s="9">
        <f si="0" t="shared"/>
        <v>1.9694839415620424E-4</v>
      </c>
      <c r="E51" s="371">
        <v>40</v>
      </c>
      <c r="F51" s="371" t="n">
        <v>216.05364178017885</v>
      </c>
      <c r="G51" s="9">
        <f si="1" t="shared"/>
        <v>8.174566534502602E-5</v>
      </c>
    </row>
    <row r="52" spans="1:7" x14ac:dyDescent="0.25">
      <c r="A52">
        <v>41</v>
      </c>
      <c r="B52" s="6" t="n">
        <v>1460.3671165790001</v>
      </c>
      <c r="C52" s="9">
        <f si="0" t="shared"/>
        <v>8.5575360772893489E-4</v>
      </c>
      <c r="E52" s="371">
        <v>41</v>
      </c>
      <c r="F52" s="371" t="n">
        <v>127.35161657710213</v>
      </c>
      <c r="G52" s="9">
        <f si="1" t="shared"/>
        <v>8.0922282684903543E-5</v>
      </c>
    </row>
    <row r="53" spans="1:7" x14ac:dyDescent="0.25">
      <c r="A53">
        <v>42</v>
      </c>
      <c r="B53" s="6" t="n">
        <v>435.7994321551</v>
      </c>
      <c r="C53" s="9">
        <f si="0" t="shared"/>
        <v>2.5537204452163765E-4</v>
      </c>
      <c r="E53" s="371">
        <v>42</v>
      </c>
      <c r="F53" s="371" t="n">
        <v>111.67182792935559</v>
      </c>
      <c r="G53" s="9">
        <f si="1" t="shared"/>
        <v>6.4483282180286162E-5</v>
      </c>
    </row>
    <row r="54" spans="1:7" x14ac:dyDescent="0.25">
      <c r="A54">
        <v>43</v>
      </c>
      <c r="B54" s="6" t="n">
        <v>1712.091986692</v>
      </c>
      <c r="C54" s="9">
        <f si="0" t="shared"/>
        <v>1.0032606717464531E-3</v>
      </c>
      <c r="E54" s="371">
        <v>43</v>
      </c>
      <c r="F54" s="371" t="n">
        <v>86.60723454660882</v>
      </c>
      <c r="G54" s="9">
        <f si="1" t="shared"/>
        <v>4.9981298706318199E-5</v>
      </c>
    </row>
    <row r="55" spans="1:7" x14ac:dyDescent="0.25">
      <c r="A55">
        <v>44</v>
      </c>
      <c r="B55" s="6" t="n">
        <v>4102.962444131</v>
      </c>
      <c r="C55" s="9">
        <f si="0" t="shared"/>
        <v>2.4042755236549406E-3</v>
      </c>
      <c r="E55" s="371">
        <v>44</v>
      </c>
      <c r="F55" s="371" t="n">
        <v>87.84602708139205</v>
      </c>
      <c r="G55" s="9">
        <f si="1" t="shared"/>
        <v>6.6600901367450398E-5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71.44492367038704</v>
      </c>
      <c r="G56" s="9">
        <f si="1" t="shared"/>
        <v>3.0673389645729089E-5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46.43686558664541</v>
      </c>
      <c r="G57" s="9">
        <f si="1" t="shared"/>
        <v>3.8759296945358066E-5</v>
      </c>
    </row>
    <row r="58" spans="1:7" x14ac:dyDescent="0.25">
      <c r="A58">
        <v>47</v>
      </c>
      <c r="B58" s="6" t="n">
        <v>803.505355967</v>
      </c>
      <c r="C58" s="9">
        <f si="0" t="shared"/>
        <v>4.7084229670210171E-4</v>
      </c>
      <c r="E58" s="371">
        <v>47</v>
      </c>
      <c r="F58" s="371" t="n">
        <v>48.3</v>
      </c>
      <c r="G58" s="9">
        <f si="1" t="shared"/>
        <v>3.6218889498923802E-5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21.318756853731607</v>
      </c>
      <c r="G59" s="9">
        <f si="1" t="shared"/>
        <v>2.742612386548485E-5</v>
      </c>
    </row>
    <row r="60" spans="1:7" x14ac:dyDescent="0.25">
      <c r="A60">
        <v>49</v>
      </c>
      <c r="B60" s="6" t="n">
        <v>667.99538554</v>
      </c>
      <c r="C60" s="9">
        <f si="0" t="shared"/>
        <v>3.9143545114959612E-4</v>
      </c>
      <c r="E60" s="371">
        <v>49</v>
      </c>
      <c r="F60" s="371" t="n">
        <v>45.53222240950311</v>
      </c>
      <c r="G60" s="9">
        <f si="1" t="shared"/>
        <v>1.5694127776645787E-5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28.129278074866313</v>
      </c>
      <c r="G61" s="9">
        <f si="1" t="shared"/>
        <v>1.5555752323710527E-5</v>
      </c>
    </row>
    <row r="62" spans="1:7" x14ac:dyDescent="0.25">
      <c r="A62">
        <v>51</v>
      </c>
      <c r="B62" s="6" t="n">
        <v>387.674382174</v>
      </c>
      <c r="C62" s="9">
        <f si="0" t="shared"/>
        <v>2.2717147448967487E-4</v>
      </c>
      <c r="E62" s="371">
        <v>51</v>
      </c>
      <c r="F62" s="371" t="n">
        <v>41.05412087097985</v>
      </c>
      <c r="G62" s="9">
        <f si="1" t="shared"/>
        <v>2.2177166033839792E-5</v>
      </c>
    </row>
    <row r="63" spans="1:7" x14ac:dyDescent="0.25">
      <c r="A63">
        <v>52</v>
      </c>
      <c r="B63" s="6" t="n">
        <v>181.031838601</v>
      </c>
      <c r="C63" s="9">
        <f si="0" t="shared"/>
        <v>1.0608198941065893E-4</v>
      </c>
      <c r="E63" s="371">
        <v>52</v>
      </c>
      <c r="F63" s="371" t="n">
        <v>32.89429435803338</v>
      </c>
      <c r="G63" s="9">
        <f si="1" t="shared"/>
        <v>6.4511899115851368E-6</v>
      </c>
    </row>
    <row r="64" spans="1:7" x14ac:dyDescent="0.25">
      <c r="A64">
        <v>53</v>
      </c>
      <c r="B64" s="6" t="n">
        <v>706.8156593735</v>
      </c>
      <c r="C64" s="9">
        <f si="0" t="shared"/>
        <v>4.1418355949091794E-4</v>
      </c>
      <c r="E64" s="371">
        <v>53</v>
      </c>
      <c r="F64" s="371" t="n">
        <v>27.599999999999998</v>
      </c>
      <c r="G64" s="9">
        <f si="1" t="shared"/>
        <v>5.8706923473847779E-7</v>
      </c>
    </row>
    <row r="65" spans="1:7" x14ac:dyDescent="0.25">
      <c r="A65">
        <v>54</v>
      </c>
      <c r="B65" s="6" t="n">
        <v>1175.904314993</v>
      </c>
      <c r="C65" s="9">
        <f si="0" t="shared"/>
        <v>6.8906259835305292E-4</v>
      </c>
      <c r="E65" s="371">
        <v>54</v>
      </c>
      <c r="F65" s="371" t="n">
        <v>18.4</v>
      </c>
      <c r="G65" s="9">
        <f si="1" t="shared"/>
        <v>1.3195654374429948E-6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14.95</v>
      </c>
      <c r="G66" s="9">
        <f si="1" t="shared"/>
        <v>4.4030192605385837E-7</v>
      </c>
    </row>
    <row r="67" spans="1:7" x14ac:dyDescent="0.25">
      <c r="A67">
        <v>56</v>
      </c>
      <c r="B67" s="6" t="n">
        <v>1829.478686078</v>
      </c>
      <c r="C67" s="9">
        <f si="0" t="shared"/>
        <v>1.072047547565926E-3</v>
      </c>
      <c r="E67" s="371">
        <v>56</v>
      </c>
      <c r="F67" s="371" t="n">
        <v>18.4</v>
      </c>
      <c r="G67" s="9">
        <f si="1" t="shared"/>
        <v>5.9994881488835262E-6</v>
      </c>
    </row>
    <row r="68" spans="1:7" x14ac:dyDescent="0.25">
      <c r="A68">
        <v>57</v>
      </c>
      <c r="B68" s="6" t="n">
        <v>542.140045727</v>
      </c>
      <c r="C68" s="9">
        <f si="0" t="shared"/>
        <v>3.1768607684895973E-4</v>
      </c>
      <c r="E68" s="371">
        <v>57</v>
      </c>
      <c r="F68" s="371" t="n">
        <v>4.755841698841068</v>
      </c>
      <c r="G68" s="9">
        <f si="1" t="shared"/>
        <v>2.0688722626817118E-5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15.326736582356581</v>
      </c>
      <c r="G69" s="9">
        <f si="1" t="shared"/>
        <v>1.7732316746099885E-5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11.5</v>
      </c>
      <c r="G70" s="9">
        <f si="1" t="shared"/>
        <v>0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4.000235004280455</v>
      </c>
      <c r="G71" s="9">
        <f si="1" t="shared"/>
        <v>6.0013755674464277E-6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9.2</v>
      </c>
      <c r="G72" s="9">
        <f si="1" t="shared"/>
        <v>8.8513363314530365E-6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1.15</v>
      </c>
      <c r="G73" s="9">
        <f si="1" t="shared"/>
        <v>5.8781709363623475E-6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3.8996747967480077</v>
      </c>
      <c r="G74" s="9">
        <f si="1" t="shared"/>
        <v>0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3.4499999999999997</v>
      </c>
      <c r="G75" s="9">
        <f si="1" t="shared"/>
        <v>0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0.0</v>
      </c>
      <c r="G76" s="9">
        <f si="1" t="shared"/>
        <v>7.0465748936955562E-6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1.15</v>
      </c>
      <c r="G77" s="9">
        <f ref="G77:G102" si="3" t="shared">F77/F$102</f>
        <v>0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1.15</v>
      </c>
      <c r="G78" s="9">
        <f si="3" t="shared"/>
        <v>1.7609578392784724E-5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4.6</v>
      </c>
      <c r="G79" s="9">
        <f si="3" t="shared"/>
        <v>1.4676730868461945E-7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1.15</v>
      </c>
      <c r="G80" s="9">
        <f si="3" t="shared"/>
        <v>1.1783318211536606E-5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1.15</v>
      </c>
      <c r="G81" s="9">
        <f si="3" t="shared"/>
        <v>0</v>
      </c>
    </row>
    <row r="82" spans="1:7" x14ac:dyDescent="0.25">
      <c r="A82">
        <v>71</v>
      </c>
      <c r="B82" s="6" t="n">
        <v>215.6958943</v>
      </c>
      <c r="C82" s="9">
        <f si="2" t="shared"/>
        <v>1.263946151786408E-4</v>
      </c>
      <c r="E82" s="371">
        <v>71</v>
      </c>
      <c r="F82" s="371" t="n">
        <v>0.0</v>
      </c>
      <c r="G82" s="9">
        <f si="3" t="shared"/>
        <v>5.9126258641518287E-6</v>
      </c>
    </row>
    <row r="83" spans="1:7" x14ac:dyDescent="0.25">
      <c r="A83">
        <v>72</v>
      </c>
      <c r="B83" s="6" t="n">
        <v>4605.9932193</v>
      </c>
      <c r="C83" s="9">
        <f si="2" t="shared"/>
        <v>2.6990441443411955E-3</v>
      </c>
      <c r="E83" s="371">
        <v>72</v>
      </c>
      <c r="F83" s="371" t="n">
        <v>2.3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3.4499999999999997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2.3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1.15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1.15</v>
      </c>
      <c r="G94" s="9">
        <f si="3" t="shared"/>
        <v>5.8481127614332971E-6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757.659074414</v>
      </c>
      <c r="C98" s="9">
        <f si="2" t="shared"/>
        <v>4.4397705138499106E-4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1706527.5604909635</v>
      </c>
      <c r="C102" s="9">
        <f si="2" t="shared"/>
        <v>1</v>
      </c>
      <c r="F102" s="6">
        <f>SUM(F11:F101)</f>
        <v>1703376.6050531855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6"/>
  <dimension ref="A1:L102"/>
  <sheetViews>
    <sheetView workbookViewId="0">
      <selection activeCell="H24" sqref="H24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368.29925</v>
      </c>
      <c r="C11" s="9">
        <f>B11/B$102</f>
        <v>2.1581793258237288E-4</v>
      </c>
      <c r="E11" s="371">
        <v>0</v>
      </c>
      <c r="F11" s="371" t="n">
        <v>6044.471484791675</v>
      </c>
      <c r="G11" s="9">
        <f>F11/F$102</f>
        <v>3.5394121463088552E-3</v>
      </c>
      <c r="K11" s="6" t="n">
        <v>38.26313382773181</v>
      </c>
      <c r="L11" s="6" t="n">
        <v>23.587686727134262</v>
      </c>
    </row>
    <row r="12" spans="1:12" x14ac:dyDescent="0.25">
      <c r="A12">
        <v>1</v>
      </c>
      <c r="B12" s="6" t="n">
        <v>2411.760922769</v>
      </c>
      <c r="C12" s="9">
        <f>B12/B$102</f>
        <v>1.4132563567125416E-3</v>
      </c>
      <c r="E12" s="371">
        <v>1</v>
      </c>
      <c r="F12" s="371" t="n">
        <v>26323.512837758306</v>
      </c>
      <c r="G12" s="9">
        <f>F12/F$102</f>
        <v>1.5310132416036055E-2</v>
      </c>
      <c r="K12" s="6"/>
      <c r="L12" s="371"/>
    </row>
    <row r="13" spans="1:12" x14ac:dyDescent="0.25">
      <c r="A13">
        <v>2</v>
      </c>
      <c r="B13" s="6" t="n">
        <v>4038.557173837</v>
      </c>
      <c r="C13" s="9">
        <f ref="C13:C76" si="0" t="shared">B13/B$102</f>
        <v>2.3665349844541146E-3</v>
      </c>
      <c r="E13" s="371">
        <v>2</v>
      </c>
      <c r="F13" s="371" t="n">
        <v>31352.811903993148</v>
      </c>
      <c r="G13" s="9">
        <f ref="G13:G76" si="1" t="shared">F13/F$102</f>
        <v>1.8295669014746919E-2</v>
      </c>
    </row>
    <row r="14" spans="1:12" x14ac:dyDescent="0.25">
      <c r="A14">
        <v>3</v>
      </c>
      <c r="B14" s="6" t="n">
        <v>6571.010847690401</v>
      </c>
      <c r="C14" s="9">
        <f si="0" t="shared"/>
        <v>3.8505155145574905E-3</v>
      </c>
      <c r="E14" s="371">
        <v>3</v>
      </c>
      <c r="F14" s="371" t="n">
        <v>36075.48671691554</v>
      </c>
      <c r="G14" s="9">
        <f si="1" t="shared"/>
        <v>2.0976140505658523E-2</v>
      </c>
    </row>
    <row r="15" spans="1:12" x14ac:dyDescent="0.25">
      <c r="A15">
        <v>4</v>
      </c>
      <c r="B15" s="6" t="n">
        <v>16601.6039507372</v>
      </c>
      <c r="C15" s="9">
        <f si="0" t="shared"/>
        <v>9.7282952441512076E-3</v>
      </c>
      <c r="E15" s="371">
        <v>4</v>
      </c>
      <c r="F15" s="371" t="n">
        <v>39775.544430894</v>
      </c>
      <c r="G15" s="9">
        <f si="1" t="shared"/>
        <v>2.3334150894143701E-2</v>
      </c>
    </row>
    <row r="16" spans="1:12" x14ac:dyDescent="0.25">
      <c r="A16">
        <v>5</v>
      </c>
      <c r="B16" s="6" t="n">
        <v>16278.711525201299</v>
      </c>
      <c r="C16" s="9">
        <f si="0" t="shared"/>
        <v>9.5390850415084764E-3</v>
      </c>
      <c r="E16" s="371">
        <v>5</v>
      </c>
      <c r="F16" s="371" t="n">
        <v>41278.670807341536</v>
      </c>
      <c r="G16" s="9">
        <f si="1" t="shared"/>
        <v>2.4762878969100666E-2</v>
      </c>
    </row>
    <row r="17" spans="1:7" x14ac:dyDescent="0.25">
      <c r="A17">
        <v>6</v>
      </c>
      <c r="B17" s="6" t="n">
        <v>20724.5894366958</v>
      </c>
      <c r="C17" s="9">
        <f si="0" t="shared"/>
        <v>1.2144303975221702E-2</v>
      </c>
      <c r="E17" s="371">
        <v>6</v>
      </c>
      <c r="F17" s="371" t="n">
        <v>42157.87508549511</v>
      </c>
      <c r="G17" s="9">
        <f si="1" t="shared"/>
        <v>2.4898678387171039E-2</v>
      </c>
    </row>
    <row r="18" spans="1:7" x14ac:dyDescent="0.25">
      <c r="A18">
        <v>7</v>
      </c>
      <c r="B18" s="6" t="n">
        <v>25749.0615776126</v>
      </c>
      <c r="C18" s="9">
        <f si="0" t="shared"/>
        <v>1.5088570600175169E-2</v>
      </c>
      <c r="E18" s="371">
        <v>7</v>
      </c>
      <c r="F18" s="371" t="n">
        <v>42413.418411652056</v>
      </c>
      <c r="G18" s="9">
        <f si="1" t="shared"/>
        <v>2.4916068172173546E-2</v>
      </c>
    </row>
    <row r="19" spans="1:7" x14ac:dyDescent="0.25">
      <c r="A19">
        <v>8</v>
      </c>
      <c r="B19" s="6" t="n">
        <v>17257.3536694294</v>
      </c>
      <c r="C19" s="9">
        <f si="0" t="shared"/>
        <v>1.011255491500208E-2</v>
      </c>
      <c r="E19" s="371">
        <v>8</v>
      </c>
      <c r="F19" s="371" t="n">
        <v>40896.403335274066</v>
      </c>
      <c r="G19" s="9">
        <f si="1" t="shared"/>
        <v>2.3904309631589682E-2</v>
      </c>
    </row>
    <row r="20" spans="1:7" x14ac:dyDescent="0.25">
      <c r="A20">
        <v>9</v>
      </c>
      <c r="B20" s="6" t="n">
        <v>39041.5516553527</v>
      </c>
      <c r="C20" s="9">
        <f si="0" t="shared"/>
        <v>2.2877773883781021E-2</v>
      </c>
      <c r="E20" s="371">
        <v>9</v>
      </c>
      <c r="F20" s="371" t="n">
        <v>39264.13491982923</v>
      </c>
      <c r="G20" s="9">
        <f si="1" t="shared"/>
        <v>2.2930758452357616E-2</v>
      </c>
    </row>
    <row r="21" spans="1:7" x14ac:dyDescent="0.25">
      <c r="A21">
        <v>10</v>
      </c>
      <c r="B21" s="6" t="n">
        <v>16682.6697958489</v>
      </c>
      <c r="C21" s="9">
        <f si="0" t="shared"/>
        <v>9.7757986346551241E-3</v>
      </c>
      <c r="E21" s="371">
        <v>10</v>
      </c>
      <c r="F21" s="371" t="n">
        <v>36791.422165137585</v>
      </c>
      <c r="G21" s="9">
        <f si="1" t="shared"/>
        <v>2.1606229242576665E-2</v>
      </c>
    </row>
    <row r="22" spans="1:7" x14ac:dyDescent="0.25">
      <c r="A22">
        <v>11</v>
      </c>
      <c r="B22" s="6" t="n">
        <v>14319.210166365301</v>
      </c>
      <c r="C22" s="9">
        <f si="0" t="shared"/>
        <v>8.3908461239534295E-3</v>
      </c>
      <c r="E22" s="371">
        <v>11</v>
      </c>
      <c r="F22" s="371" t="n">
        <v>34144.244152944804</v>
      </c>
      <c r="G22" s="9">
        <f si="1" t="shared"/>
        <v>1.9832321615667545E-2</v>
      </c>
    </row>
    <row r="23" spans="1:7" x14ac:dyDescent="0.25">
      <c r="A23">
        <v>12</v>
      </c>
      <c r="B23" s="6" t="n">
        <v>36046.3612831153</v>
      </c>
      <c r="C23" s="9">
        <f si="0" t="shared"/>
        <v>2.1122636468141692E-2</v>
      </c>
      <c r="E23" s="371">
        <v>12</v>
      </c>
      <c r="F23" s="371" t="n">
        <v>31958.11855437117</v>
      </c>
      <c r="G23" s="9">
        <f si="1" t="shared"/>
        <v>1.8788412001042407E-2</v>
      </c>
    </row>
    <row r="24" spans="1:7" x14ac:dyDescent="0.25">
      <c r="A24">
        <v>13</v>
      </c>
      <c r="B24" s="6" t="n">
        <v>31006.387511847202</v>
      </c>
      <c r="C24" s="9">
        <f si="0" t="shared"/>
        <v>1.8169286116262166E-2</v>
      </c>
      <c r="E24" s="371">
        <v>13</v>
      </c>
      <c r="F24" s="371" t="n">
        <v>28908.422627237866</v>
      </c>
      <c r="G24" s="9">
        <f si="1" t="shared"/>
        <v>1.6558658886698458E-2</v>
      </c>
    </row>
    <row r="25" spans="1:7" x14ac:dyDescent="0.25">
      <c r="A25">
        <v>14</v>
      </c>
      <c r="B25" s="6" t="n">
        <v>18556.9947950918</v>
      </c>
      <c r="C25" s="9">
        <f si="0" t="shared"/>
        <v>1.0874125460800061E-2</v>
      </c>
      <c r="E25" s="371">
        <v>14</v>
      </c>
      <c r="F25" s="371" t="n">
        <v>25586.81570059013</v>
      </c>
      <c r="G25" s="9">
        <f si="1" t="shared"/>
        <v>1.4839899286459134E-2</v>
      </c>
    </row>
    <row r="26" spans="1:7" x14ac:dyDescent="0.25">
      <c r="A26">
        <v>15</v>
      </c>
      <c r="B26" s="6" t="n">
        <v>12120.2283892984</v>
      </c>
      <c r="C26" s="9">
        <f si="0" t="shared"/>
        <v>7.1022752107275915E-3</v>
      </c>
      <c r="E26" s="371">
        <v>15</v>
      </c>
      <c r="F26" s="371" t="n">
        <v>25698.78527038589</v>
      </c>
      <c r="G26" s="9">
        <f si="1" t="shared"/>
        <v>1.5411883112843109E-2</v>
      </c>
    </row>
    <row r="27" spans="1:7" x14ac:dyDescent="0.25">
      <c r="A27">
        <v>16</v>
      </c>
      <c r="B27" s="6" t="n">
        <v>44631.4887250049</v>
      </c>
      <c r="C27" s="9">
        <f si="0" t="shared"/>
        <v>2.6153394623269103E-2</v>
      </c>
      <c r="E27" s="371">
        <v>16</v>
      </c>
      <c r="F27" s="371" t="n">
        <v>23531.963755685494</v>
      </c>
      <c r="G27" s="9">
        <f si="1" t="shared"/>
        <v>1.3845514457628792E-2</v>
      </c>
    </row>
    <row r="28" spans="1:7" x14ac:dyDescent="0.25">
      <c r="A28">
        <v>17</v>
      </c>
      <c r="B28" s="6" t="n">
        <v>25216.9409814584</v>
      </c>
      <c r="C28" s="9">
        <f si="0" t="shared"/>
        <v>1.4776755773111308E-2</v>
      </c>
      <c r="E28" s="371">
        <v>17</v>
      </c>
      <c r="F28" s="371" t="n">
        <v>21407.837151462845</v>
      </c>
      <c r="G28" s="9">
        <f si="1" t="shared"/>
        <v>1.2548040900343276E-2</v>
      </c>
    </row>
    <row r="29" spans="1:7" x14ac:dyDescent="0.25">
      <c r="A29">
        <v>18</v>
      </c>
      <c r="B29" s="6" t="n">
        <v>84915.0012217678</v>
      </c>
      <c r="C29" s="9">
        <f si="0" t="shared"/>
        <v>4.9758939256356334E-2</v>
      </c>
      <c r="E29" s="371">
        <v>18</v>
      </c>
      <c r="F29" s="371" t="n">
        <v>184711.69414928195</v>
      </c>
      <c r="G29" s="9">
        <f si="1" t="shared"/>
        <v>0.1076267463748003</v>
      </c>
    </row>
    <row r="30" spans="1:7" x14ac:dyDescent="0.25">
      <c r="A30">
        <v>19</v>
      </c>
      <c r="B30" s="6" t="n">
        <v>79424.4108762523</v>
      </c>
      <c r="C30" s="9">
        <f si="0" t="shared"/>
        <v>4.6541534233061031E-2</v>
      </c>
      <c r="E30" s="371">
        <v>19</v>
      </c>
      <c r="F30" s="371" t="n">
        <v>71702.80453496073</v>
      </c>
      <c r="G30" s="9">
        <f si="1" t="shared"/>
        <v>4.1589742687710471E-2</v>
      </c>
    </row>
    <row r="31" spans="1:7" x14ac:dyDescent="0.25">
      <c r="A31">
        <v>20</v>
      </c>
      <c r="B31" s="6" t="n">
        <v>82049.9900974831</v>
      </c>
      <c r="C31" s="9">
        <f si="0" t="shared"/>
        <v>4.8080084961462641E-2</v>
      </c>
      <c r="E31" s="371">
        <v>20</v>
      </c>
      <c r="F31" s="371" t="n">
        <v>64692.85318942065</v>
      </c>
      <c r="G31" s="9">
        <f si="1" t="shared"/>
        <v>3.8399538259297268E-2</v>
      </c>
    </row>
    <row r="32" spans="1:7" x14ac:dyDescent="0.25">
      <c r="A32">
        <v>21</v>
      </c>
      <c r="B32" s="6" t="n">
        <v>68277.3501920338</v>
      </c>
      <c r="C32" s="9">
        <f si="0" t="shared"/>
        <v>4.0009520955167341E-2</v>
      </c>
      <c r="E32" s="371">
        <v>21</v>
      </c>
      <c r="F32" s="371" t="n">
        <v>84201.73339331606</v>
      </c>
      <c r="G32" s="9">
        <f si="1" t="shared"/>
        <v>5.2676359444361498E-2</v>
      </c>
    </row>
    <row r="33" spans="1:7" x14ac:dyDescent="0.25">
      <c r="A33">
        <v>22</v>
      </c>
      <c r="B33" s="6" t="n">
        <v>68910.1250589409</v>
      </c>
      <c r="C33" s="9">
        <f si="0" t="shared"/>
        <v>4.0380317701470728E-2</v>
      </c>
      <c r="E33" s="371">
        <v>22</v>
      </c>
      <c r="F33" s="371" t="n">
        <v>82901.25693453666</v>
      </c>
      <c r="G33" s="9">
        <f si="1" t="shared"/>
        <v>4.4513247212192103E-2</v>
      </c>
    </row>
    <row r="34" spans="1:7" x14ac:dyDescent="0.25">
      <c r="A34">
        <v>23</v>
      </c>
      <c r="B34" s="6" t="n">
        <v>50837.4078489238</v>
      </c>
      <c r="C34" s="9">
        <f si="0" t="shared"/>
        <v>2.978997176834227E-2</v>
      </c>
      <c r="E34" s="371">
        <v>23</v>
      </c>
      <c r="F34" s="371" t="n">
        <v>62401.67603315846</v>
      </c>
      <c r="G34" s="9">
        <f si="1" t="shared"/>
        <v>3.5266651858165625E-2</v>
      </c>
    </row>
    <row r="35" spans="1:7" x14ac:dyDescent="0.25">
      <c r="A35">
        <v>24</v>
      </c>
      <c r="B35" s="6" t="n">
        <v>41929.7968305026</v>
      </c>
      <c r="C35" s="9">
        <f si="0" t="shared"/>
        <v>2.4570242990063117E-2</v>
      </c>
      <c r="E35" s="371">
        <v>24</v>
      </c>
      <c r="F35" s="371" t="n">
        <v>53907.615193149024</v>
      </c>
      <c r="G35" s="9">
        <f si="1" t="shared"/>
        <v>3.2367122411828479E-2</v>
      </c>
    </row>
    <row r="36" spans="1:7" x14ac:dyDescent="0.25">
      <c r="A36">
        <v>25</v>
      </c>
      <c r="B36" s="6" t="n">
        <v>31284.4027934759</v>
      </c>
      <c r="C36" s="9">
        <f si="0" t="shared"/>
        <v>1.8332198973965274E-2</v>
      </c>
      <c r="E36" s="371">
        <v>25</v>
      </c>
      <c r="F36" s="371" t="n">
        <v>50223.83749324787</v>
      </c>
      <c r="G36" s="9">
        <f si="1" t="shared"/>
        <v>2.8380053475832927E-2</v>
      </c>
    </row>
    <row r="37" spans="1:7" x14ac:dyDescent="0.25">
      <c r="A37">
        <v>26</v>
      </c>
      <c r="B37" s="6" t="n">
        <v>84672.2549033893</v>
      </c>
      <c r="C37" s="9">
        <f si="0" t="shared"/>
        <v>4.9616693491331208E-2</v>
      </c>
      <c r="E37" s="371">
        <v>26</v>
      </c>
      <c r="F37" s="371" t="n">
        <v>42505.478435665056</v>
      </c>
      <c r="G37" s="9">
        <f si="1" t="shared"/>
        <v>2.6333159527474996E-2</v>
      </c>
    </row>
    <row r="38" spans="1:7" x14ac:dyDescent="0.25">
      <c r="A38">
        <v>27</v>
      </c>
      <c r="B38" s="6" t="n">
        <v>28838.155832383</v>
      </c>
      <c r="C38" s="9">
        <f si="0" t="shared"/>
        <v>1.6898734307042976E-2</v>
      </c>
      <c r="E38" s="371">
        <v>27</v>
      </c>
      <c r="F38" s="371" t="n">
        <v>32514.89975085476</v>
      </c>
      <c r="G38" s="9">
        <f si="1" t="shared"/>
        <v>1.8388669979001591E-2</v>
      </c>
    </row>
    <row r="39" spans="1:7" x14ac:dyDescent="0.25">
      <c r="A39">
        <v>28</v>
      </c>
      <c r="B39" s="6" t="n">
        <v>22226.6761522549</v>
      </c>
      <c r="C39" s="9">
        <f si="0" t="shared"/>
        <v>1.3024504653098215E-2</v>
      </c>
      <c r="E39" s="371">
        <v>28</v>
      </c>
      <c r="F39" s="371" t="n">
        <v>31796.400983319898</v>
      </c>
      <c r="G39" s="9">
        <f si="1" t="shared"/>
        <v>1.9439484486658252E-2</v>
      </c>
    </row>
    <row r="40" spans="1:7" x14ac:dyDescent="0.25">
      <c r="A40">
        <v>29</v>
      </c>
      <c r="B40" s="6" t="n">
        <v>43361.8089197</v>
      </c>
      <c r="C40" s="9">
        <f si="0" t="shared"/>
        <v>2.5409380969636922E-2</v>
      </c>
      <c r="E40" s="371">
        <v>29</v>
      </c>
      <c r="F40" s="371" t="n">
        <v>39865.78775696142</v>
      </c>
      <c r="G40" s="9">
        <f si="1" t="shared"/>
        <v>1.9369087041246031E-2</v>
      </c>
    </row>
    <row r="41" spans="1:7" x14ac:dyDescent="0.25">
      <c r="A41">
        <v>30</v>
      </c>
      <c r="B41" s="6" t="n">
        <v>25489.211956623498</v>
      </c>
      <c r="C41" s="9">
        <f si="0" t="shared"/>
        <v>1.493630255188514E-2</v>
      </c>
      <c r="E41" s="371">
        <v>30</v>
      </c>
      <c r="F41" s="371" t="n">
        <v>26945.220325115137</v>
      </c>
      <c r="G41" s="9">
        <f si="1" t="shared"/>
        <v>1.996326240554331E-2</v>
      </c>
    </row>
    <row r="42" spans="1:7" x14ac:dyDescent="0.25">
      <c r="A42">
        <v>31</v>
      </c>
      <c r="B42" s="6" t="n">
        <v>23761.499522065402</v>
      </c>
      <c r="C42" s="9">
        <f si="0" t="shared"/>
        <v>1.3923888527900061E-2</v>
      </c>
      <c r="E42" s="371">
        <v>31</v>
      </c>
      <c r="F42" s="371" t="n">
        <v>25580.08549183449</v>
      </c>
      <c r="G42" s="9">
        <f si="1" t="shared"/>
        <v>1.3158993441951639E-2</v>
      </c>
    </row>
    <row r="43" spans="1:7" x14ac:dyDescent="0.25">
      <c r="A43">
        <v>32</v>
      </c>
      <c r="B43" s="6" t="n">
        <v>19434.9311217531</v>
      </c>
      <c r="C43" s="9">
        <f si="0" t="shared"/>
        <v>1.1388583209380881E-2</v>
      </c>
      <c r="E43" s="371">
        <v>32</v>
      </c>
      <c r="F43" s="371" t="n">
        <v>17261.760309220434</v>
      </c>
      <c r="G43" s="9">
        <f si="1" t="shared"/>
        <v>1.1983613815042695E-2</v>
      </c>
    </row>
    <row r="44" spans="1:7" x14ac:dyDescent="0.25">
      <c r="A44">
        <v>33</v>
      </c>
      <c r="B44" s="6" t="n">
        <v>13879.9921380944</v>
      </c>
      <c r="C44" s="9">
        <f si="0" t="shared"/>
        <v>8.13347083249049E-3</v>
      </c>
      <c r="E44" s="371">
        <v>33</v>
      </c>
      <c r="F44" s="371" t="n">
        <v>18959.07175128523</v>
      </c>
      <c r="G44" s="9">
        <f si="1" t="shared"/>
        <v>1.3580544983112754E-2</v>
      </c>
    </row>
    <row r="45" spans="1:7" x14ac:dyDescent="0.25">
      <c r="A45">
        <v>34</v>
      </c>
      <c r="B45" s="6" t="n">
        <v>23300.5184110957</v>
      </c>
      <c r="C45" s="9">
        <f si="0" t="shared"/>
        <v>1.3653760390715405E-2</v>
      </c>
      <c r="E45" s="371">
        <v>34</v>
      </c>
      <c r="F45" s="371" t="n">
        <v>21758.352773832255</v>
      </c>
      <c r="G45" s="9">
        <f si="1" t="shared"/>
        <v>1.2075666495012606E-2</v>
      </c>
    </row>
    <row r="46" spans="1:7" x14ac:dyDescent="0.25">
      <c r="A46">
        <v>35</v>
      </c>
      <c r="B46" s="6" t="n">
        <v>19565.3307746215</v>
      </c>
      <c r="C46" s="9">
        <f si="0" t="shared"/>
        <v>1.1464995484158842E-2</v>
      </c>
      <c r="E46" s="371">
        <v>35</v>
      </c>
      <c r="F46" s="371" t="n">
        <v>16090.623259751788</v>
      </c>
      <c r="G46" s="9">
        <f si="1" t="shared"/>
        <v>1.0630609133299461E-2</v>
      </c>
    </row>
    <row r="47" spans="1:7" x14ac:dyDescent="0.25">
      <c r="A47">
        <v>36</v>
      </c>
      <c r="B47" s="6" t="n">
        <v>19454.9918892523</v>
      </c>
      <c r="C47" s="9">
        <f si="0" t="shared"/>
        <v>1.1400338523483999E-2</v>
      </c>
      <c r="E47" s="371">
        <v>36</v>
      </c>
      <c r="F47" s="371" t="n">
        <v>11100.987603631098</v>
      </c>
      <c r="G47" s="9">
        <f si="1" t="shared"/>
        <v>8.1266913771664753E-3</v>
      </c>
    </row>
    <row r="48" spans="1:7" x14ac:dyDescent="0.25">
      <c r="A48">
        <v>37</v>
      </c>
      <c r="B48" s="6" t="n">
        <v>17439.1436846392</v>
      </c>
      <c r="C48" s="9">
        <f si="0" t="shared"/>
        <v>1.0219081184731646E-2</v>
      </c>
      <c r="E48" s="371">
        <v>37</v>
      </c>
      <c r="F48" s="371" t="n">
        <v>10813.68408994662</v>
      </c>
      <c r="G48" s="9">
        <f si="1" t="shared"/>
        <v>5.3205094790681464E-3</v>
      </c>
    </row>
    <row r="49" spans="1:7" x14ac:dyDescent="0.25">
      <c r="A49">
        <v>38</v>
      </c>
      <c r="B49" s="6" t="n">
        <v>18335.153339625802</v>
      </c>
      <c r="C49" s="9">
        <f si="0" t="shared"/>
        <v>1.0744129637350145E-2</v>
      </c>
      <c r="E49" s="371">
        <v>38</v>
      </c>
      <c r="F49" s="371" t="n">
        <v>10614.962837648029</v>
      </c>
      <c r="G49" s="9">
        <f si="1" t="shared"/>
        <v>5.9471062022668454E-3</v>
      </c>
    </row>
    <row r="50" spans="1:7" x14ac:dyDescent="0.25">
      <c r="A50">
        <v>39</v>
      </c>
      <c r="B50" s="6" t="n">
        <v>4167.0391510542</v>
      </c>
      <c r="C50" s="9">
        <f si="0" t="shared"/>
        <v>2.4418235295627774E-3</v>
      </c>
      <c r="E50" s="371">
        <v>39</v>
      </c>
      <c r="F50" s="371" t="n">
        <v>11387.958471477894</v>
      </c>
      <c r="G50" s="9">
        <f si="1" t="shared"/>
        <v>8.6342611494288988E-3</v>
      </c>
    </row>
    <row r="51" spans="1:7" x14ac:dyDescent="0.25">
      <c r="A51">
        <v>40</v>
      </c>
      <c r="B51" s="6" t="n">
        <v>7278.7932509961</v>
      </c>
      <c r="C51" s="9">
        <f si="0" t="shared"/>
        <v>4.2652655717450071E-3</v>
      </c>
      <c r="E51" s="371">
        <v>40</v>
      </c>
      <c r="F51" s="371" t="n">
        <v>8596.02221044185</v>
      </c>
      <c r="G51" s="9">
        <f si="1" t="shared"/>
        <v>5.8147082682633543E-3</v>
      </c>
    </row>
    <row r="52" spans="1:7" x14ac:dyDescent="0.25">
      <c r="A52">
        <v>41</v>
      </c>
      <c r="B52" s="6" t="n">
        <v>5349.789588329</v>
      </c>
      <c r="C52" s="9">
        <f si="0" t="shared"/>
        <v>3.134897854676241E-3</v>
      </c>
      <c r="E52" s="371">
        <v>41</v>
      </c>
      <c r="F52" s="371" t="n">
        <v>6449.451391588721</v>
      </c>
      <c r="G52" s="9">
        <f si="1" t="shared"/>
        <v>3.9834682829211921E-3</v>
      </c>
    </row>
    <row r="53" spans="1:7" x14ac:dyDescent="0.25">
      <c r="A53">
        <v>42</v>
      </c>
      <c r="B53" s="6" t="n">
        <v>8051.5280820192</v>
      </c>
      <c r="C53" s="9">
        <f si="0" t="shared"/>
        <v>4.7180767943195701E-3</v>
      </c>
      <c r="E53" s="371">
        <v>42</v>
      </c>
      <c r="F53" s="371" t="n">
        <v>6953.9641939538415</v>
      </c>
      <c r="G53" s="9">
        <f si="1" t="shared"/>
        <v>3.4790551871442419E-3</v>
      </c>
    </row>
    <row r="54" spans="1:7" x14ac:dyDescent="0.25">
      <c r="A54">
        <v>43</v>
      </c>
      <c r="B54" s="6" t="n">
        <v>3386.0244571352</v>
      </c>
      <c r="C54" s="9">
        <f si="0" t="shared"/>
        <v>1.9841604293581111E-3</v>
      </c>
      <c r="E54" s="371">
        <v>43</v>
      </c>
      <c r="F54" s="371" t="n">
        <v>5702.187167387986</v>
      </c>
      <c r="G54" s="9">
        <f si="1" t="shared"/>
        <v>3.5088770830709157E-3</v>
      </c>
    </row>
    <row r="55" spans="1:7" x14ac:dyDescent="0.25">
      <c r="A55">
        <v>44</v>
      </c>
      <c r="B55" s="6" t="n">
        <v>2497.7442771053</v>
      </c>
      <c r="C55" s="9">
        <f si="0" t="shared"/>
        <v>1.463641335148848E-3</v>
      </c>
      <c r="E55" s="371">
        <v>44</v>
      </c>
      <c r="F55" s="371" t="n">
        <v>6980.081596296137</v>
      </c>
      <c r="G55" s="9">
        <f si="1" t="shared"/>
        <v>4.6352742603744087E-3</v>
      </c>
    </row>
    <row r="56" spans="1:7" x14ac:dyDescent="0.25">
      <c r="A56">
        <v>45</v>
      </c>
      <c r="B56" s="6" t="n">
        <v>53948.4080062041</v>
      </c>
      <c r="C56" s="9">
        <f si="0" t="shared"/>
        <v>3.1612972011236251E-2</v>
      </c>
      <c r="E56" s="371">
        <v>45</v>
      </c>
      <c r="F56" s="371" t="n">
        <v>4737.533509828237</v>
      </c>
      <c r="G56" s="9">
        <f si="1" t="shared"/>
        <v>2.8592410547820567E-3</v>
      </c>
    </row>
    <row r="57" spans="1:7" x14ac:dyDescent="0.25">
      <c r="A57">
        <v>46</v>
      </c>
      <c r="B57" s="6" t="n">
        <v>6923.3587785405</v>
      </c>
      <c r="C57" s="9">
        <f si="0" t="shared"/>
        <v>4.0569862092052402E-3</v>
      </c>
      <c r="E57" s="371">
        <v>46</v>
      </c>
      <c r="F57" s="371" t="n">
        <v>4326.384216228423</v>
      </c>
      <c r="G57" s="9">
        <f si="1" t="shared"/>
        <v>3.3932598069020044E-3</v>
      </c>
    </row>
    <row r="58" spans="1:7" x14ac:dyDescent="0.25">
      <c r="A58">
        <v>47</v>
      </c>
      <c r="B58" s="6" t="n">
        <v>3929.6750976079</v>
      </c>
      <c r="C58" s="9">
        <f si="0" t="shared"/>
        <v>2.3027316924652207E-3</v>
      </c>
      <c r="E58" s="371">
        <v>47</v>
      </c>
      <c r="F58" s="371" t="n">
        <v>3918.7321533264085</v>
      </c>
      <c r="G58" s="9">
        <f si="1" t="shared"/>
        <v>2.3599620381868211E-3</v>
      </c>
    </row>
    <row r="59" spans="1:7" x14ac:dyDescent="0.25">
      <c r="A59">
        <v>48</v>
      </c>
      <c r="B59" s="6" t="n">
        <v>17507.0420864266</v>
      </c>
      <c r="C59" s="9">
        <f si="0" t="shared"/>
        <v>1.0258868647506563E-2</v>
      </c>
      <c r="E59" s="371">
        <v>48</v>
      </c>
      <c r="F59" s="371" t="n">
        <v>4498.349814814796</v>
      </c>
      <c r="G59" s="9">
        <f si="1" t="shared"/>
        <v>2.1478721219968374E-3</v>
      </c>
    </row>
    <row r="60" spans="1:7" x14ac:dyDescent="0.25">
      <c r="A60">
        <v>49</v>
      </c>
      <c r="B60" s="6" t="n">
        <v>7260.8377199875</v>
      </c>
      <c r="C60" s="9">
        <f si="0" t="shared"/>
        <v>4.2547438951988431E-3</v>
      </c>
      <c r="E60" s="371">
        <v>49</v>
      </c>
      <c r="F60" s="371" t="n">
        <v>5486.530805545528</v>
      </c>
      <c r="G60" s="9">
        <f si="1" t="shared"/>
        <v>3.8047312981720799E-3</v>
      </c>
    </row>
    <row r="61" spans="1:7" x14ac:dyDescent="0.25">
      <c r="A61">
        <v>50</v>
      </c>
      <c r="B61" s="6" t="n">
        <v>745.499793006</v>
      </c>
      <c r="C61" s="9">
        <f si="0" t="shared"/>
        <v>4.3685189168085967E-4</v>
      </c>
      <c r="E61" s="371">
        <v>50</v>
      </c>
      <c r="F61" s="371" t="n">
        <v>2884.1706726442985</v>
      </c>
      <c r="G61" s="9">
        <f si="1" t="shared"/>
        <v>2.0670869425196583E-3</v>
      </c>
    </row>
    <row r="62" spans="1:7" x14ac:dyDescent="0.25">
      <c r="A62">
        <v>51</v>
      </c>
      <c r="B62" s="6" t="n">
        <v>10964.093927625401</v>
      </c>
      <c r="C62" s="9">
        <f si="0" t="shared"/>
        <v>6.4247974550560799E-3</v>
      </c>
      <c r="E62" s="371">
        <v>51</v>
      </c>
      <c r="F62" s="371" t="n">
        <v>2845.567004791505</v>
      </c>
      <c r="G62" s="9">
        <f si="1" t="shared"/>
        <v>1.8741284874254729E-3</v>
      </c>
    </row>
    <row r="63" spans="1:7" x14ac:dyDescent="0.25">
      <c r="A63">
        <v>52</v>
      </c>
      <c r="B63" s="6" t="n">
        <v>4978.2120747738</v>
      </c>
      <c r="C63" s="9">
        <f si="0" t="shared"/>
        <v>2.9171589079648864E-3</v>
      </c>
      <c r="E63" s="371">
        <v>52</v>
      </c>
      <c r="F63" s="371" t="n">
        <v>2505.5965805357077</v>
      </c>
      <c r="G63" s="9">
        <f si="1" t="shared"/>
        <v>1.3468770096912678E-3</v>
      </c>
    </row>
    <row r="64" spans="1:7" x14ac:dyDescent="0.25">
      <c r="A64">
        <v>53</v>
      </c>
      <c r="B64" s="6" t="n">
        <v>1480.5867408829</v>
      </c>
      <c r="C64" s="9">
        <f si="0" t="shared"/>
        <v>8.6760200957840912E-4</v>
      </c>
      <c r="E64" s="371">
        <v>53</v>
      </c>
      <c r="F64" s="371" t="n">
        <v>2588.0847733027167</v>
      </c>
      <c r="G64" s="9">
        <f si="1" t="shared"/>
        <v>1.4639724541810673E-3</v>
      </c>
    </row>
    <row r="65" spans="1:7" x14ac:dyDescent="0.25">
      <c r="A65">
        <v>54</v>
      </c>
      <c r="B65" s="6" t="n">
        <v>22755.6194280058</v>
      </c>
      <c r="C65" s="9">
        <f si="0" t="shared"/>
        <v>1.3334457617232429E-2</v>
      </c>
      <c r="E65" s="371">
        <v>54</v>
      </c>
      <c r="F65" s="371" t="n">
        <v>2109.554902282895</v>
      </c>
      <c r="G65" s="9">
        <f si="1" t="shared"/>
        <v>1.3280656280291732E-3</v>
      </c>
    </row>
    <row r="66" spans="1:7" x14ac:dyDescent="0.25">
      <c r="A66">
        <v>55</v>
      </c>
      <c r="B66" s="6" t="n">
        <v>334.505088392</v>
      </c>
      <c r="C66" s="9">
        <f si="0" t="shared"/>
        <v>1.9601505193139911E-4</v>
      </c>
      <c r="E66" s="371">
        <v>55</v>
      </c>
      <c r="F66" s="371" t="n">
        <v>2126.255186321229</v>
      </c>
      <c r="G66" s="9">
        <f si="1" t="shared"/>
        <v>2.3150807411785467E-3</v>
      </c>
    </row>
    <row r="67" spans="1:7" x14ac:dyDescent="0.25">
      <c r="A67">
        <v>56</v>
      </c>
      <c r="B67" s="6" t="n">
        <v>8196.8429289003</v>
      </c>
      <c r="C67" s="9">
        <f si="0" t="shared"/>
        <v>4.8032291529719511E-3</v>
      </c>
      <c r="E67" s="371">
        <v>56</v>
      </c>
      <c r="F67" s="371" t="n">
        <v>2093.3256708480208</v>
      </c>
      <c r="G67" s="9">
        <f si="1" t="shared"/>
        <v>1.1423633686952273E-3</v>
      </c>
    </row>
    <row r="68" spans="1:7" x14ac:dyDescent="0.25">
      <c r="A68">
        <v>57</v>
      </c>
      <c r="B68" s="6" t="n">
        <v>2037.2240373599998</v>
      </c>
      <c r="C68" s="9">
        <f si="0" t="shared"/>
        <v>1.1937832617094659E-3</v>
      </c>
      <c r="E68" s="371">
        <v>57</v>
      </c>
      <c r="F68" s="371" t="n">
        <v>1832.3462359835935</v>
      </c>
      <c r="G68" s="9">
        <f si="1" t="shared"/>
        <v>1.2622470505311615E-3</v>
      </c>
    </row>
    <row r="69" spans="1:7" x14ac:dyDescent="0.25">
      <c r="A69">
        <v>58</v>
      </c>
      <c r="B69" s="6" t="n">
        <v>3553.0490430719997</v>
      </c>
      <c r="C69" s="9">
        <f si="0" t="shared"/>
        <v>2.0820343751435208E-3</v>
      </c>
      <c r="E69" s="371">
        <v>58</v>
      </c>
      <c r="F69" s="371" t="n">
        <v>3162.3552196963756</v>
      </c>
      <c r="G69" s="9">
        <f si="1" t="shared"/>
        <v>1.1262841601747296E-3</v>
      </c>
    </row>
    <row r="70" spans="1:7" x14ac:dyDescent="0.25">
      <c r="A70">
        <v>59</v>
      </c>
      <c r="B70" s="6" t="n">
        <v>19937.5237891116</v>
      </c>
      <c r="C70" s="9">
        <f si="0" t="shared"/>
        <v>1.1683095105346925E-2</v>
      </c>
      <c r="E70" s="371">
        <v>59</v>
      </c>
      <c r="F70" s="371" t="n">
        <v>1711.2882029363363</v>
      </c>
      <c r="G70" s="9">
        <f si="1" t="shared"/>
        <v>1.0201924095922256E-3</v>
      </c>
    </row>
    <row r="71" spans="1:7" x14ac:dyDescent="0.25">
      <c r="A71">
        <v>60</v>
      </c>
      <c r="B71" s="6" t="n">
        <v>15085.353204798701</v>
      </c>
      <c r="C71" s="9">
        <f si="0" t="shared"/>
        <v>8.8397946532188954E-3</v>
      </c>
      <c r="E71" s="371">
        <v>60</v>
      </c>
      <c r="F71" s="371" t="n">
        <v>1651.4810514773092</v>
      </c>
      <c r="G71" s="9">
        <f si="1" t="shared"/>
        <v>1.0804888989060222E-3</v>
      </c>
    </row>
    <row r="72" spans="1:7" x14ac:dyDescent="0.25">
      <c r="A72">
        <v>61</v>
      </c>
      <c r="B72" s="6" t="n">
        <v>10052.4940107454</v>
      </c>
      <c r="C72" s="9">
        <f si="0" t="shared"/>
        <v>5.8906133387340819E-3</v>
      </c>
      <c r="E72" s="371">
        <v>61</v>
      </c>
      <c r="F72" s="371" t="n">
        <v>1407.966043796549</v>
      </c>
      <c r="G72" s="9">
        <f si="1" t="shared"/>
        <v>9.0170536547371654E-4</v>
      </c>
    </row>
    <row r="73" spans="1:7" x14ac:dyDescent="0.25">
      <c r="A73">
        <v>62</v>
      </c>
      <c r="B73" s="6" t="n">
        <v>2169.815863151</v>
      </c>
      <c r="C73" s="9">
        <f si="0" t="shared"/>
        <v>1.2714801175122833E-3</v>
      </c>
      <c r="E73" s="371">
        <v>62</v>
      </c>
      <c r="F73" s="371" t="n">
        <v>1574.726214282516</v>
      </c>
      <c r="G73" s="9">
        <f si="1" t="shared"/>
        <v>8.0550459555929867E-4</v>
      </c>
    </row>
    <row r="74" spans="1:7" x14ac:dyDescent="0.25">
      <c r="A74">
        <v>63</v>
      </c>
      <c r="B74" s="6" t="n">
        <v>210.149659191</v>
      </c>
      <c r="C74" s="9">
        <f si="0" t="shared"/>
        <v>1.2314460314402455E-4</v>
      </c>
      <c r="E74" s="371">
        <v>63</v>
      </c>
      <c r="F74" s="371" t="n">
        <v>1452.4553050101072</v>
      </c>
      <c r="G74" s="9">
        <f si="1" t="shared"/>
        <v>8.5485166145202131E-4</v>
      </c>
    </row>
    <row r="75" spans="1:7" x14ac:dyDescent="0.25">
      <c r="A75">
        <v>64</v>
      </c>
      <c r="B75" s="6" t="n">
        <v>909.115166911</v>
      </c>
      <c r="C75" s="9">
        <f si="0" t="shared"/>
        <v>5.3272808945989132E-4</v>
      </c>
      <c r="E75" s="371">
        <v>64</v>
      </c>
      <c r="F75" s="371" t="n">
        <v>1370.3619004869404</v>
      </c>
      <c r="G75" s="9">
        <f si="1" t="shared"/>
        <v>8.3095455599629692E-4</v>
      </c>
    </row>
    <row r="76" spans="1:7" x14ac:dyDescent="0.25">
      <c r="A76">
        <v>65</v>
      </c>
      <c r="B76" s="6" t="n">
        <v>927.898341994</v>
      </c>
      <c r="C76" s="9">
        <f si="0" t="shared"/>
        <v>5.4373475323600767E-4</v>
      </c>
      <c r="E76" s="371">
        <v>65</v>
      </c>
      <c r="F76" s="371" t="n">
        <v>1276.1722387747247</v>
      </c>
      <c r="G76" s="9">
        <f si="1" t="shared"/>
        <v>7.3344837488362885E-4</v>
      </c>
    </row>
    <row r="77" spans="1:7" x14ac:dyDescent="0.25">
      <c r="A77">
        <v>66</v>
      </c>
      <c r="B77" s="6" t="n">
        <v>1452.800212016</v>
      </c>
      <c r="C77" s="9">
        <f ref="C77:C102" si="2" t="shared">B77/B$102</f>
        <v>8.5131951317448003E-4</v>
      </c>
      <c r="E77" s="371">
        <v>66</v>
      </c>
      <c r="F77" s="371" t="n">
        <v>1231.3915042130495</v>
      </c>
      <c r="G77" s="9">
        <f ref="G77:G102" si="3" t="shared">F77/F$102</f>
        <v>5.9540864647575028E-4</v>
      </c>
    </row>
    <row r="78" spans="1:7" x14ac:dyDescent="0.25">
      <c r="A78">
        <v>67</v>
      </c>
      <c r="B78" s="6" t="n">
        <v>437.3892552713</v>
      </c>
      <c r="C78" s="9">
        <f si="2" t="shared"/>
        <v>2.5630365743724894E-4</v>
      </c>
      <c r="E78" s="371">
        <v>67</v>
      </c>
      <c r="F78" s="371" t="n">
        <v>1142.1692181735443</v>
      </c>
      <c r="G78" s="9">
        <f si="3" t="shared"/>
        <v>7.8552004345924006E-4</v>
      </c>
    </row>
    <row r="79" spans="1:7" x14ac:dyDescent="0.25">
      <c r="A79">
        <v>68</v>
      </c>
      <c r="B79" s="6" t="n">
        <v>216.451709176</v>
      </c>
      <c r="C79" s="9">
        <f si="2" t="shared"/>
        <v>1.2683751155693462E-4</v>
      </c>
      <c r="E79" s="371">
        <v>68</v>
      </c>
      <c r="F79" s="371" t="n">
        <v>1125.0362650297777</v>
      </c>
      <c r="G79" s="9">
        <f si="3" t="shared"/>
        <v>6.4921674936361325E-4</v>
      </c>
    </row>
    <row r="80" spans="1:7" x14ac:dyDescent="0.25">
      <c r="A80">
        <v>69</v>
      </c>
      <c r="B80" s="6" t="n">
        <v>6926.1072900615</v>
      </c>
      <c r="C80" s="9">
        <f si="2" t="shared"/>
        <v>4.0585967964495559E-3</v>
      </c>
      <c r="E80" s="371">
        <v>69</v>
      </c>
      <c r="F80" s="371" t="n">
        <v>1043.597175011164</v>
      </c>
      <c r="G80" s="9">
        <f si="3" t="shared"/>
        <v>6.6223629191715903E-4</v>
      </c>
    </row>
    <row r="81" spans="1:7" x14ac:dyDescent="0.25">
      <c r="A81">
        <v>70</v>
      </c>
      <c r="B81" s="6" t="n">
        <v>4848.627983235</v>
      </c>
      <c r="C81" s="9">
        <f si="2" t="shared"/>
        <v>2.8412245401064976E-3</v>
      </c>
      <c r="E81" s="371">
        <v>70</v>
      </c>
      <c r="F81" s="371" t="n">
        <v>998.081218243156</v>
      </c>
      <c r="G81" s="9">
        <f si="3" t="shared"/>
        <v>7.5152959546706045E-4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1073.5342500662905</v>
      </c>
      <c r="G82" s="9">
        <f si="3" t="shared"/>
        <v>7.3315972329997898E-4</v>
      </c>
    </row>
    <row r="83" spans="1:7" x14ac:dyDescent="0.25">
      <c r="A83">
        <v>72</v>
      </c>
      <c r="B83" s="6" t="n">
        <v>22938.6525471292</v>
      </c>
      <c r="C83" s="9">
        <f si="2" t="shared"/>
        <v>1.3441712327534759E-2</v>
      </c>
      <c r="E83" s="371">
        <v>72</v>
      </c>
      <c r="F83" s="371" t="n">
        <v>1052.1501023171793</v>
      </c>
      <c r="G83" s="9">
        <f si="3" t="shared"/>
        <v>6.0590037291426016E-4</v>
      </c>
    </row>
    <row r="84" spans="1:7" x14ac:dyDescent="0.25">
      <c r="A84">
        <v>73</v>
      </c>
      <c r="B84" s="6" t="n">
        <v>670.276657256</v>
      </c>
      <c r="C84" s="9">
        <f si="2" t="shared"/>
        <v>3.9277224275426482E-4</v>
      </c>
      <c r="E84" s="371">
        <v>73</v>
      </c>
      <c r="F84" s="371" t="n">
        <v>1249.5726829274834</v>
      </c>
      <c r="G84" s="9">
        <f si="3" t="shared"/>
        <v>5.1048973803370754E-4</v>
      </c>
    </row>
    <row r="85" spans="1:7" x14ac:dyDescent="0.25">
      <c r="A85">
        <v>74</v>
      </c>
      <c r="B85" s="6" t="n">
        <v>6789.006051028</v>
      </c>
      <c r="C85" s="9">
        <f si="2" t="shared"/>
        <v>3.9782574909454273E-3</v>
      </c>
      <c r="E85" s="371">
        <v>74</v>
      </c>
      <c r="F85" s="371" t="n">
        <v>1113.649733351328</v>
      </c>
      <c r="G85" s="9">
        <f si="3" t="shared"/>
        <v>4.8916492414245998E-4</v>
      </c>
    </row>
    <row r="86" spans="1:7" x14ac:dyDescent="0.25">
      <c r="A86">
        <v>75</v>
      </c>
      <c r="B86" s="6" t="n">
        <v>7010.7300745953</v>
      </c>
      <c r="C86" s="9">
        <f si="2" t="shared"/>
        <v>4.1081845010333918E-3</v>
      </c>
      <c r="E86" s="371">
        <v>75</v>
      </c>
      <c r="F86" s="371" t="n">
        <v>836.823328482998</v>
      </c>
      <c r="G86" s="9">
        <f si="3" t="shared"/>
        <v>4.5336563893305881E-4</v>
      </c>
    </row>
    <row r="87" spans="1:7" x14ac:dyDescent="0.25">
      <c r="A87">
        <v>76</v>
      </c>
      <c r="B87" s="6" t="n">
        <v>9914.513539693</v>
      </c>
      <c r="C87" s="9">
        <f si="2" t="shared"/>
        <v>5.8097588162248151E-3</v>
      </c>
      <c r="E87" s="371">
        <v>76</v>
      </c>
      <c r="F87" s="371" t="n">
        <v>1063.5730396352265</v>
      </c>
      <c r="G87" s="9">
        <f si="3" t="shared"/>
        <v>4.1705280029268288E-4</v>
      </c>
    </row>
    <row r="88" spans="1:7" x14ac:dyDescent="0.25">
      <c r="A88">
        <v>77</v>
      </c>
      <c r="B88" s="6" t="n">
        <v>1693.494666494</v>
      </c>
      <c r="C88" s="9">
        <f si="2" t="shared"/>
        <v>9.9236291619385635E-4</v>
      </c>
      <c r="E88" s="371">
        <v>77</v>
      </c>
      <c r="F88" s="371" t="n">
        <v>707.3078807777179</v>
      </c>
      <c r="G88" s="9">
        <f si="3" t="shared"/>
        <v>5.0453053985150833E-4</v>
      </c>
    </row>
    <row r="89" spans="1:7" x14ac:dyDescent="0.25">
      <c r="A89">
        <v>78</v>
      </c>
      <c r="B89" s="6" t="n">
        <v>3658.336044595</v>
      </c>
      <c r="C89" s="9">
        <f si="2" t="shared"/>
        <v>2.1437310063381026E-3</v>
      </c>
      <c r="E89" s="371">
        <v>78</v>
      </c>
      <c r="F89" s="371" t="n">
        <v>831.435338425532</v>
      </c>
      <c r="G89" s="9">
        <f si="3" t="shared"/>
        <v>4.3475969452945603E-4</v>
      </c>
    </row>
    <row r="90" spans="1:7" x14ac:dyDescent="0.25">
      <c r="A90">
        <v>79</v>
      </c>
      <c r="B90" s="6" t="n">
        <v>815.65893134</v>
      </c>
      <c r="C90" s="9">
        <f si="2" t="shared"/>
        <v>4.7796411275381756E-4</v>
      </c>
      <c r="E90" s="371">
        <v>79</v>
      </c>
      <c r="F90" s="371" t="n">
        <v>803.3608438366283</v>
      </c>
      <c r="G90" s="9">
        <f si="3" t="shared"/>
        <v>4.6415699283077036E-4</v>
      </c>
    </row>
    <row r="91" spans="1:7" x14ac:dyDescent="0.25">
      <c r="A91">
        <v>80</v>
      </c>
      <c r="B91" s="6" t="n">
        <v>17566.8535541287</v>
      </c>
      <c r="C91" s="9">
        <f si="2" t="shared"/>
        <v>1.0293917286091039E-2</v>
      </c>
      <c r="E91" s="371">
        <v>80</v>
      </c>
      <c r="F91" s="371" t="n">
        <v>870.8591788410048</v>
      </c>
      <c r="G91" s="9">
        <f si="3" t="shared"/>
        <v>3.9215134743577181E-4</v>
      </c>
    </row>
    <row r="92" spans="1:7" x14ac:dyDescent="0.25">
      <c r="A92">
        <v>81</v>
      </c>
      <c r="B92" s="6" t="n">
        <v>1969.6146971590001</v>
      </c>
      <c r="C92" s="9">
        <f si="2" t="shared"/>
        <v>1.1541651847640523E-3</v>
      </c>
      <c r="E92" s="371">
        <v>81</v>
      </c>
      <c r="F92" s="371" t="n">
        <v>969.7112291844445</v>
      </c>
      <c r="G92" s="9">
        <f si="3" t="shared"/>
        <v>4.0201847808358295E-4</v>
      </c>
    </row>
    <row r="93" spans="1:7" x14ac:dyDescent="0.25">
      <c r="A93">
        <v>82</v>
      </c>
      <c r="B93" s="6" t="n">
        <v>12908.5163988375</v>
      </c>
      <c r="C93" s="9">
        <f si="2" t="shared"/>
        <v>7.5642003666930267E-3</v>
      </c>
      <c r="E93" s="371">
        <v>82</v>
      </c>
      <c r="F93" s="371" t="n">
        <v>694.1736351725995</v>
      </c>
      <c r="G93" s="9">
        <f si="3" t="shared"/>
        <v>3.5081440708767354E-4</v>
      </c>
    </row>
    <row r="94" spans="1:7" x14ac:dyDescent="0.25">
      <c r="A94">
        <v>83</v>
      </c>
      <c r="B94" s="6" t="n">
        <v>1983.3277993009</v>
      </c>
      <c r="C94" s="9">
        <f si="2" t="shared"/>
        <v>1.1622008605183629E-3</v>
      </c>
      <c r="E94" s="371">
        <v>83</v>
      </c>
      <c r="F94" s="371" t="n">
        <v>560.8744907766903</v>
      </c>
      <c r="G94" s="9">
        <f si="3" t="shared"/>
        <v>3.0767634672015324E-4</v>
      </c>
    </row>
    <row r="95" spans="1:7" x14ac:dyDescent="0.25">
      <c r="A95">
        <v>84</v>
      </c>
      <c r="B95" s="6" t="n">
        <v>5913.244308391099</v>
      </c>
      <c r="C95" s="9">
        <f si="2" t="shared"/>
        <v>3.4650740165543389E-3</v>
      </c>
      <c r="E95" s="371">
        <v>84</v>
      </c>
      <c r="F95" s="371" t="n">
        <v>770.7796719831163</v>
      </c>
      <c r="G95" s="9">
        <f si="3" t="shared"/>
        <v>4.3960252799856358E-4</v>
      </c>
    </row>
    <row r="96" spans="1:7" x14ac:dyDescent="0.25">
      <c r="A96">
        <v>85</v>
      </c>
      <c r="B96" s="6" t="n">
        <v>1408.8821269998</v>
      </c>
      <c r="C96" s="9">
        <f si="2" t="shared"/>
        <v>8.2558416261057537E-4</v>
      </c>
      <c r="E96" s="371">
        <v>85</v>
      </c>
      <c r="F96" s="371" t="n">
        <v>678.5751499964659</v>
      </c>
      <c r="G96" s="9">
        <f si="3" t="shared"/>
        <v>4.398938191238104E-4</v>
      </c>
    </row>
    <row r="97" spans="1:7" x14ac:dyDescent="0.25">
      <c r="A97">
        <v>86</v>
      </c>
      <c r="B97" s="6" t="n">
        <v>1571.3901850464</v>
      </c>
      <c r="C97" s="9">
        <f si="2" t="shared"/>
        <v>9.2081148961597505E-4</v>
      </c>
      <c r="E97" s="371">
        <v>86</v>
      </c>
      <c r="F97" s="371" t="n">
        <v>646.8469358692141</v>
      </c>
      <c r="G97" s="9">
        <f si="3" t="shared"/>
        <v>3.2038943426418177E-4</v>
      </c>
    </row>
    <row r="98" spans="1:7" x14ac:dyDescent="0.25">
      <c r="A98">
        <v>87</v>
      </c>
      <c r="B98" s="6" t="n">
        <v>4902.178756339</v>
      </c>
      <c r="C98" s="9">
        <f si="2" t="shared"/>
        <v>2.8726045039253025E-3</v>
      </c>
      <c r="E98" s="371">
        <v>87</v>
      </c>
      <c r="F98" s="371" t="n">
        <v>582.2592451595053</v>
      </c>
      <c r="G98" s="9">
        <f si="3" t="shared"/>
        <v>3.4059748146654913E-4</v>
      </c>
    </row>
    <row r="99" spans="1:7" x14ac:dyDescent="0.25">
      <c r="A99">
        <v>88</v>
      </c>
      <c r="B99" s="6" t="n">
        <v>5592.4941541029</v>
      </c>
      <c r="C99" s="9">
        <f si="2" t="shared"/>
        <v>3.2771191532904131E-3</v>
      </c>
      <c r="E99" s="371">
        <v>88</v>
      </c>
      <c r="F99" s="371" t="n">
        <v>541.5898112696103</v>
      </c>
      <c r="G99" s="9">
        <f si="3" t="shared"/>
        <v>3.0551195480129766E-4</v>
      </c>
    </row>
    <row r="100" spans="1:7" x14ac:dyDescent="0.25">
      <c r="A100">
        <v>89</v>
      </c>
      <c r="B100" s="6" t="n">
        <v>5038.3174449458</v>
      </c>
      <c r="C100" s="9">
        <f si="2" t="shared"/>
        <v>2.9523797690652531E-3</v>
      </c>
      <c r="E100" s="371">
        <v>89</v>
      </c>
      <c r="F100" s="371" t="n">
        <v>485.58485442220245</v>
      </c>
      <c r="G100" s="9">
        <f si="3" t="shared"/>
        <v>3.1864395684116383E-4</v>
      </c>
    </row>
    <row ht="15.75" r="101" spans="1:7" thickBot="1" x14ac:dyDescent="0.3">
      <c r="A101" s="1">
        <v>90</v>
      </c>
      <c r="B101" s="7" t="n">
        <v>140651.5372882614</v>
      </c>
      <c r="C101" s="9">
        <f si="2" t="shared"/>
        <v>8.2419727957863356E-2</v>
      </c>
      <c r="E101" s="372">
        <v>90</v>
      </c>
      <c r="F101" s="372" t="n">
        <v>34669.86118071318</v>
      </c>
      <c r="G101" s="9">
        <f si="3" t="shared"/>
        <v>2.2116228055554729E-2</v>
      </c>
    </row>
    <row r="102" spans="1:7" x14ac:dyDescent="0.25">
      <c r="B102" s="6">
        <f>SUM(B11:B101)</f>
        <v>1706527.5604909633</v>
      </c>
      <c r="C102" s="9">
        <f si="2" t="shared"/>
        <v>1</v>
      </c>
      <c r="F102" s="6">
        <f>SUM(F11:F101)</f>
        <v>1703376.605053186</v>
      </c>
      <c r="G102" s="9">
        <f si="3" t="shared"/>
        <v>1</v>
      </c>
    </row>
  </sheetData>
  <pageMargins bottom="0.75" footer="0.3" header="0.3" left="0.7" right="0.7" top="0.7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16</vt:i4>
      </vt:variant>
      <vt:variant>
        <vt:lpstr>Named Ranges</vt:lpstr>
      </vt:variant>
      <vt:variant>
        <vt:i4>12</vt:i4>
      </vt:variant>
    </vt:vector>
  </HeadingPairs>
  <TitlesOfParts>
    <vt:vector baseType="lpstr" size="28">
      <vt:lpstr>TLFD_Home</vt:lpstr>
      <vt:lpstr>TDFD_Home</vt:lpstr>
      <vt:lpstr>TLFD_Work</vt:lpstr>
      <vt:lpstr>TDFD_Work</vt:lpstr>
      <vt:lpstr>TLFD_School</vt:lpstr>
      <vt:lpstr>TDFD_School</vt:lpstr>
      <vt:lpstr>TLFD_Escort</vt:lpstr>
      <vt:lpstr>TDFD_Escort</vt:lpstr>
      <vt:lpstr>TLFD_PerBus</vt:lpstr>
      <vt:lpstr>TDFD_PerBus</vt:lpstr>
      <vt:lpstr>TLFD_Shop</vt:lpstr>
      <vt:lpstr>TDFD_Shop</vt:lpstr>
      <vt:lpstr>TLFD_Meal</vt:lpstr>
      <vt:lpstr>TDFD_Meal</vt:lpstr>
      <vt:lpstr>TLFD_SocRec</vt:lpstr>
      <vt:lpstr>TDFD_SocRec</vt:lpstr>
      <vt:lpstr>AVGD</vt:lpstr>
      <vt:lpstr>AVGT</vt:lpstr>
      <vt:lpstr>out1</vt:lpstr>
      <vt:lpstr>out2</vt:lpstr>
      <vt:lpstr>out3</vt:lpstr>
      <vt:lpstr>out4</vt:lpstr>
      <vt:lpstr>out5</vt:lpstr>
      <vt:lpstr>out6</vt:lpstr>
      <vt:lpstr>out7</vt:lpstr>
      <vt:lpstr>out8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2017-07-14T02:43:08Z</dcterms:modified>
</cp:coreProperties>
</file>