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-15" yWindow="-15" windowWidth="25230" windowHeight="6180" activeTab="2"/>
  </bookViews>
  <sheets>
    <sheet name="Vehicles_by_County" sheetId="5" r:id="rId1"/>
    <sheet name="Vehicles_by_Income" sheetId="4" r:id="rId2"/>
    <sheet name="Vehicles_by_HHDrivers" sheetId="1" r:id="rId3"/>
    <sheet name="Coeff" sheetId="6" r:id="rId4"/>
    <sheet name="VehAvailCoefficient" sheetId="7" r:id="rId5"/>
    <sheet name="calibration" sheetId="8" r:id="rId6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2">Vehicles_by_County!$R$6:$V$12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r="R25" i="5" l="1"/>
  <c r="S25" i="5"/>
  <c r="T25" i="5"/>
  <c r="U25" i="5"/>
  <c r="V25" i="5"/>
  <c r="W12" i="5"/>
  <c r="E25" i="5" s="1"/>
  <c r="G12" i="5"/>
  <c r="W25" i="5" l="1"/>
  <c r="AC25" i="5"/>
  <c r="AK25" i="5"/>
  <c r="G25" i="5"/>
  <c r="F25" i="5"/>
  <c r="B25" i="5"/>
  <c r="D25" i="5"/>
  <c r="C25" i="5"/>
  <c r="Z4" i="8"/>
  <c r="S7" i="8" s="1"/>
  <c r="Z5" i="8"/>
  <c r="S8" i="8" s="1"/>
  <c r="Z6" i="8"/>
  <c r="S9" i="8" s="1"/>
  <c r="Z7" i="8"/>
  <c r="S10" i="8" s="1"/>
  <c r="Z8" i="8"/>
  <c r="S11" i="8" s="1"/>
  <c r="Z9" i="8"/>
  <c r="S12" i="8" s="1"/>
  <c r="Z10" i="8"/>
  <c r="S13" i="8" s="1"/>
  <c r="Z11" i="8"/>
  <c r="S14" i="8" s="1"/>
  <c r="Z12" i="8"/>
  <c r="S15" i="8" s="1"/>
  <c r="Z13" i="8"/>
  <c r="S16" i="8" s="1"/>
  <c r="Z14" i="8"/>
  <c r="S17" i="8" s="1"/>
  <c r="Z15" i="8"/>
  <c r="S18" i="8" s="1"/>
  <c r="Z16" i="8"/>
  <c r="S19" i="8" s="1"/>
  <c r="Z17" i="8"/>
  <c r="S20" i="8" s="1"/>
  <c r="Z18" i="8"/>
  <c r="S21" i="8" s="1"/>
  <c r="Z19" i="8"/>
  <c r="S22" i="8" s="1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3" i="8"/>
  <c r="S6" i="8" s="1"/>
  <c r="AI25" i="5" l="1"/>
  <c r="AA25" i="5"/>
  <c r="AL25" i="5"/>
  <c r="AJ25" i="5"/>
  <c r="AB25" i="5"/>
  <c r="AD25" i="5"/>
  <c r="Z25" i="5"/>
  <c r="AH25" i="5"/>
  <c r="AM25" i="5"/>
  <c r="AE25" i="5"/>
  <c r="O6" i="5"/>
  <c r="A39" i="5" l="1"/>
  <c r="A37" i="5"/>
  <c r="A36" i="5"/>
  <c r="A35" i="5"/>
  <c r="A34" i="5"/>
  <c r="A33" i="5"/>
  <c r="A32" i="5"/>
  <c r="A26" i="5"/>
  <c r="A25" i="5"/>
  <c r="A38" i="5" s="1"/>
  <c r="Q38" i="5" s="1"/>
  <c r="A24" i="5"/>
  <c r="A23" i="5"/>
  <c r="A22" i="5"/>
  <c r="A21" i="5"/>
  <c r="A20" i="5"/>
  <c r="A19" i="5"/>
  <c r="AG26" i="5"/>
  <c r="AG24" i="5"/>
  <c r="AG23" i="5"/>
  <c r="AG22" i="5"/>
  <c r="AG21" i="5"/>
  <c r="AG20" i="5"/>
  <c r="AG19" i="5"/>
  <c r="Y26" i="5"/>
  <c r="Y24" i="5"/>
  <c r="Y23" i="5"/>
  <c r="Y22" i="5"/>
  <c r="Y21" i="5"/>
  <c r="Y20" i="5"/>
  <c r="Y19" i="5"/>
  <c r="Q52" i="5"/>
  <c r="Q51" i="5"/>
  <c r="Q50" i="5"/>
  <c r="Q49" i="5"/>
  <c r="Q48" i="5"/>
  <c r="Q47" i="5"/>
  <c r="Q46" i="5"/>
  <c r="Q45" i="5"/>
  <c r="Q39" i="5"/>
  <c r="Q37" i="5"/>
  <c r="Q36" i="5"/>
  <c r="Q35" i="5"/>
  <c r="Q34" i="5"/>
  <c r="Q33" i="5"/>
  <c r="Q32" i="5"/>
  <c r="Q26" i="5"/>
  <c r="Q25" i="5"/>
  <c r="Y25" i="5" s="1"/>
  <c r="AG25" i="5" s="1"/>
  <c r="Q24" i="5"/>
  <c r="Q23" i="5"/>
  <c r="Q22" i="5"/>
  <c r="Q21" i="5"/>
  <c r="Q20" i="5"/>
  <c r="Q19" i="5"/>
  <c r="Q13" i="5"/>
  <c r="Q12" i="5"/>
  <c r="Q11" i="5"/>
  <c r="Q10" i="5"/>
  <c r="Q9" i="5"/>
  <c r="Q8" i="5"/>
  <c r="Q7" i="5"/>
  <c r="Q6" i="5"/>
  <c r="I39" i="5"/>
  <c r="I38" i="5"/>
  <c r="I37" i="5"/>
  <c r="I36" i="5"/>
  <c r="I35" i="5"/>
  <c r="I34" i="5"/>
  <c r="I33" i="5"/>
  <c r="I32" i="5"/>
  <c r="I26" i="5"/>
  <c r="I25" i="5"/>
  <c r="I24" i="5"/>
  <c r="I23" i="5"/>
  <c r="I22" i="5"/>
  <c r="I21" i="5"/>
  <c r="I20" i="5"/>
  <c r="I19" i="5"/>
  <c r="O12" i="5"/>
  <c r="K13" i="5"/>
  <c r="L13" i="5"/>
  <c r="M13" i="5"/>
  <c r="N13" i="5"/>
  <c r="J13" i="5"/>
  <c r="I13" i="5"/>
  <c r="C13" i="5"/>
  <c r="D13" i="5"/>
  <c r="E13" i="5"/>
  <c r="F13" i="5"/>
  <c r="B13" i="5"/>
  <c r="S13" i="5"/>
  <c r="T13" i="5"/>
  <c r="U13" i="5"/>
  <c r="V13" i="5"/>
  <c r="R13" i="5"/>
  <c r="I12" i="5" l="1"/>
  <c r="I11" i="5"/>
  <c r="I10" i="5"/>
  <c r="I9" i="5"/>
  <c r="I8" i="5"/>
  <c r="I7" i="5"/>
  <c r="I6" i="5"/>
  <c r="O7" i="5" l="1"/>
  <c r="O8" i="5"/>
  <c r="O9" i="5"/>
  <c r="O10" i="5"/>
  <c r="O11" i="5"/>
  <c r="O13" i="5" l="1"/>
  <c r="W8" i="5"/>
  <c r="W9" i="5"/>
  <c r="W10" i="5"/>
  <c r="G8" i="5"/>
  <c r="G9" i="5"/>
  <c r="G10" i="5"/>
  <c r="V23" i="5" l="1"/>
  <c r="U23" i="5"/>
  <c r="T23" i="5"/>
  <c r="S23" i="5"/>
  <c r="R23" i="5"/>
  <c r="V22" i="5"/>
  <c r="U22" i="5"/>
  <c r="T22" i="5"/>
  <c r="S22" i="5"/>
  <c r="R22" i="5"/>
  <c r="V21" i="5"/>
  <c r="U21" i="5"/>
  <c r="T21" i="5"/>
  <c r="S21" i="5"/>
  <c r="R21" i="5"/>
  <c r="O23" i="5"/>
  <c r="N23" i="5"/>
  <c r="M23" i="5"/>
  <c r="L23" i="5"/>
  <c r="K23" i="5"/>
  <c r="J23" i="5"/>
  <c r="O22" i="5"/>
  <c r="N22" i="5"/>
  <c r="M22" i="5"/>
  <c r="L22" i="5"/>
  <c r="K22" i="5"/>
  <c r="J22" i="5"/>
  <c r="O21" i="5"/>
  <c r="N21" i="5"/>
  <c r="M21" i="5"/>
  <c r="L21" i="5"/>
  <c r="K21" i="5"/>
  <c r="J21" i="5"/>
  <c r="G23" i="5"/>
  <c r="AM23" i="5" s="1"/>
  <c r="G22" i="5"/>
  <c r="AM22" i="5" s="1"/>
  <c r="G21" i="5"/>
  <c r="AM21" i="5" s="1"/>
  <c r="F23" i="5"/>
  <c r="AL23" i="5" s="1"/>
  <c r="E23" i="5"/>
  <c r="AK23" i="5" s="1"/>
  <c r="D23" i="5"/>
  <c r="AJ23" i="5" s="1"/>
  <c r="C23" i="5"/>
  <c r="AI23" i="5" s="1"/>
  <c r="B23" i="5"/>
  <c r="AH23" i="5" s="1"/>
  <c r="F22" i="5"/>
  <c r="AL22" i="5" s="1"/>
  <c r="E22" i="5"/>
  <c r="AK22" i="5" s="1"/>
  <c r="D22" i="5"/>
  <c r="AJ22" i="5" s="1"/>
  <c r="C22" i="5"/>
  <c r="AI22" i="5" s="1"/>
  <c r="B22" i="5"/>
  <c r="AH22" i="5" s="1"/>
  <c r="F21" i="5"/>
  <c r="AL21" i="5" s="1"/>
  <c r="E21" i="5"/>
  <c r="AK21" i="5" s="1"/>
  <c r="D21" i="5"/>
  <c r="AJ21" i="5" s="1"/>
  <c r="C21" i="5"/>
  <c r="AI21" i="5" s="1"/>
  <c r="B21" i="5"/>
  <c r="AH21" i="5" s="1"/>
  <c r="R19" i="5"/>
  <c r="S19" i="5"/>
  <c r="T19" i="5"/>
  <c r="U19" i="5"/>
  <c r="V19" i="5"/>
  <c r="R20" i="5"/>
  <c r="S20" i="5"/>
  <c r="T20" i="5"/>
  <c r="U20" i="5"/>
  <c r="V20" i="5"/>
  <c r="R24" i="5"/>
  <c r="S24" i="5"/>
  <c r="T24" i="5"/>
  <c r="U24" i="5"/>
  <c r="V24" i="5"/>
  <c r="G6" i="4"/>
  <c r="W6" i="4"/>
  <c r="G7" i="4"/>
  <c r="W7" i="4"/>
  <c r="G8" i="4"/>
  <c r="W8" i="4"/>
  <c r="G9" i="4"/>
  <c r="W9" i="4"/>
  <c r="B10" i="4"/>
  <c r="C10" i="4"/>
  <c r="D10" i="4"/>
  <c r="E10" i="4"/>
  <c r="F10" i="4"/>
  <c r="R10" i="4"/>
  <c r="S10" i="4"/>
  <c r="T10" i="4"/>
  <c r="U10" i="4"/>
  <c r="V10" i="4"/>
  <c r="R17" i="1"/>
  <c r="J7" i="8" s="1"/>
  <c r="S17" i="1"/>
  <c r="K7" i="8" s="1"/>
  <c r="T17" i="1"/>
  <c r="L7" i="8" s="1"/>
  <c r="U17" i="1"/>
  <c r="M7" i="8" s="1"/>
  <c r="V17" i="1"/>
  <c r="N7" i="8" s="1"/>
  <c r="R18" i="1"/>
  <c r="J8" i="8" s="1"/>
  <c r="S18" i="1"/>
  <c r="K8" i="8" s="1"/>
  <c r="T18" i="1"/>
  <c r="L8" i="8" s="1"/>
  <c r="U18" i="1"/>
  <c r="M8" i="8" s="1"/>
  <c r="V18" i="1"/>
  <c r="N8" i="8" s="1"/>
  <c r="R19" i="1"/>
  <c r="J9" i="8" s="1"/>
  <c r="S19" i="1"/>
  <c r="K9" i="8" s="1"/>
  <c r="T19" i="1"/>
  <c r="L9" i="8" s="1"/>
  <c r="U19" i="1"/>
  <c r="M9" i="8" s="1"/>
  <c r="V19" i="1"/>
  <c r="N9" i="8" s="1"/>
  <c r="S16" i="1"/>
  <c r="K6" i="8" s="1"/>
  <c r="T16" i="1"/>
  <c r="L6" i="8" s="1"/>
  <c r="U16" i="1"/>
  <c r="M6" i="8" s="1"/>
  <c r="V16" i="1"/>
  <c r="N6" i="8" s="1"/>
  <c r="R16" i="1"/>
  <c r="R17" i="4"/>
  <c r="S17" i="4"/>
  <c r="T17" i="4"/>
  <c r="U17" i="4"/>
  <c r="V17" i="4"/>
  <c r="R18" i="4"/>
  <c r="S18" i="4"/>
  <c r="T18" i="4"/>
  <c r="U18" i="4"/>
  <c r="V18" i="4"/>
  <c r="R19" i="4"/>
  <c r="S19" i="4"/>
  <c r="T19" i="4"/>
  <c r="U19" i="4"/>
  <c r="V19" i="4"/>
  <c r="S16" i="4"/>
  <c r="T16" i="4"/>
  <c r="U16" i="4"/>
  <c r="V16" i="4"/>
  <c r="R16" i="4"/>
  <c r="J6" i="8" l="1"/>
  <c r="Z34" i="1"/>
  <c r="AD21" i="5"/>
  <c r="Z22" i="5"/>
  <c r="AA22" i="5"/>
  <c r="Z21" i="5"/>
  <c r="AB22" i="5"/>
  <c r="AC22" i="5"/>
  <c r="AD22" i="5"/>
  <c r="Z23" i="5"/>
  <c r="AA21" i="5"/>
  <c r="AA23" i="5"/>
  <c r="AB23" i="5"/>
  <c r="AC23" i="5"/>
  <c r="AD23" i="5"/>
  <c r="AB21" i="5"/>
  <c r="AC21" i="5"/>
  <c r="V26" i="5"/>
  <c r="U26" i="5"/>
  <c r="T26" i="5"/>
  <c r="S26" i="5"/>
  <c r="R26" i="5"/>
  <c r="W22" i="5"/>
  <c r="AE22" i="5" s="1"/>
  <c r="W21" i="5"/>
  <c r="AE21" i="5" s="1"/>
  <c r="W23" i="5"/>
  <c r="AE23" i="5" s="1"/>
  <c r="G10" i="4"/>
  <c r="W24" i="5"/>
  <c r="W19" i="1"/>
  <c r="W10" i="4"/>
  <c r="W20" i="5"/>
  <c r="W19" i="5"/>
  <c r="V20" i="4"/>
  <c r="R20" i="4"/>
  <c r="W19" i="4"/>
  <c r="T20" i="4"/>
  <c r="W16" i="4"/>
  <c r="W17" i="1"/>
  <c r="W17" i="4"/>
  <c r="R20" i="1"/>
  <c r="S20" i="1"/>
  <c r="T20" i="1"/>
  <c r="U20" i="1"/>
  <c r="W18" i="1"/>
  <c r="V20" i="1"/>
  <c r="W16" i="1"/>
  <c r="W18" i="4"/>
  <c r="U20" i="4"/>
  <c r="S20" i="4"/>
  <c r="W26" i="5" l="1"/>
  <c r="W20" i="4"/>
  <c r="W20" i="1"/>
  <c r="V10" i="1"/>
  <c r="U10" i="1"/>
  <c r="T10" i="1"/>
  <c r="S10" i="1"/>
  <c r="R10" i="1"/>
  <c r="W9" i="1"/>
  <c r="W8" i="1"/>
  <c r="W7" i="1"/>
  <c r="W6" i="1"/>
  <c r="F10" i="1"/>
  <c r="E10" i="1"/>
  <c r="D10" i="1"/>
  <c r="C10" i="1"/>
  <c r="B10" i="1"/>
  <c r="G9" i="1"/>
  <c r="G8" i="1"/>
  <c r="G7" i="1"/>
  <c r="G6" i="1"/>
  <c r="W11" i="5"/>
  <c r="W7" i="5"/>
  <c r="W6" i="5"/>
  <c r="G7" i="5"/>
  <c r="G11" i="5"/>
  <c r="G6" i="5"/>
  <c r="G16" i="1" l="1"/>
  <c r="W13" i="5"/>
  <c r="G13" i="5"/>
  <c r="B20" i="5"/>
  <c r="C24" i="5"/>
  <c r="G24" i="5"/>
  <c r="AE24" i="5" s="1"/>
  <c r="M24" i="5"/>
  <c r="B24" i="5"/>
  <c r="F24" i="5"/>
  <c r="L24" i="5"/>
  <c r="E24" i="5"/>
  <c r="K24" i="5"/>
  <c r="O24" i="5"/>
  <c r="J24" i="5"/>
  <c r="D24" i="5"/>
  <c r="N24" i="5"/>
  <c r="C20" i="5"/>
  <c r="G20" i="5"/>
  <c r="AE20" i="5" s="1"/>
  <c r="M20" i="5"/>
  <c r="F20" i="5"/>
  <c r="L20" i="5"/>
  <c r="E20" i="5"/>
  <c r="K20" i="5"/>
  <c r="O20" i="5"/>
  <c r="D20" i="5"/>
  <c r="N20" i="5"/>
  <c r="J20" i="5"/>
  <c r="E19" i="5"/>
  <c r="K19" i="5"/>
  <c r="O19" i="5"/>
  <c r="D19" i="5"/>
  <c r="J19" i="5"/>
  <c r="N19" i="5"/>
  <c r="C19" i="5"/>
  <c r="G19" i="5"/>
  <c r="AE19" i="5" s="1"/>
  <c r="M19" i="5"/>
  <c r="F19" i="5"/>
  <c r="L19" i="5"/>
  <c r="B19" i="5"/>
  <c r="L19" i="1"/>
  <c r="F19" i="1"/>
  <c r="F9" i="8" s="1"/>
  <c r="B19" i="1"/>
  <c r="B9" i="8" s="1"/>
  <c r="M19" i="1"/>
  <c r="G19" i="1"/>
  <c r="N19" i="1"/>
  <c r="J19" i="1"/>
  <c r="D19" i="1"/>
  <c r="D9" i="8" s="1"/>
  <c r="C19" i="1"/>
  <c r="C9" i="8" s="1"/>
  <c r="O19" i="1"/>
  <c r="K19" i="1"/>
  <c r="E19" i="1"/>
  <c r="E9" i="8" s="1"/>
  <c r="G18" i="4"/>
  <c r="C18" i="4"/>
  <c r="O18" i="4"/>
  <c r="K18" i="4"/>
  <c r="L18" i="4"/>
  <c r="E18" i="4"/>
  <c r="M18" i="4"/>
  <c r="D18" i="4"/>
  <c r="F18" i="4"/>
  <c r="B18" i="4"/>
  <c r="N18" i="4"/>
  <c r="J18" i="4"/>
  <c r="N18" i="1"/>
  <c r="J18" i="1"/>
  <c r="D18" i="1"/>
  <c r="D8" i="8" s="1"/>
  <c r="O18" i="1"/>
  <c r="K18" i="1"/>
  <c r="L18" i="1"/>
  <c r="F18" i="1"/>
  <c r="F8" i="8" s="1"/>
  <c r="B18" i="1"/>
  <c r="B8" i="8" s="1"/>
  <c r="M18" i="1"/>
  <c r="G18" i="1"/>
  <c r="C18" i="1"/>
  <c r="C8" i="8" s="1"/>
  <c r="E18" i="1"/>
  <c r="E8" i="8" s="1"/>
  <c r="W10" i="1"/>
  <c r="W28" i="1" s="1"/>
  <c r="E17" i="4"/>
  <c r="M17" i="4"/>
  <c r="F17" i="4"/>
  <c r="G17" i="4"/>
  <c r="C17" i="4"/>
  <c r="O17" i="4"/>
  <c r="K17" i="4"/>
  <c r="J17" i="4"/>
  <c r="D17" i="4"/>
  <c r="L17" i="4"/>
  <c r="B17" i="4"/>
  <c r="N17" i="4"/>
  <c r="G10" i="1"/>
  <c r="L17" i="1"/>
  <c r="F17" i="1"/>
  <c r="F7" i="8" s="1"/>
  <c r="B17" i="1"/>
  <c r="B7" i="8" s="1"/>
  <c r="M17" i="1"/>
  <c r="G17" i="1"/>
  <c r="N17" i="1"/>
  <c r="J17" i="1"/>
  <c r="D17" i="1"/>
  <c r="D7" i="8" s="1"/>
  <c r="C17" i="1"/>
  <c r="C7" i="8" s="1"/>
  <c r="O17" i="1"/>
  <c r="K17" i="1"/>
  <c r="E17" i="1"/>
  <c r="E7" i="8" s="1"/>
  <c r="G16" i="4"/>
  <c r="C16" i="4"/>
  <c r="O16" i="4"/>
  <c r="K16" i="4"/>
  <c r="E16" i="4"/>
  <c r="M16" i="4"/>
  <c r="D16" i="4"/>
  <c r="F16" i="4"/>
  <c r="B16" i="4"/>
  <c r="N16" i="4"/>
  <c r="J16" i="4"/>
  <c r="L16" i="4"/>
  <c r="N16" i="1"/>
  <c r="J16" i="1"/>
  <c r="D16" i="1"/>
  <c r="K16" i="1"/>
  <c r="E16" i="1"/>
  <c r="L16" i="1"/>
  <c r="F16" i="1"/>
  <c r="B16" i="1"/>
  <c r="O16" i="1"/>
  <c r="M16" i="1"/>
  <c r="C16" i="1"/>
  <c r="E19" i="4"/>
  <c r="M19" i="4"/>
  <c r="F19" i="4"/>
  <c r="N19" i="4"/>
  <c r="G19" i="4"/>
  <c r="C19" i="4"/>
  <c r="O19" i="4"/>
  <c r="K19" i="4"/>
  <c r="J19" i="4"/>
  <c r="D19" i="4"/>
  <c r="L19" i="4"/>
  <c r="B19" i="4"/>
  <c r="W28" i="4"/>
  <c r="W37" i="5" l="1"/>
  <c r="R38" i="5"/>
  <c r="S38" i="5"/>
  <c r="U38" i="5"/>
  <c r="T38" i="5"/>
  <c r="V38" i="5"/>
  <c r="W38" i="5"/>
  <c r="Y34" i="1"/>
  <c r="E6" i="8"/>
  <c r="E10" i="8" s="1"/>
  <c r="E20" i="1"/>
  <c r="F6" i="8"/>
  <c r="F10" i="8" s="1"/>
  <c r="F20" i="1"/>
  <c r="C6" i="8"/>
  <c r="C10" i="8" s="1"/>
  <c r="C20" i="1"/>
  <c r="D6" i="8"/>
  <c r="D10" i="8" s="1"/>
  <c r="D20" i="1"/>
  <c r="B6" i="8"/>
  <c r="B10" i="8" s="1"/>
  <c r="B20" i="1"/>
  <c r="G20" i="1"/>
  <c r="G29" i="1" s="1"/>
  <c r="K10" i="8"/>
  <c r="J10" i="8"/>
  <c r="O6" i="8"/>
  <c r="G7" i="8"/>
  <c r="L10" i="8"/>
  <c r="O7" i="8"/>
  <c r="O9" i="8"/>
  <c r="G9" i="8"/>
  <c r="M10" i="8"/>
  <c r="N10" i="8"/>
  <c r="G8" i="8"/>
  <c r="O8" i="8"/>
  <c r="W32" i="5"/>
  <c r="AH24" i="5"/>
  <c r="Z24" i="5"/>
  <c r="AK24" i="5"/>
  <c r="AC24" i="5"/>
  <c r="AL20" i="5"/>
  <c r="AD20" i="5"/>
  <c r="AL19" i="5"/>
  <c r="AD19" i="5"/>
  <c r="AI24" i="5"/>
  <c r="AA24" i="5"/>
  <c r="AH20" i="5"/>
  <c r="Z20" i="5"/>
  <c r="AI19" i="5"/>
  <c r="AA19" i="5"/>
  <c r="AJ20" i="5"/>
  <c r="AB20" i="5"/>
  <c r="AJ24" i="5"/>
  <c r="AB24" i="5"/>
  <c r="W33" i="5"/>
  <c r="AK20" i="5"/>
  <c r="AC20" i="5"/>
  <c r="AH19" i="5"/>
  <c r="Z19" i="5"/>
  <c r="AJ19" i="5"/>
  <c r="AB19" i="5"/>
  <c r="AM24" i="5"/>
  <c r="AL24" i="5"/>
  <c r="AD24" i="5"/>
  <c r="AI20" i="5"/>
  <c r="AA20" i="5"/>
  <c r="AM20" i="5"/>
  <c r="AK19" i="5"/>
  <c r="AC19" i="5"/>
  <c r="AM19" i="5"/>
  <c r="S39" i="5"/>
  <c r="W39" i="5"/>
  <c r="U36" i="5"/>
  <c r="S35" i="5"/>
  <c r="R32" i="5"/>
  <c r="T33" i="5"/>
  <c r="V39" i="5"/>
  <c r="T35" i="5"/>
  <c r="D26" i="5"/>
  <c r="U37" i="5"/>
  <c r="U35" i="5"/>
  <c r="T39" i="5"/>
  <c r="S37" i="5"/>
  <c r="V35" i="5"/>
  <c r="S34" i="5"/>
  <c r="T34" i="5"/>
  <c r="G26" i="5"/>
  <c r="R37" i="5"/>
  <c r="S36" i="5"/>
  <c r="U39" i="5"/>
  <c r="K26" i="5"/>
  <c r="R35" i="5"/>
  <c r="T37" i="5"/>
  <c r="R36" i="5"/>
  <c r="U34" i="5"/>
  <c r="S33" i="5"/>
  <c r="E26" i="5"/>
  <c r="F26" i="5"/>
  <c r="R39" i="5"/>
  <c r="T36" i="5"/>
  <c r="V34" i="5"/>
  <c r="V33" i="5"/>
  <c r="B26" i="5"/>
  <c r="J26" i="5"/>
  <c r="M26" i="5"/>
  <c r="V37" i="5"/>
  <c r="U32" i="5"/>
  <c r="C26" i="5"/>
  <c r="U33" i="5"/>
  <c r="R33" i="5"/>
  <c r="N26" i="5"/>
  <c r="O26" i="5"/>
  <c r="M37" i="5" s="1"/>
  <c r="L26" i="5"/>
  <c r="R34" i="5"/>
  <c r="S32" i="5"/>
  <c r="T32" i="5"/>
  <c r="V32" i="5"/>
  <c r="V36" i="5"/>
  <c r="W36" i="5"/>
  <c r="W34" i="5"/>
  <c r="W35" i="5"/>
  <c r="S29" i="1"/>
  <c r="V29" i="1"/>
  <c r="K25" i="5"/>
  <c r="O25" i="5"/>
  <c r="J25" i="5"/>
  <c r="N25" i="5"/>
  <c r="M25" i="5"/>
  <c r="L25" i="5"/>
  <c r="W25" i="1"/>
  <c r="W26" i="1"/>
  <c r="R29" i="1"/>
  <c r="R29" i="4"/>
  <c r="R25" i="4"/>
  <c r="W27" i="1"/>
  <c r="U29" i="4"/>
  <c r="T29" i="1"/>
  <c r="AC19" i="4"/>
  <c r="AK19" i="4" s="1"/>
  <c r="G20" i="4"/>
  <c r="G29" i="4" s="1"/>
  <c r="C20" i="4"/>
  <c r="O20" i="4"/>
  <c r="L28" i="4" s="1"/>
  <c r="K20" i="4"/>
  <c r="E20" i="4"/>
  <c r="M20" i="4"/>
  <c r="D20" i="4"/>
  <c r="F20" i="4"/>
  <c r="B20" i="4"/>
  <c r="N20" i="4"/>
  <c r="J20" i="4"/>
  <c r="L20" i="4"/>
  <c r="V28" i="4"/>
  <c r="R28" i="4"/>
  <c r="T27" i="4"/>
  <c r="V26" i="4"/>
  <c r="R26" i="4"/>
  <c r="T25" i="4"/>
  <c r="S28" i="4"/>
  <c r="U27" i="4"/>
  <c r="S26" i="4"/>
  <c r="U25" i="4"/>
  <c r="T28" i="4"/>
  <c r="V27" i="4"/>
  <c r="R27" i="4"/>
  <c r="T26" i="4"/>
  <c r="V25" i="4"/>
  <c r="W29" i="4"/>
  <c r="U28" i="4"/>
  <c r="S27" i="4"/>
  <c r="U26" i="4"/>
  <c r="S25" i="4"/>
  <c r="AD16" i="4"/>
  <c r="AL16" i="4" s="1"/>
  <c r="AC16" i="4"/>
  <c r="AK16" i="4" s="1"/>
  <c r="AA17" i="1"/>
  <c r="AI17" i="1" s="1"/>
  <c r="Z17" i="1"/>
  <c r="AH17" i="1" s="1"/>
  <c r="AB17" i="4"/>
  <c r="AJ17" i="4" s="1"/>
  <c r="AE17" i="4"/>
  <c r="AM17" i="4" s="1"/>
  <c r="AC17" i="4"/>
  <c r="AK17" i="4" s="1"/>
  <c r="AC18" i="1"/>
  <c r="AK18" i="1" s="1"/>
  <c r="AA18" i="1"/>
  <c r="AI18" i="1" s="1"/>
  <c r="AD18" i="1"/>
  <c r="AL18" i="1" s="1"/>
  <c r="Z18" i="4"/>
  <c r="AH18" i="4" s="1"/>
  <c r="AA18" i="4"/>
  <c r="AI18" i="4" s="1"/>
  <c r="AB19" i="1"/>
  <c r="AJ19" i="1" s="1"/>
  <c r="AB19" i="4"/>
  <c r="AJ19" i="4" s="1"/>
  <c r="AE19" i="4"/>
  <c r="AM19" i="4" s="1"/>
  <c r="AA16" i="1"/>
  <c r="AI16" i="1" s="1"/>
  <c r="Z16" i="4"/>
  <c r="AH16" i="4" s="1"/>
  <c r="AE16" i="4"/>
  <c r="AM16" i="4" s="1"/>
  <c r="AC17" i="1"/>
  <c r="AK17" i="1" s="1"/>
  <c r="AA17" i="4"/>
  <c r="AI17" i="4" s="1"/>
  <c r="N20" i="1"/>
  <c r="J20" i="1"/>
  <c r="R25" i="1"/>
  <c r="O20" i="1"/>
  <c r="K27" i="1" s="1"/>
  <c r="K20" i="1"/>
  <c r="L20" i="1"/>
  <c r="M20" i="1"/>
  <c r="T28" i="1"/>
  <c r="V27" i="1"/>
  <c r="R27" i="1"/>
  <c r="T26" i="1"/>
  <c r="V25" i="1"/>
  <c r="S25" i="1"/>
  <c r="W29" i="1"/>
  <c r="U28" i="1"/>
  <c r="S27" i="1"/>
  <c r="U26" i="1"/>
  <c r="V28" i="1"/>
  <c r="R28" i="1"/>
  <c r="T27" i="1"/>
  <c r="V26" i="1"/>
  <c r="R26" i="1"/>
  <c r="T25" i="1"/>
  <c r="S28" i="1"/>
  <c r="U27" i="1"/>
  <c r="S26" i="1"/>
  <c r="U25" i="1"/>
  <c r="AB18" i="1"/>
  <c r="AJ18" i="1" s="1"/>
  <c r="Z18" i="1"/>
  <c r="AH18" i="1" s="1"/>
  <c r="AB18" i="4"/>
  <c r="AJ18" i="4" s="1"/>
  <c r="AE19" i="1"/>
  <c r="AM19" i="1" s="1"/>
  <c r="AD19" i="1"/>
  <c r="AL19" i="1" s="1"/>
  <c r="W27" i="4"/>
  <c r="AD19" i="4"/>
  <c r="AL19" i="4" s="1"/>
  <c r="AE16" i="1"/>
  <c r="AM16" i="1" s="1"/>
  <c r="AD16" i="1"/>
  <c r="AL16" i="1" s="1"/>
  <c r="AB16" i="4"/>
  <c r="AJ16" i="4" s="1"/>
  <c r="AA16" i="4"/>
  <c r="AI16" i="4" s="1"/>
  <c r="AB17" i="1"/>
  <c r="AJ17" i="1" s="1"/>
  <c r="AD17" i="4"/>
  <c r="AL17" i="4" s="1"/>
  <c r="Z17" i="4"/>
  <c r="AH17" i="4" s="1"/>
  <c r="AA19" i="1"/>
  <c r="AI19" i="1" s="1"/>
  <c r="Z19" i="1"/>
  <c r="AH19" i="1" s="1"/>
  <c r="U29" i="1"/>
  <c r="AA19" i="4"/>
  <c r="AI19" i="4" s="1"/>
  <c r="Z19" i="4"/>
  <c r="AH19" i="4" s="1"/>
  <c r="AC16" i="1"/>
  <c r="AK16" i="1" s="1"/>
  <c r="AB16" i="1"/>
  <c r="AJ16" i="1" s="1"/>
  <c r="Z16" i="1"/>
  <c r="AH16" i="1" s="1"/>
  <c r="AE17" i="1"/>
  <c r="AM17" i="1" s="1"/>
  <c r="AD17" i="1"/>
  <c r="AL17" i="1" s="1"/>
  <c r="AE18" i="1"/>
  <c r="AM18" i="1" s="1"/>
  <c r="AD18" i="4"/>
  <c r="AL18" i="4" s="1"/>
  <c r="AC18" i="4"/>
  <c r="AK18" i="4" s="1"/>
  <c r="AE18" i="4"/>
  <c r="AM18" i="4" s="1"/>
  <c r="AC19" i="1"/>
  <c r="AK19" i="1" s="1"/>
  <c r="V29" i="4"/>
  <c r="W25" i="4"/>
  <c r="S29" i="4"/>
  <c r="W26" i="4"/>
  <c r="T29" i="4"/>
  <c r="AM26" i="5" l="1"/>
  <c r="E38" i="5"/>
  <c r="C38" i="5"/>
  <c r="F38" i="5"/>
  <c r="D38" i="5"/>
  <c r="B38" i="5"/>
  <c r="G38" i="5"/>
  <c r="G6" i="8"/>
  <c r="Z35" i="1"/>
  <c r="W38" i="1"/>
  <c r="G10" i="8"/>
  <c r="G19" i="8" s="1"/>
  <c r="O10" i="8"/>
  <c r="J19" i="8" s="1"/>
  <c r="AL26" i="5"/>
  <c r="AD26" i="5"/>
  <c r="AI26" i="5"/>
  <c r="AA26" i="5"/>
  <c r="AJ26" i="5"/>
  <c r="AB26" i="5"/>
  <c r="AK26" i="5"/>
  <c r="AC26" i="5"/>
  <c r="E32" i="5"/>
  <c r="AE26" i="5"/>
  <c r="AH26" i="5"/>
  <c r="Z26" i="5"/>
  <c r="N38" i="5"/>
  <c r="V51" i="5" s="1"/>
  <c r="J38" i="5"/>
  <c r="R51" i="5" s="1"/>
  <c r="O38" i="5"/>
  <c r="W51" i="5" s="1"/>
  <c r="K38" i="5"/>
  <c r="S51" i="5" s="1"/>
  <c r="N33" i="5"/>
  <c r="V46" i="5" s="1"/>
  <c r="J32" i="5"/>
  <c r="R45" i="5" s="1"/>
  <c r="F33" i="5"/>
  <c r="K32" i="5"/>
  <c r="S45" i="5" s="1"/>
  <c r="C32" i="5"/>
  <c r="D37" i="5"/>
  <c r="G33" i="5"/>
  <c r="L38" i="5"/>
  <c r="T51" i="5" s="1"/>
  <c r="O37" i="5"/>
  <c r="W50" i="5" s="1"/>
  <c r="O33" i="5"/>
  <c r="W46" i="5" s="1"/>
  <c r="N32" i="5"/>
  <c r="V45" i="5" s="1"/>
  <c r="M38" i="5"/>
  <c r="U51" i="5" s="1"/>
  <c r="K39" i="5"/>
  <c r="S52" i="5" s="1"/>
  <c r="D33" i="5"/>
  <c r="B33" i="5"/>
  <c r="C37" i="5"/>
  <c r="F32" i="5"/>
  <c r="J37" i="5"/>
  <c r="R50" i="5" s="1"/>
  <c r="D39" i="5"/>
  <c r="M33" i="5"/>
  <c r="U46" i="5" s="1"/>
  <c r="M39" i="5"/>
  <c r="U52" i="5" s="1"/>
  <c r="G37" i="5"/>
  <c r="J39" i="5"/>
  <c r="R52" i="5" s="1"/>
  <c r="L32" i="5"/>
  <c r="T45" i="5" s="1"/>
  <c r="G32" i="5"/>
  <c r="B32" i="5"/>
  <c r="G39" i="5"/>
  <c r="B35" i="5"/>
  <c r="F36" i="5"/>
  <c r="G36" i="5"/>
  <c r="B36" i="5"/>
  <c r="C35" i="5"/>
  <c r="E35" i="5"/>
  <c r="B34" i="5"/>
  <c r="D35" i="5"/>
  <c r="C34" i="5"/>
  <c r="F34" i="5"/>
  <c r="C36" i="5"/>
  <c r="E34" i="5"/>
  <c r="F35" i="5"/>
  <c r="G34" i="5"/>
  <c r="D34" i="5"/>
  <c r="D36" i="5"/>
  <c r="G35" i="5"/>
  <c r="E36" i="5"/>
  <c r="N39" i="5"/>
  <c r="V52" i="5" s="1"/>
  <c r="B39" i="5"/>
  <c r="B37" i="5"/>
  <c r="C33" i="5"/>
  <c r="F37" i="5"/>
  <c r="O39" i="5"/>
  <c r="W52" i="5" s="1"/>
  <c r="J34" i="5"/>
  <c r="R47" i="5" s="1"/>
  <c r="K35" i="5"/>
  <c r="S48" i="5" s="1"/>
  <c r="O36" i="5"/>
  <c r="W49" i="5" s="1"/>
  <c r="L34" i="5"/>
  <c r="T47" i="5" s="1"/>
  <c r="O34" i="5"/>
  <c r="W47" i="5" s="1"/>
  <c r="L35" i="5"/>
  <c r="T48" i="5" s="1"/>
  <c r="L36" i="5"/>
  <c r="T49" i="5" s="1"/>
  <c r="J35" i="5"/>
  <c r="R48" i="5" s="1"/>
  <c r="K34" i="5"/>
  <c r="S47" i="5" s="1"/>
  <c r="O35" i="5"/>
  <c r="W48" i="5" s="1"/>
  <c r="M35" i="5"/>
  <c r="U48" i="5" s="1"/>
  <c r="K36" i="5"/>
  <c r="S49" i="5" s="1"/>
  <c r="N36" i="5"/>
  <c r="V49" i="5" s="1"/>
  <c r="N35" i="5"/>
  <c r="V48" i="5" s="1"/>
  <c r="J36" i="5"/>
  <c r="R49" i="5" s="1"/>
  <c r="N34" i="5"/>
  <c r="V47" i="5" s="1"/>
  <c r="M34" i="5"/>
  <c r="U47" i="5" s="1"/>
  <c r="M36" i="5"/>
  <c r="U49" i="5" s="1"/>
  <c r="O32" i="5"/>
  <c r="W45" i="5" s="1"/>
  <c r="K33" i="5"/>
  <c r="S46" i="5" s="1"/>
  <c r="L37" i="5"/>
  <c r="T50" i="5" s="1"/>
  <c r="F39" i="5"/>
  <c r="L33" i="5"/>
  <c r="T46" i="5" s="1"/>
  <c r="E33" i="5"/>
  <c r="L39" i="5"/>
  <c r="T52" i="5" s="1"/>
  <c r="E39" i="5"/>
  <c r="D32" i="5"/>
  <c r="E37" i="5"/>
  <c r="C39" i="5"/>
  <c r="M32" i="5"/>
  <c r="U45" i="5" s="1"/>
  <c r="N37" i="5"/>
  <c r="V50" i="5" s="1"/>
  <c r="K37" i="5"/>
  <c r="S50" i="5" s="1"/>
  <c r="J33" i="5"/>
  <c r="R46" i="5" s="1"/>
  <c r="E25" i="1"/>
  <c r="U34" i="1" s="1"/>
  <c r="D26" i="1"/>
  <c r="T35" i="1" s="1"/>
  <c r="E28" i="1"/>
  <c r="U37" i="1" s="1"/>
  <c r="B28" i="1"/>
  <c r="R37" i="1" s="1"/>
  <c r="C27" i="4"/>
  <c r="U50" i="5"/>
  <c r="C28" i="4"/>
  <c r="G27" i="4"/>
  <c r="F28" i="4"/>
  <c r="K27" i="4"/>
  <c r="S36" i="4" s="1"/>
  <c r="M25" i="1"/>
  <c r="N28" i="1"/>
  <c r="O26" i="1"/>
  <c r="J27" i="1"/>
  <c r="J25" i="4"/>
  <c r="R34" i="4" s="1"/>
  <c r="B25" i="4"/>
  <c r="J26" i="4"/>
  <c r="R35" i="4" s="1"/>
  <c r="L26" i="4"/>
  <c r="T35" i="4" s="1"/>
  <c r="M25" i="4"/>
  <c r="U34" i="4" s="1"/>
  <c r="O27" i="4"/>
  <c r="W36" i="4" s="1"/>
  <c r="N27" i="4"/>
  <c r="V36" i="4" s="1"/>
  <c r="J28" i="4"/>
  <c r="R37" i="4" s="1"/>
  <c r="K28" i="4"/>
  <c r="S37" i="4" s="1"/>
  <c r="N26" i="4"/>
  <c r="V35" i="4" s="1"/>
  <c r="L25" i="4"/>
  <c r="T34" i="4" s="1"/>
  <c r="K26" i="4"/>
  <c r="S35" i="4" s="1"/>
  <c r="O28" i="4"/>
  <c r="W37" i="4" s="1"/>
  <c r="M26" i="4"/>
  <c r="U35" i="4" s="1"/>
  <c r="N28" i="4"/>
  <c r="V37" i="4" s="1"/>
  <c r="O25" i="4"/>
  <c r="W34" i="4" s="1"/>
  <c r="J27" i="4"/>
  <c r="R36" i="4" s="1"/>
  <c r="O26" i="4"/>
  <c r="W35" i="4" s="1"/>
  <c r="N25" i="4"/>
  <c r="V34" i="4" s="1"/>
  <c r="M27" i="4"/>
  <c r="U36" i="4" s="1"/>
  <c r="K25" i="4"/>
  <c r="S34" i="4" s="1"/>
  <c r="L27" i="4"/>
  <c r="T36" i="4" s="1"/>
  <c r="G28" i="4"/>
  <c r="G26" i="4"/>
  <c r="F26" i="4"/>
  <c r="E29" i="4"/>
  <c r="E25" i="4"/>
  <c r="C26" i="4"/>
  <c r="G25" i="4"/>
  <c r="N26" i="1"/>
  <c r="B27" i="4"/>
  <c r="L26" i="1"/>
  <c r="N25" i="1"/>
  <c r="O28" i="1"/>
  <c r="D27" i="4"/>
  <c r="D29" i="4"/>
  <c r="E26" i="4"/>
  <c r="J25" i="1"/>
  <c r="E27" i="4"/>
  <c r="F25" i="4"/>
  <c r="K28" i="1"/>
  <c r="O25" i="1"/>
  <c r="F27" i="4"/>
  <c r="B26" i="4"/>
  <c r="D25" i="4"/>
  <c r="D28" i="4"/>
  <c r="B29" i="4"/>
  <c r="D26" i="4"/>
  <c r="E28" i="4"/>
  <c r="M28" i="1"/>
  <c r="O27" i="1"/>
  <c r="L25" i="1"/>
  <c r="B28" i="4"/>
  <c r="J28" i="1"/>
  <c r="L27" i="1"/>
  <c r="C25" i="4"/>
  <c r="E27" i="1"/>
  <c r="U36" i="1" s="1"/>
  <c r="F26" i="1"/>
  <c r="V35" i="1" s="1"/>
  <c r="D27" i="1"/>
  <c r="T36" i="1" s="1"/>
  <c r="G26" i="1"/>
  <c r="W35" i="1" s="1"/>
  <c r="E26" i="1"/>
  <c r="U35" i="1" s="1"/>
  <c r="B25" i="1"/>
  <c r="R34" i="1" s="1"/>
  <c r="C27" i="1"/>
  <c r="S36" i="1" s="1"/>
  <c r="G27" i="1"/>
  <c r="W36" i="1" s="1"/>
  <c r="K25" i="1"/>
  <c r="D28" i="1"/>
  <c r="T37" i="1" s="1"/>
  <c r="B27" i="1"/>
  <c r="R36" i="1" s="1"/>
  <c r="F27" i="1"/>
  <c r="V36" i="1" s="1"/>
  <c r="C26" i="1"/>
  <c r="S35" i="1" s="1"/>
  <c r="F28" i="1"/>
  <c r="V37" i="1" s="1"/>
  <c r="C25" i="1"/>
  <c r="S34" i="1" s="1"/>
  <c r="E29" i="1"/>
  <c r="U38" i="1" s="1"/>
  <c r="K29" i="1"/>
  <c r="AA20" i="1"/>
  <c r="AI20" i="1" s="1"/>
  <c r="J29" i="1"/>
  <c r="Z20" i="1"/>
  <c r="AH20" i="1" s="1"/>
  <c r="G28" i="1"/>
  <c r="W37" i="1" s="1"/>
  <c r="L28" i="1"/>
  <c r="N27" i="1"/>
  <c r="M29" i="1"/>
  <c r="AC20" i="1"/>
  <c r="AK20" i="1" s="1"/>
  <c r="L29" i="1"/>
  <c r="AB20" i="1"/>
  <c r="AJ20" i="1" s="1"/>
  <c r="N29" i="4"/>
  <c r="V38" i="4" s="1"/>
  <c r="AD20" i="4"/>
  <c r="AL20" i="4" s="1"/>
  <c r="M29" i="4"/>
  <c r="U38" i="4" s="1"/>
  <c r="AC20" i="4"/>
  <c r="AK20" i="4" s="1"/>
  <c r="D29" i="1"/>
  <c r="T38" i="1" s="1"/>
  <c r="G25" i="1"/>
  <c r="W34" i="1" s="1"/>
  <c r="K26" i="1"/>
  <c r="C29" i="4"/>
  <c r="J29" i="4"/>
  <c r="R38" i="4" s="1"/>
  <c r="Z20" i="4"/>
  <c r="AH20" i="4" s="1"/>
  <c r="O29" i="4"/>
  <c r="W38" i="4" s="1"/>
  <c r="AE20" i="4"/>
  <c r="AM20" i="4" s="1"/>
  <c r="F29" i="1"/>
  <c r="V38" i="1" s="1"/>
  <c r="F25" i="1"/>
  <c r="V34" i="1" s="1"/>
  <c r="T37" i="4"/>
  <c r="O29" i="1"/>
  <c r="AE20" i="1"/>
  <c r="AM20" i="1" s="1"/>
  <c r="N29" i="1"/>
  <c r="AD20" i="1"/>
  <c r="AL20" i="1" s="1"/>
  <c r="AB20" i="4"/>
  <c r="AJ20" i="4" s="1"/>
  <c r="L29" i="4"/>
  <c r="T38" i="4" s="1"/>
  <c r="K29" i="4"/>
  <c r="S38" i="4" s="1"/>
  <c r="AA20" i="4"/>
  <c r="AI20" i="4" s="1"/>
  <c r="C29" i="1"/>
  <c r="S38" i="1" s="1"/>
  <c r="B29" i="1"/>
  <c r="R38" i="1" s="1"/>
  <c r="M26" i="1"/>
  <c r="C28" i="1"/>
  <c r="S37" i="1" s="1"/>
  <c r="B26" i="1"/>
  <c r="R35" i="1" s="1"/>
  <c r="D25" i="1"/>
  <c r="T34" i="1" s="1"/>
  <c r="M27" i="1"/>
  <c r="J26" i="1"/>
  <c r="F29" i="4"/>
  <c r="M28" i="4"/>
  <c r="U37" i="4" s="1"/>
  <c r="G16" i="8" l="1"/>
  <c r="K19" i="8"/>
  <c r="L19" i="8"/>
  <c r="O16" i="8"/>
  <c r="O18" i="8"/>
  <c r="G18" i="8"/>
  <c r="D19" i="8"/>
  <c r="E19" i="8"/>
  <c r="C19" i="8"/>
  <c r="M19" i="8"/>
  <c r="F19" i="8"/>
  <c r="O15" i="8"/>
  <c r="N19" i="8"/>
  <c r="O17" i="8"/>
  <c r="G17" i="8"/>
  <c r="B19" i="8"/>
  <c r="G15" i="8"/>
  <c r="M15" i="8"/>
  <c r="K17" i="8"/>
  <c r="K18" i="8"/>
  <c r="K15" i="8"/>
  <c r="M17" i="8"/>
  <c r="N18" i="8"/>
  <c r="N15" i="8"/>
  <c r="L17" i="8"/>
  <c r="J18" i="8"/>
  <c r="J15" i="8"/>
  <c r="M18" i="8"/>
  <c r="N17" i="8"/>
  <c r="M16" i="8"/>
  <c r="L18" i="8"/>
  <c r="L15" i="8"/>
  <c r="L16" i="8"/>
  <c r="N16" i="8"/>
  <c r="K16" i="8"/>
  <c r="J17" i="8"/>
  <c r="J16" i="8"/>
  <c r="D18" i="8"/>
  <c r="C17" i="8"/>
  <c r="E16" i="8"/>
  <c r="C16" i="8"/>
  <c r="B17" i="8"/>
  <c r="F15" i="8"/>
  <c r="F18" i="8"/>
  <c r="B16" i="8"/>
  <c r="B15" i="8"/>
  <c r="E17" i="8"/>
  <c r="E15" i="8"/>
  <c r="F17" i="8"/>
  <c r="C18" i="8"/>
  <c r="D15" i="8"/>
  <c r="E18" i="8"/>
  <c r="F16" i="8"/>
  <c r="D16" i="8"/>
  <c r="B18" i="8"/>
  <c r="D17" i="8"/>
  <c r="C15" i="8"/>
  <c r="T11" i="8" l="1"/>
  <c r="T16" i="8"/>
  <c r="T17" i="8"/>
  <c r="T15" i="8"/>
  <c r="T12" i="8"/>
  <c r="T19" i="8"/>
  <c r="T20" i="8"/>
  <c r="T9" i="8"/>
  <c r="T8" i="8"/>
  <c r="T6" i="8"/>
  <c r="T22" i="8"/>
  <c r="U22" i="8" s="1"/>
  <c r="V22" i="8" s="1"/>
  <c r="AA19" i="8" s="1"/>
  <c r="T18" i="8"/>
  <c r="T13" i="8"/>
  <c r="T21" i="8"/>
  <c r="T10" i="8"/>
  <c r="T7" i="8"/>
  <c r="U7" i="8" s="1"/>
  <c r="V7" i="8" s="1"/>
  <c r="AA4" i="8" s="1"/>
  <c r="T14" i="8"/>
  <c r="U14" i="8" s="1"/>
  <c r="V14" i="8" s="1"/>
  <c r="AA11" i="8" s="1"/>
  <c r="U19" i="8"/>
  <c r="V19" i="8" s="1"/>
  <c r="AA16" i="8" s="1"/>
  <c r="U10" i="8" l="1"/>
  <c r="V10" i="8" s="1"/>
  <c r="AA7" i="8" s="1"/>
  <c r="U21" i="8"/>
  <c r="V21" i="8" s="1"/>
  <c r="AA18" i="8" s="1"/>
  <c r="U12" i="8"/>
  <c r="V12" i="8" s="1"/>
  <c r="AA9" i="8" s="1"/>
  <c r="U15" i="8"/>
  <c r="V15" i="8" s="1"/>
  <c r="AA12" i="8" s="1"/>
  <c r="U13" i="8"/>
  <c r="V13" i="8" s="1"/>
  <c r="AA10" i="8" s="1"/>
  <c r="U18" i="8"/>
  <c r="V18" i="8" s="1"/>
  <c r="AA15" i="8" s="1"/>
  <c r="U11" i="8"/>
  <c r="V11" i="8" s="1"/>
  <c r="AA8" i="8" s="1"/>
  <c r="O19" i="8"/>
  <c r="U17" i="8"/>
  <c r="V17" i="8" s="1"/>
  <c r="AA14" i="8" s="1"/>
  <c r="U20" i="8"/>
  <c r="V20" i="8" s="1"/>
  <c r="AA17" i="8" s="1"/>
  <c r="U16" i="8"/>
  <c r="V16" i="8" s="1"/>
  <c r="AA13" i="8" s="1"/>
  <c r="U6" i="8"/>
  <c r="V6" i="8" s="1"/>
  <c r="AA3" i="8" s="1"/>
  <c r="U8" i="8"/>
  <c r="V8" i="8" s="1"/>
  <c r="AA5" i="8" s="1"/>
  <c r="U9" i="8"/>
  <c r="V9" i="8" s="1"/>
  <c r="AA6" i="8" s="1"/>
</calcChain>
</file>

<file path=xl/sharedStrings.xml><?xml version="1.0" encoding="utf-8"?>
<sst xmlns="http://schemas.openxmlformats.org/spreadsheetml/2006/main" count="802" uniqueCount="174">
  <si>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</si>
  <si>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</si>
  <si>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</si>
  <si>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</si>
  <si>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</si>
  <si>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</si>
  <si>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</si>
  <si>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</si>
  <si>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</si>
  <si>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</si>
  <si>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</si>
  <si>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</si>
  <si>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</si>
  <si>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</si>
  <si>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</si>
  <si>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</si>
  <si>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</si>
  <si>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</si>
  <si>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</si>
  <si>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</si>
  <si>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</si>
  <si>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</si>
  <si>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</si>
  <si>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</si>
  <si>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</si>
  <si>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</si>
  <si>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</si>
  <si>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</si>
  <si>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</si>
  <si>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</si>
  <si>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</si>
  <si>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</si>
  <si>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</si>
  <si>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</si>
  <si>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</si>
  <si>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</si>
  <si>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</si>
  <si>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</si>
  <si>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</si>
  <si>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</si>
  <si>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</si>
  <si>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</si>
  <si>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</si>
  <si>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</si>
  <si>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</si>
  <si>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</si>
  <si>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</si>
  <si>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</si>
  <si>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</si>
  <si>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</si>
  <si>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</si>
  <si>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</si>
  <si>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</si>
  <si>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</si>
  <si>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</si>
  <si>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</si>
  <si>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</si>
  <si>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</si>
  <si>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</si>
  <si>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</si>
  <si>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</si>
  <si>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</si>
  <si>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</si>
  <si>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</si>
  <si>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</si>
  <si>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</si>
  <si>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</si>
  <si>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</si>
  <si>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</si>
  <si>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</si>
  <si>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</si>
  <si>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</si>
  <si>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</si>
  <si>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</si>
  <si>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</si>
  <si>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</si>
  <si>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</si>
  <si>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</si>
  <si>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</si>
  <si>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</si>
  <si>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</si>
  <si>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</si>
  <si>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</si>
  <si>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</si>
  <si>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</si>
  <si>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</si>
  <si>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</si>
  <si>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</si>
  <si>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</si>
  <si>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</si>
  <si>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</si>
  <si>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</si>
  <si>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</si>
  <si>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</si>
  <si>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</si>
  <si>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</si>
  <si>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</si>
  <si>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</si>
  <si>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</si>
  <si>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</si>
  <si>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</si>
  <si>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</si>
  <si>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</si>
  <si>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</si>
  <si>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</si>
  <si>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</si>
  <si>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</si>
  <si>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</si>
  <si>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</si>
  <si>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</si>
  <si>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</si>
  <si>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</si>
  <si>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</si>
  <si>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</si>
  <si>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</si>
  <si>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</si>
  <si>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</si>
  <si>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</si>
  <si>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</si>
  <si>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</si>
  <si>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</si>
  <si>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</si>
  <si>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</si>
  <si>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</si>
  <si>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</si>
  <si>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</si>
  <si>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</si>
  <si>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</si>
  <si>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</si>
  <si>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</si>
  <si>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</si>
  <si>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</si>
  <si>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</si>
  <si>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</si>
  <si>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</si>
  <si>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</si>
  <si>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</si>
  <si>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</si>
  <si>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</si>
  <si>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</si>
  <si>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</si>
  <si>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</si>
  <si>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</si>
  <si>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</si>
  <si>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</si>
  <si>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</si>
  <si>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</si>
  <si>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</si>
  <si>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</si>
  <si>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</si>
  <si>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</si>
  <si>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</si>
  <si>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</si>
  <si>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</si>
  <si>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</si>
  <si>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</si>
  <si>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</si>
  <si>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</si>
  <si>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</si>
  <si>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</si>
  <si>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</si>
  <si>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</si>
  <si>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</si>
  <si>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</si>
  <si>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</si>
  <si>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</si>
  <si>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</si>
  <si>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</si>
  <si>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</si>
  <si>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</si>
  <si>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</si>
  <si>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</si>
  <si>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</si>
  <si>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HH # of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</si>
</sst>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yy\ hh:mm:ss"/>
    <numFmt numFmtId="165" formatCode="0.00000000000"/>
    <numFmt numFmtId="166" formatCode="0.0%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6" fillId="2" borderId="0">
      <alignment wrapText="1"/>
    </xf>
    <xf numFmtId="0" fontId="6" fillId="0" borderId="0">
      <alignment wrapText="1"/>
    </xf>
    <xf numFmtId="164" fontId="6" fillId="0" borderId="0">
      <alignment wrapText="1"/>
    </xf>
    <xf numFmtId="0" fontId="7" fillId="0" borderId="0"/>
    <xf numFmtId="0" fontId="6" fillId="0" borderId="0">
      <alignment wrapText="1"/>
    </xf>
    <xf numFmtId="0" fontId="6" fillId="0" borderId="0">
      <alignment wrapText="1"/>
    </xf>
    <xf numFmtId="0" fontId="6" fillId="0" borderId="0">
      <alignment wrapText="1"/>
    </xf>
    <xf numFmtId="164" fontId="6" fillId="0" borderId="0">
      <alignment wrapText="1"/>
    </xf>
    <xf numFmtId="9" fontId="6" fillId="0" borderId="0" applyFont="0" applyFill="0" applyBorder="0" applyAlignment="0" applyProtection="0"/>
  </cellStyleXfs>
  <cellXfs count="98">
    <xf numFmtId="0" fontId="0" fillId="0" borderId="0" xfId="0"/>
    <xf numFmtId="0" fontId="1" fillId="0" borderId="0" xfId="0" applyFont="1"/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left"/>
    </xf>
    <xf numFmtId="3" fontId="0" fillId="0" borderId="0" xfId="0" applyNumberFormat="1"/>
    <xf numFmtId="0" fontId="2" fillId="0" borderId="3" xfId="0" applyFont="1" applyBorder="1" applyAlignment="1">
      <alignment horizontal="left"/>
    </xf>
    <xf numFmtId="3" fontId="0" fillId="0" borderId="3" xfId="0" applyNumberFormat="1" applyBorder="1"/>
    <xf numFmtId="0" fontId="2" fillId="0" borderId="4" xfId="0" applyFont="1" applyBorder="1" applyAlignment="1">
      <alignment horizontal="left"/>
    </xf>
    <xf numFmtId="3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3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 applyAlignment="1">
      <alignment horizontal="left"/>
    </xf>
    <xf numFmtId="3" fontId="0" fillId="0" borderId="0" xfId="0" applyNumberFormat="1" applyBorder="1"/>
    <xf numFmtId="0" fontId="4" fillId="0" borderId="0" xfId="0" applyFont="1"/>
    <xf numFmtId="9" fontId="0" fillId="0" borderId="0" xfId="0" applyNumberFormat="1"/>
    <xf numFmtId="9" fontId="0" fillId="0" borderId="3" xfId="0" applyNumberFormat="1" applyBorder="1"/>
    <xf numFmtId="9" fontId="0" fillId="0" borderId="4" xfId="0" applyNumberFormat="1" applyBorder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6" fillId="0" borderId="0" xfId="2" applyAlignment="1"/>
    <xf numFmtId="0" fontId="0" fillId="0" borderId="3" xfId="0" applyBorder="1"/>
    <xf numFmtId="0" fontId="6" fillId="0" borderId="0" xfId="2" applyBorder="1" applyAlignment="1"/>
    <xf numFmtId="9" fontId="0" fillId="0" borderId="0" xfId="0" applyNumberFormat="1" applyBorder="1"/>
    <xf numFmtId="0" fontId="0" fillId="0" borderId="0" xfId="0" applyBorder="1"/>
    <xf numFmtId="0" fontId="8" fillId="0" borderId="0" xfId="0" applyFont="1"/>
    <xf numFmtId="0" fontId="9" fillId="0" borderId="0" xfId="0" applyFont="1"/>
    <xf numFmtId="11" fontId="0" fillId="0" borderId="0" xfId="0" applyNumberFormat="1"/>
    <xf numFmtId="0" fontId="10" fillId="0" borderId="0" xfId="0" applyFont="1"/>
    <xf numFmtId="0" fontId="11" fillId="0" borderId="0" xfId="0" applyFont="1"/>
    <xf numFmtId="11" fontId="10" fillId="0" borderId="0" xfId="0" applyNumberFormat="1" applyFont="1"/>
    <xf numFmtId="0" fontId="2" fillId="0" borderId="5" xfId="0" applyFont="1" applyBorder="1" applyAlignment="1">
      <alignment horizontal="right"/>
    </xf>
    <xf numFmtId="3" fontId="6" fillId="0" borderId="0" xfId="2" applyNumberFormat="1" applyAlignment="1"/>
    <xf numFmtId="0" fontId="12" fillId="0" borderId="0" xfId="0" applyFont="1"/>
    <xf numFmtId="0" fontId="0" fillId="0" borderId="2" xfId="0" applyBorder="1" applyAlignment="1">
      <alignment horizontal="center" vertical="top"/>
    </xf>
    <xf numFmtId="2" fontId="0" fillId="0" borderId="0" xfId="0" applyNumberFormat="1"/>
    <xf numFmtId="21" fontId="0" fillId="0" borderId="0" xfId="0" applyNumberFormat="1"/>
    <xf numFmtId="0" fontId="0" fillId="3" borderId="0" xfId="0" applyFill="1"/>
    <xf numFmtId="165" fontId="0" fillId="0" borderId="0" xfId="0" applyNumberFormat="1"/>
    <xf numFmtId="165" fontId="0" fillId="0" borderId="0" xfId="0" applyNumberFormat="1" applyFill="1"/>
    <xf numFmtId="165" fontId="0" fillId="4" borderId="0" xfId="0" applyNumberFormat="1" applyFill="1"/>
    <xf numFmtId="165" fontId="0" fillId="3" borderId="0" xfId="0" applyNumberFormat="1" applyFill="1"/>
    <xf numFmtId="0" fontId="11" fillId="0" borderId="1" xfId="0" applyFon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Fill="1" applyBorder="1"/>
    <xf numFmtId="0" fontId="2" fillId="0" borderId="0" xfId="0" applyFont="1" applyFill="1" applyBorder="1" applyAlignment="1">
      <alignment horizontal="right"/>
    </xf>
    <xf numFmtId="0" fontId="5" fillId="0" borderId="0" xfId="0" applyFont="1"/>
    <xf numFmtId="166" fontId="0" fillId="0" borderId="0" xfId="9" applyNumberFormat="1" applyFont="1"/>
  </cellXfs>
  <cellStyles count="10">
    <cellStyle name="Normal" xfId="0" builtinId="0"/>
    <cellStyle name="Normal 2" xfId="4"/>
    <cellStyle name="Percent" xfId="9" builtinId="5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52"/>
  <sheetViews>
    <sheetView topLeftCell="A19" workbookViewId="0">
      <selection activeCell="I52" sqref="I52"/>
    </sheetView>
  </sheetViews>
  <sheetFormatPr defaultRowHeight="15" x14ac:dyDescent="0.25"/>
  <cols>
    <col min="1" max="23" width="9.28515625" customWidth="1" collapsed="1"/>
  </cols>
  <sheetData>
    <row r="1" spans="1:33" ht="21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r="4" spans="1:33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>
        <v>2585.1774999999998</v>
      </c>
      <c r="C6" s="4">
        <v>22385.934099999999</v>
      </c>
      <c r="D6" s="4">
        <v>24798.507099999999</v>
      </c>
      <c r="E6" s="4">
        <v>6848.2466999999997</v>
      </c>
      <c r="F6" s="4">
        <v>5041.6833999999999</v>
      </c>
      <c r="G6" s="4">
        <f>SUM(B6:F6)</f>
        <v>61659.548799999997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>
        <v>2741.75</v>
      </c>
      <c r="S6" s="22">
        <v>17036</v>
      </c>
      <c r="T6" s="24">
        <v>24933.75</v>
      </c>
      <c r="U6" s="26">
        <v>10994</v>
      </c>
      <c r="V6" s="28">
        <v>4760.5</v>
      </c>
      <c r="W6" s="4">
        <f>SUM(R6:V6)</f>
        <v>60466</v>
      </c>
    </row>
    <row r="7" spans="1:33" x14ac:dyDescent="0.25">
      <c r="A7" s="75" t="s">
        <v>168</v>
      </c>
      <c r="B7" s="4">
        <v>1521.9092000000001</v>
      </c>
      <c r="C7" s="4">
        <v>3017.3962000000001</v>
      </c>
      <c r="D7" s="4">
        <v>819.83010000000002</v>
      </c>
      <c r="E7" s="4">
        <v>262.1739</v>
      </c>
      <c r="F7" s="4">
        <v>0</v>
      </c>
      <c r="G7" s="4">
        <f t="shared" ref="G7:G12" si="0">SUM(B7:F7)</f>
        <v>5621.3094000000001</v>
      </c>
      <c r="I7" s="3" t="str">
        <f>$A$7</f>
        <v>Bellevue Downtown</v>
      </c>
      <c r="J7" s="81"/>
      <c r="K7" s="81"/>
      <c r="L7" s="81"/>
      <c r="M7" s="81"/>
      <c r="N7" s="81"/>
      <c r="O7" s="4">
        <f t="shared" ref="O7:O11" si="1">SUM(J7:N7)</f>
        <v>0</v>
      </c>
      <c r="Q7" s="3" t="str">
        <f>$A$7</f>
        <v>Bellevue Downtown</v>
      </c>
      <c r="R7" s="21">
        <v>1448</v>
      </c>
      <c r="S7" s="23">
        <v>2773.25</v>
      </c>
      <c r="T7" s="25">
        <v>1217.5</v>
      </c>
      <c r="U7" s="27">
        <v>383.25</v>
      </c>
      <c r="V7" s="29">
        <v>138</v>
      </c>
      <c r="W7" s="4">
        <f t="shared" ref="W7:W12" si="2">SUM(R7:V7)</f>
        <v>5960</v>
      </c>
    </row>
    <row r="8" spans="1:33" x14ac:dyDescent="0.25">
      <c r="A8" s="75" t="s">
        <v>169</v>
      </c>
      <c r="B8" s="4">
        <v>1916.9188000000001</v>
      </c>
      <c r="C8" s="4">
        <v>16584.212100000001</v>
      </c>
      <c r="D8" s="4">
        <v>24943.144</v>
      </c>
      <c r="E8" s="4">
        <v>8362.5318000000007</v>
      </c>
      <c r="F8" s="4">
        <v>2762.8184000000001</v>
      </c>
      <c r="G8" s="4">
        <f t="shared" si="0"/>
        <v>54569.625100000005</v>
      </c>
      <c r="I8" s="3" t="str">
        <f>$A$8</f>
        <v>Kirkland</v>
      </c>
      <c r="J8" s="81"/>
      <c r="K8" s="81"/>
      <c r="L8" s="81"/>
      <c r="M8" s="81"/>
      <c r="N8" s="81"/>
      <c r="O8" s="4">
        <f t="shared" si="1"/>
        <v>0</v>
      </c>
      <c r="Q8" s="3" t="str">
        <f>$A$8</f>
        <v>Kirkland</v>
      </c>
      <c r="R8" s="69">
        <v>3022.75</v>
      </c>
      <c r="S8" s="69">
        <v>18080</v>
      </c>
      <c r="T8" s="69">
        <v>22451.25</v>
      </c>
      <c r="U8" s="69">
        <v>9322.5</v>
      </c>
      <c r="V8" s="69">
        <v>3898.5</v>
      </c>
      <c r="W8" s="4">
        <f t="shared" si="2"/>
        <v>56775</v>
      </c>
    </row>
    <row r="9" spans="1:33" x14ac:dyDescent="0.25">
      <c r="A9" s="75" t="s">
        <v>170</v>
      </c>
      <c r="B9" s="15">
        <v>2169.7572999999998</v>
      </c>
      <c r="C9" s="15">
        <v>16798.0605</v>
      </c>
      <c r="D9" s="15">
        <v>18846.131399999998</v>
      </c>
      <c r="E9" s="15">
        <v>7285.3387000000002</v>
      </c>
      <c r="F9" s="15">
        <v>3255.1835000000001</v>
      </c>
      <c r="G9" s="15">
        <f t="shared" si="0"/>
        <v>48354.471400000002</v>
      </c>
      <c r="I9" s="3" t="str">
        <f>$A$9</f>
        <v>Redmond</v>
      </c>
      <c r="J9" s="81"/>
      <c r="K9" s="81"/>
      <c r="L9" s="81"/>
      <c r="M9" s="81"/>
      <c r="N9" s="81"/>
      <c r="O9" s="4">
        <f t="shared" si="1"/>
        <v>0</v>
      </c>
      <c r="Q9" s="3" t="str">
        <f>$A$9</f>
        <v>Redmond</v>
      </c>
      <c r="R9" s="69">
        <v>1639.75</v>
      </c>
      <c r="S9" s="69">
        <v>11796.75</v>
      </c>
      <c r="T9" s="69">
        <v>17852.5</v>
      </c>
      <c r="U9" s="69">
        <v>8384.5</v>
      </c>
      <c r="V9" s="69">
        <v>3529.5</v>
      </c>
      <c r="W9" s="4">
        <f t="shared" si="2"/>
        <v>43203</v>
      </c>
    </row>
    <row r="10" spans="1:33" x14ac:dyDescent="0.25">
      <c r="A10" s="75" t="s">
        <v>166</v>
      </c>
      <c r="B10" s="15">
        <v>45634.579599999997</v>
      </c>
      <c r="C10" s="15">
        <v>125976.83010000001</v>
      </c>
      <c r="D10" s="15">
        <v>97789.8361</v>
      </c>
      <c r="E10" s="15">
        <v>26257.664799999999</v>
      </c>
      <c r="F10" s="15">
        <v>10441.243700000001</v>
      </c>
      <c r="G10" s="15">
        <f t="shared" si="0"/>
        <v>306100.15430000005</v>
      </c>
      <c r="I10" s="3" t="str">
        <f>$A$10</f>
        <v>Seattle</v>
      </c>
      <c r="J10" s="81"/>
      <c r="K10" s="81"/>
      <c r="L10" s="81"/>
      <c r="M10" s="81"/>
      <c r="N10" s="81"/>
      <c r="O10" s="4">
        <f t="shared" si="1"/>
        <v>0</v>
      </c>
      <c r="Q10" s="3" t="str">
        <f>$A$10</f>
        <v>Seattle</v>
      </c>
      <c r="R10" s="69">
        <v>34262.764133121134</v>
      </c>
      <c r="S10" s="69">
        <v>110828.45774875161</v>
      </c>
      <c r="T10" s="69">
        <v>94596.205477951138</v>
      </c>
      <c r="U10" s="69">
        <v>33802.383316808897</v>
      </c>
      <c r="V10" s="69">
        <v>14066.189323367254</v>
      </c>
      <c r="W10" s="4">
        <f t="shared" si="2"/>
        <v>287556.00000000006</v>
      </c>
    </row>
    <row r="11" spans="1:33" x14ac:dyDescent="0.25">
      <c r="A11" s="75" t="s">
        <v>171</v>
      </c>
      <c r="B11" s="15">
        <v>18050.276000000002</v>
      </c>
      <c r="C11" s="15">
        <v>19068.560600000001</v>
      </c>
      <c r="D11" s="15">
        <v>3223.8573999999999</v>
      </c>
      <c r="E11" s="15">
        <v>323.93869999999998</v>
      </c>
      <c r="F11" s="15">
        <v>128.9933</v>
      </c>
      <c r="G11" s="15">
        <f t="shared" si="0"/>
        <v>40795.626000000004</v>
      </c>
      <c r="I11" s="14" t="str">
        <f>$A$11</f>
        <v>Seattle Downtown</v>
      </c>
      <c r="J11" s="81"/>
      <c r="K11" s="81"/>
      <c r="L11" s="81"/>
      <c r="M11" s="81"/>
      <c r="N11" s="81"/>
      <c r="O11" s="15">
        <f t="shared" si="1"/>
        <v>0</v>
      </c>
      <c r="Q11" s="14" t="str">
        <f>$A$11</f>
        <v>Seattle Downtown</v>
      </c>
      <c r="R11" s="71">
        <v>14798.079406187349</v>
      </c>
      <c r="S11" s="71">
        <v>17377.035739010134</v>
      </c>
      <c r="T11" s="71">
        <v>5541.077426997268</v>
      </c>
      <c r="U11" s="71">
        <v>1664.1598356506331</v>
      </c>
      <c r="V11" s="71">
        <v>600.64759215461845</v>
      </c>
      <c r="W11" s="15">
        <f t="shared" si="2"/>
        <v>39981</v>
      </c>
    </row>
    <row r="12" spans="1:33" x14ac:dyDescent="0.25">
      <c r="A12" s="75" t="s">
        <v>172</v>
      </c>
      <c r="B12" s="15">
        <v>57260.516000000003</v>
      </c>
      <c r="C12" s="15">
        <v>297867.03139999998</v>
      </c>
      <c r="D12" s="15">
        <v>399975.4387</v>
      </c>
      <c r="E12" s="15">
        <v>169678.32990000001</v>
      </c>
      <c r="F12" s="15">
        <v>88436.911200000002</v>
      </c>
      <c r="G12" s="15">
        <f t="shared" si="0"/>
        <v>1013218.2272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>
        <v>52042.599006230615</v>
      </c>
      <c r="S12" s="15">
        <v>299232.11714947841</v>
      </c>
      <c r="T12" s="15">
        <v>402020.87775481388</v>
      </c>
      <c r="U12" s="15">
        <v>177663.48892638998</v>
      </c>
      <c r="V12" s="15">
        <v>81798.917163087172</v>
      </c>
      <c r="W12" s="15">
        <f t="shared" si="2"/>
        <v>1012758</v>
      </c>
    </row>
    <row r="13" spans="1:33" ht="15.75" thickBot="1" x14ac:dyDescent="0.3">
      <c r="A13" s="7" t="s">
        <v>4</v>
      </c>
      <c r="B13" s="8">
        <f>SUM(B6:B12)</f>
        <v>129139.1344</v>
      </c>
      <c r="C13" s="8">
        <f t="shared" ref="C13:G13" si="3">SUM(C6:C12)</f>
        <v>501698.02500000002</v>
      </c>
      <c r="D13" s="8">
        <f t="shared" si="3"/>
        <v>570396.74479999999</v>
      </c>
      <c r="E13" s="8">
        <f t="shared" si="3"/>
        <v>219018.22450000001</v>
      </c>
      <c r="F13" s="8">
        <f t="shared" si="3"/>
        <v>110066.83350000001</v>
      </c>
      <c r="G13" s="8">
        <f t="shared" si="3"/>
        <v>1530318.9622</v>
      </c>
      <c r="I13" s="7" t="str">
        <f>$A$13</f>
        <v>Total</v>
      </c>
      <c r="J13" s="8">
        <f>SUM(J6:J12)</f>
        <v>0</v>
      </c>
      <c r="K13" s="8">
        <f t="shared" ref="K13:O13" si="4">SUM(K6:K12)</f>
        <v>0</v>
      </c>
      <c r="L13" s="8">
        <f t="shared" si="4"/>
        <v>0</v>
      </c>
      <c r="M13" s="8">
        <f t="shared" si="4"/>
        <v>0</v>
      </c>
      <c r="N13" s="8">
        <f t="shared" si="4"/>
        <v>0</v>
      </c>
      <c r="O13" s="8">
        <f t="shared" si="4"/>
        <v>0</v>
      </c>
      <c r="Q13" s="7" t="str">
        <f>$A$13</f>
        <v>Total</v>
      </c>
      <c r="R13" s="8">
        <f>SUM(R6:R12)</f>
        <v>109955.69254553909</v>
      </c>
      <c r="S13" s="8">
        <f t="shared" ref="S13:W13" si="5">SUM(S6:S12)</f>
        <v>477123.61063724017</v>
      </c>
      <c r="T13" s="8">
        <f t="shared" si="5"/>
        <v>568613.16065976233</v>
      </c>
      <c r="U13" s="8">
        <f t="shared" si="5"/>
        <v>242214.2820788495</v>
      </c>
      <c r="V13" s="8">
        <f t="shared" si="5"/>
        <v>108792.25407860904</v>
      </c>
      <c r="W13" s="8">
        <f t="shared" si="5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r="17" spans="1:39" ht="15.75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2535.1360131101055</v>
      </c>
      <c r="C19" s="4">
        <f t="shared" ref="C19:G19" si="6">($W6/$G6)*C6</f>
        <v>21952.60778960809</v>
      </c>
      <c r="D19" s="4">
        <f t="shared" si="6"/>
        <v>24318.480421780187</v>
      </c>
      <c r="E19" s="4">
        <f t="shared" si="6"/>
        <v>6715.6846428658919</v>
      </c>
      <c r="F19" s="4">
        <f t="shared" si="6"/>
        <v>4944.0911326357291</v>
      </c>
      <c r="G19" s="4">
        <f t="shared" si="6"/>
        <v>60466</v>
      </c>
      <c r="I19" s="3" t="str">
        <f>$A$6</f>
        <v>Bellevue</v>
      </c>
      <c r="J19" s="4" t="e">
        <f>($W6/$O6)*J6</f>
        <v>#DIV/0!</v>
      </c>
      <c r="K19" s="4" t="e">
        <f t="shared" ref="K19:O19" si="7">($W6/$O6)*K6</f>
        <v>#DIV/0!</v>
      </c>
      <c r="L19" s="4" t="e">
        <f t="shared" si="7"/>
        <v>#DIV/0!</v>
      </c>
      <c r="M19" s="4" t="e">
        <f t="shared" si="7"/>
        <v>#DIV/0!</v>
      </c>
      <c r="N19" s="4" t="e">
        <f t="shared" si="7"/>
        <v>#DIV/0!</v>
      </c>
      <c r="O19" s="4" t="e">
        <f t="shared" si="7"/>
        <v>#DIV/0!</v>
      </c>
      <c r="Q19" s="3" t="str">
        <f>$A$6</f>
        <v>Bellevue</v>
      </c>
      <c r="R19" s="4">
        <f>R6</f>
        <v>2741.75</v>
      </c>
      <c r="S19" s="4">
        <f t="shared" ref="S19:V19" si="8">S6</f>
        <v>17036</v>
      </c>
      <c r="T19" s="4">
        <f t="shared" si="8"/>
        <v>24933.75</v>
      </c>
      <c r="U19" s="4">
        <f t="shared" si="8"/>
        <v>10994</v>
      </c>
      <c r="V19" s="4">
        <f t="shared" si="8"/>
        <v>4760.5</v>
      </c>
      <c r="W19" s="4">
        <f>SUM(R19:V19)</f>
        <v>60466</v>
      </c>
      <c r="Y19" s="3" t="str">
        <f>$A$6</f>
        <v>Bellevue</v>
      </c>
      <c r="Z19" s="4">
        <f>R19-B19</f>
        <v>206.61398688989448</v>
      </c>
      <c r="AA19" s="4">
        <f t="shared" ref="AA19:AE26" si="9">S19-C19</f>
        <v>-4916.6077896080897</v>
      </c>
      <c r="AB19" s="4">
        <f t="shared" si="9"/>
        <v>615.26957821981341</v>
      </c>
      <c r="AC19" s="4">
        <f t="shared" si="9"/>
        <v>4278.3153571341081</v>
      </c>
      <c r="AD19" s="4">
        <f t="shared" si="9"/>
        <v>-183.59113263572908</v>
      </c>
      <c r="AE19" s="4">
        <f t="shared" si="9"/>
        <v>0</v>
      </c>
      <c r="AG19" s="3" t="str">
        <f>$A$6</f>
        <v>Bellevue</v>
      </c>
      <c r="AH19" s="17">
        <f>(R6-B19)/B19</f>
        <v>8.1500158500932021E-2</v>
      </c>
      <c r="AI19" s="17">
        <f t="shared" ref="AI19:AM19" si="10">(S6-C19)/C19</f>
        <v>-0.22396463494125332</v>
      </c>
      <c r="AJ19" s="17">
        <f t="shared" si="10"/>
        <v>2.5300494420233754E-2</v>
      </c>
      <c r="AK19" s="17">
        <f t="shared" si="10"/>
        <v>0.63706317146368474</v>
      </c>
      <c r="AL19" s="17">
        <f t="shared" si="10"/>
        <v>-3.7133444289457376E-2</v>
      </c>
      <c r="AM19" s="17">
        <f t="shared" si="10"/>
        <v>0</v>
      </c>
    </row>
    <row r="20" spans="1:39" x14ac:dyDescent="0.25">
      <c r="A20" s="3" t="str">
        <f>$A$7</f>
        <v>Bellevue Downtown</v>
      </c>
      <c r="B20" s="4">
        <f>($W7/$G7)*B7</f>
        <v>1613.6060455949996</v>
      </c>
      <c r="C20" s="4">
        <f t="shared" ref="C20:G20" si="11">($W7/$G7)*C7</f>
        <v>3199.1979221069028</v>
      </c>
      <c r="D20" s="4">
        <f t="shared" si="11"/>
        <v>869.2258419364</v>
      </c>
      <c r="E20" s="4">
        <f t="shared" si="11"/>
        <v>277.97019036169758</v>
      </c>
      <c r="F20" s="4">
        <f t="shared" si="11"/>
        <v>0</v>
      </c>
      <c r="G20" s="4">
        <f t="shared" si="11"/>
        <v>5960</v>
      </c>
      <c r="I20" s="3" t="str">
        <f>$A$7</f>
        <v>Bellevue Downtown</v>
      </c>
      <c r="J20" s="4" t="e">
        <f t="shared" ref="J20:O20" si="12">($W7/$O7)*J7</f>
        <v>#DIV/0!</v>
      </c>
      <c r="K20" s="4" t="e">
        <f t="shared" si="12"/>
        <v>#DIV/0!</v>
      </c>
      <c r="L20" s="4" t="e">
        <f t="shared" si="12"/>
        <v>#DIV/0!</v>
      </c>
      <c r="M20" s="4" t="e">
        <f t="shared" si="12"/>
        <v>#DIV/0!</v>
      </c>
      <c r="N20" s="4" t="e">
        <f t="shared" si="12"/>
        <v>#DIV/0!</v>
      </c>
      <c r="O20" s="4" t="e">
        <f t="shared" si="12"/>
        <v>#DIV/0!</v>
      </c>
      <c r="Q20" s="3" t="str">
        <f>$A$7</f>
        <v>Bellevue Downtown</v>
      </c>
      <c r="R20" s="4">
        <f t="shared" ref="R20:V20" si="13">R7</f>
        <v>1448</v>
      </c>
      <c r="S20" s="4">
        <f t="shared" si="13"/>
        <v>2773.25</v>
      </c>
      <c r="T20" s="4">
        <f t="shared" si="13"/>
        <v>1217.5</v>
      </c>
      <c r="U20" s="4">
        <f t="shared" si="13"/>
        <v>383.25</v>
      </c>
      <c r="V20" s="4">
        <f t="shared" si="13"/>
        <v>138</v>
      </c>
      <c r="W20" s="4">
        <f t="shared" ref="W20:W24" si="14">SUM(R20:V20)</f>
        <v>5960</v>
      </c>
      <c r="Y20" s="3" t="str">
        <f>$A$7</f>
        <v>Bellevue Downtown</v>
      </c>
      <c r="Z20" s="4">
        <f t="shared" ref="Z20:Z26" si="15">R20-B20</f>
        <v>-165.60604559499961</v>
      </c>
      <c r="AA20" s="4">
        <f t="shared" si="9"/>
        <v>-425.94792210690275</v>
      </c>
      <c r="AB20" s="4">
        <f t="shared" si="9"/>
        <v>348.2741580636</v>
      </c>
      <c r="AC20" s="4">
        <f t="shared" si="9"/>
        <v>105.27980963830242</v>
      </c>
      <c r="AD20" s="4">
        <f t="shared" si="9"/>
        <v>138</v>
      </c>
      <c r="AE20" s="4">
        <f t="shared" si="9"/>
        <v>0</v>
      </c>
      <c r="AG20" s="3" t="str">
        <f>$A$7</f>
        <v>Bellevue Downtown</v>
      </c>
      <c r="AH20" s="17">
        <f t="shared" ref="AH20:AH26" si="16">(R7-B20)/B20</f>
        <v>-0.10263102697655932</v>
      </c>
      <c r="AI20" s="17">
        <f t="shared" ref="AI20:AI26" si="17">(S7-C20)/C20</f>
        <v>-0.13314209763751825</v>
      </c>
      <c r="AJ20" s="17">
        <f t="shared" ref="AJ20:AJ26" si="18">(T7-D20)/D20</f>
        <v>0.40067165661773169</v>
      </c>
      <c r="AK20" s="17">
        <f t="shared" ref="AK20:AK26" si="19">(U7-E20)/E20</f>
        <v>0.37874496362833471</v>
      </c>
      <c r="AL20" s="17" t="e">
        <f t="shared" ref="AL20:AL26" si="20">(V7-F20)/F20</f>
        <v>#DIV/0!</v>
      </c>
      <c r="AM20" s="17">
        <f t="shared" ref="AM20:AM26" si="21">(W7-G20)/G20</f>
        <v>0</v>
      </c>
    </row>
    <row r="21" spans="1:39" x14ac:dyDescent="0.25">
      <c r="A21" s="3" t="str">
        <f>$A$8</f>
        <v>Kirkland</v>
      </c>
      <c r="B21" s="4">
        <f t="shared" ref="B21:F21" si="22">($W8/$G8)*B8</f>
        <v>1994.3890886287213</v>
      </c>
      <c r="C21" s="4">
        <f t="shared" si="22"/>
        <v>17254.445861631913</v>
      </c>
      <c r="D21" s="4">
        <f t="shared" si="22"/>
        <v>25951.195339987775</v>
      </c>
      <c r="E21" s="4">
        <f t="shared" si="22"/>
        <v>8700.4948645872228</v>
      </c>
      <c r="F21" s="4">
        <f t="shared" si="22"/>
        <v>2874.4748451643659</v>
      </c>
      <c r="G21" s="4">
        <f t="shared" ref="G21" si="23">($W8/$G8)*G8</f>
        <v>56775</v>
      </c>
      <c r="I21" s="3" t="str">
        <f>$A$8</f>
        <v>Kirkland</v>
      </c>
      <c r="J21" s="4" t="e">
        <f t="shared" ref="J21:O21" si="24">($W8/$O8)*J8</f>
        <v>#DIV/0!</v>
      </c>
      <c r="K21" s="4" t="e">
        <f t="shared" si="24"/>
        <v>#DIV/0!</v>
      </c>
      <c r="L21" s="4" t="e">
        <f t="shared" si="24"/>
        <v>#DIV/0!</v>
      </c>
      <c r="M21" s="4" t="e">
        <f t="shared" si="24"/>
        <v>#DIV/0!</v>
      </c>
      <c r="N21" s="4" t="e">
        <f t="shared" si="24"/>
        <v>#DIV/0!</v>
      </c>
      <c r="O21" s="4" t="e">
        <f t="shared" si="24"/>
        <v>#DIV/0!</v>
      </c>
      <c r="Q21" s="3" t="str">
        <f>$A$8</f>
        <v>Kirkland</v>
      </c>
      <c r="R21" s="4">
        <f t="shared" ref="R21:V21" si="25">R8</f>
        <v>3022.75</v>
      </c>
      <c r="S21" s="4">
        <f t="shared" si="25"/>
        <v>18080</v>
      </c>
      <c r="T21" s="4">
        <f t="shared" si="25"/>
        <v>22451.25</v>
      </c>
      <c r="U21" s="4">
        <f t="shared" si="25"/>
        <v>9322.5</v>
      </c>
      <c r="V21" s="4">
        <f t="shared" si="25"/>
        <v>3898.5</v>
      </c>
      <c r="W21" s="4">
        <f t="shared" si="14"/>
        <v>56775</v>
      </c>
      <c r="Y21" s="3" t="str">
        <f>$A$8</f>
        <v>Kirkland</v>
      </c>
      <c r="Z21" s="4">
        <f t="shared" si="15"/>
        <v>1028.3609113712787</v>
      </c>
      <c r="AA21" s="4">
        <f t="shared" si="9"/>
        <v>825.55413836808657</v>
      </c>
      <c r="AB21" s="4">
        <f t="shared" si="9"/>
        <v>-3499.9453399877748</v>
      </c>
      <c r="AC21" s="4">
        <f t="shared" si="9"/>
        <v>622.00513541277724</v>
      </c>
      <c r="AD21" s="4">
        <f t="shared" si="9"/>
        <v>1024.0251548356341</v>
      </c>
      <c r="AE21" s="4">
        <f t="shared" si="9"/>
        <v>0</v>
      </c>
      <c r="AG21" s="3" t="str">
        <f>$A$8</f>
        <v>Kirkland</v>
      </c>
      <c r="AH21" s="17">
        <f t="shared" si="16"/>
        <v>0.51562702445306052</v>
      </c>
      <c r="AI21" s="17">
        <f t="shared" si="17"/>
        <v>4.7845879548287402E-2</v>
      </c>
      <c r="AJ21" s="17">
        <f t="shared" si="18"/>
        <v>-0.13486644041381654</v>
      </c>
      <c r="AK21" s="17">
        <f t="shared" si="19"/>
        <v>7.1490776684952045E-2</v>
      </c>
      <c r="AL21" s="17">
        <f t="shared" si="20"/>
        <v>0.35624773567189771</v>
      </c>
      <c r="AM21" s="17">
        <f t="shared" si="21"/>
        <v>0</v>
      </c>
    </row>
    <row r="22" spans="1:39" x14ac:dyDescent="0.25">
      <c r="A22" s="3" t="str">
        <f>$A$9</f>
        <v>Redmond</v>
      </c>
      <c r="B22" s="4">
        <f t="shared" ref="B22:G22" si="26">($W9/$G9)*B9</f>
        <v>1938.6009590811075</v>
      </c>
      <c r="C22" s="4">
        <f t="shared" si="26"/>
        <v>15008.469470757154</v>
      </c>
      <c r="D22" s="4">
        <f t="shared" si="26"/>
        <v>16838.347960395651</v>
      </c>
      <c r="E22" s="4">
        <f t="shared" si="26"/>
        <v>6509.1909546983479</v>
      </c>
      <c r="F22" s="4">
        <f t="shared" si="26"/>
        <v>2908.3906550677334</v>
      </c>
      <c r="G22" s="4">
        <f t="shared" si="26"/>
        <v>43203</v>
      </c>
      <c r="I22" s="3" t="str">
        <f>$A$9</f>
        <v>Redmond</v>
      </c>
      <c r="J22" s="4" t="e">
        <f t="shared" ref="J22:O22" si="27">($W9/$O9)*J9</f>
        <v>#DIV/0!</v>
      </c>
      <c r="K22" s="4" t="e">
        <f t="shared" si="27"/>
        <v>#DIV/0!</v>
      </c>
      <c r="L22" s="4" t="e">
        <f t="shared" si="27"/>
        <v>#DIV/0!</v>
      </c>
      <c r="M22" s="4" t="e">
        <f t="shared" si="27"/>
        <v>#DIV/0!</v>
      </c>
      <c r="N22" s="4" t="e">
        <f t="shared" si="27"/>
        <v>#DIV/0!</v>
      </c>
      <c r="O22" s="4" t="e">
        <f t="shared" si="27"/>
        <v>#DIV/0!</v>
      </c>
      <c r="Q22" s="3" t="str">
        <f>$A$9</f>
        <v>Redmond</v>
      </c>
      <c r="R22" s="4">
        <f t="shared" ref="R22:V22" si="28">R9</f>
        <v>1639.75</v>
      </c>
      <c r="S22" s="4">
        <f t="shared" si="28"/>
        <v>11796.75</v>
      </c>
      <c r="T22" s="4">
        <f t="shared" si="28"/>
        <v>17852.5</v>
      </c>
      <c r="U22" s="4">
        <f t="shared" si="28"/>
        <v>8384.5</v>
      </c>
      <c r="V22" s="4">
        <f t="shared" si="28"/>
        <v>3529.5</v>
      </c>
      <c r="W22" s="4">
        <f t="shared" si="14"/>
        <v>43203</v>
      </c>
      <c r="Y22" s="3" t="str">
        <f>$A$9</f>
        <v>Redmond</v>
      </c>
      <c r="Z22" s="4">
        <f t="shared" si="15"/>
        <v>-298.85095908110748</v>
      </c>
      <c r="AA22" s="4">
        <f t="shared" si="9"/>
        <v>-3211.7194707571543</v>
      </c>
      <c r="AB22" s="4">
        <f t="shared" si="9"/>
        <v>1014.1520396043488</v>
      </c>
      <c r="AC22" s="4">
        <f t="shared" si="9"/>
        <v>1875.3090453016521</v>
      </c>
      <c r="AD22" s="4">
        <f t="shared" si="9"/>
        <v>621.10934493226659</v>
      </c>
      <c r="AE22" s="4">
        <f t="shared" si="9"/>
        <v>0</v>
      </c>
      <c r="AG22" s="3" t="str">
        <f>$A$9</f>
        <v>Redmond</v>
      </c>
      <c r="AH22" s="17">
        <f t="shared" si="16"/>
        <v>-0.15415805799599014</v>
      </c>
      <c r="AI22" s="17">
        <f t="shared" si="17"/>
        <v>-0.21399380376626292</v>
      </c>
      <c r="AJ22" s="17">
        <f t="shared" si="18"/>
        <v>6.0228713766318873E-2</v>
      </c>
      <c r="AK22" s="17">
        <f t="shared" si="19"/>
        <v>0.28810171008242585</v>
      </c>
      <c r="AL22" s="17">
        <f t="shared" si="20"/>
        <v>0.21355774330041011</v>
      </c>
      <c r="AM22" s="17">
        <f t="shared" si="21"/>
        <v>0</v>
      </c>
    </row>
    <row r="23" spans="1:39" x14ac:dyDescent="0.25">
      <c r="A23" s="14" t="str">
        <f>$A$10</f>
        <v>Seattle</v>
      </c>
      <c r="B23" s="15">
        <f t="shared" ref="B23:G23" si="29">($W10/$G10)*B10</f>
        <v>42869.946281035249</v>
      </c>
      <c r="C23" s="15">
        <f t="shared" si="29"/>
        <v>118344.90393863746</v>
      </c>
      <c r="D23" s="15">
        <f t="shared" si="29"/>
        <v>91865.533925905649</v>
      </c>
      <c r="E23" s="15">
        <f t="shared" si="29"/>
        <v>24666.923401249653</v>
      </c>
      <c r="F23" s="15">
        <f t="shared" si="29"/>
        <v>9808.6924531720178</v>
      </c>
      <c r="G23" s="15">
        <f t="shared" si="29"/>
        <v>287556.00000000006</v>
      </c>
      <c r="I23" s="3" t="str">
        <f>$A$10</f>
        <v>Seattle</v>
      </c>
      <c r="J23" s="4" t="e">
        <f t="shared" ref="J23:O23" si="30">($W10/$O10)*J10</f>
        <v>#DIV/0!</v>
      </c>
      <c r="K23" s="4" t="e">
        <f t="shared" si="30"/>
        <v>#DIV/0!</v>
      </c>
      <c r="L23" s="4" t="e">
        <f t="shared" si="30"/>
        <v>#DIV/0!</v>
      </c>
      <c r="M23" s="4" t="e">
        <f t="shared" si="30"/>
        <v>#DIV/0!</v>
      </c>
      <c r="N23" s="4" t="e">
        <f t="shared" si="30"/>
        <v>#DIV/0!</v>
      </c>
      <c r="O23" s="4" t="e">
        <f t="shared" si="30"/>
        <v>#DIV/0!</v>
      </c>
      <c r="Q23" s="3" t="str">
        <f>$A$10</f>
        <v>Seattle</v>
      </c>
      <c r="R23" s="4">
        <f t="shared" ref="R23:V23" si="31">R10</f>
        <v>34262.764133121134</v>
      </c>
      <c r="S23" s="4">
        <f t="shared" si="31"/>
        <v>110828.45774875161</v>
      </c>
      <c r="T23" s="4">
        <f t="shared" si="31"/>
        <v>94596.205477951138</v>
      </c>
      <c r="U23" s="4">
        <f t="shared" si="31"/>
        <v>33802.383316808897</v>
      </c>
      <c r="V23" s="4">
        <f t="shared" si="31"/>
        <v>14066.189323367254</v>
      </c>
      <c r="W23" s="4">
        <f t="shared" si="14"/>
        <v>287556.00000000006</v>
      </c>
      <c r="Y23" s="3" t="str">
        <f>$A$10</f>
        <v>Seattle</v>
      </c>
      <c r="Z23" s="4">
        <f t="shared" si="15"/>
        <v>-8607.1821479141145</v>
      </c>
      <c r="AA23" s="4">
        <f t="shared" si="9"/>
        <v>-7516.4461898858572</v>
      </c>
      <c r="AB23" s="4">
        <f t="shared" si="9"/>
        <v>2730.6715520454891</v>
      </c>
      <c r="AC23" s="4">
        <f t="shared" si="9"/>
        <v>9135.4599155592441</v>
      </c>
      <c r="AD23" s="4">
        <f t="shared" si="9"/>
        <v>4257.4968701952366</v>
      </c>
      <c r="AE23" s="4">
        <f t="shared" si="9"/>
        <v>0</v>
      </c>
      <c r="AG23" s="3" t="str">
        <f>$A$10</f>
        <v>Seattle</v>
      </c>
      <c r="AH23" s="17">
        <f t="shared" si="16"/>
        <v>-0.20077426949615162</v>
      </c>
      <c r="AI23" s="17">
        <f t="shared" si="17"/>
        <v>-6.351305328519409E-2</v>
      </c>
      <c r="AJ23" s="17">
        <f t="shared" si="18"/>
        <v>2.9724657718180992E-2</v>
      </c>
      <c r="AK23" s="17">
        <f t="shared" si="19"/>
        <v>0.3703526283742557</v>
      </c>
      <c r="AL23" s="17">
        <f t="shared" si="20"/>
        <v>0.43405345722899197</v>
      </c>
      <c r="AM23" s="17">
        <f t="shared" si="21"/>
        <v>0</v>
      </c>
    </row>
    <row r="24" spans="1:39" x14ac:dyDescent="0.25">
      <c r="A24" s="14" t="str">
        <f>$A$11</f>
        <v>Seattle Downtown</v>
      </c>
      <c r="B24" s="15">
        <f t="shared" ref="B24:G25" si="32">($W11/$G11)*B11</f>
        <v>17689.839708698182</v>
      </c>
      <c r="C24" s="15">
        <f t="shared" si="32"/>
        <v>18687.790729050215</v>
      </c>
      <c r="D24" s="15">
        <f t="shared" si="32"/>
        <v>3159.4819187086377</v>
      </c>
      <c r="E24" s="15">
        <f t="shared" si="32"/>
        <v>317.47014164459682</v>
      </c>
      <c r="F24" s="15">
        <f t="shared" si="32"/>
        <v>126.41750189836527</v>
      </c>
      <c r="G24" s="15">
        <f t="shared" si="32"/>
        <v>39981</v>
      </c>
      <c r="I24" s="14" t="str">
        <f>$A$11</f>
        <v>Seattle Downtown</v>
      </c>
      <c r="J24" s="15" t="e">
        <f t="shared" ref="J24:O24" si="33">($W11/$O11)*J11</f>
        <v>#DIV/0!</v>
      </c>
      <c r="K24" s="15" t="e">
        <f t="shared" si="33"/>
        <v>#DIV/0!</v>
      </c>
      <c r="L24" s="15" t="e">
        <f t="shared" si="33"/>
        <v>#DIV/0!</v>
      </c>
      <c r="M24" s="15" t="e">
        <f t="shared" si="33"/>
        <v>#DIV/0!</v>
      </c>
      <c r="N24" s="15" t="e">
        <f t="shared" si="33"/>
        <v>#DIV/0!</v>
      </c>
      <c r="O24" s="15" t="e">
        <f t="shared" si="33"/>
        <v>#DIV/0!</v>
      </c>
      <c r="Q24" s="14" t="str">
        <f>$A$11</f>
        <v>Seattle Downtown</v>
      </c>
      <c r="R24" s="15">
        <f t="shared" ref="R24:V25" si="34">R11</f>
        <v>14798.079406187349</v>
      </c>
      <c r="S24" s="15">
        <f t="shared" si="34"/>
        <v>17377.035739010134</v>
      </c>
      <c r="T24" s="15">
        <f t="shared" si="34"/>
        <v>5541.077426997268</v>
      </c>
      <c r="U24" s="15">
        <f t="shared" si="34"/>
        <v>1664.1598356506331</v>
      </c>
      <c r="V24" s="15">
        <f t="shared" si="34"/>
        <v>600.64759215461845</v>
      </c>
      <c r="W24" s="15">
        <f t="shared" si="14"/>
        <v>39981</v>
      </c>
      <c r="Y24" s="14" t="str">
        <f>$A$11</f>
        <v>Seattle Downtown</v>
      </c>
      <c r="Z24" s="4">
        <f t="shared" si="15"/>
        <v>-2891.7603025108328</v>
      </c>
      <c r="AA24" s="4">
        <f t="shared" si="9"/>
        <v>-1310.7549900400809</v>
      </c>
      <c r="AB24" s="4">
        <f t="shared" si="9"/>
        <v>2381.5955082886303</v>
      </c>
      <c r="AC24" s="4">
        <f t="shared" si="9"/>
        <v>1346.6896940060362</v>
      </c>
      <c r="AD24" s="4">
        <f t="shared" si="9"/>
        <v>474.23009025625316</v>
      </c>
      <c r="AE24" s="4">
        <f t="shared" si="9"/>
        <v>0</v>
      </c>
      <c r="AG24" s="14" t="str">
        <f>$A$11</f>
        <v>Seattle Downtown</v>
      </c>
      <c r="AH24" s="17">
        <f t="shared" si="16"/>
        <v>-0.16347012466647393</v>
      </c>
      <c r="AI24" s="17">
        <f t="shared" si="17"/>
        <v>-7.0139644061965503E-2</v>
      </c>
      <c r="AJ24" s="17">
        <f t="shared" si="18"/>
        <v>0.75379304884961973</v>
      </c>
      <c r="AK24" s="17">
        <f t="shared" si="19"/>
        <v>4.2419412642390659</v>
      </c>
      <c r="AL24" s="17">
        <f t="shared" si="20"/>
        <v>3.7513009127289636</v>
      </c>
      <c r="AM24" s="17">
        <f t="shared" si="21"/>
        <v>0</v>
      </c>
    </row>
    <row r="25" spans="1:39" x14ac:dyDescent="0.25">
      <c r="A25" s="14" t="str">
        <f>$A$12</f>
        <v>Rest</v>
      </c>
      <c r="B25" s="15">
        <f t="shared" si="32"/>
        <v>57234.506946627502</v>
      </c>
      <c r="C25" s="15">
        <f t="shared" si="32"/>
        <v>297731.73329130688</v>
      </c>
      <c r="D25" s="15">
        <f t="shared" si="32"/>
        <v>399793.76058636169</v>
      </c>
      <c r="E25" s="15">
        <f t="shared" si="32"/>
        <v>169601.25807028534</v>
      </c>
      <c r="F25" s="15">
        <f t="shared" si="32"/>
        <v>88396.741105418609</v>
      </c>
      <c r="G25" s="15">
        <f t="shared" si="32"/>
        <v>1012758</v>
      </c>
      <c r="I25" s="14" t="str">
        <f>$A$12</f>
        <v>Rest</v>
      </c>
      <c r="J25" s="15" t="e">
        <f t="shared" ref="J25:O26" si="35">($W12/$O12)*J12</f>
        <v>#DIV/0!</v>
      </c>
      <c r="K25" s="15" t="e">
        <f t="shared" si="35"/>
        <v>#DIV/0!</v>
      </c>
      <c r="L25" s="15" t="e">
        <f t="shared" si="35"/>
        <v>#DIV/0!</v>
      </c>
      <c r="M25" s="15" t="e">
        <f t="shared" si="35"/>
        <v>#DIV/0!</v>
      </c>
      <c r="N25" s="15" t="e">
        <f t="shared" si="35"/>
        <v>#DIV/0!</v>
      </c>
      <c r="O25" s="15" t="e">
        <f t="shared" si="35"/>
        <v>#DIV/0!</v>
      </c>
      <c r="Q25" s="14" t="str">
        <f>$A$12</f>
        <v>Rest</v>
      </c>
      <c r="R25" s="15">
        <f t="shared" si="34"/>
        <v>52042.599006230615</v>
      </c>
      <c r="S25" s="15">
        <f t="shared" si="34"/>
        <v>299232.11714947841</v>
      </c>
      <c r="T25" s="15">
        <f t="shared" si="34"/>
        <v>402020.87775481388</v>
      </c>
      <c r="U25" s="15">
        <f t="shared" si="34"/>
        <v>177663.48892638998</v>
      </c>
      <c r="V25" s="15">
        <f t="shared" si="34"/>
        <v>81798.917163087172</v>
      </c>
      <c r="W25" s="15">
        <f t="shared" ref="W25" si="36">SUM(R25:V25)</f>
        <v>1012758</v>
      </c>
      <c r="Y25" s="14" t="str">
        <f>Q25</f>
        <v>Rest</v>
      </c>
      <c r="Z25" s="4">
        <f t="shared" ref="Z25" si="37">R25-B25</f>
        <v>-5191.9079403968863</v>
      </c>
      <c r="AA25" s="4">
        <f t="shared" ref="AA25" si="38">S25-C25</f>
        <v>1500.3838581715245</v>
      </c>
      <c r="AB25" s="4">
        <f t="shared" ref="AB25" si="39">T25-D25</f>
        <v>2227.1171684521833</v>
      </c>
      <c r="AC25" s="4">
        <f t="shared" ref="AC25" si="40">U25-E25</f>
        <v>8062.2308561046375</v>
      </c>
      <c r="AD25" s="4">
        <f t="shared" ref="AD25" si="41">V25-F25</f>
        <v>-6597.8239423314371</v>
      </c>
      <c r="AE25" s="4">
        <f t="shared" ref="AE25" si="42">W25-G25</f>
        <v>0</v>
      </c>
      <c r="AG25" s="14" t="str">
        <f>Y25</f>
        <v>Rest</v>
      </c>
      <c r="AH25" s="17">
        <f t="shared" ref="AH25" si="43">(R12-B25)/B25</f>
        <v>-9.0712897120586014E-2</v>
      </c>
      <c r="AI25" s="17">
        <f t="shared" ref="AI25" si="44">(S12-C25)/C25</f>
        <v>5.039381733298539E-3</v>
      </c>
      <c r="AJ25" s="17">
        <f t="shared" ref="AJ25" si="45">(T12-D25)/D25</f>
        <v>5.5706651479146612E-3</v>
      </c>
      <c r="AK25" s="17">
        <f t="shared" ref="AK25" si="46">(U12-E25)/E25</f>
        <v>4.7536385919752587E-2</v>
      </c>
      <c r="AL25" s="17">
        <f t="shared" ref="AL25" si="47">(V12-F25)/F25</f>
        <v>-7.46387690295406E-2</v>
      </c>
      <c r="AM25" s="17">
        <f t="shared" ref="AM25" si="48">(W12-G25)/G25</f>
        <v>0</v>
      </c>
    </row>
    <row r="26" spans="1:39" ht="15.75" thickBot="1" x14ac:dyDescent="0.3">
      <c r="A26" s="7" t="str">
        <f>$A$13</f>
        <v>Total</v>
      </c>
      <c r="B26" s="8">
        <f t="shared" ref="B26:G26" si="49">($W13/$G13)*B13</f>
        <v>127145.91498077277</v>
      </c>
      <c r="C26" s="8">
        <f t="shared" si="49"/>
        <v>493954.4835037365</v>
      </c>
      <c r="D26" s="8">
        <f t="shared" si="49"/>
        <v>561592.86150248768</v>
      </c>
      <c r="E26" s="8">
        <f t="shared" si="49"/>
        <v>215637.75133618058</v>
      </c>
      <c r="F26" s="8">
        <f t="shared" si="49"/>
        <v>108367.98867682261</v>
      </c>
      <c r="G26" s="8">
        <f t="shared" si="49"/>
        <v>1506699</v>
      </c>
      <c r="I26" s="7" t="str">
        <f>$A$13</f>
        <v>Total</v>
      </c>
      <c r="J26" s="8" t="e">
        <f t="shared" si="35"/>
        <v>#DIV/0!</v>
      </c>
      <c r="K26" s="8" t="e">
        <f t="shared" si="35"/>
        <v>#DIV/0!</v>
      </c>
      <c r="L26" s="8" t="e">
        <f t="shared" si="35"/>
        <v>#DIV/0!</v>
      </c>
      <c r="M26" s="8" t="e">
        <f t="shared" si="35"/>
        <v>#DIV/0!</v>
      </c>
      <c r="N26" s="8" t="e">
        <f t="shared" si="35"/>
        <v>#DIV/0!</v>
      </c>
      <c r="O26" s="8" t="e">
        <f t="shared" si="35"/>
        <v>#DIV/0!</v>
      </c>
      <c r="Q26" s="7" t="str">
        <f>$A$13</f>
        <v>Total</v>
      </c>
      <c r="R26" s="8">
        <f>SUM(R19:R25)</f>
        <v>109955.69254553909</v>
      </c>
      <c r="S26" s="8">
        <f t="shared" ref="S26:W26" si="50">SUM(S19:S25)</f>
        <v>477123.61063724017</v>
      </c>
      <c r="T26" s="8">
        <f t="shared" si="50"/>
        <v>568613.16065976233</v>
      </c>
      <c r="U26" s="8">
        <f t="shared" si="50"/>
        <v>242214.2820788495</v>
      </c>
      <c r="V26" s="8">
        <f t="shared" si="50"/>
        <v>108792.25407860904</v>
      </c>
      <c r="W26" s="8">
        <f t="shared" si="50"/>
        <v>1506699</v>
      </c>
      <c r="Y26" s="7" t="str">
        <f>$A$13</f>
        <v>Total</v>
      </c>
      <c r="Z26" s="4">
        <f t="shared" si="15"/>
        <v>-17190.222435233678</v>
      </c>
      <c r="AA26" s="4">
        <f t="shared" si="9"/>
        <v>-16830.872866496327</v>
      </c>
      <c r="AB26" s="4">
        <f t="shared" si="9"/>
        <v>7020.2991572746541</v>
      </c>
      <c r="AC26" s="4">
        <f t="shared" si="9"/>
        <v>26576.530742668925</v>
      </c>
      <c r="AD26" s="4">
        <f t="shared" si="9"/>
        <v>424.26540178642608</v>
      </c>
      <c r="AE26" s="4">
        <f t="shared" si="9"/>
        <v>0</v>
      </c>
      <c r="AG26" s="7" t="str">
        <f>$A$13</f>
        <v>Total</v>
      </c>
      <c r="AH26" s="17">
        <f t="shared" si="16"/>
        <v>-0.13520074504818511</v>
      </c>
      <c r="AI26" s="17">
        <f t="shared" si="17"/>
        <v>-3.4073732355076415E-2</v>
      </c>
      <c r="AJ26" s="17">
        <f t="shared" si="18"/>
        <v>1.2500691583743638E-2</v>
      </c>
      <c r="AK26" s="17">
        <f t="shared" si="19"/>
        <v>0.12324618754364559</v>
      </c>
      <c r="AL26" s="17">
        <f t="shared" si="20"/>
        <v>3.9150436117410987E-3</v>
      </c>
      <c r="AM26" s="17">
        <f t="shared" si="21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r="30" spans="1:39" ht="15.75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1.6825762896969505E-3</v>
      </c>
      <c r="C32" s="17">
        <f t="shared" ref="C32:G32" si="51">C19/$G$26</f>
        <v>1.4570002229780527E-2</v>
      </c>
      <c r="D32" s="17">
        <f t="shared" si="51"/>
        <v>1.6140237978375365E-2</v>
      </c>
      <c r="E32" s="17">
        <f t="shared" si="51"/>
        <v>4.4572171633922185E-3</v>
      </c>
      <c r="F32" s="17">
        <f t="shared" si="51"/>
        <v>3.2814059959127397E-3</v>
      </c>
      <c r="G32" s="17">
        <f t="shared" si="51"/>
        <v>4.0131439657157798E-2</v>
      </c>
      <c r="I32" s="3" t="str">
        <f>$A$6</f>
        <v>Bellevue</v>
      </c>
      <c r="J32" s="17" t="e">
        <f>J19/$O$26</f>
        <v>#DIV/0!</v>
      </c>
      <c r="K32" s="17" t="e">
        <f t="shared" ref="K32:O32" si="52">K19/$O$26</f>
        <v>#DIV/0!</v>
      </c>
      <c r="L32" s="17" t="e">
        <f t="shared" si="52"/>
        <v>#DIV/0!</v>
      </c>
      <c r="M32" s="17" t="e">
        <f t="shared" si="52"/>
        <v>#DIV/0!</v>
      </c>
      <c r="N32" s="17" t="e">
        <f t="shared" si="52"/>
        <v>#DIV/0!</v>
      </c>
      <c r="O32" s="17" t="e">
        <f t="shared" si="52"/>
        <v>#DIV/0!</v>
      </c>
      <c r="Q32" s="3" t="str">
        <f>$A$6</f>
        <v>Bellevue</v>
      </c>
      <c r="R32" s="17">
        <f>R6/$W$13</f>
        <v>1.819706523997162E-3</v>
      </c>
      <c r="S32" s="17">
        <f t="shared" ref="S32:W32" si="53">S6/$W$13</f>
        <v>1.1306836999294485E-2</v>
      </c>
      <c r="T32" s="17">
        <f t="shared" si="53"/>
        <v>1.6548593979288498E-2</v>
      </c>
      <c r="U32" s="17">
        <f t="shared" si="53"/>
        <v>7.296746065405234E-3</v>
      </c>
      <c r="V32" s="17">
        <f t="shared" si="53"/>
        <v>3.1595560891724225E-3</v>
      </c>
      <c r="W32" s="17">
        <f t="shared" si="53"/>
        <v>4.0131439657157798E-2</v>
      </c>
    </row>
    <row r="33" spans="1:23" x14ac:dyDescent="0.25">
      <c r="A33" s="3" t="str">
        <f>$A$7</f>
        <v>Bellevue Downtown</v>
      </c>
      <c r="B33" s="17">
        <f t="shared" ref="B33:G39" si="54">B20/$G$26</f>
        <v>1.0709544810177743E-3</v>
      </c>
      <c r="C33" s="17">
        <f t="shared" si="54"/>
        <v>2.1233158859910988E-3</v>
      </c>
      <c r="D33" s="17">
        <f t="shared" si="54"/>
        <v>5.7690742605948499E-4</v>
      </c>
      <c r="E33" s="17">
        <f t="shared" si="54"/>
        <v>1.8448953000015105E-4</v>
      </c>
      <c r="F33" s="17">
        <f t="shared" si="54"/>
        <v>0</v>
      </c>
      <c r="G33" s="17">
        <f t="shared" si="54"/>
        <v>3.955667323068509E-3</v>
      </c>
      <c r="I33" s="3" t="str">
        <f>$A$7</f>
        <v>Bellevue Downtown</v>
      </c>
      <c r="J33" s="17" t="e">
        <f t="shared" ref="J33:O39" si="55">J20/$O$26</f>
        <v>#DIV/0!</v>
      </c>
      <c r="K33" s="17" t="e">
        <f t="shared" si="55"/>
        <v>#DIV/0!</v>
      </c>
      <c r="L33" s="17" t="e">
        <f t="shared" si="55"/>
        <v>#DIV/0!</v>
      </c>
      <c r="M33" s="17" t="e">
        <f t="shared" si="55"/>
        <v>#DIV/0!</v>
      </c>
      <c r="N33" s="17" t="e">
        <f t="shared" si="55"/>
        <v>#DIV/0!</v>
      </c>
      <c r="O33" s="17" t="e">
        <f t="shared" si="55"/>
        <v>#DIV/0!</v>
      </c>
      <c r="Q33" s="3" t="str">
        <f>$A$7</f>
        <v>Bellevue Downtown</v>
      </c>
      <c r="R33" s="17">
        <f t="shared" ref="R33:W39" si="56">R7/$W$13</f>
        <v>9.6104132278577211E-4</v>
      </c>
      <c r="S33" s="17">
        <f t="shared" si="56"/>
        <v>1.8406131549831785E-3</v>
      </c>
      <c r="T33" s="17">
        <f t="shared" si="56"/>
        <v>8.080578801738104E-4</v>
      </c>
      <c r="U33" s="17">
        <f t="shared" si="56"/>
        <v>2.5436401032986682E-4</v>
      </c>
      <c r="V33" s="17">
        <f t="shared" si="56"/>
        <v>9.1590954795881595E-5</v>
      </c>
      <c r="W33" s="17">
        <f t="shared" si="56"/>
        <v>3.955667323068509E-3</v>
      </c>
    </row>
    <row r="34" spans="1:23" x14ac:dyDescent="0.25">
      <c r="A34" s="3" t="str">
        <f>$A$8</f>
        <v>Kirkland</v>
      </c>
      <c r="B34" s="17">
        <f t="shared" si="54"/>
        <v>1.3236811656666138E-3</v>
      </c>
      <c r="C34" s="17">
        <f t="shared" si="54"/>
        <v>1.1451820079280542E-2</v>
      </c>
      <c r="D34" s="17">
        <f t="shared" si="54"/>
        <v>1.7223875067274734E-2</v>
      </c>
      <c r="E34" s="17">
        <f t="shared" si="54"/>
        <v>5.7745408104652772E-3</v>
      </c>
      <c r="F34" s="17">
        <f t="shared" si="54"/>
        <v>1.9077963449662912E-3</v>
      </c>
      <c r="G34" s="17">
        <f t="shared" si="54"/>
        <v>3.7681713467653456E-2</v>
      </c>
      <c r="I34" s="3" t="str">
        <f>$A$8</f>
        <v>Kirkland</v>
      </c>
      <c r="J34" s="17" t="e">
        <f t="shared" si="55"/>
        <v>#DIV/0!</v>
      </c>
      <c r="K34" s="17" t="e">
        <f t="shared" si="55"/>
        <v>#DIV/0!</v>
      </c>
      <c r="L34" s="17" t="e">
        <f t="shared" si="55"/>
        <v>#DIV/0!</v>
      </c>
      <c r="M34" s="17" t="e">
        <f t="shared" si="55"/>
        <v>#DIV/0!</v>
      </c>
      <c r="N34" s="17" t="e">
        <f t="shared" si="55"/>
        <v>#DIV/0!</v>
      </c>
      <c r="O34" s="17" t="e">
        <f t="shared" si="55"/>
        <v>#DIV/0!</v>
      </c>
      <c r="Q34" s="3" t="str">
        <f>$A$8</f>
        <v>Kirkland</v>
      </c>
      <c r="R34" s="17">
        <f t="shared" si="56"/>
        <v>2.0062069464438486E-3</v>
      </c>
      <c r="S34" s="17">
        <f t="shared" si="56"/>
        <v>1.1999742483402458E-2</v>
      </c>
      <c r="T34" s="17">
        <f t="shared" si="56"/>
        <v>1.4900952346819107E-2</v>
      </c>
      <c r="U34" s="17">
        <f t="shared" si="56"/>
        <v>6.1873672180043924E-3</v>
      </c>
      <c r="V34" s="17">
        <f t="shared" si="56"/>
        <v>2.5874444729836548E-3</v>
      </c>
      <c r="W34" s="17">
        <f t="shared" si="56"/>
        <v>3.7681713467653456E-2</v>
      </c>
    </row>
    <row r="35" spans="1:23" x14ac:dyDescent="0.25">
      <c r="A35" s="14" t="str">
        <f>$A$9</f>
        <v>Redmond</v>
      </c>
      <c r="B35" s="72">
        <f t="shared" si="54"/>
        <v>1.2866544406554378E-3</v>
      </c>
      <c r="C35" s="72">
        <f t="shared" si="54"/>
        <v>9.9611597742861411E-3</v>
      </c>
      <c r="D35" s="72">
        <f t="shared" si="54"/>
        <v>1.1175654832448718E-2</v>
      </c>
      <c r="E35" s="72">
        <f t="shared" si="54"/>
        <v>4.3201667716633169E-3</v>
      </c>
      <c r="F35" s="72">
        <f t="shared" si="54"/>
        <v>1.9303063551961827E-3</v>
      </c>
      <c r="G35" s="72">
        <f t="shared" si="54"/>
        <v>2.8673942174249799E-2</v>
      </c>
      <c r="H35" s="73"/>
      <c r="I35" s="14" t="str">
        <f>$A$9</f>
        <v>Redmond</v>
      </c>
      <c r="J35" s="72" t="e">
        <f t="shared" si="55"/>
        <v>#DIV/0!</v>
      </c>
      <c r="K35" s="72" t="e">
        <f t="shared" si="55"/>
        <v>#DIV/0!</v>
      </c>
      <c r="L35" s="72" t="e">
        <f t="shared" si="55"/>
        <v>#DIV/0!</v>
      </c>
      <c r="M35" s="72" t="e">
        <f t="shared" si="55"/>
        <v>#DIV/0!</v>
      </c>
      <c r="N35" s="72" t="e">
        <f t="shared" si="55"/>
        <v>#DIV/0!</v>
      </c>
      <c r="O35" s="72" t="e">
        <f t="shared" si="55"/>
        <v>#DIV/0!</v>
      </c>
      <c r="Q35" s="3" t="str">
        <f>$A$9</f>
        <v>Redmond</v>
      </c>
      <c r="R35" s="17">
        <f t="shared" si="56"/>
        <v>1.0883062907720785E-3</v>
      </c>
      <c r="S35" s="17">
        <f t="shared" si="56"/>
        <v>7.8295333042631612E-3</v>
      </c>
      <c r="T35" s="17">
        <f t="shared" si="56"/>
        <v>1.1848750148503451E-2</v>
      </c>
      <c r="U35" s="17">
        <f t="shared" si="56"/>
        <v>5.5648142064207914E-3</v>
      </c>
      <c r="V35" s="17">
        <f t="shared" si="56"/>
        <v>2.3425382242903193E-3</v>
      </c>
      <c r="W35" s="17">
        <f t="shared" si="56"/>
        <v>2.8673942174249799E-2</v>
      </c>
    </row>
    <row r="36" spans="1:23" x14ac:dyDescent="0.25">
      <c r="A36" s="14" t="str">
        <f>$A$10</f>
        <v>Seattle</v>
      </c>
      <c r="B36" s="72">
        <f t="shared" si="54"/>
        <v>2.8452893564696897E-2</v>
      </c>
      <c r="C36" s="72">
        <f t="shared" si="54"/>
        <v>7.8545817007005025E-2</v>
      </c>
      <c r="D36" s="72">
        <f t="shared" si="54"/>
        <v>6.0971391051501095E-2</v>
      </c>
      <c r="E36" s="72">
        <f t="shared" si="54"/>
        <v>1.6371500479690802E-2</v>
      </c>
      <c r="F36" s="72">
        <f t="shared" si="54"/>
        <v>6.5100543991679942E-3</v>
      </c>
      <c r="G36" s="72">
        <f t="shared" si="54"/>
        <v>0.19085165650206182</v>
      </c>
      <c r="H36" s="73"/>
      <c r="I36" s="14" t="str">
        <f>$A$10</f>
        <v>Seattle</v>
      </c>
      <c r="J36" s="72" t="e">
        <f t="shared" si="55"/>
        <v>#DIV/0!</v>
      </c>
      <c r="K36" s="72" t="e">
        <f t="shared" si="55"/>
        <v>#DIV/0!</v>
      </c>
      <c r="L36" s="72" t="e">
        <f t="shared" si="55"/>
        <v>#DIV/0!</v>
      </c>
      <c r="M36" s="72" t="e">
        <f t="shared" si="55"/>
        <v>#DIV/0!</v>
      </c>
      <c r="N36" s="72" t="e">
        <f t="shared" si="55"/>
        <v>#DIV/0!</v>
      </c>
      <c r="O36" s="72" t="e">
        <f t="shared" si="55"/>
        <v>#DIV/0!</v>
      </c>
      <c r="Q36" s="3" t="str">
        <f>$A$10</f>
        <v>Seattle</v>
      </c>
      <c r="R36" s="17">
        <f t="shared" si="56"/>
        <v>2.2740284644193122E-2</v>
      </c>
      <c r="S36" s="17">
        <f t="shared" si="56"/>
        <v>7.3557132346110013E-2</v>
      </c>
      <c r="T36" s="17">
        <f t="shared" si="56"/>
        <v>6.2783744781108333E-2</v>
      </c>
      <c r="U36" s="17">
        <f t="shared" si="56"/>
        <v>2.2434728712774681E-2</v>
      </c>
      <c r="V36" s="17">
        <f t="shared" si="56"/>
        <v>9.3357660178756702E-3</v>
      </c>
      <c r="W36" s="17">
        <f t="shared" si="56"/>
        <v>0.19085165650206182</v>
      </c>
    </row>
    <row r="37" spans="1:23" x14ac:dyDescent="0.25">
      <c r="A37" s="14" t="str">
        <f>$A$11</f>
        <v>Seattle Downtown</v>
      </c>
      <c r="B37" s="72">
        <f t="shared" si="54"/>
        <v>1.1740792094969322E-2</v>
      </c>
      <c r="C37" s="72">
        <f t="shared" si="54"/>
        <v>1.2403134752893721E-2</v>
      </c>
      <c r="D37" s="72">
        <f t="shared" si="54"/>
        <v>2.0969562724264352E-3</v>
      </c>
      <c r="E37" s="72">
        <f t="shared" si="54"/>
        <v>2.1070574922037966E-4</v>
      </c>
      <c r="F37" s="72">
        <f t="shared" si="54"/>
        <v>8.3903621027401812E-5</v>
      </c>
      <c r="G37" s="72">
        <f t="shared" si="54"/>
        <v>2.6535492490537261E-2</v>
      </c>
      <c r="H37" s="73"/>
      <c r="I37" s="14" t="str">
        <f>$A$11</f>
        <v>Seattle Downtown</v>
      </c>
      <c r="J37" s="72" t="e">
        <f t="shared" si="55"/>
        <v>#DIV/0!</v>
      </c>
      <c r="K37" s="72" t="e">
        <f t="shared" si="55"/>
        <v>#DIV/0!</v>
      </c>
      <c r="L37" s="72" t="e">
        <f t="shared" si="55"/>
        <v>#DIV/0!</v>
      </c>
      <c r="M37" s="72" t="e">
        <f t="shared" si="55"/>
        <v>#DIV/0!</v>
      </c>
      <c r="N37" s="72" t="e">
        <f t="shared" si="55"/>
        <v>#DIV/0!</v>
      </c>
      <c r="O37" s="72" t="e">
        <f t="shared" si="55"/>
        <v>#DIV/0!</v>
      </c>
      <c r="Q37" s="14" t="str">
        <f>$A$11</f>
        <v>Seattle Downtown</v>
      </c>
      <c r="R37" s="72">
        <f t="shared" si="56"/>
        <v>9.8215233475215345E-3</v>
      </c>
      <c r="S37" s="72">
        <f t="shared" si="56"/>
        <v>1.153318329607316E-2</v>
      </c>
      <c r="T37" s="72">
        <f t="shared" si="56"/>
        <v>3.6776273343230919E-3</v>
      </c>
      <c r="U37" s="72">
        <f t="shared" si="56"/>
        <v>1.1045071614507165E-3</v>
      </c>
      <c r="V37" s="72">
        <f t="shared" si="56"/>
        <v>3.986513511687593E-4</v>
      </c>
      <c r="W37" s="72">
        <f t="shared" si="56"/>
        <v>2.6535492490537261E-2</v>
      </c>
    </row>
    <row r="38" spans="1:23" x14ac:dyDescent="0.25">
      <c r="A38" s="14" t="str">
        <f>A25</f>
        <v>Rest</v>
      </c>
      <c r="B38" s="72">
        <f t="shared" si="54"/>
        <v>3.7986689409515439E-2</v>
      </c>
      <c r="C38" s="72">
        <f t="shared" si="54"/>
        <v>0.19760531684915625</v>
      </c>
      <c r="D38" s="72">
        <f t="shared" si="54"/>
        <v>0.26534414676478957</v>
      </c>
      <c r="E38" s="72">
        <f t="shared" si="54"/>
        <v>0.11256479102347937</v>
      </c>
      <c r="F38" s="72">
        <f t="shared" si="54"/>
        <v>5.8669144338330752E-2</v>
      </c>
      <c r="G38" s="72">
        <f t="shared" si="54"/>
        <v>0.67217008838527137</v>
      </c>
      <c r="H38" s="73"/>
      <c r="I38" s="14" t="str">
        <f>$A$12</f>
        <v>Rest</v>
      </c>
      <c r="J38" s="72" t="e">
        <f t="shared" si="55"/>
        <v>#DIV/0!</v>
      </c>
      <c r="K38" s="72" t="e">
        <f t="shared" si="55"/>
        <v>#DIV/0!</v>
      </c>
      <c r="L38" s="72" t="e">
        <f t="shared" si="55"/>
        <v>#DIV/0!</v>
      </c>
      <c r="M38" s="72" t="e">
        <f t="shared" si="55"/>
        <v>#DIV/0!</v>
      </c>
      <c r="N38" s="72" t="e">
        <f t="shared" si="55"/>
        <v>#DIV/0!</v>
      </c>
      <c r="O38" s="72" t="e">
        <f t="shared" si="55"/>
        <v>#DIV/0!</v>
      </c>
      <c r="Q38" s="14" t="str">
        <f>A38</f>
        <v>Rest</v>
      </c>
      <c r="R38" s="72">
        <f t="shared" si="56"/>
        <v>3.4540806761158407E-2</v>
      </c>
      <c r="S38" s="72">
        <f t="shared" si="56"/>
        <v>0.19860112547328856</v>
      </c>
      <c r="T38" s="72">
        <f t="shared" si="56"/>
        <v>0.26682229015537534</v>
      </c>
      <c r="U38" s="72">
        <f t="shared" si="56"/>
        <v>0.11791571437054779</v>
      </c>
      <c r="V38" s="72">
        <f t="shared" si="56"/>
        <v>5.4290151624901306E-2</v>
      </c>
      <c r="W38" s="72">
        <f t="shared" si="56"/>
        <v>0.67217008838527137</v>
      </c>
    </row>
    <row r="39" spans="1:23" ht="15.75" thickBot="1" x14ac:dyDescent="0.3">
      <c r="A39" s="7" t="str">
        <f>$A$13</f>
        <v>Total</v>
      </c>
      <c r="B39" s="19">
        <f t="shared" si="54"/>
        <v>8.4387070662934507E-2</v>
      </c>
      <c r="C39" s="19">
        <f t="shared" si="54"/>
        <v>0.3278388606508244</v>
      </c>
      <c r="D39" s="19">
        <f t="shared" si="54"/>
        <v>0.37273062602582713</v>
      </c>
      <c r="E39" s="19">
        <f t="shared" si="54"/>
        <v>0.14311932996317153</v>
      </c>
      <c r="F39" s="19">
        <f t="shared" si="54"/>
        <v>7.1924112697242526E-2</v>
      </c>
      <c r="G39" s="19">
        <f t="shared" si="54"/>
        <v>1</v>
      </c>
      <c r="H39" s="73"/>
      <c r="I39" s="7" t="str">
        <f>$A$13</f>
        <v>Total</v>
      </c>
      <c r="J39" s="19" t="e">
        <f t="shared" si="55"/>
        <v>#DIV/0!</v>
      </c>
      <c r="K39" s="19" t="e">
        <f t="shared" si="55"/>
        <v>#DIV/0!</v>
      </c>
      <c r="L39" s="19" t="e">
        <f t="shared" si="55"/>
        <v>#DIV/0!</v>
      </c>
      <c r="M39" s="19" t="e">
        <f t="shared" si="55"/>
        <v>#DIV/0!</v>
      </c>
      <c r="N39" s="19" t="e">
        <f t="shared" si="55"/>
        <v>#DIV/0!</v>
      </c>
      <c r="O39" s="19" t="e">
        <f t="shared" si="55"/>
        <v>#DIV/0!</v>
      </c>
      <c r="Q39" s="7" t="str">
        <f>$A$13</f>
        <v>Total</v>
      </c>
      <c r="R39" s="19">
        <f t="shared" si="56"/>
        <v>7.2977875836871917E-2</v>
      </c>
      <c r="S39" s="19">
        <f t="shared" si="56"/>
        <v>0.31666816705741502</v>
      </c>
      <c r="T39" s="19">
        <f t="shared" si="56"/>
        <v>0.37739001662559168</v>
      </c>
      <c r="U39" s="19">
        <f t="shared" si="56"/>
        <v>0.16075824174493347</v>
      </c>
      <c r="V39" s="19">
        <f t="shared" si="56"/>
        <v>7.2205698735188006E-2</v>
      </c>
      <c r="W39" s="19">
        <f t="shared" si="56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r="43" spans="1:23" ht="15.75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t="shared" ref="S45:W45" si="57">S32-K32</f>
        <v>#DIV/0!</v>
      </c>
      <c r="T45" s="17" t="e">
        <f t="shared" si="57"/>
        <v>#DIV/0!</v>
      </c>
      <c r="U45" s="17" t="e">
        <f t="shared" si="57"/>
        <v>#DIV/0!</v>
      </c>
      <c r="V45" s="17" t="e">
        <f t="shared" si="57"/>
        <v>#DIV/0!</v>
      </c>
      <c r="W45" s="17" t="e">
        <f t="shared" si="57"/>
        <v>#DIV/0!</v>
      </c>
    </row>
    <row r="46" spans="1:23" x14ac:dyDescent="0.25">
      <c r="Q46" s="3" t="str">
        <f>$A$7</f>
        <v>Bellevue Downtown</v>
      </c>
      <c r="R46" s="17" t="e">
        <f t="shared" ref="R46:W46" si="58">R33-J33</f>
        <v>#DIV/0!</v>
      </c>
      <c r="S46" s="17" t="e">
        <f t="shared" si="58"/>
        <v>#DIV/0!</v>
      </c>
      <c r="T46" s="17" t="e">
        <f t="shared" si="58"/>
        <v>#DIV/0!</v>
      </c>
      <c r="U46" s="17" t="e">
        <f t="shared" si="58"/>
        <v>#DIV/0!</v>
      </c>
      <c r="V46" s="17" t="e">
        <f t="shared" si="58"/>
        <v>#DIV/0!</v>
      </c>
      <c r="W46" s="17" t="e">
        <f t="shared" si="58"/>
        <v>#DIV/0!</v>
      </c>
    </row>
    <row r="47" spans="1:23" x14ac:dyDescent="0.25">
      <c r="Q47" s="3" t="str">
        <f>$A$8</f>
        <v>Kirkland</v>
      </c>
      <c r="R47" s="17" t="e">
        <f t="shared" ref="R47:R49" si="59">R34-J34</f>
        <v>#DIV/0!</v>
      </c>
      <c r="S47" s="17" t="e">
        <f t="shared" ref="S47:S49" si="60">S34-K34</f>
        <v>#DIV/0!</v>
      </c>
      <c r="T47" s="17" t="e">
        <f t="shared" ref="T47:T49" si="61">T34-L34</f>
        <v>#DIV/0!</v>
      </c>
      <c r="U47" s="17" t="e">
        <f t="shared" ref="U47:U49" si="62">U34-M34</f>
        <v>#DIV/0!</v>
      </c>
      <c r="V47" s="17" t="e">
        <f t="shared" ref="V47:V49" si="63">V34-N34</f>
        <v>#DIV/0!</v>
      </c>
      <c r="W47" s="17" t="e">
        <f t="shared" ref="W47:W49" si="64">W34-O34</f>
        <v>#DIV/0!</v>
      </c>
    </row>
    <row r="48" spans="1:23" x14ac:dyDescent="0.25">
      <c r="Q48" s="3" t="str">
        <f>$A$9</f>
        <v>Redmond</v>
      </c>
      <c r="R48" s="17" t="e">
        <f t="shared" si="59"/>
        <v>#DIV/0!</v>
      </c>
      <c r="S48" s="17" t="e">
        <f t="shared" si="60"/>
        <v>#DIV/0!</v>
      </c>
      <c r="T48" s="17" t="e">
        <f t="shared" si="61"/>
        <v>#DIV/0!</v>
      </c>
      <c r="U48" s="17" t="e">
        <f t="shared" si="62"/>
        <v>#DIV/0!</v>
      </c>
      <c r="V48" s="17" t="e">
        <f t="shared" si="63"/>
        <v>#DIV/0!</v>
      </c>
      <c r="W48" s="17" t="e">
        <f t="shared" si="64"/>
        <v>#DIV/0!</v>
      </c>
    </row>
    <row r="49" spans="17:23" x14ac:dyDescent="0.25">
      <c r="Q49" s="3" t="str">
        <f>$A$10</f>
        <v>Seattle</v>
      </c>
      <c r="R49" s="17" t="e">
        <f t="shared" si="59"/>
        <v>#DIV/0!</v>
      </c>
      <c r="S49" s="17" t="e">
        <f t="shared" si="60"/>
        <v>#DIV/0!</v>
      </c>
      <c r="T49" s="17" t="e">
        <f t="shared" si="61"/>
        <v>#DIV/0!</v>
      </c>
      <c r="U49" s="17" t="e">
        <f t="shared" si="62"/>
        <v>#DIV/0!</v>
      </c>
      <c r="V49" s="17" t="e">
        <f t="shared" si="63"/>
        <v>#DIV/0!</v>
      </c>
      <c r="W49" s="17" t="e">
        <f t="shared" si="64"/>
        <v>#DIV/0!</v>
      </c>
    </row>
    <row r="50" spans="17:23" x14ac:dyDescent="0.25">
      <c r="Q50" s="14" t="str">
        <f>$A$11</f>
        <v>Seattle Downtown</v>
      </c>
      <c r="R50" s="72" t="e">
        <f t="shared" ref="R50:W50" si="65">R37-J37</f>
        <v>#DIV/0!</v>
      </c>
      <c r="S50" s="72" t="e">
        <f t="shared" si="65"/>
        <v>#DIV/0!</v>
      </c>
      <c r="T50" s="72" t="e">
        <f t="shared" si="65"/>
        <v>#DIV/0!</v>
      </c>
      <c r="U50" s="72" t="e">
        <f t="shared" si="65"/>
        <v>#DIV/0!</v>
      </c>
      <c r="V50" s="72" t="e">
        <f t="shared" si="65"/>
        <v>#DIV/0!</v>
      </c>
      <c r="W50" s="72" t="e">
        <f t="shared" si="65"/>
        <v>#DIV/0!</v>
      </c>
    </row>
    <row r="51" spans="17:23" x14ac:dyDescent="0.25">
      <c r="Q51" s="14" t="str">
        <f>$A$12</f>
        <v>Rest</v>
      </c>
      <c r="R51" s="72" t="e">
        <f t="shared" ref="R51:W52" si="66">R38-J38</f>
        <v>#DIV/0!</v>
      </c>
      <c r="S51" s="72" t="e">
        <f t="shared" si="66"/>
        <v>#DIV/0!</v>
      </c>
      <c r="T51" s="72" t="e">
        <f t="shared" si="66"/>
        <v>#DIV/0!</v>
      </c>
      <c r="U51" s="72" t="e">
        <f t="shared" si="66"/>
        <v>#DIV/0!</v>
      </c>
      <c r="V51" s="72" t="e">
        <f t="shared" si="66"/>
        <v>#DIV/0!</v>
      </c>
      <c r="W51" s="72" t="e">
        <f t="shared" si="66"/>
        <v>#DIV/0!</v>
      </c>
    </row>
    <row r="52" spans="17:23" ht="15.75" thickBot="1" x14ac:dyDescent="0.3">
      <c r="Q52" s="7" t="str">
        <f>$A$13</f>
        <v>Total</v>
      </c>
      <c r="R52" s="19" t="e">
        <f t="shared" si="66"/>
        <v>#DIV/0!</v>
      </c>
      <c r="S52" s="19" t="e">
        <f t="shared" ref="S52" si="67">S39-K39</f>
        <v>#DIV/0!</v>
      </c>
      <c r="T52" s="19" t="e">
        <f t="shared" ref="T52" si="68">T39-L39</f>
        <v>#DIV/0!</v>
      </c>
      <c r="U52" s="19" t="e">
        <f t="shared" ref="U52" si="69">U39-M39</f>
        <v>#DIV/0!</v>
      </c>
      <c r="V52" s="19" t="e">
        <f t="shared" ref="V52" si="70">V39-N39</f>
        <v>#DIV/0!</v>
      </c>
      <c r="W52" s="19" t="e">
        <f t="shared" ref="W52" si="71">W39-O39</f>
        <v>#DIV/0!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width="9.28515625" customWidth="1" collapsed="1"/>
  </cols>
  <sheetData>
    <row r="1" spans="1:39" ht="21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>
        <v>48444.779000000002</v>
      </c>
      <c r="C6" s="4">
        <v>80655.637900000002</v>
      </c>
      <c r="D6" s="4">
        <v>54487.751499999998</v>
      </c>
      <c r="E6" s="4">
        <v>23488.903200000001</v>
      </c>
      <c r="F6" s="4">
        <v>8085.0096000000003</v>
      </c>
      <c r="G6" s="4">
        <f>SUM(B6:F6)</f>
        <v>215162.08120000002</v>
      </c>
      <c r="I6" s="3" t="s">
        <v>6</v>
      </c>
      <c r="O6" s="4"/>
      <c r="Q6" s="3" t="s">
        <v>6</v>
      </c>
      <c r="R6" s="50">
        <v>43890.820571728058</v>
      </c>
      <c r="S6" s="54">
        <v>67382.914516043194</v>
      </c>
      <c r="T6" s="58">
        <v>14566.906307838373</v>
      </c>
      <c r="U6" s="62">
        <v>3603.0477093019131</v>
      </c>
      <c r="V6" s="66">
        <v>1256.5013542073239</v>
      </c>
      <c r="W6" s="4">
        <f>SUM(R6:V6)</f>
        <v>130700.19045911888</v>
      </c>
    </row>
    <row r="7" spans="1:39" x14ac:dyDescent="0.25">
      <c r="A7" s="3" t="s">
        <v>7</v>
      </c>
      <c r="B7" s="4">
        <v>65323.175499999998</v>
      </c>
      <c r="C7" s="4">
        <v>227458.78330000001</v>
      </c>
      <c r="D7" s="4">
        <v>104715.3944</v>
      </c>
      <c r="E7" s="4">
        <v>27836.1211</v>
      </c>
      <c r="F7" s="4">
        <v>10937.7289</v>
      </c>
      <c r="G7" s="4">
        <f t="shared" ref="G7:G10" si="0">SUM(B7:F7)</f>
        <v>436271.20319999999</v>
      </c>
      <c r="I7" s="3" t="s">
        <v>7</v>
      </c>
      <c r="O7" s="4"/>
      <c r="Q7" s="3" t="s">
        <v>7</v>
      </c>
      <c r="R7" s="51">
        <v>45072.210191295526</v>
      </c>
      <c r="S7" s="55">
        <v>198522.83917820096</v>
      </c>
      <c r="T7" s="59">
        <v>125658.19346917432</v>
      </c>
      <c r="U7" s="63">
        <v>32010.157144422563</v>
      </c>
      <c r="V7" s="67">
        <v>13026.4095577878</v>
      </c>
      <c r="W7" s="4">
        <f t="shared" ref="W7:W10" si="1">SUM(R7:V7)</f>
        <v>414289.80954088119</v>
      </c>
    </row>
    <row r="8" spans="1:39" x14ac:dyDescent="0.25">
      <c r="A8" s="3" t="s">
        <v>8</v>
      </c>
      <c r="B8" s="4">
        <v>7057.9723000000004</v>
      </c>
      <c r="C8" s="4">
        <v>93402.617400000003</v>
      </c>
      <c r="D8" s="4">
        <v>99877.823000000004</v>
      </c>
      <c r="E8" s="4">
        <v>34012.2883</v>
      </c>
      <c r="F8" s="4">
        <v>15173.966</v>
      </c>
      <c r="G8" s="4">
        <f t="shared" si="0"/>
        <v>249524.66700000002</v>
      </c>
      <c r="I8" s="3" t="s">
        <v>8</v>
      </c>
      <c r="O8" s="4"/>
      <c r="Q8" s="3" t="s">
        <v>8</v>
      </c>
      <c r="R8" s="52">
        <v>9849.7379520726572</v>
      </c>
      <c r="S8" s="56">
        <v>89603.942313244464</v>
      </c>
      <c r="T8" s="60">
        <v>112042.93631658255</v>
      </c>
      <c r="U8" s="64">
        <v>42410.680022109613</v>
      </c>
      <c r="V8" s="68">
        <v>15451.419712787765</v>
      </c>
      <c r="W8" s="4">
        <f t="shared" si="1"/>
        <v>269358.71631679707</v>
      </c>
    </row>
    <row r="9" spans="1:39" x14ac:dyDescent="0.25">
      <c r="A9" s="5" t="s">
        <v>9</v>
      </c>
      <c r="B9" s="4">
        <v>8313.2075999999997</v>
      </c>
      <c r="C9" s="4">
        <v>100180.98639999999</v>
      </c>
      <c r="D9" s="4">
        <v>311315.77590000001</v>
      </c>
      <c r="E9" s="4">
        <v>133680.91190000001</v>
      </c>
      <c r="F9" s="4">
        <v>75870.129000000001</v>
      </c>
      <c r="G9" s="6">
        <f t="shared" si="0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>
        <v>11142.923830442853</v>
      </c>
      <c r="S9" s="57">
        <v>121613.91462975153</v>
      </c>
      <c r="T9" s="61">
        <v>316345.12456616701</v>
      </c>
      <c r="U9" s="65">
        <v>164190.39720301543</v>
      </c>
      <c r="V9" s="69">
        <v>79057.923453826152</v>
      </c>
      <c r="W9" s="6">
        <f t="shared" si="1"/>
        <v>692350.28368320293</v>
      </c>
    </row>
    <row r="10" spans="1:39" ht="15.75" thickBot="1" x14ac:dyDescent="0.3">
      <c r="A10" s="7" t="s">
        <v>4</v>
      </c>
      <c r="B10" s="8">
        <f>SUM(B6:B9)</f>
        <v>129139.13439999998</v>
      </c>
      <c r="C10" s="8">
        <f t="shared" ref="C10:F10" si="2">SUM(C6:C9)</f>
        <v>501698.02499999997</v>
      </c>
      <c r="D10" s="8">
        <f t="shared" si="2"/>
        <v>570396.74479999999</v>
      </c>
      <c r="E10" s="8">
        <f t="shared" si="2"/>
        <v>219018.22450000001</v>
      </c>
      <c r="F10" s="8">
        <f t="shared" si="2"/>
        <v>110066.83350000001</v>
      </c>
      <c r="G10" s="8">
        <f t="shared" si="0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109955.6925455391</v>
      </c>
      <c r="S10" s="8">
        <f t="shared" ref="S10" si="3">SUM(S6:S9)</f>
        <v>477123.61063724011</v>
      </c>
      <c r="T10" s="8">
        <f t="shared" ref="T10" si="4">SUM(T6:T9)</f>
        <v>568613.16065976222</v>
      </c>
      <c r="U10" s="8">
        <f t="shared" ref="U10" si="5">SUM(U6:U9)</f>
        <v>242214.2820788495</v>
      </c>
      <c r="V10" s="8">
        <f t="shared" ref="V10" si="6">SUM(V6:V9)</f>
        <v>108792.25407860904</v>
      </c>
      <c r="W10" s="8">
        <f t="shared" si="1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t="shared" ref="B16:G20" si="7">($W6/$G6)*B6</f>
        <v>29427.77745379943</v>
      </c>
      <c r="C16" s="4">
        <f t="shared" si="7"/>
        <v>48994.261332380745</v>
      </c>
      <c r="D16" s="4">
        <f t="shared" si="7"/>
        <v>33098.580656130689</v>
      </c>
      <c r="E16" s="4">
        <f t="shared" si="7"/>
        <v>14268.332527710309</v>
      </c>
      <c r="F16" s="4">
        <f t="shared" si="7"/>
        <v>4911.2384890976991</v>
      </c>
      <c r="G16" s="4">
        <f t="shared" si="7"/>
        <v>130700.19045911888</v>
      </c>
      <c r="I16" s="3" t="s">
        <v>6</v>
      </c>
      <c r="J16" s="4" t="e">
        <f t="shared" ref="J16:O20" si="8">($W6/$O6)*J6</f>
        <v>#DIV/0!</v>
      </c>
      <c r="K16" s="4" t="e">
        <f t="shared" si="8"/>
        <v>#DIV/0!</v>
      </c>
      <c r="L16" s="4" t="e">
        <f t="shared" si="8"/>
        <v>#DIV/0!</v>
      </c>
      <c r="M16" s="4" t="e">
        <f t="shared" si="8"/>
        <v>#DIV/0!</v>
      </c>
      <c r="N16" s="4" t="e">
        <f t="shared" si="8"/>
        <v>#DIV/0!</v>
      </c>
      <c r="O16" s="4" t="e">
        <f t="shared" si="8"/>
        <v>#DIV/0!</v>
      </c>
      <c r="Q16" s="3" t="s">
        <v>6</v>
      </c>
      <c r="R16" s="4">
        <f t="shared" ref="R16:V19" si="9">R6</f>
        <v>43890.820571728058</v>
      </c>
      <c r="S16" s="4">
        <f t="shared" si="9"/>
        <v>67382.914516043194</v>
      </c>
      <c r="T16" s="4">
        <f t="shared" si="9"/>
        <v>14566.906307838373</v>
      </c>
      <c r="U16" s="4">
        <f t="shared" si="9"/>
        <v>3603.0477093019131</v>
      </c>
      <c r="V16" s="4">
        <f t="shared" si="9"/>
        <v>1256.5013542073239</v>
      </c>
      <c r="W16" s="4">
        <f>SUM(R16:V16)</f>
        <v>130700.19045911888</v>
      </c>
      <c r="Y16" s="3" t="s">
        <v>6</v>
      </c>
      <c r="Z16" s="4" t="e">
        <f>R16-J16</f>
        <v>#DIV/0!</v>
      </c>
      <c r="AA16" s="4" t="e">
        <f t="shared" ref="AA16:AA20" si="10">S16-K16</f>
        <v>#DIV/0!</v>
      </c>
      <c r="AB16" s="4" t="e">
        <f t="shared" ref="AB16:AB20" si="11">T16-L16</f>
        <v>#DIV/0!</v>
      </c>
      <c r="AC16" s="4" t="e">
        <f t="shared" ref="AC16:AC20" si="12">U16-M16</f>
        <v>#DIV/0!</v>
      </c>
      <c r="AD16" s="4" t="e">
        <f t="shared" ref="AD16:AD20" si="13">V16-N16</f>
        <v>#DIV/0!</v>
      </c>
      <c r="AE16" s="4" t="e">
        <f t="shared" ref="AE16:AE20" si="14">W16-O16</f>
        <v>#DIV/0!</v>
      </c>
      <c r="AG16" s="3" t="s">
        <v>6</v>
      </c>
      <c r="AH16" s="17" t="e">
        <f>Z16/J16</f>
        <v>#DIV/0!</v>
      </c>
      <c r="AI16" s="17" t="e">
        <f t="shared" ref="AI16:AI20" si="15">AA16/K16</f>
        <v>#DIV/0!</v>
      </c>
      <c r="AJ16" s="17" t="e">
        <f t="shared" ref="AJ16:AJ20" si="16">AB16/L16</f>
        <v>#DIV/0!</v>
      </c>
      <c r="AK16" s="17" t="e">
        <f t="shared" ref="AK16:AK20" si="17">AC16/M16</f>
        <v>#DIV/0!</v>
      </c>
      <c r="AL16" s="17" t="e">
        <f t="shared" ref="AL16:AL20" si="18">AD16/N16</f>
        <v>#DIV/0!</v>
      </c>
      <c r="AM16" s="17" t="e">
        <f t="shared" ref="AM16:AM20" si="19">AE16/O16</f>
        <v>#DIV/0!</v>
      </c>
    </row>
    <row r="17" spans="1:39" x14ac:dyDescent="0.25">
      <c r="A17" s="3" t="s">
        <v>7</v>
      </c>
      <c r="B17" s="4">
        <f t="shared" si="7"/>
        <v>62031.88690428916</v>
      </c>
      <c r="C17" s="4">
        <f t="shared" si="7"/>
        <v>215998.34075814055</v>
      </c>
      <c r="D17" s="4">
        <f t="shared" si="7"/>
        <v>99439.340675635642</v>
      </c>
      <c r="E17" s="4">
        <f t="shared" si="7"/>
        <v>26433.606491302573</v>
      </c>
      <c r="F17" s="4">
        <f t="shared" si="7"/>
        <v>10386.634711513299</v>
      </c>
      <c r="G17" s="4">
        <f t="shared" si="7"/>
        <v>414289.80954088119</v>
      </c>
      <c r="I17" s="3" t="s">
        <v>7</v>
      </c>
      <c r="J17" s="4" t="e">
        <f t="shared" si="8"/>
        <v>#DIV/0!</v>
      </c>
      <c r="K17" s="4" t="e">
        <f t="shared" si="8"/>
        <v>#DIV/0!</v>
      </c>
      <c r="L17" s="4" t="e">
        <f t="shared" si="8"/>
        <v>#DIV/0!</v>
      </c>
      <c r="M17" s="4" t="e">
        <f t="shared" si="8"/>
        <v>#DIV/0!</v>
      </c>
      <c r="N17" s="4" t="e">
        <f t="shared" si="8"/>
        <v>#DIV/0!</v>
      </c>
      <c r="O17" s="4" t="e">
        <f t="shared" si="8"/>
        <v>#DIV/0!</v>
      </c>
      <c r="Q17" s="3" t="s">
        <v>7</v>
      </c>
      <c r="R17" s="4">
        <f t="shared" si="9"/>
        <v>45072.210191295526</v>
      </c>
      <c r="S17" s="4">
        <f t="shared" si="9"/>
        <v>198522.83917820096</v>
      </c>
      <c r="T17" s="4">
        <f t="shared" si="9"/>
        <v>125658.19346917432</v>
      </c>
      <c r="U17" s="4">
        <f t="shared" si="9"/>
        <v>32010.157144422563</v>
      </c>
      <c r="V17" s="4">
        <f t="shared" si="9"/>
        <v>13026.4095577878</v>
      </c>
      <c r="W17" s="4">
        <f t="shared" ref="W17:W20" si="20">SUM(R17:V17)</f>
        <v>414289.80954088119</v>
      </c>
      <c r="Y17" s="3" t="s">
        <v>7</v>
      </c>
      <c r="Z17" s="4" t="e">
        <f t="shared" ref="Z17:Z20" si="21">R17-J17</f>
        <v>#DIV/0!</v>
      </c>
      <c r="AA17" s="4" t="e">
        <f t="shared" si="10"/>
        <v>#DIV/0!</v>
      </c>
      <c r="AB17" s="4" t="e">
        <f t="shared" si="11"/>
        <v>#DIV/0!</v>
      </c>
      <c r="AC17" s="4" t="e">
        <f t="shared" si="12"/>
        <v>#DIV/0!</v>
      </c>
      <c r="AD17" s="4" t="e">
        <f t="shared" si="13"/>
        <v>#DIV/0!</v>
      </c>
      <c r="AE17" s="4" t="e">
        <f t="shared" si="14"/>
        <v>#DIV/0!</v>
      </c>
      <c r="AG17" s="3" t="s">
        <v>7</v>
      </c>
      <c r="AH17" s="17" t="e">
        <f t="shared" ref="AH17:AH20" si="22">Z17/J17</f>
        <v>#DIV/0!</v>
      </c>
      <c r="AI17" s="17" t="e">
        <f t="shared" si="15"/>
        <v>#DIV/0!</v>
      </c>
      <c r="AJ17" s="17" t="e">
        <f t="shared" si="16"/>
        <v>#DIV/0!</v>
      </c>
      <c r="AK17" s="17" t="e">
        <f t="shared" si="17"/>
        <v>#DIV/0!</v>
      </c>
      <c r="AL17" s="17" t="e">
        <f t="shared" si="18"/>
        <v>#DIV/0!</v>
      </c>
      <c r="AM17" s="17" t="e">
        <f t="shared" si="19"/>
        <v>#DIV/0!</v>
      </c>
    </row>
    <row r="18" spans="1:39" x14ac:dyDescent="0.25">
      <c r="A18" s="3" t="s">
        <v>8</v>
      </c>
      <c r="B18" s="4">
        <f t="shared" si="7"/>
        <v>7618.9916667738171</v>
      </c>
      <c r="C18" s="4">
        <f t="shared" si="7"/>
        <v>100826.94198523038</v>
      </c>
      <c r="D18" s="4">
        <f t="shared" si="7"/>
        <v>107816.84438355053</v>
      </c>
      <c r="E18" s="4">
        <f t="shared" si="7"/>
        <v>36715.834252510256</v>
      </c>
      <c r="F18" s="4">
        <f t="shared" si="7"/>
        <v>16380.104028732052</v>
      </c>
      <c r="G18" s="4">
        <f t="shared" si="7"/>
        <v>269358.71631679707</v>
      </c>
      <c r="I18" s="3" t="s">
        <v>8</v>
      </c>
      <c r="J18" s="4" t="e">
        <f t="shared" si="8"/>
        <v>#DIV/0!</v>
      </c>
      <c r="K18" s="4" t="e">
        <f t="shared" si="8"/>
        <v>#DIV/0!</v>
      </c>
      <c r="L18" s="4" t="e">
        <f t="shared" si="8"/>
        <v>#DIV/0!</v>
      </c>
      <c r="M18" s="4" t="e">
        <f t="shared" si="8"/>
        <v>#DIV/0!</v>
      </c>
      <c r="N18" s="4" t="e">
        <f t="shared" si="8"/>
        <v>#DIV/0!</v>
      </c>
      <c r="O18" s="4" t="e">
        <f t="shared" si="8"/>
        <v>#DIV/0!</v>
      </c>
      <c r="Q18" s="3" t="s">
        <v>8</v>
      </c>
      <c r="R18" s="4">
        <f t="shared" si="9"/>
        <v>9849.7379520726572</v>
      </c>
      <c r="S18" s="4">
        <f t="shared" si="9"/>
        <v>89603.942313244464</v>
      </c>
      <c r="T18" s="4">
        <f t="shared" si="9"/>
        <v>112042.93631658255</v>
      </c>
      <c r="U18" s="4">
        <f t="shared" si="9"/>
        <v>42410.680022109613</v>
      </c>
      <c r="V18" s="4">
        <f t="shared" si="9"/>
        <v>15451.419712787765</v>
      </c>
      <c r="W18" s="4">
        <f t="shared" si="20"/>
        <v>269358.71631679707</v>
      </c>
      <c r="Y18" s="3" t="s">
        <v>8</v>
      </c>
      <c r="Z18" s="4" t="e">
        <f t="shared" si="21"/>
        <v>#DIV/0!</v>
      </c>
      <c r="AA18" s="4" t="e">
        <f t="shared" si="10"/>
        <v>#DIV/0!</v>
      </c>
      <c r="AB18" s="4" t="e">
        <f t="shared" si="11"/>
        <v>#DIV/0!</v>
      </c>
      <c r="AC18" s="4" t="e">
        <f t="shared" si="12"/>
        <v>#DIV/0!</v>
      </c>
      <c r="AD18" s="4" t="e">
        <f t="shared" si="13"/>
        <v>#DIV/0!</v>
      </c>
      <c r="AE18" s="4" t="e">
        <f t="shared" si="14"/>
        <v>#DIV/0!</v>
      </c>
      <c r="AG18" s="3" t="s">
        <v>8</v>
      </c>
      <c r="AH18" s="17" t="e">
        <f t="shared" si="22"/>
        <v>#DIV/0!</v>
      </c>
      <c r="AI18" s="17" t="e">
        <f t="shared" si="15"/>
        <v>#DIV/0!</v>
      </c>
      <c r="AJ18" s="17" t="e">
        <f t="shared" si="16"/>
        <v>#DIV/0!</v>
      </c>
      <c r="AK18" s="17" t="e">
        <f t="shared" si="17"/>
        <v>#DIV/0!</v>
      </c>
      <c r="AL18" s="17" t="e">
        <f t="shared" si="18"/>
        <v>#DIV/0!</v>
      </c>
      <c r="AM18" s="17" t="e">
        <f t="shared" si="19"/>
        <v>#DIV/0!</v>
      </c>
    </row>
    <row r="19" spans="1:39" x14ac:dyDescent="0.25">
      <c r="A19" s="5" t="s">
        <v>9</v>
      </c>
      <c r="B19" s="4">
        <f t="shared" si="7"/>
        <v>9145.2307044905319</v>
      </c>
      <c r="C19" s="4">
        <f t="shared" si="7"/>
        <v>110207.54886855326</v>
      </c>
      <c r="D19" s="4">
        <f t="shared" si="7"/>
        <v>342473.65512115613</v>
      </c>
      <c r="E19" s="4">
        <f t="shared" si="7"/>
        <v>147060.29717243847</v>
      </c>
      <c r="F19" s="4">
        <f t="shared" si="7"/>
        <v>83463.551816564475</v>
      </c>
      <c r="G19" s="6">
        <f t="shared" si="7"/>
        <v>692350.28368320293</v>
      </c>
      <c r="I19" s="5" t="s">
        <v>9</v>
      </c>
      <c r="J19" s="6" t="e">
        <f t="shared" si="8"/>
        <v>#DIV/0!</v>
      </c>
      <c r="K19" s="6" t="e">
        <f t="shared" si="8"/>
        <v>#DIV/0!</v>
      </c>
      <c r="L19" s="6" t="e">
        <f t="shared" si="8"/>
        <v>#DIV/0!</v>
      </c>
      <c r="M19" s="6" t="e">
        <f t="shared" si="8"/>
        <v>#DIV/0!</v>
      </c>
      <c r="N19" s="6" t="e">
        <f t="shared" si="8"/>
        <v>#DIV/0!</v>
      </c>
      <c r="O19" s="6" t="e">
        <f t="shared" si="8"/>
        <v>#DIV/0!</v>
      </c>
      <c r="Q19" s="5" t="s">
        <v>9</v>
      </c>
      <c r="R19" s="4">
        <f t="shared" si="9"/>
        <v>11142.923830442853</v>
      </c>
      <c r="S19" s="4">
        <f t="shared" si="9"/>
        <v>121613.91462975153</v>
      </c>
      <c r="T19" s="4">
        <f t="shared" si="9"/>
        <v>316345.12456616701</v>
      </c>
      <c r="U19" s="4">
        <f t="shared" si="9"/>
        <v>164190.39720301543</v>
      </c>
      <c r="V19" s="4">
        <f t="shared" si="9"/>
        <v>79057.923453826152</v>
      </c>
      <c r="W19" s="6">
        <f t="shared" si="20"/>
        <v>692350.28368320293</v>
      </c>
      <c r="Y19" s="5" t="s">
        <v>9</v>
      </c>
      <c r="Z19" s="4" t="e">
        <f t="shared" si="21"/>
        <v>#DIV/0!</v>
      </c>
      <c r="AA19" s="4" t="e">
        <f t="shared" si="10"/>
        <v>#DIV/0!</v>
      </c>
      <c r="AB19" s="4" t="e">
        <f t="shared" si="11"/>
        <v>#DIV/0!</v>
      </c>
      <c r="AC19" s="4" t="e">
        <f t="shared" si="12"/>
        <v>#DIV/0!</v>
      </c>
      <c r="AD19" s="4" t="e">
        <f t="shared" si="13"/>
        <v>#DIV/0!</v>
      </c>
      <c r="AE19" s="6" t="e">
        <f t="shared" si="14"/>
        <v>#DIV/0!</v>
      </c>
      <c r="AG19" s="5" t="s">
        <v>9</v>
      </c>
      <c r="AH19" s="17" t="e">
        <f t="shared" si="22"/>
        <v>#DIV/0!</v>
      </c>
      <c r="AI19" s="17" t="e">
        <f t="shared" si="15"/>
        <v>#DIV/0!</v>
      </c>
      <c r="AJ19" s="17" t="e">
        <f t="shared" si="16"/>
        <v>#DIV/0!</v>
      </c>
      <c r="AK19" s="17" t="e">
        <f t="shared" si="17"/>
        <v>#DIV/0!</v>
      </c>
      <c r="AL19" s="17" t="e">
        <f t="shared" si="18"/>
        <v>#DIV/0!</v>
      </c>
      <c r="AM19" s="18" t="e">
        <f t="shared" si="19"/>
        <v>#DIV/0!</v>
      </c>
    </row>
    <row r="20" spans="1:39" ht="15.75" thickBot="1" x14ac:dyDescent="0.3">
      <c r="A20" s="7" t="s">
        <v>4</v>
      </c>
      <c r="B20" s="8">
        <f t="shared" si="7"/>
        <v>127145.91498077275</v>
      </c>
      <c r="C20" s="8">
        <f t="shared" si="7"/>
        <v>493954.48350373644</v>
      </c>
      <c r="D20" s="8">
        <f t="shared" si="7"/>
        <v>561592.86150248768</v>
      </c>
      <c r="E20" s="8">
        <f t="shared" si="7"/>
        <v>215637.75133618058</v>
      </c>
      <c r="F20" s="8">
        <f t="shared" si="7"/>
        <v>108367.98867682261</v>
      </c>
      <c r="G20" s="8">
        <f t="shared" si="7"/>
        <v>1506699</v>
      </c>
      <c r="I20" s="7" t="s">
        <v>4</v>
      </c>
      <c r="J20" s="8" t="e">
        <f t="shared" si="8"/>
        <v>#DIV/0!</v>
      </c>
      <c r="K20" s="8" t="e">
        <f t="shared" si="8"/>
        <v>#DIV/0!</v>
      </c>
      <c r="L20" s="8" t="e">
        <f t="shared" si="8"/>
        <v>#DIV/0!</v>
      </c>
      <c r="M20" s="8" t="e">
        <f t="shared" si="8"/>
        <v>#DIV/0!</v>
      </c>
      <c r="N20" s="8" t="e">
        <f t="shared" si="8"/>
        <v>#DIV/0!</v>
      </c>
      <c r="O20" s="8" t="e">
        <f t="shared" si="8"/>
        <v>#DIV/0!</v>
      </c>
      <c r="Q20" s="7" t="s">
        <v>4</v>
      </c>
      <c r="R20" s="8">
        <f>SUM(R16:R19)</f>
        <v>109955.6925455391</v>
      </c>
      <c r="S20" s="8">
        <f t="shared" ref="S20:V20" si="23">SUM(S16:S19)</f>
        <v>477123.61063724011</v>
      </c>
      <c r="T20" s="8">
        <f t="shared" si="23"/>
        <v>568613.16065976222</v>
      </c>
      <c r="U20" s="8">
        <f t="shared" si="23"/>
        <v>242214.2820788495</v>
      </c>
      <c r="V20" s="8">
        <f t="shared" si="23"/>
        <v>108792.25407860904</v>
      </c>
      <c r="W20" s="8">
        <f t="shared" si="20"/>
        <v>1506699</v>
      </c>
      <c r="Y20" s="7" t="s">
        <v>4</v>
      </c>
      <c r="Z20" s="8" t="e">
        <f t="shared" si="21"/>
        <v>#DIV/0!</v>
      </c>
      <c r="AA20" s="8" t="e">
        <f t="shared" si="10"/>
        <v>#DIV/0!</v>
      </c>
      <c r="AB20" s="8" t="e">
        <f t="shared" si="11"/>
        <v>#DIV/0!</v>
      </c>
      <c r="AC20" s="8" t="e">
        <f t="shared" si="12"/>
        <v>#DIV/0!</v>
      </c>
      <c r="AD20" s="8" t="e">
        <f t="shared" si="13"/>
        <v>#DIV/0!</v>
      </c>
      <c r="AE20" s="8" t="e">
        <f t="shared" si="14"/>
        <v>#DIV/0!</v>
      </c>
      <c r="AG20" s="7" t="s">
        <v>4</v>
      </c>
      <c r="AH20" s="19" t="e">
        <f t="shared" si="22"/>
        <v>#DIV/0!</v>
      </c>
      <c r="AI20" s="19" t="e">
        <f t="shared" si="15"/>
        <v>#DIV/0!</v>
      </c>
      <c r="AJ20" s="19" t="e">
        <f t="shared" si="16"/>
        <v>#DIV/0!</v>
      </c>
      <c r="AK20" s="19" t="e">
        <f t="shared" si="17"/>
        <v>#DIV/0!</v>
      </c>
      <c r="AL20" s="19" t="e">
        <f t="shared" si="18"/>
        <v>#DIV/0!</v>
      </c>
      <c r="AM20" s="19" t="e">
        <f t="shared" si="19"/>
        <v>#DIV/0!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t="shared" ref="C25:G25" si="24">C16/$G$20</f>
        <v>3.2517617209794888E-2</v>
      </c>
      <c r="D25" s="17">
        <f t="shared" si="24"/>
        <v>2.1967613077416716E-2</v>
      </c>
      <c r="E25" s="17">
        <f t="shared" si="24"/>
        <v>9.4699289823052309E-3</v>
      </c>
      <c r="F25" s="17">
        <f t="shared" si="24"/>
        <v>3.2596016119329071E-3</v>
      </c>
      <c r="G25" s="17">
        <f t="shared" si="24"/>
        <v>8.6746052435900528E-2</v>
      </c>
      <c r="I25" s="3" t="s">
        <v>6</v>
      </c>
      <c r="J25" s="17" t="e">
        <f>J16/$O$20</f>
        <v>#DIV/0!</v>
      </c>
      <c r="K25" s="17" t="e">
        <f t="shared" ref="K25:O25" si="25">K16/$O$20</f>
        <v>#DIV/0!</v>
      </c>
      <c r="L25" s="17" t="e">
        <f t="shared" si="25"/>
        <v>#DIV/0!</v>
      </c>
      <c r="M25" s="17" t="e">
        <f t="shared" si="25"/>
        <v>#DIV/0!</v>
      </c>
      <c r="N25" s="17" t="e">
        <f t="shared" si="25"/>
        <v>#DIV/0!</v>
      </c>
      <c r="O25" s="17" t="e">
        <f t="shared" si="25"/>
        <v>#DIV/0!</v>
      </c>
      <c r="Q25" s="3" t="s">
        <v>6</v>
      </c>
      <c r="R25" s="17">
        <f t="shared" ref="R25:W29" si="26">R6/$W$10</f>
        <v>2.9130450456081845E-2</v>
      </c>
      <c r="S25" s="17">
        <f t="shared" si="26"/>
        <v>4.4722213604736709E-2</v>
      </c>
      <c r="T25" s="17">
        <f t="shared" si="26"/>
        <v>9.6680931678048317E-3</v>
      </c>
      <c r="U25" s="17">
        <f t="shared" si="26"/>
        <v>2.3913520280440309E-3</v>
      </c>
      <c r="V25" s="17">
        <f t="shared" si="26"/>
        <v>8.3394317923309426E-4</v>
      </c>
      <c r="W25" s="17">
        <f t="shared" si="26"/>
        <v>8.6746052435900528E-2</v>
      </c>
    </row>
    <row r="26" spans="1:39" x14ac:dyDescent="0.25">
      <c r="A26" s="3" t="s">
        <v>7</v>
      </c>
      <c r="B26" s="17">
        <f t="shared" ref="B26:G26" si="27">B17/$G$20</f>
        <v>4.1170722821405707E-2</v>
      </c>
      <c r="C26" s="17">
        <f t="shared" si="27"/>
        <v>0.14335865408959622</v>
      </c>
      <c r="D26" s="17">
        <f t="shared" si="27"/>
        <v>6.5998146063437776E-2</v>
      </c>
      <c r="E26" s="17">
        <f t="shared" si="27"/>
        <v>1.7544052588674031E-2</v>
      </c>
      <c r="F26" s="17">
        <f t="shared" si="27"/>
        <v>6.8936361619097771E-3</v>
      </c>
      <c r="G26" s="17">
        <f t="shared" si="27"/>
        <v>0.27496521172502353</v>
      </c>
      <c r="I26" s="3" t="s">
        <v>7</v>
      </c>
      <c r="J26" s="17" t="e">
        <f t="shared" ref="J26:O26" si="28">J17/$O$20</f>
        <v>#DIV/0!</v>
      </c>
      <c r="K26" s="17" t="e">
        <f t="shared" si="28"/>
        <v>#DIV/0!</v>
      </c>
      <c r="L26" s="17" t="e">
        <f t="shared" si="28"/>
        <v>#DIV/0!</v>
      </c>
      <c r="M26" s="17" t="e">
        <f t="shared" si="28"/>
        <v>#DIV/0!</v>
      </c>
      <c r="N26" s="17" t="e">
        <f t="shared" si="28"/>
        <v>#DIV/0!</v>
      </c>
      <c r="O26" s="17" t="e">
        <f t="shared" si="28"/>
        <v>#DIV/0!</v>
      </c>
      <c r="Q26" s="3" t="s">
        <v>7</v>
      </c>
      <c r="R26" s="17">
        <f t="shared" si="26"/>
        <v>2.9914541783923349E-2</v>
      </c>
      <c r="S26" s="17">
        <f t="shared" si="26"/>
        <v>0.13176011876174401</v>
      </c>
      <c r="T26" s="17">
        <f t="shared" si="26"/>
        <v>8.3399666070777451E-2</v>
      </c>
      <c r="U26" s="17">
        <f t="shared" si="26"/>
        <v>2.1245223594375893E-2</v>
      </c>
      <c r="V26" s="17">
        <f t="shared" si="26"/>
        <v>8.6456615142027696E-3</v>
      </c>
      <c r="W26" s="17">
        <f t="shared" si="26"/>
        <v>0.27496521172502353</v>
      </c>
    </row>
    <row r="27" spans="1:39" x14ac:dyDescent="0.25">
      <c r="A27" s="3" t="s">
        <v>8</v>
      </c>
      <c r="B27" s="17">
        <f t="shared" ref="B27:G27" si="29">B18/$G$20</f>
        <v>5.0567443575483999E-3</v>
      </c>
      <c r="C27" s="17">
        <f t="shared" si="29"/>
        <v>6.691910062011748E-2</v>
      </c>
      <c r="D27" s="17">
        <f t="shared" si="29"/>
        <v>7.1558316812814327E-2</v>
      </c>
      <c r="E27" s="17">
        <f t="shared" si="29"/>
        <v>2.4368393589237303E-2</v>
      </c>
      <c r="F27" s="17">
        <f t="shared" si="29"/>
        <v>1.0871517156865473E-2</v>
      </c>
      <c r="G27" s="17">
        <f t="shared" si="29"/>
        <v>0.17877407253658301</v>
      </c>
      <c r="I27" s="3" t="s">
        <v>8</v>
      </c>
      <c r="J27" s="17" t="e">
        <f t="shared" ref="J27:O27" si="30">J18/$O$20</f>
        <v>#DIV/0!</v>
      </c>
      <c r="K27" s="17" t="e">
        <f t="shared" si="30"/>
        <v>#DIV/0!</v>
      </c>
      <c r="L27" s="17" t="e">
        <f t="shared" si="30"/>
        <v>#DIV/0!</v>
      </c>
      <c r="M27" s="17" t="e">
        <f t="shared" si="30"/>
        <v>#DIV/0!</v>
      </c>
      <c r="N27" s="17" t="e">
        <f t="shared" si="30"/>
        <v>#DIV/0!</v>
      </c>
      <c r="O27" s="17" t="e">
        <f t="shared" si="30"/>
        <v>#DIV/0!</v>
      </c>
      <c r="Q27" s="3" t="s">
        <v>8</v>
      </c>
      <c r="R27" s="17">
        <f t="shared" si="26"/>
        <v>6.5372964023156961E-3</v>
      </c>
      <c r="S27" s="17">
        <f t="shared" si="26"/>
        <v>5.9470366883660551E-2</v>
      </c>
      <c r="T27" s="17">
        <f t="shared" si="26"/>
        <v>7.4363184893985163E-2</v>
      </c>
      <c r="U27" s="17">
        <f t="shared" si="26"/>
        <v>2.8148077367881452E-2</v>
      </c>
      <c r="V27" s="17">
        <f t="shared" si="26"/>
        <v>1.0255146988740129E-2</v>
      </c>
      <c r="W27" s="17">
        <f t="shared" si="26"/>
        <v>0.17877407253658301</v>
      </c>
    </row>
    <row r="28" spans="1:39" x14ac:dyDescent="0.25">
      <c r="A28" s="5" t="s">
        <v>9</v>
      </c>
      <c r="B28" s="18">
        <f t="shared" ref="B28:G28" si="31">B19/$G$20</f>
        <v>6.0697131308181211E-3</v>
      </c>
      <c r="C28" s="18">
        <f t="shared" si="31"/>
        <v>7.3145033525975164E-2</v>
      </c>
      <c r="D28" s="18">
        <f t="shared" si="31"/>
        <v>0.2273006453984214</v>
      </c>
      <c r="E28" s="18">
        <f t="shared" si="31"/>
        <v>9.7604297323113959E-2</v>
      </c>
      <c r="F28" s="18">
        <f t="shared" si="31"/>
        <v>5.5394973924164335E-2</v>
      </c>
      <c r="G28" s="18">
        <f t="shared" si="31"/>
        <v>0.45951466330249302</v>
      </c>
      <c r="I28" s="5" t="s">
        <v>9</v>
      </c>
      <c r="J28" s="18" t="e">
        <f t="shared" ref="J28:O28" si="32">J19/$O$20</f>
        <v>#DIV/0!</v>
      </c>
      <c r="K28" s="18" t="e">
        <f t="shared" si="32"/>
        <v>#DIV/0!</v>
      </c>
      <c r="L28" s="18" t="e">
        <f t="shared" si="32"/>
        <v>#DIV/0!</v>
      </c>
      <c r="M28" s="18" t="e">
        <f t="shared" si="32"/>
        <v>#DIV/0!</v>
      </c>
      <c r="N28" s="18" t="e">
        <f t="shared" si="32"/>
        <v>#DIV/0!</v>
      </c>
      <c r="O28" s="18" t="e">
        <f t="shared" si="32"/>
        <v>#DIV/0!</v>
      </c>
      <c r="Q28" s="5" t="s">
        <v>9</v>
      </c>
      <c r="R28" s="18">
        <f t="shared" si="26"/>
        <v>7.3955871945510371E-3</v>
      </c>
      <c r="S28" s="18">
        <f t="shared" si="26"/>
        <v>8.0715467807273733E-2</v>
      </c>
      <c r="T28" s="18">
        <f t="shared" si="26"/>
        <v>0.20995907249302417</v>
      </c>
      <c r="U28" s="18">
        <f t="shared" si="26"/>
        <v>0.1089735887546321</v>
      </c>
      <c r="V28" s="18">
        <f t="shared" si="26"/>
        <v>5.2470947053012015E-2</v>
      </c>
      <c r="W28" s="18">
        <f t="shared" si="26"/>
        <v>0.45951466330249302</v>
      </c>
    </row>
    <row r="29" spans="1:39" ht="15.75" thickBot="1" x14ac:dyDescent="0.3">
      <c r="A29" s="7" t="s">
        <v>4</v>
      </c>
      <c r="B29" s="19">
        <f t="shared" ref="B29:G29" si="33">B20/$G$20</f>
        <v>8.4387070662934507E-2</v>
      </c>
      <c r="C29" s="19">
        <f t="shared" si="33"/>
        <v>0.3278388606508244</v>
      </c>
      <c r="D29" s="19">
        <f t="shared" si="33"/>
        <v>0.37273062602582713</v>
      </c>
      <c r="E29" s="19">
        <f t="shared" si="33"/>
        <v>0.14311932996317153</v>
      </c>
      <c r="F29" s="19">
        <f t="shared" si="33"/>
        <v>7.1924112697242526E-2</v>
      </c>
      <c r="G29" s="19">
        <f t="shared" si="33"/>
        <v>1</v>
      </c>
      <c r="I29" s="7" t="s">
        <v>4</v>
      </c>
      <c r="J29" s="19" t="e">
        <f t="shared" ref="J29:O29" si="34">J20/$O$20</f>
        <v>#DIV/0!</v>
      </c>
      <c r="K29" s="19" t="e">
        <f t="shared" si="34"/>
        <v>#DIV/0!</v>
      </c>
      <c r="L29" s="19" t="e">
        <f t="shared" si="34"/>
        <v>#DIV/0!</v>
      </c>
      <c r="M29" s="19" t="e">
        <f t="shared" si="34"/>
        <v>#DIV/0!</v>
      </c>
      <c r="N29" s="19" t="e">
        <f t="shared" si="34"/>
        <v>#DIV/0!</v>
      </c>
      <c r="O29" s="19" t="e">
        <f t="shared" si="34"/>
        <v>#DIV/0!</v>
      </c>
      <c r="Q29" s="7" t="s">
        <v>4</v>
      </c>
      <c r="R29" s="19">
        <f t="shared" si="26"/>
        <v>7.297787583687193E-2</v>
      </c>
      <c r="S29" s="19">
        <f t="shared" si="26"/>
        <v>0.31666816705741502</v>
      </c>
      <c r="T29" s="19">
        <f t="shared" si="26"/>
        <v>0.37739001662559157</v>
      </c>
      <c r="U29" s="19">
        <f t="shared" si="26"/>
        <v>0.16075824174493347</v>
      </c>
      <c r="V29" s="19">
        <f t="shared" si="26"/>
        <v>7.2205698735188006E-2</v>
      </c>
      <c r="W29" s="19">
        <f t="shared" si="26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t="shared" ref="S34:W34" si="35">S25-K25</f>
        <v>#DIV/0!</v>
      </c>
      <c r="T34" s="17" t="e">
        <f t="shared" si="35"/>
        <v>#DIV/0!</v>
      </c>
      <c r="U34" s="17" t="e">
        <f t="shared" si="35"/>
        <v>#DIV/0!</v>
      </c>
      <c r="V34" s="17" t="e">
        <f t="shared" si="35"/>
        <v>#DIV/0!</v>
      </c>
      <c r="W34" s="17" t="e">
        <f t="shared" si="35"/>
        <v>#DIV/0!</v>
      </c>
    </row>
    <row r="35" spans="17:23" x14ac:dyDescent="0.25">
      <c r="Q35" s="3" t="s">
        <v>7</v>
      </c>
      <c r="R35" s="17" t="e">
        <f t="shared" ref="R35:W38" si="36">R26-J26</f>
        <v>#DIV/0!</v>
      </c>
      <c r="S35" s="17" t="e">
        <f t="shared" si="36"/>
        <v>#DIV/0!</v>
      </c>
      <c r="T35" s="17" t="e">
        <f t="shared" si="36"/>
        <v>#DIV/0!</v>
      </c>
      <c r="U35" s="17" t="e">
        <f t="shared" si="36"/>
        <v>#DIV/0!</v>
      </c>
      <c r="V35" s="17" t="e">
        <f t="shared" si="36"/>
        <v>#DIV/0!</v>
      </c>
      <c r="W35" s="17" t="e">
        <f t="shared" si="36"/>
        <v>#DIV/0!</v>
      </c>
    </row>
    <row r="36" spans="17:23" x14ac:dyDescent="0.25">
      <c r="Q36" s="3" t="s">
        <v>8</v>
      </c>
      <c r="R36" s="17" t="e">
        <f t="shared" si="36"/>
        <v>#DIV/0!</v>
      </c>
      <c r="S36" s="17" t="e">
        <f t="shared" si="36"/>
        <v>#DIV/0!</v>
      </c>
      <c r="T36" s="17" t="e">
        <f t="shared" si="36"/>
        <v>#DIV/0!</v>
      </c>
      <c r="U36" s="17" t="e">
        <f t="shared" si="36"/>
        <v>#DIV/0!</v>
      </c>
      <c r="V36" s="17" t="e">
        <f t="shared" si="36"/>
        <v>#DIV/0!</v>
      </c>
      <c r="W36" s="17" t="e">
        <f t="shared" si="36"/>
        <v>#DIV/0!</v>
      </c>
    </row>
    <row r="37" spans="17:23" x14ac:dyDescent="0.25">
      <c r="Q37" s="5" t="s">
        <v>9</v>
      </c>
      <c r="R37" s="18" t="e">
        <f t="shared" si="36"/>
        <v>#DIV/0!</v>
      </c>
      <c r="S37" s="18" t="e">
        <f t="shared" si="36"/>
        <v>#DIV/0!</v>
      </c>
      <c r="T37" s="18" t="e">
        <f t="shared" si="36"/>
        <v>#DIV/0!</v>
      </c>
      <c r="U37" s="18" t="e">
        <f t="shared" si="36"/>
        <v>#DIV/0!</v>
      </c>
      <c r="V37" s="18" t="e">
        <f t="shared" si="36"/>
        <v>#DIV/0!</v>
      </c>
      <c r="W37" s="18" t="e">
        <f t="shared" si="36"/>
        <v>#DIV/0!</v>
      </c>
    </row>
    <row r="38" spans="17:23" ht="15.75" thickBot="1" x14ac:dyDescent="0.3">
      <c r="Q38" s="7" t="s">
        <v>4</v>
      </c>
      <c r="R38" s="19" t="e">
        <f t="shared" si="36"/>
        <v>#DIV/0!</v>
      </c>
      <c r="S38" s="19" t="e">
        <f t="shared" si="36"/>
        <v>#DIV/0!</v>
      </c>
      <c r="T38" s="19" t="e">
        <f t="shared" si="36"/>
        <v>#DIV/0!</v>
      </c>
      <c r="U38" s="19" t="e">
        <f t="shared" si="36"/>
        <v>#DIV/0!</v>
      </c>
      <c r="V38" s="19" t="e">
        <f t="shared" si="36"/>
        <v>#DIV/0!</v>
      </c>
      <c r="W38" s="19" t="e">
        <f t="shared" si="36"/>
        <v>#DIV/0!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8"/>
  <sheetViews>
    <sheetView tabSelected="1" topLeftCell="A7" workbookViewId="0">
      <selection activeCell="AA29" sqref="AA29"/>
    </sheetView>
  </sheetViews>
  <sheetFormatPr defaultRowHeight="15" x14ac:dyDescent="0.25"/>
  <cols>
    <col min="1" max="23" width="9.28515625" customWidth="1" collapsed="1"/>
  </cols>
  <sheetData>
    <row r="1" spans="1:39" ht="21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>
        <v>99077.445999999996</v>
      </c>
      <c r="C6" s="4">
        <v>322825.4227</v>
      </c>
      <c r="D6" s="4">
        <v>43813.186199999996</v>
      </c>
      <c r="E6" s="4">
        <v>7593.2610999999997</v>
      </c>
      <c r="F6" s="4">
        <v>4120.7076999999999</v>
      </c>
      <c r="G6" s="4">
        <f>SUM(B6:F6)</f>
        <v>477430.02370000002</v>
      </c>
      <c r="I6" s="3">
        <v>1</v>
      </c>
      <c r="O6" s="4"/>
      <c r="Q6" s="3">
        <v>1</v>
      </c>
      <c r="R6" s="30">
        <v>83304.918526929105</v>
      </c>
      <c r="S6" s="34">
        <v>328587.0973352585</v>
      </c>
      <c r="T6" s="38">
        <v>41355.036582271408</v>
      </c>
      <c r="U6" s="42">
        <v>9067.9432541124952</v>
      </c>
      <c r="V6" s="46">
        <v>4159.8359320730415</v>
      </c>
      <c r="W6" s="4">
        <f>SUM(R6:V6)</f>
        <v>466474.83163064456</v>
      </c>
    </row>
    <row r="7" spans="1:39" x14ac:dyDescent="0.25">
      <c r="A7" s="3">
        <v>2</v>
      </c>
      <c r="B7" s="4">
        <v>25854.016199999998</v>
      </c>
      <c r="C7" s="4">
        <v>160502.52559999999</v>
      </c>
      <c r="D7" s="4">
        <v>448414.0012</v>
      </c>
      <c r="E7" s="4">
        <v>127888.8906</v>
      </c>
      <c r="F7" s="4">
        <v>44949.949500000002</v>
      </c>
      <c r="G7" s="4">
        <f t="shared" ref="G7:G10" si="0">SUM(B7:F7)</f>
        <v>807609.38310000009</v>
      </c>
      <c r="I7" s="3">
        <v>2</v>
      </c>
      <c r="O7" s="4"/>
      <c r="Q7" s="3">
        <v>2</v>
      </c>
      <c r="R7" s="31">
        <v>21641.625619930743</v>
      </c>
      <c r="S7" s="35">
        <v>128483.58917680086</v>
      </c>
      <c r="T7" s="39">
        <v>424082.42514298414</v>
      </c>
      <c r="U7" s="43">
        <v>120171.00463339142</v>
      </c>
      <c r="V7" s="47">
        <v>40881.323617092217</v>
      </c>
      <c r="W7" s="4">
        <f t="shared" ref="W7:W10" si="1">SUM(R7:V7)</f>
        <v>735259.96819019935</v>
      </c>
    </row>
    <row r="8" spans="1:39" x14ac:dyDescent="0.25">
      <c r="A8" s="3">
        <v>3</v>
      </c>
      <c r="B8" s="4">
        <v>3601.2170999999998</v>
      </c>
      <c r="C8" s="4">
        <v>15987.585000000001</v>
      </c>
      <c r="D8" s="4">
        <v>61860.2523</v>
      </c>
      <c r="E8" s="4">
        <v>56178.912600000003</v>
      </c>
      <c r="F8" s="4">
        <v>36022.107900000003</v>
      </c>
      <c r="G8" s="4">
        <f t="shared" si="0"/>
        <v>173650.07490000001</v>
      </c>
      <c r="I8" s="3">
        <v>3</v>
      </c>
      <c r="O8" s="4"/>
      <c r="Q8" s="3">
        <v>3</v>
      </c>
      <c r="R8" s="32">
        <v>4488.3105817329015</v>
      </c>
      <c r="S8" s="36">
        <v>17209.062531749911</v>
      </c>
      <c r="T8" s="40">
        <v>76376.040117070748</v>
      </c>
      <c r="U8" s="44">
        <v>74913.943926101972</v>
      </c>
      <c r="V8" s="48">
        <v>26924.742112544838</v>
      </c>
      <c r="W8" s="4">
        <f t="shared" si="1"/>
        <v>199912.09926920035</v>
      </c>
    </row>
    <row r="9" spans="1:39" x14ac:dyDescent="0.25">
      <c r="A9" s="5" t="s">
        <v>3</v>
      </c>
      <c r="B9" s="4">
        <v>606.45510000000002</v>
      </c>
      <c r="C9" s="4">
        <v>2382.4917</v>
      </c>
      <c r="D9" s="4">
        <v>16309.3051</v>
      </c>
      <c r="E9" s="4">
        <v>27357.160199999998</v>
      </c>
      <c r="F9" s="4">
        <v>24974.0684</v>
      </c>
      <c r="G9" s="6">
        <f t="shared" si="0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>
        <v>510.85292268653501</v>
      </c>
      <c r="S9" s="37">
        <v>2833.8766991710295</v>
      </c>
      <c r="T9" s="41">
        <v>26729.735986763397</v>
      </c>
      <c r="U9" s="45">
        <v>38061.390265243652</v>
      </c>
      <c r="V9" s="49">
        <v>36826.352416898946</v>
      </c>
      <c r="W9" s="6">
        <f t="shared" si="1"/>
        <v>104962.20829076355</v>
      </c>
    </row>
    <row r="10" spans="1:39" ht="15.75" thickBot="1" x14ac:dyDescent="0.3">
      <c r="A10" s="7" t="s">
        <v>4</v>
      </c>
      <c r="B10" s="8">
        <f>SUM(B6:B9)</f>
        <v>129139.1344</v>
      </c>
      <c r="C10" s="8">
        <f t="shared" ref="C10:F10" si="2">SUM(C6:C9)</f>
        <v>501698.02500000002</v>
      </c>
      <c r="D10" s="8">
        <f t="shared" si="2"/>
        <v>570396.74479999999</v>
      </c>
      <c r="E10" s="8">
        <f t="shared" si="2"/>
        <v>219018.22450000001</v>
      </c>
      <c r="F10" s="8">
        <f t="shared" si="2"/>
        <v>110066.83350000001</v>
      </c>
      <c r="G10" s="8">
        <f t="shared" si="0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109945.70765127928</v>
      </c>
      <c r="S10" s="8">
        <f t="shared" ref="S10" si="3">SUM(S6:S9)</f>
        <v>477113.62574298028</v>
      </c>
      <c r="T10" s="8">
        <f t="shared" ref="T10" si="4">SUM(T6:T9)</f>
        <v>568543.23782908963</v>
      </c>
      <c r="U10" s="8">
        <f t="shared" ref="U10" si="5">SUM(U6:U9)</f>
        <v>242214.28207884956</v>
      </c>
      <c r="V10" s="8">
        <f t="shared" ref="V10" si="6">SUM(V6:V9)</f>
        <v>108792.25407860902</v>
      </c>
      <c r="W10" s="8">
        <f t="shared" si="1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t="shared" ref="C16:F16" si="7">($W6/$G6)*C6</f>
        <v>315417.81460040621</v>
      </c>
      <c r="D16" s="4">
        <f t="shared" si="7"/>
        <v>42807.841235995307</v>
      </c>
      <c r="E16" s="4">
        <f t="shared" si="7"/>
        <v>7419.0248147773173</v>
      </c>
      <c r="F16" s="4">
        <f t="shared" si="7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t="shared" ref="K16:O16" si="8">($W6/$O6)*K6</f>
        <v>#DIV/0!</v>
      </c>
      <c r="L16" s="4" t="e">
        <f t="shared" si="8"/>
        <v>#DIV/0!</v>
      </c>
      <c r="M16" s="4" t="e">
        <f t="shared" si="8"/>
        <v>#DIV/0!</v>
      </c>
      <c r="N16" s="4" t="e">
        <f t="shared" si="8"/>
        <v>#DIV/0!</v>
      </c>
      <c r="O16" s="4" t="e">
        <f t="shared" si="8"/>
        <v>#DIV/0!</v>
      </c>
      <c r="Q16" s="3">
        <v>1</v>
      </c>
      <c r="R16" s="4">
        <f>R6</f>
        <v>83304.918526929105</v>
      </c>
      <c r="S16" s="4">
        <f t="shared" ref="S16:V16" si="9">S6</f>
        <v>328587.0973352585</v>
      </c>
      <c r="T16" s="4">
        <f t="shared" si="9"/>
        <v>41355.036582271408</v>
      </c>
      <c r="U16" s="4">
        <f t="shared" si="9"/>
        <v>9067.9432541124952</v>
      </c>
      <c r="V16" s="4">
        <f t="shared" si="9"/>
        <v>4159.8359320730415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t="shared" ref="AA16:AA20" si="10">S16-K16</f>
        <v>#DIV/0!</v>
      </c>
      <c r="AB16" s="4" t="e">
        <f t="shared" ref="AB16:AB20" si="11">T16-L16</f>
        <v>#DIV/0!</v>
      </c>
      <c r="AC16" s="4" t="e">
        <f t="shared" ref="AC16:AC20" si="12">U16-M16</f>
        <v>#DIV/0!</v>
      </c>
      <c r="AD16" s="4" t="e">
        <f t="shared" ref="AD16:AD20" si="13">V16-N16</f>
        <v>#DIV/0!</v>
      </c>
      <c r="AE16" s="4" t="e">
        <f t="shared" ref="AE16:AE19" si="14">W16-O16</f>
        <v>#DIV/0!</v>
      </c>
      <c r="AG16" s="3">
        <v>1</v>
      </c>
      <c r="AH16" s="17" t="e">
        <f>Z16/J16</f>
        <v>#DIV/0!</v>
      </c>
      <c r="AI16" s="17" t="e">
        <f t="shared" ref="AI16:AI20" si="15">AA16/K16</f>
        <v>#DIV/0!</v>
      </c>
      <c r="AJ16" s="17" t="e">
        <f t="shared" ref="AJ16:AJ20" si="16">AB16/L16</f>
        <v>#DIV/0!</v>
      </c>
      <c r="AK16" s="17" t="e">
        <f t="shared" ref="AK16:AK20" si="17">AC16/M16</f>
        <v>#DIV/0!</v>
      </c>
      <c r="AL16" s="17" t="e">
        <f t="shared" ref="AL16:AL20" si="18">AD16/N16</f>
        <v>#DIV/0!</v>
      </c>
      <c r="AM16" s="17" t="e">
        <f t="shared" ref="AM16:AM20" si="19">AE16/O16</f>
        <v>#DIV/0!</v>
      </c>
    </row>
    <row r="17" spans="1:39" x14ac:dyDescent="0.25">
      <c r="A17" s="3">
        <v>2</v>
      </c>
      <c r="B17" s="4">
        <f t="shared" ref="B17:G17" si="20">($W7/$G7)*B7</f>
        <v>23537.892855867311</v>
      </c>
      <c r="C17" s="4">
        <f t="shared" si="20"/>
        <v>146123.96083626265</v>
      </c>
      <c r="D17" s="4">
        <f t="shared" si="20"/>
        <v>408242.98374642298</v>
      </c>
      <c r="E17" s="4">
        <f t="shared" si="20"/>
        <v>116432.00735669595</v>
      </c>
      <c r="F17" s="4">
        <f t="shared" si="20"/>
        <v>40923.123394950395</v>
      </c>
      <c r="G17" s="4">
        <f t="shared" si="20"/>
        <v>735259.96819019935</v>
      </c>
      <c r="I17" s="3">
        <v>2</v>
      </c>
      <c r="J17" s="4" t="e">
        <f t="shared" ref="J17:O17" si="21">($W7/$O7)*J7</f>
        <v>#DIV/0!</v>
      </c>
      <c r="K17" s="4" t="e">
        <f t="shared" si="21"/>
        <v>#DIV/0!</v>
      </c>
      <c r="L17" s="4" t="e">
        <f t="shared" si="21"/>
        <v>#DIV/0!</v>
      </c>
      <c r="M17" s="4" t="e">
        <f t="shared" si="21"/>
        <v>#DIV/0!</v>
      </c>
      <c r="N17" s="4" t="e">
        <f t="shared" si="21"/>
        <v>#DIV/0!</v>
      </c>
      <c r="O17" s="4" t="e">
        <f t="shared" si="21"/>
        <v>#DIV/0!</v>
      </c>
      <c r="Q17" s="3">
        <v>2</v>
      </c>
      <c r="R17" s="4">
        <f t="shared" ref="R17:V17" si="22">R7</f>
        <v>21641.625619930743</v>
      </c>
      <c r="S17" s="4">
        <f t="shared" si="22"/>
        <v>128483.58917680086</v>
      </c>
      <c r="T17" s="4">
        <f t="shared" si="22"/>
        <v>424082.42514298414</v>
      </c>
      <c r="U17" s="4">
        <f t="shared" si="22"/>
        <v>120171.00463339142</v>
      </c>
      <c r="V17" s="4">
        <f t="shared" si="22"/>
        <v>40881.323617092217</v>
      </c>
      <c r="W17" s="4">
        <f t="shared" ref="W17:W20" si="23">SUM(R17:V17)</f>
        <v>735259.96819019935</v>
      </c>
      <c r="Y17" s="3">
        <v>2</v>
      </c>
      <c r="Z17" s="4" t="e">
        <f t="shared" ref="Z17:Z20" si="24">R17-J17</f>
        <v>#DIV/0!</v>
      </c>
      <c r="AA17" s="4" t="e">
        <f t="shared" si="10"/>
        <v>#DIV/0!</v>
      </c>
      <c r="AB17" s="4" t="e">
        <f t="shared" si="11"/>
        <v>#DIV/0!</v>
      </c>
      <c r="AC17" s="4" t="e">
        <f t="shared" si="12"/>
        <v>#DIV/0!</v>
      </c>
      <c r="AD17" s="4" t="e">
        <f t="shared" si="13"/>
        <v>#DIV/0!</v>
      </c>
      <c r="AE17" s="4" t="e">
        <f t="shared" si="14"/>
        <v>#DIV/0!</v>
      </c>
      <c r="AG17" s="3">
        <v>2</v>
      </c>
      <c r="AH17" s="17" t="e">
        <f t="shared" ref="AH17:AH20" si="25">Z17/J17</f>
        <v>#DIV/0!</v>
      </c>
      <c r="AI17" s="17" t="e">
        <f t="shared" si="15"/>
        <v>#DIV/0!</v>
      </c>
      <c r="AJ17" s="17" t="e">
        <f t="shared" si="16"/>
        <v>#DIV/0!</v>
      </c>
      <c r="AK17" s="17" t="e">
        <f t="shared" si="17"/>
        <v>#DIV/0!</v>
      </c>
      <c r="AL17" s="17" t="e">
        <f t="shared" si="18"/>
        <v>#DIV/0!</v>
      </c>
      <c r="AM17" s="17" t="e">
        <f t="shared" si="19"/>
        <v>#DIV/0!</v>
      </c>
    </row>
    <row r="18" spans="1:39" x14ac:dyDescent="0.25">
      <c r="A18" s="3">
        <v>3</v>
      </c>
      <c r="B18" s="4">
        <f t="shared" ref="B18:G18" si="26">($W8/$G8)*B8</f>
        <v>4145.8483147774432</v>
      </c>
      <c r="C18" s="4">
        <f t="shared" si="26"/>
        <v>18405.47250806155</v>
      </c>
      <c r="D18" s="4">
        <f t="shared" si="26"/>
        <v>71215.707253434535</v>
      </c>
      <c r="E18" s="4">
        <f t="shared" si="26"/>
        <v>64675.148334916907</v>
      </c>
      <c r="F18" s="4">
        <f t="shared" si="26"/>
        <v>41469.922858009937</v>
      </c>
      <c r="G18" s="4">
        <f t="shared" si="26"/>
        <v>199912.09926920038</v>
      </c>
      <c r="I18" s="3">
        <v>3</v>
      </c>
      <c r="J18" s="4" t="e">
        <f t="shared" ref="J18:O18" si="27">($W8/$O8)*J8</f>
        <v>#DIV/0!</v>
      </c>
      <c r="K18" s="4" t="e">
        <f t="shared" si="27"/>
        <v>#DIV/0!</v>
      </c>
      <c r="L18" s="4" t="e">
        <f t="shared" si="27"/>
        <v>#DIV/0!</v>
      </c>
      <c r="M18" s="4" t="e">
        <f t="shared" si="27"/>
        <v>#DIV/0!</v>
      </c>
      <c r="N18" s="4" t="e">
        <f t="shared" si="27"/>
        <v>#DIV/0!</v>
      </c>
      <c r="O18" s="4" t="e">
        <f t="shared" si="27"/>
        <v>#DIV/0!</v>
      </c>
      <c r="Q18" s="3">
        <v>3</v>
      </c>
      <c r="R18" s="4">
        <f t="shared" ref="R18:V18" si="28">R8</f>
        <v>4488.3105817329015</v>
      </c>
      <c r="S18" s="4">
        <f t="shared" si="28"/>
        <v>17209.062531749911</v>
      </c>
      <c r="T18" s="4">
        <f t="shared" si="28"/>
        <v>76376.040117070748</v>
      </c>
      <c r="U18" s="4">
        <f t="shared" si="28"/>
        <v>74913.943926101972</v>
      </c>
      <c r="V18" s="4">
        <f t="shared" si="28"/>
        <v>26924.742112544838</v>
      </c>
      <c r="W18" s="4">
        <f t="shared" si="23"/>
        <v>199912.09926920035</v>
      </c>
      <c r="Y18" s="3">
        <v>3</v>
      </c>
      <c r="Z18" s="4" t="e">
        <f t="shared" si="24"/>
        <v>#DIV/0!</v>
      </c>
      <c r="AA18" s="4" t="e">
        <f t="shared" si="10"/>
        <v>#DIV/0!</v>
      </c>
      <c r="AB18" s="4" t="e">
        <f t="shared" si="11"/>
        <v>#DIV/0!</v>
      </c>
      <c r="AC18" s="4" t="e">
        <f t="shared" si="12"/>
        <v>#DIV/0!</v>
      </c>
      <c r="AD18" s="4" t="e">
        <f t="shared" si="13"/>
        <v>#DIV/0!</v>
      </c>
      <c r="AE18" s="4" t="e">
        <f t="shared" si="14"/>
        <v>#DIV/0!</v>
      </c>
      <c r="AG18" s="3">
        <v>3</v>
      </c>
      <c r="AH18" s="17" t="e">
        <f t="shared" si="25"/>
        <v>#DIV/0!</v>
      </c>
      <c r="AI18" s="17" t="e">
        <f t="shared" si="15"/>
        <v>#DIV/0!</v>
      </c>
      <c r="AJ18" s="17" t="e">
        <f t="shared" si="16"/>
        <v>#DIV/0!</v>
      </c>
      <c r="AK18" s="17" t="e">
        <f t="shared" si="17"/>
        <v>#DIV/0!</v>
      </c>
      <c r="AL18" s="17" t="e">
        <f t="shared" si="18"/>
        <v>#DIV/0!</v>
      </c>
      <c r="AM18" s="17" t="e">
        <f t="shared" si="19"/>
        <v>#DIV/0!</v>
      </c>
    </row>
    <row r="19" spans="1:39" x14ac:dyDescent="0.25">
      <c r="A19" s="5" t="s">
        <v>3</v>
      </c>
      <c r="B19" s="4">
        <f t="shared" ref="B19:G19" si="29">($W9/$G9)*B9</f>
        <v>888.66854932999047</v>
      </c>
      <c r="C19" s="4">
        <f t="shared" si="29"/>
        <v>3491.1825176006314</v>
      </c>
      <c r="D19" s="4">
        <f t="shared" si="29"/>
        <v>23898.82862523081</v>
      </c>
      <c r="E19" s="4">
        <f t="shared" si="29"/>
        <v>40087.795236155405</v>
      </c>
      <c r="F19" s="4">
        <f t="shared" si="29"/>
        <v>36595.733362446706</v>
      </c>
      <c r="G19" s="6">
        <f t="shared" si="29"/>
        <v>104962.20829076355</v>
      </c>
      <c r="I19" s="5" t="s">
        <v>3</v>
      </c>
      <c r="J19" s="6" t="e">
        <f t="shared" ref="J19:O19" si="30">($W9/$O9)*J9</f>
        <v>#DIV/0!</v>
      </c>
      <c r="K19" s="6" t="e">
        <f t="shared" si="30"/>
        <v>#DIV/0!</v>
      </c>
      <c r="L19" s="6" t="e">
        <f t="shared" si="30"/>
        <v>#DIV/0!</v>
      </c>
      <c r="M19" s="6" t="e">
        <f t="shared" si="30"/>
        <v>#DIV/0!</v>
      </c>
      <c r="N19" s="6" t="e">
        <f t="shared" si="30"/>
        <v>#DIV/0!</v>
      </c>
      <c r="O19" s="6" t="e">
        <f t="shared" si="30"/>
        <v>#DIV/0!</v>
      </c>
      <c r="Q19" s="5" t="s">
        <v>3</v>
      </c>
      <c r="R19" s="4">
        <f t="shared" ref="R19:V19" si="31">R9</f>
        <v>510.85292268653501</v>
      </c>
      <c r="S19" s="4">
        <f t="shared" si="31"/>
        <v>2833.8766991710295</v>
      </c>
      <c r="T19" s="4">
        <f t="shared" si="31"/>
        <v>26729.735986763397</v>
      </c>
      <c r="U19" s="4">
        <f t="shared" si="31"/>
        <v>38061.390265243652</v>
      </c>
      <c r="V19" s="4">
        <f t="shared" si="31"/>
        <v>36826.352416898946</v>
      </c>
      <c r="W19" s="6">
        <f t="shared" si="23"/>
        <v>104962.20829076355</v>
      </c>
      <c r="Y19" s="5" t="s">
        <v>3</v>
      </c>
      <c r="Z19" s="4" t="e">
        <f t="shared" si="24"/>
        <v>#DIV/0!</v>
      </c>
      <c r="AA19" s="4" t="e">
        <f t="shared" si="10"/>
        <v>#DIV/0!</v>
      </c>
      <c r="AB19" s="4" t="e">
        <f t="shared" si="11"/>
        <v>#DIV/0!</v>
      </c>
      <c r="AC19" s="4" t="e">
        <f t="shared" si="12"/>
        <v>#DIV/0!</v>
      </c>
      <c r="AD19" s="4" t="e">
        <f t="shared" si="13"/>
        <v>#DIV/0!</v>
      </c>
      <c r="AE19" s="6" t="e">
        <f t="shared" si="14"/>
        <v>#DIV/0!</v>
      </c>
      <c r="AG19" s="5" t="s">
        <v>3</v>
      </c>
      <c r="AH19" s="17" t="e">
        <f t="shared" si="25"/>
        <v>#DIV/0!</v>
      </c>
      <c r="AI19" s="17" t="e">
        <f t="shared" si="15"/>
        <v>#DIV/0!</v>
      </c>
      <c r="AJ19" s="17" t="e">
        <f t="shared" si="16"/>
        <v>#DIV/0!</v>
      </c>
      <c r="AK19" s="17" t="e">
        <f t="shared" si="17"/>
        <v>#DIV/0!</v>
      </c>
      <c r="AL19" s="17" t="e">
        <f t="shared" si="18"/>
        <v>#DIV/0!</v>
      </c>
      <c r="AM19" s="18" t="e">
        <f t="shared" si="19"/>
        <v>#DIV/0!</v>
      </c>
    </row>
    <row r="20" spans="1:39" ht="15.75" thickBot="1" x14ac:dyDescent="0.3">
      <c r="A20" s="7" t="s">
        <v>4</v>
      </c>
      <c r="B20" s="8">
        <f>SUM(B16:B19)</f>
        <v>125376.40747250292</v>
      </c>
      <c r="C20" s="8">
        <f t="shared" ref="C20:G20" si="32">SUM(C16:C19)</f>
        <v>483438.4304623311</v>
      </c>
      <c r="D20" s="8">
        <f t="shared" si="32"/>
        <v>546165.36086108361</v>
      </c>
      <c r="E20" s="8">
        <f t="shared" si="32"/>
        <v>228613.97574254556</v>
      </c>
      <c r="F20" s="8">
        <f t="shared" si="32"/>
        <v>123014.93284234454</v>
      </c>
      <c r="G20" s="8">
        <f t="shared" si="32"/>
        <v>1506609.1073808079</v>
      </c>
      <c r="I20" s="7" t="s">
        <v>4</v>
      </c>
      <c r="J20" s="8" t="e">
        <f t="shared" ref="J20:O20" si="33">($W10/$O10)*J10</f>
        <v>#DIV/0!</v>
      </c>
      <c r="K20" s="8" t="e">
        <f t="shared" si="33"/>
        <v>#DIV/0!</v>
      </c>
      <c r="L20" s="8" t="e">
        <f t="shared" si="33"/>
        <v>#DIV/0!</v>
      </c>
      <c r="M20" s="8" t="e">
        <f t="shared" si="33"/>
        <v>#DIV/0!</v>
      </c>
      <c r="N20" s="8" t="e">
        <f t="shared" si="33"/>
        <v>#DIV/0!</v>
      </c>
      <c r="O20" s="8" t="e">
        <f t="shared" si="33"/>
        <v>#DIV/0!</v>
      </c>
      <c r="Q20" s="7" t="s">
        <v>4</v>
      </c>
      <c r="R20" s="8">
        <f>SUM(R16:R19)</f>
        <v>109945.70765127928</v>
      </c>
      <c r="S20" s="8">
        <f t="shared" ref="S20:V20" si="34">SUM(S16:S19)</f>
        <v>477113.62574298028</v>
      </c>
      <c r="T20" s="8">
        <f t="shared" si="34"/>
        <v>568543.23782908963</v>
      </c>
      <c r="U20" s="8">
        <f t="shared" si="34"/>
        <v>242214.28207884956</v>
      </c>
      <c r="V20" s="8">
        <f t="shared" si="34"/>
        <v>108792.25407860902</v>
      </c>
      <c r="W20" s="8">
        <f t="shared" si="23"/>
        <v>1506609.1073808079</v>
      </c>
      <c r="Y20" s="7" t="s">
        <v>4</v>
      </c>
      <c r="Z20" s="8" t="e">
        <f t="shared" si="24"/>
        <v>#DIV/0!</v>
      </c>
      <c r="AA20" s="8" t="e">
        <f t="shared" si="10"/>
        <v>#DIV/0!</v>
      </c>
      <c r="AB20" s="8" t="e">
        <f t="shared" si="11"/>
        <v>#DIV/0!</v>
      </c>
      <c r="AC20" s="8" t="e">
        <f t="shared" si="12"/>
        <v>#DIV/0!</v>
      </c>
      <c r="AD20" s="8" t="e">
        <f t="shared" si="13"/>
        <v>#DIV/0!</v>
      </c>
      <c r="AE20" s="8" t="e">
        <f>W20-O20</f>
        <v>#DIV/0!</v>
      </c>
      <c r="AG20" s="7" t="s">
        <v>4</v>
      </c>
      <c r="AH20" s="19" t="e">
        <f t="shared" si="25"/>
        <v>#DIV/0!</v>
      </c>
      <c r="AI20" s="19" t="e">
        <f t="shared" si="15"/>
        <v>#DIV/0!</v>
      </c>
      <c r="AJ20" s="19" t="e">
        <f t="shared" si="16"/>
        <v>#DIV/0!</v>
      </c>
      <c r="AK20" s="19" t="e">
        <f t="shared" si="17"/>
        <v>#DIV/0!</v>
      </c>
      <c r="AL20" s="19" t="e">
        <f t="shared" si="18"/>
        <v>#DIV/0!</v>
      </c>
      <c r="AM20" s="19" t="e">
        <f t="shared" si="19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t="shared" ref="C25:G25" si="35">C16/$G$20</f>
        <v>0.2093561050807333</v>
      </c>
      <c r="D25" s="17">
        <f t="shared" si="35"/>
        <v>2.8413369484016581E-2</v>
      </c>
      <c r="E25" s="17">
        <f t="shared" si="35"/>
        <v>4.9243196383400708E-3</v>
      </c>
      <c r="F25" s="17">
        <f t="shared" si="35"/>
        <v>2.6723276842105623E-3</v>
      </c>
      <c r="G25" s="17">
        <f t="shared" si="35"/>
        <v>0.30961901753109422</v>
      </c>
      <c r="I25" s="3">
        <v>1</v>
      </c>
      <c r="J25" s="17" t="e">
        <f>J16/$O$20</f>
        <v>#DIV/0!</v>
      </c>
      <c r="K25" s="17" t="e">
        <f t="shared" ref="K25:O25" si="36">K16/$O$20</f>
        <v>#DIV/0!</v>
      </c>
      <c r="L25" s="17" t="e">
        <f t="shared" si="36"/>
        <v>#DIV/0!</v>
      </c>
      <c r="M25" s="17" t="e">
        <f t="shared" si="36"/>
        <v>#DIV/0!</v>
      </c>
      <c r="N25" s="17" t="e">
        <f t="shared" si="36"/>
        <v>#DIV/0!</v>
      </c>
      <c r="O25" s="17" t="e">
        <f t="shared" si="36"/>
        <v>#DIV/0!</v>
      </c>
      <c r="Q25" s="3">
        <v>1</v>
      </c>
      <c r="R25" s="17">
        <f>R6/$W$10</f>
        <v>5.5292987490134095E-2</v>
      </c>
      <c r="S25" s="17">
        <f t="shared" ref="S25:W25" si="37">S6/$W$10</f>
        <v>0.21809711339558854</v>
      </c>
      <c r="T25" s="17">
        <f t="shared" si="37"/>
        <v>2.7449081768904097E-2</v>
      </c>
      <c r="U25" s="17">
        <f t="shared" si="37"/>
        <v>6.0187763433056816E-3</v>
      </c>
      <c r="V25" s="17">
        <f t="shared" si="37"/>
        <v>2.7610585331617862E-3</v>
      </c>
      <c r="W25" s="17">
        <f t="shared" si="37"/>
        <v>0.30961901753109422</v>
      </c>
    </row>
    <row r="26" spans="1:39" x14ac:dyDescent="0.25">
      <c r="A26" s="3">
        <v>2</v>
      </c>
      <c r="B26" s="17">
        <f t="shared" ref="B26:G26" si="38">B17/$G$20</f>
        <v>1.562309210833538E-2</v>
      </c>
      <c r="C26" s="17">
        <f t="shared" si="38"/>
        <v>9.6988635021790434E-2</v>
      </c>
      <c r="D26" s="17">
        <f t="shared" si="38"/>
        <v>0.27096808438662662</v>
      </c>
      <c r="E26" s="17">
        <f t="shared" si="38"/>
        <v>7.728083335372192E-2</v>
      </c>
      <c r="F26" s="17">
        <f t="shared" si="38"/>
        <v>2.7162402772205423E-2</v>
      </c>
      <c r="G26" s="17">
        <f t="shared" si="38"/>
        <v>0.48802304764267984</v>
      </c>
      <c r="I26" s="3">
        <v>2</v>
      </c>
      <c r="J26" s="17" t="e">
        <f t="shared" ref="J26:O26" si="39">J17/$O$20</f>
        <v>#DIV/0!</v>
      </c>
      <c r="K26" s="17" t="e">
        <f t="shared" si="39"/>
        <v>#DIV/0!</v>
      </c>
      <c r="L26" s="17" t="e">
        <f t="shared" si="39"/>
        <v>#DIV/0!</v>
      </c>
      <c r="M26" s="17" t="e">
        <f t="shared" si="39"/>
        <v>#DIV/0!</v>
      </c>
      <c r="N26" s="17" t="e">
        <f t="shared" si="39"/>
        <v>#DIV/0!</v>
      </c>
      <c r="O26" s="17" t="e">
        <f t="shared" si="39"/>
        <v>#DIV/0!</v>
      </c>
      <c r="Q26" s="3">
        <v>2</v>
      </c>
      <c r="R26" s="17">
        <f t="shared" ref="R26:W26" si="40">R7/$W$10</f>
        <v>1.4364459576083422E-2</v>
      </c>
      <c r="S26" s="17">
        <f t="shared" si="40"/>
        <v>8.5279976436731825E-2</v>
      </c>
      <c r="T26" s="17">
        <f t="shared" si="40"/>
        <v>0.28148138960890656</v>
      </c>
      <c r="U26" s="17">
        <f t="shared" si="40"/>
        <v>7.9762563524061594E-2</v>
      </c>
      <c r="V26" s="17">
        <f t="shared" si="40"/>
        <v>2.7134658496896454E-2</v>
      </c>
      <c r="W26" s="17">
        <f t="shared" si="40"/>
        <v>0.48802304764267984</v>
      </c>
    </row>
    <row r="27" spans="1:39" x14ac:dyDescent="0.25">
      <c r="A27" s="3">
        <v>3</v>
      </c>
      <c r="B27" s="17">
        <f t="shared" ref="B27:G27" si="41">B18/$G$20</f>
        <v>2.7517743616888584E-3</v>
      </c>
      <c r="C27" s="17">
        <f t="shared" si="41"/>
        <v>1.2216488283453217E-2</v>
      </c>
      <c r="D27" s="17">
        <f t="shared" si="41"/>
        <v>4.7268868152032337E-2</v>
      </c>
      <c r="E27" s="17">
        <f t="shared" si="41"/>
        <v>4.2927623374952643E-2</v>
      </c>
      <c r="F27" s="17">
        <f t="shared" si="41"/>
        <v>2.7525336634997569E-2</v>
      </c>
      <c r="G27" s="17">
        <f t="shared" si="41"/>
        <v>0.13269009080712463</v>
      </c>
      <c r="I27" s="3">
        <v>3</v>
      </c>
      <c r="J27" s="17" t="e">
        <f t="shared" ref="J27:O27" si="42">J18/$O$20</f>
        <v>#DIV/0!</v>
      </c>
      <c r="K27" s="17" t="e">
        <f t="shared" si="42"/>
        <v>#DIV/0!</v>
      </c>
      <c r="L27" s="17" t="e">
        <f t="shared" si="42"/>
        <v>#DIV/0!</v>
      </c>
      <c r="M27" s="17" t="e">
        <f t="shared" si="42"/>
        <v>#DIV/0!</v>
      </c>
      <c r="N27" s="17" t="e">
        <f t="shared" si="42"/>
        <v>#DIV/0!</v>
      </c>
      <c r="O27" s="17" t="e">
        <f t="shared" si="42"/>
        <v>#DIV/0!</v>
      </c>
      <c r="Q27" s="3">
        <v>3</v>
      </c>
      <c r="R27" s="17">
        <f t="shared" ref="R27:W27" si="43">R8/$W$10</f>
        <v>2.9790810102931654E-3</v>
      </c>
      <c r="S27" s="17">
        <f t="shared" si="43"/>
        <v>1.1422380528196408E-2</v>
      </c>
      <c r="T27" s="17">
        <f t="shared" si="43"/>
        <v>5.0693998690773928E-2</v>
      </c>
      <c r="U27" s="17">
        <f t="shared" si="43"/>
        <v>4.9723543790557254E-2</v>
      </c>
      <c r="V27" s="17">
        <f t="shared" si="43"/>
        <v>1.7871086787303873E-2</v>
      </c>
      <c r="W27" s="17">
        <f t="shared" si="43"/>
        <v>0.1326900908071246</v>
      </c>
    </row>
    <row r="28" spans="1:39" x14ac:dyDescent="0.25">
      <c r="A28" s="5" t="s">
        <v>3</v>
      </c>
      <c r="B28" s="18">
        <f t="shared" ref="B28:G28" si="44">B19/$G$20</f>
        <v>5.8984679236070232E-4</v>
      </c>
      <c r="C28" s="18">
        <f t="shared" si="44"/>
        <v>2.3172450640962482E-3</v>
      </c>
      <c r="D28" s="18">
        <f t="shared" si="44"/>
        <v>1.5862660399536654E-2</v>
      </c>
      <c r="E28" s="18">
        <f t="shared" si="44"/>
        <v>2.6607960246468155E-2</v>
      </c>
      <c r="F28" s="18">
        <f t="shared" si="44"/>
        <v>2.4290131516639526E-2</v>
      </c>
      <c r="G28" s="18">
        <f t="shared" si="44"/>
        <v>6.9667844019101297E-2</v>
      </c>
      <c r="I28" s="5" t="s">
        <v>3</v>
      </c>
      <c r="J28" s="18" t="e">
        <f t="shared" ref="J28:O28" si="45">J19/$O$20</f>
        <v>#DIV/0!</v>
      </c>
      <c r="K28" s="18" t="e">
        <f t="shared" si="45"/>
        <v>#DIV/0!</v>
      </c>
      <c r="L28" s="18" t="e">
        <f t="shared" si="45"/>
        <v>#DIV/0!</v>
      </c>
      <c r="M28" s="18" t="e">
        <f t="shared" si="45"/>
        <v>#DIV/0!</v>
      </c>
      <c r="N28" s="18" t="e">
        <f t="shared" si="45"/>
        <v>#DIV/0!</v>
      </c>
      <c r="O28" s="18" t="e">
        <f t="shared" si="45"/>
        <v>#DIV/0!</v>
      </c>
      <c r="Q28" s="5" t="s">
        <v>3</v>
      </c>
      <c r="R28" s="18">
        <f t="shared" ref="R28:W28" si="46">R9/$W$10</f>
        <v>3.3907462803980828E-4</v>
      </c>
      <c r="S28" s="18">
        <f t="shared" si="46"/>
        <v>1.8809634730654419E-3</v>
      </c>
      <c r="T28" s="18">
        <f t="shared" si="46"/>
        <v>1.7741652997991096E-2</v>
      </c>
      <c r="U28" s="18">
        <f t="shared" si="46"/>
        <v>2.5262949811455854E-2</v>
      </c>
      <c r="V28" s="18">
        <f t="shared" si="46"/>
        <v>2.44432031085491E-2</v>
      </c>
      <c r="W28" s="18">
        <f t="shared" si="46"/>
        <v>6.9667844019101297E-2</v>
      </c>
    </row>
    <row r="29" spans="1:39" ht="15.75" thickBot="1" x14ac:dyDescent="0.3">
      <c r="A29" s="7" t="s">
        <v>4</v>
      </c>
      <c r="B29" s="19">
        <f t="shared" ref="B29:G29" si="47">B20/$G$20</f>
        <v>8.3217608906178603E-2</v>
      </c>
      <c r="C29" s="19">
        <f t="shared" si="47"/>
        <v>0.32087847345007325</v>
      </c>
      <c r="D29" s="19">
        <f t="shared" si="47"/>
        <v>0.36251298242221219</v>
      </c>
      <c r="E29" s="19">
        <f t="shared" si="47"/>
        <v>0.15174073661348278</v>
      </c>
      <c r="F29" s="19">
        <f t="shared" si="47"/>
        <v>8.1650198608053087E-2</v>
      </c>
      <c r="G29" s="19">
        <f t="shared" si="47"/>
        <v>1</v>
      </c>
      <c r="I29" s="7" t="s">
        <v>4</v>
      </c>
      <c r="J29" s="19" t="e">
        <f t="shared" ref="J29:O29" si="48">J20/$O$20</f>
        <v>#DIV/0!</v>
      </c>
      <c r="K29" s="19" t="e">
        <f t="shared" si="48"/>
        <v>#DIV/0!</v>
      </c>
      <c r="L29" s="19" t="e">
        <f t="shared" si="48"/>
        <v>#DIV/0!</v>
      </c>
      <c r="M29" s="19" t="e">
        <f t="shared" si="48"/>
        <v>#DIV/0!</v>
      </c>
      <c r="N29" s="19" t="e">
        <f t="shared" si="48"/>
        <v>#DIV/0!</v>
      </c>
      <c r="O29" s="19" t="e">
        <f t="shared" si="48"/>
        <v>#DIV/0!</v>
      </c>
      <c r="Q29" s="7" t="s">
        <v>4</v>
      </c>
      <c r="R29" s="19">
        <f t="shared" ref="R29:W29" si="49">R10/$W$10</f>
        <v>7.2975602704550488E-2</v>
      </c>
      <c r="S29" s="19">
        <f t="shared" si="49"/>
        <v>0.31668043383358219</v>
      </c>
      <c r="T29" s="19">
        <f t="shared" si="49"/>
        <v>0.37736612306657563</v>
      </c>
      <c r="U29" s="19">
        <f t="shared" si="49"/>
        <v>0.16076783346938039</v>
      </c>
      <c r="V29" s="19">
        <f t="shared" si="49"/>
        <v>7.2210006925911202E-2</v>
      </c>
      <c r="W29" s="19">
        <f t="shared" si="49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  <c r="Y32" s="96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6" t="s">
        <v>133</v>
      </c>
      <c r="Z33" s="95" t="s">
        <v>164</v>
      </c>
    </row>
    <row r="34" spans="17:26" x14ac:dyDescent="0.25">
      <c r="Q34" s="3">
        <v>1</v>
      </c>
      <c r="R34" s="17">
        <f>R25-B25</f>
        <v>-8.9599081536595807E-3</v>
      </c>
      <c r="S34" s="17">
        <f t="shared" ref="S34:W34" si="50">S25-C25</f>
        <v>8.7410083148552475E-3</v>
      </c>
      <c r="T34" s="17">
        <f t="shared" si="50"/>
        <v>-9.6428771511248429E-4</v>
      </c>
      <c r="U34" s="17">
        <f t="shared" si="50"/>
        <v>1.0944567049656108E-3</v>
      </c>
      <c r="V34" s="17">
        <f t="shared" si="50"/>
        <v>8.8730848951223962E-5</v>
      </c>
      <c r="W34" s="17">
        <f t="shared" si="50"/>
        <v>0</v>
      </c>
      <c r="Y34" s="4">
        <f>B16+B17+C17+B18+C18+D18+B19+C19+D19+E19</f>
        <v>428599.35444924847</v>
      </c>
      <c r="Z34" s="4">
        <f>R16+R17+S17+R18+S18+T18+R19+S19+T19+U19</f>
        <v>399639.40242807887</v>
      </c>
    </row>
    <row r="35" spans="17:26" x14ac:dyDescent="0.25">
      <c r="Q35" s="3">
        <v>2</v>
      </c>
      <c r="R35" s="17">
        <f t="shared" ref="R35:W35" si="51">R26-B26</f>
        <v>-1.2586325322519586E-3</v>
      </c>
      <c r="S35" s="17">
        <f t="shared" si="51"/>
        <v>-1.1708658585058609E-2</v>
      </c>
      <c r="T35" s="17">
        <f t="shared" si="51"/>
        <v>1.0513305222279945E-2</v>
      </c>
      <c r="U35" s="17">
        <f t="shared" si="51"/>
        <v>2.4817301703396744E-3</v>
      </c>
      <c r="V35" s="17">
        <f t="shared" si="51"/>
        <v>-2.7744275308969751E-5</v>
      </c>
      <c r="W35" s="17">
        <f t="shared" si="51"/>
        <v>0</v>
      </c>
      <c r="Z35" s="97">
        <f>(Z34-Y34)/G20</f>
        <v>-1.9221941430790597E-2</v>
      </c>
    </row>
    <row r="36" spans="17:26" x14ac:dyDescent="0.25">
      <c r="Q36" s="3">
        <v>3</v>
      </c>
      <c r="R36" s="17">
        <f t="shared" ref="R36:W36" si="52">R27-B27</f>
        <v>2.2730664860430702E-4</v>
      </c>
      <c r="S36" s="17">
        <f t="shared" si="52"/>
        <v>-7.9410775525680898E-4</v>
      </c>
      <c r="T36" s="17">
        <f t="shared" si="52"/>
        <v>3.4251305387415915E-3</v>
      </c>
      <c r="U36" s="17">
        <f t="shared" si="52"/>
        <v>6.7959204156046102E-3</v>
      </c>
      <c r="V36" s="17">
        <f t="shared" si="52"/>
        <v>-9.6542498476936967E-3</v>
      </c>
      <c r="W36" s="17">
        <f t="shared" si="52"/>
        <v>0</v>
      </c>
    </row>
    <row r="37" spans="17:26" x14ac:dyDescent="0.25">
      <c r="Q37" s="5" t="s">
        <v>3</v>
      </c>
      <c r="R37" s="18">
        <f t="shared" ref="R37:W37" si="53">R28-B28</f>
        <v>-2.5077216432089404E-4</v>
      </c>
      <c r="S37" s="18">
        <f t="shared" si="53"/>
        <v>-4.3628159103080628E-4</v>
      </c>
      <c r="T37" s="18">
        <f t="shared" si="53"/>
        <v>1.8789925984544417E-3</v>
      </c>
      <c r="U37" s="18">
        <f t="shared" si="53"/>
        <v>-1.3450104350123011E-3</v>
      </c>
      <c r="V37" s="18">
        <f t="shared" si="53"/>
        <v>1.5307159190957459E-4</v>
      </c>
      <c r="W37" s="18">
        <f t="shared" si="53"/>
        <v>0</v>
      </c>
    </row>
    <row r="38" spans="17:26" ht="15.75" thickBot="1" x14ac:dyDescent="0.3">
      <c r="Q38" s="7" t="s">
        <v>4</v>
      </c>
      <c r="R38" s="19">
        <f t="shared" ref="R38:W38" si="54">R29-B29</f>
        <v>-1.0242006201628115E-2</v>
      </c>
      <c r="S38" s="19">
        <f t="shared" si="54"/>
        <v>-4.1980396164910672E-3</v>
      </c>
      <c r="T38" s="19">
        <f t="shared" si="54"/>
        <v>1.4853140644363438E-2</v>
      </c>
      <c r="U38" s="19">
        <f t="shared" si="54"/>
        <v>9.027096855897615E-3</v>
      </c>
      <c r="V38" s="19">
        <f t="shared" si="54"/>
        <v>-9.4401916821418852E-3</v>
      </c>
      <c r="W38" s="19">
        <f t="shared" si="54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width="84.7109375" bestFit="1" customWidth="1" collapsed="1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r="18" spans="1:15" s="77" customFormat="1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r="53" spans="1:13" s="77" customFormat="1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r="56" spans="1:13" s="77" customFormat="1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r="59" spans="1:13" s="77" customFormat="1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A62"/>
  <sheetViews>
    <sheetView workbookViewId="0">
      <selection activeCell="I26" sqref="I26"/>
    </sheetView>
  </sheetViews>
  <sheetFormatPr defaultRowHeight="15" x14ac:dyDescent="0.25"/>
  <cols>
    <col min="9" max="9" width="14.85546875" customWidth="1"/>
    <col min="19" max="19" width="15.42578125" bestFit="1" customWidth="1" collapsed="1"/>
    <col min="20" max="20" width="9.42578125" bestFit="1" customWidth="1" collapsed="1"/>
    <col min="21" max="22" width="14.42578125" bestFit="1" customWidth="1" collapsed="1"/>
    <col min="26" max="27" width="14.42578125" bestFit="1" customWidth="1" collapsed="1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-3.5502124507071895</v>
      </c>
    </row>
    <row r="4" spans="1:27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t="shared" ref="AA4:AA19" si="0">V7</f>
        <v>-2.0484380978508692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t="shared" si="0"/>
        <v>-4.1202858125483166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83304.918526929105</v>
      </c>
      <c r="K6" s="4">
        <f>Vehicles_by_HHDrivers!S16</f>
        <v>328587.0973352585</v>
      </c>
      <c r="L6" s="4">
        <f>Vehicles_by_HHDrivers!T16</f>
        <v>41355.036582271408</v>
      </c>
      <c r="M6" s="4">
        <f>Vehicles_by_HHDrivers!U16</f>
        <v>9067.9432541124952</v>
      </c>
      <c r="N6" s="4">
        <f>Vehicles_by_HHDrivers!V16</f>
        <v>4159.8359320730415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1.1620442041634718</v>
      </c>
      <c r="U6" s="87">
        <f>LN(T6)-LN($T$22)</f>
        <v>0.19692711200281079</v>
      </c>
      <c r="V6" s="87">
        <f>S6+U6</f>
        <v>-3.5502124507071895</v>
      </c>
      <c r="X6" s="86">
        <v>4</v>
      </c>
      <c r="Y6" s="86" t="s">
        <v>30</v>
      </c>
      <c r="Z6" s="90">
        <f>VehAvailCoefficient!E14</f>
        <v>-11.219392631330001</v>
      </c>
      <c r="AA6" s="89">
        <f t="shared" si="0"/>
        <v>-11.98458030744853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t="shared" ref="G7:G10" si="1">SUM(B7:F7)</f>
        <v>735259.96819019923</v>
      </c>
      <c r="I7" s="3">
        <v>2</v>
      </c>
      <c r="J7" s="4">
        <f>Vehicles_by_HHDrivers!R17</f>
        <v>21641.625619930743</v>
      </c>
      <c r="K7" s="4">
        <f>Vehicles_by_HHDrivers!S17</f>
        <v>128483.58917680086</v>
      </c>
      <c r="L7" s="4">
        <f>Vehicles_by_HHDrivers!T17</f>
        <v>424082.42514298414</v>
      </c>
      <c r="M7" s="4">
        <f>Vehicles_by_HHDrivers!U17</f>
        <v>120171.00463339142</v>
      </c>
      <c r="N7" s="4">
        <f>Vehicles_by_HHDrivers!V17</f>
        <v>40881.323617092217</v>
      </c>
      <c r="O7" s="4">
        <f t="shared" ref="O7:O10" si="2">SUM(J7:N7)</f>
        <v>735259.96819019935</v>
      </c>
      <c r="Q7">
        <v>2</v>
      </c>
      <c r="R7" t="s">
        <v>90</v>
      </c>
      <c r="S7" s="87">
        <f t="shared" ref="S7:S22" si="3">Z4</f>
        <v>-2.1297115852199999</v>
      </c>
      <c r="T7" s="84">
        <f>D15/L15</f>
        <v>1.035130053647364</v>
      </c>
      <c r="U7" s="87">
        <f t="shared" ref="U7:U22" si="4">LN(T7)-LN($T$22)</f>
        <v>8.1273487369130676E-2</v>
      </c>
      <c r="V7" s="87">
        <f t="shared" ref="V7:V22" si="5">S7+U7</f>
        <v>-2.0484380978508692</v>
      </c>
      <c r="X7" s="86">
        <v>5</v>
      </c>
      <c r="Y7" s="86" t="s">
        <v>31</v>
      </c>
      <c r="Z7" s="90">
        <f>VehAvailCoefficient!E15</f>
        <v>-5.0125223934900003</v>
      </c>
      <c r="AA7" s="89">
        <f t="shared" si="0"/>
        <v>-4.881782968386907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t="shared" si="1"/>
        <v>199912.09926920038</v>
      </c>
      <c r="I8" s="3">
        <v>3</v>
      </c>
      <c r="J8" s="4">
        <f>Vehicles_by_HHDrivers!R18</f>
        <v>4488.3105817329015</v>
      </c>
      <c r="K8" s="4">
        <f>Vehicles_by_HHDrivers!S18</f>
        <v>17209.062531749911</v>
      </c>
      <c r="L8" s="4">
        <f>Vehicles_by_HHDrivers!T18</f>
        <v>76376.040117070748</v>
      </c>
      <c r="M8" s="4">
        <f>Vehicles_by_HHDrivers!U18</f>
        <v>74913.943926101972</v>
      </c>
      <c r="N8" s="4">
        <f>Vehicles_by_HHDrivers!V18</f>
        <v>26924.742112544838</v>
      </c>
      <c r="O8" s="4">
        <f t="shared" si="2"/>
        <v>199912.09926920035</v>
      </c>
      <c r="Q8">
        <v>3</v>
      </c>
      <c r="R8" t="s">
        <v>90</v>
      </c>
      <c r="S8" s="87">
        <f t="shared" si="3"/>
        <v>-3.96633437255</v>
      </c>
      <c r="T8" s="84">
        <f>E15/M15</f>
        <v>0.81815959880567612</v>
      </c>
      <c r="U8" s="87">
        <f t="shared" si="4"/>
        <v>-0.15395143999831631</v>
      </c>
      <c r="V8" s="87">
        <f t="shared" si="5"/>
        <v>-4.1202858125483166</v>
      </c>
      <c r="X8" s="86">
        <v>6</v>
      </c>
      <c r="Y8" s="86" t="s">
        <v>32</v>
      </c>
      <c r="Z8" s="90">
        <f>VehAvailCoefficient!E16</f>
        <v>-1.8563745465099999</v>
      </c>
      <c r="AA8" s="89">
        <f t="shared" si="0"/>
        <v>-1.6809740108596283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t="shared" si="1"/>
        <v>104962.20829076355</v>
      </c>
      <c r="I9" s="5" t="s">
        <v>3</v>
      </c>
      <c r="J9" s="4">
        <f>Vehicles_by_HHDrivers!R19</f>
        <v>510.85292268653501</v>
      </c>
      <c r="K9" s="4">
        <f>Vehicles_by_HHDrivers!S19</f>
        <v>2833.8766991710295</v>
      </c>
      <c r="L9" s="4">
        <f>Vehicles_by_HHDrivers!T19</f>
        <v>26729.735986763397</v>
      </c>
      <c r="M9" s="4">
        <f>Vehicles_by_HHDrivers!U19</f>
        <v>38061.390265243652</v>
      </c>
      <c r="N9" s="4">
        <f>Vehicles_by_HHDrivers!V19</f>
        <v>36826.352416898946</v>
      </c>
      <c r="O9" s="6">
        <f t="shared" si="2"/>
        <v>104962.20829076355</v>
      </c>
      <c r="Q9">
        <v>4</v>
      </c>
      <c r="R9" t="s">
        <v>90</v>
      </c>
      <c r="S9" s="87">
        <f t="shared" si="3"/>
        <v>-11.219392631330001</v>
      </c>
      <c r="T9" s="84">
        <f>F15/M15</f>
        <v>0.44399850264960078</v>
      </c>
      <c r="U9" s="87">
        <f t="shared" si="4"/>
        <v>-0.76518767611853</v>
      </c>
      <c r="V9" s="87">
        <f t="shared" si="5"/>
        <v>-11.98458030744853</v>
      </c>
      <c r="X9" s="86">
        <v>7</v>
      </c>
      <c r="Y9" s="86" t="s">
        <v>33</v>
      </c>
      <c r="Z9" s="90">
        <f>VehAvailCoefficient!E17</f>
        <v>-1.3964239432800001</v>
      </c>
      <c r="AA9" s="89">
        <f t="shared" si="0"/>
        <v>-1.381285822632623</v>
      </c>
    </row>
    <row r="10" spans="1:27" ht="15.75" thickBot="1" x14ac:dyDescent="0.3">
      <c r="A10" s="7" t="s">
        <v>4</v>
      </c>
      <c r="B10" s="8">
        <f>SUM(B6:B9)</f>
        <v>125376.40747250292</v>
      </c>
      <c r="C10" s="8">
        <f t="shared" ref="C10:F10" si="6">SUM(C6:C9)</f>
        <v>483438.4304623311</v>
      </c>
      <c r="D10" s="8">
        <f t="shared" si="6"/>
        <v>546165.36086108361</v>
      </c>
      <c r="E10" s="8">
        <f t="shared" si="6"/>
        <v>228613.97574254556</v>
      </c>
      <c r="F10" s="8">
        <f t="shared" si="6"/>
        <v>123014.93284234454</v>
      </c>
      <c r="G10" s="8">
        <f t="shared" si="1"/>
        <v>1506609.1073808079</v>
      </c>
      <c r="I10" s="7" t="s">
        <v>4</v>
      </c>
      <c r="J10" s="8">
        <f>SUM(J6:J9)</f>
        <v>109945.70765127928</v>
      </c>
      <c r="K10" s="8">
        <f t="shared" ref="K10:N10" si="7">SUM(K6:K9)</f>
        <v>477113.62574298028</v>
      </c>
      <c r="L10" s="8">
        <f t="shared" si="7"/>
        <v>568543.23782908963</v>
      </c>
      <c r="M10" s="8">
        <f t="shared" si="7"/>
        <v>242214.28207884956</v>
      </c>
      <c r="N10" s="8">
        <f t="shared" si="7"/>
        <v>108792.25407860902</v>
      </c>
      <c r="O10" s="8">
        <f t="shared" si="2"/>
        <v>1506609.1073808079</v>
      </c>
      <c r="Q10">
        <v>5</v>
      </c>
      <c r="R10" t="s">
        <v>91</v>
      </c>
      <c r="S10" s="87">
        <f t="shared" si="3"/>
        <v>-5.0125223934900003</v>
      </c>
      <c r="T10" s="84">
        <f>B16/J16</f>
        <v>1.0876212937622491</v>
      </c>
      <c r="U10" s="87">
        <f t="shared" si="4"/>
        <v>0.13073942510309308</v>
      </c>
      <c r="V10" s="87">
        <f t="shared" si="5"/>
        <v>-4.881782968386907</v>
      </c>
      <c r="X10" s="86">
        <v>8</v>
      </c>
      <c r="Y10" s="86" t="s">
        <v>34</v>
      </c>
      <c r="Z10" s="90">
        <f>VehAvailCoefficient!E18</f>
        <v>-2.3942936803500001</v>
      </c>
      <c r="AA10" s="89">
        <f t="shared" si="0"/>
        <v>-2.346525323511965</v>
      </c>
    </row>
    <row r="11" spans="1:27" x14ac:dyDescent="0.25">
      <c r="G11" s="4"/>
      <c r="O11" s="4"/>
      <c r="Q11">
        <v>6</v>
      </c>
      <c r="R11" t="s">
        <v>91</v>
      </c>
      <c r="S11" s="87">
        <f t="shared" si="3"/>
        <v>-1.8563745465099999</v>
      </c>
      <c r="T11" s="84">
        <f>C16/K16</f>
        <v>1.1372966911376332</v>
      </c>
      <c r="U11" s="87">
        <f t="shared" si="4"/>
        <v>0.17540053565037156</v>
      </c>
      <c r="V11" s="87">
        <f t="shared" si="5"/>
        <v>-1.6809740108596283</v>
      </c>
      <c r="X11" s="86">
        <v>9</v>
      </c>
      <c r="Y11" s="86" t="s">
        <v>35</v>
      </c>
      <c r="Z11" s="90">
        <f>VehAvailCoefficient!E19</f>
        <v>-4.9201833156500001</v>
      </c>
      <c r="AA11" s="89">
        <f t="shared" si="0"/>
        <v>-4.9528058439067983</v>
      </c>
    </row>
    <row r="12" spans="1:27" x14ac:dyDescent="0.25">
      <c r="A12" s="82" t="s">
        <v>138</v>
      </c>
      <c r="Q12">
        <v>7</v>
      </c>
      <c r="R12" t="s">
        <v>91</v>
      </c>
      <c r="S12" s="87">
        <f t="shared" si="3"/>
        <v>-1.3964239432800001</v>
      </c>
      <c r="T12" s="84">
        <f>E16/M16</f>
        <v>0.96888602797237044</v>
      </c>
      <c r="U12" s="87">
        <f t="shared" si="4"/>
        <v>1.5138120647377087E-2</v>
      </c>
      <c r="V12" s="87">
        <f t="shared" si="5"/>
        <v>-1.381285822632623</v>
      </c>
      <c r="X12" s="86">
        <v>10</v>
      </c>
      <c r="Y12" s="86" t="s">
        <v>36</v>
      </c>
      <c r="Z12" s="90">
        <f>VehAvailCoefficient!E20</f>
        <v>-2.29401614977</v>
      </c>
      <c r="AA12" s="89">
        <f t="shared" si="0"/>
        <v>-2.1800578340527226</v>
      </c>
    </row>
    <row r="13" spans="1:27" ht="15.75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t="shared" si="3"/>
        <v>-2.3942936803500001</v>
      </c>
      <c r="T13" s="84">
        <f>F16/N16</f>
        <v>1.0010224663528433</v>
      </c>
      <c r="U13" s="87">
        <f t="shared" si="4"/>
        <v>4.7768356838035153E-2</v>
      </c>
      <c r="V13" s="87">
        <f t="shared" si="5"/>
        <v>-2.346525323511965</v>
      </c>
      <c r="X13" s="86">
        <v>11</v>
      </c>
      <c r="Y13" s="86" t="s">
        <v>37</v>
      </c>
      <c r="Z13" s="90">
        <f>VehAvailCoefficient!E21</f>
        <v>-1.4446352364099999</v>
      </c>
      <c r="AA13" s="89">
        <f t="shared" si="0"/>
        <v>-1.4678444579355339</v>
      </c>
    </row>
    <row r="14" spans="1:27" x14ac:dyDescent="0.25">
      <c r="A14" s="11" t="s">
        <v>173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173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t="shared" si="3"/>
        <v>-4.9201833156500001</v>
      </c>
      <c r="T14" s="84">
        <f>B17/J17</f>
        <v>0.92369907101588411</v>
      </c>
      <c r="U14" s="87">
        <f t="shared" si="4"/>
        <v>-3.2622528256797893E-2</v>
      </c>
      <c r="V14" s="87">
        <f t="shared" si="5"/>
        <v>-4.9528058439067983</v>
      </c>
      <c r="X14" s="86">
        <v>12</v>
      </c>
      <c r="Y14" s="86" t="s">
        <v>38</v>
      </c>
      <c r="Z14" s="90">
        <f>VehAvailCoefficient!E22</f>
        <v>-0.81535992723999995</v>
      </c>
      <c r="AA14" s="89">
        <f t="shared" si="0"/>
        <v>-0.33669074532722953</v>
      </c>
    </row>
    <row r="15" spans="1:27" x14ac:dyDescent="0.25">
      <c r="A15" s="3">
        <v>1</v>
      </c>
      <c r="B15" s="17">
        <f>B6/$G$10</f>
        <v>6.4252895643793675E-2</v>
      </c>
      <c r="C15" s="17">
        <f t="shared" ref="C15:G15" si="8">C6/$G$10</f>
        <v>0.2093561050807333</v>
      </c>
      <c r="D15" s="17">
        <f t="shared" si="8"/>
        <v>2.8413369484016581E-2</v>
      </c>
      <c r="E15" s="17">
        <f t="shared" si="8"/>
        <v>4.9243196383400708E-3</v>
      </c>
      <c r="F15" s="17">
        <f t="shared" si="8"/>
        <v>2.6723276842105623E-3</v>
      </c>
      <c r="G15" s="17">
        <f t="shared" si="8"/>
        <v>0.30961901753109417</v>
      </c>
      <c r="I15" s="3">
        <v>1</v>
      </c>
      <c r="J15" s="17">
        <f>J6/$O$10</f>
        <v>5.5292987490134095E-2</v>
      </c>
      <c r="K15" s="17">
        <f t="shared" ref="K15:O15" si="9">K6/$O$10</f>
        <v>0.21809711339558854</v>
      </c>
      <c r="L15" s="17">
        <f t="shared" si="9"/>
        <v>2.7449081768904097E-2</v>
      </c>
      <c r="M15" s="17">
        <f t="shared" si="9"/>
        <v>6.0187763433056816E-3</v>
      </c>
      <c r="N15" s="17">
        <f t="shared" si="9"/>
        <v>2.7610585331617862E-3</v>
      </c>
      <c r="O15" s="17">
        <f t="shared" si="9"/>
        <v>0.30961901753109422</v>
      </c>
      <c r="Q15">
        <v>10</v>
      </c>
      <c r="R15" t="s">
        <v>92</v>
      </c>
      <c r="S15" s="87">
        <f t="shared" si="3"/>
        <v>-2.29401614977</v>
      </c>
      <c r="T15" s="84">
        <f>C17/K17</f>
        <v>1.0695220889635515</v>
      </c>
      <c r="U15" s="87">
        <f t="shared" si="4"/>
        <v>0.11395831571727744</v>
      </c>
      <c r="V15" s="87">
        <f t="shared" si="5"/>
        <v>-2.1800578340527226</v>
      </c>
      <c r="X15" s="86">
        <v>13</v>
      </c>
      <c r="Y15" s="86" t="s">
        <v>39</v>
      </c>
      <c r="Z15" s="90">
        <f>VehAvailCoefficient!E23</f>
        <v>-5.3216543706600001</v>
      </c>
      <c r="AA15" s="89">
        <f t="shared" si="0"/>
        <v>-4.7212653534615585</v>
      </c>
    </row>
    <row r="16" spans="1:27" x14ac:dyDescent="0.25">
      <c r="A16" s="3">
        <v>2</v>
      </c>
      <c r="B16" s="17">
        <f t="shared" ref="B16:G16" si="10">B7/$G$10</f>
        <v>1.562309210833538E-2</v>
      </c>
      <c r="C16" s="17">
        <f t="shared" si="10"/>
        <v>9.6988635021790434E-2</v>
      </c>
      <c r="D16" s="17">
        <f t="shared" si="10"/>
        <v>0.27096808438662662</v>
      </c>
      <c r="E16" s="17">
        <f t="shared" si="10"/>
        <v>7.728083335372192E-2</v>
      </c>
      <c r="F16" s="17">
        <f t="shared" si="10"/>
        <v>2.7162402772205423E-2</v>
      </c>
      <c r="G16" s="17">
        <f t="shared" si="10"/>
        <v>0.48802304764267979</v>
      </c>
      <c r="I16" s="3">
        <v>2</v>
      </c>
      <c r="J16" s="17">
        <f t="shared" ref="J16:O16" si="11">J7/$O$10</f>
        <v>1.4364459576083422E-2</v>
      </c>
      <c r="K16" s="17">
        <f t="shared" si="11"/>
        <v>8.5279976436731825E-2</v>
      </c>
      <c r="L16" s="17">
        <f t="shared" si="11"/>
        <v>0.28148138960890656</v>
      </c>
      <c r="M16" s="17">
        <f t="shared" si="11"/>
        <v>7.9762563524061594E-2</v>
      </c>
      <c r="N16" s="17">
        <f t="shared" si="11"/>
        <v>2.7134658496896454E-2</v>
      </c>
      <c r="O16" s="17">
        <f t="shared" si="11"/>
        <v>0.48802304764267984</v>
      </c>
      <c r="Q16">
        <v>11</v>
      </c>
      <c r="R16" t="s">
        <v>92</v>
      </c>
      <c r="S16" s="87">
        <f t="shared" si="3"/>
        <v>-1.4446352364099999</v>
      </c>
      <c r="T16" s="84">
        <f>D17/L17</f>
        <v>0.93243518705962825</v>
      </c>
      <c r="U16" s="87">
        <f t="shared" si="4"/>
        <v>-2.3209221525533945E-2</v>
      </c>
      <c r="V16" s="87">
        <f t="shared" si="5"/>
        <v>-1.4678444579355339</v>
      </c>
      <c r="X16" s="86">
        <v>14</v>
      </c>
      <c r="Y16" s="86" t="s">
        <v>40</v>
      </c>
      <c r="Z16" s="90">
        <f>VehAvailCoefficient!E24</f>
        <v>-1.1261276811700001</v>
      </c>
      <c r="AA16" s="89">
        <f t="shared" si="0"/>
        <v>-0.87078639185920537</v>
      </c>
    </row>
    <row r="17" spans="1:27" x14ac:dyDescent="0.25">
      <c r="A17" s="3">
        <v>3</v>
      </c>
      <c r="B17" s="17">
        <f t="shared" ref="B17:G17" si="12">B8/$G$10</f>
        <v>2.7517743616888584E-3</v>
      </c>
      <c r="C17" s="17">
        <f t="shared" si="12"/>
        <v>1.2216488283453217E-2</v>
      </c>
      <c r="D17" s="17">
        <f t="shared" si="12"/>
        <v>4.7268868152032337E-2</v>
      </c>
      <c r="E17" s="17">
        <f t="shared" si="12"/>
        <v>4.2927623374952643E-2</v>
      </c>
      <c r="F17" s="17">
        <f t="shared" si="12"/>
        <v>2.7525336634997569E-2</v>
      </c>
      <c r="G17" s="17">
        <f t="shared" si="12"/>
        <v>0.13269009080712463</v>
      </c>
      <c r="I17" s="3">
        <v>3</v>
      </c>
      <c r="J17" s="17">
        <f t="shared" ref="J17:O17" si="13">J8/$O$10</f>
        <v>2.9790810102931654E-3</v>
      </c>
      <c r="K17" s="17">
        <f t="shared" si="13"/>
        <v>1.1422380528196408E-2</v>
      </c>
      <c r="L17" s="17">
        <f t="shared" si="13"/>
        <v>5.0693998690773928E-2</v>
      </c>
      <c r="M17" s="17">
        <f t="shared" si="13"/>
        <v>4.9723543790557254E-2</v>
      </c>
      <c r="N17" s="17">
        <f t="shared" si="13"/>
        <v>1.7871086787303873E-2</v>
      </c>
      <c r="O17" s="17">
        <f t="shared" si="13"/>
        <v>0.1326900908071246</v>
      </c>
      <c r="Q17">
        <v>12</v>
      </c>
      <c r="R17" t="s">
        <v>92</v>
      </c>
      <c r="S17" s="87">
        <f t="shared" si="3"/>
        <v>-0.81535992723999995</v>
      </c>
      <c r="T17" s="84">
        <f>F17/N17</f>
        <v>1.5402161582334406</v>
      </c>
      <c r="U17" s="87">
        <f t="shared" si="4"/>
        <v>0.47866918191277041</v>
      </c>
      <c r="V17" s="87">
        <f t="shared" si="5"/>
        <v>-0.33669074532722953</v>
      </c>
      <c r="X17" s="86">
        <v>15</v>
      </c>
      <c r="Y17" s="86" t="s">
        <v>41</v>
      </c>
      <c r="Z17" s="90">
        <f>VehAvailCoefficient!E25</f>
        <v>-1.6372198765899999</v>
      </c>
      <c r="AA17" s="89">
        <f t="shared" si="0"/>
        <v>-1.7024206705660214</v>
      </c>
    </row>
    <row r="18" spans="1:27" x14ac:dyDescent="0.25">
      <c r="A18" s="5" t="s">
        <v>3</v>
      </c>
      <c r="B18" s="18">
        <f t="shared" ref="B18:G18" si="14">B9/$G$10</f>
        <v>5.8984679236070232E-4</v>
      </c>
      <c r="C18" s="18">
        <f t="shared" si="14"/>
        <v>2.3172450640962482E-3</v>
      </c>
      <c r="D18" s="18">
        <f t="shared" si="14"/>
        <v>1.5862660399536654E-2</v>
      </c>
      <c r="E18" s="18">
        <f t="shared" si="14"/>
        <v>2.6607960246468155E-2</v>
      </c>
      <c r="F18" s="18">
        <f t="shared" si="14"/>
        <v>2.4290131516639526E-2</v>
      </c>
      <c r="G18" s="17">
        <f t="shared" si="14"/>
        <v>6.9667844019101297E-2</v>
      </c>
      <c r="I18" s="5" t="s">
        <v>3</v>
      </c>
      <c r="J18" s="17">
        <f t="shared" ref="J18:O18" si="15">J9/$O$10</f>
        <v>3.3907462803980828E-4</v>
      </c>
      <c r="K18" s="17">
        <f t="shared" si="15"/>
        <v>1.8809634730654419E-3</v>
      </c>
      <c r="L18" s="17">
        <f t="shared" si="15"/>
        <v>1.7741652997991096E-2</v>
      </c>
      <c r="M18" s="17">
        <f t="shared" si="15"/>
        <v>2.5262949811455854E-2</v>
      </c>
      <c r="N18" s="17">
        <f t="shared" si="15"/>
        <v>2.44432031085491E-2</v>
      </c>
      <c r="O18" s="17">
        <f t="shared" si="15"/>
        <v>6.9667844019101297E-2</v>
      </c>
      <c r="Q18">
        <v>13</v>
      </c>
      <c r="R18" t="s">
        <v>93</v>
      </c>
      <c r="S18" s="87">
        <f t="shared" si="3"/>
        <v>-5.3216543706600001</v>
      </c>
      <c r="T18" s="84">
        <f>B18/J18</f>
        <v>1.739578085717026</v>
      </c>
      <c r="U18" s="87">
        <f t="shared" si="4"/>
        <v>0.60038901719844151</v>
      </c>
      <c r="V18" s="87">
        <f t="shared" si="5"/>
        <v>-4.7212653534615585</v>
      </c>
      <c r="X18" s="86">
        <v>16</v>
      </c>
      <c r="Y18" s="86" t="s">
        <v>42</v>
      </c>
      <c r="Z18" s="90">
        <f>VehAvailCoefficient!E26</f>
        <v>-0.59991414110999997</v>
      </c>
      <c r="AA18" s="89">
        <f t="shared" si="0"/>
        <v>-0.50129618792871056</v>
      </c>
    </row>
    <row r="19" spans="1:27" ht="15.75" thickBot="1" x14ac:dyDescent="0.3">
      <c r="A19" s="7" t="s">
        <v>4</v>
      </c>
      <c r="B19" s="19">
        <f>B10/$G$10</f>
        <v>8.3217608906178603E-2</v>
      </c>
      <c r="C19" s="19">
        <f t="shared" ref="C19:G19" si="16">C10/$G$10</f>
        <v>0.32087847345007325</v>
      </c>
      <c r="D19" s="19">
        <f t="shared" si="16"/>
        <v>0.36251298242221219</v>
      </c>
      <c r="E19" s="19">
        <f t="shared" si="16"/>
        <v>0.15174073661348278</v>
      </c>
      <c r="F19" s="19">
        <f t="shared" si="16"/>
        <v>8.1650198608053087E-2</v>
      </c>
      <c r="G19" s="19">
        <f t="shared" si="16"/>
        <v>1</v>
      </c>
      <c r="I19" s="7" t="s">
        <v>4</v>
      </c>
      <c r="J19" s="19">
        <f>J10/$O$10</f>
        <v>7.2975602704550488E-2</v>
      </c>
      <c r="K19" s="19">
        <f t="shared" ref="K19:N19" si="17">K10/$O$10</f>
        <v>0.31668043383358219</v>
      </c>
      <c r="L19" s="19">
        <f t="shared" si="17"/>
        <v>0.37736612306657563</v>
      </c>
      <c r="M19" s="19">
        <f t="shared" si="17"/>
        <v>0.16076783346938039</v>
      </c>
      <c r="N19" s="19">
        <f t="shared" si="17"/>
        <v>7.2210006925911202E-2</v>
      </c>
      <c r="O19" s="19">
        <f t="shared" ref="O19" si="18">SUM(J19:N19)</f>
        <v>0.99999999999999989</v>
      </c>
      <c r="Q19">
        <v>14</v>
      </c>
      <c r="R19" t="s">
        <v>93</v>
      </c>
      <c r="S19" s="87">
        <f t="shared" si="3"/>
        <v>-1.1261276811700001</v>
      </c>
      <c r="T19" s="84">
        <f>C18/K18</f>
        <v>1.2319458071771006</v>
      </c>
      <c r="U19" s="87">
        <f t="shared" si="4"/>
        <v>0.25534128931079475</v>
      </c>
      <c r="V19" s="87">
        <f t="shared" si="5"/>
        <v>-0.87078639185920537</v>
      </c>
      <c r="X19" s="86">
        <v>18</v>
      </c>
      <c r="Y19" s="86" t="s">
        <v>43</v>
      </c>
      <c r="Z19" s="90">
        <f>VehAvailCoefficient!E27</f>
        <v>0.39953921787000002</v>
      </c>
      <c r="AA19" s="89">
        <f t="shared" si="0"/>
        <v>0.39953921787000002</v>
      </c>
    </row>
    <row r="20" spans="1:27" x14ac:dyDescent="0.25">
      <c r="Q20">
        <v>15</v>
      </c>
      <c r="R20" t="s">
        <v>93</v>
      </c>
      <c r="S20" s="87">
        <f t="shared" si="3"/>
        <v>-1.6372198765899999</v>
      </c>
      <c r="T20" s="84">
        <f>D18/L18</f>
        <v>0.89409145818221103</v>
      </c>
      <c r="U20" s="87">
        <f t="shared" si="4"/>
        <v>-6.5200793976021576E-2</v>
      </c>
      <c r="V20" s="87">
        <f t="shared" si="5"/>
        <v>-1.7024206705660214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t="shared" si="3"/>
        <v>-0.59991414110999997</v>
      </c>
      <c r="T21" s="84">
        <f>E18/M18</f>
        <v>1.0532404349076601</v>
      </c>
      <c r="U21" s="87">
        <f t="shared" si="4"/>
        <v>9.861795318128945E-2</v>
      </c>
      <c r="V21" s="87">
        <f t="shared" si="5"/>
        <v>-0.50129618792871056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r="22" spans="1:27" ht="15.75" thickBot="1" x14ac:dyDescent="0.3">
      <c r="Q22" s="91">
        <v>18</v>
      </c>
      <c r="R22" s="94" t="s">
        <v>163</v>
      </c>
      <c r="S22" s="92">
        <f t="shared" si="3"/>
        <v>0.39953921787000002</v>
      </c>
      <c r="T22" s="93">
        <f>(C15+D16+E17+F18)/(K15+L16+M17+N18)</f>
        <v>0.95432937257597861</v>
      </c>
      <c r="U22" s="92">
        <f t="shared" si="4"/>
        <v>0</v>
      </c>
      <c r="V22" s="92">
        <f t="shared" si="5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2011-02-15T20:20:51Z</dcterms:created>
  <dcterms:modified xsi:type="dcterms:W3CDTF">2017-06-23T18:47:07Z</dcterms:modified>
</cp:coreProperties>
</file>