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5" rupBuild="9303"/>
  <workbookPr codeName="ThisWorkbook" defaultThemeVersion="124226"/>
  <bookViews>
    <workbookView activeTab="2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45621"/>
</workbook>
</file>

<file path=xl/calcChain.xml><?xml version="1.0" encoding="utf-8"?>
<calcChain xmlns="http://schemas.openxmlformats.org/spreadsheetml/2006/main">
  <c i="8" l="1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O6"/>
  <c i="5" l="1" r="A39"/>
  <c i="5" r="A38"/>
  <c i="5" r="A37"/>
  <c i="5" r="A36"/>
  <c i="5" r="A35"/>
  <c i="5" r="A34"/>
  <c i="5" r="A33"/>
  <c i="5" r="A32"/>
  <c i="5" r="A26"/>
  <c i="5" r="A25"/>
  <c i="5" r="A24"/>
  <c i="5" r="A23"/>
  <c i="5" r="A22"/>
  <c i="5" r="A21"/>
  <c i="5" r="A20"/>
  <c i="5" r="A19"/>
  <c i="5" r="AG26"/>
  <c i="5" r="AG25"/>
  <c i="5" r="AG24"/>
  <c i="5" r="AG23"/>
  <c i="5" r="AG22"/>
  <c i="5" r="AG21"/>
  <c i="5" r="AG20"/>
  <c i="5" r="AG19"/>
  <c i="5" r="Y26"/>
  <c i="5" r="Y25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8"/>
  <c i="5" r="Q37"/>
  <c i="5" r="Q36"/>
  <c i="5" r="Q35"/>
  <c i="5" r="Q34"/>
  <c i="5" r="Q33"/>
  <c i="5" r="Q32"/>
  <c i="5" r="Q26"/>
  <c i="5" r="Q25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G12"/>
  <c i="5" r="C13"/>
  <c i="5" r="D13"/>
  <c i="5" r="E13"/>
  <c i="5" r="F13"/>
  <c i="5" r="B13"/>
  <c i="5" r="W12"/>
  <c i="5" r="S25"/>
  <c i="5" r="T25"/>
  <c i="5" r="U25"/>
  <c i="5" r="V25"/>
  <c i="5" r="R25"/>
  <c i="5" r="S13"/>
  <c i="5" r="T13"/>
  <c i="5" r="U13"/>
  <c i="5" r="V13"/>
  <c i="5" r="R13"/>
  <c i="5" l="1" r="W25"/>
  <c i="5" r="Q62"/>
  <c i="5" r="Q61"/>
  <c i="5" r="Q60"/>
  <c i="5" r="Q59"/>
  <c i="5" r="Q58"/>
  <c i="5" r="Q57"/>
  <c i="5" r="I62"/>
  <c i="5" r="I61"/>
  <c i="5" r="I60"/>
  <c i="5" r="I59"/>
  <c i="5" r="I58"/>
  <c i="5" r="I57"/>
  <c i="5" r="A62"/>
  <c i="5" r="A61"/>
  <c i="5" r="A60"/>
  <c i="5" r="A59"/>
  <c i="5" r="A58"/>
  <c i="5" r="A57"/>
  <c i="5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W37" s="1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1" l="1" r="Y34"/>
  <c i="8" r="E6"/>
  <c i="1" r="E20"/>
  <c i="8" r="F6"/>
  <c i="1" r="F20"/>
  <c i="8" r="C6"/>
  <c i="1" r="C20"/>
  <c i="8" r="D6"/>
  <c i="1" r="D20"/>
  <c i="8" r="B6"/>
  <c i="1" r="B20"/>
  <c i="1" r="G20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B10"/>
  <c i="8" r="G6"/>
  <c i="8" r="D10"/>
  <c i="8" r="F10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AM26" s="1"/>
  <c i="5" r="W38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S38"/>
  <c i="5" r="T38"/>
  <c i="5" r="U38"/>
  <c i="5" r="J26"/>
  <c i="5" r="M26"/>
  <c i="5" r="V37"/>
  <c i="5" r="U32"/>
  <c i="5" r="C26"/>
  <c i="5" r="U33"/>
  <c i="5" r="R33"/>
  <c i="5" r="N26"/>
  <c i="5" r="O26"/>
  <c i="5" r="M37" s="1"/>
  <c i="5" r="V38"/>
  <c i="5" r="L26"/>
  <c i="5" r="R34"/>
  <c i="5" r="R38"/>
  <c i="5" r="S32"/>
  <c i="5" r="T32"/>
  <c i="5" r="V32"/>
  <c i="5" r="V36"/>
  <c i="5" r="W36"/>
  <c i="5" r="W34"/>
  <c i="5" r="W35"/>
  <c i="1" r="S29"/>
  <c i="1" r="V29"/>
  <c i="5" r="E25"/>
  <c i="5" r="K25"/>
  <c i="5" r="O25"/>
  <c i="5" r="D25"/>
  <c i="5" r="J25"/>
  <c i="5" r="N25"/>
  <c i="5" r="C25"/>
  <c i="5" r="G25"/>
  <c i="5" r="M25"/>
  <c i="5" r="B25"/>
  <c i="5" r="L25"/>
  <c i="5" r="F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G29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1" l="1" r="Z35"/>
  <c i="1" r="W38"/>
  <c i="8" r="G10"/>
  <c i="8" r="G19" s="1"/>
  <c i="8" r="O10"/>
  <c i="8" r="J19" s="1"/>
  <c i="5" r="AL26"/>
  <c i="5" r="AD26"/>
  <c i="5" r="AI26"/>
  <c i="5" r="AA26"/>
  <c i="5" r="AJ26"/>
  <c i="5" r="AB26"/>
  <c i="5" r="AL25"/>
  <c i="5" r="AD25"/>
  <c i="5" r="AK26"/>
  <c i="5" r="AC26"/>
  <c i="5" r="AH25"/>
  <c i="5" r="Z25"/>
  <c i="5" r="G38"/>
  <c i="5" r="AM25"/>
  <c i="5" r="AE25"/>
  <c i="5" r="E32"/>
  <c i="5" r="AE26"/>
  <c i="5" r="AI25"/>
  <c i="5" r="AA25"/>
  <c i="5" r="AH26"/>
  <c i="5" r="Z26"/>
  <c i="5" r="N38"/>
  <c i="5" r="V51" s="1"/>
  <c i="5" r="J38"/>
  <c i="5" r="R51" s="1"/>
  <c i="5" r="AJ25"/>
  <c i="5" r="AB25"/>
  <c i="5" r="AK25"/>
  <c i="5" r="AC25"/>
  <c i="5" r="O38"/>
  <c i="5" r="W51" s="1"/>
  <c i="5" r="K38"/>
  <c i="5" r="S51" s="1"/>
  <c i="5" r="N33"/>
  <c i="5" r="V46" s="1"/>
  <c i="5" r="J32"/>
  <c i="5" r="R45" s="1"/>
  <c i="5" r="F33"/>
  <c i="5" r="K32"/>
  <c i="5" r="C32"/>
  <c i="5" r="F38"/>
  <c i="5" r="D37"/>
  <c i="5" r="G33"/>
  <c i="5" r="L38"/>
  <c i="5" r="T51" s="1"/>
  <c i="5" r="O37"/>
  <c i="5" r="W50" s="1"/>
  <c i="5" r="B38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D38"/>
  <c i="5" r="C38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E38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5" r="S45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<sst xmlns="http://schemas.openxmlformats.org/spreadsheetml/2006/main" count="814" uniqueCount="176">
  <si>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</si>
  <si>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</si>
  <si>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</si>
  <si>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</si>
  <si>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</si>
  <si>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</si>
  <si>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</si>
  <si>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</si>
  <si>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</si>
  <si>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</si>
  <si>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</si>
  <si>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</si>
  <si>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</si>
  <si>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</si>
  <si>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</si>
  <si>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</si>
  <si>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</si>
  <si>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</si>
  <si>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</si>
  <si>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</si>
  <si>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</si>
  <si>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</si>
  <si>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</si>
  <si>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</si>
  <si>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</si>
  <si>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</si>
  <si>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HOUSEHOLDS BY COUNTY AND VEHICLES: ACS ADJ</t>
  </si>
  <si>
    <t>HOUSEHOLDS BY COUNTY AND VEHICLES: EST-OBS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</si>
  <si>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</si>
  <si>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</si>
  <si>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</si>
  <si>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</si>
  <si>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</si>
  <si>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</si>
  <si>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</si>
  <si>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</si>
  <si>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</si>
  <si>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</si>
  <si>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</si>
  <si>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</si>
  <si>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</si>
  <si>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</si>
  <si>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</si>
  <si>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</si>
  <si>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</si>
  <si>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</si>
  <si>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</si>
  <si>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</si>
  <si>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</si>
  <si>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</si>
  <si>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</si>
  <si>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</si>
  <si>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</si>
  <si>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</si>
  <si>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</si>
  <si>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</si>
  <si>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</si>
  <si>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</si>
  <si>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</si>
  <si>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</si>
  <si>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</si>
  <si>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</si>
  <si>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</si>
  <si>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</si>
  <si>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</si>
  <si>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</si>
  <si>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</si>
  <si>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</si>
  <si>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</si>
  <si>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</si>
  <si>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</si>
  <si>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</si>
  <si>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</si>
  <si>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</si>
  <si>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</si>
  <si>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</si>
  <si>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</si>
  <si>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</si>
  <si>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</si>
  <si>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</si>
  <si>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</si>
  <si>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</si>
  <si>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</si>
  <si>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</si>
  <si>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</si>
  <si>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</si>
  <si>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</si>
  <si>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</si>
  <si>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</si>
  <si>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</si>
  <si>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</si>
  <si>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</si>
  <si>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</si>
  <si>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</si>
  <si>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</si>
  <si>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</si>
  <si>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</si>
  <si>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</si>
  <si>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</si>
  <si>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</si>
  <si>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</si>
  <si>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</si>
  <si>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</si>
  <si>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</si>
  <si>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</si>
  <si>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</si>
  <si>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</si>
  <si>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</si>
  <si>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</si>
  <si>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</si>
  <si>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</si>
  <si>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</si>
  <si>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</si>
  <si>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</si>
  <si>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</si>
  <si>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</si>
  <si>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</si>
  <si>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</si>
  <si>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</si>
  <si>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</si>
  <si>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</si>
  <si>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</si>
  <si>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</si>
  <si>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</si>
  <si>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</si>
  <si>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</si>
  <si>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</si>
  <si>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</si>
  <si>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</si>
  <si>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</si>
  <si>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</si>
  <si>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</si>
  <si>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</si>
  <si>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</si>
  <si>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</si>
  <si>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</si>
  <si>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</si>
  <si>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</si>
  <si>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</si>
  <si>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</si>
  <si>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</si>
  <si>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</si>
  <si>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</si>
  <si>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</si>
  <si>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</si>
  <si>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HOUSEHOLDS BY COUNTY AND VEHICLES: Survey ADJ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</si>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</sst>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hh:mm:ss"/>
    <numFmt numFmtId="165" formatCode="0.00000000000"/>
  </numFmts>
  <fonts count="15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5" fontId="8" numFmtId="0">
      <alignment wrapText="1"/>
    </xf>
    <xf borderId="0" fillId="0" fontId="8" numFmtId="0">
      <alignment wrapText="1"/>
    </xf>
    <xf borderId="0" fillId="0" fontId="8" numFmtId="164">
      <alignment wrapText="1"/>
    </xf>
    <xf borderId="0" fillId="0" fontId="9" numFmtId="0"/>
    <xf borderId="0" fillId="0" fontId="8" numFmtId="0">
      <alignment wrapText="1"/>
    </xf>
    <xf borderId="0" fillId="0" fontId="8" numFmtId="0">
      <alignment wrapText="1"/>
    </xf>
    <xf borderId="0" fillId="0" fontId="8" numFmtId="0">
      <alignment wrapText="1"/>
    </xf>
    <xf borderId="0" fillId="0" fontId="8" numFmtId="164">
      <alignment wrapText="1"/>
    </xf>
    <xf applyAlignment="0" applyBorder="0" applyFill="0" applyFont="0" applyProtection="0" borderId="0" fillId="0" fontId="8" numFmtId="9"/>
  </cellStyleXfs>
  <cellXfs count="10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Border="1" applyFill="1" applyFont="1" borderId="1" fillId="2" fontId="5" numFmtId="0" xfId="0"/>
    <xf applyAlignment="1" applyBorder="1" applyFill="1" applyFont="1" borderId="1" fillId="2" fontId="1" numFmtId="0" xfId="0">
      <alignment horizontal="left"/>
    </xf>
    <xf applyAlignment="1" applyBorder="1" applyFill="1" applyFont="1" borderId="1" fillId="2" fontId="1" numFmtId="0" xfId="0">
      <alignment horizontal="center"/>
    </xf>
    <xf applyFill="1" applyNumberFormat="1" borderId="0" fillId="2" fontId="0" numFmtId="9" xfId="0"/>
    <xf applyAlignment="1" applyBorder="1" applyFill="1" applyFont="1" borderId="4" fillId="2" fontId="2" numFmtId="0" xfId="0">
      <alignment horizontal="left"/>
    </xf>
    <xf applyBorder="1" applyFill="1" applyNumberFormat="1" borderId="4" fillId="2" fontId="0" numFmtId="9" xfId="0"/>
    <xf applyFill="1" borderId="0" fillId="2" fontId="0" numFmtId="0" xfId="0"/>
    <xf applyBorder="1" applyFill="1" applyFont="1" borderId="3" fillId="3" fontId="6" numFmtId="0" xfId="0"/>
    <xf applyAlignment="1" applyBorder="1" applyFill="1" applyFont="1" borderId="2" fillId="3" fontId="7" numFmtId="0" xfId="0">
      <alignment horizontal="right"/>
    </xf>
    <xf applyFill="1" applyNumberFormat="1" borderId="0" fillId="4" fontId="0" numFmtId="9" xfId="0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Border="1" borderId="3" fillId="0" fontId="0" numFmtId="0" xfId="0"/>
    <xf applyAlignment="1" applyBorder="1" borderId="0" fillId="0" fontId="8" numFmtId="0" xfId="2"/>
    <xf applyBorder="1" applyNumberFormat="1" borderId="0" fillId="0" fontId="0" numFmtId="9" xfId="0"/>
    <xf applyBorder="1" borderId="0" fillId="0" fontId="0" numFmtId="0" xfId="0"/>
    <xf applyFont="1" borderId="0" fillId="0" fontId="10" numFmtId="0" xfId="0"/>
    <xf applyFont="1" borderId="0" fillId="0" fontId="11" numFmtId="0" xfId="0"/>
    <xf applyNumberFormat="1" borderId="0" fillId="0" fontId="0" numFmtId="11" xfId="0"/>
    <xf applyFont="1" borderId="0" fillId="0" fontId="12" numFmtId="0" xfId="0"/>
    <xf applyFont="1" borderId="0" fillId="0" fontId="13" numFmtId="0" xfId="0"/>
    <xf applyFont="1" applyNumberFormat="1" borderId="0" fillId="0" fontId="12" numFmtId="11" xfId="0"/>
    <xf applyAlignment="1" applyBorder="1" applyFont="1" borderId="5" fillId="0" fontId="2" numFmtId="0" xfId="0">
      <alignment horizontal="right"/>
    </xf>
    <xf applyAlignment="1" applyNumberFormat="1" borderId="0" fillId="0" fontId="8" numFmtId="3" xfId="2"/>
    <xf applyFont="1" borderId="0" fillId="0" fontId="14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6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7" fontId="0" numFmtId="165" xfId="0"/>
    <xf applyFill="1" applyNumberFormat="1" borderId="0" fillId="6" fontId="0" numFmtId="165" xfId="0"/>
    <xf applyBorder="1" applyFont="1" borderId="1" fillId="0" fontId="13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63"/>
  <sheetViews>
    <sheetView workbookViewId="0">
      <selection activeCell="O15" sqref="O15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142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143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90">
        <v>0</v>
      </c>
      <c r="K5" s="90">
        <v>1</v>
      </c>
      <c r="L5" s="90">
        <v>2</v>
      </c>
      <c r="M5" s="90">
        <v>3</v>
      </c>
      <c r="N5" s="9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84" t="s">
        <v>28</v>
      </c>
      <c r="B6" s="4" t="n">
        <v>4470.5803</v>
      </c>
      <c r="C6" s="4" t="n">
        <v>35967.1277</v>
      </c>
      <c r="D6" s="4" t="n">
        <v>73974.1221</v>
      </c>
      <c r="E6" s="4" t="n">
        <v>36239.9009</v>
      </c>
      <c r="F6" s="4" t="n">
        <v>18739.350300000002</v>
      </c>
      <c r="G6" s="4">
        <f>SUM(B6:F6)</f>
        <v>64934.99983741816</v>
      </c>
      <c r="I6" s="3" t="str">
        <f>$A$6</f>
        <v>Williamson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 t="str">
        <f>$A$6</f>
        <v>Williamson</v>
      </c>
      <c r="R6" s="30" t="n">
        <v>5127.0</v>
      </c>
      <c r="S6" s="32" t="n">
        <v>42480.0</v>
      </c>
      <c r="T6" s="34" t="n">
        <v>71970.0</v>
      </c>
      <c r="U6" s="36" t="n">
        <v>34696.0</v>
      </c>
      <c r="V6" s="38" t="n">
        <v>16367.0</v>
      </c>
      <c r="W6" s="4">
        <f>SUM(R6:V6)</f>
        <v>64935</v>
      </c>
    </row>
    <row r="7" spans="1:33" x14ac:dyDescent="0.25">
      <c r="A7" s="85" t="s">
        <v>29</v>
      </c>
      <c r="B7" s="4" t="n">
        <v>9632.0888</v>
      </c>
      <c r="C7" s="4" t="n">
        <v>42204.3568</v>
      </c>
      <c r="D7" s="4" t="n">
        <v>36991.6971</v>
      </c>
      <c r="E7" s="4" t="n">
        <v>16029.1304</v>
      </c>
      <c r="F7" s="4" t="n">
        <v>4731.8263</v>
      </c>
      <c r="G7" s="4">
        <f ref="G7:G11" si="0" t="shared">SUM(B7:F7)</f>
        <v>99062.999520568192</v>
      </c>
      <c r="I7" s="3" t="str">
        <f>$A$7</f>
        <v>Rutherford</v>
      </c>
      <c r="J7" s="91">
        <v>2959</v>
      </c>
      <c r="K7" s="91">
        <v>25992</v>
      </c>
      <c r="L7" s="91">
        <v>40468</v>
      </c>
      <c r="M7" s="91">
        <v>15897</v>
      </c>
      <c r="N7" s="91">
        <v>7027</v>
      </c>
      <c r="O7" s="4">
        <f ref="O7:O11" si="1" t="shared">SUM(J7:N7)</f>
        <v>92343</v>
      </c>
      <c r="Q7" s="3" t="str">
        <f>$A$7</f>
        <v>Rutherford</v>
      </c>
      <c r="R7" s="31" t="n">
        <v>8727.0</v>
      </c>
      <c r="S7" s="33" t="n">
        <v>37431.0</v>
      </c>
      <c r="T7" s="35" t="n">
        <v>38263.0</v>
      </c>
      <c r="U7" s="37" t="n">
        <v>15776.0</v>
      </c>
      <c r="V7" s="39" t="n">
        <v>6934.0</v>
      </c>
      <c r="W7" s="4">
        <f ref="W7:W12" si="2" t="shared">SUM(R7:V7)</f>
        <v>99063</v>
      </c>
    </row>
    <row r="8" spans="1:33" x14ac:dyDescent="0.25">
      <c r="A8" s="85" t="s">
        <v>30</v>
      </c>
      <c r="B8" s="4" t="n">
        <v>28087.1813</v>
      </c>
      <c r="C8" s="4" t="n">
        <v>63080.2984</v>
      </c>
      <c r="D8" s="4" t="n">
        <v>51251.7199</v>
      </c>
      <c r="E8" s="4" t="n">
        <v>14116.5941</v>
      </c>
      <c r="F8" s="4" t="n">
        <v>5723.743</v>
      </c>
      <c r="G8" s="4">
        <f si="0" t="shared"/>
        <v>61032.999522969658</v>
      </c>
      <c r="I8" s="3" t="str">
        <f>$A$8</f>
        <v>Sumner</v>
      </c>
      <c r="J8" s="91">
        <v>2080</v>
      </c>
      <c r="K8" s="91">
        <v>16821</v>
      </c>
      <c r="L8" s="91">
        <v>23710</v>
      </c>
      <c r="M8" s="91">
        <v>12092</v>
      </c>
      <c r="N8" s="91">
        <v>4800</v>
      </c>
      <c r="O8" s="4">
        <f si="1" t="shared"/>
        <v>59503</v>
      </c>
      <c r="Q8" s="3" t="str">
        <f>$A$8</f>
        <v>Sumner</v>
      </c>
      <c r="R8" s="79" t="n">
        <v>18101.0</v>
      </c>
      <c r="S8" s="79" t="n">
        <v>55538.0</v>
      </c>
      <c r="T8" s="79" t="n">
        <v>48487.0</v>
      </c>
      <c r="U8" s="79" t="n">
        <v>17455.0</v>
      </c>
      <c r="V8" s="79" t="n">
        <v>6972.0</v>
      </c>
      <c r="W8" s="4">
        <f si="2" t="shared"/>
        <v>61033</v>
      </c>
    </row>
    <row r="9" spans="1:33" x14ac:dyDescent="0.25">
      <c r="A9" s="85" t="s">
        <v>31</v>
      </c>
      <c r="B9" s="15" t="n">
        <v>27920.4934</v>
      </c>
      <c r="C9" s="15" t="n">
        <v>52760.0684</v>
      </c>
      <c r="D9" s="15" t="n">
        <v>22415.8612</v>
      </c>
      <c r="E9" s="15" t="n">
        <v>4570.746</v>
      </c>
      <c r="F9" s="15" t="n">
        <v>799.4354</v>
      </c>
      <c r="G9" s="15">
        <f si="0" t="shared"/>
        <v>24300.999849231372</v>
      </c>
      <c r="I9" s="3" t="str">
        <f>$A$9</f>
        <v>Roberston</v>
      </c>
      <c r="J9" s="91">
        <v>1316</v>
      </c>
      <c r="K9" s="91">
        <v>5456</v>
      </c>
      <c r="L9" s="91">
        <v>9990</v>
      </c>
      <c r="M9" s="91">
        <v>4645</v>
      </c>
      <c r="N9" s="91">
        <v>2386</v>
      </c>
      <c r="O9" s="4">
        <f si="1" t="shared"/>
        <v>23793</v>
      </c>
      <c r="Q9" s="3" t="str">
        <f>$A$9</f>
        <v>Roberston</v>
      </c>
      <c r="R9" s="79" t="n">
        <v>24060.0</v>
      </c>
      <c r="S9" s="79" t="n">
        <v>45482.0</v>
      </c>
      <c r="T9" s="79" t="n">
        <v>25240.0</v>
      </c>
      <c r="U9" s="79" t="n">
        <v>8302.0</v>
      </c>
      <c r="V9" s="79" t="n">
        <v>3211.0</v>
      </c>
      <c r="W9" s="4">
        <f si="2" t="shared"/>
        <v>24301</v>
      </c>
    </row>
    <row r="10" spans="1:33" x14ac:dyDescent="0.25">
      <c r="A10" s="85" t="s">
        <v>32</v>
      </c>
      <c r="B10" s="15" t="n">
        <v>10029.072900000001</v>
      </c>
      <c r="C10" s="15" t="n">
        <v>42298.1785</v>
      </c>
      <c r="D10" s="15" t="n">
        <v>35109.0968</v>
      </c>
      <c r="E10" s="15" t="n">
        <v>12900.4223</v>
      </c>
      <c r="F10" s="15" t="n">
        <v>10145.204</v>
      </c>
      <c r="G10" s="15">
        <f si="0" t="shared"/>
        <v>276434.00380039524</v>
      </c>
      <c r="I10" s="3" t="str">
        <f>$A$10</f>
        <v>Davidson</v>
      </c>
      <c r="J10" s="91">
        <v>19046</v>
      </c>
      <c r="K10" s="91">
        <v>102775</v>
      </c>
      <c r="L10" s="91">
        <v>91741</v>
      </c>
      <c r="M10" s="91">
        <v>28860</v>
      </c>
      <c r="N10" s="91">
        <v>10055</v>
      </c>
      <c r="O10" s="4">
        <f si="1" t="shared"/>
        <v>252477</v>
      </c>
      <c r="Q10" s="3" t="str">
        <f>$A$10</f>
        <v>Davidson</v>
      </c>
      <c r="R10" s="79" t="n">
        <v>9046.0</v>
      </c>
      <c r="S10" s="79" t="n">
        <v>37143.0</v>
      </c>
      <c r="T10" s="79" t="n">
        <v>36869.0</v>
      </c>
      <c r="U10" s="79" t="n">
        <v>14620.0</v>
      </c>
      <c r="V10" s="79" t="n">
        <v>6458.0</v>
      </c>
      <c r="W10" s="4">
        <f si="2" t="shared"/>
        <v>276434</v>
      </c>
    </row>
    <row r="11" spans="1:33" x14ac:dyDescent="0.25">
      <c r="A11" s="85" t="s">
        <v>33</v>
      </c>
      <c r="B11" s="15" t="n">
        <v>11070.9078</v>
      </c>
      <c r="C11" s="15" t="n">
        <v>79734.5099</v>
      </c>
      <c r="D11" s="15" t="n">
        <v>110127.4262</v>
      </c>
      <c r="E11" s="15" t="n">
        <v>41586.3832</v>
      </c>
      <c r="F11" s="15" t="n">
        <v>16759.4355</v>
      </c>
      <c r="G11" s="15">
        <f si="0" t="shared"/>
        <v>31789.000046565525</v>
      </c>
      <c r="I11" s="14" t="str">
        <f>$A$11</f>
        <v>Maury</v>
      </c>
      <c r="J11" s="91">
        <v>1423</v>
      </c>
      <c r="K11" s="91">
        <v>9376</v>
      </c>
      <c r="L11" s="91">
        <v>12932</v>
      </c>
      <c r="M11" s="91">
        <v>5516</v>
      </c>
      <c r="N11" s="91">
        <v>2498</v>
      </c>
      <c r="O11" s="15">
        <f si="1" t="shared"/>
        <v>31745</v>
      </c>
      <c r="Q11" s="14" t="str">
        <f>$A$11</f>
        <v>Maury</v>
      </c>
      <c r="R11" s="81" t="n">
        <v>11501.0</v>
      </c>
      <c r="S11" s="81" t="n">
        <v>70320.0</v>
      </c>
      <c r="T11" s="81" t="n">
        <v>103709.0</v>
      </c>
      <c r="U11" s="81" t="n">
        <v>45852.0</v>
      </c>
      <c r="V11" s="81" t="n">
        <v>19318.0</v>
      </c>
      <c r="W11" s="15">
        <f si="2" t="shared"/>
        <v>31789</v>
      </c>
    </row>
    <row r="12" spans="1:33" x14ac:dyDescent="0.25">
      <c r="A12" s="85" t="s">
        <v>34</v>
      </c>
      <c r="B12" s="15" t="n">
        <v>15787.8691</v>
      </c>
      <c r="C12" s="15" t="n">
        <v>62462.3046</v>
      </c>
      <c r="D12" s="15" t="n">
        <v>79930.1798</v>
      </c>
      <c r="E12" s="15" t="n">
        <v>27932.611100000002</v>
      </c>
      <c r="F12" s="15" t="n">
        <v>15541.3335</v>
      </c>
      <c r="G12" s="15">
        <f>SUM(B12:F12)</f>
        <v>43072.00003134994</v>
      </c>
      <c r="I12" s="14" t="str">
        <f>$A$12</f>
        <v>Wilson</v>
      </c>
      <c r="J12" s="91">
        <v>1446</v>
      </c>
      <c r="K12" s="91">
        <v>9247</v>
      </c>
      <c r="L12" s="91">
        <v>17595</v>
      </c>
      <c r="M12" s="91">
        <v>9265</v>
      </c>
      <c r="N12" s="91">
        <v>3668</v>
      </c>
      <c r="O12" s="15">
        <f>SUM(J12:N12)</f>
        <v>41221</v>
      </c>
      <c r="Q12" s="14" t="str">
        <f>$A$12</f>
        <v>Wilson</v>
      </c>
      <c r="R12" s="15" t="n">
        <v>11538.0</v>
      </c>
      <c r="S12" s="15" t="n">
        <v>65778.0</v>
      </c>
      <c r="T12" s="15" t="n">
        <v>81658.0</v>
      </c>
      <c r="U12" s="15" t="n">
        <v>37709.0</v>
      </c>
      <c r="V12" s="15" t="n">
        <v>17859.0</v>
      </c>
      <c r="W12" s="15">
        <f si="2" t="shared"/>
        <v>43072</v>
      </c>
    </row>
    <row ht="15.75" r="13" spans="1:33" thickBot="1" x14ac:dyDescent="0.3">
      <c r="A13" s="7" t="s">
        <v>4</v>
      </c>
      <c r="B13" s="8">
        <f>SUM(B6:B12)</f>
        <v>39200.846942106269</v>
      </c>
      <c r="C13" s="8">
        <f ref="C13:G13" si="3" t="shared">SUM(C6:C12)</f>
        <v>197023.34040452749</v>
      </c>
      <c r="D13" s="8">
        <f si="3" t="shared"/>
        <v>234277.96929287829</v>
      </c>
      <c r="E13" s="8">
        <f si="3" t="shared"/>
        <v>94743.179071142134</v>
      </c>
      <c r="F13" s="8">
        <f si="3" t="shared"/>
        <v>35381.666897843927</v>
      </c>
      <c r="G13" s="8">
        <f si="3" t="shared"/>
        <v>600627.00260849809</v>
      </c>
      <c r="I13" s="7" t="str">
        <f>$A$13</f>
        <v>Total</v>
      </c>
      <c r="J13" s="8">
        <f>SUM(J6:J12)</f>
        <v>29585</v>
      </c>
      <c r="K13" s="8">
        <f ref="K13:O13" si="4" t="shared">SUM(K6:K12)</f>
        <v>182415</v>
      </c>
      <c r="L13" s="8">
        <f si="4" t="shared"/>
        <v>227219</v>
      </c>
      <c r="M13" s="8">
        <f si="4" t="shared"/>
        <v>89297</v>
      </c>
      <c r="N13" s="8">
        <f si="4" t="shared"/>
        <v>35074</v>
      </c>
      <c r="O13" s="8">
        <f si="4" t="shared"/>
        <v>563590</v>
      </c>
      <c r="Q13" s="7" t="str">
        <f>$A$13</f>
        <v>Total</v>
      </c>
      <c r="R13" s="8">
        <f>SUM(R6:R12)</f>
        <v>26870</v>
      </c>
      <c r="S13" s="8">
        <f ref="S13:W13" si="5" t="shared">SUM(S6:S12)</f>
        <v>190926</v>
      </c>
      <c r="T13" s="8">
        <f si="5" t="shared"/>
        <v>226409</v>
      </c>
      <c r="U13" s="8">
        <f si="5" t="shared"/>
        <v>108883</v>
      </c>
      <c r="V13" s="8">
        <f si="5" t="shared"/>
        <v>47539</v>
      </c>
      <c r="W13" s="8">
        <f si="5" t="shared"/>
        <v>600627</v>
      </c>
    </row>
    <row r="16" spans="1:33" x14ac:dyDescent="0.25">
      <c r="A16" s="1" t="s">
        <v>144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Williamson</v>
      </c>
      <c r="B19" s="4">
        <f>($W6/$G6)*B6</f>
        <v>731.18744697963689</v>
      </c>
      <c r="C19" s="4">
        <f ref="C19:G19" si="6" t="shared">($W6/$G6)*C6</f>
        <v>14048.179649930173</v>
      </c>
      <c r="D19" s="4">
        <f si="6" t="shared"/>
        <v>31852.082367474592</v>
      </c>
      <c r="E19" s="4">
        <f si="6" t="shared"/>
        <v>13036.775373094693</v>
      </c>
      <c r="F19" s="4">
        <f si="6" t="shared"/>
        <v>5266.7751625208948</v>
      </c>
      <c r="G19" s="4">
        <f si="6" t="shared"/>
        <v>64934.999999999993</v>
      </c>
      <c r="I19" s="3" t="str">
        <f>$A$6</f>
        <v>Williamson</v>
      </c>
      <c r="J19" s="4">
        <f>($W6/$O6)*J6</f>
        <v>1366.0575446342868</v>
      </c>
      <c r="K19" s="4">
        <f ref="K19:O19" si="7" t="shared">($W6/$O6)*K6</f>
        <v>13242.966980226531</v>
      </c>
      <c r="L19" s="4">
        <f si="7" t="shared"/>
        <v>31978.212468803995</v>
      </c>
      <c r="M19" s="4">
        <f si="7" t="shared"/>
        <v>13527.605586484931</v>
      </c>
      <c r="N19" s="4">
        <f si="7" t="shared"/>
        <v>4820.1574198502594</v>
      </c>
      <c r="O19" s="4">
        <f si="7" t="shared"/>
        <v>64935</v>
      </c>
      <c r="Q19" s="3" t="str">
        <f>$A$6</f>
        <v>Williamson</v>
      </c>
      <c r="R19" s="4">
        <f>R6</f>
        <v>922</v>
      </c>
      <c r="S19" s="4">
        <f ref="S19:V19" si="8" t="shared">S6</f>
        <v>13872</v>
      </c>
      <c r="T19" s="4">
        <f si="8" t="shared"/>
        <v>29275</v>
      </c>
      <c r="U19" s="4">
        <f si="8" t="shared"/>
        <v>14574</v>
      </c>
      <c r="V19" s="4">
        <f si="8" t="shared"/>
        <v>6292</v>
      </c>
      <c r="W19" s="4">
        <f>SUM(R19:V19)</f>
        <v>64935</v>
      </c>
      <c r="Y19" s="3" t="str">
        <f>$A$6</f>
        <v>Williamson</v>
      </c>
      <c r="Z19" s="4">
        <f>R19-B19</f>
        <v>190.81255302036311</v>
      </c>
      <c r="AA19" s="4">
        <f ref="AA19:AE26" si="9" t="shared">S19-C19</f>
        <v>-176.17964993017267</v>
      </c>
      <c r="AB19" s="4">
        <f si="9" t="shared"/>
        <v>-2577.0823674745916</v>
      </c>
      <c r="AC19" s="4">
        <f si="9" t="shared"/>
        <v>1537.2246269053066</v>
      </c>
      <c r="AD19" s="4">
        <f si="9" t="shared"/>
        <v>1025.2248374791052</v>
      </c>
      <c r="AE19" s="4">
        <f si="9" t="shared"/>
        <v>0</v>
      </c>
      <c r="AG19" s="3" t="str">
        <f>$A$6</f>
        <v>Williamson</v>
      </c>
      <c r="AH19" s="17">
        <f>(R6-B19)/B19</f>
        <v>0.26096256686102148</v>
      </c>
      <c r="AI19" s="17">
        <f ref="AI19:AM19" si="10" t="shared">(S6-C19)/C19</f>
        <v>-1.2541101717121647E-2</v>
      </c>
      <c r="AJ19" s="17">
        <f si="10" t="shared"/>
        <v>-8.0907814369654885E-2</v>
      </c>
      <c r="AK19" s="17">
        <f si="10" t="shared"/>
        <v>0.11791448290793075</v>
      </c>
      <c r="AL19" s="17">
        <f si="10" t="shared"/>
        <v>0.19465893375793747</v>
      </c>
      <c r="AM19" s="17">
        <f si="10" t="shared"/>
        <v>1.1204985930828408E-16</v>
      </c>
    </row>
    <row r="20" spans="1:39" x14ac:dyDescent="0.25">
      <c r="A20" s="3" t="str">
        <f>$A$7</f>
        <v>Rutherford</v>
      </c>
      <c r="B20" s="4">
        <f>($W7/$G7)*B7</f>
        <v>2786.8445957830986</v>
      </c>
      <c r="C20" s="4">
        <f ref="C20:G20" si="11" t="shared">($W7/$G7)*C7</f>
        <v>30698.130902466564</v>
      </c>
      <c r="D20" s="4">
        <f si="11" t="shared"/>
        <v>40350.625385143016</v>
      </c>
      <c r="E20" s="4">
        <f si="11" t="shared"/>
        <v>17996.047066314837</v>
      </c>
      <c r="F20" s="4">
        <f si="11" t="shared"/>
        <v>7231.3520502924803</v>
      </c>
      <c r="G20" s="4">
        <f si="11" t="shared"/>
        <v>99063</v>
      </c>
      <c r="I20" s="3" t="str">
        <f>$A$7</f>
        <v>Rutherford</v>
      </c>
      <c r="J20" s="4">
        <f ref="J20:O20" si="12" t="shared">($W7/$O7)*J7</f>
        <v>3174.3328351905398</v>
      </c>
      <c r="K20" s="4">
        <f si="12" t="shared"/>
        <v>27883.494103505411</v>
      </c>
      <c r="L20" s="4">
        <f si="12" t="shared"/>
        <v>43412.943958935706</v>
      </c>
      <c r="M20" s="4">
        <f si="12" t="shared"/>
        <v>17053.859101393718</v>
      </c>
      <c r="N20" s="4">
        <f si="12" t="shared"/>
        <v>7538.3700009746271</v>
      </c>
      <c r="O20" s="4">
        <f si="12" t="shared"/>
        <v>99063</v>
      </c>
      <c r="Q20" s="3" t="str">
        <f>$A$7</f>
        <v>Rutherford</v>
      </c>
      <c r="R20" s="4">
        <f ref="R20:V20" si="13" t="shared">R7</f>
        <v>2705</v>
      </c>
      <c r="S20" s="4">
        <f si="13" t="shared"/>
        <v>28733</v>
      </c>
      <c r="T20" s="4">
        <f si="13" t="shared"/>
        <v>38765</v>
      </c>
      <c r="U20" s="4">
        <f si="13" t="shared"/>
        <v>19895</v>
      </c>
      <c r="V20" s="4">
        <f si="13" t="shared"/>
        <v>8965</v>
      </c>
      <c r="W20" s="4">
        <f ref="W20:W25" si="14" t="shared">SUM(R20:V20)</f>
        <v>99063</v>
      </c>
      <c r="Y20" s="3" t="str">
        <f>$A$7</f>
        <v>Rutherford</v>
      </c>
      <c r="Z20" s="4">
        <f ref="Z20:Z26" si="15" t="shared">R20-B20</f>
        <v>-81.844595783098612</v>
      </c>
      <c r="AA20" s="4">
        <f si="9" t="shared"/>
        <v>-1965.1309024665643</v>
      </c>
      <c r="AB20" s="4">
        <f si="9" t="shared"/>
        <v>-1585.6253851430156</v>
      </c>
      <c r="AC20" s="4">
        <f si="9" t="shared"/>
        <v>1898.9529336851629</v>
      </c>
      <c r="AD20" s="4">
        <f si="9" t="shared"/>
        <v>1733.6479497075197</v>
      </c>
      <c r="AE20" s="4">
        <f si="9" t="shared"/>
        <v>0</v>
      </c>
      <c r="AG20" s="3" t="str">
        <f>$A$7</f>
        <v>Rutherford</v>
      </c>
      <c r="AH20" s="17">
        <f ref="AH20:AH26" si="16" t="shared">(R7-B20)/B20</f>
        <v>-2.936819509309611E-2</v>
      </c>
      <c r="AI20" s="17">
        <f ref="AI20:AI26" si="17" t="shared">(S7-C20)/C20</f>
        <v>-6.4014675965456513E-2</v>
      </c>
      <c r="AJ20" s="17">
        <f ref="AJ20:AJ26" si="18" t="shared">(T7-D20)/D20</f>
        <v>-3.9296178683932821E-2</v>
      </c>
      <c r="AK20" s="17">
        <f ref="AK20:AK26" si="19" t="shared">(U7-E20)/E20</f>
        <v>0.10552055830303089</v>
      </c>
      <c r="AL20" s="17">
        <f ref="AL20:AL26" si="20" t="shared">(V7-F20)/F20</f>
        <v>0.23974049910035847</v>
      </c>
      <c r="AM20" s="17">
        <f ref="AM20:AM26" si="21" t="shared">(W7-G20)/G20</f>
        <v>0</v>
      </c>
    </row>
    <row r="21" spans="1:39" x14ac:dyDescent="0.25">
      <c r="A21" s="3" t="str">
        <f>$A$8</f>
        <v>Sumner</v>
      </c>
      <c r="B21" s="4">
        <f ref="B21:F21" si="22" t="shared">($W8/$G8)*B8</f>
        <v>1158.3920062357549</v>
      </c>
      <c r="C21" s="4">
        <f si="22" t="shared"/>
        <v>18351.809652259475</v>
      </c>
      <c r="D21" s="4">
        <f si="22" t="shared"/>
        <v>23603.29325226125</v>
      </c>
      <c r="E21" s="4">
        <f si="22" t="shared"/>
        <v>13440.68343336139</v>
      </c>
      <c r="F21" s="4">
        <f si="22" t="shared"/>
        <v>4478.821655882125</v>
      </c>
      <c r="G21" s="4">
        <f ref="G21" si="23" t="shared">($W8/$G8)*G8</f>
        <v>61032.999999999993</v>
      </c>
      <c r="I21" s="3" t="str">
        <f>$A$8</f>
        <v>Sumner</v>
      </c>
      <c r="J21" s="4">
        <f ref="J21:O21" si="24" t="shared">($W8/$O8)*J8</f>
        <v>2133.4830176629753</v>
      </c>
      <c r="K21" s="4">
        <f si="24" t="shared"/>
        <v>17253.51819236005</v>
      </c>
      <c r="L21" s="4">
        <f si="24" t="shared"/>
        <v>24319.654975379395</v>
      </c>
      <c r="M21" s="4">
        <f si="24" t="shared"/>
        <v>12402.921466144564</v>
      </c>
      <c r="N21" s="4">
        <f si="24" t="shared"/>
        <v>4923.4223484530194</v>
      </c>
      <c r="O21" s="4">
        <f si="24" t="shared"/>
        <v>61033</v>
      </c>
      <c r="Q21" s="3" t="str">
        <f>$A$8</f>
        <v>Sumner</v>
      </c>
      <c r="R21" s="4">
        <f ref="R21:V21" si="25" t="shared">R8</f>
        <v>1032</v>
      </c>
      <c r="S21" s="4">
        <f si="25" t="shared"/>
        <v>16433</v>
      </c>
      <c r="T21" s="4">
        <f si="25" t="shared"/>
        <v>25324</v>
      </c>
      <c r="U21" s="4">
        <f si="25" t="shared"/>
        <v>12604</v>
      </c>
      <c r="V21" s="4">
        <f si="25" t="shared"/>
        <v>5640</v>
      </c>
      <c r="W21" s="4">
        <f si="14" t="shared"/>
        <v>61033</v>
      </c>
      <c r="Y21" s="3" t="str">
        <f>$A$8</f>
        <v>Sumner</v>
      </c>
      <c r="Z21" s="4">
        <f si="15" t="shared"/>
        <v>-126.39200623575493</v>
      </c>
      <c r="AA21" s="4">
        <f si="9" t="shared"/>
        <v>-1918.8096522594751</v>
      </c>
      <c r="AB21" s="4">
        <f si="9" t="shared"/>
        <v>1720.70674773875</v>
      </c>
      <c r="AC21" s="4">
        <f si="9" t="shared"/>
        <v>-836.68343336138969</v>
      </c>
      <c r="AD21" s="4">
        <f si="9" t="shared"/>
        <v>1161.178344117875</v>
      </c>
      <c r="AE21" s="4">
        <f si="9" t="shared"/>
        <v>0</v>
      </c>
      <c r="AG21" s="3" t="str">
        <f>$A$8</f>
        <v>Sumner</v>
      </c>
      <c r="AH21" s="17">
        <f si="16" t="shared"/>
        <v>-0.1091098743390601</v>
      </c>
      <c r="AI21" s="17">
        <f si="17" t="shared"/>
        <v>-0.10455697223424673</v>
      </c>
      <c r="AJ21" s="17">
        <f si="18" t="shared"/>
        <v>7.2901129912195717E-2</v>
      </c>
      <c r="AK21" s="17">
        <f si="19" t="shared"/>
        <v>-6.2250066189688015E-2</v>
      </c>
      <c r="AL21" s="17">
        <f si="20" t="shared"/>
        <v>0.25925978601824357</v>
      </c>
      <c r="AM21" s="17">
        <f si="21" t="shared"/>
        <v>1.1921350112534901E-16</v>
      </c>
    </row>
    <row r="22" spans="1:39" x14ac:dyDescent="0.25">
      <c r="A22" s="3" t="str">
        <f>$A$9</f>
        <v>Roberston</v>
      </c>
      <c r="B22" s="4">
        <f ref="B22:G22" si="26" t="shared">($W9/$G9)*B9</f>
        <v>455.85474324704427</v>
      </c>
      <c r="C22" s="4">
        <f si="26" t="shared"/>
        <v>6538.1274740416238</v>
      </c>
      <c r="D22" s="4">
        <f si="26" t="shared"/>
        <v>10256.204835076414</v>
      </c>
      <c r="E22" s="4">
        <f si="26" t="shared"/>
        <v>4672.3316757694847</v>
      </c>
      <c r="F22" s="4">
        <f si="26" t="shared"/>
        <v>2378.4812718654298</v>
      </c>
      <c r="G22" s="4">
        <f si="26" t="shared"/>
        <v>24300.999999999996</v>
      </c>
      <c r="I22" s="3" t="str">
        <f>$A$9</f>
        <v>Roberston</v>
      </c>
      <c r="J22" s="4">
        <f ref="J22:O22" si="27" t="shared">($W9/$O9)*J9</f>
        <v>1344.0976757869962</v>
      </c>
      <c r="K22" s="4">
        <f si="27" t="shared"/>
        <v>5572.4900601017107</v>
      </c>
      <c r="L22" s="4">
        <f si="27" t="shared"/>
        <v>10203.29466649855</v>
      </c>
      <c r="M22" s="4">
        <f si="27" t="shared"/>
        <v>4744.1745471357117</v>
      </c>
      <c r="N22" s="4">
        <f si="27" t="shared"/>
        <v>2436.9430504770307</v>
      </c>
      <c r="O22" s="4">
        <f si="27" t="shared"/>
        <v>24301</v>
      </c>
      <c r="Q22" s="3" t="str">
        <f>$A$9</f>
        <v>Roberston</v>
      </c>
      <c r="R22" s="4">
        <f ref="R22:V22" si="28" t="shared">R9</f>
        <v>446</v>
      </c>
      <c r="S22" s="4">
        <f si="28" t="shared"/>
        <v>6355</v>
      </c>
      <c r="T22" s="4">
        <f si="28" t="shared"/>
        <v>10027</v>
      </c>
      <c r="U22" s="4">
        <f si="28" t="shared"/>
        <v>5099</v>
      </c>
      <c r="V22" s="4">
        <f si="28" t="shared"/>
        <v>2374</v>
      </c>
      <c r="W22" s="4">
        <f si="14" t="shared"/>
        <v>24301</v>
      </c>
      <c r="Y22" s="3" t="str">
        <f>$A$9</f>
        <v>Roberston</v>
      </c>
      <c r="Z22" s="4">
        <f si="15" t="shared"/>
        <v>-9.8547432470442686</v>
      </c>
      <c r="AA22" s="4">
        <f si="9" t="shared"/>
        <v>-183.12747404162383</v>
      </c>
      <c r="AB22" s="4">
        <f si="9" t="shared"/>
        <v>-229.20483507641438</v>
      </c>
      <c r="AC22" s="4">
        <f si="9" t="shared"/>
        <v>426.66832423051528</v>
      </c>
      <c r="AD22" s="4">
        <f si="9" t="shared"/>
        <v>-4.4812718654297896</v>
      </c>
      <c r="AE22" s="4">
        <f si="9" t="shared"/>
        <v>0</v>
      </c>
      <c r="AG22" s="3" t="str">
        <f>$A$9</f>
        <v>Roberston</v>
      </c>
      <c r="AH22" s="17">
        <f si="16" t="shared"/>
        <v>-2.1618165420083442E-2</v>
      </c>
      <c r="AI22" s="17">
        <f si="17" t="shared"/>
        <v>-2.8009162373890107E-2</v>
      </c>
      <c r="AJ22" s="17">
        <f si="18" t="shared"/>
        <v>-2.2347919017035377E-2</v>
      </c>
      <c r="AK22" s="17">
        <f si="19" t="shared"/>
        <v>9.1318072825009242E-2</v>
      </c>
      <c r="AL22" s="17">
        <f si="20" t="shared"/>
        <v>-1.8840896156878935E-3</v>
      </c>
      <c r="AM22" s="17">
        <f si="21" t="shared"/>
        <v>1.4970490132470735E-16</v>
      </c>
    </row>
    <row r="23" spans="1:39" x14ac:dyDescent="0.25">
      <c r="A23" s="14" t="str">
        <f>$A$10</f>
        <v>Davidson</v>
      </c>
      <c r="B23" s="15">
        <f ref="B23:G23" si="29" t="shared">($W10/$G10)*B10</f>
        <v>31309.187887888154</v>
      </c>
      <c r="C23" s="15">
        <f si="29" t="shared"/>
        <v>107500.93532906515</v>
      </c>
      <c r="D23" s="15">
        <f si="29" t="shared"/>
        <v>96594.326826701465</v>
      </c>
      <c r="E23" s="15">
        <f si="29" t="shared"/>
        <v>30475.768355239274</v>
      </c>
      <c r="F23" s="15">
        <f si="29" t="shared"/>
        <v>10553.781601105946</v>
      </c>
      <c r="G23" s="15">
        <f si="29" t="shared"/>
        <v>276434</v>
      </c>
      <c r="I23" s="3" t="str">
        <f>$A$10</f>
        <v>Davidson</v>
      </c>
      <c r="J23" s="4">
        <f ref="J23:O23" si="30" t="shared">($W10/$O10)*J10</f>
        <v>20853.234013395282</v>
      </c>
      <c r="K23" s="4">
        <f si="30" t="shared"/>
        <v>112527.0989040586</v>
      </c>
      <c r="L23" s="4">
        <f si="30" t="shared"/>
        <v>100446.10635424218</v>
      </c>
      <c r="M23" s="4">
        <f si="30" t="shared"/>
        <v>31598.463384783565</v>
      </c>
      <c r="N23" s="4">
        <f si="30" t="shared"/>
        <v>11009.0973435204</v>
      </c>
      <c r="O23" s="4">
        <f si="30" t="shared"/>
        <v>276434</v>
      </c>
      <c r="Q23" s="3" t="str">
        <f>$A$10</f>
        <v>Davidson</v>
      </c>
      <c r="R23" s="4">
        <f ref="R23:V23" si="31" t="shared">R10</f>
        <v>20169</v>
      </c>
      <c r="S23" s="4">
        <f si="31" t="shared"/>
        <v>105369</v>
      </c>
      <c r="T23" s="4">
        <f si="31" t="shared"/>
        <v>92293</v>
      </c>
      <c r="U23" s="4">
        <f si="31" t="shared"/>
        <v>41391</v>
      </c>
      <c r="V23" s="4">
        <f si="31" t="shared"/>
        <v>17212</v>
      </c>
      <c r="W23" s="4">
        <f si="14" t="shared"/>
        <v>276434</v>
      </c>
      <c r="Y23" s="3" t="str">
        <f>$A$10</f>
        <v>Davidson</v>
      </c>
      <c r="Z23" s="4">
        <f si="15" t="shared"/>
        <v>-11140.187887888154</v>
      </c>
      <c r="AA23" s="4">
        <f si="9" t="shared"/>
        <v>-2131.9353290651488</v>
      </c>
      <c r="AB23" s="4">
        <f si="9" t="shared"/>
        <v>-4301.3268267014646</v>
      </c>
      <c r="AC23" s="4">
        <f si="9" t="shared"/>
        <v>10915.231644760726</v>
      </c>
      <c r="AD23" s="4">
        <f si="9" t="shared"/>
        <v>6658.2183988940542</v>
      </c>
      <c r="AE23" s="4">
        <f si="9" t="shared"/>
        <v>0</v>
      </c>
      <c r="AG23" s="3" t="str">
        <f>$A$10</f>
        <v>Davidson</v>
      </c>
      <c r="AH23" s="17">
        <f si="16" t="shared"/>
        <v>-0.355812099878761</v>
      </c>
      <c r="AI23" s="17">
        <f si="17" t="shared"/>
        <v>-1.9831783998336384E-2</v>
      </c>
      <c r="AJ23" s="17">
        <f si="18" t="shared"/>
        <v>-4.4529807991916699E-2</v>
      </c>
      <c r="AK23" s="17">
        <f si="19" t="shared"/>
        <v>0.35816099917573441</v>
      </c>
      <c r="AL23" s="17">
        <f si="20" t="shared"/>
        <v>0.63088461089590198</v>
      </c>
      <c r="AM23" s="17">
        <f si="21" t="shared"/>
        <v>0</v>
      </c>
    </row>
    <row r="24" spans="1:39" x14ac:dyDescent="0.25">
      <c r="A24" s="14" t="str">
        <f>$A$11</f>
        <v>Maury</v>
      </c>
      <c r="B24" s="15">
        <f ref="B24:G24" si="32" t="shared">($W11/$G11)*B11</f>
        <v>1060.2959509085481</v>
      </c>
      <c r="C24" s="15">
        <f si="32" t="shared"/>
        <v>10043.683756191815</v>
      </c>
      <c r="D24" s="15">
        <f si="32" t="shared"/>
        <v>12854.591629152901</v>
      </c>
      <c r="E24" s="15">
        <f si="32" t="shared"/>
        <v>5749.0182843882621</v>
      </c>
      <c r="F24" s="15">
        <f si="32" t="shared"/>
        <v>2081.4103793584759</v>
      </c>
      <c r="G24" s="15">
        <f si="32" t="shared"/>
        <v>31789</v>
      </c>
      <c r="I24" s="14" t="str">
        <f>$A$11</f>
        <v>Maury</v>
      </c>
      <c r="J24" s="15">
        <f ref="J24:O24" si="33" t="shared">($W11/$O11)*J11</f>
        <v>1424.9723421011183</v>
      </c>
      <c r="K24" s="15">
        <f si="33" t="shared"/>
        <v>9388.9955583556457</v>
      </c>
      <c r="L24" s="15">
        <f si="33" t="shared"/>
        <v>12949.924334540872</v>
      </c>
      <c r="M24" s="15">
        <f si="33" t="shared"/>
        <v>5523.6454244762954</v>
      </c>
      <c r="N24" s="15">
        <f si="33" t="shared"/>
        <v>2501.4623405260672</v>
      </c>
      <c r="O24" s="15">
        <f si="33" t="shared"/>
        <v>31789</v>
      </c>
      <c r="Q24" s="14" t="str">
        <f>$A$11</f>
        <v>Maury</v>
      </c>
      <c r="R24" s="15">
        <f ref="R24:V25" si="34" t="shared">R11</f>
        <v>759</v>
      </c>
      <c r="S24" s="15">
        <f si="34" t="shared"/>
        <v>9430</v>
      </c>
      <c r="T24" s="15">
        <f si="34" t="shared"/>
        <v>12682</v>
      </c>
      <c r="U24" s="15">
        <f si="34" t="shared"/>
        <v>6192</v>
      </c>
      <c r="V24" s="15">
        <f si="34" t="shared"/>
        <v>2726</v>
      </c>
      <c r="W24" s="15">
        <f si="14" t="shared"/>
        <v>31789</v>
      </c>
      <c r="Y24" s="14" t="str">
        <f>$A$11</f>
        <v>Maury</v>
      </c>
      <c r="Z24" s="4">
        <f si="15" t="shared"/>
        <v>-301.29595090854809</v>
      </c>
      <c r="AA24" s="4">
        <f si="9" t="shared"/>
        <v>-613.68375619181461</v>
      </c>
      <c r="AB24" s="4">
        <f si="9" t="shared"/>
        <v>-172.59162915290108</v>
      </c>
      <c r="AC24" s="4">
        <f si="9" t="shared"/>
        <v>442.98171561173785</v>
      </c>
      <c r="AD24" s="4">
        <f si="9" t="shared"/>
        <v>644.58962064152411</v>
      </c>
      <c r="AE24" s="4">
        <f si="9" t="shared"/>
        <v>0</v>
      </c>
      <c r="AG24" s="14" t="str">
        <f>$A$11</f>
        <v>Maury</v>
      </c>
      <c r="AH24" s="17">
        <f si="16" t="shared"/>
        <v>-0.28416212534846819</v>
      </c>
      <c r="AI24" s="17">
        <f si="17" t="shared"/>
        <v>-6.110146148453606E-2</v>
      </c>
      <c r="AJ24" s="17">
        <f si="18" t="shared"/>
        <v>-1.3426457575010075E-2</v>
      </c>
      <c r="AK24" s="17">
        <f si="19" t="shared"/>
        <v>7.7053453946159145E-2</v>
      </c>
      <c r="AL24" s="17">
        <f si="20" t="shared"/>
        <v>0.30968886627739262</v>
      </c>
      <c r="AM24" s="17">
        <f si="21" t="shared"/>
        <v>0</v>
      </c>
    </row>
    <row r="25" spans="1:39" x14ac:dyDescent="0.25">
      <c r="A25" s="14" t="str">
        <f>$A$12</f>
        <v>Wilson</v>
      </c>
      <c r="B25" s="15">
        <f ref="B25:G26" si="35" t="shared">($W12/$G12)*B12</f>
        <v>1699.0839050379363</v>
      </c>
      <c r="C25" s="15">
        <f si="35" t="shared"/>
        <v>9842.4725085238297</v>
      </c>
      <c r="D25" s="15">
        <f si="35" t="shared"/>
        <v>18766.844159754604</v>
      </c>
      <c r="E25" s="15">
        <f si="35" t="shared"/>
        <v>9372.5547025278884</v>
      </c>
      <c r="F25" s="15">
        <f si="35" t="shared"/>
        <v>3391.0447241557345</v>
      </c>
      <c r="G25" s="15">
        <f si="35" t="shared"/>
        <v>43072</v>
      </c>
      <c r="I25" s="14" t="str">
        <f>$A$12</f>
        <v>Wilson</v>
      </c>
      <c r="J25" s="15">
        <f ref="J25:O26" si="36" t="shared">($W12/$O12)*J12</f>
        <v>1510.931612527595</v>
      </c>
      <c r="K25" s="15">
        <f si="36" t="shared"/>
        <v>9662.2300283835903</v>
      </c>
      <c r="L25" s="15">
        <f si="36" t="shared"/>
        <v>18385.091094345116</v>
      </c>
      <c r="M25" s="15">
        <f si="36" t="shared"/>
        <v>9681.0383057179588</v>
      </c>
      <c r="N25" s="15">
        <f si="36" t="shared"/>
        <v>3832.7089590257392</v>
      </c>
      <c r="O25" s="15">
        <f si="36" t="shared"/>
        <v>43072</v>
      </c>
      <c r="Q25" s="14" t="str">
        <f>$A$12</f>
        <v>Wilson</v>
      </c>
      <c r="R25" s="15">
        <f si="34" t="shared"/>
        <v>837</v>
      </c>
      <c r="S25" s="15">
        <f si="34" t="shared"/>
        <v>10734</v>
      </c>
      <c r="T25" s="15">
        <f si="34" t="shared"/>
        <v>18043</v>
      </c>
      <c r="U25" s="15">
        <f si="34" t="shared"/>
        <v>9128</v>
      </c>
      <c r="V25" s="15">
        <f si="34" t="shared"/>
        <v>4330</v>
      </c>
      <c r="W25" s="15">
        <f si="14" t="shared"/>
        <v>43072</v>
      </c>
      <c r="Y25" s="14" t="str">
        <f>$A$12</f>
        <v>Wilson</v>
      </c>
      <c r="Z25" s="4">
        <f si="15" t="shared"/>
        <v>-862.08390503793635</v>
      </c>
      <c r="AA25" s="4">
        <f si="9" t="shared"/>
        <v>891.52749147617033</v>
      </c>
      <c r="AB25" s="4">
        <f si="9" t="shared"/>
        <v>-723.84415975460433</v>
      </c>
      <c r="AC25" s="4">
        <f si="9" t="shared"/>
        <v>-244.55470252788837</v>
      </c>
      <c r="AD25" s="4">
        <f si="9" t="shared"/>
        <v>938.95527584426554</v>
      </c>
      <c r="AE25" s="4">
        <f si="9" t="shared"/>
        <v>0</v>
      </c>
      <c r="AG25" s="14" t="str">
        <f>$A$12</f>
        <v>Wilson</v>
      </c>
      <c r="AH25" s="17">
        <f si="16" t="shared"/>
        <v>-0.50738159691924578</v>
      </c>
      <c r="AI25" s="17">
        <f si="17" t="shared"/>
        <v>9.0579627294268286E-2</v>
      </c>
      <c r="AJ25" s="17">
        <f si="18" t="shared"/>
        <v>-3.8570371959867615E-2</v>
      </c>
      <c r="AK25" s="17">
        <f si="19" t="shared"/>
        <v>-2.6092640724938002E-2</v>
      </c>
      <c r="AL25" s="17">
        <f si="20" t="shared"/>
        <v>0.27689262520064123</v>
      </c>
      <c r="AM25" s="17">
        <f si="21" t="shared"/>
        <v>0</v>
      </c>
    </row>
    <row ht="15.75" r="26" spans="1:39" thickBot="1" x14ac:dyDescent="0.3">
      <c r="A26" s="7" t="str">
        <f>$A$13</f>
        <v>Total</v>
      </c>
      <c r="B26" s="8">
        <f si="35" t="shared"/>
        <v>39200.846771858618</v>
      </c>
      <c r="C26" s="8">
        <f si="35" t="shared"/>
        <v>197023.33954886333</v>
      </c>
      <c r="D26" s="8">
        <f si="35" t="shared"/>
        <v>234277.9682754188</v>
      </c>
      <c r="E26" s="8">
        <f si="35" t="shared"/>
        <v>94743.178659676443</v>
      </c>
      <c r="F26" s="8">
        <f si="35" t="shared"/>
        <v>35381.666744182818</v>
      </c>
      <c r="G26" s="8">
        <f si="35" t="shared"/>
        <v>600627</v>
      </c>
      <c r="I26" s="7" t="str">
        <f>$A$13</f>
        <v>Total</v>
      </c>
      <c r="J26" s="8">
        <f si="36" t="shared"/>
        <v>31529.214136162816</v>
      </c>
      <c r="K26" s="8">
        <f si="36" t="shared"/>
        <v>194402.62283752376</v>
      </c>
      <c r="L26" s="8">
        <f si="36" t="shared"/>
        <v>242150.97200624569</v>
      </c>
      <c r="M26" s="8">
        <f si="36" t="shared"/>
        <v>95165.260595468353</v>
      </c>
      <c r="N26" s="8">
        <f si="36" t="shared"/>
        <v>37378.93042459945</v>
      </c>
      <c r="O26" s="8">
        <f si="36" t="shared"/>
        <v>600627.00000000012</v>
      </c>
      <c r="Q26" s="7" t="str">
        <f>$A$13</f>
        <v>Total</v>
      </c>
      <c r="R26" s="8">
        <f>SUM(R19:R25)</f>
        <v>26870</v>
      </c>
      <c r="S26" s="8">
        <f ref="S26:W26" si="37" t="shared">SUM(S19:S25)</f>
        <v>190926</v>
      </c>
      <c r="T26" s="8">
        <f si="37" t="shared"/>
        <v>226409</v>
      </c>
      <c r="U26" s="8">
        <f si="37" t="shared"/>
        <v>108883</v>
      </c>
      <c r="V26" s="8">
        <f si="37" t="shared"/>
        <v>47539</v>
      </c>
      <c r="W26" s="8">
        <f si="37" t="shared"/>
        <v>600627</v>
      </c>
      <c r="Y26" s="7" t="str">
        <f>$A$13</f>
        <v>Total</v>
      </c>
      <c r="Z26" s="4">
        <f si="15" t="shared"/>
        <v>-12330.846771858618</v>
      </c>
      <c r="AA26" s="4">
        <f si="9" t="shared"/>
        <v>-6097.339548863325</v>
      </c>
      <c r="AB26" s="4">
        <f si="9" t="shared"/>
        <v>-7868.9682754187961</v>
      </c>
      <c r="AC26" s="4">
        <f si="9" t="shared"/>
        <v>14139.821340323557</v>
      </c>
      <c r="AD26" s="4">
        <f si="9" t="shared"/>
        <v>12157.333255817182</v>
      </c>
      <c r="AE26" s="4">
        <f si="9" t="shared"/>
        <v>0</v>
      </c>
      <c r="AG26" s="7" t="str">
        <f>$A$13</f>
        <v>Total</v>
      </c>
      <c r="AH26" s="17">
        <f si="16" t="shared"/>
        <v>-0.31455562283186822</v>
      </c>
      <c r="AI26" s="17">
        <f si="17" t="shared"/>
        <v>-3.0947295700218994E-2</v>
      </c>
      <c r="AJ26" s="17">
        <f si="18" t="shared"/>
        <v>-3.3588170212266746E-2</v>
      </c>
      <c r="AK26" s="17">
        <f si="19" t="shared"/>
        <v>0.1492436874122062</v>
      </c>
      <c r="AL26" s="17">
        <f si="20" t="shared"/>
        <v>0.34360544243767144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144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Williamson</v>
      </c>
      <c r="B32" s="17">
        <f>B19/$G$26</f>
        <v>1.2173735895649662E-3</v>
      </c>
      <c r="C32" s="17">
        <f ref="C32:G32" si="38" t="shared">C19/$G$26</f>
        <v>2.3389191045241346E-2</v>
      </c>
      <c r="D32" s="17">
        <f si="38" t="shared"/>
        <v>5.3031386147267094E-2</v>
      </c>
      <c r="E32" s="17">
        <f si="38" t="shared"/>
        <v>2.1705276940754734E-2</v>
      </c>
      <c r="F32" s="17">
        <f si="38" t="shared"/>
        <v>8.7687952132036937E-3</v>
      </c>
      <c r="G32" s="17">
        <f si="38" t="shared"/>
        <v>0.10811202293603184</v>
      </c>
      <c r="I32" s="3" t="str">
        <f>$A$6</f>
        <v>Williamson</v>
      </c>
      <c r="J32" s="17">
        <f>J19/$O$26</f>
        <v>2.2743858411864376E-3</v>
      </c>
      <c r="K32" s="17">
        <f ref="K32:O32" si="39" t="shared">K19/$O$26</f>
        <v>2.2048570877144263E-2</v>
      </c>
      <c r="L32" s="17">
        <f si="39" t="shared"/>
        <v>5.3241383535545334E-2</v>
      </c>
      <c r="M32" s="17">
        <f si="39" t="shared"/>
        <v>2.2522473326182353E-2</v>
      </c>
      <c r="N32" s="17">
        <f si="39" t="shared"/>
        <v>8.0252093559734384E-3</v>
      </c>
      <c r="O32" s="17">
        <f si="39" t="shared"/>
        <v>0.10811202293603182</v>
      </c>
      <c r="Q32" s="3" t="str">
        <f>$A$6</f>
        <v>Williamson</v>
      </c>
      <c r="R32" s="17">
        <f>R6/$W$13</f>
        <v>1.5350625263266552E-3</v>
      </c>
      <c r="S32" s="17">
        <f ref="S32:W32" si="40" t="shared">S6/$W$13</f>
        <v>2.3095864821261781E-2</v>
      </c>
      <c r="T32" s="17">
        <f si="40" t="shared"/>
        <v>4.874073260109852E-2</v>
      </c>
      <c r="U32" s="17">
        <f si="40" t="shared"/>
        <v>2.426464344759726E-2</v>
      </c>
      <c r="V32" s="17">
        <f si="40" t="shared"/>
        <v>1.047571953974763E-2</v>
      </c>
      <c r="W32" s="17">
        <f si="40" t="shared"/>
        <v>0.10811202293603185</v>
      </c>
    </row>
    <row r="33" spans="1:23" x14ac:dyDescent="0.25">
      <c r="A33" s="3" t="str">
        <f>$A$7</f>
        <v>Rutherford</v>
      </c>
      <c r="B33" s="17">
        <f ref="B33:G39" si="41" t="shared">B20/$G$26</f>
        <v>4.6398923055125706E-3</v>
      </c>
      <c r="C33" s="17">
        <f si="41" t="shared"/>
        <v>5.1110141406341313E-2</v>
      </c>
      <c r="D33" s="17">
        <f si="41" t="shared"/>
        <v>6.7180838332514217E-2</v>
      </c>
      <c r="E33" s="17">
        <f si="41" t="shared"/>
        <v>2.9962101381247989E-2</v>
      </c>
      <c r="F33" s="17">
        <f si="41" t="shared"/>
        <v>1.2039671959955979E-2</v>
      </c>
      <c r="G33" s="17">
        <f si="41" t="shared"/>
        <v>0.16493264538557209</v>
      </c>
      <c r="I33" s="3" t="str">
        <f>$A$7</f>
        <v>Rutherford</v>
      </c>
      <c r="J33" s="17">
        <f ref="J33:O39" si="42" t="shared">J20/$O$26</f>
        <v>5.2850318670165332E-3</v>
      </c>
      <c r="K33" s="17">
        <f si="42" t="shared"/>
        <v>4.6423977116422349E-2</v>
      </c>
      <c r="L33" s="17">
        <f si="42" t="shared"/>
        <v>7.227937465171512E-2</v>
      </c>
      <c r="M33" s="17">
        <f si="42" t="shared"/>
        <v>2.8393427370720457E-2</v>
      </c>
      <c r="N33" s="17">
        <f si="42" t="shared"/>
        <v>1.2550834379697591E-2</v>
      </c>
      <c r="O33" s="17">
        <f si="42" t="shared"/>
        <v>0.16493264538557204</v>
      </c>
      <c r="Q33" s="3" t="str">
        <f>$A$7</f>
        <v>Rutherford</v>
      </c>
      <c r="R33" s="17">
        <f ref="R33:W39" si="43" t="shared">R7/$W$13</f>
        <v>4.5036270430733214E-3</v>
      </c>
      <c r="S33" s="17">
        <f si="43" t="shared"/>
        <v>4.7838342265665711E-2</v>
      </c>
      <c r="T33" s="17">
        <f si="43" t="shared"/>
        <v>6.454088810526333E-2</v>
      </c>
      <c r="U33" s="17">
        <f si="43" t="shared"/>
        <v>3.312371904692929E-2</v>
      </c>
      <c r="V33" s="17">
        <f si="43" t="shared"/>
        <v>1.4926068924640417E-2</v>
      </c>
      <c r="W33" s="17">
        <f si="43" t="shared"/>
        <v>0.16493264538557209</v>
      </c>
    </row>
    <row r="34" spans="1:23" x14ac:dyDescent="0.25">
      <c r="A34" s="3" t="str">
        <f>$A$8</f>
        <v>Sumner</v>
      </c>
      <c r="B34" s="17">
        <f si="41" t="shared"/>
        <v>1.9286379171028858E-3</v>
      </c>
      <c r="C34" s="17">
        <f si="41" t="shared"/>
        <v>3.0554420051478664E-2</v>
      </c>
      <c r="D34" s="17">
        <f si="41" t="shared"/>
        <v>3.9297755932152983E-2</v>
      </c>
      <c r="E34" s="17">
        <f si="41" t="shared"/>
        <v>2.2377754302356355E-2</v>
      </c>
      <c r="F34" s="17">
        <f si="41" t="shared"/>
        <v>7.456910288552005E-3</v>
      </c>
      <c r="G34" s="17">
        <f si="41" t="shared"/>
        <v>0.10161547849164289</v>
      </c>
      <c r="I34" s="3" t="str">
        <f>$A$8</f>
        <v>Sumner</v>
      </c>
      <c r="J34" s="17">
        <f si="42" t="shared"/>
        <v>3.5520930921569874E-3</v>
      </c>
      <c r="K34" s="17">
        <f si="42" t="shared"/>
        <v>2.8725845145756098E-2</v>
      </c>
      <c r="L34" s="17">
        <f si="42" t="shared"/>
        <v>4.0490445776462582E-2</v>
      </c>
      <c r="M34" s="17">
        <f si="42" t="shared"/>
        <v>2.064995657228956E-2</v>
      </c>
      <c r="N34" s="17">
        <f si="42" t="shared"/>
        <v>8.1971379049776624E-3</v>
      </c>
      <c r="O34" s="17">
        <f si="42" t="shared"/>
        <v>0.10161547849164287</v>
      </c>
      <c r="Q34" s="3" t="str">
        <f>$A$8</f>
        <v>Sumner</v>
      </c>
      <c r="R34" s="17">
        <f si="43" t="shared"/>
        <v>1.7182044763222432E-3</v>
      </c>
      <c r="S34" s="17">
        <f si="43" t="shared"/>
        <v>2.7359742402522699E-2</v>
      </c>
      <c r="T34" s="17">
        <f si="43" t="shared"/>
        <v>4.216260674262063E-2</v>
      </c>
      <c r="U34" s="17">
        <f si="43" t="shared"/>
        <v>2.0984737615858094E-2</v>
      </c>
      <c r="V34" s="17">
        <f si="43" t="shared"/>
        <v>9.390187254319237E-3</v>
      </c>
      <c r="W34" s="17">
        <f si="43" t="shared"/>
        <v>0.1016154784916429</v>
      </c>
    </row>
    <row r="35" spans="1:23" x14ac:dyDescent="0.25">
      <c r="A35" s="14" t="str">
        <f>$A$9</f>
        <v>Roberston</v>
      </c>
      <c r="B35" s="82">
        <f si="41" t="shared"/>
        <v>7.5896478720910692E-4</v>
      </c>
      <c r="C35" s="82">
        <f si="41" t="shared"/>
        <v>1.0885503771961007E-2</v>
      </c>
      <c r="D35" s="82">
        <f si="41" t="shared"/>
        <v>1.7075830482273381E-2</v>
      </c>
      <c r="E35" s="82">
        <f si="41" t="shared"/>
        <v>7.7790903102416056E-3</v>
      </c>
      <c r="F35" s="82">
        <f si="41" t="shared"/>
        <v>3.959997255976554E-3</v>
      </c>
      <c r="G35" s="82">
        <f si="41" t="shared"/>
        <v>4.0459386607661657E-2</v>
      </c>
      <c r="H35" s="83"/>
      <c r="I35" s="14" t="str">
        <f>$A$9</f>
        <v>Roberston</v>
      </c>
      <c r="J35" s="82">
        <f si="42" t="shared"/>
        <v>2.2378242666197092E-3</v>
      </c>
      <c r="K35" s="82">
        <f si="42" t="shared"/>
        <v>9.2777881448914377E-3</v>
      </c>
      <c r="L35" s="82">
        <f si="42" t="shared"/>
        <v>1.6987738923655692E-2</v>
      </c>
      <c r="M35" s="82">
        <f si="42" t="shared"/>
        <v>7.8987034334715399E-3</v>
      </c>
      <c r="N35" s="82">
        <f si="42" t="shared"/>
        <v>4.057331839023271E-3</v>
      </c>
      <c r="O35" s="82">
        <f si="42" t="shared"/>
        <v>4.045938660766165E-2</v>
      </c>
      <c r="Q35" s="3" t="str">
        <f>$A$9</f>
        <v>Roberston</v>
      </c>
      <c r="R35" s="17">
        <f si="43" t="shared"/>
        <v>7.4255736089120204E-4</v>
      </c>
      <c r="S35" s="17">
        <f si="43" t="shared"/>
        <v>1.0580609929290557E-2</v>
      </c>
      <c r="T35" s="17">
        <f si="43" t="shared"/>
        <v>1.6694221205506912E-2</v>
      </c>
      <c r="U35" s="17">
        <f si="43" t="shared"/>
        <v>8.4894618457045726E-3</v>
      </c>
      <c r="V35" s="17">
        <f si="43" t="shared"/>
        <v>3.9525362662684166E-3</v>
      </c>
      <c r="W35" s="17">
        <f si="43" t="shared"/>
        <v>4.0459386607661657E-2</v>
      </c>
    </row>
    <row r="36" spans="1:23" x14ac:dyDescent="0.25">
      <c r="A36" s="14" t="str">
        <f>$A$10</f>
        <v>Davidson</v>
      </c>
      <c r="B36" s="82">
        <f si="41" t="shared"/>
        <v>5.2127506568782546E-2</v>
      </c>
      <c r="C36" s="82">
        <f si="41" t="shared"/>
        <v>0.17898119020467804</v>
      </c>
      <c r="D36" s="82">
        <f si="41" t="shared"/>
        <v>0.16082248521412035</v>
      </c>
      <c r="E36" s="82">
        <f si="41" t="shared"/>
        <v>5.0739924038112297E-2</v>
      </c>
      <c r="F36" s="82">
        <f si="41" t="shared"/>
        <v>1.7571274020491828E-2</v>
      </c>
      <c r="G36" s="82">
        <f si="41" t="shared"/>
        <v>0.46024238004618506</v>
      </c>
      <c r="H36" s="83"/>
      <c r="I36" s="14" t="str">
        <f>$A$10</f>
        <v>Davidson</v>
      </c>
      <c r="J36" s="82">
        <f si="42" t="shared"/>
        <v>3.471910855388665E-2</v>
      </c>
      <c r="K36" s="82">
        <f si="42" t="shared"/>
        <v>0.1873493847330516</v>
      </c>
      <c r="L36" s="82">
        <f si="42" t="shared"/>
        <v>0.16723541624709204</v>
      </c>
      <c r="M36" s="82">
        <f si="42" t="shared"/>
        <v>5.2609129101394973E-2</v>
      </c>
      <c r="N36" s="82">
        <f si="42" t="shared"/>
        <v>1.8329341410759752E-2</v>
      </c>
      <c r="O36" s="82">
        <f si="42" t="shared"/>
        <v>0.46024238004618501</v>
      </c>
      <c r="Q36" s="3" t="str">
        <f>$A$10</f>
        <v>Davidson</v>
      </c>
      <c r="R36" s="17">
        <f si="43" t="shared"/>
        <v>3.3579908995100119E-2</v>
      </c>
      <c r="S36" s="17">
        <f si="43" t="shared"/>
        <v>0.17543167390077369</v>
      </c>
      <c r="T36" s="17">
        <f si="43" t="shared"/>
        <v>0.15366109082675272</v>
      </c>
      <c r="U36" s="17">
        <f si="43" t="shared"/>
        <v>6.8912985929703463E-2</v>
      </c>
      <c r="V36" s="17">
        <f si="43" t="shared"/>
        <v>2.8656720393855088E-2</v>
      </c>
      <c r="W36" s="17">
        <f si="43" t="shared"/>
        <v>0.46024238004618506</v>
      </c>
    </row>
    <row r="37" spans="1:23" x14ac:dyDescent="0.25">
      <c r="A37" s="14" t="str">
        <f>$A$11</f>
        <v>Maury</v>
      </c>
      <c r="B37" s="82">
        <f si="41" t="shared"/>
        <v>1.7653151638347062E-3</v>
      </c>
      <c r="C37" s="82">
        <f si="41" t="shared"/>
        <v>1.6721998438618001E-2</v>
      </c>
      <c r="D37" s="82">
        <f si="41" t="shared"/>
        <v>2.140195433963658E-2</v>
      </c>
      <c r="E37" s="82">
        <f si="41" t="shared"/>
        <v>9.5716947196650536E-3</v>
      </c>
      <c r="F37" s="82">
        <f si="41" t="shared"/>
        <v>3.4653959601524337E-3</v>
      </c>
      <c r="G37" s="82">
        <f si="41" t="shared"/>
        <v>5.2926358621906776E-2</v>
      </c>
      <c r="H37" s="83"/>
      <c r="I37" s="14" t="str">
        <f>$A$11</f>
        <v>Maury</v>
      </c>
      <c r="J37" s="82">
        <f si="42" t="shared"/>
        <v>2.3724746674743525E-3</v>
      </c>
      <c r="K37" s="82">
        <f si="42" t="shared"/>
        <v>1.5631990500519697E-2</v>
      </c>
      <c r="L37" s="82">
        <f si="42" t="shared"/>
        <v>2.1560676317483013E-2</v>
      </c>
      <c r="M37" s="82">
        <f si="42" t="shared"/>
        <v>9.1964654011163233E-3</v>
      </c>
      <c r="N37" s="82">
        <f si="42" t="shared"/>
        <v>4.1647517353133757E-3</v>
      </c>
      <c r="O37" s="82">
        <f si="42" t="shared"/>
        <v>5.2926358621906762E-2</v>
      </c>
      <c r="Q37" s="14" t="str">
        <f>$A$11</f>
        <v>Maury</v>
      </c>
      <c r="R37" s="82">
        <f si="43" t="shared"/>
        <v>1.2636794549695568E-3</v>
      </c>
      <c r="S37" s="82">
        <f si="43" t="shared"/>
        <v>1.5700259895076313E-2</v>
      </c>
      <c r="T37" s="82">
        <f si="43" t="shared"/>
        <v>2.1114601907673149E-2</v>
      </c>
      <c r="U37" s="82">
        <f si="43" t="shared"/>
        <v>1.030922685793346E-2</v>
      </c>
      <c r="V37" s="82">
        <f si="43" t="shared"/>
        <v>4.5385905062542975E-3</v>
      </c>
      <c r="W37" s="82">
        <f si="43" t="shared"/>
        <v>5.2926358621906776E-2</v>
      </c>
    </row>
    <row r="38" spans="1:23" x14ac:dyDescent="0.25">
      <c r="A38" s="14" t="str">
        <f>$A$12</f>
        <v>Wilson</v>
      </c>
      <c r="B38" s="82">
        <f si="41" t="shared"/>
        <v>2.8288503597706004E-3</v>
      </c>
      <c r="C38" s="82">
        <f si="41" t="shared"/>
        <v>1.6386996436263821E-2</v>
      </c>
      <c r="D38" s="82">
        <f si="41" t="shared"/>
        <v>3.1245422133461539E-2</v>
      </c>
      <c r="E38" s="82">
        <f si="41" t="shared"/>
        <v>1.5604617678738865E-2</v>
      </c>
      <c r="F38" s="82">
        <f si="41" t="shared"/>
        <v>5.6458413027648344E-3</v>
      </c>
      <c r="G38" s="82">
        <f si="41" t="shared"/>
        <v>7.1711727910999667E-2</v>
      </c>
      <c r="H38" s="83"/>
      <c r="I38" s="14" t="str">
        <f>$A$12</f>
        <v>Wilson</v>
      </c>
      <c r="J38" s="82">
        <f si="42" t="shared"/>
        <v>2.5155905620752894E-3</v>
      </c>
      <c r="K38" s="82">
        <f si="42" t="shared"/>
        <v>1.6086905897309958E-2</v>
      </c>
      <c r="L38" s="82">
        <f si="42" t="shared"/>
        <v>3.0609831216953473E-2</v>
      </c>
      <c r="M38" s="82">
        <f si="42" t="shared"/>
        <v>1.6118220302646997E-2</v>
      </c>
      <c r="N38" s="82">
        <f si="42" t="shared"/>
        <v>6.3811799320139433E-3</v>
      </c>
      <c r="O38" s="82">
        <f si="42" t="shared"/>
        <v>7.1711727910999654E-2</v>
      </c>
      <c r="Q38" s="14" t="str">
        <f>$A$12</f>
        <v>Wilson</v>
      </c>
      <c r="R38" s="82">
        <f si="43" t="shared"/>
        <v>1.3935437467846102E-3</v>
      </c>
      <c r="S38" s="82">
        <f si="43" t="shared"/>
        <v>1.7871324465933099E-2</v>
      </c>
      <c r="T38" s="82">
        <f si="43" t="shared"/>
        <v>3.0040274579730849E-2</v>
      </c>
      <c r="U38" s="82">
        <f si="43" t="shared"/>
        <v>1.5197451995997516E-2</v>
      </c>
      <c r="V38" s="82">
        <f si="43" t="shared"/>
        <v>7.2091331225535979E-3</v>
      </c>
      <c r="W38" s="82">
        <f si="43" t="shared"/>
        <v>7.1711727910999667E-2</v>
      </c>
    </row>
    <row ht="15.75" r="39" spans="1:23" thickBot="1" x14ac:dyDescent="0.3">
      <c r="A39" s="7" t="str">
        <f>$A$13</f>
        <v>Total</v>
      </c>
      <c r="B39" s="19">
        <f si="41" t="shared"/>
        <v>6.5266541084331234E-2</v>
      </c>
      <c r="C39" s="19">
        <f si="41" t="shared"/>
        <v>0.32802944181474247</v>
      </c>
      <c r="D39" s="19">
        <f si="41" t="shared"/>
        <v>0.39005567228149718</v>
      </c>
      <c r="E39" s="19">
        <f si="41" t="shared"/>
        <v>0.15774045898648653</v>
      </c>
      <c r="F39" s="19">
        <f si="41" t="shared"/>
        <v>5.8907885832942604E-2</v>
      </c>
      <c r="G39" s="19">
        <f si="41" t="shared"/>
        <v>1</v>
      </c>
      <c r="H39" s="83"/>
      <c r="I39" s="7" t="str">
        <f>$A$13</f>
        <v>Total</v>
      </c>
      <c r="J39" s="19">
        <f si="42" t="shared"/>
        <v>5.2493834170230125E-2</v>
      </c>
      <c r="K39" s="19">
        <f si="42" t="shared"/>
        <v>0.32366614027928103</v>
      </c>
      <c r="L39" s="19">
        <f si="42" t="shared"/>
        <v>0.40316364733228049</v>
      </c>
      <c r="M39" s="19">
        <f si="42" t="shared"/>
        <v>0.1584431945208396</v>
      </c>
      <c r="N39" s="19">
        <f si="42" t="shared"/>
        <v>6.2233183697368653E-2</v>
      </c>
      <c r="O39" s="19">
        <f si="42" t="shared"/>
        <v>1</v>
      </c>
      <c r="Q39" s="7" t="str">
        <f>$A$13</f>
        <v>Total</v>
      </c>
      <c r="R39" s="19">
        <f si="43" t="shared"/>
        <v>4.473658360346771E-2</v>
      </c>
      <c r="S39" s="19">
        <f si="43" t="shared"/>
        <v>0.31787781768052387</v>
      </c>
      <c r="T39" s="19">
        <f si="43" t="shared"/>
        <v>0.37695441596864609</v>
      </c>
      <c r="U39" s="19">
        <f si="43" t="shared"/>
        <v>0.18128222673972366</v>
      </c>
      <c r="V39" s="19">
        <f si="43" t="shared"/>
        <v>7.9148956007638688E-2</v>
      </c>
      <c r="W39" s="19">
        <f si="43" t="shared"/>
        <v>1</v>
      </c>
    </row>
    <row r="40" spans="1:23" x14ac:dyDescent="0.25">
      <c r="A40" s="14"/>
      <c r="B40" s="17"/>
      <c r="C40" s="82"/>
      <c r="D40" s="82"/>
      <c r="E40" s="82"/>
      <c r="F40" s="82"/>
      <c r="G40" s="82"/>
      <c r="I40" s="14"/>
      <c r="J40" s="82"/>
      <c r="K40" s="82"/>
      <c r="L40" s="82"/>
      <c r="M40" s="82"/>
      <c r="N40" s="82"/>
      <c r="O40" s="82"/>
      <c r="Q40" s="14"/>
      <c r="R40" s="82"/>
      <c r="S40" s="82"/>
      <c r="T40" s="82"/>
      <c r="U40" s="82"/>
      <c r="V40" s="82"/>
      <c r="W40" s="8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Williamson</v>
      </c>
      <c r="R45" s="17">
        <f>R32-J32</f>
        <v>-7.3932331485978241E-4</v>
      </c>
      <c r="S45" s="17">
        <f ref="S45:W45" si="44" t="shared">S32-K32</f>
        <v>1.047293944117518E-3</v>
      </c>
      <c r="T45" s="17">
        <f si="44" t="shared"/>
        <v>-4.5006509344468135E-3</v>
      </c>
      <c r="U45" s="17">
        <f si="44" t="shared"/>
        <v>1.7421701214149071E-3</v>
      </c>
      <c r="V45" s="17">
        <f si="44" t="shared"/>
        <v>2.4505101837741915E-3</v>
      </c>
      <c r="W45" s="17">
        <f si="44" t="shared"/>
        <v>0</v>
      </c>
    </row>
    <row r="46" spans="1:23" x14ac:dyDescent="0.25">
      <c r="Q46" s="3" t="str">
        <f>$A$7</f>
        <v>Rutherford</v>
      </c>
      <c r="R46" s="17">
        <f ref="R46:W46" si="45" t="shared">R33-J33</f>
        <v>-7.814048239432117E-4</v>
      </c>
      <c r="S46" s="17">
        <f si="45" t="shared"/>
        <v>1.4143651492433615E-3</v>
      </c>
      <c r="T46" s="17">
        <f si="45" t="shared"/>
        <v>-7.7384865464517893E-3</v>
      </c>
      <c r="U46" s="17">
        <f si="45" t="shared"/>
        <v>4.730291676208833E-3</v>
      </c>
      <c r="V46" s="17">
        <f si="45" t="shared"/>
        <v>2.3752345449428256E-3</v>
      </c>
      <c r="W46" s="17">
        <f si="45" t="shared"/>
        <v>0</v>
      </c>
    </row>
    <row r="47" spans="1:23" x14ac:dyDescent="0.25">
      <c r="Q47" s="3" t="str">
        <f>$A$8</f>
        <v>Sumner</v>
      </c>
      <c r="R47" s="17">
        <f ref="R47:R49" si="46" t="shared">R34-J34</f>
        <v>-1.8338886158347442E-3</v>
      </c>
      <c r="S47" s="17">
        <f ref="S47:S49" si="47" t="shared">S34-K34</f>
        <v>-1.3661027432333994E-3</v>
      </c>
      <c r="T47" s="17">
        <f ref="T47:T49" si="48" t="shared">T34-L34</f>
        <v>1.6721609661580483E-3</v>
      </c>
      <c r="U47" s="17">
        <f ref="U47:U49" si="49" t="shared">U34-M34</f>
        <v>3.3478104356853347E-4</v>
      </c>
      <c r="V47" s="17">
        <f ref="V47:V49" si="50" t="shared">V34-N34</f>
        <v>1.1930493493415746E-3</v>
      </c>
      <c r="W47" s="17">
        <f ref="W47:W49" si="51" t="shared">W34-O34</f>
        <v>0</v>
      </c>
    </row>
    <row r="48" spans="1:23" x14ac:dyDescent="0.25">
      <c r="Q48" s="3" t="str">
        <f>$A$9</f>
        <v>Roberston</v>
      </c>
      <c r="R48" s="17">
        <f si="46" t="shared"/>
        <v>-1.4952669057285073E-3</v>
      </c>
      <c r="S48" s="17">
        <f si="47" t="shared"/>
        <v>1.3028217843991195E-3</v>
      </c>
      <c r="T48" s="17">
        <f si="48" t="shared"/>
        <v>-2.9351771814878011E-4</v>
      </c>
      <c r="U48" s="17">
        <f si="49" t="shared"/>
        <v>5.9075841223303269E-4</v>
      </c>
      <c r="V48" s="17">
        <f si="50" t="shared"/>
        <v>-1.0479557275485437E-4</v>
      </c>
      <c r="W48" s="17">
        <f si="51" t="shared"/>
        <v>0</v>
      </c>
    </row>
    <row r="49" spans="1:23" x14ac:dyDescent="0.25">
      <c r="Q49" s="3" t="str">
        <f>$A$10</f>
        <v>Davidson</v>
      </c>
      <c r="R49" s="17">
        <f si="46" t="shared"/>
        <v>-1.1391995587865314E-3</v>
      </c>
      <c r="S49" s="17">
        <f si="47" t="shared"/>
        <v>-1.1917710832277911E-2</v>
      </c>
      <c r="T49" s="17">
        <f si="48" t="shared"/>
        <v>-1.3574325420339317E-2</v>
      </c>
      <c r="U49" s="17">
        <f si="49" t="shared"/>
        <v>1.630385682830849E-2</v>
      </c>
      <c r="V49" s="17">
        <f si="50" t="shared"/>
        <v>1.0327378983095336E-2</v>
      </c>
      <c r="W49" s="17">
        <f si="51" t="shared"/>
        <v>0</v>
      </c>
    </row>
    <row r="50" spans="1:23" x14ac:dyDescent="0.25">
      <c r="Q50" s="14" t="str">
        <f>$A$11</f>
        <v>Maury</v>
      </c>
      <c r="R50" s="82">
        <f ref="R50:W50" si="52" t="shared">R37-J37</f>
        <v>-1.1087952125047958E-3</v>
      </c>
      <c r="S50" s="82">
        <f si="52" t="shared"/>
        <v>6.826939455661582E-5</v>
      </c>
      <c r="T50" s="82">
        <f si="52" t="shared"/>
        <v>-4.4607440980986429E-4</v>
      </c>
      <c r="U50" s="82">
        <f si="52" t="shared"/>
        <v>1.1127614568171365E-3</v>
      </c>
      <c r="V50" s="82">
        <f si="52" t="shared"/>
        <v>3.7383877094092181E-4</v>
      </c>
      <c r="W50" s="82">
        <f si="52" t="shared"/>
        <v>0</v>
      </c>
    </row>
    <row r="51" spans="1:23" x14ac:dyDescent="0.25">
      <c r="Q51" s="14" t="str">
        <f>$A$12</f>
        <v>Wilson</v>
      </c>
      <c r="R51" s="82">
        <f ref="R51:W52" si="53" t="shared">R38-J38</f>
        <v>-1.1220468152906792E-3</v>
      </c>
      <c r="S51" s="82">
        <f si="53" t="shared"/>
        <v>1.784418568623141E-3</v>
      </c>
      <c r="T51" s="82">
        <f si="53" t="shared"/>
        <v>-5.695566372226242E-4</v>
      </c>
      <c r="U51" s="82">
        <f si="53" t="shared"/>
        <v>-9.2076830664948074E-4</v>
      </c>
      <c r="V51" s="82">
        <f si="53" t="shared"/>
        <v>8.2795319053965456E-4</v>
      </c>
      <c r="W51" s="82">
        <f si="53" t="shared"/>
        <v>0</v>
      </c>
    </row>
    <row ht="15.75" r="52" spans="1:23" thickBot="1" x14ac:dyDescent="0.3">
      <c r="Q52" s="7" t="str">
        <f>$A$13</f>
        <v>Total</v>
      </c>
      <c r="R52" s="19">
        <f si="53" t="shared"/>
        <v>-7.757250566762415E-3</v>
      </c>
      <c r="S52" s="19">
        <f ref="S52" si="54" t="shared">S39-K39</f>
        <v>-5.7883225987571674E-3</v>
      </c>
      <c r="T52" s="19">
        <f ref="T52" si="55" t="shared">T39-L39</f>
        <v>-2.62092313636344E-2</v>
      </c>
      <c r="U52" s="19">
        <f ref="U52" si="56" t="shared">U39-M39</f>
        <v>2.2839032218884059E-2</v>
      </c>
      <c r="V52" s="19">
        <f ref="V52" si="57" t="shared">V39-N39</f>
        <v>1.6915772310270034E-2</v>
      </c>
      <c r="W52" s="19">
        <f ref="W52" si="58" t="shared">W39-O39</f>
        <v>0</v>
      </c>
    </row>
    <row ht="15.75" r="55" spans="1:23" thickBot="1" x14ac:dyDescent="0.3">
      <c r="A55" s="20" t="s">
        <v>145</v>
      </c>
      <c r="B55" s="21"/>
      <c r="C55" s="22"/>
      <c r="D55" s="22"/>
      <c r="E55" s="22"/>
      <c r="F55" s="22"/>
      <c r="G55" s="22"/>
      <c r="I55" s="20" t="s">
        <v>26</v>
      </c>
      <c r="J55" s="21"/>
      <c r="K55" s="22"/>
      <c r="L55" s="22"/>
      <c r="M55" s="22"/>
      <c r="N55" s="22"/>
      <c r="O55" s="22"/>
      <c r="Q55" s="20" t="s">
        <v>27</v>
      </c>
      <c r="R55" s="26"/>
      <c r="S55" s="26"/>
      <c r="T55" s="26"/>
      <c r="U55" s="26"/>
      <c r="V55" s="26"/>
      <c r="W55" s="26"/>
    </row>
    <row r="56" spans="1:23" x14ac:dyDescent="0.25">
      <c r="A56" s="27"/>
      <c r="B56" s="28">
        <v>0</v>
      </c>
      <c r="C56" s="28">
        <v>1</v>
      </c>
      <c r="D56" s="28">
        <v>2</v>
      </c>
      <c r="E56" s="28">
        <v>3</v>
      </c>
      <c r="F56" s="28" t="s">
        <v>3</v>
      </c>
      <c r="G56" s="28" t="s">
        <v>4</v>
      </c>
      <c r="I56" s="27"/>
      <c r="J56" s="28">
        <v>0</v>
      </c>
      <c r="K56" s="28">
        <v>1</v>
      </c>
      <c r="L56" s="28">
        <v>2</v>
      </c>
      <c r="M56" s="28">
        <v>3</v>
      </c>
      <c r="N56" s="28" t="s">
        <v>3</v>
      </c>
      <c r="O56" s="28" t="s">
        <v>4</v>
      </c>
      <c r="Q56" s="27"/>
      <c r="R56" s="28">
        <v>0</v>
      </c>
      <c r="S56" s="28">
        <v>1</v>
      </c>
      <c r="T56" s="28">
        <v>2</v>
      </c>
      <c r="U56" s="28">
        <v>3</v>
      </c>
      <c r="V56" s="28" t="s">
        <v>3</v>
      </c>
      <c r="W56" s="28" t="s">
        <v>4</v>
      </c>
    </row>
    <row r="57" spans="1:23" x14ac:dyDescent="0.25">
      <c r="A57" s="3" t="str">
        <f>$A$6</f>
        <v>Williamson</v>
      </c>
      <c r="B57" s="23"/>
      <c r="C57" s="23"/>
      <c r="D57" s="23"/>
      <c r="E57" s="23"/>
      <c r="F57" s="23"/>
      <c r="G57" s="23"/>
      <c r="I57" s="3" t="str">
        <f>$A$6</f>
        <v>Williamson</v>
      </c>
      <c r="J57" s="23"/>
      <c r="K57" s="23"/>
      <c r="L57" s="23"/>
      <c r="M57" s="23"/>
      <c r="N57" s="23"/>
      <c r="O57" s="23"/>
      <c r="Q57" s="3" t="str">
        <f>$A$6</f>
        <v>Williamson</v>
      </c>
      <c r="R57" s="23"/>
      <c r="S57" s="23"/>
      <c r="T57" s="23"/>
      <c r="U57" s="23"/>
      <c r="V57" s="23"/>
      <c r="W57" s="23"/>
    </row>
    <row r="58" spans="1:23" x14ac:dyDescent="0.25">
      <c r="A58" s="3" t="str">
        <f>$A$7</f>
        <v>Rutherford</v>
      </c>
      <c r="B58" s="29"/>
      <c r="C58" s="29"/>
      <c r="D58" s="29"/>
      <c r="E58" s="29"/>
      <c r="F58" s="29"/>
      <c r="G58" s="29"/>
      <c r="I58" s="3" t="str">
        <f>$A$7</f>
        <v>Rutherford</v>
      </c>
      <c r="J58" s="29"/>
      <c r="K58" s="29"/>
      <c r="L58" s="29"/>
      <c r="M58" s="29"/>
      <c r="N58" s="29"/>
      <c r="O58" s="29"/>
      <c r="Q58" s="3" t="str">
        <f>$A$7</f>
        <v>Rutherford</v>
      </c>
      <c r="R58" s="29"/>
      <c r="S58" s="29"/>
      <c r="T58" s="29"/>
      <c r="U58" s="29"/>
      <c r="V58" s="29"/>
      <c r="W58" s="29"/>
    </row>
    <row r="59" spans="1:23" x14ac:dyDescent="0.25">
      <c r="A59" s="3" t="str">
        <f>$A$8</f>
        <v>Sumner</v>
      </c>
      <c r="B59" s="29"/>
      <c r="C59" s="29"/>
      <c r="D59" s="29"/>
      <c r="E59" s="29"/>
      <c r="F59" s="29"/>
      <c r="G59" s="29"/>
      <c r="I59" s="3" t="str">
        <f>$A$8</f>
        <v>Sumner</v>
      </c>
      <c r="J59" s="29"/>
      <c r="K59" s="29"/>
      <c r="L59" s="29"/>
      <c r="M59" s="29"/>
      <c r="N59" s="29"/>
      <c r="O59" s="29"/>
      <c r="Q59" s="3" t="str">
        <f>$A$8</f>
        <v>Sumner</v>
      </c>
      <c r="R59" s="29"/>
      <c r="S59" s="29"/>
      <c r="T59" s="29"/>
      <c r="U59" s="29"/>
      <c r="V59" s="29"/>
      <c r="W59" s="29"/>
    </row>
    <row r="60" spans="1:23" x14ac:dyDescent="0.25">
      <c r="A60" s="3" t="str">
        <f>$A$9</f>
        <v>Roberston</v>
      </c>
      <c r="B60" s="29"/>
      <c r="C60" s="29"/>
      <c r="D60" s="29"/>
      <c r="E60" s="29"/>
      <c r="F60" s="29"/>
      <c r="G60" s="29"/>
      <c r="I60" s="3" t="str">
        <f>$A$9</f>
        <v>Roberston</v>
      </c>
      <c r="J60" s="29"/>
      <c r="K60" s="29"/>
      <c r="L60" s="29"/>
      <c r="M60" s="29"/>
      <c r="N60" s="29"/>
      <c r="O60" s="29"/>
      <c r="Q60" s="3" t="str">
        <f>$A$9</f>
        <v>Roberston</v>
      </c>
      <c r="R60" s="29"/>
      <c r="S60" s="29"/>
      <c r="T60" s="29"/>
      <c r="U60" s="29"/>
      <c r="V60" s="29"/>
      <c r="W60" s="29"/>
    </row>
    <row r="61" spans="1:23" x14ac:dyDescent="0.25">
      <c r="A61" s="3" t="str">
        <f>$A$10</f>
        <v>Davidson</v>
      </c>
      <c r="B61" s="29"/>
      <c r="C61" s="29"/>
      <c r="D61" s="29"/>
      <c r="E61" s="29"/>
      <c r="F61" s="29"/>
      <c r="G61" s="29"/>
      <c r="I61" s="3" t="str">
        <f>$A$10</f>
        <v>Davidson</v>
      </c>
      <c r="J61" s="29"/>
      <c r="K61" s="29"/>
      <c r="L61" s="29"/>
      <c r="M61" s="29"/>
      <c r="N61" s="29"/>
      <c r="O61" s="29"/>
      <c r="Q61" s="3" t="str">
        <f>$A$10</f>
        <v>Davidson</v>
      </c>
      <c r="R61" s="29"/>
      <c r="S61" s="29"/>
      <c r="T61" s="29"/>
      <c r="U61" s="29"/>
      <c r="V61" s="29"/>
      <c r="W61" s="29"/>
    </row>
    <row r="62" spans="1:23" x14ac:dyDescent="0.25">
      <c r="A62" s="5" t="str">
        <f>$A$11</f>
        <v>Maury</v>
      </c>
      <c r="B62" s="23"/>
      <c r="C62" s="23"/>
      <c r="D62" s="23"/>
      <c r="E62" s="23"/>
      <c r="F62" s="23"/>
      <c r="G62" s="23"/>
      <c r="I62" s="5" t="str">
        <f>$A$11</f>
        <v>Maury</v>
      </c>
      <c r="J62" s="23"/>
      <c r="K62" s="23"/>
      <c r="L62" s="23"/>
      <c r="M62" s="23"/>
      <c r="N62" s="23"/>
      <c r="O62" s="23"/>
      <c r="Q62" s="5" t="str">
        <f>$A$11</f>
        <v>Maury</v>
      </c>
      <c r="R62" s="23"/>
      <c r="S62" s="23"/>
      <c r="T62" s="23"/>
      <c r="U62" s="23"/>
      <c r="V62" s="23"/>
      <c r="W62" s="23"/>
    </row>
    <row ht="15.75" r="63" spans="1:23" thickBot="1" x14ac:dyDescent="0.3">
      <c r="A63" s="24" t="s">
        <v>4</v>
      </c>
      <c r="B63" s="25"/>
      <c r="C63" s="25"/>
      <c r="D63" s="25"/>
      <c r="E63" s="25"/>
      <c r="F63" s="25"/>
      <c r="G63" s="25"/>
      <c r="I63" s="24" t="s">
        <v>4</v>
      </c>
      <c r="J63" s="25"/>
      <c r="K63" s="25"/>
      <c r="L63" s="25"/>
      <c r="M63" s="25"/>
      <c r="N63" s="25"/>
      <c r="O63" s="25"/>
      <c r="Q63" s="24" t="s">
        <v>4</v>
      </c>
      <c r="R63" s="25"/>
      <c r="S63" s="25"/>
      <c r="T63" s="25"/>
      <c r="U63" s="25"/>
      <c r="V63" s="25"/>
      <c r="W63" s="25"/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J33" sqref="J33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48444.779</v>
      </c>
      <c r="C6" s="4" t="n">
        <v>80655.6379</v>
      </c>
      <c r="D6" s="4" t="n">
        <v>54487.7515</v>
      </c>
      <c r="E6" s="4" t="n">
        <v>23488.9032</v>
      </c>
      <c r="F6" s="4" t="n">
        <v>8085.0096</v>
      </c>
      <c r="G6" s="4">
        <f>SUM(B6:F6)</f>
        <v>88012.000494767723</v>
      </c>
      <c r="I6" s="3" t="s">
        <v>6</v>
      </c>
      <c r="J6">
        <v>17580</v>
      </c>
      <c r="K6">
        <v>32190</v>
      </c>
      <c r="L6">
        <v>9300</v>
      </c>
      <c r="M6">
        <v>1160</v>
      </c>
      <c r="N6">
        <v>435</v>
      </c>
      <c r="O6" s="4">
        <v>60665</v>
      </c>
      <c r="Q6" s="3" t="s">
        <v>6</v>
      </c>
      <c r="R6" s="60" t="n">
        <v>43689.0</v>
      </c>
      <c r="S6" s="64" t="n">
        <v>68109.0</v>
      </c>
      <c r="T6" s="68" t="n">
        <v>14803.0</v>
      </c>
      <c r="U6" s="72" t="n">
        <v>3433.0</v>
      </c>
      <c r="V6" s="76" t="n">
        <v>1396.0</v>
      </c>
      <c r="W6" s="4">
        <f>SUM(R6:V6)</f>
        <v>88012</v>
      </c>
    </row>
    <row r="7" spans="1:39" x14ac:dyDescent="0.25">
      <c r="A7" s="3" t="s">
        <v>7</v>
      </c>
      <c r="B7" s="4" t="n">
        <v>65323.1755</v>
      </c>
      <c r="C7" s="4" t="n">
        <v>227458.7833</v>
      </c>
      <c r="D7" s="4" t="n">
        <v>104715.3944</v>
      </c>
      <c r="E7" s="4" t="n">
        <v>27836.1211</v>
      </c>
      <c r="F7" s="4" t="n">
        <v>10937.7289</v>
      </c>
      <c r="G7" s="4">
        <f ref="G7:G10" si="0" t="shared">SUM(B7:F7)</f>
        <v>207649.99965378255</v>
      </c>
      <c r="I7" s="3" t="s">
        <v>7</v>
      </c>
      <c r="J7">
        <v>12305</v>
      </c>
      <c r="K7">
        <v>101355</v>
      </c>
      <c r="L7">
        <v>61450</v>
      </c>
      <c r="M7">
        <v>11555</v>
      </c>
      <c r="N7">
        <v>3309</v>
      </c>
      <c r="O7" s="4">
        <v>189974</v>
      </c>
      <c r="Q7" s="3" t="s">
        <v>7</v>
      </c>
      <c r="R7" s="61" t="n">
        <v>44781.0</v>
      </c>
      <c r="S7" s="65" t="n">
        <v>197972.0</v>
      </c>
      <c r="T7" s="69" t="n">
        <v>124884.0</v>
      </c>
      <c r="U7" s="73" t="n">
        <v>33010.0</v>
      </c>
      <c r="V7" s="77" t="n">
        <v>12913.0</v>
      </c>
      <c r="W7" s="4">
        <f ref="W7:W10" si="1" t="shared">SUM(R7:V7)</f>
        <v>207650</v>
      </c>
    </row>
    <row r="8" spans="1:39" x14ac:dyDescent="0.25">
      <c r="A8" s="3" t="s">
        <v>8</v>
      </c>
      <c r="B8" s="4" t="n">
        <v>7057.9723</v>
      </c>
      <c r="C8" s="4" t="n">
        <v>93402.6174</v>
      </c>
      <c r="D8" s="4" t="n">
        <v>99877.823</v>
      </c>
      <c r="E8" s="4" t="n">
        <v>34012.2883</v>
      </c>
      <c r="F8" s="4" t="n">
        <v>15173.966</v>
      </c>
      <c r="G8" s="4">
        <f si="0" t="shared"/>
        <v>115751.0008955641</v>
      </c>
      <c r="I8" s="3" t="s">
        <v>8</v>
      </c>
      <c r="J8">
        <v>1810</v>
      </c>
      <c r="K8">
        <v>31835</v>
      </c>
      <c r="L8">
        <v>54020</v>
      </c>
      <c r="M8">
        <v>15945</v>
      </c>
      <c r="N8">
        <v>4540</v>
      </c>
      <c r="O8" s="4">
        <v>108150</v>
      </c>
      <c r="Q8" s="3" t="s">
        <v>8</v>
      </c>
      <c r="R8" s="62" t="n">
        <v>10061.0</v>
      </c>
      <c r="S8" s="66" t="n">
        <v>90175.0</v>
      </c>
      <c r="T8" s="70" t="n">
        <v>111480.0</v>
      </c>
      <c r="U8" s="74" t="n">
        <v>42782.0</v>
      </c>
      <c r="V8" s="78" t="n">
        <v>15410.0</v>
      </c>
      <c r="W8" s="4">
        <f si="1" t="shared"/>
        <v>115751</v>
      </c>
    </row>
    <row r="9" spans="1:39" x14ac:dyDescent="0.25">
      <c r="A9" s="5" t="s">
        <v>9</v>
      </c>
      <c r="B9" s="4" t="n">
        <v>8313.2076</v>
      </c>
      <c r="C9" s="4" t="n">
        <v>100180.9864</v>
      </c>
      <c r="D9" s="4" t="n">
        <v>311315.7759</v>
      </c>
      <c r="E9" s="4" t="n">
        <v>133680.9119</v>
      </c>
      <c r="F9" s="4" t="n">
        <v>75870.129</v>
      </c>
      <c r="G9" s="6">
        <f si="0" t="shared"/>
        <v>189214.00156438368</v>
      </c>
      <c r="I9" s="5" t="s">
        <v>9</v>
      </c>
      <c r="J9" s="80">
        <v>1648</v>
      </c>
      <c r="K9" s="80">
        <v>21530</v>
      </c>
      <c r="L9" s="80">
        <v>94210</v>
      </c>
      <c r="M9" s="80">
        <v>38565</v>
      </c>
      <c r="N9" s="80">
        <v>15230</v>
      </c>
      <c r="O9" s="6">
        <v>171183</v>
      </c>
      <c r="Q9" s="5" t="s">
        <v>9</v>
      </c>
      <c r="R9" s="63" t="n">
        <v>11544.0</v>
      </c>
      <c r="S9" s="67" t="n">
        <v>121609.0</v>
      </c>
      <c r="T9" s="71" t="n">
        <v>315282.0</v>
      </c>
      <c r="U9" s="75" t="n">
        <v>165274.0</v>
      </c>
      <c r="V9" s="79" t="n">
        <v>78092.0</v>
      </c>
      <c r="W9" s="6">
        <f si="1" t="shared"/>
        <v>189214</v>
      </c>
    </row>
    <row ht="15.75" r="10" spans="1:39" thickBot="1" x14ac:dyDescent="0.3">
      <c r="A10" s="7" t="s">
        <v>4</v>
      </c>
      <c r="B10" s="8">
        <f>SUM(B6:B9)</f>
        <v>39200.846942106262</v>
      </c>
      <c r="C10" s="8">
        <f ref="C10:F10" si="2" t="shared">SUM(C6:C9)</f>
        <v>197023.34040452749</v>
      </c>
      <c r="D10" s="8">
        <f si="2" t="shared"/>
        <v>234277.96929287829</v>
      </c>
      <c r="E10" s="8">
        <f si="2" t="shared"/>
        <v>94743.17907114212</v>
      </c>
      <c r="F10" s="8">
        <f si="2" t="shared"/>
        <v>35381.666897843919</v>
      </c>
      <c r="G10" s="8">
        <f si="0" t="shared"/>
        <v>600627.00260849809</v>
      </c>
      <c r="I10" s="7" t="s">
        <v>4</v>
      </c>
      <c r="J10" s="8">
        <v>33343</v>
      </c>
      <c r="K10" s="8">
        <v>186910</v>
      </c>
      <c r="L10" s="8">
        <v>218980</v>
      </c>
      <c r="M10" s="8">
        <v>67225</v>
      </c>
      <c r="N10" s="8">
        <v>23514</v>
      </c>
      <c r="O10" s="8">
        <v>529972</v>
      </c>
      <c r="Q10" s="7" t="s">
        <v>4</v>
      </c>
      <c r="R10" s="8">
        <f>SUM(R6:R9)</f>
        <v>26870</v>
      </c>
      <c r="S10" s="8">
        <f ref="S10" si="3" t="shared">SUM(S6:S9)</f>
        <v>190926</v>
      </c>
      <c r="T10" s="8">
        <f ref="T10" si="4" t="shared">SUM(T6:T9)</f>
        <v>226409</v>
      </c>
      <c r="U10" s="8">
        <f ref="U10" si="5" t="shared">SUM(U6:U9)</f>
        <v>108883</v>
      </c>
      <c r="V10" s="8">
        <f ref="V10" si="6" t="shared">SUM(V6:V9)</f>
        <v>47539</v>
      </c>
      <c r="W10" s="8">
        <f si="1" t="shared"/>
        <v>600627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25457.059564890853</v>
      </c>
      <c r="C16" s="4">
        <f si="7" t="shared"/>
        <v>42129.383427042201</v>
      </c>
      <c r="D16" s="4">
        <f si="7" t="shared"/>
        <v>13329.984489811173</v>
      </c>
      <c r="E16" s="4">
        <f si="7" t="shared"/>
        <v>4930.3428990919074</v>
      </c>
      <c r="F16" s="4">
        <f si="7" t="shared"/>
        <v>2165.2296191638757</v>
      </c>
      <c r="G16" s="4">
        <f si="7" t="shared"/>
        <v>88012</v>
      </c>
      <c r="I16" s="3" t="s">
        <v>6</v>
      </c>
      <c r="J16" s="4">
        <f ref="J16:O20" si="8" t="shared">($W6/$O6)*J6</f>
        <v>25504.837385642462</v>
      </c>
      <c r="K16" s="4">
        <f si="8" t="shared"/>
        <v>46700.837055963078</v>
      </c>
      <c r="L16" s="4">
        <f si="8" t="shared"/>
        <v>13492.32011868458</v>
      </c>
      <c r="M16" s="4">
        <f si="8" t="shared"/>
        <v>1682.9130470617326</v>
      </c>
      <c r="N16" s="4">
        <f si="8" t="shared"/>
        <v>631.09239264814971</v>
      </c>
      <c r="O16" s="4">
        <f si="8" t="shared"/>
        <v>88012</v>
      </c>
      <c r="Q16" s="3" t="s">
        <v>6</v>
      </c>
      <c r="R16" s="4">
        <f ref="R16:V19" si="9" t="shared">R6</f>
        <v>21531</v>
      </c>
      <c r="S16" s="4">
        <f si="9" t="shared"/>
        <v>53497</v>
      </c>
      <c r="T16" s="4">
        <f si="9" t="shared"/>
        <v>10784</v>
      </c>
      <c r="U16" s="4">
        <f si="9" t="shared"/>
        <v>1957</v>
      </c>
      <c r="V16" s="4">
        <f si="9" t="shared"/>
        <v>243</v>
      </c>
      <c r="W16" s="4">
        <f>SUM(R16:V16)</f>
        <v>88012</v>
      </c>
      <c r="Y16" s="3" t="s">
        <v>6</v>
      </c>
      <c r="Z16" s="4">
        <f>R16-J16</f>
        <v>-3973.8373856424623</v>
      </c>
      <c r="AA16" s="4">
        <f ref="AA16:AA20" si="10" t="shared">S16-K16</f>
        <v>6796.1629440369215</v>
      </c>
      <c r="AB16" s="4">
        <f ref="AB16:AB20" si="11" t="shared">T16-L16</f>
        <v>-2708.3201186845799</v>
      </c>
      <c r="AC16" s="4">
        <f ref="AC16:AC20" si="12" t="shared">U16-M16</f>
        <v>274.08695293826736</v>
      </c>
      <c r="AD16" s="4">
        <f ref="AD16:AD20" si="13" t="shared">V16-N16</f>
        <v>-388.09239264814971</v>
      </c>
      <c r="AE16" s="4">
        <f ref="AE16:AE20" si="14" t="shared">W16-O16</f>
        <v>0</v>
      </c>
      <c r="AG16" s="3" t="s">
        <v>6</v>
      </c>
      <c r="AH16" s="17">
        <f>Z16/J16</f>
        <v>-0.1558072033770139</v>
      </c>
      <c r="AI16" s="17">
        <f ref="AI16:AI20" si="15" t="shared">AA16/K16</f>
        <v>0.14552550601807984</v>
      </c>
      <c r="AJ16" s="17">
        <f ref="AJ16:AJ20" si="16" t="shared">AB16/L16</f>
        <v>-0.20073049667225246</v>
      </c>
      <c r="AK16" s="17">
        <f ref="AK16:AK20" si="17" t="shared">AC16/M16</f>
        <v>0.16286459565858563</v>
      </c>
      <c r="AL16" s="17">
        <f ref="AL16:AL20" si="18" t="shared">AD16/N16</f>
        <v>-0.61495336842781634</v>
      </c>
      <c r="AM16" s="17">
        <f ref="AM16:AM20" si="19" t="shared">AE16/O16</f>
        <v>0</v>
      </c>
    </row>
    <row r="17" spans="1:39" x14ac:dyDescent="0.25">
      <c r="A17" s="3" t="s">
        <v>7</v>
      </c>
      <c r="B17" s="4">
        <f si="7" t="shared"/>
        <v>11975.24767900288</v>
      </c>
      <c r="C17" s="4">
        <f si="7" t="shared"/>
        <v>108180.65281603335</v>
      </c>
      <c r="D17" s="4">
        <f si="7" t="shared"/>
        <v>63670.735084962354</v>
      </c>
      <c r="E17" s="4">
        <f si="7" t="shared"/>
        <v>17789.08317056227</v>
      </c>
      <c r="F17" s="4">
        <f si="7" t="shared"/>
        <v>6034.2812494391546</v>
      </c>
      <c r="G17" s="4">
        <f si="7" t="shared"/>
        <v>207650</v>
      </c>
      <c r="I17" s="3" t="s">
        <v>7</v>
      </c>
      <c r="J17" s="4">
        <f si="8" t="shared"/>
        <v>13449.910250876435</v>
      </c>
      <c r="K17" s="4">
        <f si="8" t="shared"/>
        <v>110785.50617452915</v>
      </c>
      <c r="L17" s="4">
        <f si="8" t="shared"/>
        <v>67167.572931032671</v>
      </c>
      <c r="M17" s="4">
        <f si="8" t="shared"/>
        <v>12630.127017381326</v>
      </c>
      <c r="N17" s="4">
        <f si="8" t="shared"/>
        <v>3616.8836261804245</v>
      </c>
      <c r="O17" s="4">
        <f si="8" t="shared"/>
        <v>207650</v>
      </c>
      <c r="Q17" s="3" t="s">
        <v>7</v>
      </c>
      <c r="R17" s="4">
        <f si="9" t="shared"/>
        <v>3962</v>
      </c>
      <c r="S17" s="4">
        <f si="9" t="shared"/>
        <v>96047</v>
      </c>
      <c r="T17" s="4">
        <f si="9" t="shared"/>
        <v>70761</v>
      </c>
      <c r="U17" s="4">
        <f si="9" t="shared"/>
        <v>27641</v>
      </c>
      <c r="V17" s="4">
        <f si="9" t="shared"/>
        <v>9239</v>
      </c>
      <c r="W17" s="4">
        <f ref="W17:W20" si="20" t="shared">SUM(R17:V17)</f>
        <v>207650</v>
      </c>
      <c r="Y17" s="3" t="s">
        <v>7</v>
      </c>
      <c r="Z17" s="4">
        <f ref="Z17:Z20" si="21" t="shared">R17-J17</f>
        <v>-9487.9102508764354</v>
      </c>
      <c r="AA17" s="4">
        <f si="10" t="shared"/>
        <v>-14738.506174529146</v>
      </c>
      <c r="AB17" s="4">
        <f si="11" t="shared"/>
        <v>3593.4270689673285</v>
      </c>
      <c r="AC17" s="4">
        <f si="12" t="shared"/>
        <v>15010.872982618674</v>
      </c>
      <c r="AD17" s="4">
        <f si="13" t="shared"/>
        <v>5622.1163738195755</v>
      </c>
      <c r="AE17" s="4">
        <f si="14" t="shared"/>
        <v>0</v>
      </c>
      <c r="AG17" s="3" t="s">
        <v>7</v>
      </c>
      <c r="AH17" s="17">
        <f ref="AH17:AH20" si="22" t="shared">Z17/J17</f>
        <v>-0.70542554365804599</v>
      </c>
      <c r="AI17" s="17">
        <f si="15" t="shared"/>
        <v>-0.13303641138138064</v>
      </c>
      <c r="AJ17" s="17">
        <f si="16" t="shared"/>
        <v>5.3499433017433005E-2</v>
      </c>
      <c r="AK17" s="17">
        <f si="17" t="shared"/>
        <v>1.1884973889780375</v>
      </c>
      <c r="AL17" s="17">
        <f si="18" t="shared"/>
        <v>1.5544089760379596</v>
      </c>
      <c r="AM17" s="17">
        <f si="19" t="shared"/>
        <v>0</v>
      </c>
    </row>
    <row r="18" spans="1:39" x14ac:dyDescent="0.25">
      <c r="A18" s="3" t="s">
        <v>8</v>
      </c>
      <c r="B18" s="4">
        <f si="7" t="shared"/>
        <v>1518.7222933194289</v>
      </c>
      <c r="C18" s="4">
        <f si="7" t="shared"/>
        <v>26592.887751376205</v>
      </c>
      <c r="D18" s="4">
        <f si="7" t="shared"/>
        <v>64251.090595125665</v>
      </c>
      <c r="E18" s="4">
        <f si="7" t="shared"/>
        <v>17248.052306891368</v>
      </c>
      <c r="F18" s="4">
        <f si="7" t="shared"/>
        <v>6140.2470532873194</v>
      </c>
      <c r="G18" s="4">
        <f si="7" t="shared"/>
        <v>115751</v>
      </c>
      <c r="I18" s="3" t="s">
        <v>8</v>
      </c>
      <c r="J18" s="4">
        <f si="8" t="shared"/>
        <v>1937.2104484512254</v>
      </c>
      <c r="K18" s="4">
        <f si="8" t="shared"/>
        <v>34072.427970411467</v>
      </c>
      <c r="L18" s="4">
        <f si="8" t="shared"/>
        <v>57816.634489135467</v>
      </c>
      <c r="M18" s="4">
        <f si="8" t="shared"/>
        <v>17065.646740638003</v>
      </c>
      <c r="N18" s="4">
        <f si="8" t="shared"/>
        <v>4859.0803513638466</v>
      </c>
      <c r="O18" s="4">
        <f si="8" t="shared"/>
        <v>115751.00000000001</v>
      </c>
      <c r="Q18" s="3" t="s">
        <v>8</v>
      </c>
      <c r="R18" s="4">
        <f si="9" t="shared"/>
        <v>468</v>
      </c>
      <c r="S18" s="4">
        <f si="9" t="shared"/>
        <v>22442</v>
      </c>
      <c r="T18" s="4">
        <f si="9" t="shared"/>
        <v>55137</v>
      </c>
      <c r="U18" s="4">
        <f si="9" t="shared"/>
        <v>26544</v>
      </c>
      <c r="V18" s="4">
        <f si="9" t="shared"/>
        <v>11160</v>
      </c>
      <c r="W18" s="4">
        <f si="20" t="shared"/>
        <v>115751</v>
      </c>
      <c r="Y18" s="3" t="s">
        <v>8</v>
      </c>
      <c r="Z18" s="4">
        <f si="21" t="shared"/>
        <v>-1469.2104484512254</v>
      </c>
      <c r="AA18" s="4">
        <f si="10" t="shared"/>
        <v>-11630.427970411467</v>
      </c>
      <c r="AB18" s="4">
        <f si="11" t="shared"/>
        <v>-2679.6344891354674</v>
      </c>
      <c r="AC18" s="4">
        <f si="12" t="shared"/>
        <v>9478.3532593619966</v>
      </c>
      <c r="AD18" s="4">
        <f si="13" t="shared"/>
        <v>6300.9196486361534</v>
      </c>
      <c r="AE18" s="4">
        <f si="14" t="shared"/>
        <v>0</v>
      </c>
      <c r="AG18" s="3" t="s">
        <v>8</v>
      </c>
      <c r="AH18" s="17">
        <f si="22" t="shared"/>
        <v>-0.75841550907689981</v>
      </c>
      <c r="AI18" s="17">
        <f si="15" t="shared"/>
        <v>-0.34134426758525527</v>
      </c>
      <c r="AJ18" s="17">
        <f si="16" t="shared"/>
        <v>-4.6347119869784313E-2</v>
      </c>
      <c r="AK18" s="17">
        <f si="17" t="shared"/>
        <v>0.55540545303750066</v>
      </c>
      <c r="AL18" s="17">
        <f si="18" t="shared"/>
        <v>1.296730902354313</v>
      </c>
      <c r="AM18" s="17">
        <f si="19" t="shared"/>
        <v>0</v>
      </c>
    </row>
    <row r="19" spans="1:39" x14ac:dyDescent="0.25">
      <c r="A19" s="5" t="s">
        <v>9</v>
      </c>
      <c r="B19" s="4">
        <f si="7" t="shared"/>
        <v>249.81726793456056</v>
      </c>
      <c r="C19" s="4">
        <f si="7" t="shared"/>
        <v>20120.415981511942</v>
      </c>
      <c r="D19" s="4">
        <f si="7" t="shared"/>
        <v>93026.157887970665</v>
      </c>
      <c r="E19" s="4">
        <f si="7" t="shared"/>
        <v>54775.700110217593</v>
      </c>
      <c r="F19" s="4">
        <f si="7" t="shared"/>
        <v>21041.908752365231</v>
      </c>
      <c r="G19" s="6">
        <f si="7" t="shared"/>
        <v>189214</v>
      </c>
      <c r="I19" s="5" t="s">
        <v>9</v>
      </c>
      <c r="J19" s="6">
        <f si="8" t="shared"/>
        <v>1821.5866762470571</v>
      </c>
      <c r="K19" s="6">
        <f si="8" t="shared"/>
        <v>23797.791953640255</v>
      </c>
      <c r="L19" s="6">
        <f si="8" t="shared"/>
        <v>104133.30143764275</v>
      </c>
      <c r="M19" s="6">
        <f si="8" t="shared"/>
        <v>42627.117821278982</v>
      </c>
      <c r="N19" s="6">
        <f si="8" t="shared"/>
        <v>16834.202111190945</v>
      </c>
      <c r="O19" s="6">
        <f si="8" t="shared"/>
        <v>189213.99999999997</v>
      </c>
      <c r="Q19" s="5" t="s">
        <v>9</v>
      </c>
      <c r="R19" s="4">
        <f si="9" t="shared"/>
        <v>909</v>
      </c>
      <c r="S19" s="4">
        <f si="9" t="shared"/>
        <v>18940</v>
      </c>
      <c r="T19" s="4">
        <f si="9" t="shared"/>
        <v>89727</v>
      </c>
      <c r="U19" s="4">
        <f si="9" t="shared"/>
        <v>52741</v>
      </c>
      <c r="V19" s="4">
        <f si="9" t="shared"/>
        <v>26897</v>
      </c>
      <c r="W19" s="6">
        <f si="20" t="shared"/>
        <v>189214</v>
      </c>
      <c r="Y19" s="5" t="s">
        <v>9</v>
      </c>
      <c r="Z19" s="4">
        <f si="21" t="shared"/>
        <v>-912.58667624705708</v>
      </c>
      <c r="AA19" s="4">
        <f si="10" t="shared"/>
        <v>-4857.7919536402551</v>
      </c>
      <c r="AB19" s="4">
        <f si="11" t="shared"/>
        <v>-14406.301437642745</v>
      </c>
      <c r="AC19" s="4">
        <f si="12" t="shared"/>
        <v>10113.882178721018</v>
      </c>
      <c r="AD19" s="4">
        <f si="13" t="shared"/>
        <v>10062.797888809055</v>
      </c>
      <c r="AE19" s="6">
        <f si="14" t="shared"/>
        <v>0</v>
      </c>
      <c r="AG19" s="5" t="s">
        <v>9</v>
      </c>
      <c r="AH19" s="17">
        <f si="22" t="shared"/>
        <v>-0.50098449233677056</v>
      </c>
      <c r="AI19" s="17">
        <f si="15" t="shared"/>
        <v>-0.20412784358748787</v>
      </c>
      <c r="AJ19" s="17">
        <f si="16" t="shared"/>
        <v>-0.13834480650044068</v>
      </c>
      <c r="AK19" s="17">
        <f si="17" t="shared"/>
        <v>0.23726403978624802</v>
      </c>
      <c r="AL19" s="17">
        <f si="18" t="shared"/>
        <v>0.59775912290607258</v>
      </c>
      <c r="AM19" s="18">
        <f si="19" t="shared"/>
        <v>0</v>
      </c>
    </row>
    <row ht="15.75" r="20" spans="1:39" thickBot="1" x14ac:dyDescent="0.3">
      <c r="A20" s="7" t="s">
        <v>4</v>
      </c>
      <c r="B20" s="8">
        <f si="7" t="shared"/>
        <v>39200.846771858611</v>
      </c>
      <c r="C20" s="8">
        <f si="7" t="shared"/>
        <v>197023.33954886333</v>
      </c>
      <c r="D20" s="8">
        <f si="7" t="shared"/>
        <v>234277.9682754188</v>
      </c>
      <c r="E20" s="8">
        <f si="7" t="shared"/>
        <v>94743.178659676429</v>
      </c>
      <c r="F20" s="8">
        <f si="7" t="shared"/>
        <v>35381.66674418281</v>
      </c>
      <c r="G20" s="8">
        <f si="7" t="shared"/>
        <v>600627</v>
      </c>
      <c r="I20" s="7" t="s">
        <v>4</v>
      </c>
      <c r="J20" s="8">
        <f si="8" t="shared"/>
        <v>37788.234210486589</v>
      </c>
      <c r="K20" s="8">
        <f si="8" t="shared"/>
        <v>211828.53541319165</v>
      </c>
      <c r="L20" s="8">
        <f si="8" t="shared"/>
        <v>248174.05534632018</v>
      </c>
      <c r="M20" s="8">
        <f si="8" t="shared"/>
        <v>76187.327019163276</v>
      </c>
      <c r="N20" s="8">
        <f si="8" t="shared"/>
        <v>26648.848010838308</v>
      </c>
      <c r="O20" s="8">
        <f si="8" t="shared"/>
        <v>600627</v>
      </c>
      <c r="Q20" s="7" t="s">
        <v>4</v>
      </c>
      <c r="R20" s="8">
        <f>SUM(R16:R19)</f>
        <v>26870</v>
      </c>
      <c r="S20" s="8">
        <f ref="S20:V20" si="23" t="shared">SUM(S16:S19)</f>
        <v>190926</v>
      </c>
      <c r="T20" s="8">
        <f si="23" t="shared"/>
        <v>226409</v>
      </c>
      <c r="U20" s="8">
        <f si="23" t="shared"/>
        <v>108883</v>
      </c>
      <c r="V20" s="8">
        <f si="23" t="shared"/>
        <v>47539</v>
      </c>
      <c r="W20" s="8">
        <f si="20" t="shared"/>
        <v>600627</v>
      </c>
      <c r="Y20" s="7" t="s">
        <v>4</v>
      </c>
      <c r="Z20" s="8">
        <f si="21" t="shared"/>
        <v>-10918.234210486589</v>
      </c>
      <c r="AA20" s="8">
        <f si="10" t="shared"/>
        <v>-20902.535413191654</v>
      </c>
      <c r="AB20" s="8">
        <f si="11" t="shared"/>
        <v>-21765.05534632018</v>
      </c>
      <c r="AC20" s="8">
        <f si="12" t="shared"/>
        <v>32695.672980836724</v>
      </c>
      <c r="AD20" s="8">
        <f si="13" t="shared"/>
        <v>20890.151989161692</v>
      </c>
      <c r="AE20" s="8">
        <f si="14" t="shared"/>
        <v>0</v>
      </c>
      <c r="AG20" s="7" t="s">
        <v>4</v>
      </c>
      <c r="AH20" s="19">
        <f si="22" t="shared"/>
        <v>-0.28893210912344447</v>
      </c>
      <c r="AI20" s="19">
        <f si="15" t="shared"/>
        <v>-9.8676674379206158E-2</v>
      </c>
      <c r="AJ20" s="19">
        <f si="16" t="shared"/>
        <v>-8.770076838188276E-2</v>
      </c>
      <c r="AK20" s="19">
        <f si="17" t="shared"/>
        <v>0.42914844581189776</v>
      </c>
      <c r="AL20" s="19">
        <f si="18" t="shared"/>
        <v>0.7839045042647057</v>
      </c>
      <c r="AM20" s="19">
        <f si="19" t="shared"/>
        <v>0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4.2384141180617674E-2</v>
      </c>
      <c r="C25" s="17">
        <f ref="C25:G25" si="24" t="shared">C16/$G$20</f>
        <v>7.0142340299457401E-2</v>
      </c>
      <c r="D25" s="17">
        <f si="24" t="shared"/>
        <v>2.2193448662499643E-2</v>
      </c>
      <c r="E25" s="17">
        <f si="24" t="shared"/>
        <v>8.2086601153326562E-3</v>
      </c>
      <c r="F25" s="17">
        <f si="24" t="shared"/>
        <v>3.6049488603806948E-3</v>
      </c>
      <c r="G25" s="17">
        <f si="24" t="shared"/>
        <v>0.14653353911828806</v>
      </c>
      <c r="I25" s="3" t="s">
        <v>6</v>
      </c>
      <c r="J25" s="17">
        <f>J16/$O$20</f>
        <v>4.2463687755699399E-2</v>
      </c>
      <c r="K25" s="17">
        <f ref="K25:O25" si="25" t="shared">K16/$O$20</f>
        <v>7.7753476044139E-2</v>
      </c>
      <c r="L25" s="17">
        <f si="25" t="shared"/>
        <v>2.2463725604550878E-2</v>
      </c>
      <c r="M25" s="17">
        <f si="25" t="shared"/>
        <v>2.8019270646536579E-3</v>
      </c>
      <c r="N25" s="17">
        <f si="25" t="shared"/>
        <v>1.0507226492451217E-3</v>
      </c>
      <c r="O25" s="17">
        <f si="25" t="shared"/>
        <v>0.14653353911828806</v>
      </c>
      <c r="Q25" s="3" t="s">
        <v>6</v>
      </c>
      <c r="R25" s="17">
        <f ref="R25:W29" si="26" t="shared">R6/$W$10</f>
        <v>3.5847539321409126E-2</v>
      </c>
      <c r="S25" s="17">
        <f si="26" t="shared"/>
        <v>8.9068589990126984E-2</v>
      </c>
      <c r="T25" s="17">
        <f si="26" t="shared"/>
        <v>1.7954570806840184E-2</v>
      </c>
      <c r="U25" s="17">
        <f si="26" t="shared"/>
        <v>3.2582617831033236E-3</v>
      </c>
      <c r="V25" s="17">
        <f si="26" t="shared"/>
        <v>4.0457721680843518E-4</v>
      </c>
      <c r="W25" s="17">
        <f si="26" t="shared"/>
        <v>0.14653353911828806</v>
      </c>
    </row>
    <row r="26" spans="1:39" x14ac:dyDescent="0.25">
      <c r="A26" s="3" t="s">
        <v>7</v>
      </c>
      <c r="B26" s="17">
        <f ref="B26:G26" si="27" t="shared">B17/$G$20</f>
        <v>1.9937911014661146E-2</v>
      </c>
      <c r="C26" s="17">
        <f si="27" t="shared"/>
        <v>0.18011287007749127</v>
      </c>
      <c r="D26" s="17">
        <f si="27" t="shared"/>
        <v>0.10600711437375002</v>
      </c>
      <c r="E26" s="17">
        <f si="27" t="shared"/>
        <v>2.9617521640822455E-2</v>
      </c>
      <c r="F26" s="17">
        <f si="27" t="shared"/>
        <v>1.0046636680400905E-2</v>
      </c>
      <c r="G26" s="17">
        <f si="27" t="shared"/>
        <v>0.34572205378712578</v>
      </c>
      <c r="I26" s="3" t="s">
        <v>7</v>
      </c>
      <c r="J26" s="17">
        <f ref="J26:O26" si="28" t="shared">J17/$O$20</f>
        <v>2.2393116278283252E-2</v>
      </c>
      <c r="K26" s="17">
        <f si="28" t="shared"/>
        <v>0.18444976029137741</v>
      </c>
      <c r="L26" s="17">
        <f si="28" t="shared"/>
        <v>0.11182909348236537</v>
      </c>
      <c r="M26" s="17">
        <f si="28" t="shared"/>
        <v>2.1028237187774319E-2</v>
      </c>
      <c r="N26" s="17">
        <f si="28" t="shared"/>
        <v>6.0218465473254193E-3</v>
      </c>
      <c r="O26" s="17">
        <f si="28" t="shared"/>
        <v>0.34572205378712578</v>
      </c>
      <c r="Q26" s="3" t="s">
        <v>7</v>
      </c>
      <c r="R26" s="17">
        <f si="26" t="shared"/>
        <v>6.5964400534774493E-3</v>
      </c>
      <c r="S26" s="17">
        <f si="26" t="shared"/>
        <v>0.15991122610205669</v>
      </c>
      <c r="T26" s="17">
        <f si="26" t="shared"/>
        <v>0.11781188657852544</v>
      </c>
      <c r="U26" s="17">
        <f si="26" t="shared"/>
        <v>4.6020242180254967E-2</v>
      </c>
      <c r="V26" s="17">
        <f si="26" t="shared"/>
        <v>1.5382258872811246E-2</v>
      </c>
      <c r="W26" s="17">
        <f si="26" t="shared"/>
        <v>0.34572205378712578</v>
      </c>
    </row>
    <row r="27" spans="1:39" x14ac:dyDescent="0.25">
      <c r="A27" s="3" t="s">
        <v>8</v>
      </c>
      <c r="B27" s="17">
        <f ref="B27:G27" si="29" t="shared">B18/$G$20</f>
        <v>2.5285614754571952E-3</v>
      </c>
      <c r="C27" s="17">
        <f si="29" t="shared"/>
        <v>4.4275211989098402E-2</v>
      </c>
      <c r="D27" s="17">
        <f si="29" t="shared"/>
        <v>0.10697336382667723</v>
      </c>
      <c r="E27" s="17">
        <f si="29" t="shared"/>
        <v>2.8716744846454402E-2</v>
      </c>
      <c r="F27" s="17">
        <f si="29" t="shared"/>
        <v>1.0223061989033659E-2</v>
      </c>
      <c r="G27" s="17">
        <f si="29" t="shared"/>
        <v>0.19271694412672091</v>
      </c>
      <c r="I27" s="3" t="s">
        <v>8</v>
      </c>
      <c r="J27" s="17">
        <f ref="J27:O27" si="30" t="shared">J18/$O$20</f>
        <v>3.225313628010771E-3</v>
      </c>
      <c r="K27" s="17">
        <f si="30" t="shared"/>
        <v>5.6728099087139716E-2</v>
      </c>
      <c r="L27" s="17">
        <f si="30" t="shared"/>
        <v>9.6260465295658487E-2</v>
      </c>
      <c r="M27" s="17">
        <f si="30" t="shared"/>
        <v>2.841305292742085E-2</v>
      </c>
      <c r="N27" s="17">
        <f si="30" t="shared"/>
        <v>8.0900131884911047E-3</v>
      </c>
      <c r="O27" s="17">
        <f si="30" t="shared"/>
        <v>0.19271694412672094</v>
      </c>
      <c r="Q27" s="3" t="s">
        <v>8</v>
      </c>
      <c r="R27" s="17">
        <f si="26" t="shared"/>
        <v>7.791857508903196E-4</v>
      </c>
      <c r="S27" s="17">
        <f si="26" t="shared"/>
        <v>3.7364287652736222E-2</v>
      </c>
      <c r="T27" s="17">
        <f si="26" t="shared"/>
        <v>9.179906997187938E-2</v>
      </c>
      <c r="U27" s="17">
        <f si="26" t="shared"/>
        <v>4.4193817460753515E-2</v>
      </c>
      <c r="V27" s="17">
        <f si="26" t="shared"/>
        <v>1.8580583290461469E-2</v>
      </c>
      <c r="W27" s="17">
        <f si="26" t="shared"/>
        <v>0.19271694412672091</v>
      </c>
    </row>
    <row r="28" spans="1:39" x14ac:dyDescent="0.25">
      <c r="A28" s="5" t="s">
        <v>9</v>
      </c>
      <c r="B28" s="18">
        <f ref="B28:G28" si="31" t="shared">B19/$G$20</f>
        <v>4.1592746901914261E-4</v>
      </c>
      <c r="C28" s="18">
        <f si="31" t="shared"/>
        <v>3.3499020159786258E-2</v>
      </c>
      <c r="D28" s="18">
        <f si="31" t="shared"/>
        <v>0.1548817450563672</v>
      </c>
      <c r="E28" s="18">
        <f si="31" t="shared"/>
        <v>9.1197532095989006E-2</v>
      </c>
      <c r="F28" s="18">
        <f si="31" t="shared"/>
        <v>3.5033238186703612E-2</v>
      </c>
      <c r="G28" s="18">
        <f si="31" t="shared"/>
        <v>0.31502746296786527</v>
      </c>
      <c r="I28" s="5" t="s">
        <v>9</v>
      </c>
      <c r="J28" s="18">
        <f ref="J28:O28" si="32" t="shared">J19/$O$20</f>
        <v>3.0328085088533433E-3</v>
      </c>
      <c r="K28" s="18">
        <f si="32" t="shared"/>
        <v>3.9621582036172623E-2</v>
      </c>
      <c r="L28" s="18">
        <f si="32" t="shared"/>
        <v>0.17337432622516594</v>
      </c>
      <c r="M28" s="18">
        <f si="32" t="shared"/>
        <v>7.0971031640733734E-2</v>
      </c>
      <c r="N28" s="18">
        <f si="32" t="shared"/>
        <v>2.8027714556939573E-2</v>
      </c>
      <c r="O28" s="18">
        <f si="32" t="shared"/>
        <v>0.31502746296786521</v>
      </c>
      <c r="Q28" s="5" t="s">
        <v>9</v>
      </c>
      <c r="R28" s="18">
        <f si="26" t="shared"/>
        <v>1.513418477690813E-3</v>
      </c>
      <c r="S28" s="18">
        <f si="26" t="shared"/>
        <v>3.153371393560396E-2</v>
      </c>
      <c r="T28" s="18">
        <f si="26" t="shared"/>
        <v>0.14938888861140109</v>
      </c>
      <c r="U28" s="18">
        <f si="26" t="shared"/>
        <v>8.780990531561185E-2</v>
      </c>
      <c r="V28" s="18">
        <f si="26" t="shared"/>
        <v>4.4781536627557537E-2</v>
      </c>
      <c r="W28" s="18">
        <f si="26" t="shared"/>
        <v>0.31502746296786527</v>
      </c>
    </row>
    <row ht="15.75" r="29" spans="1:39" thickBot="1" x14ac:dyDescent="0.3">
      <c r="A29" s="7" t="s">
        <v>4</v>
      </c>
      <c r="B29" s="19">
        <f ref="B29:G29" si="33" t="shared">B20/$G$20</f>
        <v>6.526654108433122E-2</v>
      </c>
      <c r="C29" s="19">
        <f si="33" t="shared"/>
        <v>0.32802944181474247</v>
      </c>
      <c r="D29" s="19">
        <f si="33" t="shared"/>
        <v>0.39005567228149718</v>
      </c>
      <c r="E29" s="19">
        <f si="33" t="shared"/>
        <v>0.1577404589864865</v>
      </c>
      <c r="F29" s="19">
        <f si="33" t="shared"/>
        <v>5.890788583294259E-2</v>
      </c>
      <c r="G29" s="19">
        <f si="33" t="shared"/>
        <v>1</v>
      </c>
      <c r="I29" s="7" t="s">
        <v>4</v>
      </c>
      <c r="J29" s="19">
        <f ref="J29:O29" si="34" t="shared">J20/$O$20</f>
        <v>6.2914644547259091E-2</v>
      </c>
      <c r="K29" s="19">
        <f si="34" t="shared"/>
        <v>0.3526790094571034</v>
      </c>
      <c r="L29" s="19">
        <f si="34" t="shared"/>
        <v>0.41319164031307315</v>
      </c>
      <c r="M29" s="19">
        <f si="34" t="shared"/>
        <v>0.12684632395673734</v>
      </c>
      <c r="N29" s="19">
        <f si="34" t="shared"/>
        <v>4.4368381725827022E-2</v>
      </c>
      <c r="O29" s="19">
        <f si="34" t="shared"/>
        <v>1</v>
      </c>
      <c r="Q29" s="7" t="s">
        <v>4</v>
      </c>
      <c r="R29" s="19">
        <f si="26" t="shared"/>
        <v>4.473658360346771E-2</v>
      </c>
      <c r="S29" s="19">
        <f si="26" t="shared"/>
        <v>0.31787781768052387</v>
      </c>
      <c r="T29" s="19">
        <f si="26" t="shared"/>
        <v>0.37695441596864609</v>
      </c>
      <c r="U29" s="19">
        <f si="26" t="shared"/>
        <v>0.18128222673972366</v>
      </c>
      <c r="V29" s="19">
        <f si="26" t="shared"/>
        <v>7.9148956007638688E-2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>
        <f>R25-J25</f>
        <v>-6.6161484342902727E-3</v>
      </c>
      <c r="S34" s="17">
        <f ref="S34:W34" si="35" t="shared">S25-K25</f>
        <v>1.1315113945987984E-2</v>
      </c>
      <c r="T34" s="17">
        <f si="35" t="shared"/>
        <v>-4.509154797710694E-3</v>
      </c>
      <c r="U34" s="17">
        <f si="35" t="shared"/>
        <v>4.5633471844966573E-4</v>
      </c>
      <c r="V34" s="17">
        <f si="35" t="shared"/>
        <v>-6.4614543243668649E-4</v>
      </c>
      <c r="W34" s="17">
        <f si="35" t="shared"/>
        <v>0</v>
      </c>
    </row>
    <row r="35" spans="17:23" x14ac:dyDescent="0.25">
      <c r="Q35" s="3" t="s">
        <v>7</v>
      </c>
      <c r="R35" s="17">
        <f ref="R35:W38" si="36" t="shared">R26-J26</f>
        <v>-1.5796676224805802E-2</v>
      </c>
      <c r="S35" s="17">
        <f si="36" t="shared"/>
        <v>-2.4538534189320726E-2</v>
      </c>
      <c r="T35" s="17">
        <f si="36" t="shared"/>
        <v>5.9827930961600662E-3</v>
      </c>
      <c r="U35" s="17">
        <f si="36" t="shared"/>
        <v>2.4992004992480648E-2</v>
      </c>
      <c r="V35" s="17">
        <f si="36" t="shared"/>
        <v>9.3604123254858278E-3</v>
      </c>
      <c r="W35" s="17">
        <f si="36" t="shared"/>
        <v>0</v>
      </c>
    </row>
    <row r="36" spans="17:23" x14ac:dyDescent="0.25">
      <c r="Q36" s="3" t="s">
        <v>8</v>
      </c>
      <c r="R36" s="17">
        <f si="36" t="shared"/>
        <v>-2.4461278771204516E-3</v>
      </c>
      <c r="S36" s="17">
        <f si="36" t="shared"/>
        <v>-1.9363811434403494E-2</v>
      </c>
      <c r="T36" s="17">
        <f si="36" t="shared"/>
        <v>-4.4613953237791076E-3</v>
      </c>
      <c r="U36" s="17">
        <f si="36" t="shared"/>
        <v>1.5780764533332665E-2</v>
      </c>
      <c r="V36" s="17">
        <f si="36" t="shared"/>
        <v>1.0490570101970364E-2</v>
      </c>
      <c r="W36" s="17">
        <f si="36" t="shared"/>
        <v>0</v>
      </c>
    </row>
    <row r="37" spans="17:23" x14ac:dyDescent="0.25">
      <c r="Q37" s="5" t="s">
        <v>9</v>
      </c>
      <c r="R37" s="18">
        <f si="36" t="shared"/>
        <v>-1.5193900311625303E-3</v>
      </c>
      <c r="S37" s="18">
        <f si="36" t="shared"/>
        <v>-8.0878681005686626E-3</v>
      </c>
      <c r="T37" s="18">
        <f si="36" t="shared"/>
        <v>-2.3985437613764843E-2</v>
      </c>
      <c r="U37" s="18">
        <f si="36" t="shared"/>
        <v>1.6838873674878116E-2</v>
      </c>
      <c r="V37" s="18">
        <f si="36" t="shared"/>
        <v>1.6753822070617964E-2</v>
      </c>
      <c r="W37" s="18">
        <f si="36" t="shared"/>
        <v>0</v>
      </c>
    </row>
    <row ht="15.75" r="38" spans="17:23" thickBot="1" x14ac:dyDescent="0.3">
      <c r="Q38" s="7" t="s">
        <v>4</v>
      </c>
      <c r="R38" s="19">
        <f si="36" t="shared"/>
        <v>-1.8178060943791381E-2</v>
      </c>
      <c r="S38" s="19">
        <f si="36" t="shared"/>
        <v>-3.4801191776579532E-2</v>
      </c>
      <c r="T38" s="19">
        <f si="36" t="shared"/>
        <v>-3.6237224344427055E-2</v>
      </c>
      <c r="U38" s="19">
        <f si="36" t="shared"/>
        <v>5.4435902782986323E-2</v>
      </c>
      <c r="V38" s="19">
        <f si="36" t="shared"/>
        <v>3.4780574281811666E-2</v>
      </c>
      <c r="W38" s="19">
        <f si="36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tabSelected="1" topLeftCell="D7" workbookViewId="0">
      <selection activeCell="Y32" sqref="Y3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99077.446</v>
      </c>
      <c r="C6" s="4" t="n">
        <v>322825.4227</v>
      </c>
      <c r="D6" s="4" t="n">
        <v>43813.1862</v>
      </c>
      <c r="E6" s="4" t="n">
        <v>7593.2611</v>
      </c>
      <c r="F6" s="4" t="n">
        <v>4120.7077</v>
      </c>
      <c r="G6" s="4">
        <f>SUM(B6:F6)</f>
        <v>189183.94974639019</v>
      </c>
      <c r="I6" s="3">
        <v>1</v>
      </c>
      <c r="J6">
        <v>23835</v>
      </c>
      <c r="K6">
        <v>125435</v>
      </c>
      <c r="L6">
        <v>22995</v>
      </c>
      <c r="M6">
        <v>2445</v>
      </c>
      <c r="N6">
        <v>735</v>
      </c>
      <c r="O6" s="4">
        <v>175445</v>
      </c>
      <c r="Q6" s="3">
        <v>1</v>
      </c>
      <c r="R6" s="40" t="n">
        <v>83756.0</v>
      </c>
      <c r="S6" s="44" t="n">
        <v>328187.0</v>
      </c>
      <c r="T6" s="48" t="n">
        <v>41128.0</v>
      </c>
      <c r="U6" s="52" t="n">
        <v>9356.0</v>
      </c>
      <c r="V6" s="56" t="n">
        <v>4270.0</v>
      </c>
      <c r="W6" s="4">
        <f>SUM(R6:V6)</f>
        <v>203586</v>
      </c>
    </row>
    <row r="7" spans="1:39" x14ac:dyDescent="0.25">
      <c r="A7" s="3">
        <v>2</v>
      </c>
      <c r="B7" s="4" t="n">
        <v>25854.0162</v>
      </c>
      <c r="C7" s="4" t="n">
        <v>160502.5256</v>
      </c>
      <c r="D7" s="4" t="n">
        <v>448414.0012</v>
      </c>
      <c r="E7" s="4" t="n">
        <v>127888.8906</v>
      </c>
      <c r="F7" s="4" t="n">
        <v>44949.9495</v>
      </c>
      <c r="G7" s="4">
        <f ref="G7:G10" si="0" t="shared">SUM(B7:F7)</f>
        <v>313716.67577382911</v>
      </c>
      <c r="I7" s="3">
        <v>2</v>
      </c>
      <c r="J7">
        <v>7325</v>
      </c>
      <c r="K7">
        <v>51560</v>
      </c>
      <c r="L7">
        <v>168890</v>
      </c>
      <c r="M7">
        <v>32395</v>
      </c>
      <c r="N7">
        <v>6210</v>
      </c>
      <c r="O7" s="4">
        <v>266380</v>
      </c>
      <c r="Q7" s="3">
        <v>2</v>
      </c>
      <c r="R7" s="41" t="n">
        <v>21674.0</v>
      </c>
      <c r="S7" s="45" t="n">
        <v>129892.0</v>
      </c>
      <c r="T7" s="49" t="n">
        <v>421627.0</v>
      </c>
      <c r="U7" s="53" t="n">
        <v>122085.0</v>
      </c>
      <c r="V7" s="57" t="n">
        <v>40346.0</v>
      </c>
      <c r="W7" s="4">
        <f ref="W7:W10" si="1" t="shared">SUM(R7:V7)</f>
        <v>290690</v>
      </c>
    </row>
    <row r="8" spans="1:39" x14ac:dyDescent="0.25">
      <c r="A8" s="3">
        <v>3</v>
      </c>
      <c r="B8" s="4" t="n">
        <v>3601.2171</v>
      </c>
      <c r="C8" s="4" t="n">
        <v>15987.585000000001</v>
      </c>
      <c r="D8" s="4" t="n">
        <v>61860.2523</v>
      </c>
      <c r="E8" s="4" t="n">
        <v>56178.9126</v>
      </c>
      <c r="F8" s="4" t="n">
        <v>36022.1079</v>
      </c>
      <c r="G8" s="4">
        <f si="0" t="shared"/>
        <v>58462.91674770262</v>
      </c>
      <c r="I8" s="3">
        <v>3</v>
      </c>
      <c r="J8">
        <v>1520</v>
      </c>
      <c r="K8">
        <v>8235</v>
      </c>
      <c r="L8">
        <v>21750</v>
      </c>
      <c r="M8">
        <v>25910</v>
      </c>
      <c r="N8">
        <v>7240</v>
      </c>
      <c r="O8" s="4">
        <v>64655</v>
      </c>
      <c r="Q8" s="3">
        <v>3</v>
      </c>
      <c r="R8" s="42" t="n">
        <v>4134.0</v>
      </c>
      <c r="S8" s="46" t="n">
        <v>17075.0</v>
      </c>
      <c r="T8" s="50" t="n">
        <v>76594.0</v>
      </c>
      <c r="U8" s="54" t="n">
        <v>74634.0</v>
      </c>
      <c r="V8" s="58" t="n">
        <v>26677.0</v>
      </c>
      <c r="W8" s="4">
        <f si="1" t="shared"/>
        <v>73315</v>
      </c>
    </row>
    <row r="9" spans="1:39" x14ac:dyDescent="0.25">
      <c r="A9" s="5" t="s">
        <v>3</v>
      </c>
      <c r="B9" s="4" t="n">
        <v>606.4551</v>
      </c>
      <c r="C9" s="4" t="n">
        <v>2382.4917</v>
      </c>
      <c r="D9" s="4" t="n">
        <v>16309.3051</v>
      </c>
      <c r="E9" s="4" t="n">
        <v>27357.1602</v>
      </c>
      <c r="F9" s="4" t="n">
        <v>24974.0684</v>
      </c>
      <c r="G9" s="6">
        <f si="0" t="shared"/>
        <v>23974.384965341669</v>
      </c>
      <c r="I9" s="5" t="s">
        <v>3</v>
      </c>
      <c r="J9" s="80">
        <v>660</v>
      </c>
      <c r="K9" s="80">
        <v>1680</v>
      </c>
      <c r="L9" s="80">
        <v>5340</v>
      </c>
      <c r="M9" s="80">
        <v>6475</v>
      </c>
      <c r="N9" s="80">
        <v>9340</v>
      </c>
      <c r="O9" s="6">
        <v>23495</v>
      </c>
      <c r="Q9" s="5" t="s">
        <v>3</v>
      </c>
      <c r="R9" s="43" t="n">
        <v>507.0</v>
      </c>
      <c r="S9" s="47" t="n">
        <v>2703.0</v>
      </c>
      <c r="T9" s="51" t="n">
        <v>27050.0</v>
      </c>
      <c r="U9" s="55" t="n">
        <v>38409.0</v>
      </c>
      <c r="V9" s="59" t="n">
        <v>36516.0</v>
      </c>
      <c r="W9" s="6">
        <f si="1" t="shared"/>
        <v>32974</v>
      </c>
    </row>
    <row ht="15.75" r="10" spans="1:39" thickBot="1" x14ac:dyDescent="0.3">
      <c r="A10" s="7" t="s">
        <v>4</v>
      </c>
      <c r="B10" s="8">
        <f>SUM(B6:B9)</f>
        <v>36047.381920262276</v>
      </c>
      <c r="C10" s="8">
        <f ref="C10:F10" si="2" t="shared">SUM(C6:C9)</f>
        <v>189726.04493204484</v>
      </c>
      <c r="D10" s="8">
        <f si="2" t="shared"/>
        <v>230783.14301440321</v>
      </c>
      <c r="E10" s="8">
        <f si="2" t="shared"/>
        <v>93673.789121236972</v>
      </c>
      <c r="F10" s="8">
        <f si="2" t="shared"/>
        <v>35107.568245316361</v>
      </c>
      <c r="G10" s="8">
        <f si="0" t="shared"/>
        <v>585337.92723326373</v>
      </c>
      <c r="I10" s="7" t="s">
        <v>4</v>
      </c>
      <c r="J10" s="8">
        <v>33340</v>
      </c>
      <c r="K10" s="8">
        <v>186910</v>
      </c>
      <c r="L10" s="8">
        <v>218975</v>
      </c>
      <c r="M10" s="8">
        <v>67225</v>
      </c>
      <c r="N10" s="8">
        <v>23525</v>
      </c>
      <c r="O10" s="8">
        <v>529975</v>
      </c>
      <c r="Q10" s="7" t="s">
        <v>4</v>
      </c>
      <c r="R10" s="8">
        <f>SUM(R6:R9)</f>
        <v>26827</v>
      </c>
      <c r="S10" s="8">
        <f ref="S10" si="3" t="shared">SUM(S6:S9)</f>
        <v>190920</v>
      </c>
      <c r="T10" s="8">
        <f ref="T10" si="4" t="shared">SUM(T6:T9)</f>
        <v>226404</v>
      </c>
      <c r="U10" s="8">
        <f ref="U10" si="5" t="shared">SUM(U6:U9)</f>
        <v>108875</v>
      </c>
      <c r="V10" s="8">
        <f ref="V10" si="6" t="shared">SUM(V6:V9)</f>
        <v>47539</v>
      </c>
      <c r="W10" s="8">
        <f si="1" t="shared"/>
        <v>600565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33345.05203516347</v>
      </c>
      <c r="C16" s="4">
        <f ref="C16:F16" si="7" t="shared">($W6/$G6)*C6</f>
        <v>145233.36778845458</v>
      </c>
      <c r="D16" s="4">
        <f si="7" t="shared"/>
        <v>20432.509501777815</v>
      </c>
      <c r="E16" s="4">
        <f si="7" t="shared"/>
        <v>3264.84888142815</v>
      </c>
      <c r="F16" s="4">
        <f si="7" t="shared"/>
        <v>1310.2217931760199</v>
      </c>
      <c r="G16" s="4">
        <f>($W6/$G6)*G6</f>
        <v>203586</v>
      </c>
      <c r="I16" s="3">
        <v>1</v>
      </c>
      <c r="J16" s="4">
        <f>($W6/$O6)*J6</f>
        <v>27658.082646983388</v>
      </c>
      <c r="K16" s="4">
        <f ref="K16:O16" si="8" t="shared">($W6/$O6)*K6</f>
        <v>145554.50374761323</v>
      </c>
      <c r="L16" s="4">
        <f si="8" t="shared"/>
        <v>26683.348456781328</v>
      </c>
      <c r="M16" s="4">
        <f si="8" t="shared"/>
        <v>2837.1727321952749</v>
      </c>
      <c r="N16" s="4">
        <f si="8" t="shared"/>
        <v>852.89241642680054</v>
      </c>
      <c r="O16" s="4">
        <f si="8" t="shared"/>
        <v>203586</v>
      </c>
      <c r="Q16" s="3">
        <v>1</v>
      </c>
      <c r="R16" s="4">
        <f>R6</f>
        <v>24592</v>
      </c>
      <c r="S16" s="4">
        <f ref="S16:V16" si="9" t="shared">S6</f>
        <v>154099</v>
      </c>
      <c r="T16" s="4">
        <f si="9" t="shared"/>
        <v>21412</v>
      </c>
      <c r="U16" s="4">
        <f si="9" t="shared"/>
        <v>3482</v>
      </c>
      <c r="V16" s="4">
        <f si="9" t="shared"/>
        <v>1</v>
      </c>
      <c r="W16" s="4">
        <f>SUM(R16:V16)</f>
        <v>203586</v>
      </c>
      <c r="Y16" s="3">
        <v>1</v>
      </c>
      <c r="Z16" s="4">
        <f>R16-J16</f>
        <v>-3066.0826469833883</v>
      </c>
      <c r="AA16" s="4">
        <f ref="AA16:AA20" si="10" t="shared">S16-K16</f>
        <v>8544.4962523867725</v>
      </c>
      <c r="AB16" s="4">
        <f ref="AB16:AB20" si="11" t="shared">T16-L16</f>
        <v>-5271.3484567813284</v>
      </c>
      <c r="AC16" s="4">
        <f ref="AC16:AC20" si="12" t="shared">U16-M16</f>
        <v>644.82726780472512</v>
      </c>
      <c r="AD16" s="4">
        <f ref="AD16:AD20" si="13" t="shared">V16-N16</f>
        <v>-851.89241642680054</v>
      </c>
      <c r="AE16" s="4">
        <f ref="AE16:AE19" si="14" t="shared">W16-O16</f>
        <v>0</v>
      </c>
      <c r="AG16" s="3">
        <v>1</v>
      </c>
      <c r="AH16" s="17">
        <f>Z16/J16</f>
        <v>-0.11085665937576478</v>
      </c>
      <c r="AI16" s="17">
        <f ref="AI16:AI20" si="15" t="shared">AA16/K16</f>
        <v>5.8703070206626178E-2</v>
      </c>
      <c r="AJ16" s="17">
        <f ref="AJ16:AJ20" si="16" t="shared">AB16/L16</f>
        <v>-0.19755198510109265</v>
      </c>
      <c r="AK16" s="17">
        <f ref="AK16:AK20" si="17" t="shared">AC16/M16</f>
        <v>0.22727811404904741</v>
      </c>
      <c r="AL16" s="17">
        <f ref="AL16:AL20" si="18" t="shared">AD16/N16</f>
        <v>-0.99882751917974655</v>
      </c>
      <c r="AM16" s="17">
        <f ref="AM16:AM20" si="19" t="shared">AE16/O16</f>
        <v>0</v>
      </c>
    </row>
    <row r="17" spans="1:39" x14ac:dyDescent="0.25">
      <c r="A17" s="3">
        <v>2</v>
      </c>
      <c r="B17" s="4">
        <f ref="B17:G17" si="20" t="shared">($W7/$G7)*B7</f>
        <v>3998.9881452220425</v>
      </c>
      <c r="C17" s="4">
        <f si="20" t="shared"/>
        <v>44258.017274007405</v>
      </c>
      <c r="D17" s="4">
        <f si="20" t="shared"/>
        <v>180426.94136427419</v>
      </c>
      <c r="E17" s="4">
        <f si="20" t="shared"/>
        <v>46797.188050055986</v>
      </c>
      <c r="F17" s="4">
        <f si="20" t="shared"/>
        <v>15208.865166440402</v>
      </c>
      <c r="G17" s="4">
        <f si="20" t="shared"/>
        <v>290690</v>
      </c>
      <c r="I17" s="3">
        <v>2</v>
      </c>
      <c r="J17" s="4">
        <f ref="J17:O17" si="21" t="shared">($W7/$O7)*J7</f>
        <v>7993.4839327276832</v>
      </c>
      <c r="K17" s="4">
        <f si="21" t="shared"/>
        <v>56265.396801561685</v>
      </c>
      <c r="L17" s="4">
        <f si="21" t="shared"/>
        <v>184303.00360387418</v>
      </c>
      <c r="M17" s="4">
        <f si="21" t="shared"/>
        <v>35351.387303851647</v>
      </c>
      <c r="N17" s="4">
        <f si="21" t="shared"/>
        <v>6776.7283579848345</v>
      </c>
      <c r="O17" s="4">
        <f si="21" t="shared"/>
        <v>290690</v>
      </c>
      <c r="Q17" s="3">
        <v>2</v>
      </c>
      <c r="R17" s="4">
        <f ref="R17:V17" si="22" t="shared">R7</f>
        <v>1950</v>
      </c>
      <c r="S17" s="4">
        <f si="22" t="shared"/>
        <v>30247</v>
      </c>
      <c r="T17" s="4">
        <f si="22" t="shared"/>
        <v>192055</v>
      </c>
      <c r="U17" s="4">
        <f si="22" t="shared"/>
        <v>50270</v>
      </c>
      <c r="V17" s="4">
        <f si="22" t="shared"/>
        <v>16168</v>
      </c>
      <c r="W17" s="4">
        <f ref="W17:W20" si="23" t="shared">SUM(R17:V17)</f>
        <v>290690</v>
      </c>
      <c r="Y17" s="3">
        <v>2</v>
      </c>
      <c r="Z17" s="4">
        <f ref="Z17:Z20" si="24" t="shared">R17-J17</f>
        <v>-6043.4839327276832</v>
      </c>
      <c r="AA17" s="4">
        <f si="10" t="shared"/>
        <v>-26018.396801561685</v>
      </c>
      <c r="AB17" s="4">
        <f si="11" t="shared"/>
        <v>7751.9963961258181</v>
      </c>
      <c r="AC17" s="4">
        <f si="12" t="shared"/>
        <v>14918.612696148353</v>
      </c>
      <c r="AD17" s="4">
        <f si="13" t="shared"/>
        <v>9391.2716420151664</v>
      </c>
      <c r="AE17" s="4">
        <f si="14" t="shared"/>
        <v>0</v>
      </c>
      <c r="AG17" s="3">
        <v>2</v>
      </c>
      <c r="AH17" s="17">
        <f ref="AH17:AH20" si="25" t="shared">Z17/J17</f>
        <v>-0.75605130173388801</v>
      </c>
      <c r="AI17" s="17">
        <f si="15" t="shared"/>
        <v>-0.46242270170641586</v>
      </c>
      <c r="AJ17" s="17">
        <f si="16" t="shared"/>
        <v>4.2061150629901428E-2</v>
      </c>
      <c r="AK17" s="17">
        <f si="17" t="shared"/>
        <v>0.42200925717342136</v>
      </c>
      <c r="AL17" s="17">
        <f si="18" t="shared"/>
        <v>1.3858120240203649</v>
      </c>
      <c r="AM17" s="17">
        <f si="19" t="shared"/>
        <v>0</v>
      </c>
    </row>
    <row r="18" spans="1:39" x14ac:dyDescent="0.25">
      <c r="A18" s="3">
        <v>3</v>
      </c>
      <c r="B18" s="4">
        <f ref="B18:G18" si="26" t="shared">($W8/$G8)*B8</f>
        <v>803.50778008884345</v>
      </c>
      <c r="C18" s="4">
        <f si="26" t="shared"/>
        <v>5153.7050978061798</v>
      </c>
      <c r="D18" s="4">
        <f si="26" t="shared"/>
        <v>17715.990996394488</v>
      </c>
      <c r="E18" s="4">
        <f si="26" t="shared"/>
        <v>37341.525259616596</v>
      </c>
      <c r="F18" s="4">
        <f si="26" t="shared"/>
        <v>12300.270866093902</v>
      </c>
      <c r="G18" s="4">
        <f si="26" t="shared"/>
        <v>73315</v>
      </c>
      <c r="I18" s="3">
        <v>3</v>
      </c>
      <c r="J18" s="4">
        <f ref="J18:O18" si="27" t="shared">($W8/$O8)*J8</f>
        <v>1723.5913695769857</v>
      </c>
      <c r="K18" s="4">
        <f si="27" t="shared"/>
        <v>9338.0098213595247</v>
      </c>
      <c r="L18" s="4">
        <f si="27" t="shared"/>
        <v>24663.23176861805</v>
      </c>
      <c r="M18" s="4">
        <f si="27" t="shared"/>
        <v>29380.42920114454</v>
      </c>
      <c r="N18" s="4">
        <f si="27" t="shared"/>
        <v>8209.7378393009058</v>
      </c>
      <c r="O18" s="4">
        <f si="27" t="shared"/>
        <v>73315</v>
      </c>
      <c r="Q18" s="3">
        <v>3</v>
      </c>
      <c r="R18" s="4">
        <f ref="R18:V18" si="28" t="shared">R8</f>
        <v>233</v>
      </c>
      <c r="S18" s="4">
        <f si="28" t="shared"/>
        <v>3486</v>
      </c>
      <c r="T18" s="4">
        <f si="28" t="shared"/>
        <v>9936</v>
      </c>
      <c r="U18" s="4">
        <f si="28" t="shared"/>
        <v>45115</v>
      </c>
      <c r="V18" s="4">
        <f si="28" t="shared"/>
        <v>14545</v>
      </c>
      <c r="W18" s="4">
        <f si="23" t="shared"/>
        <v>73315</v>
      </c>
      <c r="Y18" s="3">
        <v>3</v>
      </c>
      <c r="Z18" s="4">
        <f si="24" t="shared"/>
        <v>-1490.5913695769857</v>
      </c>
      <c r="AA18" s="4">
        <f si="10" t="shared"/>
        <v>-5852.0098213595247</v>
      </c>
      <c r="AB18" s="4">
        <f si="11" t="shared"/>
        <v>-14727.23176861805</v>
      </c>
      <c r="AC18" s="4">
        <f si="12" t="shared"/>
        <v>15734.57079885546</v>
      </c>
      <c r="AD18" s="4">
        <f si="13" t="shared"/>
        <v>6335.2621606990942</v>
      </c>
      <c r="AE18" s="4">
        <f si="14" t="shared"/>
        <v>0</v>
      </c>
      <c r="AG18" s="3">
        <v>3</v>
      </c>
      <c r="AH18" s="17">
        <f si="25" t="shared"/>
        <v>-0.86481714627221395</v>
      </c>
      <c r="AI18" s="17">
        <f si="15" t="shared"/>
        <v>-0.62668704930827845</v>
      </c>
      <c r="AJ18" s="17">
        <f si="16" t="shared"/>
        <v>-0.59713308891486194</v>
      </c>
      <c r="AK18" s="17">
        <f si="17" t="shared"/>
        <v>0.53554598168506362</v>
      </c>
      <c r="AL18" s="17">
        <f si="18" t="shared"/>
        <v>0.77167654859470747</v>
      </c>
      <c r="AM18" s="17">
        <f si="19" t="shared"/>
        <v>0</v>
      </c>
    </row>
    <row r="19" spans="1:39" x14ac:dyDescent="0.25">
      <c r="A19" s="5" t="s">
        <v>3</v>
      </c>
      <c r="B19" s="4">
        <f ref="B19:G19" si="29" t="shared">($W9/$G9)*B9</f>
        <v>144.03467708523084</v>
      </c>
      <c r="C19" s="4">
        <f si="29" t="shared"/>
        <v>3979.2852547539965</v>
      </c>
      <c r="D19" s="4">
        <f si="29" t="shared"/>
        <v>4056.9851896163477</v>
      </c>
      <c r="E19" s="4">
        <f si="29" t="shared"/>
        <v>14247.352593640147</v>
      </c>
      <c r="F19" s="4">
        <f si="29" t="shared"/>
        <v>10546.342284904282</v>
      </c>
      <c r="G19" s="6">
        <f si="29" t="shared"/>
        <v>32974</v>
      </c>
      <c r="I19" s="5" t="s">
        <v>3</v>
      </c>
      <c r="J19" s="6">
        <f ref="J19:O19" si="30" t="shared">($W9/$O9)*J9</f>
        <v>926.2753777399447</v>
      </c>
      <c r="K19" s="6">
        <f si="30" t="shared"/>
        <v>2357.7918706107685</v>
      </c>
      <c r="L19" s="6">
        <f si="30" t="shared"/>
        <v>7494.4098744413704</v>
      </c>
      <c r="M19" s="6">
        <f si="30" t="shared"/>
        <v>9087.322834645669</v>
      </c>
      <c r="N19" s="6">
        <f si="30" t="shared"/>
        <v>13108.200042562248</v>
      </c>
      <c r="O19" s="6">
        <f si="30" t="shared"/>
        <v>32974</v>
      </c>
      <c r="Q19" s="5" t="s">
        <v>3</v>
      </c>
      <c r="R19" s="4">
        <f ref="R19:V19" si="31" t="shared">R9</f>
        <v>52</v>
      </c>
      <c r="S19" s="4">
        <f si="31" t="shared"/>
        <v>3088</v>
      </c>
      <c r="T19" s="4">
        <f si="31" t="shared"/>
        <v>3001</v>
      </c>
      <c r="U19" s="4">
        <f si="31" t="shared"/>
        <v>10008</v>
      </c>
      <c r="V19" s="4">
        <f si="31" t="shared"/>
        <v>16825</v>
      </c>
      <c r="W19" s="6">
        <f si="23" t="shared"/>
        <v>32974</v>
      </c>
      <c r="Y19" s="5" t="s">
        <v>3</v>
      </c>
      <c r="Z19" s="4">
        <f si="24" t="shared"/>
        <v>-874.2753777399447</v>
      </c>
      <c r="AA19" s="4">
        <f si="10" t="shared"/>
        <v>730.20812938923154</v>
      </c>
      <c r="AB19" s="4">
        <f si="11" t="shared"/>
        <v>-4493.4098744413704</v>
      </c>
      <c r="AC19" s="4">
        <f si="12" t="shared"/>
        <v>920.67716535433101</v>
      </c>
      <c r="AD19" s="4">
        <f si="13" t="shared"/>
        <v>3716.7999574377518</v>
      </c>
      <c r="AE19" s="6">
        <f si="14" t="shared"/>
        <v>0</v>
      </c>
      <c r="AG19" s="5" t="s">
        <v>3</v>
      </c>
      <c r="AH19" s="17">
        <f si="25" t="shared"/>
        <v>-0.94386118723475432</v>
      </c>
      <c r="AI19" s="17">
        <f si="15" t="shared"/>
        <v>0.30969999451227076</v>
      </c>
      <c r="AJ19" s="17">
        <f si="16" t="shared"/>
        <v>-0.59956820479828732</v>
      </c>
      <c r="AK19" s="17">
        <f si="17" t="shared"/>
        <v>0.10131445554506151</v>
      </c>
      <c r="AL19" s="17">
        <f si="18" t="shared"/>
        <v>0.28354769879688474</v>
      </c>
      <c r="AM19" s="18">
        <f si="19" t="shared"/>
        <v>0</v>
      </c>
    </row>
    <row ht="15.75" r="20" spans="1:39" thickBot="1" x14ac:dyDescent="0.3">
      <c r="A20" s="7" t="s">
        <v>4</v>
      </c>
      <c r="B20" s="8">
        <f>SUM(B16:B19)</f>
        <v>38291.582637559593</v>
      </c>
      <c r="C20" s="8">
        <f ref="C20:G20" si="32" t="shared">SUM(C16:C19)</f>
        <v>198624.37541502216</v>
      </c>
      <c r="D20" s="8">
        <f si="32" t="shared"/>
        <v>222632.42705206285</v>
      </c>
      <c r="E20" s="8">
        <f si="32" t="shared"/>
        <v>101650.91478474087</v>
      </c>
      <c r="F20" s="8">
        <f si="32" t="shared"/>
        <v>39365.700110614605</v>
      </c>
      <c r="G20" s="8">
        <f si="32" t="shared"/>
        <v>600565</v>
      </c>
      <c r="I20" s="7" t="s">
        <v>4</v>
      </c>
      <c r="J20" s="8">
        <f ref="J20:O20" si="33" t="shared">($W10/$O10)*J10</f>
        <v>37780.720033963866</v>
      </c>
      <c r="K20" s="8">
        <f si="33" t="shared"/>
        <v>211805.47035237512</v>
      </c>
      <c r="L20" s="8">
        <f si="33" t="shared"/>
        <v>248141.36680975519</v>
      </c>
      <c r="M20" s="8">
        <f si="33" t="shared"/>
        <v>76179.031322232186</v>
      </c>
      <c r="N20" s="8">
        <f si="33" t="shared"/>
        <v>26658.411481673666</v>
      </c>
      <c r="O20" s="8">
        <f si="33" t="shared"/>
        <v>600565</v>
      </c>
      <c r="Q20" s="7" t="s">
        <v>4</v>
      </c>
      <c r="R20" s="8">
        <f>SUM(R16:R19)</f>
        <v>26827</v>
      </c>
      <c r="S20" s="8">
        <f ref="S20:V20" si="34" t="shared">SUM(S16:S19)</f>
        <v>190920</v>
      </c>
      <c r="T20" s="8">
        <f si="34" t="shared"/>
        <v>226404</v>
      </c>
      <c r="U20" s="8">
        <f si="34" t="shared"/>
        <v>108875</v>
      </c>
      <c r="V20" s="8">
        <f si="34" t="shared"/>
        <v>47539</v>
      </c>
      <c r="W20" s="8">
        <f si="23" t="shared"/>
        <v>600565</v>
      </c>
      <c r="Y20" s="7" t="s">
        <v>4</v>
      </c>
      <c r="Z20" s="8">
        <f si="24" t="shared"/>
        <v>-10953.720033963866</v>
      </c>
      <c r="AA20" s="8">
        <f si="10" t="shared"/>
        <v>-20885.470352375123</v>
      </c>
      <c r="AB20" s="8">
        <f si="11" t="shared"/>
        <v>-21737.366809755185</v>
      </c>
      <c r="AC20" s="8">
        <f si="12" t="shared"/>
        <v>32695.968677767814</v>
      </c>
      <c r="AD20" s="8">
        <f si="13" t="shared"/>
        <v>20880.588518326334</v>
      </c>
      <c r="AE20" s="8">
        <f>W20-O20</f>
        <v>0</v>
      </c>
      <c r="AG20" s="7" t="s">
        <v>4</v>
      </c>
      <c r="AH20" s="19">
        <f si="25" t="shared"/>
        <v>-0.28992883206346415</v>
      </c>
      <c r="AI20" s="19">
        <f si="15" t="shared"/>
        <v>-9.8606850510652641E-2</v>
      </c>
      <c r="AJ20" s="19">
        <f si="16" t="shared"/>
        <v>-8.760073779403646E-2</v>
      </c>
      <c r="AK20" s="19">
        <f si="17" t="shared"/>
        <v>0.42919906055862095</v>
      </c>
      <c r="AL20" s="19">
        <f si="18" t="shared"/>
        <v>0.78326454420139413</v>
      </c>
      <c r="AM20" s="19">
        <f si="19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5.5522802752680345E-2</v>
      </c>
      <c r="C25" s="17">
        <f ref="C25:G25" si="35" t="shared">C16/$G$20</f>
        <v>0.24182789171605834</v>
      </c>
      <c r="D25" s="17">
        <f si="35" t="shared"/>
        <v>3.4022144983103936E-2</v>
      </c>
      <c r="E25" s="17">
        <f si="35" t="shared"/>
        <v>5.4362956240009827E-3</v>
      </c>
      <c r="F25" s="17">
        <f si="35" t="shared"/>
        <v>2.1816486028590075E-3</v>
      </c>
      <c r="G25" s="17">
        <f si="35" t="shared"/>
        <v>0.33899078367870256</v>
      </c>
      <c r="I25" s="3">
        <v>1</v>
      </c>
      <c r="J25" s="17">
        <f>J16/$O$20</f>
        <v>4.6053437424730691E-2</v>
      </c>
      <c r="K25" s="17">
        <f ref="K25:O25" si="36" t="shared">K16/$O$20</f>
        <v>0.24236261478376733</v>
      </c>
      <c r="L25" s="17">
        <f si="36" t="shared"/>
        <v>4.4430408793022118E-2</v>
      </c>
      <c r="M25" s="17">
        <f si="36" t="shared"/>
        <v>4.7241726244374458E-3</v>
      </c>
      <c r="N25" s="17">
        <f si="36" t="shared"/>
        <v>1.4201500527449994E-3</v>
      </c>
      <c r="O25" s="17">
        <f si="36" t="shared"/>
        <v>0.33899078367870256</v>
      </c>
      <c r="Q25" s="3">
        <v>1</v>
      </c>
      <c r="R25" s="17">
        <f>R6/$W$10</f>
        <v>4.0948107199054222E-2</v>
      </c>
      <c r="S25" s="17">
        <f ref="S25:W25" si="37" t="shared">S6/$W$10</f>
        <v>0.25659004437488031</v>
      </c>
      <c r="T25" s="17">
        <f si="37" t="shared"/>
        <v>3.5653093337107554E-2</v>
      </c>
      <c r="U25" s="17">
        <f si="37" t="shared"/>
        <v>5.7978736689617274E-3</v>
      </c>
      <c r="V25" s="17">
        <f si="37" t="shared"/>
        <v>1.6650986987253669E-6</v>
      </c>
      <c r="W25" s="17">
        <f si="37" t="shared"/>
        <v>0.33899078367870256</v>
      </c>
    </row>
    <row r="26" spans="1:39" x14ac:dyDescent="0.25">
      <c r="A26" s="3">
        <v>2</v>
      </c>
      <c r="B26" s="17">
        <f ref="B26:G26" si="38" t="shared">B17/$G$20</f>
        <v>6.6587099568273913E-3</v>
      </c>
      <c r="C26" s="17">
        <f si="38" t="shared"/>
        <v>7.3693966971114536E-2</v>
      </c>
      <c r="D26" s="17">
        <f si="38" t="shared"/>
        <v>0.30042866528065104</v>
      </c>
      <c r="E26" s="17">
        <f si="38" t="shared"/>
        <v>7.7921936926154511E-2</v>
      </c>
      <c r="F26" s="17">
        <f si="38" t="shared"/>
        <v>2.5324261597729474E-2</v>
      </c>
      <c r="G26" s="17">
        <f si="38" t="shared"/>
        <v>0.48402754073247689</v>
      </c>
      <c r="I26" s="3">
        <v>2</v>
      </c>
      <c r="J26" s="17">
        <f ref="J26:O26" si="39" t="shared">J17/$O$20</f>
        <v>1.3309939694666994E-2</v>
      </c>
      <c r="K26" s="17">
        <f si="39" t="shared"/>
        <v>9.3687438997546779E-2</v>
      </c>
      <c r="L26" s="17">
        <f si="39" t="shared"/>
        <v>0.30688269147198749</v>
      </c>
      <c r="M26" s="17">
        <f si="39" t="shared"/>
        <v>5.8863548997779833E-2</v>
      </c>
      <c r="N26" s="17">
        <f si="39" t="shared"/>
        <v>1.128392157049584E-2</v>
      </c>
      <c r="O26" s="17">
        <f si="39" t="shared"/>
        <v>0.48402754073247689</v>
      </c>
      <c r="Q26" s="3">
        <v>2</v>
      </c>
      <c r="R26" s="17">
        <f ref="R26:W26" si="40" t="shared">R7/$W$10</f>
        <v>3.2469424625144656E-3</v>
      </c>
      <c r="S26" s="17">
        <f si="40" t="shared"/>
        <v>5.0364240340346172E-2</v>
      </c>
      <c r="T26" s="17">
        <f si="40" t="shared"/>
        <v>0.31979053058370033</v>
      </c>
      <c r="U26" s="17">
        <f si="40" t="shared"/>
        <v>8.3704511584924202E-2</v>
      </c>
      <c r="V26" s="17">
        <f si="40" t="shared"/>
        <v>2.6921315760991733E-2</v>
      </c>
      <c r="W26" s="17">
        <f si="40" t="shared"/>
        <v>0.48402754073247689</v>
      </c>
    </row>
    <row r="27" spans="1:39" x14ac:dyDescent="0.25">
      <c r="A27" s="3">
        <v>3</v>
      </c>
      <c r="B27" s="17">
        <f ref="B27:G27" si="41" t="shared">B18/$G$20</f>
        <v>1.3379197590416415E-3</v>
      </c>
      <c r="C27" s="17">
        <f si="41" t="shared"/>
        <v>8.5814276519713597E-3</v>
      </c>
      <c r="D27" s="17">
        <f si="41" t="shared"/>
        <v>2.949887355472678E-2</v>
      </c>
      <c r="E27" s="17">
        <f si="41" t="shared"/>
        <v>6.2177325118208011E-2</v>
      </c>
      <c r="F27" s="17">
        <f si="41" t="shared"/>
        <v>2.0481165013102501E-2</v>
      </c>
      <c r="G27" s="17">
        <f si="41" t="shared"/>
        <v>0.12207671109705028</v>
      </c>
      <c r="I27" s="3">
        <v>3</v>
      </c>
      <c r="J27" s="17">
        <f ref="J27:O27" si="42" t="shared">J18/$O$20</f>
        <v>2.8699497466169121E-3</v>
      </c>
      <c r="K27" s="17">
        <f si="42" t="shared"/>
        <v>1.5548708002230441E-2</v>
      </c>
      <c r="L27" s="17">
        <f si="42" t="shared"/>
        <v>4.1066715124288049E-2</v>
      </c>
      <c r="M27" s="17">
        <f si="42" t="shared"/>
        <v>4.8921314430818548E-2</v>
      </c>
      <c r="N27" s="17">
        <f si="42" t="shared"/>
        <v>1.3670023793096344E-2</v>
      </c>
      <c r="O27" s="17">
        <f si="42" t="shared"/>
        <v>0.12207671109705028</v>
      </c>
      <c r="Q27" s="3">
        <v>3</v>
      </c>
      <c r="R27" s="17">
        <f ref="R27:W27" si="43" t="shared">R8/$W$10</f>
        <v>3.8796799680301049E-4</v>
      </c>
      <c r="S27" s="17">
        <f si="43" t="shared"/>
        <v>5.8045340637566294E-3</v>
      </c>
      <c r="T27" s="17">
        <f si="43" t="shared"/>
        <v>1.6544420670535246E-2</v>
      </c>
      <c r="U27" s="17">
        <f si="43" t="shared"/>
        <v>7.5120927792994924E-2</v>
      </c>
      <c r="V27" s="17">
        <f si="43" t="shared"/>
        <v>2.4218860572960462E-2</v>
      </c>
      <c r="W27" s="17">
        <f si="43" t="shared"/>
        <v>0.12207671109705028</v>
      </c>
    </row>
    <row r="28" spans="1:39" x14ac:dyDescent="0.25">
      <c r="A28" s="5" t="s">
        <v>3</v>
      </c>
      <c r="B28" s="18">
        <f ref="B28:G28" si="44" t="shared">B19/$G$20</f>
        <v>2.3983195338594631E-4</v>
      </c>
      <c r="C28" s="18">
        <f si="44" t="shared"/>
        <v>6.6259026995479199E-3</v>
      </c>
      <c r="D28" s="18">
        <f si="44" t="shared"/>
        <v>6.7552807599782667E-3</v>
      </c>
      <c r="E28" s="18">
        <f si="44" t="shared"/>
        <v>2.3723248263951693E-2</v>
      </c>
      <c r="F28" s="18">
        <f si="44" t="shared"/>
        <v>1.7560700814906433E-2</v>
      </c>
      <c r="G28" s="18">
        <f si="44" t="shared"/>
        <v>5.490496449177025E-2</v>
      </c>
      <c r="I28" s="5" t="s">
        <v>3</v>
      </c>
      <c r="J28" s="18">
        <f ref="J28:O28" si="45" t="shared">J19/$O$20</f>
        <v>1.5423399261361296E-3</v>
      </c>
      <c r="K28" s="18">
        <f si="45" t="shared"/>
        <v>3.9259561756192392E-3</v>
      </c>
      <c r="L28" s="18">
        <f si="45" t="shared"/>
        <v>1.2478932129646866E-2</v>
      </c>
      <c r="M28" s="18">
        <f si="45" t="shared"/>
        <v>1.5131289426865816E-2</v>
      </c>
      <c r="N28" s="18">
        <f si="45" t="shared"/>
        <v>2.1826446833502201E-2</v>
      </c>
      <c r="O28" s="18">
        <f si="45" t="shared"/>
        <v>5.490496449177025E-2</v>
      </c>
      <c r="Q28" s="5" t="s">
        <v>3</v>
      </c>
      <c r="R28" s="18">
        <f ref="R28:W28" si="46" t="shared">R9/$W$10</f>
        <v>8.6585132333719082E-5</v>
      </c>
      <c r="S28" s="18">
        <f si="46" t="shared"/>
        <v>5.1418247816639329E-3</v>
      </c>
      <c r="T28" s="18">
        <f si="46" t="shared"/>
        <v>4.9969611948748266E-3</v>
      </c>
      <c r="U28" s="18">
        <f si="46" t="shared"/>
        <v>1.6664307776843471E-2</v>
      </c>
      <c r="V28" s="18">
        <f si="46" t="shared"/>
        <v>2.8015285606054298E-2</v>
      </c>
      <c r="W28" s="18">
        <f si="46" t="shared"/>
        <v>5.490496449177025E-2</v>
      </c>
    </row>
    <row ht="15.75" r="29" spans="1:39" thickBot="1" x14ac:dyDescent="0.3">
      <c r="A29" s="7" t="s">
        <v>4</v>
      </c>
      <c r="B29" s="19">
        <f ref="B29:G29" si="47" t="shared">B20/$G$20</f>
        <v>6.375926442193533E-2</v>
      </c>
      <c r="C29" s="19">
        <f si="47" t="shared"/>
        <v>0.3307291890386922</v>
      </c>
      <c r="D29" s="19">
        <f si="47" t="shared"/>
        <v>0.37070496457846003</v>
      </c>
      <c r="E29" s="19">
        <f si="47" t="shared"/>
        <v>0.16925880593231518</v>
      </c>
      <c r="F29" s="19">
        <f si="47" t="shared"/>
        <v>6.5547776028597418E-2</v>
      </c>
      <c r="G29" s="19">
        <f si="47" t="shared"/>
        <v>1</v>
      </c>
      <c r="I29" s="7" t="s">
        <v>4</v>
      </c>
      <c r="J29" s="19">
        <f ref="J29:O29" si="48" t="shared">J20/$O$20</f>
        <v>6.2908627765460634E-2</v>
      </c>
      <c r="K29" s="19">
        <f si="48" t="shared"/>
        <v>0.35267701306665411</v>
      </c>
      <c r="L29" s="19">
        <f si="48" t="shared"/>
        <v>0.41317986697485731</v>
      </c>
      <c r="M29" s="19">
        <f si="48" t="shared"/>
        <v>0.12684560592480779</v>
      </c>
      <c r="N29" s="19">
        <f si="48" t="shared"/>
        <v>4.4388886268220198E-2</v>
      </c>
      <c r="O29" s="19">
        <f si="48" t="shared"/>
        <v>1</v>
      </c>
      <c r="Q29" s="7" t="s">
        <v>4</v>
      </c>
      <c r="R29" s="19">
        <f ref="R29:W29" si="49" t="shared">R10/$W$10</f>
        <v>4.4669602790705421E-2</v>
      </c>
      <c r="S29" s="19">
        <f si="49" t="shared"/>
        <v>0.31790064356064707</v>
      </c>
      <c r="T29" s="19">
        <f si="49" t="shared"/>
        <v>0.37698500578621796</v>
      </c>
      <c r="U29" s="19">
        <f si="49" t="shared"/>
        <v>0.18128762082372432</v>
      </c>
      <c r="V29" s="19">
        <f si="49" t="shared"/>
        <v>7.9157127038705213E-2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107" t="s">
        <v>175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107" t="s">
        <v>142</v>
      </c>
      <c r="Z33" s="105" t="s">
        <v>174</v>
      </c>
    </row>
    <row r="34" spans="17:26" x14ac:dyDescent="0.25">
      <c r="Q34" s="3">
        <v>1</v>
      </c>
      <c r="R34" s="17">
        <f>R25-B25</f>
        <v>-1.4574695553626123E-2</v>
      </c>
      <c r="S34" s="17">
        <f ref="S34:W34" si="50" t="shared">S25-C25</f>
        <v>1.476215265882197E-2</v>
      </c>
      <c r="T34" s="17">
        <f si="50" t="shared"/>
        <v>1.6309483540036182E-3</v>
      </c>
      <c r="U34" s="17">
        <f si="50" t="shared"/>
        <v>3.6157804496074475E-4</v>
      </c>
      <c r="V34" s="17">
        <f si="50" t="shared"/>
        <v>-2.179983504160282E-3</v>
      </c>
      <c r="W34" s="17">
        <f si="50" t="shared"/>
        <v>0</v>
      </c>
      <c r="Y34" s="4">
        <f>B16+B17+C17+B18+C18+D18+B19+C19+D19+E19</f>
        <v>127702.91904377814</v>
      </c>
      <c r="Z34" s="4">
        <f>R16+R17+S17+R18+S18+T18+R19+S19+T19+U19</f>
        <v>86593</v>
      </c>
    </row>
    <row r="35" spans="17:26" x14ac:dyDescent="0.25">
      <c r="Q35" s="3">
        <v>2</v>
      </c>
      <c r="R35" s="17">
        <f ref="R35:W35" si="51" t="shared">R26-B26</f>
        <v>-3.4117674943129257E-3</v>
      </c>
      <c r="S35" s="17">
        <f si="51" t="shared"/>
        <v>-2.3329726630768363E-2</v>
      </c>
      <c r="T35" s="17">
        <f si="51" t="shared"/>
        <v>1.9361865303049286E-2</v>
      </c>
      <c r="U35" s="17">
        <f si="51" t="shared"/>
        <v>5.7825746587696902E-3</v>
      </c>
      <c r="V35" s="17">
        <f si="51" t="shared"/>
        <v>1.5970541632622584E-3</v>
      </c>
      <c r="W35" s="17">
        <f si="51" t="shared"/>
        <v>0</v>
      </c>
      <c r="Z35" s="106">
        <f>(Z34-Y34)/G20</f>
        <v>-6.8452072704500155E-2</v>
      </c>
    </row>
    <row r="36" spans="17:26" x14ac:dyDescent="0.25">
      <c r="Q36" s="3">
        <v>3</v>
      </c>
      <c r="R36" s="17">
        <f ref="R36:W36" si="52" t="shared">R27-B27</f>
        <v>-9.4995176223863103E-4</v>
      </c>
      <c r="S36" s="17">
        <f si="52" t="shared"/>
        <v>-2.7768935882147303E-3</v>
      </c>
      <c r="T36" s="17">
        <f si="52" t="shared"/>
        <v>-1.2954452884191534E-2</v>
      </c>
      <c r="U36" s="17">
        <f si="52" t="shared"/>
        <v>1.2943602674786912E-2</v>
      </c>
      <c r="V36" s="17">
        <f si="52" t="shared"/>
        <v>3.7376955598579613E-3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-1.5324682105222724E-4</v>
      </c>
      <c r="S37" s="18">
        <f si="53" t="shared"/>
        <v>-1.484077917883987E-3</v>
      </c>
      <c r="T37" s="18">
        <f si="53" t="shared"/>
        <v>-1.7583195651034401E-3</v>
      </c>
      <c r="U37" s="18">
        <f si="53" t="shared"/>
        <v>-7.0589404871082215E-3</v>
      </c>
      <c r="V37" s="18">
        <f si="53" t="shared"/>
        <v>1.0454584791147865E-2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-1.9089661631229909E-2</v>
      </c>
      <c r="S38" s="19">
        <f si="54" t="shared"/>
        <v>-1.2828545478045128E-2</v>
      </c>
      <c r="T38" s="19">
        <f si="54" t="shared"/>
        <v>6.280041207757936E-3</v>
      </c>
      <c r="U38" s="19">
        <f si="54" t="shared"/>
        <v>1.202881489140914E-2</v>
      </c>
      <c r="V38" s="19">
        <f si="54" t="shared"/>
        <v>1.3609351010107795E-2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96</v>
      </c>
      <c r="B1" t="s">
        <v>97</v>
      </c>
      <c r="F1" t="s">
        <v>98</v>
      </c>
      <c r="G1" t="s">
        <v>146</v>
      </c>
    </row>
    <row r="2" spans="1:7" x14ac:dyDescent="0.25">
      <c r="A2">
        <v>1</v>
      </c>
      <c r="B2" t="s">
        <v>35</v>
      </c>
      <c r="C2" t="s">
        <v>36</v>
      </c>
      <c r="D2">
        <v>-2.88892731349</v>
      </c>
      <c r="E2">
        <v>0.48543234191599999</v>
      </c>
      <c r="F2" t="s">
        <v>99</v>
      </c>
      <c r="G2" t="s">
        <v>118</v>
      </c>
    </row>
    <row r="3" spans="1:7" x14ac:dyDescent="0.25">
      <c r="A3">
        <v>2</v>
      </c>
      <c r="B3" t="s">
        <v>37</v>
      </c>
      <c r="C3" t="s">
        <v>36</v>
      </c>
      <c r="D3">
        <v>-1.84920255786</v>
      </c>
      <c r="E3">
        <v>0.120667788954</v>
      </c>
      <c r="F3" t="s">
        <v>99</v>
      </c>
      <c r="G3" t="s">
        <v>127</v>
      </c>
    </row>
    <row r="4" spans="1:7" x14ac:dyDescent="0.25">
      <c r="A4">
        <v>3</v>
      </c>
      <c r="B4" t="s">
        <v>38</v>
      </c>
      <c r="C4" t="s">
        <v>36</v>
      </c>
      <c r="D4">
        <v>-3.06909125469</v>
      </c>
      <c r="E4">
        <v>0.18162390207699999</v>
      </c>
      <c r="F4" t="s">
        <v>99</v>
      </c>
      <c r="G4" t="s">
        <v>132</v>
      </c>
    </row>
    <row r="5" spans="1:7" x14ac:dyDescent="0.25">
      <c r="A5">
        <v>4</v>
      </c>
      <c r="B5" t="s">
        <v>39</v>
      </c>
      <c r="C5" t="s">
        <v>36</v>
      </c>
      <c r="D5">
        <v>-4.8440472338499996</v>
      </c>
      <c r="E5">
        <v>0.34758296123299998</v>
      </c>
      <c r="F5" t="s">
        <v>99</v>
      </c>
      <c r="G5" t="s">
        <v>138</v>
      </c>
    </row>
    <row r="6" spans="1:7" x14ac:dyDescent="0.25">
      <c r="A6">
        <v>5</v>
      </c>
      <c r="B6" t="s">
        <v>40</v>
      </c>
      <c r="C6" t="s">
        <v>36</v>
      </c>
      <c r="D6">
        <v>-3.7501392251399999</v>
      </c>
      <c r="E6">
        <v>0.48593392329200003</v>
      </c>
      <c r="F6" t="s">
        <v>100</v>
      </c>
      <c r="G6" t="s">
        <v>118</v>
      </c>
    </row>
    <row r="7" spans="1:7" x14ac:dyDescent="0.25">
      <c r="A7">
        <v>6</v>
      </c>
      <c r="B7" t="s">
        <v>41</v>
      </c>
      <c r="C7" t="s">
        <v>36</v>
      </c>
      <c r="D7">
        <v>-1.54083688408</v>
      </c>
      <c r="E7">
        <v>0.17120485389099999</v>
      </c>
      <c r="F7" t="s">
        <v>100</v>
      </c>
      <c r="G7" t="s">
        <v>119</v>
      </c>
    </row>
    <row r="8" spans="1:7" x14ac:dyDescent="0.25">
      <c r="A8">
        <v>7</v>
      </c>
      <c r="B8" t="s">
        <v>42</v>
      </c>
      <c r="C8" t="s">
        <v>36</v>
      </c>
      <c r="D8">
        <v>-1.50533715645</v>
      </c>
      <c r="E8">
        <v>0.108778102305</v>
      </c>
      <c r="F8" t="s">
        <v>100</v>
      </c>
      <c r="G8" t="s">
        <v>132</v>
      </c>
    </row>
    <row r="9" spans="1:7" x14ac:dyDescent="0.25">
      <c r="A9">
        <v>8</v>
      </c>
      <c r="B9" t="s">
        <v>43</v>
      </c>
      <c r="C9" t="s">
        <v>36</v>
      </c>
      <c r="D9">
        <v>-2.6342137133099999</v>
      </c>
      <c r="E9">
        <v>0.162199862</v>
      </c>
      <c r="F9" t="s">
        <v>100</v>
      </c>
      <c r="G9" t="s">
        <v>138</v>
      </c>
    </row>
    <row r="10" spans="1:7" x14ac:dyDescent="0.25">
      <c r="A10">
        <v>9</v>
      </c>
      <c r="B10" t="s">
        <v>44</v>
      </c>
      <c r="C10" t="s">
        <v>36</v>
      </c>
      <c r="D10">
        <v>-3.1293105723300001</v>
      </c>
      <c r="E10">
        <v>0.68731231591800002</v>
      </c>
      <c r="F10" t="s">
        <v>101</v>
      </c>
      <c r="G10" t="s">
        <v>118</v>
      </c>
    </row>
    <row r="11" spans="1:7" x14ac:dyDescent="0.25">
      <c r="A11">
        <v>10</v>
      </c>
      <c r="B11" t="s">
        <v>45</v>
      </c>
      <c r="C11" t="s">
        <v>36</v>
      </c>
      <c r="D11">
        <v>-1.2916609235900001</v>
      </c>
      <c r="E11">
        <v>0.26131690816499997</v>
      </c>
      <c r="F11" t="s">
        <v>101</v>
      </c>
      <c r="G11" t="s">
        <v>119</v>
      </c>
    </row>
    <row r="12" spans="1:7" x14ac:dyDescent="0.25">
      <c r="A12">
        <v>11</v>
      </c>
      <c r="B12" t="s">
        <v>46</v>
      </c>
      <c r="C12" t="s">
        <v>36</v>
      </c>
      <c r="D12">
        <v>-0.36600413520000002</v>
      </c>
      <c r="E12">
        <v>0.204749856644</v>
      </c>
      <c r="F12" t="s">
        <v>101</v>
      </c>
      <c r="G12" t="s">
        <v>127</v>
      </c>
    </row>
    <row r="13" spans="1:7" x14ac:dyDescent="0.25">
      <c r="A13">
        <v>12</v>
      </c>
      <c r="B13" t="s">
        <v>47</v>
      </c>
      <c r="C13" t="s">
        <v>36</v>
      </c>
      <c r="D13">
        <v>-0.96396736597999999</v>
      </c>
      <c r="E13">
        <v>0.203518529877</v>
      </c>
      <c r="F13" t="s">
        <v>101</v>
      </c>
      <c r="G13" t="s">
        <v>138</v>
      </c>
    </row>
    <row r="14" spans="1:7" x14ac:dyDescent="0.25">
      <c r="A14">
        <v>13</v>
      </c>
      <c r="B14" t="s">
        <v>48</v>
      </c>
      <c r="C14" t="s">
        <v>36</v>
      </c>
      <c r="D14">
        <v>-4.3599306108100002</v>
      </c>
      <c r="E14">
        <v>1.2200761253100001</v>
      </c>
      <c r="F14" t="s">
        <v>102</v>
      </c>
      <c r="G14" t="s">
        <v>118</v>
      </c>
    </row>
    <row r="15" spans="1:7" x14ac:dyDescent="0.25">
      <c r="A15">
        <v>14</v>
      </c>
      <c r="B15" t="s">
        <v>49</v>
      </c>
      <c r="C15" t="s">
        <v>36</v>
      </c>
      <c r="D15">
        <v>-1.1985630522499999</v>
      </c>
      <c r="E15">
        <v>0.39337121020799998</v>
      </c>
      <c r="F15" t="s">
        <v>102</v>
      </c>
      <c r="G15" t="s">
        <v>119</v>
      </c>
    </row>
    <row r="16" spans="1:7" x14ac:dyDescent="0.25">
      <c r="A16">
        <v>15</v>
      </c>
      <c r="B16" t="s">
        <v>50</v>
      </c>
      <c r="C16" t="s">
        <v>36</v>
      </c>
      <c r="D16">
        <v>-1.15121947805</v>
      </c>
      <c r="E16">
        <v>0.30214458233000002</v>
      </c>
      <c r="F16" t="s">
        <v>102</v>
      </c>
      <c r="G16" t="s">
        <v>127</v>
      </c>
    </row>
    <row r="17" spans="1:15" x14ac:dyDescent="0.25">
      <c r="A17">
        <v>16</v>
      </c>
      <c r="B17" t="s">
        <v>51</v>
      </c>
      <c r="C17" t="s">
        <v>36</v>
      </c>
      <c r="D17">
        <v>-1.4377901695099999</v>
      </c>
      <c r="E17">
        <v>0.30270627538400002</v>
      </c>
      <c r="F17" t="s">
        <v>102</v>
      </c>
      <c r="G17" t="s">
        <v>132</v>
      </c>
    </row>
    <row customFormat="1" r="18" s="87" spans="1:15" x14ac:dyDescent="0.25">
      <c r="A18" s="87">
        <v>18</v>
      </c>
      <c r="B18" s="87" t="s">
        <v>52</v>
      </c>
      <c r="C18" s="87" t="s">
        <v>36</v>
      </c>
      <c r="D18" s="87">
        <v>0.39953921787000002</v>
      </c>
      <c r="E18" s="87">
        <v>0.124608088395</v>
      </c>
      <c r="F18" s="87" t="s">
        <v>103</v>
      </c>
      <c r="G18" s="87" t="s">
        <v>118</v>
      </c>
      <c r="H18" s="87" t="s">
        <v>119</v>
      </c>
      <c r="I18" s="87" t="s">
        <v>120</v>
      </c>
      <c r="J18" s="87" t="s">
        <v>127</v>
      </c>
      <c r="K18" s="87" t="s">
        <v>126</v>
      </c>
      <c r="L18" s="87" t="s">
        <v>132</v>
      </c>
      <c r="M18" s="87" t="s">
        <v>131</v>
      </c>
      <c r="N18" s="87" t="s">
        <v>138</v>
      </c>
      <c r="O18" s="87" t="s">
        <v>137</v>
      </c>
    </row>
    <row r="19" spans="1:15" x14ac:dyDescent="0.25">
      <c r="A19" s="88">
        <v>19</v>
      </c>
      <c r="B19" s="88" t="s">
        <v>53</v>
      </c>
      <c r="C19" s="88" t="s">
        <v>36</v>
      </c>
      <c r="D19" s="88">
        <v>0.69903044631199995</v>
      </c>
      <c r="E19" s="88">
        <v>0.40297798012199998</v>
      </c>
      <c r="F19" s="88" t="s">
        <v>104</v>
      </c>
      <c r="G19" s="88" t="s">
        <v>118</v>
      </c>
      <c r="H19" s="88"/>
      <c r="I19" s="88"/>
      <c r="J19" s="88"/>
      <c r="K19" s="88"/>
      <c r="L19" s="88"/>
      <c r="M19" s="88"/>
    </row>
    <row r="20" spans="1:15" x14ac:dyDescent="0.25">
      <c r="A20">
        <v>20</v>
      </c>
      <c r="B20" t="s">
        <v>54</v>
      </c>
      <c r="C20" t="s">
        <v>36</v>
      </c>
      <c r="D20">
        <v>0.32485446959800002</v>
      </c>
      <c r="E20">
        <v>0.204037451392</v>
      </c>
      <c r="F20" t="s">
        <v>104</v>
      </c>
      <c r="G20" t="s">
        <v>119</v>
      </c>
    </row>
    <row r="21" spans="1:15" x14ac:dyDescent="0.25">
      <c r="A21">
        <v>22</v>
      </c>
      <c r="B21" t="s">
        <v>55</v>
      </c>
      <c r="C21" t="s">
        <v>36</v>
      </c>
      <c r="D21">
        <v>-0.43856128772000003</v>
      </c>
      <c r="E21">
        <v>0.318213047774</v>
      </c>
      <c r="F21" t="s">
        <v>104</v>
      </c>
      <c r="G21" t="s">
        <v>138</v>
      </c>
    </row>
    <row r="22" spans="1:15" x14ac:dyDescent="0.25">
      <c r="A22">
        <v>24</v>
      </c>
      <c r="B22" t="s">
        <v>56</v>
      </c>
      <c r="C22" t="s">
        <v>36</v>
      </c>
      <c r="D22">
        <v>0.239019734309</v>
      </c>
      <c r="E22">
        <v>0.118684885778</v>
      </c>
      <c r="F22" t="s">
        <v>121</v>
      </c>
      <c r="G22" t="s">
        <v>119</v>
      </c>
    </row>
    <row r="23" spans="1:15" x14ac:dyDescent="0.25">
      <c r="A23">
        <v>25</v>
      </c>
      <c r="B23" t="s">
        <v>57</v>
      </c>
      <c r="C23" t="s">
        <v>36</v>
      </c>
      <c r="D23">
        <v>-0.30115653367700002</v>
      </c>
      <c r="E23">
        <v>0.15726577946500001</v>
      </c>
      <c r="F23" t="s">
        <v>121</v>
      </c>
      <c r="G23" t="s">
        <v>132</v>
      </c>
    </row>
    <row r="24" spans="1:15" x14ac:dyDescent="0.25">
      <c r="A24">
        <v>26</v>
      </c>
      <c r="B24" t="s">
        <v>58</v>
      </c>
      <c r="C24" t="s">
        <v>36</v>
      </c>
      <c r="D24">
        <v>-0.56373515910799998</v>
      </c>
      <c r="E24">
        <v>0.25328633007399998</v>
      </c>
      <c r="F24" t="s">
        <v>121</v>
      </c>
      <c r="G24" t="s">
        <v>138</v>
      </c>
    </row>
    <row r="25" spans="1:15" x14ac:dyDescent="0.25">
      <c r="A25">
        <v>28</v>
      </c>
      <c r="B25" t="s">
        <v>59</v>
      </c>
      <c r="C25" t="s">
        <v>36</v>
      </c>
      <c r="D25">
        <v>0.31959884056900001</v>
      </c>
      <c r="E25">
        <v>0.22861927141800001</v>
      </c>
      <c r="F25" t="s">
        <v>122</v>
      </c>
      <c r="G25" t="s">
        <v>119</v>
      </c>
    </row>
    <row r="26" spans="1:15" x14ac:dyDescent="0.25">
      <c r="A26">
        <v>29</v>
      </c>
      <c r="B26" t="s">
        <v>60</v>
      </c>
      <c r="C26" t="s">
        <v>36</v>
      </c>
      <c r="D26">
        <v>0.57068696704599997</v>
      </c>
      <c r="E26">
        <v>0.28285417099100002</v>
      </c>
      <c r="F26" t="s">
        <v>122</v>
      </c>
      <c r="G26" t="s">
        <v>132</v>
      </c>
    </row>
    <row r="27" spans="1:15" x14ac:dyDescent="0.25">
      <c r="A27">
        <v>31</v>
      </c>
      <c r="B27" t="s">
        <v>61</v>
      </c>
      <c r="C27" t="s">
        <v>36</v>
      </c>
      <c r="D27">
        <v>2.9250059989500001</v>
      </c>
      <c r="E27">
        <v>1.2854634766599999</v>
      </c>
      <c r="F27" t="s">
        <v>105</v>
      </c>
      <c r="G27" t="s">
        <v>118</v>
      </c>
    </row>
    <row r="28" spans="1:15" x14ac:dyDescent="0.25">
      <c r="A28">
        <v>32</v>
      </c>
      <c r="B28" t="s">
        <v>62</v>
      </c>
      <c r="C28" t="s">
        <v>36</v>
      </c>
      <c r="D28">
        <v>1.2969669216299999</v>
      </c>
      <c r="E28">
        <v>0.553290083268</v>
      </c>
      <c r="F28" t="s">
        <v>105</v>
      </c>
      <c r="G28" t="s">
        <v>119</v>
      </c>
    </row>
    <row r="29" spans="1:15" x14ac:dyDescent="0.25">
      <c r="A29">
        <v>34</v>
      </c>
      <c r="B29" t="s">
        <v>63</v>
      </c>
      <c r="C29" t="s">
        <v>36</v>
      </c>
      <c r="D29">
        <v>-2.59112200624</v>
      </c>
      <c r="E29">
        <v>0.67748006502500002</v>
      </c>
      <c r="F29" t="s">
        <v>105</v>
      </c>
      <c r="G29" t="s">
        <v>138</v>
      </c>
    </row>
    <row r="30" spans="1:15" x14ac:dyDescent="0.25">
      <c r="A30">
        <v>35</v>
      </c>
      <c r="B30" t="s">
        <v>64</v>
      </c>
      <c r="C30" t="s">
        <v>36</v>
      </c>
      <c r="D30">
        <v>-1.0636437007299999</v>
      </c>
      <c r="E30">
        <v>0.67287579243399998</v>
      </c>
      <c r="F30" t="s">
        <v>106</v>
      </c>
      <c r="G30" t="s">
        <v>118</v>
      </c>
    </row>
    <row r="31" spans="1:15" x14ac:dyDescent="0.25">
      <c r="A31">
        <v>36</v>
      </c>
      <c r="B31" t="s">
        <v>65</v>
      </c>
      <c r="C31" t="s">
        <v>36</v>
      </c>
      <c r="D31">
        <v>-0.53660640919000002</v>
      </c>
      <c r="E31">
        <v>0.28655587340499999</v>
      </c>
      <c r="F31" t="s">
        <v>106</v>
      </c>
      <c r="G31" t="s">
        <v>119</v>
      </c>
    </row>
    <row r="32" spans="1:15" x14ac:dyDescent="0.25">
      <c r="A32">
        <v>37</v>
      </c>
      <c r="B32" t="s">
        <v>66</v>
      </c>
      <c r="C32" t="s">
        <v>36</v>
      </c>
      <c r="D32">
        <v>0.28589368992800002</v>
      </c>
      <c r="E32">
        <v>0.26930228656600003</v>
      </c>
      <c r="F32" t="s">
        <v>106</v>
      </c>
      <c r="G32" t="s">
        <v>132</v>
      </c>
    </row>
    <row r="33" spans="1:7" x14ac:dyDescent="0.25">
      <c r="A33">
        <v>38</v>
      </c>
      <c r="B33" t="s">
        <v>67</v>
      </c>
      <c r="C33" t="s">
        <v>36</v>
      </c>
      <c r="D33">
        <v>0.64783551265499995</v>
      </c>
      <c r="E33">
        <v>0.37530750296900001</v>
      </c>
      <c r="F33" t="s">
        <v>106</v>
      </c>
      <c r="G33" t="s">
        <v>138</v>
      </c>
    </row>
    <row r="34" spans="1:7" x14ac:dyDescent="0.25">
      <c r="A34">
        <v>41</v>
      </c>
      <c r="B34" t="s">
        <v>68</v>
      </c>
      <c r="C34" t="s">
        <v>36</v>
      </c>
      <c r="D34">
        <v>-0.47288768158</v>
      </c>
      <c r="E34">
        <v>0.28996962859499997</v>
      </c>
      <c r="F34" t="s">
        <v>133</v>
      </c>
      <c r="G34" t="s">
        <v>132</v>
      </c>
    </row>
    <row r="35" spans="1:7" x14ac:dyDescent="0.25">
      <c r="A35">
        <v>42</v>
      </c>
      <c r="B35" t="s">
        <v>69</v>
      </c>
      <c r="C35" t="s">
        <v>36</v>
      </c>
      <c r="D35">
        <v>-1.73045435445</v>
      </c>
      <c r="E35">
        <v>0.60204136834499999</v>
      </c>
      <c r="F35" t="s">
        <v>133</v>
      </c>
      <c r="G35" t="s">
        <v>138</v>
      </c>
    </row>
    <row r="36" spans="1:7" x14ac:dyDescent="0.25">
      <c r="A36">
        <v>43</v>
      </c>
      <c r="B36" t="s">
        <v>70</v>
      </c>
      <c r="C36" t="s">
        <v>36</v>
      </c>
      <c r="D36">
        <v>2.0718120356499998</v>
      </c>
      <c r="E36">
        <v>0.25112785750200001</v>
      </c>
      <c r="F36" t="s">
        <v>107</v>
      </c>
      <c r="G36" t="s">
        <v>118</v>
      </c>
    </row>
    <row r="37" spans="1:7" x14ac:dyDescent="0.25">
      <c r="A37">
        <v>44</v>
      </c>
      <c r="B37" t="s">
        <v>71</v>
      </c>
      <c r="C37" t="s">
        <v>36</v>
      </c>
      <c r="D37">
        <v>0.60728378971399999</v>
      </c>
      <c r="E37">
        <v>0.181439147627</v>
      </c>
      <c r="F37" t="s">
        <v>107</v>
      </c>
      <c r="G37" t="s">
        <v>119</v>
      </c>
    </row>
    <row r="38" spans="1:7" x14ac:dyDescent="0.25">
      <c r="A38">
        <v>45</v>
      </c>
      <c r="B38" t="s">
        <v>72</v>
      </c>
      <c r="C38" t="s">
        <v>36</v>
      </c>
      <c r="D38">
        <v>-0.71462161389500001</v>
      </c>
      <c r="E38">
        <v>0.32036605145399999</v>
      </c>
      <c r="F38" t="s">
        <v>107</v>
      </c>
      <c r="G38" t="s">
        <v>132</v>
      </c>
    </row>
    <row r="39" spans="1:7" x14ac:dyDescent="0.25">
      <c r="A39">
        <v>46</v>
      </c>
      <c r="B39" t="s">
        <v>73</v>
      </c>
      <c r="C39" t="s">
        <v>36</v>
      </c>
      <c r="D39">
        <v>-1.4356778668800001</v>
      </c>
      <c r="E39">
        <v>0.571538197034</v>
      </c>
      <c r="F39" t="s">
        <v>107</v>
      </c>
      <c r="G39" t="s">
        <v>138</v>
      </c>
    </row>
    <row r="40" spans="1:7" x14ac:dyDescent="0.25">
      <c r="A40">
        <v>47</v>
      </c>
      <c r="B40" t="s">
        <v>74</v>
      </c>
      <c r="C40" t="s">
        <v>36</v>
      </c>
      <c r="D40">
        <v>-1.45349726543</v>
      </c>
      <c r="E40">
        <v>0.40356684826</v>
      </c>
      <c r="F40" t="s">
        <v>108</v>
      </c>
      <c r="G40" t="s">
        <v>118</v>
      </c>
    </row>
    <row r="41" spans="1:7" x14ac:dyDescent="0.25">
      <c r="A41">
        <v>48</v>
      </c>
      <c r="B41" t="s">
        <v>75</v>
      </c>
      <c r="C41" t="s">
        <v>36</v>
      </c>
      <c r="D41">
        <v>-1.0930755785699999</v>
      </c>
      <c r="E41">
        <v>0.126439275741</v>
      </c>
      <c r="F41" t="s">
        <v>108</v>
      </c>
      <c r="G41" t="s">
        <v>119</v>
      </c>
    </row>
    <row r="42" spans="1:7" x14ac:dyDescent="0.25">
      <c r="A42">
        <v>49</v>
      </c>
      <c r="B42" t="s">
        <v>76</v>
      </c>
      <c r="C42" t="s">
        <v>36</v>
      </c>
      <c r="D42">
        <v>0.14078168516299999</v>
      </c>
      <c r="E42">
        <v>0.12041492006899999</v>
      </c>
      <c r="F42" t="s">
        <v>108</v>
      </c>
      <c r="G42" t="s">
        <v>132</v>
      </c>
    </row>
    <row r="43" spans="1:7" x14ac:dyDescent="0.25">
      <c r="A43">
        <v>50</v>
      </c>
      <c r="B43" t="s">
        <v>77</v>
      </c>
      <c r="C43" t="s">
        <v>36</v>
      </c>
      <c r="D43">
        <v>0.188609995585</v>
      </c>
      <c r="E43">
        <v>0.169738586315</v>
      </c>
      <c r="F43" t="s">
        <v>108</v>
      </c>
      <c r="G43" t="s">
        <v>138</v>
      </c>
    </row>
    <row r="44" spans="1:7" x14ac:dyDescent="0.25">
      <c r="A44">
        <v>51</v>
      </c>
      <c r="B44" t="s">
        <v>78</v>
      </c>
      <c r="C44" t="s">
        <v>36</v>
      </c>
      <c r="D44">
        <v>-0.58492078305700002</v>
      </c>
      <c r="E44">
        <v>0.39231975258899998</v>
      </c>
      <c r="F44" t="s">
        <v>109</v>
      </c>
      <c r="G44" t="s">
        <v>118</v>
      </c>
    </row>
    <row r="45" spans="1:7" x14ac:dyDescent="0.25">
      <c r="A45">
        <v>52</v>
      </c>
      <c r="B45" t="s">
        <v>79</v>
      </c>
      <c r="C45" t="s">
        <v>36</v>
      </c>
      <c r="D45">
        <v>-1.0058660612699999</v>
      </c>
      <c r="E45">
        <v>0.1591759079</v>
      </c>
      <c r="F45" t="s">
        <v>109</v>
      </c>
      <c r="G45" t="s">
        <v>119</v>
      </c>
    </row>
    <row r="46" spans="1:7" x14ac:dyDescent="0.25">
      <c r="A46">
        <v>53</v>
      </c>
      <c r="B46" t="s">
        <v>80</v>
      </c>
      <c r="C46" t="s">
        <v>36</v>
      </c>
      <c r="D46">
        <v>0.22559840834</v>
      </c>
      <c r="E46">
        <v>0.13586187288400001</v>
      </c>
      <c r="F46" t="s">
        <v>109</v>
      </c>
      <c r="G46" t="s">
        <v>132</v>
      </c>
    </row>
    <row r="47" spans="1:7" x14ac:dyDescent="0.25">
      <c r="A47">
        <v>54</v>
      </c>
      <c r="B47" t="s">
        <v>81</v>
      </c>
      <c r="C47" t="s">
        <v>36</v>
      </c>
      <c r="D47">
        <v>0.34302043279099997</v>
      </c>
      <c r="E47">
        <v>0.18564049817600001</v>
      </c>
      <c r="F47" t="s">
        <v>109</v>
      </c>
      <c r="G47" t="s">
        <v>138</v>
      </c>
    </row>
    <row r="48" spans="1:7" x14ac:dyDescent="0.25">
      <c r="A48">
        <v>55</v>
      </c>
      <c r="B48" t="s">
        <v>82</v>
      </c>
      <c r="C48" t="s">
        <v>36</v>
      </c>
      <c r="D48">
        <v>-0.53538167154600003</v>
      </c>
      <c r="E48">
        <v>0.46253383393000003</v>
      </c>
      <c r="F48" t="s">
        <v>110</v>
      </c>
      <c r="G48" t="s">
        <v>118</v>
      </c>
    </row>
    <row r="49" spans="1:13" x14ac:dyDescent="0.25">
      <c r="A49">
        <v>56</v>
      </c>
      <c r="B49" t="s">
        <v>83</v>
      </c>
      <c r="C49" t="s">
        <v>36</v>
      </c>
      <c r="D49">
        <v>-0.52697142353899995</v>
      </c>
      <c r="E49">
        <v>0.21878082256199999</v>
      </c>
      <c r="F49" t="s">
        <v>110</v>
      </c>
      <c r="G49" t="s">
        <v>119</v>
      </c>
    </row>
    <row r="50" spans="1:13" x14ac:dyDescent="0.25">
      <c r="A50">
        <v>57</v>
      </c>
      <c r="B50" t="s">
        <v>84</v>
      </c>
      <c r="C50" t="s">
        <v>36</v>
      </c>
      <c r="D50">
        <v>0.21517789340999999</v>
      </c>
      <c r="E50">
        <v>0.24686726698100001</v>
      </c>
      <c r="F50" t="s">
        <v>110</v>
      </c>
      <c r="G50" t="s">
        <v>132</v>
      </c>
    </row>
    <row r="51" spans="1:13" x14ac:dyDescent="0.25">
      <c r="A51">
        <v>58</v>
      </c>
      <c r="B51" t="s">
        <v>85</v>
      </c>
      <c r="C51" t="s">
        <v>36</v>
      </c>
      <c r="D51">
        <v>-0.978212790971</v>
      </c>
      <c r="E51">
        <v>0.55972952825599998</v>
      </c>
      <c r="F51" t="s">
        <v>110</v>
      </c>
      <c r="G51" t="s">
        <v>138</v>
      </c>
    </row>
    <row r="52" spans="1:13" x14ac:dyDescent="0.25">
      <c r="A52">
        <v>59</v>
      </c>
      <c r="B52" t="s">
        <v>86</v>
      </c>
      <c r="C52" t="s">
        <v>36</v>
      </c>
      <c r="D52">
        <v>-0.42495698544999999</v>
      </c>
      <c r="E52" s="86">
        <v>9.3174665093100004E-2</v>
      </c>
      <c r="F52" t="s">
        <v>111</v>
      </c>
      <c r="G52" t="s">
        <v>118</v>
      </c>
    </row>
    <row customFormat="1" r="53" s="87" spans="1:13" x14ac:dyDescent="0.25">
      <c r="A53" s="87">
        <v>60</v>
      </c>
      <c r="B53" s="87" t="s">
        <v>87</v>
      </c>
      <c r="C53" s="87" t="s">
        <v>36</v>
      </c>
      <c r="D53" s="87">
        <v>-0.11124462416</v>
      </c>
      <c r="E53" s="89">
        <v>1.9324554676499999E-2</v>
      </c>
      <c r="F53" s="87" t="s">
        <v>123</v>
      </c>
      <c r="G53" s="87" t="s">
        <v>119</v>
      </c>
      <c r="H53" s="87" t="s">
        <v>127</v>
      </c>
      <c r="I53" s="87" t="s">
        <v>128</v>
      </c>
      <c r="J53" s="87" t="s">
        <v>132</v>
      </c>
      <c r="K53" s="87" t="s">
        <v>134</v>
      </c>
      <c r="L53" s="87" t="s">
        <v>138</v>
      </c>
      <c r="M53" s="87" t="s">
        <v>139</v>
      </c>
    </row>
    <row r="54" spans="1:13" x14ac:dyDescent="0.25">
      <c r="A54">
        <v>63</v>
      </c>
      <c r="B54" t="s">
        <v>88</v>
      </c>
      <c r="C54" t="s">
        <v>36</v>
      </c>
      <c r="D54">
        <v>-1.2627495896200001</v>
      </c>
      <c r="E54">
        <v>1.15568726918</v>
      </c>
      <c r="F54" t="s">
        <v>112</v>
      </c>
      <c r="G54" t="s">
        <v>118</v>
      </c>
    </row>
    <row r="55" spans="1:13" x14ac:dyDescent="0.25">
      <c r="A55">
        <v>69</v>
      </c>
      <c r="B55" t="s">
        <v>89</v>
      </c>
      <c r="C55" t="s">
        <v>36</v>
      </c>
      <c r="D55">
        <v>-0.182881856812</v>
      </c>
      <c r="E55" s="86">
        <v>9.1832192679999994E-2</v>
      </c>
      <c r="F55" t="s">
        <v>113</v>
      </c>
      <c r="G55" t="s">
        <v>118</v>
      </c>
    </row>
    <row customFormat="1" r="56" s="87" spans="1:13" x14ac:dyDescent="0.25">
      <c r="A56" s="87">
        <v>72</v>
      </c>
      <c r="B56" s="87" t="s">
        <v>90</v>
      </c>
      <c r="C56" s="87" t="s">
        <v>36</v>
      </c>
      <c r="D56" s="87">
        <v>0.14811075420100001</v>
      </c>
      <c r="E56" s="89">
        <v>5.9982749063499999E-2</v>
      </c>
      <c r="F56" s="87" t="s">
        <v>124</v>
      </c>
      <c r="G56" s="87" t="s">
        <v>119</v>
      </c>
      <c r="H56" s="87" t="s">
        <v>127</v>
      </c>
      <c r="I56" s="87" t="s">
        <v>129</v>
      </c>
      <c r="J56" s="87" t="s">
        <v>132</v>
      </c>
      <c r="K56" s="87" t="s">
        <v>135</v>
      </c>
      <c r="L56" s="87" t="s">
        <v>138</v>
      </c>
      <c r="M56" s="87" t="s">
        <v>140</v>
      </c>
    </row>
    <row r="57" spans="1:13" x14ac:dyDescent="0.25">
      <c r="A57">
        <v>73</v>
      </c>
      <c r="B57" t="s">
        <v>91</v>
      </c>
      <c r="C57" t="s">
        <v>36</v>
      </c>
      <c r="D57" s="86">
        <v>7.1458236224400005E-4</v>
      </c>
      <c r="E57" s="86">
        <v>1.9087285637099999E-4</v>
      </c>
      <c r="F57" t="s">
        <v>114</v>
      </c>
      <c r="G57" t="s">
        <v>118</v>
      </c>
    </row>
    <row r="58" spans="1:13" x14ac:dyDescent="0.25">
      <c r="A58">
        <v>75</v>
      </c>
      <c r="B58" t="s">
        <v>92</v>
      </c>
      <c r="C58" t="s">
        <v>36</v>
      </c>
      <c r="D58">
        <v>0.29597958689600001</v>
      </c>
      <c r="E58" s="86">
        <v>7.8942367252999995E-2</v>
      </c>
      <c r="F58" t="s">
        <v>115</v>
      </c>
      <c r="G58" t="s">
        <v>118</v>
      </c>
    </row>
    <row customFormat="1" r="59" s="87" spans="1:13" x14ac:dyDescent="0.25">
      <c r="A59" s="87">
        <v>76</v>
      </c>
      <c r="B59" s="87" t="s">
        <v>93</v>
      </c>
      <c r="C59" s="87" t="s">
        <v>36</v>
      </c>
      <c r="D59" s="87">
        <v>0.19796492273399999</v>
      </c>
      <c r="E59" s="89">
        <v>3.4156307751499998E-2</v>
      </c>
      <c r="F59" s="87" t="s">
        <v>125</v>
      </c>
      <c r="G59" s="87" t="s">
        <v>119</v>
      </c>
      <c r="H59" s="87" t="s">
        <v>127</v>
      </c>
      <c r="I59" s="87" t="s">
        <v>130</v>
      </c>
      <c r="J59" s="87" t="s">
        <v>132</v>
      </c>
      <c r="K59" s="87" t="s">
        <v>136</v>
      </c>
      <c r="L59" s="87" t="s">
        <v>138</v>
      </c>
      <c r="M59" s="87" t="s">
        <v>141</v>
      </c>
    </row>
    <row r="60" spans="1:13" x14ac:dyDescent="0.25">
      <c r="A60">
        <v>77</v>
      </c>
      <c r="B60" t="s">
        <v>94</v>
      </c>
      <c r="C60" t="s">
        <v>36</v>
      </c>
      <c r="D60">
        <v>0.27817460170199998</v>
      </c>
      <c r="E60">
        <v>0.17839332841300001</v>
      </c>
      <c r="F60" t="s">
        <v>117</v>
      </c>
      <c r="G60" t="s">
        <v>118</v>
      </c>
    </row>
    <row r="61" spans="1:13" x14ac:dyDescent="0.25">
      <c r="A61">
        <v>83</v>
      </c>
      <c r="B61" t="s">
        <v>95</v>
      </c>
      <c r="C61" t="s">
        <v>36</v>
      </c>
      <c r="D61">
        <v>-0.77256225305799997</v>
      </c>
      <c r="E61">
        <v>0.454505526996</v>
      </c>
      <c r="F61" t="s">
        <v>116</v>
      </c>
      <c r="G61" t="s">
        <v>118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92" t="s">
        <v>165</v>
      </c>
    </row>
    <row r="2" spans="1:10" x14ac:dyDescent="0.25">
      <c r="A2">
        <v>1</v>
      </c>
      <c r="B2" t="s">
        <v>166</v>
      </c>
    </row>
    <row r="3" spans="1:10" x14ac:dyDescent="0.25">
      <c r="A3">
        <v>2</v>
      </c>
      <c r="B3" t="s">
        <v>167</v>
      </c>
    </row>
    <row r="4" spans="1:10" x14ac:dyDescent="0.25">
      <c r="A4">
        <v>3</v>
      </c>
      <c r="B4" t="s">
        <v>168</v>
      </c>
    </row>
    <row r="5" spans="1:10" x14ac:dyDescent="0.25">
      <c r="A5">
        <v>4</v>
      </c>
      <c r="B5" t="s">
        <v>169</v>
      </c>
    </row>
    <row r="8" spans="1:10" x14ac:dyDescent="0.25">
      <c r="A8" t="s">
        <v>154</v>
      </c>
      <c r="B8" t="s">
        <v>155</v>
      </c>
      <c r="C8" t="s">
        <v>156</v>
      </c>
    </row>
    <row r="9" spans="1:10" x14ac:dyDescent="0.25">
      <c r="A9" t="s">
        <v>157</v>
      </c>
      <c r="B9" t="s">
        <v>158</v>
      </c>
      <c r="C9" t="s">
        <v>159</v>
      </c>
      <c r="D9" t="s">
        <v>160</v>
      </c>
      <c r="E9">
        <v>4</v>
      </c>
      <c r="F9" s="95">
        <v>0.46995370370370365</v>
      </c>
      <c r="G9" t="s">
        <v>161</v>
      </c>
      <c r="H9">
        <v>3</v>
      </c>
      <c r="I9" t="s">
        <v>162</v>
      </c>
      <c r="J9">
        <v>12</v>
      </c>
    </row>
    <row r="10" spans="1:10" x14ac:dyDescent="0.25">
      <c r="A10" t="s">
        <v>163</v>
      </c>
    </row>
    <row r="11" spans="1:10" x14ac:dyDescent="0.25">
      <c r="B11">
        <v>1</v>
      </c>
      <c r="C11" t="s">
        <v>35</v>
      </c>
      <c r="D11" t="s">
        <v>36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37</v>
      </c>
      <c r="D12" t="s">
        <v>36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38</v>
      </c>
      <c r="D13" t="s">
        <v>36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39</v>
      </c>
      <c r="D14" t="s">
        <v>36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40</v>
      </c>
      <c r="D15" t="s">
        <v>36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41</v>
      </c>
      <c r="D16" t="s">
        <v>36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42</v>
      </c>
      <c r="D17" t="s">
        <v>36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43</v>
      </c>
      <c r="D18" t="s">
        <v>36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44</v>
      </c>
      <c r="D19" t="s">
        <v>36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45</v>
      </c>
      <c r="D20" t="s">
        <v>36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46</v>
      </c>
      <c r="D21" t="s">
        <v>36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47</v>
      </c>
      <c r="D22" t="s">
        <v>36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48</v>
      </c>
      <c r="D23" t="s">
        <v>36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49</v>
      </c>
      <c r="D24" t="s">
        <v>36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50</v>
      </c>
      <c r="D25" t="s">
        <v>36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51</v>
      </c>
      <c r="D26" t="s">
        <v>36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52</v>
      </c>
      <c r="D27" t="s">
        <v>36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53</v>
      </c>
      <c r="D28" t="s">
        <v>36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54</v>
      </c>
      <c r="D29" t="s">
        <v>36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55</v>
      </c>
      <c r="D30" t="s">
        <v>36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56</v>
      </c>
      <c r="D31" t="s">
        <v>36</v>
      </c>
      <c r="E31">
        <v>0.239019734309</v>
      </c>
      <c r="F31">
        <v>0.118684885778</v>
      </c>
    </row>
    <row r="32" spans="2:6" x14ac:dyDescent="0.25">
      <c r="B32">
        <v>25</v>
      </c>
      <c r="C32" t="s">
        <v>57</v>
      </c>
      <c r="D32" t="s">
        <v>36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58</v>
      </c>
      <c r="D33" t="s">
        <v>36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59</v>
      </c>
      <c r="D34" t="s">
        <v>36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60</v>
      </c>
      <c r="D35" t="s">
        <v>36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61</v>
      </c>
      <c r="D36" t="s">
        <v>36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62</v>
      </c>
      <c r="D37" t="s">
        <v>36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63</v>
      </c>
      <c r="D38" t="s">
        <v>36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64</v>
      </c>
      <c r="D39" t="s">
        <v>36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65</v>
      </c>
      <c r="D40" t="s">
        <v>36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66</v>
      </c>
      <c r="D41" t="s">
        <v>36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67</v>
      </c>
      <c r="D42" t="s">
        <v>36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68</v>
      </c>
      <c r="D43" t="s">
        <v>36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69</v>
      </c>
      <c r="D44" t="s">
        <v>36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70</v>
      </c>
      <c r="D45" t="s">
        <v>36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71</v>
      </c>
      <c r="D46" t="s">
        <v>36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72</v>
      </c>
      <c r="D47" t="s">
        <v>36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73</v>
      </c>
      <c r="D48" t="s">
        <v>36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74</v>
      </c>
      <c r="D49" t="s">
        <v>36</v>
      </c>
      <c r="E49">
        <v>-1.45349726543</v>
      </c>
      <c r="F49">
        <v>0.40356684826</v>
      </c>
    </row>
    <row r="50" spans="2:6" x14ac:dyDescent="0.25">
      <c r="B50">
        <v>48</v>
      </c>
      <c r="C50" t="s">
        <v>75</v>
      </c>
      <c r="D50" t="s">
        <v>36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76</v>
      </c>
      <c r="D51" t="s">
        <v>36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77</v>
      </c>
      <c r="D52" t="s">
        <v>36</v>
      </c>
      <c r="E52">
        <v>0.188609995585</v>
      </c>
      <c r="F52">
        <v>0.169738586315</v>
      </c>
    </row>
    <row r="53" spans="2:6" x14ac:dyDescent="0.25">
      <c r="B53">
        <v>51</v>
      </c>
      <c r="C53" t="s">
        <v>78</v>
      </c>
      <c r="D53" t="s">
        <v>36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79</v>
      </c>
      <c r="D54" t="s">
        <v>36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80</v>
      </c>
      <c r="D55" t="s">
        <v>36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81</v>
      </c>
      <c r="D56" t="s">
        <v>36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82</v>
      </c>
      <c r="D57" t="s">
        <v>36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83</v>
      </c>
      <c r="D58" t="s">
        <v>36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84</v>
      </c>
      <c r="D59" t="s">
        <v>36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85</v>
      </c>
      <c r="D60" t="s">
        <v>36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86</v>
      </c>
      <c r="D61" t="s">
        <v>36</v>
      </c>
      <c r="E61">
        <v>-0.42495698544999999</v>
      </c>
      <c r="F61" s="86">
        <v>9.3174665093100004E-2</v>
      </c>
    </row>
    <row r="62" spans="2:6" x14ac:dyDescent="0.25">
      <c r="B62">
        <v>60</v>
      </c>
      <c r="C62" t="s">
        <v>87</v>
      </c>
      <c r="D62" t="s">
        <v>36</v>
      </c>
      <c r="E62">
        <v>-0.11124462416</v>
      </c>
      <c r="F62" s="86">
        <v>1.9324554676499999E-2</v>
      </c>
    </row>
    <row r="63" spans="2:6" x14ac:dyDescent="0.25">
      <c r="B63">
        <v>63</v>
      </c>
      <c r="C63" t="s">
        <v>88</v>
      </c>
      <c r="D63" t="s">
        <v>36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89</v>
      </c>
      <c r="D64" t="s">
        <v>36</v>
      </c>
      <c r="E64">
        <v>-0.182881856812</v>
      </c>
      <c r="F64" s="86">
        <v>9.1832192679999994E-2</v>
      </c>
    </row>
    <row r="65" spans="2:11" x14ac:dyDescent="0.25">
      <c r="B65">
        <v>72</v>
      </c>
      <c r="C65" t="s">
        <v>90</v>
      </c>
      <c r="D65" t="s">
        <v>36</v>
      </c>
      <c r="E65">
        <v>0.14811075420100001</v>
      </c>
      <c r="F65" s="86">
        <v>5.9982749063499999E-2</v>
      </c>
    </row>
    <row r="66" spans="2:11" x14ac:dyDescent="0.25">
      <c r="B66">
        <v>73</v>
      </c>
      <c r="C66" t="s">
        <v>91</v>
      </c>
      <c r="D66" t="s">
        <v>36</v>
      </c>
      <c r="E66" s="86">
        <v>7.1458236224400005E-4</v>
      </c>
      <c r="F66" s="86">
        <v>1.9087285637099999E-4</v>
      </c>
    </row>
    <row r="67" spans="2:11" x14ac:dyDescent="0.25">
      <c r="B67">
        <v>75</v>
      </c>
      <c r="C67" t="s">
        <v>92</v>
      </c>
      <c r="D67" t="s">
        <v>36</v>
      </c>
      <c r="E67">
        <v>0.29597958689600001</v>
      </c>
      <c r="F67" s="86">
        <v>7.8942367252999995E-2</v>
      </c>
    </row>
    <row r="68" spans="2:11" x14ac:dyDescent="0.25">
      <c r="B68">
        <v>76</v>
      </c>
      <c r="C68" t="s">
        <v>93</v>
      </c>
      <c r="D68" t="s">
        <v>36</v>
      </c>
      <c r="E68">
        <v>0.19796492273399999</v>
      </c>
      <c r="F68" s="86">
        <v>3.4156307751499998E-2</v>
      </c>
    </row>
    <row r="69" spans="2:11" x14ac:dyDescent="0.25">
      <c r="B69">
        <v>77</v>
      </c>
      <c r="C69" t="s">
        <v>94</v>
      </c>
      <c r="D69" t="s">
        <v>36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95</v>
      </c>
      <c r="D70" t="s">
        <v>36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86">
        <v>-5314.5725053400001</v>
      </c>
      <c r="D72" s="86">
        <v>-6344.40425082</v>
      </c>
      <c r="E72" s="86">
        <v>-3915.8071334400001</v>
      </c>
    </row>
    <row r="73" spans="2:11" x14ac:dyDescent="0.25">
      <c r="B73">
        <v>8</v>
      </c>
      <c r="C73" t="s">
        <v>164</v>
      </c>
      <c r="D73" t="s">
        <v>161</v>
      </c>
      <c r="E73">
        <v>3</v>
      </c>
      <c r="F73" t="s">
        <v>162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D10" sqref="D10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92" t="s">
        <v>172</v>
      </c>
    </row>
    <row r="2" spans="1:27" x14ac:dyDescent="0.25">
      <c r="C2" t="s">
        <v>142</v>
      </c>
      <c r="K2" t="s">
        <v>174</v>
      </c>
      <c r="Z2" t="s">
        <v>170</v>
      </c>
      <c r="AA2" t="s">
        <v>171</v>
      </c>
    </row>
    <row r="3" spans="1:27" x14ac:dyDescent="0.25">
      <c r="A3" s="92" t="s">
        <v>147</v>
      </c>
      <c r="X3" s="96">
        <v>1</v>
      </c>
      <c r="Y3" s="96" t="s">
        <v>35</v>
      </c>
      <c r="Z3" s="100">
        <f>VehAvailCoefficient!E11</f>
        <v>-3.7471395627100001</v>
      </c>
      <c r="AA3" s="99">
        <f>V6</f>
        <v>-3.3542007962856117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96">
        <v>2</v>
      </c>
      <c r="Y4" s="96" t="s">
        <v>37</v>
      </c>
      <c r="Z4" s="100">
        <f>VehAvailCoefficient!E12</f>
        <v>-2.1297115852199999</v>
      </c>
      <c r="AA4" s="99">
        <f ref="AA4:AA19" si="0" t="shared">V7</f>
        <v>-2.088085305681683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93" t="s">
        <v>149</v>
      </c>
      <c r="R5" s="93" t="s">
        <v>98</v>
      </c>
      <c r="S5" s="93" t="s">
        <v>150</v>
      </c>
      <c r="T5" s="93" t="s">
        <v>151</v>
      </c>
      <c r="U5" s="93" t="s">
        <v>152</v>
      </c>
      <c r="V5" s="93" t="s">
        <v>153</v>
      </c>
      <c r="X5" s="96">
        <v>3</v>
      </c>
      <c r="Y5" s="96" t="s">
        <v>38</v>
      </c>
      <c r="Z5" s="100">
        <f>VehAvailCoefficient!E13</f>
        <v>-3.96633437255</v>
      </c>
      <c r="AA5" s="99">
        <f si="0" t="shared"/>
        <v>-3.9422771800117</v>
      </c>
    </row>
    <row r="6" spans="1:27" x14ac:dyDescent="0.25">
      <c r="A6" s="3">
        <v>1</v>
      </c>
      <c r="B6" s="4">
        <f>Vehicles_by_HHDrivers!B16</f>
        <v>33345.05203516347</v>
      </c>
      <c r="C6" s="4">
        <f>Vehicles_by_HHDrivers!C16</f>
        <v>145233.36778845458</v>
      </c>
      <c r="D6" s="4">
        <f>Vehicles_by_HHDrivers!D16</f>
        <v>20432.509501777815</v>
      </c>
      <c r="E6" s="4">
        <f>Vehicles_by_HHDrivers!E16</f>
        <v>3264.84888142815</v>
      </c>
      <c r="F6" s="4">
        <f>Vehicles_by_HHDrivers!F16</f>
        <v>1310.2217931760199</v>
      </c>
      <c r="G6" s="4">
        <f>SUM(B6:F6)</f>
        <v>203586.00000000006</v>
      </c>
      <c r="I6" s="3">
        <v>1</v>
      </c>
      <c r="J6" s="4">
        <f>Vehicles_by_HHDrivers!R16</f>
        <v>24592</v>
      </c>
      <c r="K6" s="4">
        <f>Vehicles_by_HHDrivers!S16</f>
        <v>154099</v>
      </c>
      <c r="L6" s="4">
        <f>Vehicles_by_HHDrivers!T16</f>
        <v>21412</v>
      </c>
      <c r="M6" s="4">
        <f>Vehicles_by_HHDrivers!U16</f>
        <v>3482</v>
      </c>
      <c r="N6" s="4">
        <f>Vehicles_by_HHDrivers!V16</f>
        <v>1</v>
      </c>
      <c r="O6" s="4">
        <f>SUM(J6:N6)</f>
        <v>203586</v>
      </c>
      <c r="Q6">
        <v>1</v>
      </c>
      <c r="R6" t="s">
        <v>99</v>
      </c>
      <c r="S6" s="97">
        <f>Z3</f>
        <v>-3.7471395627100001</v>
      </c>
      <c r="T6" s="94">
        <f>B15/J15</f>
        <v>1.355930873258111</v>
      </c>
      <c r="U6" s="97">
        <f>LN(T6)-LN($T$22)</f>
        <v>0.39293876642438846</v>
      </c>
      <c r="V6" s="97">
        <f>S6+U6</f>
        <v>-3.3542007962856117</v>
      </c>
      <c r="X6" s="96">
        <v>4</v>
      </c>
      <c r="Y6" s="96" t="s">
        <v>39</v>
      </c>
      <c r="Z6" s="100">
        <f>VehAvailCoefficient!E14</f>
        <v>-11.219392631330001</v>
      </c>
      <c r="AA6" s="99">
        <f si="0" t="shared"/>
        <v>-12.108352485397075</v>
      </c>
    </row>
    <row r="7" spans="1:27" x14ac:dyDescent="0.25">
      <c r="A7" s="3">
        <v>2</v>
      </c>
      <c r="B7" s="4">
        <f>Vehicles_by_HHDrivers!B17</f>
        <v>3998.9881452220425</v>
      </c>
      <c r="C7" s="4">
        <f>Vehicles_by_HHDrivers!C17</f>
        <v>44258.017274007405</v>
      </c>
      <c r="D7" s="4">
        <f>Vehicles_by_HHDrivers!D17</f>
        <v>180426.94136427419</v>
      </c>
      <c r="E7" s="4">
        <f>Vehicles_by_HHDrivers!E17</f>
        <v>46797.188050055986</v>
      </c>
      <c r="F7" s="4">
        <f>Vehicles_by_HHDrivers!F17</f>
        <v>15208.865166440402</v>
      </c>
      <c r="G7" s="4">
        <f ref="G7:G10" si="1" t="shared">SUM(B7:F7)</f>
        <v>290690</v>
      </c>
      <c r="I7" s="3">
        <v>2</v>
      </c>
      <c r="J7" s="4">
        <f>Vehicles_by_HHDrivers!R17</f>
        <v>1950</v>
      </c>
      <c r="K7" s="4">
        <f>Vehicles_by_HHDrivers!S17</f>
        <v>30247</v>
      </c>
      <c r="L7" s="4">
        <f>Vehicles_by_HHDrivers!T17</f>
        <v>192055</v>
      </c>
      <c r="M7" s="4">
        <f>Vehicles_by_HHDrivers!U17</f>
        <v>50270</v>
      </c>
      <c r="N7" s="4">
        <f>Vehicles_by_HHDrivers!V17</f>
        <v>16168</v>
      </c>
      <c r="O7" s="4">
        <f ref="O7:O10" si="2" t="shared">SUM(J7:N7)</f>
        <v>290690</v>
      </c>
      <c r="Q7">
        <v>2</v>
      </c>
      <c r="R7" t="s">
        <v>99</v>
      </c>
      <c r="S7" s="97">
        <f ref="S7:S22" si="3" t="shared">Z4</f>
        <v>-2.1297115852199999</v>
      </c>
      <c r="T7" s="94">
        <f>D15/L15</f>
        <v>0.95425506733503707</v>
      </c>
      <c r="U7" s="97">
        <f ref="U7:U22" si="4" t="shared">LN(T7)-LN($T$22)</f>
        <v>4.1626279538316879E-2</v>
      </c>
      <c r="V7" s="97">
        <f ref="V7:V22" si="5" t="shared">S7+U7</f>
        <v>-2.088085305681683</v>
      </c>
      <c r="X7" s="96">
        <v>5</v>
      </c>
      <c r="Y7" s="96" t="s">
        <v>40</v>
      </c>
      <c r="Z7" s="100">
        <f>VehAvailCoefficient!E15</f>
        <v>-5.0125223934900003</v>
      </c>
      <c r="AA7" s="99">
        <f si="0" t="shared"/>
        <v>-4.2058598440121164</v>
      </c>
    </row>
    <row r="8" spans="1:27" x14ac:dyDescent="0.25">
      <c r="A8" s="3">
        <v>3</v>
      </c>
      <c r="B8" s="4">
        <f>Vehicles_by_HHDrivers!B18</f>
        <v>803.50778008884345</v>
      </c>
      <c r="C8" s="4">
        <f>Vehicles_by_HHDrivers!C18</f>
        <v>5153.7050978061798</v>
      </c>
      <c r="D8" s="4">
        <f>Vehicles_by_HHDrivers!D18</f>
        <v>17715.990996394488</v>
      </c>
      <c r="E8" s="4">
        <f>Vehicles_by_HHDrivers!E18</f>
        <v>37341.525259616596</v>
      </c>
      <c r="F8" s="4">
        <f>Vehicles_by_HHDrivers!F18</f>
        <v>12300.270866093902</v>
      </c>
      <c r="G8" s="4">
        <f si="1" t="shared"/>
        <v>73315</v>
      </c>
      <c r="I8" s="3">
        <v>3</v>
      </c>
      <c r="J8" s="4">
        <f>Vehicles_by_HHDrivers!R18</f>
        <v>233</v>
      </c>
      <c r="K8" s="4">
        <f>Vehicles_by_HHDrivers!S18</f>
        <v>3486</v>
      </c>
      <c r="L8" s="4">
        <f>Vehicles_by_HHDrivers!T18</f>
        <v>9936</v>
      </c>
      <c r="M8" s="4">
        <f>Vehicles_by_HHDrivers!U18</f>
        <v>45115</v>
      </c>
      <c r="N8" s="4">
        <f>Vehicles_by_HHDrivers!V18</f>
        <v>14545</v>
      </c>
      <c r="O8" s="4">
        <f si="2" t="shared"/>
        <v>73315</v>
      </c>
      <c r="Q8">
        <v>3</v>
      </c>
      <c r="R8" t="s">
        <v>99</v>
      </c>
      <c r="S8" s="97">
        <f si="3" t="shared"/>
        <v>-3.96633437255</v>
      </c>
      <c r="T8" s="94">
        <f>E15/M15</f>
        <v>0.93763609460888842</v>
      </c>
      <c r="U8" s="97">
        <f si="4" t="shared"/>
        <v>2.4057192538299813E-2</v>
      </c>
      <c r="V8" s="97">
        <f si="5" t="shared"/>
        <v>-3.9422771800117</v>
      </c>
      <c r="X8" s="96">
        <v>6</v>
      </c>
      <c r="Y8" s="96" t="s">
        <v>41</v>
      </c>
      <c r="Z8" s="100">
        <f>VehAvailCoefficient!E16</f>
        <v>-1.8563745465099999</v>
      </c>
      <c r="AA8" s="99">
        <f si="0" t="shared"/>
        <v>-1.3872844595101752</v>
      </c>
    </row>
    <row r="9" spans="1:27" x14ac:dyDescent="0.25">
      <c r="A9" s="5" t="s">
        <v>3</v>
      </c>
      <c r="B9" s="4">
        <f>Vehicles_by_HHDrivers!B19</f>
        <v>144.03467708523084</v>
      </c>
      <c r="C9" s="4">
        <f>Vehicles_by_HHDrivers!C19</f>
        <v>3979.2852547539965</v>
      </c>
      <c r="D9" s="4">
        <f>Vehicles_by_HHDrivers!D19</f>
        <v>4056.9851896163477</v>
      </c>
      <c r="E9" s="4">
        <f>Vehicles_by_HHDrivers!E19</f>
        <v>14247.352593640147</v>
      </c>
      <c r="F9" s="4">
        <f>Vehicles_by_HHDrivers!F19</f>
        <v>10546.342284904282</v>
      </c>
      <c r="G9" s="6">
        <f si="1" t="shared"/>
        <v>32974.000000000007</v>
      </c>
      <c r="I9" s="5" t="s">
        <v>3</v>
      </c>
      <c r="J9" s="4">
        <f>Vehicles_by_HHDrivers!R19</f>
        <v>52</v>
      </c>
      <c r="K9" s="4">
        <f>Vehicles_by_HHDrivers!S19</f>
        <v>3088</v>
      </c>
      <c r="L9" s="4">
        <f>Vehicles_by_HHDrivers!T19</f>
        <v>3001</v>
      </c>
      <c r="M9" s="4">
        <f>Vehicles_by_HHDrivers!U19</f>
        <v>10008</v>
      </c>
      <c r="N9" s="4">
        <f>Vehicles_by_HHDrivers!V19</f>
        <v>16825</v>
      </c>
      <c r="O9" s="6">
        <f si="2" t="shared"/>
        <v>32974</v>
      </c>
      <c r="Q9">
        <v>4</v>
      </c>
      <c r="R9" t="s">
        <v>99</v>
      </c>
      <c r="S9" s="97">
        <f si="3" t="shared"/>
        <v>-11.219392631330001</v>
      </c>
      <c r="T9" s="94">
        <f>F15/M15</f>
        <v>0.37628425995865011</v>
      </c>
      <c r="U9" s="97">
        <f si="4" t="shared"/>
        <v>-0.88895985406707512</v>
      </c>
      <c r="V9" s="97">
        <f si="5" t="shared"/>
        <v>-12.108352485397075</v>
      </c>
      <c r="X9" s="96">
        <v>7</v>
      </c>
      <c r="Y9" s="96" t="s">
        <v>42</v>
      </c>
      <c r="Z9" s="100">
        <f>VehAvailCoefficient!E17</f>
        <v>-1.3964239432800001</v>
      </c>
      <c r="AA9" s="99">
        <f si="0" t="shared"/>
        <v>-1.3795587476376856</v>
      </c>
    </row>
    <row ht="15.75" r="10" spans="1:27" thickBot="1" x14ac:dyDescent="0.3">
      <c r="A10" s="7" t="s">
        <v>4</v>
      </c>
      <c r="B10" s="8">
        <f>SUM(B6:B9)</f>
        <v>38291.582637559593</v>
      </c>
      <c r="C10" s="8">
        <f ref="C10:F10" si="6" t="shared">SUM(C6:C9)</f>
        <v>198624.37541502216</v>
      </c>
      <c r="D10" s="8">
        <f si="6" t="shared"/>
        <v>222632.42705206285</v>
      </c>
      <c r="E10" s="8">
        <f si="6" t="shared"/>
        <v>101650.91478474087</v>
      </c>
      <c r="F10" s="8">
        <f si="6" t="shared"/>
        <v>39365.700110614605</v>
      </c>
      <c r="G10" s="8">
        <f si="1" t="shared"/>
        <v>600565.00000000012</v>
      </c>
      <c r="I10" s="7" t="s">
        <v>4</v>
      </c>
      <c r="J10" s="8">
        <f>SUM(J6:J9)</f>
        <v>26827</v>
      </c>
      <c r="K10" s="8">
        <f ref="K10:N10" si="7" t="shared">SUM(K6:K9)</f>
        <v>190920</v>
      </c>
      <c r="L10" s="8">
        <f si="7" t="shared"/>
        <v>226404</v>
      </c>
      <c r="M10" s="8">
        <f si="7" t="shared"/>
        <v>108875</v>
      </c>
      <c r="N10" s="8">
        <f si="7" t="shared"/>
        <v>47539</v>
      </c>
      <c r="O10" s="8">
        <f si="2" t="shared"/>
        <v>600565</v>
      </c>
      <c r="Q10">
        <v>5</v>
      </c>
      <c r="R10" t="s">
        <v>100</v>
      </c>
      <c r="S10" s="97">
        <f si="3" t="shared"/>
        <v>-5.0125223934900003</v>
      </c>
      <c r="T10" s="94">
        <f>B16/J16</f>
        <v>2.0507631513959188</v>
      </c>
      <c r="U10" s="97">
        <f si="4" t="shared"/>
        <v>0.80666254947788407</v>
      </c>
      <c r="V10" s="97">
        <f si="5" t="shared"/>
        <v>-4.2058598440121164</v>
      </c>
      <c r="X10" s="96">
        <v>8</v>
      </c>
      <c r="Y10" s="96" t="s">
        <v>43</v>
      </c>
      <c r="Z10" s="100">
        <f>VehAvailCoefficient!E18</f>
        <v>-2.3942936803500001</v>
      </c>
      <c r="AA10" s="99">
        <f si="0" t="shared"/>
        <v>-2.3669986113512187</v>
      </c>
    </row>
    <row r="11" spans="1:27" x14ac:dyDescent="0.25">
      <c r="G11" s="4"/>
      <c r="O11" s="4"/>
      <c r="Q11">
        <v>6</v>
      </c>
      <c r="R11" t="s">
        <v>100</v>
      </c>
      <c r="S11" s="97">
        <f si="3" t="shared"/>
        <v>-1.8563745465099999</v>
      </c>
      <c r="T11" s="94">
        <f>C16/K16</f>
        <v>1.46322006394047</v>
      </c>
      <c r="U11" s="97">
        <f si="4" t="shared"/>
        <v>0.46909008699982463</v>
      </c>
      <c r="V11" s="97">
        <f si="5" t="shared"/>
        <v>-1.3872844595101752</v>
      </c>
      <c r="X11" s="96">
        <v>9</v>
      </c>
      <c r="Y11" s="96" t="s">
        <v>44</v>
      </c>
      <c r="Z11" s="100">
        <f>VehAvailCoefficient!E19</f>
        <v>-4.9201833156500001</v>
      </c>
      <c r="AA11" s="99">
        <f si="0" t="shared"/>
        <v>-3.5937843447071329</v>
      </c>
    </row>
    <row r="12" spans="1:27" x14ac:dyDescent="0.25">
      <c r="A12" s="92" t="s">
        <v>148</v>
      </c>
      <c r="Q12">
        <v>7</v>
      </c>
      <c r="R12" t="s">
        <v>100</v>
      </c>
      <c r="S12" s="97">
        <f si="3" t="shared"/>
        <v>-1.3964239432800001</v>
      </c>
      <c r="T12" s="94">
        <f>E16/M16</f>
        <v>0.93091681022589956</v>
      </c>
      <c r="U12" s="97">
        <f si="4" t="shared"/>
        <v>1.6865195642314437E-2</v>
      </c>
      <c r="V12" s="97">
        <f si="5" t="shared"/>
        <v>-1.3795587476376856</v>
      </c>
      <c r="X12" s="96">
        <v>10</v>
      </c>
      <c r="Y12" s="96" t="s">
        <v>45</v>
      </c>
      <c r="Z12" s="100">
        <f>VehAvailCoefficient!E20</f>
        <v>-2.29401614977</v>
      </c>
      <c r="AA12" s="99">
        <f si="0" t="shared"/>
        <v>-1.8146046477664728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100</v>
      </c>
      <c r="S13" s="97">
        <f si="3" t="shared"/>
        <v>-2.3942936803500001</v>
      </c>
      <c r="T13" s="94">
        <f>F16/N16</f>
        <v>0.94067696477241458</v>
      </c>
      <c r="U13" s="97">
        <f si="4" t="shared"/>
        <v>2.7295068998781528E-2</v>
      </c>
      <c r="V13" s="97">
        <f si="5" t="shared"/>
        <v>-2.3669986113512187</v>
      </c>
      <c r="X13" s="96">
        <v>11</v>
      </c>
      <c r="Y13" s="96" t="s">
        <v>46</v>
      </c>
      <c r="Z13" s="100">
        <f>VehAvailCoefficient!E21</f>
        <v>-1.4446352364099999</v>
      </c>
      <c r="AA13" s="99">
        <f si="0" t="shared"/>
        <v>-0.77788152713032044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101</v>
      </c>
      <c r="S14" s="97">
        <f si="3" t="shared"/>
        <v>-4.9201833156500001</v>
      </c>
      <c r="T14" s="94">
        <f>B17/J17</f>
        <v>3.4485312450164951</v>
      </c>
      <c r="U14" s="97">
        <f si="4" t="shared"/>
        <v>1.3263989709428672</v>
      </c>
      <c r="V14" s="97">
        <f si="5" t="shared"/>
        <v>-3.5937843447071329</v>
      </c>
      <c r="X14" s="96">
        <v>12</v>
      </c>
      <c r="Y14" s="96" t="s">
        <v>47</v>
      </c>
      <c r="Z14" s="100">
        <f>VehAvailCoefficient!E22</f>
        <v>-0.81535992723999995</v>
      </c>
      <c r="AA14" s="99">
        <f si="0" t="shared"/>
        <v>-0.89453537878876466</v>
      </c>
    </row>
    <row r="15" spans="1:27" x14ac:dyDescent="0.25">
      <c r="A15" s="3">
        <v>1</v>
      </c>
      <c r="B15" s="17">
        <f>B6/$G$10</f>
        <v>5.5522802752680331E-2</v>
      </c>
      <c r="C15" s="17">
        <f ref="C15:G15" si="8" t="shared">C6/$G$10</f>
        <v>0.24182789171605829</v>
      </c>
      <c r="D15" s="17">
        <f si="8" t="shared"/>
        <v>3.4022144983103929E-2</v>
      </c>
      <c r="E15" s="17">
        <f si="8" t="shared"/>
        <v>5.4362956240009809E-3</v>
      </c>
      <c r="F15" s="17">
        <f si="8" t="shared"/>
        <v>2.1816486028590071E-3</v>
      </c>
      <c r="G15" s="17">
        <f si="8" t="shared"/>
        <v>0.33899078367870261</v>
      </c>
      <c r="I15" s="3">
        <v>1</v>
      </c>
      <c r="J15" s="17">
        <f>J6/$O$10</f>
        <v>4.0948107199054222E-2</v>
      </c>
      <c r="K15" s="17">
        <f ref="K15:O15" si="9" t="shared">K6/$O$10</f>
        <v>0.25659004437488031</v>
      </c>
      <c r="L15" s="17">
        <f si="9" t="shared"/>
        <v>3.5653093337107554E-2</v>
      </c>
      <c r="M15" s="17">
        <f si="9" t="shared"/>
        <v>5.7978736689617274E-3</v>
      </c>
      <c r="N15" s="17">
        <f si="9" t="shared"/>
        <v>1.6650986987253669E-6</v>
      </c>
      <c r="O15" s="17">
        <f si="9" t="shared"/>
        <v>0.33899078367870256</v>
      </c>
      <c r="Q15">
        <v>10</v>
      </c>
      <c r="R15" t="s">
        <v>101</v>
      </c>
      <c r="S15" s="97">
        <f si="3" t="shared"/>
        <v>-2.29401614977</v>
      </c>
      <c r="T15" s="94">
        <f>C17/K17</f>
        <v>1.4784007738973546</v>
      </c>
      <c r="U15" s="97">
        <f si="4" t="shared"/>
        <v>0.47941150200352722</v>
      </c>
      <c r="V15" s="97">
        <f si="5" t="shared"/>
        <v>-1.8146046477664728</v>
      </c>
      <c r="X15" s="96">
        <v>13</v>
      </c>
      <c r="Y15" s="96" t="s">
        <v>48</v>
      </c>
      <c r="Z15" s="100">
        <f>VehAvailCoefficient!E23</f>
        <v>-5.3216543706600001</v>
      </c>
      <c r="AA15" s="99">
        <f si="0" t="shared"/>
        <v>-4.2143934489355139</v>
      </c>
    </row>
    <row r="16" spans="1:27" x14ac:dyDescent="0.25">
      <c r="A16" s="3">
        <v>2</v>
      </c>
      <c r="B16" s="17">
        <f ref="B16:G16" si="10" t="shared">B7/$G$10</f>
        <v>6.6587099568273904E-3</v>
      </c>
      <c r="C16" s="17">
        <f si="10" t="shared"/>
        <v>7.3693966971114522E-2</v>
      </c>
      <c r="D16" s="17">
        <f si="10" t="shared"/>
        <v>0.30042866528065099</v>
      </c>
      <c r="E16" s="17">
        <f si="10" t="shared"/>
        <v>7.7921936926154498E-2</v>
      </c>
      <c r="F16" s="17">
        <f si="10" t="shared"/>
        <v>2.5324261597729471E-2</v>
      </c>
      <c r="G16" s="17">
        <f si="10" t="shared"/>
        <v>0.48402754073247684</v>
      </c>
      <c r="I16" s="3">
        <v>2</v>
      </c>
      <c r="J16" s="17">
        <f ref="J16:O16" si="11" t="shared">J7/$O$10</f>
        <v>3.2469424625144656E-3</v>
      </c>
      <c r="K16" s="17">
        <f si="11" t="shared"/>
        <v>5.0364240340346172E-2</v>
      </c>
      <c r="L16" s="17">
        <f si="11" t="shared"/>
        <v>0.31979053058370033</v>
      </c>
      <c r="M16" s="17">
        <f si="11" t="shared"/>
        <v>8.3704511584924202E-2</v>
      </c>
      <c r="N16" s="17">
        <f si="11" t="shared"/>
        <v>2.6921315760991733E-2</v>
      </c>
      <c r="O16" s="17">
        <f si="11" t="shared"/>
        <v>0.48402754073247689</v>
      </c>
      <c r="Q16">
        <v>11</v>
      </c>
      <c r="R16" t="s">
        <v>101</v>
      </c>
      <c r="S16" s="97">
        <f si="3" t="shared"/>
        <v>-1.4446352364099999</v>
      </c>
      <c r="T16" s="94">
        <f>D17/L17</f>
        <v>1.7830103659817316</v>
      </c>
      <c r="U16" s="97">
        <f si="4" t="shared"/>
        <v>0.66675370927967947</v>
      </c>
      <c r="V16" s="97">
        <f si="5" t="shared"/>
        <v>-0.77788152713032044</v>
      </c>
      <c r="X16" s="96">
        <v>14</v>
      </c>
      <c r="Y16" s="96" t="s">
        <v>49</v>
      </c>
      <c r="Z16" s="100">
        <f>VehAvailCoefficient!E24</f>
        <v>-1.1261276811700001</v>
      </c>
      <c r="AA16" s="99">
        <f si="0" t="shared"/>
        <v>-0.78409853776717631</v>
      </c>
    </row>
    <row r="17" spans="1:27" x14ac:dyDescent="0.25">
      <c r="A17" s="3">
        <v>3</v>
      </c>
      <c r="B17" s="17">
        <f ref="B17:G17" si="12" t="shared">B8/$G$10</f>
        <v>1.3379197590416413E-3</v>
      </c>
      <c r="C17" s="17">
        <f si="12" t="shared"/>
        <v>8.581427651971358E-3</v>
      </c>
      <c r="D17" s="17">
        <f si="12" t="shared"/>
        <v>2.9498873554726773E-2</v>
      </c>
      <c r="E17" s="17">
        <f si="12" t="shared"/>
        <v>6.2177325118208004E-2</v>
      </c>
      <c r="F17" s="17">
        <f si="12" t="shared"/>
        <v>2.0481165013102494E-2</v>
      </c>
      <c r="G17" s="17">
        <f si="12" t="shared"/>
        <v>0.12207671109705025</v>
      </c>
      <c r="I17" s="3">
        <v>3</v>
      </c>
      <c r="J17" s="17">
        <f ref="J17:O17" si="13" t="shared">J8/$O$10</f>
        <v>3.8796799680301049E-4</v>
      </c>
      <c r="K17" s="17">
        <f si="13" t="shared"/>
        <v>5.8045340637566294E-3</v>
      </c>
      <c r="L17" s="17">
        <f si="13" t="shared"/>
        <v>1.6544420670535246E-2</v>
      </c>
      <c r="M17" s="17">
        <f si="13" t="shared"/>
        <v>7.5120927792994924E-2</v>
      </c>
      <c r="N17" s="17">
        <f si="13" t="shared"/>
        <v>2.4218860572960462E-2</v>
      </c>
      <c r="O17" s="17">
        <f si="13" t="shared"/>
        <v>0.12207671109705028</v>
      </c>
      <c r="Q17">
        <v>12</v>
      </c>
      <c r="R17" t="s">
        <v>101</v>
      </c>
      <c r="S17" s="97">
        <f si="3" t="shared"/>
        <v>-0.81535992723999995</v>
      </c>
      <c r="T17" s="94">
        <f>F17/N17</f>
        <v>0.84567004923299416</v>
      </c>
      <c r="U17" s="97">
        <f si="4" t="shared"/>
        <v>-7.9175451548764764E-2</v>
      </c>
      <c r="V17" s="97">
        <f si="5" t="shared"/>
        <v>-0.89453537878876466</v>
      </c>
      <c r="X17" s="96">
        <v>15</v>
      </c>
      <c r="Y17" s="96" t="s">
        <v>50</v>
      </c>
      <c r="Z17" s="100">
        <f>VehAvailCoefficient!E25</f>
        <v>-1.6372198765899999</v>
      </c>
      <c r="AA17" s="99">
        <f si="0" t="shared"/>
        <v>-1.2472747527769492</v>
      </c>
    </row>
    <row r="18" spans="1:27" x14ac:dyDescent="0.25">
      <c r="A18" s="5" t="s">
        <v>3</v>
      </c>
      <c r="B18" s="18">
        <f ref="B18:G18" si="14" t="shared">B9/$G$10</f>
        <v>2.3983195338594625E-4</v>
      </c>
      <c r="C18" s="18">
        <f si="14" t="shared"/>
        <v>6.6259026995479182E-3</v>
      </c>
      <c r="D18" s="18">
        <f si="14" t="shared"/>
        <v>6.755280759978265E-3</v>
      </c>
      <c r="E18" s="18">
        <f si="14" t="shared"/>
        <v>2.3723248263951686E-2</v>
      </c>
      <c r="F18" s="18">
        <f si="14" t="shared"/>
        <v>1.7560700814906429E-2</v>
      </c>
      <c r="G18" s="17">
        <f si="14" t="shared"/>
        <v>5.490496449177025E-2</v>
      </c>
      <c r="I18" s="5" t="s">
        <v>3</v>
      </c>
      <c r="J18" s="17">
        <f ref="J18:O18" si="15" t="shared">J9/$O$10</f>
        <v>8.6585132333719082E-5</v>
      </c>
      <c r="K18" s="17">
        <f si="15" t="shared"/>
        <v>5.1418247816639329E-3</v>
      </c>
      <c r="L18" s="17">
        <f si="15" t="shared"/>
        <v>4.9969611948748266E-3</v>
      </c>
      <c r="M18" s="17">
        <f si="15" t="shared"/>
        <v>1.6664307776843471E-2</v>
      </c>
      <c r="N18" s="17">
        <f si="15" t="shared"/>
        <v>2.8015285606054298E-2</v>
      </c>
      <c r="O18" s="17">
        <f si="15" t="shared"/>
        <v>5.490496449177025E-2</v>
      </c>
      <c r="Q18">
        <v>13</v>
      </c>
      <c r="R18" t="s">
        <v>102</v>
      </c>
      <c r="S18" s="97">
        <f si="3" t="shared"/>
        <v>-5.3216543706600001</v>
      </c>
      <c r="T18" s="94">
        <f>B18/J18</f>
        <v>2.7698976362544387</v>
      </c>
      <c r="U18" s="97">
        <f si="4" t="shared"/>
        <v>1.1072609217244862</v>
      </c>
      <c r="V18" s="97">
        <f si="5" t="shared"/>
        <v>-4.2143934489355139</v>
      </c>
      <c r="X18" s="96">
        <v>16</v>
      </c>
      <c r="Y18" s="96" t="s">
        <v>51</v>
      </c>
      <c r="Z18" s="100">
        <f>VehAvailCoefficient!E26</f>
        <v>-0.59991414110999997</v>
      </c>
      <c r="AA18" s="99">
        <f si="0" t="shared"/>
        <v>-0.15827725109332691</v>
      </c>
    </row>
    <row ht="15.75" r="19" spans="1:27" thickBot="1" x14ac:dyDescent="0.3">
      <c r="A19" s="7" t="s">
        <v>4</v>
      </c>
      <c r="B19" s="19">
        <f>B10/$G$10</f>
        <v>6.3759264421935316E-2</v>
      </c>
      <c r="C19" s="19">
        <f ref="C19:G19" si="16" t="shared">C10/$G$10</f>
        <v>0.33072918903869208</v>
      </c>
      <c r="D19" s="19">
        <f si="16" t="shared"/>
        <v>0.37070496457845997</v>
      </c>
      <c r="E19" s="19">
        <f si="16" t="shared"/>
        <v>0.16925880593231515</v>
      </c>
      <c r="F19" s="19">
        <f si="16" t="shared"/>
        <v>6.5547776028597404E-2</v>
      </c>
      <c r="G19" s="19">
        <f si="16" t="shared"/>
        <v>1</v>
      </c>
      <c r="I19" s="7" t="s">
        <v>4</v>
      </c>
      <c r="J19" s="19">
        <f>J10/$O$10</f>
        <v>4.4669602790705421E-2</v>
      </c>
      <c r="K19" s="19">
        <f ref="K19:N19" si="17" t="shared">K10/$O$10</f>
        <v>0.31790064356064707</v>
      </c>
      <c r="L19" s="19">
        <f si="17" t="shared"/>
        <v>0.37698500578621796</v>
      </c>
      <c r="M19" s="19">
        <f si="17" t="shared"/>
        <v>0.18128762082372432</v>
      </c>
      <c r="N19" s="19">
        <f si="17" t="shared"/>
        <v>7.9157127038705213E-2</v>
      </c>
      <c r="O19" s="19">
        <f ref="O19" si="18" t="shared">SUM(J19:N19)</f>
        <v>1</v>
      </c>
      <c r="Q19">
        <v>14</v>
      </c>
      <c r="R19" t="s">
        <v>102</v>
      </c>
      <c r="S19" s="97">
        <f si="3" t="shared"/>
        <v>-1.1261276811700001</v>
      </c>
      <c r="T19" s="94">
        <f>C18/K18</f>
        <v>1.2886286446742214</v>
      </c>
      <c r="U19" s="97">
        <f si="4" t="shared"/>
        <v>0.3420291434028237</v>
      </c>
      <c r="V19" s="97">
        <f si="5" t="shared"/>
        <v>-0.78409853776717631</v>
      </c>
      <c r="X19" s="96">
        <v>18</v>
      </c>
      <c r="Y19" s="96" t="s">
        <v>52</v>
      </c>
      <c r="Z19" s="100">
        <f>VehAvailCoefficient!E27</f>
        <v>0.39953921787000002</v>
      </c>
      <c r="AA19" s="99">
        <f si="0" t="shared"/>
        <v>0.39953921787000002</v>
      </c>
    </row>
    <row r="20" spans="1:27" x14ac:dyDescent="0.25">
      <c r="Q20">
        <v>15</v>
      </c>
      <c r="R20" t="s">
        <v>102</v>
      </c>
      <c r="S20" s="97">
        <f si="3" t="shared"/>
        <v>-1.6372198765899999</v>
      </c>
      <c r="T20" s="94">
        <f>D18/L18</f>
        <v>1.3518777706152436</v>
      </c>
      <c r="U20" s="97">
        <f si="4" t="shared"/>
        <v>0.38994512381305069</v>
      </c>
      <c r="V20" s="97">
        <f si="5" t="shared"/>
        <v>-1.2472747527769492</v>
      </c>
      <c r="X20">
        <v>19</v>
      </c>
      <c r="Y20" t="s">
        <v>53</v>
      </c>
      <c r="Z20" s="98">
        <f>VehAvailCoefficient!E28</f>
        <v>0.69903044631199995</v>
      </c>
      <c r="AA20" s="99">
        <v>0.69903044631199995</v>
      </c>
    </row>
    <row r="21" spans="1:27" x14ac:dyDescent="0.25">
      <c r="Q21">
        <v>16</v>
      </c>
      <c r="R21" t="s">
        <v>102</v>
      </c>
      <c r="S21" s="97">
        <f si="3" t="shared"/>
        <v>-0.59991414110999997</v>
      </c>
      <c r="T21" s="94">
        <f>E18/M18</f>
        <v>1.4235963822582081</v>
      </c>
      <c r="U21" s="97">
        <f si="4" t="shared"/>
        <v>0.44163689001667306</v>
      </c>
      <c r="V21" s="97">
        <f si="5" t="shared"/>
        <v>-0.15827725109332691</v>
      </c>
      <c r="X21">
        <v>20</v>
      </c>
      <c r="Y21" t="s">
        <v>54</v>
      </c>
      <c r="Z21" s="98">
        <f>VehAvailCoefficient!E29</f>
        <v>0.32485446959800002</v>
      </c>
      <c r="AA21" s="99">
        <v>0.32485446959800002</v>
      </c>
    </row>
    <row ht="15.75" r="22" spans="1:27" thickBot="1" x14ac:dyDescent="0.3">
      <c r="Q22" s="101">
        <v>18</v>
      </c>
      <c r="R22" s="104" t="s">
        <v>173</v>
      </c>
      <c r="S22" s="102">
        <f si="3" t="shared"/>
        <v>0.39953921787000002</v>
      </c>
      <c r="T22" s="103">
        <f>(C15+D16+E17+F18)/(K15+L16+M17+N18)</f>
        <v>0.91534836752623083</v>
      </c>
      <c r="U22" s="102">
        <f si="4" t="shared"/>
        <v>0</v>
      </c>
      <c r="V22" s="102">
        <f si="5" t="shared"/>
        <v>0.39953921787000002</v>
      </c>
      <c r="X22">
        <v>22</v>
      </c>
      <c r="Y22" t="s">
        <v>55</v>
      </c>
      <c r="Z22" s="98">
        <f>VehAvailCoefficient!E30</f>
        <v>-0.43856128772000003</v>
      </c>
      <c r="AA22" s="99">
        <v>-0.43856128772000003</v>
      </c>
    </row>
    <row r="23" spans="1:27" x14ac:dyDescent="0.25">
      <c r="X23">
        <v>24</v>
      </c>
      <c r="Y23" t="s">
        <v>56</v>
      </c>
      <c r="Z23" s="98">
        <f>VehAvailCoefficient!E31</f>
        <v>0.239019734309</v>
      </c>
      <c r="AA23" s="99">
        <v>0.239019734309</v>
      </c>
    </row>
    <row r="24" spans="1:27" x14ac:dyDescent="0.25">
      <c r="X24">
        <v>25</v>
      </c>
      <c r="Y24" t="s">
        <v>57</v>
      </c>
      <c r="Z24" s="98">
        <f>VehAvailCoefficient!E32</f>
        <v>-0.30115653367700002</v>
      </c>
      <c r="AA24" s="99">
        <v>-0.30115653367700002</v>
      </c>
    </row>
    <row r="25" spans="1:27" x14ac:dyDescent="0.25">
      <c r="X25">
        <v>26</v>
      </c>
      <c r="Y25" t="s">
        <v>58</v>
      </c>
      <c r="Z25" s="98">
        <f>VehAvailCoefficient!E33</f>
        <v>-0.56373515910799998</v>
      </c>
      <c r="AA25" s="99">
        <v>-0.56373515910799998</v>
      </c>
    </row>
    <row r="26" spans="1:27" x14ac:dyDescent="0.25">
      <c r="X26">
        <v>28</v>
      </c>
      <c r="Y26" t="s">
        <v>59</v>
      </c>
      <c r="Z26" s="98">
        <f>VehAvailCoefficient!E34</f>
        <v>0.31959884056900001</v>
      </c>
      <c r="AA26" s="99">
        <v>0.31959884056900001</v>
      </c>
    </row>
    <row r="27" spans="1:27" x14ac:dyDescent="0.25">
      <c r="X27">
        <v>29</v>
      </c>
      <c r="Y27" t="s">
        <v>60</v>
      </c>
      <c r="Z27" s="98">
        <f>VehAvailCoefficient!E35</f>
        <v>0.57068696704599997</v>
      </c>
      <c r="AA27" s="99">
        <v>0.57068696704599997</v>
      </c>
    </row>
    <row r="28" spans="1:27" x14ac:dyDescent="0.25">
      <c r="X28">
        <v>31</v>
      </c>
      <c r="Y28" t="s">
        <v>61</v>
      </c>
      <c r="Z28" s="98">
        <f>VehAvailCoefficient!E36</f>
        <v>2.9250059989500001</v>
      </c>
      <c r="AA28" s="99">
        <v>2.9250059989500001</v>
      </c>
    </row>
    <row r="29" spans="1:27" x14ac:dyDescent="0.25">
      <c r="X29">
        <v>32</v>
      </c>
      <c r="Y29" t="s">
        <v>62</v>
      </c>
      <c r="Z29" s="98">
        <f>VehAvailCoefficient!E37</f>
        <v>1.2969669216299999</v>
      </c>
      <c r="AA29" s="99">
        <v>1.2969669216299999</v>
      </c>
    </row>
    <row r="30" spans="1:27" x14ac:dyDescent="0.25">
      <c r="X30">
        <v>34</v>
      </c>
      <c r="Y30" t="s">
        <v>63</v>
      </c>
      <c r="Z30" s="98">
        <f>VehAvailCoefficient!E38</f>
        <v>-2.59112200624</v>
      </c>
      <c r="AA30" s="99">
        <v>-2.59112200624</v>
      </c>
    </row>
    <row r="31" spans="1:27" x14ac:dyDescent="0.25">
      <c r="X31">
        <v>35</v>
      </c>
      <c r="Y31" t="s">
        <v>64</v>
      </c>
      <c r="Z31" s="98">
        <f>VehAvailCoefficient!E39</f>
        <v>-1.0636437007299999</v>
      </c>
      <c r="AA31" s="99">
        <v>-1.0636437007299999</v>
      </c>
    </row>
    <row r="32" spans="1:27" x14ac:dyDescent="0.25">
      <c r="X32">
        <v>36</v>
      </c>
      <c r="Y32" t="s">
        <v>65</v>
      </c>
      <c r="Z32" s="98">
        <f>VehAvailCoefficient!E40</f>
        <v>-0.53660640919000002</v>
      </c>
      <c r="AA32" s="99">
        <v>-0.53660640919000002</v>
      </c>
    </row>
    <row r="33" spans="24:27" x14ac:dyDescent="0.25">
      <c r="X33">
        <v>37</v>
      </c>
      <c r="Y33" t="s">
        <v>66</v>
      </c>
      <c r="Z33" s="98">
        <f>VehAvailCoefficient!E41</f>
        <v>0.28589368992800002</v>
      </c>
      <c r="AA33" s="99">
        <v>0.28589368992800002</v>
      </c>
    </row>
    <row r="34" spans="24:27" x14ac:dyDescent="0.25">
      <c r="X34">
        <v>38</v>
      </c>
      <c r="Y34" t="s">
        <v>67</v>
      </c>
      <c r="Z34" s="98">
        <f>VehAvailCoefficient!E42</f>
        <v>0.64783551265499995</v>
      </c>
      <c r="AA34" s="99">
        <v>0.64783551265499995</v>
      </c>
    </row>
    <row r="35" spans="24:27" x14ac:dyDescent="0.25">
      <c r="X35">
        <v>41</v>
      </c>
      <c r="Y35" t="s">
        <v>68</v>
      </c>
      <c r="Z35" s="98">
        <f>VehAvailCoefficient!E43</f>
        <v>-0.47288768158</v>
      </c>
      <c r="AA35" s="99">
        <v>-0.47288768158</v>
      </c>
    </row>
    <row r="36" spans="24:27" x14ac:dyDescent="0.25">
      <c r="X36">
        <v>42</v>
      </c>
      <c r="Y36" t="s">
        <v>69</v>
      </c>
      <c r="Z36" s="98">
        <f>VehAvailCoefficient!E44</f>
        <v>-1.73045435445</v>
      </c>
      <c r="AA36" s="99">
        <v>-1.73045435445</v>
      </c>
    </row>
    <row r="37" spans="24:27" x14ac:dyDescent="0.25">
      <c r="X37">
        <v>43</v>
      </c>
      <c r="Y37" t="s">
        <v>70</v>
      </c>
      <c r="Z37" s="98">
        <f>VehAvailCoefficient!E45</f>
        <v>2.0718120356499998</v>
      </c>
      <c r="AA37" s="99">
        <v>2.0718120356499998</v>
      </c>
    </row>
    <row r="38" spans="24:27" x14ac:dyDescent="0.25">
      <c r="X38">
        <v>44</v>
      </c>
      <c r="Y38" t="s">
        <v>71</v>
      </c>
      <c r="Z38" s="98">
        <f>VehAvailCoefficient!E46</f>
        <v>0.60728378971399999</v>
      </c>
      <c r="AA38" s="99">
        <v>0.60728378971399999</v>
      </c>
    </row>
    <row r="39" spans="24:27" x14ac:dyDescent="0.25">
      <c r="X39">
        <v>45</v>
      </c>
      <c r="Y39" t="s">
        <v>72</v>
      </c>
      <c r="Z39" s="98">
        <f>VehAvailCoefficient!E47</f>
        <v>-0.71462161389500001</v>
      </c>
      <c r="AA39" s="99">
        <v>-0.71462161389500001</v>
      </c>
    </row>
    <row r="40" spans="24:27" x14ac:dyDescent="0.25">
      <c r="X40">
        <v>46</v>
      </c>
      <c r="Y40" t="s">
        <v>73</v>
      </c>
      <c r="Z40" s="98">
        <f>VehAvailCoefficient!E48</f>
        <v>-1.4356778668800001</v>
      </c>
      <c r="AA40" s="99">
        <v>-1.4356778668800001</v>
      </c>
    </row>
    <row r="41" spans="24:27" x14ac:dyDescent="0.25">
      <c r="X41">
        <v>47</v>
      </c>
      <c r="Y41" t="s">
        <v>74</v>
      </c>
      <c r="Z41" s="98">
        <f>VehAvailCoefficient!E49</f>
        <v>-1.45349726543</v>
      </c>
      <c r="AA41" s="99">
        <v>-1.45349726543</v>
      </c>
    </row>
    <row r="42" spans="24:27" x14ac:dyDescent="0.25">
      <c r="X42">
        <v>48</v>
      </c>
      <c r="Y42" t="s">
        <v>75</v>
      </c>
      <c r="Z42" s="98">
        <f>VehAvailCoefficient!E50</f>
        <v>-1.0930755785699999</v>
      </c>
      <c r="AA42" s="99">
        <v>-1.0930755785699999</v>
      </c>
    </row>
    <row r="43" spans="24:27" x14ac:dyDescent="0.25">
      <c r="X43">
        <v>49</v>
      </c>
      <c r="Y43" t="s">
        <v>76</v>
      </c>
      <c r="Z43" s="98">
        <f>VehAvailCoefficient!E51</f>
        <v>0.14078168516299999</v>
      </c>
      <c r="AA43" s="99">
        <v>0.14078168516299999</v>
      </c>
    </row>
    <row r="44" spans="24:27" x14ac:dyDescent="0.25">
      <c r="X44">
        <v>50</v>
      </c>
      <c r="Y44" t="s">
        <v>77</v>
      </c>
      <c r="Z44" s="98">
        <f>VehAvailCoefficient!E52</f>
        <v>0.188609995585</v>
      </c>
      <c r="AA44" s="99">
        <v>0.188609995585</v>
      </c>
    </row>
    <row r="45" spans="24:27" x14ac:dyDescent="0.25">
      <c r="X45">
        <v>51</v>
      </c>
      <c r="Y45" t="s">
        <v>78</v>
      </c>
      <c r="Z45" s="98">
        <f>VehAvailCoefficient!E53</f>
        <v>-0.58492078305700002</v>
      </c>
      <c r="AA45" s="99">
        <v>-0.58492078305700002</v>
      </c>
    </row>
    <row r="46" spans="24:27" x14ac:dyDescent="0.25">
      <c r="X46">
        <v>52</v>
      </c>
      <c r="Y46" t="s">
        <v>79</v>
      </c>
      <c r="Z46" s="98">
        <f>VehAvailCoefficient!E54</f>
        <v>-1.0058660612699999</v>
      </c>
      <c r="AA46" s="99">
        <v>-1.0058660612699999</v>
      </c>
    </row>
    <row r="47" spans="24:27" x14ac:dyDescent="0.25">
      <c r="X47">
        <v>53</v>
      </c>
      <c r="Y47" t="s">
        <v>80</v>
      </c>
      <c r="Z47" s="98">
        <f>VehAvailCoefficient!E55</f>
        <v>0.22559840834</v>
      </c>
      <c r="AA47" s="99">
        <v>0.22559840834</v>
      </c>
    </row>
    <row r="48" spans="24:27" x14ac:dyDescent="0.25">
      <c r="X48">
        <v>54</v>
      </c>
      <c r="Y48" t="s">
        <v>81</v>
      </c>
      <c r="Z48" s="98">
        <f>VehAvailCoefficient!E56</f>
        <v>0.34302043279099997</v>
      </c>
      <c r="AA48" s="99">
        <v>0.34302043279099997</v>
      </c>
    </row>
    <row r="49" spans="24:27" x14ac:dyDescent="0.25">
      <c r="X49">
        <v>55</v>
      </c>
      <c r="Y49" t="s">
        <v>82</v>
      </c>
      <c r="Z49" s="98">
        <f>VehAvailCoefficient!E57</f>
        <v>-0.53538167154600003</v>
      </c>
      <c r="AA49" s="99">
        <v>-0.53538167154600003</v>
      </c>
    </row>
    <row r="50" spans="24:27" x14ac:dyDescent="0.25">
      <c r="X50">
        <v>56</v>
      </c>
      <c r="Y50" t="s">
        <v>83</v>
      </c>
      <c r="Z50" s="98">
        <f>VehAvailCoefficient!E58</f>
        <v>-0.52697142353899995</v>
      </c>
      <c r="AA50" s="99">
        <v>-0.52697142353899995</v>
      </c>
    </row>
    <row r="51" spans="24:27" x14ac:dyDescent="0.25">
      <c r="X51">
        <v>57</v>
      </c>
      <c r="Y51" t="s">
        <v>84</v>
      </c>
      <c r="Z51" s="98">
        <f>VehAvailCoefficient!E59</f>
        <v>0.21517789340999999</v>
      </c>
      <c r="AA51" s="99">
        <v>0.21517789340999999</v>
      </c>
    </row>
    <row r="52" spans="24:27" x14ac:dyDescent="0.25">
      <c r="X52">
        <v>58</v>
      </c>
      <c r="Y52" t="s">
        <v>85</v>
      </c>
      <c r="Z52" s="98">
        <f>VehAvailCoefficient!E60</f>
        <v>-0.978212790971</v>
      </c>
      <c r="AA52" s="99">
        <v>-0.978212790971</v>
      </c>
    </row>
    <row r="53" spans="24:27" x14ac:dyDescent="0.25">
      <c r="X53">
        <v>59</v>
      </c>
      <c r="Y53" t="s">
        <v>86</v>
      </c>
      <c r="Z53" s="98">
        <f>VehAvailCoefficient!E61</f>
        <v>-0.42495698544999999</v>
      </c>
      <c r="AA53" s="99">
        <v>-0.42495698544999999</v>
      </c>
    </row>
    <row r="54" spans="24:27" x14ac:dyDescent="0.25">
      <c r="X54">
        <v>60</v>
      </c>
      <c r="Y54" t="s">
        <v>87</v>
      </c>
      <c r="Z54" s="98">
        <f>VehAvailCoefficient!E62</f>
        <v>-0.11124462416</v>
      </c>
      <c r="AA54" s="99">
        <v>-0.11124462416</v>
      </c>
    </row>
    <row r="55" spans="24:27" x14ac:dyDescent="0.25">
      <c r="X55">
        <v>63</v>
      </c>
      <c r="Y55" t="s">
        <v>88</v>
      </c>
      <c r="Z55" s="98">
        <f>VehAvailCoefficient!E63</f>
        <v>-1.2627495896200001</v>
      </c>
      <c r="AA55" s="99">
        <v>-1.2627495896200001</v>
      </c>
    </row>
    <row r="56" spans="24:27" x14ac:dyDescent="0.25">
      <c r="X56">
        <v>69</v>
      </c>
      <c r="Y56" t="s">
        <v>89</v>
      </c>
      <c r="Z56" s="98">
        <f>VehAvailCoefficient!E64</f>
        <v>-0.182881856812</v>
      </c>
      <c r="AA56" s="99">
        <v>-0.182881856812</v>
      </c>
    </row>
    <row r="57" spans="24:27" x14ac:dyDescent="0.25">
      <c r="X57">
        <v>72</v>
      </c>
      <c r="Y57" t="s">
        <v>90</v>
      </c>
      <c r="Z57" s="98">
        <f>VehAvailCoefficient!E65</f>
        <v>0.14811075420100001</v>
      </c>
      <c r="AA57" s="99">
        <v>0.14811075420100001</v>
      </c>
    </row>
    <row r="58" spans="24:27" x14ac:dyDescent="0.25">
      <c r="X58">
        <v>73</v>
      </c>
      <c r="Y58" t="s">
        <v>91</v>
      </c>
      <c r="Z58" s="98">
        <f>VehAvailCoefficient!E66</f>
        <v>7.1458236224400005E-4</v>
      </c>
      <c r="AA58" s="99">
        <v>7.1458236224400005E-4</v>
      </c>
    </row>
    <row r="59" spans="24:27" x14ac:dyDescent="0.25">
      <c r="X59">
        <v>75</v>
      </c>
      <c r="Y59" t="s">
        <v>92</v>
      </c>
      <c r="Z59" s="98">
        <f>VehAvailCoefficient!E67</f>
        <v>0.29597958689600001</v>
      </c>
      <c r="AA59" s="99">
        <v>0.29597958689600001</v>
      </c>
    </row>
    <row r="60" spans="24:27" x14ac:dyDescent="0.25">
      <c r="X60">
        <v>76</v>
      </c>
      <c r="Y60" t="s">
        <v>93</v>
      </c>
      <c r="Z60" s="98">
        <f>VehAvailCoefficient!E68</f>
        <v>0.19796492273399999</v>
      </c>
      <c r="AA60" s="99">
        <v>0.19796492273399999</v>
      </c>
    </row>
    <row r="61" spans="24:27" x14ac:dyDescent="0.25">
      <c r="X61">
        <v>77</v>
      </c>
      <c r="Y61" t="s">
        <v>94</v>
      </c>
      <c r="Z61" s="98">
        <f>VehAvailCoefficient!E69</f>
        <v>0.27817460170199998</v>
      </c>
      <c r="AA61" s="99">
        <v>0.27817460170199998</v>
      </c>
    </row>
    <row r="62" spans="24:27" x14ac:dyDescent="0.25">
      <c r="X62">
        <v>83</v>
      </c>
      <c r="Y62" t="s">
        <v>95</v>
      </c>
      <c r="Z62" s="98">
        <f>VehAvailCoefficient!E70</f>
        <v>-0.77256225305799997</v>
      </c>
      <c r="AA62" s="9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2015-04-20T19:55:34Z</dcterms:modified>
</cp:coreProperties>
</file>