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-15" yWindow="-15" windowWidth="25230" windowHeight="6180"/>
  </bookViews>
  <sheets>
    <sheet name="Vehicles_by_County" sheetId="5" r:id="rId1"/>
    <sheet name="Vehicles_by_Income" sheetId="4" r:id="rId2"/>
    <sheet name="Vehicles_by_HHDrivers" sheetId="1" r:id="rId3"/>
    <sheet name="Coeff" sheetId="6" r:id="rId4"/>
    <sheet name="VehAvailCoefficient" sheetId="7" r:id="rId5"/>
    <sheet name="calibration" sheetId="8" r:id="rId6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2">Vehicles_by_County!$R$6:$V$12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</definedNames>
  <calcPr calcId="171027"/>
</workbook>
</file>

<file path=xl/calcChain.xml><?xml version="1.0" encoding="utf-8"?>
<calcChain xmlns="http://schemas.openxmlformats.org/spreadsheetml/2006/main">
  <c r="Z4" i="8" l="1"/>
  <c r="S7" i="8" s="1"/>
  <c r="Z5" i="8"/>
  <c r="S8" i="8" s="1"/>
  <c r="Z6" i="8"/>
  <c r="S9" i="8" s="1"/>
  <c r="Z7" i="8"/>
  <c r="S10" i="8" s="1"/>
  <c r="Z8" i="8"/>
  <c r="S11" i="8" s="1"/>
  <c r="Z9" i="8"/>
  <c r="S12" i="8" s="1"/>
  <c r="Z10" i="8"/>
  <c r="S13" i="8" s="1"/>
  <c r="Z11" i="8"/>
  <c r="S14" i="8" s="1"/>
  <c r="Z12" i="8"/>
  <c r="S15" i="8" s="1"/>
  <c r="Z13" i="8"/>
  <c r="S16" i="8" s="1"/>
  <c r="Z14" i="8"/>
  <c r="S17" i="8" s="1"/>
  <c r="Z15" i="8"/>
  <c r="S18" i="8" s="1"/>
  <c r="Z16" i="8"/>
  <c r="S19" i="8" s="1"/>
  <c r="Z17" i="8"/>
  <c r="S20" i="8" s="1"/>
  <c r="Z18" i="8"/>
  <c r="S21" i="8" s="1"/>
  <c r="Z19" i="8"/>
  <c r="S22" i="8" s="1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3" i="8"/>
  <c r="S6" i="8" s="1"/>
  <c r="O6" i="5" l="1"/>
  <c r="A39" i="5" l="1"/>
  <c r="A38" i="5"/>
  <c r="A37" i="5"/>
  <c r="A36" i="5"/>
  <c r="A35" i="5"/>
  <c r="A34" i="5"/>
  <c r="A33" i="5"/>
  <c r="A32" i="5"/>
  <c r="A26" i="5"/>
  <c r="A25" i="5"/>
  <c r="A24" i="5"/>
  <c r="A23" i="5"/>
  <c r="A22" i="5"/>
  <c r="A21" i="5"/>
  <c r="A20" i="5"/>
  <c r="A19" i="5"/>
  <c r="AG26" i="5"/>
  <c r="AG25" i="5"/>
  <c r="AG24" i="5"/>
  <c r="AG23" i="5"/>
  <c r="AG22" i="5"/>
  <c r="AG21" i="5"/>
  <c r="AG20" i="5"/>
  <c r="AG19" i="5"/>
  <c r="Y26" i="5"/>
  <c r="Y25" i="5"/>
  <c r="Y24" i="5"/>
  <c r="Y23" i="5"/>
  <c r="Y22" i="5"/>
  <c r="Y21" i="5"/>
  <c r="Y20" i="5"/>
  <c r="Y19" i="5"/>
  <c r="Q52" i="5"/>
  <c r="Q51" i="5"/>
  <c r="Q50" i="5"/>
  <c r="Q49" i="5"/>
  <c r="Q48" i="5"/>
  <c r="Q47" i="5"/>
  <c r="Q46" i="5"/>
  <c r="Q45" i="5"/>
  <c r="Q39" i="5"/>
  <c r="Q38" i="5"/>
  <c r="Q37" i="5"/>
  <c r="Q36" i="5"/>
  <c r="Q35" i="5"/>
  <c r="Q34" i="5"/>
  <c r="Q33" i="5"/>
  <c r="Q32" i="5"/>
  <c r="Q26" i="5"/>
  <c r="Q25" i="5"/>
  <c r="Q24" i="5"/>
  <c r="Q23" i="5"/>
  <c r="Q22" i="5"/>
  <c r="Q21" i="5"/>
  <c r="Q20" i="5"/>
  <c r="Q19" i="5"/>
  <c r="Q13" i="5"/>
  <c r="Q12" i="5"/>
  <c r="Q11" i="5"/>
  <c r="Q10" i="5"/>
  <c r="Q9" i="5"/>
  <c r="Q8" i="5"/>
  <c r="Q7" i="5"/>
  <c r="Q6" i="5"/>
  <c r="I39" i="5"/>
  <c r="I38" i="5"/>
  <c r="I37" i="5"/>
  <c r="I36" i="5"/>
  <c r="I35" i="5"/>
  <c r="I34" i="5"/>
  <c r="I33" i="5"/>
  <c r="I32" i="5"/>
  <c r="I26" i="5"/>
  <c r="I25" i="5"/>
  <c r="I24" i="5"/>
  <c r="I23" i="5"/>
  <c r="I22" i="5"/>
  <c r="I21" i="5"/>
  <c r="I20" i="5"/>
  <c r="I19" i="5"/>
  <c r="O12" i="5"/>
  <c r="K13" i="5"/>
  <c r="L13" i="5"/>
  <c r="M13" i="5"/>
  <c r="N13" i="5"/>
  <c r="J13" i="5"/>
  <c r="I13" i="5"/>
  <c r="G12" i="5"/>
  <c r="C13" i="5"/>
  <c r="D13" i="5"/>
  <c r="E13" i="5"/>
  <c r="F13" i="5"/>
  <c r="B13" i="5"/>
  <c r="W12" i="5"/>
  <c r="S25" i="5"/>
  <c r="T25" i="5"/>
  <c r="U25" i="5"/>
  <c r="V25" i="5"/>
  <c r="R25" i="5"/>
  <c r="S13" i="5"/>
  <c r="T13" i="5"/>
  <c r="U13" i="5"/>
  <c r="V13" i="5"/>
  <c r="R13" i="5"/>
  <c r="W25" i="5" l="1"/>
  <c r="Q62" i="5"/>
  <c r="Q61" i="5"/>
  <c r="Q60" i="5"/>
  <c r="Q59" i="5"/>
  <c r="Q58" i="5"/>
  <c r="Q57" i="5"/>
  <c r="I62" i="5"/>
  <c r="I61" i="5"/>
  <c r="I60" i="5"/>
  <c r="I59" i="5"/>
  <c r="I58" i="5"/>
  <c r="I57" i="5"/>
  <c r="A62" i="5"/>
  <c r="A61" i="5"/>
  <c r="A60" i="5"/>
  <c r="A59" i="5"/>
  <c r="A58" i="5"/>
  <c r="A57" i="5"/>
  <c r="I12" i="5"/>
  <c r="I11" i="5"/>
  <c r="I10" i="5"/>
  <c r="I9" i="5"/>
  <c r="I8" i="5"/>
  <c r="I7" i="5"/>
  <c r="I6" i="5"/>
  <c r="O7" i="5" l="1"/>
  <c r="O8" i="5"/>
  <c r="O9" i="5"/>
  <c r="O10" i="5"/>
  <c r="O11" i="5"/>
  <c r="O13" i="5" l="1"/>
  <c r="W8" i="5"/>
  <c r="W9" i="5"/>
  <c r="W10" i="5"/>
  <c r="G8" i="5"/>
  <c r="G9" i="5"/>
  <c r="G10" i="5"/>
  <c r="V23" i="5" l="1"/>
  <c r="U23" i="5"/>
  <c r="T23" i="5"/>
  <c r="S23" i="5"/>
  <c r="R23" i="5"/>
  <c r="V22" i="5"/>
  <c r="U22" i="5"/>
  <c r="T22" i="5"/>
  <c r="S22" i="5"/>
  <c r="R22" i="5"/>
  <c r="V21" i="5"/>
  <c r="U21" i="5"/>
  <c r="T21" i="5"/>
  <c r="S21" i="5"/>
  <c r="R21" i="5"/>
  <c r="O23" i="5"/>
  <c r="N23" i="5"/>
  <c r="M23" i="5"/>
  <c r="L23" i="5"/>
  <c r="K23" i="5"/>
  <c r="J23" i="5"/>
  <c r="O22" i="5"/>
  <c r="N22" i="5"/>
  <c r="M22" i="5"/>
  <c r="L22" i="5"/>
  <c r="K22" i="5"/>
  <c r="J22" i="5"/>
  <c r="O21" i="5"/>
  <c r="N21" i="5"/>
  <c r="M21" i="5"/>
  <c r="L21" i="5"/>
  <c r="K21" i="5"/>
  <c r="J21" i="5"/>
  <c r="G23" i="5"/>
  <c r="AM23" i="5" s="1"/>
  <c r="G22" i="5"/>
  <c r="AM22" i="5" s="1"/>
  <c r="G21" i="5"/>
  <c r="AM21" i="5" s="1"/>
  <c r="F23" i="5"/>
  <c r="AL23" i="5" s="1"/>
  <c r="E23" i="5"/>
  <c r="AK23" i="5" s="1"/>
  <c r="D23" i="5"/>
  <c r="AJ23" i="5" s="1"/>
  <c r="C23" i="5"/>
  <c r="AI23" i="5" s="1"/>
  <c r="B23" i="5"/>
  <c r="AH23" i="5" s="1"/>
  <c r="F22" i="5"/>
  <c r="AL22" i="5" s="1"/>
  <c r="E22" i="5"/>
  <c r="AK22" i="5" s="1"/>
  <c r="D22" i="5"/>
  <c r="AJ22" i="5" s="1"/>
  <c r="C22" i="5"/>
  <c r="AI22" i="5" s="1"/>
  <c r="B22" i="5"/>
  <c r="AH22" i="5" s="1"/>
  <c r="F21" i="5"/>
  <c r="AL21" i="5" s="1"/>
  <c r="E21" i="5"/>
  <c r="AK21" i="5" s="1"/>
  <c r="D21" i="5"/>
  <c r="AJ21" i="5" s="1"/>
  <c r="C21" i="5"/>
  <c r="AI21" i="5" s="1"/>
  <c r="B21" i="5"/>
  <c r="AH21" i="5" s="1"/>
  <c r="R19" i="5"/>
  <c r="S19" i="5"/>
  <c r="T19" i="5"/>
  <c r="U19" i="5"/>
  <c r="V19" i="5"/>
  <c r="R20" i="5"/>
  <c r="S20" i="5"/>
  <c r="T20" i="5"/>
  <c r="U20" i="5"/>
  <c r="V20" i="5"/>
  <c r="R24" i="5"/>
  <c r="S24" i="5"/>
  <c r="T24" i="5"/>
  <c r="U24" i="5"/>
  <c r="V24" i="5"/>
  <c r="G6" i="4"/>
  <c r="W6" i="4"/>
  <c r="G7" i="4"/>
  <c r="W7" i="4"/>
  <c r="G8" i="4"/>
  <c r="W8" i="4"/>
  <c r="G9" i="4"/>
  <c r="W9" i="4"/>
  <c r="B10" i="4"/>
  <c r="C10" i="4"/>
  <c r="D10" i="4"/>
  <c r="E10" i="4"/>
  <c r="F10" i="4"/>
  <c r="R10" i="4"/>
  <c r="S10" i="4"/>
  <c r="T10" i="4"/>
  <c r="U10" i="4"/>
  <c r="V10" i="4"/>
  <c r="R17" i="1"/>
  <c r="J7" i="8" s="1"/>
  <c r="S17" i="1"/>
  <c r="K7" i="8" s="1"/>
  <c r="T17" i="1"/>
  <c r="L7" i="8" s="1"/>
  <c r="U17" i="1"/>
  <c r="M7" i="8" s="1"/>
  <c r="V17" i="1"/>
  <c r="N7" i="8" s="1"/>
  <c r="R18" i="1"/>
  <c r="J8" i="8" s="1"/>
  <c r="S18" i="1"/>
  <c r="K8" i="8" s="1"/>
  <c r="T18" i="1"/>
  <c r="L8" i="8" s="1"/>
  <c r="U18" i="1"/>
  <c r="M8" i="8" s="1"/>
  <c r="V18" i="1"/>
  <c r="N8" i="8" s="1"/>
  <c r="R19" i="1"/>
  <c r="J9" i="8" s="1"/>
  <c r="S19" i="1"/>
  <c r="K9" i="8" s="1"/>
  <c r="T19" i="1"/>
  <c r="L9" i="8" s="1"/>
  <c r="U19" i="1"/>
  <c r="M9" i="8" s="1"/>
  <c r="V19" i="1"/>
  <c r="N9" i="8" s="1"/>
  <c r="S16" i="1"/>
  <c r="K6" i="8" s="1"/>
  <c r="T16" i="1"/>
  <c r="L6" i="8" s="1"/>
  <c r="U16" i="1"/>
  <c r="M6" i="8" s="1"/>
  <c r="V16" i="1"/>
  <c r="N6" i="8" s="1"/>
  <c r="R16" i="1"/>
  <c r="R17" i="4"/>
  <c r="S17" i="4"/>
  <c r="T17" i="4"/>
  <c r="U17" i="4"/>
  <c r="V17" i="4"/>
  <c r="R18" i="4"/>
  <c r="S18" i="4"/>
  <c r="T18" i="4"/>
  <c r="U18" i="4"/>
  <c r="V18" i="4"/>
  <c r="R19" i="4"/>
  <c r="S19" i="4"/>
  <c r="T19" i="4"/>
  <c r="U19" i="4"/>
  <c r="V19" i="4"/>
  <c r="S16" i="4"/>
  <c r="T16" i="4"/>
  <c r="U16" i="4"/>
  <c r="V16" i="4"/>
  <c r="R16" i="4"/>
  <c r="J6" i="8" l="1"/>
  <c r="Z34" i="1"/>
  <c r="AD21" i="5"/>
  <c r="Z22" i="5"/>
  <c r="AA22" i="5"/>
  <c r="Z21" i="5"/>
  <c r="AB22" i="5"/>
  <c r="AC22" i="5"/>
  <c r="AD22" i="5"/>
  <c r="Z23" i="5"/>
  <c r="AA21" i="5"/>
  <c r="AA23" i="5"/>
  <c r="AB23" i="5"/>
  <c r="AC23" i="5"/>
  <c r="AD23" i="5"/>
  <c r="AB21" i="5"/>
  <c r="AC21" i="5"/>
  <c r="V26" i="5"/>
  <c r="U26" i="5"/>
  <c r="T26" i="5"/>
  <c r="S26" i="5"/>
  <c r="R26" i="5"/>
  <c r="W22" i="5"/>
  <c r="AE22" i="5" s="1"/>
  <c r="W21" i="5"/>
  <c r="AE21" i="5" s="1"/>
  <c r="W23" i="5"/>
  <c r="AE23" i="5" s="1"/>
  <c r="G10" i="4"/>
  <c r="W24" i="5"/>
  <c r="W19" i="1"/>
  <c r="W10" i="4"/>
  <c r="W20" i="5"/>
  <c r="W19" i="5"/>
  <c r="V20" i="4"/>
  <c r="R20" i="4"/>
  <c r="W19" i="4"/>
  <c r="T20" i="4"/>
  <c r="W16" i="4"/>
  <c r="W17" i="1"/>
  <c r="W17" i="4"/>
  <c r="R20" i="1"/>
  <c r="S20" i="1"/>
  <c r="T20" i="1"/>
  <c r="U20" i="1"/>
  <c r="W18" i="1"/>
  <c r="V20" i="1"/>
  <c r="W16" i="1"/>
  <c r="W18" i="4"/>
  <c r="U20" i="4"/>
  <c r="S20" i="4"/>
  <c r="W26" i="5" l="1"/>
  <c r="W20" i="4"/>
  <c r="W20" i="1"/>
  <c r="V10" i="1"/>
  <c r="U10" i="1"/>
  <c r="T10" i="1"/>
  <c r="S10" i="1"/>
  <c r="R10" i="1"/>
  <c r="W9" i="1"/>
  <c r="W8" i="1"/>
  <c r="W7" i="1"/>
  <c r="W6" i="1"/>
  <c r="F10" i="1"/>
  <c r="E10" i="1"/>
  <c r="D10" i="1"/>
  <c r="C10" i="1"/>
  <c r="B10" i="1"/>
  <c r="G9" i="1"/>
  <c r="G8" i="1"/>
  <c r="G7" i="1"/>
  <c r="G6" i="1"/>
  <c r="W11" i="5"/>
  <c r="W7" i="5"/>
  <c r="W6" i="5"/>
  <c r="G7" i="5"/>
  <c r="G11" i="5"/>
  <c r="G6" i="5"/>
  <c r="G16" i="1" l="1"/>
  <c r="W13" i="5"/>
  <c r="W37" i="5" s="1"/>
  <c r="G13" i="5"/>
  <c r="B20" i="5"/>
  <c r="C24" i="5"/>
  <c r="G24" i="5"/>
  <c r="AE24" i="5" s="1"/>
  <c r="M24" i="5"/>
  <c r="B24" i="5"/>
  <c r="F24" i="5"/>
  <c r="L24" i="5"/>
  <c r="E24" i="5"/>
  <c r="K24" i="5"/>
  <c r="O24" i="5"/>
  <c r="J24" i="5"/>
  <c r="D24" i="5"/>
  <c r="N24" i="5"/>
  <c r="C20" i="5"/>
  <c r="G20" i="5"/>
  <c r="AE20" i="5" s="1"/>
  <c r="M20" i="5"/>
  <c r="F20" i="5"/>
  <c r="L20" i="5"/>
  <c r="E20" i="5"/>
  <c r="K20" i="5"/>
  <c r="O20" i="5"/>
  <c r="D20" i="5"/>
  <c r="N20" i="5"/>
  <c r="J20" i="5"/>
  <c r="E19" i="5"/>
  <c r="K19" i="5"/>
  <c r="O19" i="5"/>
  <c r="D19" i="5"/>
  <c r="J19" i="5"/>
  <c r="N19" i="5"/>
  <c r="C19" i="5"/>
  <c r="G19" i="5"/>
  <c r="AE19" i="5" s="1"/>
  <c r="M19" i="5"/>
  <c r="F19" i="5"/>
  <c r="L19" i="5"/>
  <c r="B19" i="5"/>
  <c r="L19" i="1"/>
  <c r="F19" i="1"/>
  <c r="F9" i="8" s="1"/>
  <c r="B19" i="1"/>
  <c r="B9" i="8" s="1"/>
  <c r="M19" i="1"/>
  <c r="G19" i="1"/>
  <c r="N19" i="1"/>
  <c r="J19" i="1"/>
  <c r="D19" i="1"/>
  <c r="D9" i="8" s="1"/>
  <c r="C19" i="1"/>
  <c r="C9" i="8" s="1"/>
  <c r="O19" i="1"/>
  <c r="K19" i="1"/>
  <c r="E19" i="1"/>
  <c r="E9" i="8" s="1"/>
  <c r="G18" i="4"/>
  <c r="C18" i="4"/>
  <c r="O18" i="4"/>
  <c r="K18" i="4"/>
  <c r="L18" i="4"/>
  <c r="E18" i="4"/>
  <c r="M18" i="4"/>
  <c r="D18" i="4"/>
  <c r="F18" i="4"/>
  <c r="B18" i="4"/>
  <c r="N18" i="4"/>
  <c r="J18" i="4"/>
  <c r="N18" i="1"/>
  <c r="J18" i="1"/>
  <c r="D18" i="1"/>
  <c r="D8" i="8" s="1"/>
  <c r="O18" i="1"/>
  <c r="K18" i="1"/>
  <c r="L18" i="1"/>
  <c r="F18" i="1"/>
  <c r="F8" i="8" s="1"/>
  <c r="B18" i="1"/>
  <c r="B8" i="8" s="1"/>
  <c r="M18" i="1"/>
  <c r="G18" i="1"/>
  <c r="C18" i="1"/>
  <c r="C8" i="8" s="1"/>
  <c r="E18" i="1"/>
  <c r="E8" i="8" s="1"/>
  <c r="W10" i="1"/>
  <c r="W28" i="1" s="1"/>
  <c r="E17" i="4"/>
  <c r="M17" i="4"/>
  <c r="F17" i="4"/>
  <c r="G17" i="4"/>
  <c r="C17" i="4"/>
  <c r="O17" i="4"/>
  <c r="K17" i="4"/>
  <c r="J17" i="4"/>
  <c r="D17" i="4"/>
  <c r="L17" i="4"/>
  <c r="B17" i="4"/>
  <c r="N17" i="4"/>
  <c r="G10" i="1"/>
  <c r="L17" i="1"/>
  <c r="F17" i="1"/>
  <c r="F7" i="8" s="1"/>
  <c r="B17" i="1"/>
  <c r="B7" i="8" s="1"/>
  <c r="M17" i="1"/>
  <c r="G17" i="1"/>
  <c r="N17" i="1"/>
  <c r="J17" i="1"/>
  <c r="D17" i="1"/>
  <c r="D7" i="8" s="1"/>
  <c r="C17" i="1"/>
  <c r="C7" i="8" s="1"/>
  <c r="O17" i="1"/>
  <c r="K17" i="1"/>
  <c r="E17" i="1"/>
  <c r="E7" i="8" s="1"/>
  <c r="G16" i="4"/>
  <c r="C16" i="4"/>
  <c r="O16" i="4"/>
  <c r="K16" i="4"/>
  <c r="E16" i="4"/>
  <c r="M16" i="4"/>
  <c r="D16" i="4"/>
  <c r="F16" i="4"/>
  <c r="B16" i="4"/>
  <c r="N16" i="4"/>
  <c r="J16" i="4"/>
  <c r="L16" i="4"/>
  <c r="N16" i="1"/>
  <c r="J16" i="1"/>
  <c r="D16" i="1"/>
  <c r="K16" i="1"/>
  <c r="E16" i="1"/>
  <c r="L16" i="1"/>
  <c r="F16" i="1"/>
  <c r="B16" i="1"/>
  <c r="O16" i="1"/>
  <c r="M16" i="1"/>
  <c r="C16" i="1"/>
  <c r="E19" i="4"/>
  <c r="M19" i="4"/>
  <c r="F19" i="4"/>
  <c r="N19" i="4"/>
  <c r="G19" i="4"/>
  <c r="C19" i="4"/>
  <c r="O19" i="4"/>
  <c r="K19" i="4"/>
  <c r="J19" i="4"/>
  <c r="D19" i="4"/>
  <c r="L19" i="4"/>
  <c r="B19" i="4"/>
  <c r="W28" i="4"/>
  <c r="Y34" i="1" l="1"/>
  <c r="E6" i="8"/>
  <c r="E20" i="1"/>
  <c r="F6" i="8"/>
  <c r="F20" i="1"/>
  <c r="C6" i="8"/>
  <c r="C20" i="1"/>
  <c r="D6" i="8"/>
  <c r="D10" i="8" s="1"/>
  <c r="D20" i="1"/>
  <c r="B6" i="8"/>
  <c r="B10" i="8" s="1"/>
  <c r="B20" i="1"/>
  <c r="G20" i="1"/>
  <c r="K10" i="8"/>
  <c r="J10" i="8"/>
  <c r="O6" i="8"/>
  <c r="G7" i="8"/>
  <c r="L10" i="8"/>
  <c r="O7" i="8"/>
  <c r="O9" i="8"/>
  <c r="G9" i="8"/>
  <c r="E10" i="8"/>
  <c r="C10" i="8"/>
  <c r="M10" i="8"/>
  <c r="N10" i="8"/>
  <c r="G8" i="8"/>
  <c r="F10" i="8"/>
  <c r="O8" i="8"/>
  <c r="W32" i="5"/>
  <c r="AH24" i="5"/>
  <c r="Z24" i="5"/>
  <c r="AK24" i="5"/>
  <c r="AC24" i="5"/>
  <c r="AL20" i="5"/>
  <c r="AD20" i="5"/>
  <c r="AL19" i="5"/>
  <c r="AD19" i="5"/>
  <c r="AI24" i="5"/>
  <c r="AA24" i="5"/>
  <c r="AH20" i="5"/>
  <c r="Z20" i="5"/>
  <c r="AI19" i="5"/>
  <c r="AA19" i="5"/>
  <c r="AJ20" i="5"/>
  <c r="AB20" i="5"/>
  <c r="AJ24" i="5"/>
  <c r="AB24" i="5"/>
  <c r="W33" i="5"/>
  <c r="AK20" i="5"/>
  <c r="AC20" i="5"/>
  <c r="AH19" i="5"/>
  <c r="Z19" i="5"/>
  <c r="AJ19" i="5"/>
  <c r="AB19" i="5"/>
  <c r="AM24" i="5"/>
  <c r="AL24" i="5"/>
  <c r="AD24" i="5"/>
  <c r="AI20" i="5"/>
  <c r="AA20" i="5"/>
  <c r="AM20" i="5"/>
  <c r="AK19" i="5"/>
  <c r="AC19" i="5"/>
  <c r="AM19" i="5"/>
  <c r="S39" i="5"/>
  <c r="W39" i="5"/>
  <c r="U36" i="5"/>
  <c r="S35" i="5"/>
  <c r="R32" i="5"/>
  <c r="T33" i="5"/>
  <c r="V39" i="5"/>
  <c r="T35" i="5"/>
  <c r="D26" i="5"/>
  <c r="U37" i="5"/>
  <c r="U35" i="5"/>
  <c r="T39" i="5"/>
  <c r="S37" i="5"/>
  <c r="V35" i="5"/>
  <c r="S34" i="5"/>
  <c r="T34" i="5"/>
  <c r="G26" i="5"/>
  <c r="AM26" i="5" s="1"/>
  <c r="W38" i="5"/>
  <c r="R37" i="5"/>
  <c r="S36" i="5"/>
  <c r="U39" i="5"/>
  <c r="K26" i="5"/>
  <c r="R35" i="5"/>
  <c r="T37" i="5"/>
  <c r="R36" i="5"/>
  <c r="U34" i="5"/>
  <c r="S33" i="5"/>
  <c r="E26" i="5"/>
  <c r="F26" i="5"/>
  <c r="R39" i="5"/>
  <c r="T36" i="5"/>
  <c r="V34" i="5"/>
  <c r="V33" i="5"/>
  <c r="B26" i="5"/>
  <c r="S38" i="5"/>
  <c r="T38" i="5"/>
  <c r="U38" i="5"/>
  <c r="J26" i="5"/>
  <c r="M26" i="5"/>
  <c r="V37" i="5"/>
  <c r="U32" i="5"/>
  <c r="C26" i="5"/>
  <c r="U33" i="5"/>
  <c r="R33" i="5"/>
  <c r="N26" i="5"/>
  <c r="O26" i="5"/>
  <c r="M37" i="5" s="1"/>
  <c r="V38" i="5"/>
  <c r="L26" i="5"/>
  <c r="R34" i="5"/>
  <c r="R38" i="5"/>
  <c r="S32" i="5"/>
  <c r="T32" i="5"/>
  <c r="V32" i="5"/>
  <c r="V36" i="5"/>
  <c r="W36" i="5"/>
  <c r="W34" i="5"/>
  <c r="W35" i="5"/>
  <c r="S29" i="1"/>
  <c r="V29" i="1"/>
  <c r="E25" i="5"/>
  <c r="K25" i="5"/>
  <c r="O25" i="5"/>
  <c r="D25" i="5"/>
  <c r="J25" i="5"/>
  <c r="N25" i="5"/>
  <c r="C25" i="5"/>
  <c r="G25" i="5"/>
  <c r="M25" i="5"/>
  <c r="B25" i="5"/>
  <c r="L25" i="5"/>
  <c r="F25" i="5"/>
  <c r="W25" i="1"/>
  <c r="W26" i="1"/>
  <c r="R29" i="1"/>
  <c r="R29" i="4"/>
  <c r="R25" i="4"/>
  <c r="W27" i="1"/>
  <c r="U29" i="4"/>
  <c r="T29" i="1"/>
  <c r="AC19" i="4"/>
  <c r="AK19" i="4" s="1"/>
  <c r="G20" i="4"/>
  <c r="G29" i="4" s="1"/>
  <c r="C20" i="4"/>
  <c r="O20" i="4"/>
  <c r="L28" i="4" s="1"/>
  <c r="K20" i="4"/>
  <c r="E20" i="4"/>
  <c r="M20" i="4"/>
  <c r="D20" i="4"/>
  <c r="F20" i="4"/>
  <c r="B20" i="4"/>
  <c r="N20" i="4"/>
  <c r="J20" i="4"/>
  <c r="L20" i="4"/>
  <c r="V28" i="4"/>
  <c r="R28" i="4"/>
  <c r="T27" i="4"/>
  <c r="V26" i="4"/>
  <c r="R26" i="4"/>
  <c r="T25" i="4"/>
  <c r="S28" i="4"/>
  <c r="U27" i="4"/>
  <c r="S26" i="4"/>
  <c r="U25" i="4"/>
  <c r="T28" i="4"/>
  <c r="V27" i="4"/>
  <c r="R27" i="4"/>
  <c r="T26" i="4"/>
  <c r="V25" i="4"/>
  <c r="W29" i="4"/>
  <c r="U28" i="4"/>
  <c r="S27" i="4"/>
  <c r="U26" i="4"/>
  <c r="S25" i="4"/>
  <c r="AD16" i="4"/>
  <c r="AL16" i="4" s="1"/>
  <c r="AC16" i="4"/>
  <c r="AK16" i="4" s="1"/>
  <c r="AA17" i="1"/>
  <c r="AI17" i="1" s="1"/>
  <c r="Z17" i="1"/>
  <c r="AH17" i="1" s="1"/>
  <c r="AB17" i="4"/>
  <c r="AJ17" i="4" s="1"/>
  <c r="AE17" i="4"/>
  <c r="AM17" i="4" s="1"/>
  <c r="AC17" i="4"/>
  <c r="AK17" i="4" s="1"/>
  <c r="AC18" i="1"/>
  <c r="AK18" i="1" s="1"/>
  <c r="AA18" i="1"/>
  <c r="AI18" i="1" s="1"/>
  <c r="AD18" i="1"/>
  <c r="AL18" i="1" s="1"/>
  <c r="Z18" i="4"/>
  <c r="AH18" i="4" s="1"/>
  <c r="AA18" i="4"/>
  <c r="AI18" i="4" s="1"/>
  <c r="AB19" i="1"/>
  <c r="AJ19" i="1" s="1"/>
  <c r="AB19" i="4"/>
  <c r="AJ19" i="4" s="1"/>
  <c r="AE19" i="4"/>
  <c r="AM19" i="4" s="1"/>
  <c r="AA16" i="1"/>
  <c r="AI16" i="1" s="1"/>
  <c r="Z16" i="4"/>
  <c r="AH16" i="4" s="1"/>
  <c r="AE16" i="4"/>
  <c r="AM16" i="4" s="1"/>
  <c r="AC17" i="1"/>
  <c r="AK17" i="1" s="1"/>
  <c r="AA17" i="4"/>
  <c r="AI17" i="4" s="1"/>
  <c r="N20" i="1"/>
  <c r="J20" i="1"/>
  <c r="R25" i="1"/>
  <c r="O20" i="1"/>
  <c r="K27" i="1" s="1"/>
  <c r="K20" i="1"/>
  <c r="L20" i="1"/>
  <c r="M20" i="1"/>
  <c r="G29" i="1"/>
  <c r="T28" i="1"/>
  <c r="V27" i="1"/>
  <c r="R27" i="1"/>
  <c r="T26" i="1"/>
  <c r="V25" i="1"/>
  <c r="S25" i="1"/>
  <c r="W29" i="1"/>
  <c r="U28" i="1"/>
  <c r="S27" i="1"/>
  <c r="U26" i="1"/>
  <c r="V28" i="1"/>
  <c r="R28" i="1"/>
  <c r="T27" i="1"/>
  <c r="V26" i="1"/>
  <c r="R26" i="1"/>
  <c r="T25" i="1"/>
  <c r="S28" i="1"/>
  <c r="U27" i="1"/>
  <c r="S26" i="1"/>
  <c r="U25" i="1"/>
  <c r="AB18" i="1"/>
  <c r="AJ18" i="1" s="1"/>
  <c r="Z18" i="1"/>
  <c r="AH18" i="1" s="1"/>
  <c r="AB18" i="4"/>
  <c r="AJ18" i="4" s="1"/>
  <c r="AE19" i="1"/>
  <c r="AM19" i="1" s="1"/>
  <c r="AD19" i="1"/>
  <c r="AL19" i="1" s="1"/>
  <c r="W27" i="4"/>
  <c r="AD19" i="4"/>
  <c r="AL19" i="4" s="1"/>
  <c r="AE16" i="1"/>
  <c r="AM16" i="1" s="1"/>
  <c r="AD16" i="1"/>
  <c r="AL16" i="1" s="1"/>
  <c r="AB16" i="4"/>
  <c r="AJ16" i="4" s="1"/>
  <c r="AA16" i="4"/>
  <c r="AI16" i="4" s="1"/>
  <c r="AB17" i="1"/>
  <c r="AJ17" i="1" s="1"/>
  <c r="AD17" i="4"/>
  <c r="AL17" i="4" s="1"/>
  <c r="Z17" i="4"/>
  <c r="AH17" i="4" s="1"/>
  <c r="AA19" i="1"/>
  <c r="AI19" i="1" s="1"/>
  <c r="Z19" i="1"/>
  <c r="AH19" i="1" s="1"/>
  <c r="U29" i="1"/>
  <c r="AA19" i="4"/>
  <c r="AI19" i="4" s="1"/>
  <c r="Z19" i="4"/>
  <c r="AH19" i="4" s="1"/>
  <c r="AC16" i="1"/>
  <c r="AK16" i="1" s="1"/>
  <c r="AB16" i="1"/>
  <c r="AJ16" i="1" s="1"/>
  <c r="Z16" i="1"/>
  <c r="AH16" i="1" s="1"/>
  <c r="AE17" i="1"/>
  <c r="AM17" i="1" s="1"/>
  <c r="AD17" i="1"/>
  <c r="AL17" i="1" s="1"/>
  <c r="AE18" i="1"/>
  <c r="AM18" i="1" s="1"/>
  <c r="AD18" i="4"/>
  <c r="AL18" i="4" s="1"/>
  <c r="AC18" i="4"/>
  <c r="AK18" i="4" s="1"/>
  <c r="AE18" i="4"/>
  <c r="AM18" i="4" s="1"/>
  <c r="AC19" i="1"/>
  <c r="AK19" i="1" s="1"/>
  <c r="V29" i="4"/>
  <c r="W25" i="4"/>
  <c r="S29" i="4"/>
  <c r="W26" i="4"/>
  <c r="T29" i="4"/>
  <c r="G6" i="8" l="1"/>
  <c r="Z35" i="1"/>
  <c r="W38" i="1"/>
  <c r="G10" i="8"/>
  <c r="G19" i="8" s="1"/>
  <c r="O10" i="8"/>
  <c r="J19" i="8" s="1"/>
  <c r="AL26" i="5"/>
  <c r="AD26" i="5"/>
  <c r="AI26" i="5"/>
  <c r="AA26" i="5"/>
  <c r="AJ26" i="5"/>
  <c r="AB26" i="5"/>
  <c r="AL25" i="5"/>
  <c r="AD25" i="5"/>
  <c r="AK26" i="5"/>
  <c r="AC26" i="5"/>
  <c r="AH25" i="5"/>
  <c r="Z25" i="5"/>
  <c r="G38" i="5"/>
  <c r="AM25" i="5"/>
  <c r="AE25" i="5"/>
  <c r="E32" i="5"/>
  <c r="AE26" i="5"/>
  <c r="AI25" i="5"/>
  <c r="AA25" i="5"/>
  <c r="AH26" i="5"/>
  <c r="Z26" i="5"/>
  <c r="N38" i="5"/>
  <c r="V51" i="5" s="1"/>
  <c r="J38" i="5"/>
  <c r="R51" i="5" s="1"/>
  <c r="AJ25" i="5"/>
  <c r="AB25" i="5"/>
  <c r="AK25" i="5"/>
  <c r="AC25" i="5"/>
  <c r="O38" i="5"/>
  <c r="W51" i="5" s="1"/>
  <c r="K38" i="5"/>
  <c r="S51" i="5" s="1"/>
  <c r="N33" i="5"/>
  <c r="V46" i="5" s="1"/>
  <c r="J32" i="5"/>
  <c r="R45" i="5" s="1"/>
  <c r="F33" i="5"/>
  <c r="K32" i="5"/>
  <c r="S45" i="5" s="1"/>
  <c r="C32" i="5"/>
  <c r="F38" i="5"/>
  <c r="D37" i="5"/>
  <c r="G33" i="5"/>
  <c r="L38" i="5"/>
  <c r="T51" i="5" s="1"/>
  <c r="O37" i="5"/>
  <c r="W50" i="5" s="1"/>
  <c r="B38" i="5"/>
  <c r="O33" i="5"/>
  <c r="W46" i="5" s="1"/>
  <c r="N32" i="5"/>
  <c r="V45" i="5" s="1"/>
  <c r="M38" i="5"/>
  <c r="U51" i="5" s="1"/>
  <c r="K39" i="5"/>
  <c r="S52" i="5" s="1"/>
  <c r="D33" i="5"/>
  <c r="B33" i="5"/>
  <c r="C37" i="5"/>
  <c r="F32" i="5"/>
  <c r="J37" i="5"/>
  <c r="R50" i="5" s="1"/>
  <c r="D39" i="5"/>
  <c r="M33" i="5"/>
  <c r="U46" i="5" s="1"/>
  <c r="M39" i="5"/>
  <c r="U52" i="5" s="1"/>
  <c r="G37" i="5"/>
  <c r="J39" i="5"/>
  <c r="R52" i="5" s="1"/>
  <c r="L32" i="5"/>
  <c r="T45" i="5" s="1"/>
  <c r="G32" i="5"/>
  <c r="B32" i="5"/>
  <c r="D38" i="5"/>
  <c r="C38" i="5"/>
  <c r="G39" i="5"/>
  <c r="B35" i="5"/>
  <c r="F36" i="5"/>
  <c r="G36" i="5"/>
  <c r="B36" i="5"/>
  <c r="C35" i="5"/>
  <c r="E35" i="5"/>
  <c r="B34" i="5"/>
  <c r="D35" i="5"/>
  <c r="C34" i="5"/>
  <c r="F34" i="5"/>
  <c r="C36" i="5"/>
  <c r="E34" i="5"/>
  <c r="F35" i="5"/>
  <c r="G34" i="5"/>
  <c r="D34" i="5"/>
  <c r="D36" i="5"/>
  <c r="G35" i="5"/>
  <c r="E36" i="5"/>
  <c r="N39" i="5"/>
  <c r="V52" i="5" s="1"/>
  <c r="B39" i="5"/>
  <c r="B37" i="5"/>
  <c r="C33" i="5"/>
  <c r="F37" i="5"/>
  <c r="O39" i="5"/>
  <c r="W52" i="5" s="1"/>
  <c r="J34" i="5"/>
  <c r="R47" i="5" s="1"/>
  <c r="K35" i="5"/>
  <c r="S48" i="5" s="1"/>
  <c r="O36" i="5"/>
  <c r="W49" i="5" s="1"/>
  <c r="L34" i="5"/>
  <c r="T47" i="5" s="1"/>
  <c r="O34" i="5"/>
  <c r="W47" i="5" s="1"/>
  <c r="L35" i="5"/>
  <c r="T48" i="5" s="1"/>
  <c r="L36" i="5"/>
  <c r="T49" i="5" s="1"/>
  <c r="J35" i="5"/>
  <c r="R48" i="5" s="1"/>
  <c r="K34" i="5"/>
  <c r="S47" i="5" s="1"/>
  <c r="O35" i="5"/>
  <c r="W48" i="5" s="1"/>
  <c r="M35" i="5"/>
  <c r="U48" i="5" s="1"/>
  <c r="K36" i="5"/>
  <c r="S49" i="5" s="1"/>
  <c r="N36" i="5"/>
  <c r="V49" i="5" s="1"/>
  <c r="N35" i="5"/>
  <c r="V48" i="5" s="1"/>
  <c r="J36" i="5"/>
  <c r="R49" i="5" s="1"/>
  <c r="N34" i="5"/>
  <c r="V47" i="5" s="1"/>
  <c r="M34" i="5"/>
  <c r="U47" i="5" s="1"/>
  <c r="M36" i="5"/>
  <c r="U49" i="5" s="1"/>
  <c r="O32" i="5"/>
  <c r="W45" i="5" s="1"/>
  <c r="K33" i="5"/>
  <c r="S46" i="5" s="1"/>
  <c r="E38" i="5"/>
  <c r="L37" i="5"/>
  <c r="T50" i="5" s="1"/>
  <c r="F39" i="5"/>
  <c r="L33" i="5"/>
  <c r="T46" i="5" s="1"/>
  <c r="E33" i="5"/>
  <c r="L39" i="5"/>
  <c r="T52" i="5" s="1"/>
  <c r="E39" i="5"/>
  <c r="D32" i="5"/>
  <c r="E37" i="5"/>
  <c r="C39" i="5"/>
  <c r="M32" i="5"/>
  <c r="U45" i="5" s="1"/>
  <c r="N37" i="5"/>
  <c r="V50" i="5" s="1"/>
  <c r="K37" i="5"/>
  <c r="S50" i="5" s="1"/>
  <c r="J33" i="5"/>
  <c r="R46" i="5" s="1"/>
  <c r="E25" i="1"/>
  <c r="U34" i="1" s="1"/>
  <c r="D26" i="1"/>
  <c r="T35" i="1" s="1"/>
  <c r="E28" i="1"/>
  <c r="U37" i="1" s="1"/>
  <c r="B28" i="1"/>
  <c r="R37" i="1" s="1"/>
  <c r="C27" i="4"/>
  <c r="U50" i="5"/>
  <c r="C28" i="4"/>
  <c r="G27" i="4"/>
  <c r="F28" i="4"/>
  <c r="K27" i="4"/>
  <c r="S36" i="4" s="1"/>
  <c r="M25" i="1"/>
  <c r="N28" i="1"/>
  <c r="O26" i="1"/>
  <c r="J27" i="1"/>
  <c r="J25" i="4"/>
  <c r="R34" i="4" s="1"/>
  <c r="B25" i="4"/>
  <c r="J26" i="4"/>
  <c r="R35" i="4" s="1"/>
  <c r="L26" i="4"/>
  <c r="T35" i="4" s="1"/>
  <c r="M25" i="4"/>
  <c r="U34" i="4" s="1"/>
  <c r="O27" i="4"/>
  <c r="W36" i="4" s="1"/>
  <c r="N27" i="4"/>
  <c r="V36" i="4" s="1"/>
  <c r="J28" i="4"/>
  <c r="R37" i="4" s="1"/>
  <c r="K28" i="4"/>
  <c r="S37" i="4" s="1"/>
  <c r="N26" i="4"/>
  <c r="V35" i="4" s="1"/>
  <c r="L25" i="4"/>
  <c r="T34" i="4" s="1"/>
  <c r="K26" i="4"/>
  <c r="S35" i="4" s="1"/>
  <c r="O28" i="4"/>
  <c r="W37" i="4" s="1"/>
  <c r="M26" i="4"/>
  <c r="U35" i="4" s="1"/>
  <c r="N28" i="4"/>
  <c r="V37" i="4" s="1"/>
  <c r="O25" i="4"/>
  <c r="W34" i="4" s="1"/>
  <c r="J27" i="4"/>
  <c r="R36" i="4" s="1"/>
  <c r="O26" i="4"/>
  <c r="W35" i="4" s="1"/>
  <c r="N25" i="4"/>
  <c r="V34" i="4" s="1"/>
  <c r="M27" i="4"/>
  <c r="U36" i="4" s="1"/>
  <c r="K25" i="4"/>
  <c r="S34" i="4" s="1"/>
  <c r="L27" i="4"/>
  <c r="T36" i="4" s="1"/>
  <c r="G28" i="4"/>
  <c r="G26" i="4"/>
  <c r="F26" i="4"/>
  <c r="E29" i="4"/>
  <c r="E25" i="4"/>
  <c r="C26" i="4"/>
  <c r="G25" i="4"/>
  <c r="N26" i="1"/>
  <c r="B27" i="4"/>
  <c r="L26" i="1"/>
  <c r="N25" i="1"/>
  <c r="O28" i="1"/>
  <c r="D27" i="4"/>
  <c r="D29" i="4"/>
  <c r="E26" i="4"/>
  <c r="J25" i="1"/>
  <c r="E27" i="4"/>
  <c r="F25" i="4"/>
  <c r="K28" i="1"/>
  <c r="O25" i="1"/>
  <c r="F27" i="4"/>
  <c r="B26" i="4"/>
  <c r="D25" i="4"/>
  <c r="D28" i="4"/>
  <c r="B29" i="4"/>
  <c r="D26" i="4"/>
  <c r="E28" i="4"/>
  <c r="M28" i="1"/>
  <c r="O27" i="1"/>
  <c r="L25" i="1"/>
  <c r="B28" i="4"/>
  <c r="J28" i="1"/>
  <c r="L27" i="1"/>
  <c r="C25" i="4"/>
  <c r="E27" i="1"/>
  <c r="U36" i="1" s="1"/>
  <c r="F26" i="1"/>
  <c r="V35" i="1" s="1"/>
  <c r="D27" i="1"/>
  <c r="T36" i="1" s="1"/>
  <c r="G26" i="1"/>
  <c r="W35" i="1" s="1"/>
  <c r="E26" i="1"/>
  <c r="U35" i="1" s="1"/>
  <c r="B25" i="1"/>
  <c r="R34" i="1" s="1"/>
  <c r="C27" i="1"/>
  <c r="S36" i="1" s="1"/>
  <c r="G27" i="1"/>
  <c r="W36" i="1" s="1"/>
  <c r="K25" i="1"/>
  <c r="D28" i="1"/>
  <c r="T37" i="1" s="1"/>
  <c r="B27" i="1"/>
  <c r="R36" i="1" s="1"/>
  <c r="F27" i="1"/>
  <c r="V36" i="1" s="1"/>
  <c r="C26" i="1"/>
  <c r="S35" i="1" s="1"/>
  <c r="F28" i="1"/>
  <c r="V37" i="1" s="1"/>
  <c r="C25" i="1"/>
  <c r="S34" i="1" s="1"/>
  <c r="E29" i="1"/>
  <c r="U38" i="1" s="1"/>
  <c r="K29" i="1"/>
  <c r="AA20" i="1"/>
  <c r="AI20" i="1" s="1"/>
  <c r="J29" i="1"/>
  <c r="Z20" i="1"/>
  <c r="AH20" i="1" s="1"/>
  <c r="G28" i="1"/>
  <c r="W37" i="1" s="1"/>
  <c r="L28" i="1"/>
  <c r="N27" i="1"/>
  <c r="M29" i="1"/>
  <c r="AC20" i="1"/>
  <c r="AK20" i="1" s="1"/>
  <c r="L29" i="1"/>
  <c r="AB20" i="1"/>
  <c r="AJ20" i="1" s="1"/>
  <c r="N29" i="4"/>
  <c r="V38" i="4" s="1"/>
  <c r="AD20" i="4"/>
  <c r="AL20" i="4" s="1"/>
  <c r="M29" i="4"/>
  <c r="U38" i="4" s="1"/>
  <c r="AC20" i="4"/>
  <c r="AK20" i="4" s="1"/>
  <c r="D29" i="1"/>
  <c r="T38" i="1" s="1"/>
  <c r="G25" i="1"/>
  <c r="W34" i="1" s="1"/>
  <c r="K26" i="1"/>
  <c r="C29" i="4"/>
  <c r="J29" i="4"/>
  <c r="R38" i="4" s="1"/>
  <c r="Z20" i="4"/>
  <c r="AH20" i="4" s="1"/>
  <c r="O29" i="4"/>
  <c r="W38" i="4" s="1"/>
  <c r="AE20" i="4"/>
  <c r="AM20" i="4" s="1"/>
  <c r="F29" i="1"/>
  <c r="V38" i="1" s="1"/>
  <c r="F25" i="1"/>
  <c r="V34" i="1" s="1"/>
  <c r="T37" i="4"/>
  <c r="O29" i="1"/>
  <c r="AE20" i="1"/>
  <c r="AM20" i="1" s="1"/>
  <c r="N29" i="1"/>
  <c r="AD20" i="1"/>
  <c r="AL20" i="1" s="1"/>
  <c r="AB20" i="4"/>
  <c r="AJ20" i="4" s="1"/>
  <c r="L29" i="4"/>
  <c r="T38" i="4" s="1"/>
  <c r="K29" i="4"/>
  <c r="S38" i="4" s="1"/>
  <c r="AA20" i="4"/>
  <c r="AI20" i="4" s="1"/>
  <c r="C29" i="1"/>
  <c r="S38" i="1" s="1"/>
  <c r="B29" i="1"/>
  <c r="R38" i="1" s="1"/>
  <c r="M26" i="1"/>
  <c r="C28" i="1"/>
  <c r="S37" i="1" s="1"/>
  <c r="B26" i="1"/>
  <c r="R35" i="1" s="1"/>
  <c r="D25" i="1"/>
  <c r="T34" i="1" s="1"/>
  <c r="M27" i="1"/>
  <c r="J26" i="1"/>
  <c r="F29" i="4"/>
  <c r="M28" i="4"/>
  <c r="U37" i="4" s="1"/>
  <c r="G16" i="8" l="1"/>
  <c r="K19" i="8"/>
  <c r="L19" i="8"/>
  <c r="O16" i="8"/>
  <c r="O18" i="8"/>
  <c r="G18" i="8"/>
  <c r="D19" i="8"/>
  <c r="E19" i="8"/>
  <c r="C19" i="8"/>
  <c r="M19" i="8"/>
  <c r="F19" i="8"/>
  <c r="O15" i="8"/>
  <c r="N19" i="8"/>
  <c r="O17" i="8"/>
  <c r="G17" i="8"/>
  <c r="B19" i="8"/>
  <c r="G15" i="8"/>
  <c r="M15" i="8"/>
  <c r="K17" i="8"/>
  <c r="K18" i="8"/>
  <c r="K15" i="8"/>
  <c r="M17" i="8"/>
  <c r="N18" i="8"/>
  <c r="N15" i="8"/>
  <c r="L17" i="8"/>
  <c r="J18" i="8"/>
  <c r="J15" i="8"/>
  <c r="M18" i="8"/>
  <c r="N17" i="8"/>
  <c r="M16" i="8"/>
  <c r="L18" i="8"/>
  <c r="L15" i="8"/>
  <c r="L16" i="8"/>
  <c r="N16" i="8"/>
  <c r="K16" i="8"/>
  <c r="J17" i="8"/>
  <c r="J16" i="8"/>
  <c r="D18" i="8"/>
  <c r="C17" i="8"/>
  <c r="E16" i="8"/>
  <c r="C16" i="8"/>
  <c r="B17" i="8"/>
  <c r="F15" i="8"/>
  <c r="F18" i="8"/>
  <c r="B16" i="8"/>
  <c r="B15" i="8"/>
  <c r="E17" i="8"/>
  <c r="E15" i="8"/>
  <c r="F17" i="8"/>
  <c r="C18" i="8"/>
  <c r="D15" i="8"/>
  <c r="E18" i="8"/>
  <c r="F16" i="8"/>
  <c r="D16" i="8"/>
  <c r="B18" i="8"/>
  <c r="D17" i="8"/>
  <c r="C15" i="8"/>
  <c r="T11" i="8" l="1"/>
  <c r="T16" i="8"/>
  <c r="T17" i="8"/>
  <c r="T15" i="8"/>
  <c r="T12" i="8"/>
  <c r="T19" i="8"/>
  <c r="T20" i="8"/>
  <c r="T9" i="8"/>
  <c r="T8" i="8"/>
  <c r="T6" i="8"/>
  <c r="T22" i="8"/>
  <c r="U22" i="8" s="1"/>
  <c r="V22" i="8" s="1"/>
  <c r="AA19" i="8" s="1"/>
  <c r="T18" i="8"/>
  <c r="T13" i="8"/>
  <c r="T21" i="8"/>
  <c r="T10" i="8"/>
  <c r="T7" i="8"/>
  <c r="U7" i="8" s="1"/>
  <c r="V7" i="8" s="1"/>
  <c r="AA4" i="8" s="1"/>
  <c r="T14" i="8"/>
  <c r="U14" i="8" s="1"/>
  <c r="V14" i="8" s="1"/>
  <c r="AA11" i="8" s="1"/>
  <c r="U19" i="8"/>
  <c r="V19" i="8" s="1"/>
  <c r="AA16" i="8" s="1"/>
  <c r="U10" i="8" l="1"/>
  <c r="V10" i="8" s="1"/>
  <c r="AA7" i="8" s="1"/>
  <c r="U21" i="8"/>
  <c r="V21" i="8" s="1"/>
  <c r="AA18" i="8" s="1"/>
  <c r="U12" i="8"/>
  <c r="V12" i="8" s="1"/>
  <c r="AA9" i="8" s="1"/>
  <c r="U15" i="8"/>
  <c r="V15" i="8" s="1"/>
  <c r="AA12" i="8" s="1"/>
  <c r="U13" i="8"/>
  <c r="V13" i="8" s="1"/>
  <c r="AA10" i="8" s="1"/>
  <c r="U18" i="8"/>
  <c r="V18" i="8" s="1"/>
  <c r="AA15" i="8" s="1"/>
  <c r="U11" i="8"/>
  <c r="V11" i="8" s="1"/>
  <c r="AA8" i="8" s="1"/>
  <c r="O19" i="8"/>
  <c r="U17" i="8"/>
  <c r="V17" i="8" s="1"/>
  <c r="AA14" i="8" s="1"/>
  <c r="U20" i="8"/>
  <c r="V20" i="8" s="1"/>
  <c r="AA17" i="8" s="1"/>
  <c r="U16" i="8"/>
  <c r="V16" i="8" s="1"/>
  <c r="AA13" i="8" s="1"/>
  <c r="U6" i="8"/>
  <c r="V6" i="8" s="1"/>
  <c r="AA3" i="8" s="1"/>
  <c r="U8" i="8"/>
  <c r="V8" i="8" s="1"/>
  <c r="AA5" i="8" s="1"/>
  <c r="U9" i="8"/>
  <c r="V9" i="8" s="1"/>
  <c r="AA6" i="8" s="1"/>
</calcChain>
</file>

<file path=xl/sharedStrings.xml><?xml version="1.0" encoding="utf-8"?>
<sst xmlns="http://schemas.openxmlformats.org/spreadsheetml/2006/main" count="814" uniqueCount="176">
  <si>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</si>
  <si>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</si>
  <si>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</si>
  <si>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</si>
  <si>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</si>
  <si>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</si>
  <si>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</si>
  <si>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</si>
  <si>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</si>
  <si>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</si>
  <si>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</si>
  <si>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</si>
  <si>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</si>
  <si>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</si>
  <si>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</si>
  <si>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</si>
  <si>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</si>
  <si>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</si>
  <si>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</si>
  <si>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</si>
  <si>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</si>
  <si>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</si>
  <si>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</si>
  <si>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</si>
  <si>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</si>
  <si>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</si>
  <si>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HOUSEHOLDS BY COUNTY AND VEHICLES: ACS ADJ</t>
  </si>
  <si>
    <t>HOUSEHOLDS BY COUNTY AND VEHICLES: EST-OBS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</si>
  <si>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</si>
  <si>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</si>
  <si>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</si>
  <si>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</si>
  <si>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</si>
  <si>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</si>
  <si>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</si>
  <si>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</si>
  <si>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</si>
  <si>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</si>
  <si>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</si>
  <si>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</si>
  <si>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</si>
  <si>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</si>
  <si>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</si>
  <si>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</si>
  <si>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</si>
  <si>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</si>
  <si>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</si>
  <si>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</si>
  <si>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</si>
  <si>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</si>
  <si>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</si>
  <si>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</si>
  <si>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</si>
  <si>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</si>
  <si>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</si>
  <si>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</si>
  <si>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</si>
  <si>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</si>
  <si>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</si>
  <si>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</si>
  <si>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</si>
  <si>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</si>
  <si>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</si>
  <si>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</si>
  <si>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</si>
  <si>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</si>
  <si>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</si>
  <si>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</si>
  <si>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</si>
  <si>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</si>
  <si>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</si>
  <si>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</si>
  <si>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</si>
  <si>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</si>
  <si>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</si>
  <si>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</si>
  <si>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</si>
  <si>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</si>
  <si>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</si>
  <si>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</si>
  <si>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</si>
  <si>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</si>
  <si>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</si>
  <si>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</si>
  <si>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</si>
  <si>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</si>
  <si>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</si>
  <si>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</si>
  <si>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</si>
  <si>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</si>
  <si>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</si>
  <si>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</si>
  <si>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</si>
  <si>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</si>
  <si>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</si>
  <si>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</si>
  <si>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</si>
  <si>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</si>
  <si>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</si>
  <si>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</si>
  <si>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</si>
  <si>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</si>
  <si>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</si>
  <si>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</si>
  <si>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</si>
  <si>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</si>
  <si>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</si>
  <si>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</si>
  <si>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</si>
  <si>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</si>
  <si>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</si>
  <si>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</si>
  <si>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</si>
  <si>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</si>
  <si>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</si>
  <si>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</si>
  <si>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</si>
  <si>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</si>
  <si>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</si>
  <si>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</si>
  <si>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</si>
  <si>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</si>
  <si>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</si>
  <si>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</si>
  <si>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</si>
  <si>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</si>
  <si>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</si>
  <si>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</si>
  <si>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</si>
  <si>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</si>
  <si>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</si>
  <si>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</si>
  <si>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</si>
  <si>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</si>
  <si>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</si>
  <si>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</si>
  <si>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</si>
  <si>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</si>
  <si>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</si>
  <si>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</si>
  <si>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</si>
  <si>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</si>
  <si>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</si>
  <si>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</si>
  <si>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</si>
  <si>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HOUSEHOLDS BY COUNTY AND VEHICLES: Survey ADJ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</si>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</sst>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yy\ hh:mm:ss"/>
    <numFmt numFmtId="165" formatCode="0.00000000000"/>
  </numFmts>
  <fonts count="1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8" fillId="5" borderId="0">
      <alignment wrapText="1"/>
    </xf>
    <xf numFmtId="0" fontId="8" fillId="0" borderId="0">
      <alignment wrapText="1"/>
    </xf>
    <xf numFmtId="164" fontId="8" fillId="0" borderId="0">
      <alignment wrapText="1"/>
    </xf>
    <xf numFmtId="0" fontId="9" fillId="0" borderId="0"/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164" fontId="8" fillId="0" borderId="0">
      <alignment wrapText="1"/>
    </xf>
    <xf numFmtId="9" fontId="8" fillId="0" borderId="0" applyFont="0" applyFill="0" applyBorder="0" applyAlignment="0" applyProtection="0"/>
  </cellStyleXfs>
  <cellXfs count="108">
    <xf numFmtId="0" fontId="0" fillId="0" borderId="0" xfId="0"/>
    <xf numFmtId="0" fontId="1" fillId="0" borderId="0" xfId="0" applyFont="1"/>
    <xf numFmtId="0" fontId="2" fillId="0" borderId="2" xfId="0" applyFont="1" applyBorder="1" applyAlignment="1">
      <alignment horizontal="right"/>
    </xf>
    <xf numFmtId="0" fontId="2" fillId="0" borderId="0" xfId="0" applyFont="1" applyAlignment="1">
      <alignment horizontal="left"/>
    </xf>
    <xf numFmtId="3" fontId="0" fillId="0" borderId="0" xfId="0" applyNumberFormat="1"/>
    <xf numFmtId="0" fontId="2" fillId="0" borderId="3" xfId="0" applyFont="1" applyBorder="1" applyAlignment="1">
      <alignment horizontal="left"/>
    </xf>
    <xf numFmtId="3" fontId="0" fillId="0" borderId="3" xfId="0" applyNumberFormat="1" applyBorder="1"/>
    <xf numFmtId="0" fontId="2" fillId="0" borderId="4" xfId="0" applyFont="1" applyBorder="1" applyAlignment="1">
      <alignment horizontal="left"/>
    </xf>
    <xf numFmtId="3" fontId="0" fillId="0" borderId="4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3" xfId="0" applyFont="1" applyBorder="1"/>
    <xf numFmtId="0" fontId="0" fillId="0" borderId="1" xfId="0" applyBorder="1"/>
    <xf numFmtId="0" fontId="3" fillId="0" borderId="0" xfId="0" applyFont="1"/>
    <xf numFmtId="0" fontId="2" fillId="0" borderId="0" xfId="0" applyFont="1" applyBorder="1" applyAlignment="1">
      <alignment horizontal="left"/>
    </xf>
    <xf numFmtId="3" fontId="0" fillId="0" borderId="0" xfId="0" applyNumberFormat="1" applyBorder="1"/>
    <xf numFmtId="0" fontId="4" fillId="0" borderId="0" xfId="0" applyFont="1"/>
    <xf numFmtId="9" fontId="0" fillId="0" borderId="0" xfId="0" applyNumberFormat="1"/>
    <xf numFmtId="9" fontId="0" fillId="0" borderId="3" xfId="0" applyNumberFormat="1" applyBorder="1"/>
    <xf numFmtId="9" fontId="0" fillId="0" borderId="4" xfId="0" applyNumberFormat="1" applyBorder="1"/>
    <xf numFmtId="0" fontId="5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9" fontId="0" fillId="2" borderId="0" xfId="0" applyNumberFormat="1" applyFill="1"/>
    <xf numFmtId="0" fontId="2" fillId="2" borderId="4" xfId="0" applyFont="1" applyFill="1" applyBorder="1" applyAlignment="1">
      <alignment horizontal="left"/>
    </xf>
    <xf numFmtId="9" fontId="0" fillId="2" borderId="4" xfId="0" applyNumberFormat="1" applyFill="1" applyBorder="1"/>
    <xf numFmtId="0" fontId="0" fillId="2" borderId="0" xfId="0" applyFill="1"/>
    <xf numFmtId="0" fontId="6" fillId="3" borderId="3" xfId="0" applyFont="1" applyFill="1" applyBorder="1"/>
    <xf numFmtId="0" fontId="7" fillId="3" borderId="2" xfId="0" applyFont="1" applyFill="1" applyBorder="1" applyAlignment="1">
      <alignment horizontal="right"/>
    </xf>
    <xf numFmtId="9" fontId="0" fillId="4" borderId="0" xfId="0" applyNumberFormat="1" applyFill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0" fillId="0" borderId="3" xfId="0" applyBorder="1"/>
    <xf numFmtId="0" fontId="8" fillId="0" borderId="0" xfId="2" applyBorder="1" applyAlignment="1"/>
    <xf numFmtId="9" fontId="0" fillId="0" borderId="0" xfId="0" applyNumberFormat="1" applyBorder="1"/>
    <xf numFmtId="0" fontId="0" fillId="0" borderId="0" xfId="0" applyBorder="1"/>
    <xf numFmtId="0" fontId="10" fillId="0" borderId="0" xfId="0" applyFont="1"/>
    <xf numFmtId="0" fontId="11" fillId="0" borderId="0" xfId="0" applyFont="1"/>
    <xf numFmtId="11" fontId="0" fillId="0" borderId="0" xfId="0" applyNumberFormat="1"/>
    <xf numFmtId="0" fontId="12" fillId="0" borderId="0" xfId="0" applyFont="1"/>
    <xf numFmtId="0" fontId="13" fillId="0" borderId="0" xfId="0" applyFont="1"/>
    <xf numFmtId="11" fontId="12" fillId="0" borderId="0" xfId="0" applyNumberFormat="1" applyFont="1"/>
    <xf numFmtId="0" fontId="2" fillId="0" borderId="5" xfId="0" applyFont="1" applyBorder="1" applyAlignment="1">
      <alignment horizontal="right"/>
    </xf>
    <xf numFmtId="3" fontId="8" fillId="0" borderId="0" xfId="2" applyNumberFormat="1" applyAlignment="1"/>
    <xf numFmtId="0" fontId="14" fillId="0" borderId="0" xfId="0" applyFont="1"/>
    <xf numFmtId="0" fontId="0" fillId="0" borderId="2" xfId="0" applyBorder="1" applyAlignment="1">
      <alignment horizontal="center" vertical="top"/>
    </xf>
    <xf numFmtId="2" fontId="0" fillId="0" borderId="0" xfId="0" applyNumberFormat="1"/>
    <xf numFmtId="21" fontId="0" fillId="0" borderId="0" xfId="0" applyNumberFormat="1"/>
    <xf numFmtId="0" fontId="0" fillId="6" borderId="0" xfId="0" applyFill="1"/>
    <xf numFmtId="165" fontId="0" fillId="0" borderId="0" xfId="0" applyNumberFormat="1"/>
    <xf numFmtId="165" fontId="0" fillId="0" borderId="0" xfId="0" applyNumberFormat="1" applyFill="1"/>
    <xf numFmtId="165" fontId="0" fillId="7" borderId="0" xfId="0" applyNumberFormat="1" applyFill="1"/>
    <xf numFmtId="165" fontId="0" fillId="6" borderId="0" xfId="0" applyNumberFormat="1" applyFill="1"/>
    <xf numFmtId="0" fontId="13" fillId="0" borderId="1" xfId="0" applyFont="1" applyBorder="1"/>
    <xf numFmtId="165" fontId="0" fillId="0" borderId="1" xfId="0" applyNumberFormat="1" applyBorder="1"/>
    <xf numFmtId="2" fontId="0" fillId="0" borderId="1" xfId="0" applyNumberFormat="1" applyBorder="1"/>
    <xf numFmtId="0" fontId="0" fillId="0" borderId="1" xfId="0" applyFill="1" applyBorder="1"/>
    <xf numFmtId="0" fontId="2" fillId="0" borderId="0" xfId="0" applyFont="1" applyFill="1" applyBorder="1" applyAlignment="1">
      <alignment horizontal="right"/>
    </xf>
    <xf numFmtId="9" fontId="0" fillId="0" borderId="0" xfId="9" applyFont="1"/>
    <xf numFmtId="0" fontId="5" fillId="0" borderId="0" xfId="0" applyFont="1"/>
  </cellXfs>
  <cellStyles count="10">
    <cellStyle name="Normal" xfId="0" builtinId="0"/>
    <cellStyle name="Normal 2" xfId="4"/>
    <cellStyle name="Percent" xfId="9" builtinId="5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63"/>
  <sheetViews>
    <sheetView tabSelected="1" workbookViewId="0">
      <selection activeCell="J15" sqref="J15"/>
    </sheetView>
  </sheetViews>
  <sheetFormatPr defaultRowHeight="15" x14ac:dyDescent="0.25"/>
  <cols>
    <col min="1" max="23" width="9.28515625" customWidth="1" collapsed="1"/>
  </cols>
  <sheetData>
    <row r="1" spans="1:33" ht="21" x14ac:dyDescent="0.35">
      <c r="A1" s="13" t="s">
        <v>142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143</v>
      </c>
      <c r="I3" s="1" t="s">
        <v>18</v>
      </c>
      <c r="Q3" s="16" t="s">
        <v>12</v>
      </c>
    </row>
    <row r="4" spans="1:33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90">
        <v>0</v>
      </c>
      <c r="K5" s="90">
        <v>1</v>
      </c>
      <c r="L5" s="90">
        <v>2</v>
      </c>
      <c r="M5" s="90">
        <v>3</v>
      </c>
      <c r="N5" s="9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84" t="s">
        <v>28</v>
      </c>
      <c r="B6" s="4">
        <v>4470.5802999999996</v>
      </c>
      <c r="C6" s="4">
        <v>35967.127699999997</v>
      </c>
      <c r="D6" s="4">
        <v>73974.122099999993</v>
      </c>
      <c r="E6" s="4">
        <v>36239.900900000001</v>
      </c>
      <c r="F6" s="4">
        <v>18739.350300000002</v>
      </c>
      <c r="G6" s="4">
        <f>SUM(B6:F6)</f>
        <v>169391.08129999999</v>
      </c>
      <c r="I6" s="3" t="str">
        <f>$A$6</f>
        <v>Williamson</v>
      </c>
      <c r="J6" s="4"/>
      <c r="K6" s="4"/>
      <c r="L6" s="4"/>
      <c r="M6" s="4"/>
      <c r="N6" s="4"/>
      <c r="O6" s="4">
        <f>SUM(J6:N6)</f>
        <v>0</v>
      </c>
      <c r="Q6" s="3" t="str">
        <f>$A$6</f>
        <v>Williamson</v>
      </c>
      <c r="R6" s="30">
        <v>5127</v>
      </c>
      <c r="S6" s="32">
        <v>42480</v>
      </c>
      <c r="T6" s="34">
        <v>71970</v>
      </c>
      <c r="U6" s="36">
        <v>34696</v>
      </c>
      <c r="V6" s="38">
        <v>16367</v>
      </c>
      <c r="W6" s="4">
        <f>SUM(R6:V6)</f>
        <v>170640</v>
      </c>
    </row>
    <row r="7" spans="1:33" x14ac:dyDescent="0.25">
      <c r="A7" s="85" t="s">
        <v>29</v>
      </c>
      <c r="B7" s="4">
        <v>9632.0887999999995</v>
      </c>
      <c r="C7" s="4">
        <v>42204.356800000001</v>
      </c>
      <c r="D7" s="4">
        <v>36991.697099999998</v>
      </c>
      <c r="E7" s="4">
        <v>16029.1304</v>
      </c>
      <c r="F7" s="4">
        <v>4731.8262999999997</v>
      </c>
      <c r="G7" s="4">
        <f t="shared" ref="G7:G11" si="0">SUM(B7:F7)</f>
        <v>109589.09939999999</v>
      </c>
      <c r="I7" s="3" t="str">
        <f>$A$7</f>
        <v>Rutherford</v>
      </c>
      <c r="J7" s="91"/>
      <c r="K7" s="91"/>
      <c r="L7" s="91"/>
      <c r="M7" s="91"/>
      <c r="N7" s="91"/>
      <c r="O7" s="4">
        <f t="shared" ref="O7:O11" si="1">SUM(J7:N7)</f>
        <v>0</v>
      </c>
      <c r="Q7" s="3" t="str">
        <f>$A$7</f>
        <v>Rutherford</v>
      </c>
      <c r="R7" s="31">
        <v>8727</v>
      </c>
      <c r="S7" s="33">
        <v>37431</v>
      </c>
      <c r="T7" s="35">
        <v>38263</v>
      </c>
      <c r="U7" s="37">
        <v>15776</v>
      </c>
      <c r="V7" s="39">
        <v>6934</v>
      </c>
      <c r="W7" s="4">
        <f t="shared" ref="W7:W12" si="2">SUM(R7:V7)</f>
        <v>107131</v>
      </c>
    </row>
    <row r="8" spans="1:33" x14ac:dyDescent="0.25">
      <c r="A8" s="85" t="s">
        <v>30</v>
      </c>
      <c r="B8" s="4">
        <v>28087.1813</v>
      </c>
      <c r="C8" s="4">
        <v>63080.2984</v>
      </c>
      <c r="D8" s="4">
        <v>51251.719899999996</v>
      </c>
      <c r="E8" s="4">
        <v>14116.5941</v>
      </c>
      <c r="F8" s="4">
        <v>5723.7430000000004</v>
      </c>
      <c r="G8" s="4">
        <f t="shared" si="0"/>
        <v>162259.53669999997</v>
      </c>
      <c r="I8" s="3" t="str">
        <f>$A$8</f>
        <v>Sumner</v>
      </c>
      <c r="J8" s="91"/>
      <c r="K8" s="91"/>
      <c r="L8" s="91"/>
      <c r="M8" s="91"/>
      <c r="N8" s="91"/>
      <c r="O8" s="4">
        <f t="shared" si="1"/>
        <v>0</v>
      </c>
      <c r="Q8" s="3" t="str">
        <f>$A$8</f>
        <v>Sumner</v>
      </c>
      <c r="R8" s="79">
        <v>18101</v>
      </c>
      <c r="S8" s="79">
        <v>55538</v>
      </c>
      <c r="T8" s="79">
        <v>48487</v>
      </c>
      <c r="U8" s="79">
        <v>17455</v>
      </c>
      <c r="V8" s="79">
        <v>6972</v>
      </c>
      <c r="W8" s="4">
        <f t="shared" si="2"/>
        <v>146553</v>
      </c>
    </row>
    <row r="9" spans="1:33" x14ac:dyDescent="0.25">
      <c r="A9" s="85" t="s">
        <v>31</v>
      </c>
      <c r="B9" s="15">
        <v>27920.493399999999</v>
      </c>
      <c r="C9" s="15">
        <v>52760.068399999996</v>
      </c>
      <c r="D9" s="15">
        <v>22415.861199999999</v>
      </c>
      <c r="E9" s="15">
        <v>4570.7460000000001</v>
      </c>
      <c r="F9" s="15">
        <v>799.43539999999996</v>
      </c>
      <c r="G9" s="15">
        <f t="shared" si="0"/>
        <v>108466.6044</v>
      </c>
      <c r="I9" s="3" t="str">
        <f>$A$9</f>
        <v>Roberston</v>
      </c>
      <c r="J9" s="91"/>
      <c r="K9" s="91"/>
      <c r="L9" s="91"/>
      <c r="M9" s="91"/>
      <c r="N9" s="91"/>
      <c r="O9" s="4">
        <f t="shared" si="1"/>
        <v>0</v>
      </c>
      <c r="Q9" s="3" t="str">
        <f>$A$9</f>
        <v>Roberston</v>
      </c>
      <c r="R9" s="79">
        <v>24060</v>
      </c>
      <c r="S9" s="79">
        <v>45482</v>
      </c>
      <c r="T9" s="79">
        <v>25240</v>
      </c>
      <c r="U9" s="79">
        <v>8302</v>
      </c>
      <c r="V9" s="79">
        <v>3211</v>
      </c>
      <c r="W9" s="4">
        <f t="shared" si="2"/>
        <v>106295</v>
      </c>
    </row>
    <row r="10" spans="1:33" x14ac:dyDescent="0.25">
      <c r="A10" s="85" t="s">
        <v>32</v>
      </c>
      <c r="B10" s="15">
        <v>10029.072900000001</v>
      </c>
      <c r="C10" s="15">
        <v>42298.178500000002</v>
      </c>
      <c r="D10" s="15">
        <v>35109.096799999999</v>
      </c>
      <c r="E10" s="15">
        <v>12900.4223</v>
      </c>
      <c r="F10" s="15">
        <v>10145.204</v>
      </c>
      <c r="G10" s="15">
        <f t="shared" si="0"/>
        <v>110481.97450000001</v>
      </c>
      <c r="I10" s="3" t="str">
        <f>$A$10</f>
        <v>Davidson</v>
      </c>
      <c r="J10" s="91"/>
      <c r="K10" s="91"/>
      <c r="L10" s="91"/>
      <c r="M10" s="91"/>
      <c r="N10" s="91"/>
      <c r="O10" s="4">
        <f t="shared" si="1"/>
        <v>0</v>
      </c>
      <c r="Q10" s="3" t="str">
        <f>$A$10</f>
        <v>Davidson</v>
      </c>
      <c r="R10" s="79">
        <v>9046</v>
      </c>
      <c r="S10" s="79">
        <v>37143</v>
      </c>
      <c r="T10" s="79">
        <v>36869</v>
      </c>
      <c r="U10" s="79">
        <v>14620</v>
      </c>
      <c r="V10" s="79">
        <v>6458</v>
      </c>
      <c r="W10" s="4">
        <f t="shared" si="2"/>
        <v>104136</v>
      </c>
    </row>
    <row r="11" spans="1:33" x14ac:dyDescent="0.25">
      <c r="A11" s="85" t="s">
        <v>33</v>
      </c>
      <c r="B11" s="15">
        <v>11070.907800000001</v>
      </c>
      <c r="C11" s="15">
        <v>79734.509900000005</v>
      </c>
      <c r="D11" s="15">
        <v>110127.4262</v>
      </c>
      <c r="E11" s="15">
        <v>41586.383199999997</v>
      </c>
      <c r="F11" s="15">
        <v>16759.4355</v>
      </c>
      <c r="G11" s="15">
        <f t="shared" si="0"/>
        <v>259278.66260000001</v>
      </c>
      <c r="I11" s="14" t="str">
        <f>$A$11</f>
        <v>Maury</v>
      </c>
      <c r="J11" s="91"/>
      <c r="K11" s="91"/>
      <c r="L11" s="91"/>
      <c r="M11" s="91"/>
      <c r="N11" s="91"/>
      <c r="O11" s="15">
        <f t="shared" si="1"/>
        <v>0</v>
      </c>
      <c r="Q11" s="14" t="str">
        <f>$A$11</f>
        <v>Maury</v>
      </c>
      <c r="R11" s="81">
        <v>11501</v>
      </c>
      <c r="S11" s="81">
        <v>70320</v>
      </c>
      <c r="T11" s="81">
        <v>103709</v>
      </c>
      <c r="U11" s="81">
        <v>45852</v>
      </c>
      <c r="V11" s="81">
        <v>19318</v>
      </c>
      <c r="W11" s="15">
        <f t="shared" si="2"/>
        <v>250700</v>
      </c>
    </row>
    <row r="12" spans="1:33" x14ac:dyDescent="0.25">
      <c r="A12" s="85" t="s">
        <v>34</v>
      </c>
      <c r="B12" s="15">
        <v>15787.8691</v>
      </c>
      <c r="C12" s="15">
        <v>62462.304600000003</v>
      </c>
      <c r="D12" s="15">
        <v>79930.179799999998</v>
      </c>
      <c r="E12" s="15">
        <v>27932.611100000002</v>
      </c>
      <c r="F12" s="15">
        <v>15541.333500000001</v>
      </c>
      <c r="G12" s="15">
        <f>SUM(B12:F12)</f>
        <v>201654.29810000001</v>
      </c>
      <c r="I12" s="14" t="str">
        <f>$A$12</f>
        <v>Wilson</v>
      </c>
      <c r="J12" s="91"/>
      <c r="K12" s="91"/>
      <c r="L12" s="91"/>
      <c r="M12" s="91"/>
      <c r="N12" s="91"/>
      <c r="O12" s="15">
        <f>SUM(J12:N12)</f>
        <v>0</v>
      </c>
      <c r="Q12" s="14" t="str">
        <f>$A$12</f>
        <v>Wilson</v>
      </c>
      <c r="R12" s="15">
        <v>11538</v>
      </c>
      <c r="S12" s="15">
        <v>65778</v>
      </c>
      <c r="T12" s="15">
        <v>81658</v>
      </c>
      <c r="U12" s="15">
        <v>37709</v>
      </c>
      <c r="V12" s="15">
        <v>17859</v>
      </c>
      <c r="W12" s="15">
        <f t="shared" si="2"/>
        <v>214542</v>
      </c>
    </row>
    <row r="13" spans="1:33" ht="15.75" thickBot="1" x14ac:dyDescent="0.3">
      <c r="A13" s="7" t="s">
        <v>4</v>
      </c>
      <c r="B13" s="8">
        <f>SUM(B6:B12)</f>
        <v>106998.1936</v>
      </c>
      <c r="C13" s="8">
        <f t="shared" ref="C13:G13" si="3">SUM(C6:C12)</f>
        <v>378506.8443</v>
      </c>
      <c r="D13" s="8">
        <f t="shared" si="3"/>
        <v>409800.10309999995</v>
      </c>
      <c r="E13" s="8">
        <f t="shared" si="3"/>
        <v>153375.788</v>
      </c>
      <c r="F13" s="8">
        <f t="shared" si="3"/>
        <v>72440.328000000009</v>
      </c>
      <c r="G13" s="8">
        <f t="shared" si="3"/>
        <v>1121121.257</v>
      </c>
      <c r="I13" s="7" t="str">
        <f>$A$13</f>
        <v>Total</v>
      </c>
      <c r="J13" s="8">
        <f>SUM(J6:J12)</f>
        <v>0</v>
      </c>
      <c r="K13" s="8">
        <f t="shared" ref="K13:O13" si="4">SUM(K6:K12)</f>
        <v>0</v>
      </c>
      <c r="L13" s="8">
        <f t="shared" si="4"/>
        <v>0</v>
      </c>
      <c r="M13" s="8">
        <f t="shared" si="4"/>
        <v>0</v>
      </c>
      <c r="N13" s="8">
        <f t="shared" si="4"/>
        <v>0</v>
      </c>
      <c r="O13" s="8">
        <f t="shared" si="4"/>
        <v>0</v>
      </c>
      <c r="Q13" s="7" t="str">
        <f>$A$13</f>
        <v>Total</v>
      </c>
      <c r="R13" s="8">
        <f>SUM(R6:R12)</f>
        <v>88100</v>
      </c>
      <c r="S13" s="8">
        <f t="shared" ref="S13:W13" si="5">SUM(S6:S12)</f>
        <v>354172</v>
      </c>
      <c r="T13" s="8">
        <f t="shared" si="5"/>
        <v>406196</v>
      </c>
      <c r="U13" s="8">
        <f t="shared" si="5"/>
        <v>174410</v>
      </c>
      <c r="V13" s="8">
        <f t="shared" si="5"/>
        <v>77119</v>
      </c>
      <c r="W13" s="8">
        <f t="shared" si="5"/>
        <v>1099997</v>
      </c>
    </row>
    <row r="16" spans="1:33" x14ac:dyDescent="0.25">
      <c r="A16" s="1" t="s">
        <v>144</v>
      </c>
      <c r="I16" s="1" t="s">
        <v>19</v>
      </c>
      <c r="Q16" s="16" t="s">
        <v>12</v>
      </c>
      <c r="Y16" s="1" t="s">
        <v>23</v>
      </c>
      <c r="AG16" s="1" t="s">
        <v>17</v>
      </c>
    </row>
    <row r="17" spans="1:39" ht="15.75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Williamson</v>
      </c>
      <c r="B19" s="4">
        <f>($W6/$G6)*B6</f>
        <v>4503.5418425657099</v>
      </c>
      <c r="C19" s="4">
        <f t="shared" ref="C19:G19" si="6">($W6/$G6)*C6</f>
        <v>36232.312962559736</v>
      </c>
      <c r="D19" s="4">
        <f t="shared" si="6"/>
        <v>74519.532541315682</v>
      </c>
      <c r="E19" s="4">
        <f t="shared" si="6"/>
        <v>36507.097316557483</v>
      </c>
      <c r="F19" s="4">
        <f t="shared" si="6"/>
        <v>18877.515337001398</v>
      </c>
      <c r="G19" s="4">
        <f t="shared" si="6"/>
        <v>170640</v>
      </c>
      <c r="I19" s="3" t="str">
        <f>$A$6</f>
        <v>Williamson</v>
      </c>
      <c r="J19" s="4" t="e">
        <f>($W6/$O6)*J6</f>
        <v>#DIV/0!</v>
      </c>
      <c r="K19" s="4" t="e">
        <f t="shared" ref="K19:O19" si="7">($W6/$O6)*K6</f>
        <v>#DIV/0!</v>
      </c>
      <c r="L19" s="4" t="e">
        <f t="shared" si="7"/>
        <v>#DIV/0!</v>
      </c>
      <c r="M19" s="4" t="e">
        <f t="shared" si="7"/>
        <v>#DIV/0!</v>
      </c>
      <c r="N19" s="4" t="e">
        <f t="shared" si="7"/>
        <v>#DIV/0!</v>
      </c>
      <c r="O19" s="4" t="e">
        <f t="shared" si="7"/>
        <v>#DIV/0!</v>
      </c>
      <c r="Q19" s="3" t="str">
        <f>$A$6</f>
        <v>Williamson</v>
      </c>
      <c r="R19" s="4">
        <f>R6</f>
        <v>5127</v>
      </c>
      <c r="S19" s="4">
        <f t="shared" ref="S19:V19" si="8">S6</f>
        <v>42480</v>
      </c>
      <c r="T19" s="4">
        <f t="shared" si="8"/>
        <v>71970</v>
      </c>
      <c r="U19" s="4">
        <f t="shared" si="8"/>
        <v>34696</v>
      </c>
      <c r="V19" s="4">
        <f t="shared" si="8"/>
        <v>16367</v>
      </c>
      <c r="W19" s="4">
        <f>SUM(R19:V19)</f>
        <v>170640</v>
      </c>
      <c r="Y19" s="3" t="str">
        <f>$A$6</f>
        <v>Williamson</v>
      </c>
      <c r="Z19" s="4">
        <f>R19-B19</f>
        <v>623.45815743429011</v>
      </c>
      <c r="AA19" s="4">
        <f t="shared" ref="AA19:AE26" si="9">S19-C19</f>
        <v>6247.6870374402642</v>
      </c>
      <c r="AB19" s="4">
        <f t="shared" si="9"/>
        <v>-2549.5325413156825</v>
      </c>
      <c r="AC19" s="4">
        <f t="shared" si="9"/>
        <v>-1811.0973165574833</v>
      </c>
      <c r="AD19" s="4">
        <f t="shared" si="9"/>
        <v>-2510.5153370013977</v>
      </c>
      <c r="AE19" s="4">
        <f t="shared" si="9"/>
        <v>0</v>
      </c>
      <c r="AG19" s="3" t="str">
        <f>$A$6</f>
        <v>Williamson</v>
      </c>
      <c r="AH19" s="17">
        <f>(R6-B19)/B19</f>
        <v>0.13843729651662351</v>
      </c>
      <c r="AI19" s="17">
        <f t="shared" ref="AI19:AM19" si="10">(S6-C19)/C19</f>
        <v>0.17243412099846464</v>
      </c>
      <c r="AJ19" s="17">
        <f t="shared" si="10"/>
        <v>-3.4212943296472655E-2</v>
      </c>
      <c r="AK19" s="17">
        <f t="shared" si="10"/>
        <v>-4.9609458151472247E-2</v>
      </c>
      <c r="AL19" s="17">
        <f t="shared" si="10"/>
        <v>-0.13298971247983005</v>
      </c>
      <c r="AM19" s="17">
        <f t="shared" si="10"/>
        <v>0</v>
      </c>
    </row>
    <row r="20" spans="1:39" x14ac:dyDescent="0.25">
      <c r="A20" s="3" t="str">
        <f>$A$7</f>
        <v>Rutherford</v>
      </c>
      <c r="B20" s="4">
        <f>($W7/$G7)*B7</f>
        <v>9416.0396506808047</v>
      </c>
      <c r="C20" s="4">
        <f t="shared" ref="C20:G20" si="11">($W7/$G7)*C7</f>
        <v>41257.706953478264</v>
      </c>
      <c r="D20" s="4">
        <f t="shared" si="11"/>
        <v>36161.967966862401</v>
      </c>
      <c r="E20" s="4">
        <f t="shared" si="11"/>
        <v>15669.594679435791</v>
      </c>
      <c r="F20" s="4">
        <f t="shared" si="11"/>
        <v>4625.6907495427413</v>
      </c>
      <c r="G20" s="4">
        <f t="shared" si="11"/>
        <v>107131</v>
      </c>
      <c r="I20" s="3" t="str">
        <f>$A$7</f>
        <v>Rutherford</v>
      </c>
      <c r="J20" s="4" t="e">
        <f t="shared" ref="J20:O20" si="12">($W7/$O7)*J7</f>
        <v>#DIV/0!</v>
      </c>
      <c r="K20" s="4" t="e">
        <f t="shared" si="12"/>
        <v>#DIV/0!</v>
      </c>
      <c r="L20" s="4" t="e">
        <f t="shared" si="12"/>
        <v>#DIV/0!</v>
      </c>
      <c r="M20" s="4" t="e">
        <f t="shared" si="12"/>
        <v>#DIV/0!</v>
      </c>
      <c r="N20" s="4" t="e">
        <f t="shared" si="12"/>
        <v>#DIV/0!</v>
      </c>
      <c r="O20" s="4" t="e">
        <f t="shared" si="12"/>
        <v>#DIV/0!</v>
      </c>
      <c r="Q20" s="3" t="str">
        <f>$A$7</f>
        <v>Rutherford</v>
      </c>
      <c r="R20" s="4">
        <f t="shared" ref="R20:V20" si="13">R7</f>
        <v>8727</v>
      </c>
      <c r="S20" s="4">
        <f t="shared" si="13"/>
        <v>37431</v>
      </c>
      <c r="T20" s="4">
        <f t="shared" si="13"/>
        <v>38263</v>
      </c>
      <c r="U20" s="4">
        <f t="shared" si="13"/>
        <v>15776</v>
      </c>
      <c r="V20" s="4">
        <f t="shared" si="13"/>
        <v>6934</v>
      </c>
      <c r="W20" s="4">
        <f t="shared" ref="W20:W25" si="14">SUM(R20:V20)</f>
        <v>107131</v>
      </c>
      <c r="Y20" s="3" t="str">
        <f>$A$7</f>
        <v>Rutherford</v>
      </c>
      <c r="Z20" s="4">
        <f t="shared" ref="Z20:Z26" si="15">R20-B20</f>
        <v>-689.0396506808047</v>
      </c>
      <c r="AA20" s="4">
        <f t="shared" si="9"/>
        <v>-3826.706953478264</v>
      </c>
      <c r="AB20" s="4">
        <f t="shared" si="9"/>
        <v>2101.0320331375988</v>
      </c>
      <c r="AC20" s="4">
        <f t="shared" si="9"/>
        <v>106.40532056420852</v>
      </c>
      <c r="AD20" s="4">
        <f t="shared" si="9"/>
        <v>2308.3092504572587</v>
      </c>
      <c r="AE20" s="4">
        <f t="shared" si="9"/>
        <v>0</v>
      </c>
      <c r="AG20" s="3" t="str">
        <f>$A$7</f>
        <v>Rutherford</v>
      </c>
      <c r="AH20" s="17">
        <f t="shared" ref="AH20:AH26" si="16">(R7-B20)/B20</f>
        <v>-7.3177224846433742E-2</v>
      </c>
      <c r="AI20" s="17">
        <f t="shared" ref="AI20:AI26" si="17">(S7-C20)/C20</f>
        <v>-9.2751324202123411E-2</v>
      </c>
      <c r="AJ20" s="17">
        <f t="shared" ref="AJ20:AJ26" si="18">(T7-D20)/D20</f>
        <v>5.8100599919310617E-2</v>
      </c>
      <c r="AK20" s="17">
        <f t="shared" ref="AK20:AK26" si="19">(U7-E20)/E20</f>
        <v>6.7905598543560935E-3</v>
      </c>
      <c r="AL20" s="17">
        <f t="shared" ref="AL20:AL26" si="20">(V7-F20)/F20</f>
        <v>0.4990193628239068</v>
      </c>
      <c r="AM20" s="17">
        <f t="shared" ref="AM20:AM26" si="21">(W7-G20)/G20</f>
        <v>0</v>
      </c>
    </row>
    <row r="21" spans="1:39" x14ac:dyDescent="0.25">
      <c r="A21" s="3" t="str">
        <f>$A$8</f>
        <v>Sumner</v>
      </c>
      <c r="B21" s="4">
        <f t="shared" ref="B21:F21" si="22">($W8/$G8)*B8</f>
        <v>25368.374425161914</v>
      </c>
      <c r="C21" s="4">
        <f t="shared" si="22"/>
        <v>56974.198000500037</v>
      </c>
      <c r="D21" s="4">
        <f t="shared" si="22"/>
        <v>46290.612307071264</v>
      </c>
      <c r="E21" s="4">
        <f t="shared" si="22"/>
        <v>12750.124012509279</v>
      </c>
      <c r="F21" s="4">
        <f t="shared" si="22"/>
        <v>5169.6912547575412</v>
      </c>
      <c r="G21" s="4">
        <f t="shared" ref="G21" si="23">($W8/$G8)*G8</f>
        <v>146553</v>
      </c>
      <c r="I21" s="3" t="str">
        <f>$A$8</f>
        <v>Sumner</v>
      </c>
      <c r="J21" s="4" t="e">
        <f t="shared" ref="J21:O21" si="24">($W8/$O8)*J8</f>
        <v>#DIV/0!</v>
      </c>
      <c r="K21" s="4" t="e">
        <f t="shared" si="24"/>
        <v>#DIV/0!</v>
      </c>
      <c r="L21" s="4" t="e">
        <f t="shared" si="24"/>
        <v>#DIV/0!</v>
      </c>
      <c r="M21" s="4" t="e">
        <f t="shared" si="24"/>
        <v>#DIV/0!</v>
      </c>
      <c r="N21" s="4" t="e">
        <f t="shared" si="24"/>
        <v>#DIV/0!</v>
      </c>
      <c r="O21" s="4" t="e">
        <f t="shared" si="24"/>
        <v>#DIV/0!</v>
      </c>
      <c r="Q21" s="3" t="str">
        <f>$A$8</f>
        <v>Sumner</v>
      </c>
      <c r="R21" s="4">
        <f t="shared" ref="R21:V21" si="25">R8</f>
        <v>18101</v>
      </c>
      <c r="S21" s="4">
        <f t="shared" si="25"/>
        <v>55538</v>
      </c>
      <c r="T21" s="4">
        <f t="shared" si="25"/>
        <v>48487</v>
      </c>
      <c r="U21" s="4">
        <f t="shared" si="25"/>
        <v>17455</v>
      </c>
      <c r="V21" s="4">
        <f t="shared" si="25"/>
        <v>6972</v>
      </c>
      <c r="W21" s="4">
        <f t="shared" si="14"/>
        <v>146553</v>
      </c>
      <c r="Y21" s="3" t="str">
        <f>$A$8</f>
        <v>Sumner</v>
      </c>
      <c r="Z21" s="4">
        <f t="shared" si="15"/>
        <v>-7267.3744251619137</v>
      </c>
      <c r="AA21" s="4">
        <f t="shared" si="9"/>
        <v>-1436.1980005000369</v>
      </c>
      <c r="AB21" s="4">
        <f t="shared" si="9"/>
        <v>2196.3876929287362</v>
      </c>
      <c r="AC21" s="4">
        <f t="shared" si="9"/>
        <v>4704.8759874907209</v>
      </c>
      <c r="AD21" s="4">
        <f t="shared" si="9"/>
        <v>1802.3087452424588</v>
      </c>
      <c r="AE21" s="4">
        <f t="shared" si="9"/>
        <v>0</v>
      </c>
      <c r="AG21" s="3" t="str">
        <f>$A$8</f>
        <v>Sumner</v>
      </c>
      <c r="AH21" s="17">
        <f t="shared" si="16"/>
        <v>-0.28647379226450098</v>
      </c>
      <c r="AI21" s="17">
        <f t="shared" si="17"/>
        <v>-2.5207866909990238E-2</v>
      </c>
      <c r="AJ21" s="17">
        <f t="shared" si="18"/>
        <v>4.7447799531336515E-2</v>
      </c>
      <c r="AK21" s="17">
        <f t="shared" si="19"/>
        <v>0.36900629224270431</v>
      </c>
      <c r="AL21" s="17">
        <f t="shared" si="20"/>
        <v>0.34862986132563289</v>
      </c>
      <c r="AM21" s="17">
        <f t="shared" si="21"/>
        <v>0</v>
      </c>
    </row>
    <row r="22" spans="1:39" x14ac:dyDescent="0.25">
      <c r="A22" s="3" t="str">
        <f>$A$9</f>
        <v>Roberston</v>
      </c>
      <c r="B22" s="4">
        <f t="shared" ref="B22:G22" si="26">($W9/$G9)*B9</f>
        <v>27361.498613973388</v>
      </c>
      <c r="C22" s="4">
        <f t="shared" si="26"/>
        <v>51703.761739387497</v>
      </c>
      <c r="D22" s="4">
        <f t="shared" si="26"/>
        <v>21967.074376802375</v>
      </c>
      <c r="E22" s="4">
        <f t="shared" si="26"/>
        <v>4479.2353255413609</v>
      </c>
      <c r="F22" s="4">
        <f t="shared" si="26"/>
        <v>783.42994429537055</v>
      </c>
      <c r="G22" s="4">
        <f t="shared" si="26"/>
        <v>106295</v>
      </c>
      <c r="I22" s="3" t="str">
        <f>$A$9</f>
        <v>Roberston</v>
      </c>
      <c r="J22" s="4" t="e">
        <f t="shared" ref="J22:O22" si="27">($W9/$O9)*J9</f>
        <v>#DIV/0!</v>
      </c>
      <c r="K22" s="4" t="e">
        <f t="shared" si="27"/>
        <v>#DIV/0!</v>
      </c>
      <c r="L22" s="4" t="e">
        <f t="shared" si="27"/>
        <v>#DIV/0!</v>
      </c>
      <c r="M22" s="4" t="e">
        <f t="shared" si="27"/>
        <v>#DIV/0!</v>
      </c>
      <c r="N22" s="4" t="e">
        <f t="shared" si="27"/>
        <v>#DIV/0!</v>
      </c>
      <c r="O22" s="4" t="e">
        <f t="shared" si="27"/>
        <v>#DIV/0!</v>
      </c>
      <c r="Q22" s="3" t="str">
        <f>$A$9</f>
        <v>Roberston</v>
      </c>
      <c r="R22" s="4">
        <f t="shared" ref="R22:V22" si="28">R9</f>
        <v>24060</v>
      </c>
      <c r="S22" s="4">
        <f t="shared" si="28"/>
        <v>45482</v>
      </c>
      <c r="T22" s="4">
        <f t="shared" si="28"/>
        <v>25240</v>
      </c>
      <c r="U22" s="4">
        <f t="shared" si="28"/>
        <v>8302</v>
      </c>
      <c r="V22" s="4">
        <f t="shared" si="28"/>
        <v>3211</v>
      </c>
      <c r="W22" s="4">
        <f t="shared" si="14"/>
        <v>106295</v>
      </c>
      <c r="Y22" s="3" t="str">
        <f>$A$9</f>
        <v>Roberston</v>
      </c>
      <c r="Z22" s="4">
        <f t="shared" si="15"/>
        <v>-3301.4986139733883</v>
      </c>
      <c r="AA22" s="4">
        <f t="shared" si="9"/>
        <v>-6221.7617393874971</v>
      </c>
      <c r="AB22" s="4">
        <f t="shared" si="9"/>
        <v>3272.9256231976251</v>
      </c>
      <c r="AC22" s="4">
        <f t="shared" si="9"/>
        <v>3822.7646744586391</v>
      </c>
      <c r="AD22" s="4">
        <f t="shared" si="9"/>
        <v>2427.5700557046293</v>
      </c>
      <c r="AE22" s="4">
        <f t="shared" si="9"/>
        <v>0</v>
      </c>
      <c r="AG22" s="3" t="str">
        <f>$A$9</f>
        <v>Roberston</v>
      </c>
      <c r="AH22" s="17">
        <f t="shared" si="16"/>
        <v>-0.12066219985068101</v>
      </c>
      <c r="AI22" s="17">
        <f t="shared" si="17"/>
        <v>-0.12033479828311623</v>
      </c>
      <c r="AJ22" s="17">
        <f t="shared" si="18"/>
        <v>0.14899233129805822</v>
      </c>
      <c r="AK22" s="17">
        <f t="shared" si="19"/>
        <v>0.85344135697907753</v>
      </c>
      <c r="AL22" s="17">
        <f t="shared" si="20"/>
        <v>3.0986434375929104</v>
      </c>
      <c r="AM22" s="17">
        <f t="shared" si="21"/>
        <v>0</v>
      </c>
    </row>
    <row r="23" spans="1:39" x14ac:dyDescent="0.25">
      <c r="A23" s="14" t="str">
        <f>$A$10</f>
        <v>Davidson</v>
      </c>
      <c r="B23" s="15">
        <f t="shared" ref="B23:G23" si="29">($W10/$G10)*B10</f>
        <v>9453.0129484099689</v>
      </c>
      <c r="C23" s="15">
        <f t="shared" si="29"/>
        <v>39868.613284748993</v>
      </c>
      <c r="D23" s="15">
        <f t="shared" si="29"/>
        <v>33092.465272376168</v>
      </c>
      <c r="E23" s="15">
        <f t="shared" si="29"/>
        <v>12159.434900693233</v>
      </c>
      <c r="F23" s="15">
        <f t="shared" si="29"/>
        <v>9562.4735937716232</v>
      </c>
      <c r="G23" s="15">
        <f t="shared" si="29"/>
        <v>104136</v>
      </c>
      <c r="I23" s="3" t="str">
        <f>$A$10</f>
        <v>Davidson</v>
      </c>
      <c r="J23" s="4" t="e">
        <f t="shared" ref="J23:O23" si="30">($W10/$O10)*J10</f>
        <v>#DIV/0!</v>
      </c>
      <c r="K23" s="4" t="e">
        <f t="shared" si="30"/>
        <v>#DIV/0!</v>
      </c>
      <c r="L23" s="4" t="e">
        <f t="shared" si="30"/>
        <v>#DIV/0!</v>
      </c>
      <c r="M23" s="4" t="e">
        <f t="shared" si="30"/>
        <v>#DIV/0!</v>
      </c>
      <c r="N23" s="4" t="e">
        <f t="shared" si="30"/>
        <v>#DIV/0!</v>
      </c>
      <c r="O23" s="4" t="e">
        <f t="shared" si="30"/>
        <v>#DIV/0!</v>
      </c>
      <c r="Q23" s="3" t="str">
        <f>$A$10</f>
        <v>Davidson</v>
      </c>
      <c r="R23" s="4">
        <f t="shared" ref="R23:V23" si="31">R10</f>
        <v>9046</v>
      </c>
      <c r="S23" s="4">
        <f t="shared" si="31"/>
        <v>37143</v>
      </c>
      <c r="T23" s="4">
        <f t="shared" si="31"/>
        <v>36869</v>
      </c>
      <c r="U23" s="4">
        <f t="shared" si="31"/>
        <v>14620</v>
      </c>
      <c r="V23" s="4">
        <f t="shared" si="31"/>
        <v>6458</v>
      </c>
      <c r="W23" s="4">
        <f t="shared" si="14"/>
        <v>104136</v>
      </c>
      <c r="Y23" s="3" t="str">
        <f>$A$10</f>
        <v>Davidson</v>
      </c>
      <c r="Z23" s="4">
        <f t="shared" si="15"/>
        <v>-407.01294840996889</v>
      </c>
      <c r="AA23" s="4">
        <f t="shared" si="9"/>
        <v>-2725.6132847489935</v>
      </c>
      <c r="AB23" s="4">
        <f t="shared" si="9"/>
        <v>3776.5347276238317</v>
      </c>
      <c r="AC23" s="4">
        <f t="shared" si="9"/>
        <v>2460.5650993067666</v>
      </c>
      <c r="AD23" s="4">
        <f t="shared" si="9"/>
        <v>-3104.4735937716232</v>
      </c>
      <c r="AE23" s="4">
        <f t="shared" si="9"/>
        <v>0</v>
      </c>
      <c r="AG23" s="3" t="str">
        <f>$A$10</f>
        <v>Davidson</v>
      </c>
      <c r="AH23" s="17">
        <f t="shared" si="16"/>
        <v>-4.3056425568361242E-2</v>
      </c>
      <c r="AI23" s="17">
        <f t="shared" si="17"/>
        <v>-6.8364888070777896E-2</v>
      </c>
      <c r="AJ23" s="17">
        <f t="shared" si="18"/>
        <v>0.11412068265510222</v>
      </c>
      <c r="AK23" s="17">
        <f t="shared" si="19"/>
        <v>0.20235850756242668</v>
      </c>
      <c r="AL23" s="17">
        <f t="shared" si="20"/>
        <v>-0.32465172984045432</v>
      </c>
      <c r="AM23" s="17">
        <f t="shared" si="21"/>
        <v>0</v>
      </c>
    </row>
    <row r="24" spans="1:39" x14ac:dyDescent="0.25">
      <c r="A24" s="14" t="str">
        <f>$A$11</f>
        <v>Maury</v>
      </c>
      <c r="B24" s="15">
        <f t="shared" ref="B24:G24" si="32">($W11/$G11)*B11</f>
        <v>10704.608538273138</v>
      </c>
      <c r="C24" s="15">
        <f t="shared" si="32"/>
        <v>77096.362004800001</v>
      </c>
      <c r="D24" s="15">
        <f t="shared" si="32"/>
        <v>106483.67849279394</v>
      </c>
      <c r="E24" s="15">
        <f t="shared" si="32"/>
        <v>40210.429056108522</v>
      </c>
      <c r="F24" s="15">
        <f t="shared" si="32"/>
        <v>16204.921908024373</v>
      </c>
      <c r="G24" s="15">
        <f t="shared" si="32"/>
        <v>250700</v>
      </c>
      <c r="I24" s="14" t="str">
        <f>$A$11</f>
        <v>Maury</v>
      </c>
      <c r="J24" s="15" t="e">
        <f t="shared" ref="J24:O24" si="33">($W11/$O11)*J11</f>
        <v>#DIV/0!</v>
      </c>
      <c r="K24" s="15" t="e">
        <f t="shared" si="33"/>
        <v>#DIV/0!</v>
      </c>
      <c r="L24" s="15" t="e">
        <f t="shared" si="33"/>
        <v>#DIV/0!</v>
      </c>
      <c r="M24" s="15" t="e">
        <f t="shared" si="33"/>
        <v>#DIV/0!</v>
      </c>
      <c r="N24" s="15" t="e">
        <f t="shared" si="33"/>
        <v>#DIV/0!</v>
      </c>
      <c r="O24" s="15" t="e">
        <f t="shared" si="33"/>
        <v>#DIV/0!</v>
      </c>
      <c r="Q24" s="14" t="str">
        <f>$A$11</f>
        <v>Maury</v>
      </c>
      <c r="R24" s="15">
        <f t="shared" ref="R24:V25" si="34">R11</f>
        <v>11501</v>
      </c>
      <c r="S24" s="15">
        <f t="shared" si="34"/>
        <v>70320</v>
      </c>
      <c r="T24" s="15">
        <f t="shared" si="34"/>
        <v>103709</v>
      </c>
      <c r="U24" s="15">
        <f t="shared" si="34"/>
        <v>45852</v>
      </c>
      <c r="V24" s="15">
        <f t="shared" si="34"/>
        <v>19318</v>
      </c>
      <c r="W24" s="15">
        <f t="shared" si="14"/>
        <v>250700</v>
      </c>
      <c r="Y24" s="14" t="str">
        <f>$A$11</f>
        <v>Maury</v>
      </c>
      <c r="Z24" s="4">
        <f t="shared" si="15"/>
        <v>796.39146172686196</v>
      </c>
      <c r="AA24" s="4">
        <f t="shared" si="9"/>
        <v>-6776.3620048000012</v>
      </c>
      <c r="AB24" s="4">
        <f t="shared" si="9"/>
        <v>-2774.6784927939443</v>
      </c>
      <c r="AC24" s="4">
        <f t="shared" si="9"/>
        <v>5641.5709438914782</v>
      </c>
      <c r="AD24" s="4">
        <f t="shared" si="9"/>
        <v>3113.0780919756271</v>
      </c>
      <c r="AE24" s="4">
        <f t="shared" si="9"/>
        <v>0</v>
      </c>
      <c r="AG24" s="14" t="str">
        <f>$A$11</f>
        <v>Maury</v>
      </c>
      <c r="AH24" s="17">
        <f t="shared" si="16"/>
        <v>7.4397065420884173E-2</v>
      </c>
      <c r="AI24" s="17">
        <f t="shared" si="17"/>
        <v>-8.7894705127306863E-2</v>
      </c>
      <c r="AJ24" s="17">
        <f t="shared" si="18"/>
        <v>-2.6057312557827488E-2</v>
      </c>
      <c r="AK24" s="17">
        <f t="shared" si="19"/>
        <v>0.14030118743620928</v>
      </c>
      <c r="AL24" s="17">
        <f t="shared" si="20"/>
        <v>0.19210694810161902</v>
      </c>
      <c r="AM24" s="17">
        <f t="shared" si="21"/>
        <v>0</v>
      </c>
    </row>
    <row r="25" spans="1:39" x14ac:dyDescent="0.25">
      <c r="A25" s="14" t="str">
        <f>$A$12</f>
        <v>Wilson</v>
      </c>
      <c r="B25" s="15">
        <f t="shared" ref="B25:G26" si="35">($W12/$G12)*B12</f>
        <v>16796.869912351249</v>
      </c>
      <c r="C25" s="15">
        <f t="shared" si="35"/>
        <v>66454.262962685636</v>
      </c>
      <c r="D25" s="15">
        <f t="shared" si="35"/>
        <v>85038.507962511896</v>
      </c>
      <c r="E25" s="15">
        <f t="shared" si="35"/>
        <v>29717.780910597907</v>
      </c>
      <c r="F25" s="15">
        <f t="shared" si="35"/>
        <v>16534.578251853287</v>
      </c>
      <c r="G25" s="15">
        <f t="shared" si="35"/>
        <v>214541.99999999997</v>
      </c>
      <c r="I25" s="14" t="str">
        <f>$A$12</f>
        <v>Wilson</v>
      </c>
      <c r="J25" s="15" t="e">
        <f t="shared" ref="J25:O26" si="36">($W12/$O12)*J12</f>
        <v>#DIV/0!</v>
      </c>
      <c r="K25" s="15" t="e">
        <f t="shared" si="36"/>
        <v>#DIV/0!</v>
      </c>
      <c r="L25" s="15" t="e">
        <f t="shared" si="36"/>
        <v>#DIV/0!</v>
      </c>
      <c r="M25" s="15" t="e">
        <f t="shared" si="36"/>
        <v>#DIV/0!</v>
      </c>
      <c r="N25" s="15" t="e">
        <f t="shared" si="36"/>
        <v>#DIV/0!</v>
      </c>
      <c r="O25" s="15" t="e">
        <f t="shared" si="36"/>
        <v>#DIV/0!</v>
      </c>
      <c r="Q25" s="14" t="str">
        <f>$A$12</f>
        <v>Wilson</v>
      </c>
      <c r="R25" s="15">
        <f t="shared" si="34"/>
        <v>11538</v>
      </c>
      <c r="S25" s="15">
        <f t="shared" si="34"/>
        <v>65778</v>
      </c>
      <c r="T25" s="15">
        <f t="shared" si="34"/>
        <v>81658</v>
      </c>
      <c r="U25" s="15">
        <f t="shared" si="34"/>
        <v>37709</v>
      </c>
      <c r="V25" s="15">
        <f t="shared" si="34"/>
        <v>17859</v>
      </c>
      <c r="W25" s="15">
        <f t="shared" si="14"/>
        <v>214542</v>
      </c>
      <c r="Y25" s="14" t="str">
        <f>$A$12</f>
        <v>Wilson</v>
      </c>
      <c r="Z25" s="4">
        <f t="shared" si="15"/>
        <v>-5258.8699123512488</v>
      </c>
      <c r="AA25" s="4">
        <f t="shared" si="9"/>
        <v>-676.26296268563601</v>
      </c>
      <c r="AB25" s="4">
        <f t="shared" si="9"/>
        <v>-3380.507962511896</v>
      </c>
      <c r="AC25" s="4">
        <f t="shared" si="9"/>
        <v>7991.2190894020932</v>
      </c>
      <c r="AD25" s="4">
        <f t="shared" si="9"/>
        <v>1324.4217481467131</v>
      </c>
      <c r="AE25" s="4">
        <f t="shared" si="9"/>
        <v>0</v>
      </c>
      <c r="AG25" s="14" t="str">
        <f>$A$12</f>
        <v>Wilson</v>
      </c>
      <c r="AH25" s="17">
        <f t="shared" si="16"/>
        <v>-0.31308630356684741</v>
      </c>
      <c r="AI25" s="17">
        <f t="shared" si="17"/>
        <v>-1.0176366910657946E-2</v>
      </c>
      <c r="AJ25" s="17">
        <f t="shared" si="18"/>
        <v>-3.9752672565729265E-2</v>
      </c>
      <c r="AK25" s="17">
        <f t="shared" si="19"/>
        <v>0.2689036275434778</v>
      </c>
      <c r="AL25" s="17">
        <f t="shared" si="20"/>
        <v>8.0100122783492503E-2</v>
      </c>
      <c r="AM25" s="17">
        <f t="shared" si="21"/>
        <v>1.35655631329687E-16</v>
      </c>
    </row>
    <row r="26" spans="1:39" ht="15.75" thickBot="1" x14ac:dyDescent="0.3">
      <c r="A26" s="7" t="str">
        <f>$A$13</f>
        <v>Total</v>
      </c>
      <c r="B26" s="8">
        <f t="shared" si="35"/>
        <v>104982.12502041535</v>
      </c>
      <c r="C26" s="8">
        <f t="shared" si="35"/>
        <v>371374.98786134168</v>
      </c>
      <c r="D26" s="8">
        <f t="shared" si="35"/>
        <v>402078.61655921728</v>
      </c>
      <c r="E26" s="8">
        <f t="shared" si="35"/>
        <v>150485.86905228577</v>
      </c>
      <c r="F26" s="8">
        <f t="shared" si="35"/>
        <v>71075.401506739974</v>
      </c>
      <c r="G26" s="8">
        <f t="shared" si="35"/>
        <v>1099997</v>
      </c>
      <c r="I26" s="7" t="str">
        <f>$A$13</f>
        <v>Total</v>
      </c>
      <c r="J26" s="8" t="e">
        <f t="shared" si="36"/>
        <v>#DIV/0!</v>
      </c>
      <c r="K26" s="8" t="e">
        <f t="shared" si="36"/>
        <v>#DIV/0!</v>
      </c>
      <c r="L26" s="8" t="e">
        <f t="shared" si="36"/>
        <v>#DIV/0!</v>
      </c>
      <c r="M26" s="8" t="e">
        <f t="shared" si="36"/>
        <v>#DIV/0!</v>
      </c>
      <c r="N26" s="8" t="e">
        <f t="shared" si="36"/>
        <v>#DIV/0!</v>
      </c>
      <c r="O26" s="8" t="e">
        <f t="shared" si="36"/>
        <v>#DIV/0!</v>
      </c>
      <c r="Q26" s="7" t="str">
        <f>$A$13</f>
        <v>Total</v>
      </c>
      <c r="R26" s="8">
        <f>SUM(R19:R25)</f>
        <v>88100</v>
      </c>
      <c r="S26" s="8">
        <f t="shared" ref="S26:W26" si="37">SUM(S19:S25)</f>
        <v>354172</v>
      </c>
      <c r="T26" s="8">
        <f t="shared" si="37"/>
        <v>406196</v>
      </c>
      <c r="U26" s="8">
        <f t="shared" si="37"/>
        <v>174410</v>
      </c>
      <c r="V26" s="8">
        <f t="shared" si="37"/>
        <v>77119</v>
      </c>
      <c r="W26" s="8">
        <f t="shared" si="37"/>
        <v>1099997</v>
      </c>
      <c r="Y26" s="7" t="str">
        <f>$A$13</f>
        <v>Total</v>
      </c>
      <c r="Z26" s="4">
        <f t="shared" si="15"/>
        <v>-16882.125020415348</v>
      </c>
      <c r="AA26" s="4">
        <f t="shared" si="9"/>
        <v>-17202.98786134168</v>
      </c>
      <c r="AB26" s="4">
        <f t="shared" si="9"/>
        <v>4117.3834407827235</v>
      </c>
      <c r="AC26" s="4">
        <f t="shared" si="9"/>
        <v>23924.130947714235</v>
      </c>
      <c r="AD26" s="4">
        <f t="shared" si="9"/>
        <v>6043.5984932600259</v>
      </c>
      <c r="AE26" s="4">
        <f t="shared" si="9"/>
        <v>0</v>
      </c>
      <c r="AG26" s="7" t="str">
        <f>$A$13</f>
        <v>Total</v>
      </c>
      <c r="AH26" s="17">
        <f t="shared" si="16"/>
        <v>-0.16080951892650644</v>
      </c>
      <c r="AI26" s="17">
        <f t="shared" si="17"/>
        <v>-4.6322419181780407E-2</v>
      </c>
      <c r="AJ26" s="17">
        <f t="shared" si="18"/>
        <v>1.024024474620705E-2</v>
      </c>
      <c r="AK26" s="17">
        <f t="shared" si="19"/>
        <v>0.15897925232702004</v>
      </c>
      <c r="AL26" s="17">
        <f t="shared" si="20"/>
        <v>8.5030803416381973E-2</v>
      </c>
      <c r="AM26" s="17">
        <f t="shared" si="21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144</v>
      </c>
      <c r="I29" s="1" t="s">
        <v>19</v>
      </c>
      <c r="Q29" s="16" t="s">
        <v>12</v>
      </c>
    </row>
    <row r="30" spans="1:39" ht="15.75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Williamson</v>
      </c>
      <c r="B32" s="17">
        <f>B19/$G$26</f>
        <v>4.0941401136236821E-3</v>
      </c>
      <c r="C32" s="17">
        <f t="shared" ref="C32:G32" si="38">C19/$G$26</f>
        <v>3.2938556162025658E-2</v>
      </c>
      <c r="D32" s="17">
        <f t="shared" si="38"/>
        <v>6.7745214342689736E-2</v>
      </c>
      <c r="E32" s="17">
        <f t="shared" si="38"/>
        <v>3.3188360801490804E-2</v>
      </c>
      <c r="F32" s="17">
        <f t="shared" si="38"/>
        <v>1.716142438297686E-2</v>
      </c>
      <c r="G32" s="17">
        <f t="shared" si="38"/>
        <v>0.15512769580280675</v>
      </c>
      <c r="I32" s="3" t="str">
        <f>$A$6</f>
        <v>Williamson</v>
      </c>
      <c r="J32" s="17" t="e">
        <f>J19/$O$26</f>
        <v>#DIV/0!</v>
      </c>
      <c r="K32" s="17" t="e">
        <f t="shared" ref="K32:O32" si="39">K19/$O$26</f>
        <v>#DIV/0!</v>
      </c>
      <c r="L32" s="17" t="e">
        <f t="shared" si="39"/>
        <v>#DIV/0!</v>
      </c>
      <c r="M32" s="17" t="e">
        <f t="shared" si="39"/>
        <v>#DIV/0!</v>
      </c>
      <c r="N32" s="17" t="e">
        <f t="shared" si="39"/>
        <v>#DIV/0!</v>
      </c>
      <c r="O32" s="17" t="e">
        <f t="shared" si="39"/>
        <v>#DIV/0!</v>
      </c>
      <c r="Q32" s="3" t="str">
        <f>$A$6</f>
        <v>Williamson</v>
      </c>
      <c r="R32" s="17">
        <f>R6/$W$13</f>
        <v>4.6609218025140068E-3</v>
      </c>
      <c r="S32" s="17">
        <f t="shared" ref="S32:W32" si="40">S6/$W$13</f>
        <v>3.8618287140783109E-2</v>
      </c>
      <c r="T32" s="17">
        <f t="shared" si="40"/>
        <v>6.5427451165775904E-2</v>
      </c>
      <c r="U32" s="17">
        <f t="shared" si="40"/>
        <v>3.1541904205193289E-2</v>
      </c>
      <c r="V32" s="17">
        <f t="shared" si="40"/>
        <v>1.4879131488540424E-2</v>
      </c>
      <c r="W32" s="17">
        <f t="shared" si="40"/>
        <v>0.15512769580280675</v>
      </c>
    </row>
    <row r="33" spans="1:23" x14ac:dyDescent="0.25">
      <c r="A33" s="3" t="str">
        <f>$A$7</f>
        <v>Rutherford</v>
      </c>
      <c r="B33" s="17">
        <f t="shared" ref="B33:G39" si="41">B20/$G$26</f>
        <v>8.5600593916899809E-3</v>
      </c>
      <c r="C33" s="17">
        <f t="shared" si="41"/>
        <v>3.7507108613458275E-2</v>
      </c>
      <c r="D33" s="17">
        <f t="shared" si="41"/>
        <v>3.2874605991527611E-2</v>
      </c>
      <c r="E33" s="17">
        <f t="shared" si="41"/>
        <v>1.4245124922555055E-2</v>
      </c>
      <c r="F33" s="17">
        <f t="shared" si="41"/>
        <v>4.2051848773612486E-3</v>
      </c>
      <c r="G33" s="17">
        <f t="shared" si="41"/>
        <v>9.7392083796592172E-2</v>
      </c>
      <c r="I33" s="3" t="str">
        <f>$A$7</f>
        <v>Rutherford</v>
      </c>
      <c r="J33" s="17" t="e">
        <f t="shared" ref="J33:O39" si="42">J20/$O$26</f>
        <v>#DIV/0!</v>
      </c>
      <c r="K33" s="17" t="e">
        <f t="shared" si="42"/>
        <v>#DIV/0!</v>
      </c>
      <c r="L33" s="17" t="e">
        <f t="shared" si="42"/>
        <v>#DIV/0!</v>
      </c>
      <c r="M33" s="17" t="e">
        <f t="shared" si="42"/>
        <v>#DIV/0!</v>
      </c>
      <c r="N33" s="17" t="e">
        <f t="shared" si="42"/>
        <v>#DIV/0!</v>
      </c>
      <c r="O33" s="17" t="e">
        <f t="shared" si="42"/>
        <v>#DIV/0!</v>
      </c>
      <c r="Q33" s="3" t="str">
        <f>$A$7</f>
        <v>Rutherford</v>
      </c>
      <c r="R33" s="17">
        <f t="shared" ref="R33:W39" si="43">R7/$W$13</f>
        <v>7.9336580008854563E-3</v>
      </c>
      <c r="S33" s="17">
        <f t="shared" si="43"/>
        <v>3.4028274622567155E-2</v>
      </c>
      <c r="T33" s="17">
        <f t="shared" si="43"/>
        <v>3.478464032174633E-2</v>
      </c>
      <c r="U33" s="17">
        <f t="shared" si="43"/>
        <v>1.4341857295974444E-2</v>
      </c>
      <c r="V33" s="17">
        <f t="shared" si="43"/>
        <v>6.3036535554187876E-3</v>
      </c>
      <c r="W33" s="17">
        <f t="shared" si="43"/>
        <v>9.7392083796592172E-2</v>
      </c>
    </row>
    <row r="34" spans="1:23" x14ac:dyDescent="0.25">
      <c r="A34" s="3" t="str">
        <f>$A$8</f>
        <v>Sumner</v>
      </c>
      <c r="B34" s="17">
        <f t="shared" si="41"/>
        <v>2.3062221465296646E-2</v>
      </c>
      <c r="C34" s="17">
        <f t="shared" si="41"/>
        <v>5.1794866713727433E-2</v>
      </c>
      <c r="D34" s="17">
        <f t="shared" si="41"/>
        <v>4.208248959503641E-2</v>
      </c>
      <c r="E34" s="17">
        <f t="shared" si="41"/>
        <v>1.1591053441517821E-2</v>
      </c>
      <c r="F34" s="17">
        <f t="shared" si="41"/>
        <v>4.6997321399581465E-3</v>
      </c>
      <c r="G34" s="17">
        <f t="shared" si="41"/>
        <v>0.13323036335553642</v>
      </c>
      <c r="I34" s="3" t="str">
        <f>$A$8</f>
        <v>Sumner</v>
      </c>
      <c r="J34" s="17" t="e">
        <f t="shared" si="42"/>
        <v>#DIV/0!</v>
      </c>
      <c r="K34" s="17" t="e">
        <f t="shared" si="42"/>
        <v>#DIV/0!</v>
      </c>
      <c r="L34" s="17" t="e">
        <f t="shared" si="42"/>
        <v>#DIV/0!</v>
      </c>
      <c r="M34" s="17" t="e">
        <f t="shared" si="42"/>
        <v>#DIV/0!</v>
      </c>
      <c r="N34" s="17" t="e">
        <f t="shared" si="42"/>
        <v>#DIV/0!</v>
      </c>
      <c r="O34" s="17" t="e">
        <f t="shared" si="42"/>
        <v>#DIV/0!</v>
      </c>
      <c r="Q34" s="3" t="str">
        <f>$A$8</f>
        <v>Sumner</v>
      </c>
      <c r="R34" s="17">
        <f t="shared" si="43"/>
        <v>1.6455499424089338E-2</v>
      </c>
      <c r="S34" s="17">
        <f t="shared" si="43"/>
        <v>5.048922860698711E-2</v>
      </c>
      <c r="T34" s="17">
        <f t="shared" si="43"/>
        <v>4.4079211125121254E-2</v>
      </c>
      <c r="U34" s="17">
        <f t="shared" si="43"/>
        <v>1.5868225095159349E-2</v>
      </c>
      <c r="V34" s="17">
        <f t="shared" si="43"/>
        <v>6.3381991041793753E-3</v>
      </c>
      <c r="W34" s="17">
        <f t="shared" si="43"/>
        <v>0.13323036335553642</v>
      </c>
    </row>
    <row r="35" spans="1:23" x14ac:dyDescent="0.25">
      <c r="A35" s="14" t="str">
        <f>$A$9</f>
        <v>Roberston</v>
      </c>
      <c r="B35" s="82">
        <f t="shared" si="41"/>
        <v>2.4874157487678048E-2</v>
      </c>
      <c r="C35" s="82">
        <f t="shared" si="41"/>
        <v>4.7003547954573961E-2</v>
      </c>
      <c r="D35" s="82">
        <f t="shared" si="41"/>
        <v>1.9970122079244194E-2</v>
      </c>
      <c r="E35" s="82">
        <f t="shared" si="41"/>
        <v>4.0720432197009276E-3</v>
      </c>
      <c r="F35" s="82">
        <f t="shared" si="41"/>
        <v>7.1221098266210773E-4</v>
      </c>
      <c r="G35" s="82">
        <f t="shared" si="41"/>
        <v>9.6632081723859245E-2</v>
      </c>
      <c r="H35" s="83"/>
      <c r="I35" s="14" t="str">
        <f>$A$9</f>
        <v>Roberston</v>
      </c>
      <c r="J35" s="82" t="e">
        <f t="shared" si="42"/>
        <v>#DIV/0!</v>
      </c>
      <c r="K35" s="82" t="e">
        <f t="shared" si="42"/>
        <v>#DIV/0!</v>
      </c>
      <c r="L35" s="82" t="e">
        <f t="shared" si="42"/>
        <v>#DIV/0!</v>
      </c>
      <c r="M35" s="82" t="e">
        <f t="shared" si="42"/>
        <v>#DIV/0!</v>
      </c>
      <c r="N35" s="82" t="e">
        <f t="shared" si="42"/>
        <v>#DIV/0!</v>
      </c>
      <c r="O35" s="82" t="e">
        <f t="shared" si="42"/>
        <v>#DIV/0!</v>
      </c>
      <c r="Q35" s="3" t="str">
        <f>$A$9</f>
        <v>Roberston</v>
      </c>
      <c r="R35" s="17">
        <f t="shared" si="43"/>
        <v>2.1872786925782525E-2</v>
      </c>
      <c r="S35" s="17">
        <f t="shared" si="43"/>
        <v>4.1347385492869523E-2</v>
      </c>
      <c r="T35" s="17">
        <f t="shared" si="43"/>
        <v>2.2945517124137612E-2</v>
      </c>
      <c r="U35" s="17">
        <f t="shared" si="43"/>
        <v>7.5472933107999388E-3</v>
      </c>
      <c r="V35" s="17">
        <f t="shared" si="43"/>
        <v>2.919098870269646E-3</v>
      </c>
      <c r="W35" s="17">
        <f t="shared" si="43"/>
        <v>9.6632081723859245E-2</v>
      </c>
    </row>
    <row r="36" spans="1:23" x14ac:dyDescent="0.25">
      <c r="A36" s="14" t="str">
        <f>$A$10</f>
        <v>Davidson</v>
      </c>
      <c r="B36" s="82">
        <f t="shared" si="41"/>
        <v>8.5936715722042603E-3</v>
      </c>
      <c r="C36" s="82">
        <f t="shared" si="41"/>
        <v>3.6244292743297477E-2</v>
      </c>
      <c r="D36" s="82">
        <f t="shared" si="41"/>
        <v>3.0084141386182116E-2</v>
      </c>
      <c r="E36" s="82">
        <f t="shared" si="41"/>
        <v>1.1054061875344417E-2</v>
      </c>
      <c r="F36" s="82">
        <f t="shared" si="41"/>
        <v>8.6931815211965333E-3</v>
      </c>
      <c r="G36" s="82">
        <f t="shared" si="41"/>
        <v>9.4669349098224817E-2</v>
      </c>
      <c r="H36" s="83"/>
      <c r="I36" s="14" t="str">
        <f>$A$10</f>
        <v>Davidson</v>
      </c>
      <c r="J36" s="82" t="e">
        <f t="shared" si="42"/>
        <v>#DIV/0!</v>
      </c>
      <c r="K36" s="82" t="e">
        <f t="shared" si="42"/>
        <v>#DIV/0!</v>
      </c>
      <c r="L36" s="82" t="e">
        <f t="shared" si="42"/>
        <v>#DIV/0!</v>
      </c>
      <c r="M36" s="82" t="e">
        <f t="shared" si="42"/>
        <v>#DIV/0!</v>
      </c>
      <c r="N36" s="82" t="e">
        <f t="shared" si="42"/>
        <v>#DIV/0!</v>
      </c>
      <c r="O36" s="82" t="e">
        <f t="shared" si="42"/>
        <v>#DIV/0!</v>
      </c>
      <c r="Q36" s="3" t="str">
        <f>$A$10</f>
        <v>Davidson</v>
      </c>
      <c r="R36" s="17">
        <f t="shared" si="43"/>
        <v>8.2236587917967046E-3</v>
      </c>
      <c r="S36" s="17">
        <f t="shared" si="43"/>
        <v>3.3766455726697439E-2</v>
      </c>
      <c r="T36" s="17">
        <f t="shared" si="43"/>
        <v>3.351736413826583E-2</v>
      </c>
      <c r="U36" s="17">
        <f t="shared" si="43"/>
        <v>1.3290945338941833E-2</v>
      </c>
      <c r="V36" s="17">
        <f t="shared" si="43"/>
        <v>5.8709251025230065E-3</v>
      </c>
      <c r="W36" s="17">
        <f t="shared" si="43"/>
        <v>9.4669349098224817E-2</v>
      </c>
    </row>
    <row r="37" spans="1:23" x14ac:dyDescent="0.25">
      <c r="A37" s="14" t="str">
        <f>$A$11</f>
        <v>Maury</v>
      </c>
      <c r="B37" s="82">
        <f t="shared" si="41"/>
        <v>9.7314888479451654E-3</v>
      </c>
      <c r="C37" s="82">
        <f t="shared" si="41"/>
        <v>7.0087792971071747E-2</v>
      </c>
      <c r="D37" s="82">
        <f t="shared" si="41"/>
        <v>9.6803608094198385E-2</v>
      </c>
      <c r="E37" s="82">
        <f t="shared" si="41"/>
        <v>3.6555035201103751E-2</v>
      </c>
      <c r="F37" s="82">
        <f t="shared" si="41"/>
        <v>1.4731787366714976E-2</v>
      </c>
      <c r="G37" s="82">
        <f t="shared" si="41"/>
        <v>0.22790971248103403</v>
      </c>
      <c r="H37" s="83"/>
      <c r="I37" s="14" t="str">
        <f>$A$11</f>
        <v>Maury</v>
      </c>
      <c r="J37" s="82" t="e">
        <f t="shared" si="42"/>
        <v>#DIV/0!</v>
      </c>
      <c r="K37" s="82" t="e">
        <f t="shared" si="42"/>
        <v>#DIV/0!</v>
      </c>
      <c r="L37" s="82" t="e">
        <f t="shared" si="42"/>
        <v>#DIV/0!</v>
      </c>
      <c r="M37" s="82" t="e">
        <f t="shared" si="42"/>
        <v>#DIV/0!</v>
      </c>
      <c r="N37" s="82" t="e">
        <f t="shared" si="42"/>
        <v>#DIV/0!</v>
      </c>
      <c r="O37" s="82" t="e">
        <f t="shared" si="42"/>
        <v>#DIV/0!</v>
      </c>
      <c r="Q37" s="14" t="str">
        <f>$A$11</f>
        <v>Maury</v>
      </c>
      <c r="R37" s="82">
        <f t="shared" si="43"/>
        <v>1.0455483060408347E-2</v>
      </c>
      <c r="S37" s="82">
        <f t="shared" si="43"/>
        <v>6.3927447074855662E-2</v>
      </c>
      <c r="T37" s="82">
        <f t="shared" si="43"/>
        <v>9.4281166221362428E-2</v>
      </c>
      <c r="U37" s="82">
        <f t="shared" si="43"/>
        <v>4.1683750046591035E-2</v>
      </c>
      <c r="V37" s="82">
        <f t="shared" si="43"/>
        <v>1.7561866077816575E-2</v>
      </c>
      <c r="W37" s="82">
        <f t="shared" si="43"/>
        <v>0.22790971248103403</v>
      </c>
    </row>
    <row r="38" spans="1:23" x14ac:dyDescent="0.25">
      <c r="A38" s="14" t="str">
        <f>$A$12</f>
        <v>Wilson</v>
      </c>
      <c r="B38" s="82">
        <f t="shared" si="41"/>
        <v>1.5269923383746727E-2</v>
      </c>
      <c r="C38" s="82">
        <f t="shared" si="41"/>
        <v>6.0413131092799013E-2</v>
      </c>
      <c r="D38" s="82">
        <f t="shared" si="41"/>
        <v>7.7307945351225413E-2</v>
      </c>
      <c r="E38" s="82">
        <f t="shared" si="41"/>
        <v>2.70162381448294E-2</v>
      </c>
      <c r="F38" s="82">
        <f t="shared" si="41"/>
        <v>1.5031475769345996E-2</v>
      </c>
      <c r="G38" s="82">
        <f t="shared" si="41"/>
        <v>0.19503871374194653</v>
      </c>
      <c r="H38" s="83"/>
      <c r="I38" s="14" t="str">
        <f>$A$12</f>
        <v>Wilson</v>
      </c>
      <c r="J38" s="82" t="e">
        <f t="shared" si="42"/>
        <v>#DIV/0!</v>
      </c>
      <c r="K38" s="82" t="e">
        <f t="shared" si="42"/>
        <v>#DIV/0!</v>
      </c>
      <c r="L38" s="82" t="e">
        <f t="shared" si="42"/>
        <v>#DIV/0!</v>
      </c>
      <c r="M38" s="82" t="e">
        <f t="shared" si="42"/>
        <v>#DIV/0!</v>
      </c>
      <c r="N38" s="82" t="e">
        <f t="shared" si="42"/>
        <v>#DIV/0!</v>
      </c>
      <c r="O38" s="82" t="e">
        <f t="shared" si="42"/>
        <v>#DIV/0!</v>
      </c>
      <c r="Q38" s="14" t="str">
        <f>$A$12</f>
        <v>Wilson</v>
      </c>
      <c r="R38" s="82">
        <f t="shared" si="43"/>
        <v>1.0489119515780498E-2</v>
      </c>
      <c r="S38" s="82">
        <f t="shared" si="43"/>
        <v>5.9798344904577014E-2</v>
      </c>
      <c r="T38" s="82">
        <f t="shared" si="43"/>
        <v>7.4234747912948859E-2</v>
      </c>
      <c r="U38" s="82">
        <f t="shared" si="43"/>
        <v>3.4281002584552502E-2</v>
      </c>
      <c r="V38" s="82">
        <f t="shared" si="43"/>
        <v>1.6235498824087702E-2</v>
      </c>
      <c r="W38" s="82">
        <f t="shared" si="43"/>
        <v>0.19503871374194656</v>
      </c>
    </row>
    <row r="39" spans="1:23" ht="15.75" thickBot="1" x14ac:dyDescent="0.3">
      <c r="A39" s="7" t="str">
        <f>$A$13</f>
        <v>Total</v>
      </c>
      <c r="B39" s="19">
        <f t="shared" si="41"/>
        <v>9.5438555760075122E-2</v>
      </c>
      <c r="C39" s="19">
        <f t="shared" si="41"/>
        <v>0.33761454609543634</v>
      </c>
      <c r="D39" s="19">
        <f t="shared" si="41"/>
        <v>0.36552701194568465</v>
      </c>
      <c r="E39" s="19">
        <f t="shared" si="41"/>
        <v>0.13680570860855598</v>
      </c>
      <c r="F39" s="19">
        <f t="shared" si="41"/>
        <v>6.4614177590247956E-2</v>
      </c>
      <c r="G39" s="19">
        <f t="shared" si="41"/>
        <v>1</v>
      </c>
      <c r="H39" s="83"/>
      <c r="I39" s="7" t="str">
        <f>$A$13</f>
        <v>Total</v>
      </c>
      <c r="J39" s="19" t="e">
        <f t="shared" si="42"/>
        <v>#DIV/0!</v>
      </c>
      <c r="K39" s="19" t="e">
        <f t="shared" si="42"/>
        <v>#DIV/0!</v>
      </c>
      <c r="L39" s="19" t="e">
        <f t="shared" si="42"/>
        <v>#DIV/0!</v>
      </c>
      <c r="M39" s="19" t="e">
        <f t="shared" si="42"/>
        <v>#DIV/0!</v>
      </c>
      <c r="N39" s="19" t="e">
        <f t="shared" si="42"/>
        <v>#DIV/0!</v>
      </c>
      <c r="O39" s="19" t="e">
        <f t="shared" si="42"/>
        <v>#DIV/0!</v>
      </c>
      <c r="Q39" s="7" t="str">
        <f>$A$13</f>
        <v>Total</v>
      </c>
      <c r="R39" s="19">
        <f t="shared" si="43"/>
        <v>8.0091127521256883E-2</v>
      </c>
      <c r="S39" s="19">
        <f t="shared" si="43"/>
        <v>0.321975423569337</v>
      </c>
      <c r="T39" s="19">
        <f t="shared" si="43"/>
        <v>0.36927009800935823</v>
      </c>
      <c r="U39" s="19">
        <f t="shared" si="43"/>
        <v>0.1585549778772124</v>
      </c>
      <c r="V39" s="19">
        <f t="shared" si="43"/>
        <v>7.0108373022835513E-2</v>
      </c>
      <c r="W39" s="19">
        <f t="shared" si="43"/>
        <v>1</v>
      </c>
    </row>
    <row r="40" spans="1:23" x14ac:dyDescent="0.25">
      <c r="A40" s="14"/>
      <c r="B40" s="17"/>
      <c r="C40" s="82"/>
      <c r="D40" s="82"/>
      <c r="E40" s="82"/>
      <c r="F40" s="82"/>
      <c r="G40" s="82"/>
      <c r="I40" s="14"/>
      <c r="J40" s="82"/>
      <c r="K40" s="82"/>
      <c r="L40" s="82"/>
      <c r="M40" s="82"/>
      <c r="N40" s="82"/>
      <c r="O40" s="82"/>
      <c r="Q40" s="14"/>
      <c r="R40" s="82"/>
      <c r="S40" s="82"/>
      <c r="T40" s="82"/>
      <c r="U40" s="82"/>
      <c r="V40" s="82"/>
      <c r="W40" s="82"/>
    </row>
    <row r="42" spans="1:23" x14ac:dyDescent="0.25">
      <c r="Q42" s="1" t="s">
        <v>20</v>
      </c>
    </row>
    <row r="43" spans="1:23" ht="15.75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Williamson</v>
      </c>
      <c r="R45" s="17" t="e">
        <f>R32-J32</f>
        <v>#DIV/0!</v>
      </c>
      <c r="S45" s="17" t="e">
        <f t="shared" ref="S45:W45" si="44">S32-K32</f>
        <v>#DIV/0!</v>
      </c>
      <c r="T45" s="17" t="e">
        <f t="shared" si="44"/>
        <v>#DIV/0!</v>
      </c>
      <c r="U45" s="17" t="e">
        <f t="shared" si="44"/>
        <v>#DIV/0!</v>
      </c>
      <c r="V45" s="17" t="e">
        <f t="shared" si="44"/>
        <v>#DIV/0!</v>
      </c>
      <c r="W45" s="17" t="e">
        <f t="shared" si="44"/>
        <v>#DIV/0!</v>
      </c>
    </row>
    <row r="46" spans="1:23" x14ac:dyDescent="0.25">
      <c r="Q46" s="3" t="str">
        <f>$A$7</f>
        <v>Rutherford</v>
      </c>
      <c r="R46" s="17" t="e">
        <f t="shared" ref="R46:W46" si="45">R33-J33</f>
        <v>#DIV/0!</v>
      </c>
      <c r="S46" s="17" t="e">
        <f t="shared" si="45"/>
        <v>#DIV/0!</v>
      </c>
      <c r="T46" s="17" t="e">
        <f t="shared" si="45"/>
        <v>#DIV/0!</v>
      </c>
      <c r="U46" s="17" t="e">
        <f t="shared" si="45"/>
        <v>#DIV/0!</v>
      </c>
      <c r="V46" s="17" t="e">
        <f t="shared" si="45"/>
        <v>#DIV/0!</v>
      </c>
      <c r="W46" s="17" t="e">
        <f t="shared" si="45"/>
        <v>#DIV/0!</v>
      </c>
    </row>
    <row r="47" spans="1:23" x14ac:dyDescent="0.25">
      <c r="Q47" s="3" t="str">
        <f>$A$8</f>
        <v>Sumner</v>
      </c>
      <c r="R47" s="17" t="e">
        <f t="shared" ref="R47:R49" si="46">R34-J34</f>
        <v>#DIV/0!</v>
      </c>
      <c r="S47" s="17" t="e">
        <f t="shared" ref="S47:S49" si="47">S34-K34</f>
        <v>#DIV/0!</v>
      </c>
      <c r="T47" s="17" t="e">
        <f t="shared" ref="T47:T49" si="48">T34-L34</f>
        <v>#DIV/0!</v>
      </c>
      <c r="U47" s="17" t="e">
        <f t="shared" ref="U47:U49" si="49">U34-M34</f>
        <v>#DIV/0!</v>
      </c>
      <c r="V47" s="17" t="e">
        <f t="shared" ref="V47:V49" si="50">V34-N34</f>
        <v>#DIV/0!</v>
      </c>
      <c r="W47" s="17" t="e">
        <f t="shared" ref="W47:W49" si="51">W34-O34</f>
        <v>#DIV/0!</v>
      </c>
    </row>
    <row r="48" spans="1:23" x14ac:dyDescent="0.25">
      <c r="Q48" s="3" t="str">
        <f>$A$9</f>
        <v>Roberston</v>
      </c>
      <c r="R48" s="17" t="e">
        <f t="shared" si="46"/>
        <v>#DIV/0!</v>
      </c>
      <c r="S48" s="17" t="e">
        <f t="shared" si="47"/>
        <v>#DIV/0!</v>
      </c>
      <c r="T48" s="17" t="e">
        <f t="shared" si="48"/>
        <v>#DIV/0!</v>
      </c>
      <c r="U48" s="17" t="e">
        <f t="shared" si="49"/>
        <v>#DIV/0!</v>
      </c>
      <c r="V48" s="17" t="e">
        <f t="shared" si="50"/>
        <v>#DIV/0!</v>
      </c>
      <c r="W48" s="17" t="e">
        <f t="shared" si="51"/>
        <v>#DIV/0!</v>
      </c>
    </row>
    <row r="49" spans="1:23" x14ac:dyDescent="0.25">
      <c r="Q49" s="3" t="str">
        <f>$A$10</f>
        <v>Davidson</v>
      </c>
      <c r="R49" s="17" t="e">
        <f t="shared" si="46"/>
        <v>#DIV/0!</v>
      </c>
      <c r="S49" s="17" t="e">
        <f t="shared" si="47"/>
        <v>#DIV/0!</v>
      </c>
      <c r="T49" s="17" t="e">
        <f t="shared" si="48"/>
        <v>#DIV/0!</v>
      </c>
      <c r="U49" s="17" t="e">
        <f t="shared" si="49"/>
        <v>#DIV/0!</v>
      </c>
      <c r="V49" s="17" t="e">
        <f t="shared" si="50"/>
        <v>#DIV/0!</v>
      </c>
      <c r="W49" s="17" t="e">
        <f t="shared" si="51"/>
        <v>#DIV/0!</v>
      </c>
    </row>
    <row r="50" spans="1:23" x14ac:dyDescent="0.25">
      <c r="Q50" s="14" t="str">
        <f>$A$11</f>
        <v>Maury</v>
      </c>
      <c r="R50" s="82" t="e">
        <f t="shared" ref="R50:W50" si="52">R37-J37</f>
        <v>#DIV/0!</v>
      </c>
      <c r="S50" s="82" t="e">
        <f t="shared" si="52"/>
        <v>#DIV/0!</v>
      </c>
      <c r="T50" s="82" t="e">
        <f t="shared" si="52"/>
        <v>#DIV/0!</v>
      </c>
      <c r="U50" s="82" t="e">
        <f t="shared" si="52"/>
        <v>#DIV/0!</v>
      </c>
      <c r="V50" s="82" t="e">
        <f t="shared" si="52"/>
        <v>#DIV/0!</v>
      </c>
      <c r="W50" s="82" t="e">
        <f t="shared" si="52"/>
        <v>#DIV/0!</v>
      </c>
    </row>
    <row r="51" spans="1:23" x14ac:dyDescent="0.25">
      <c r="Q51" s="14" t="str">
        <f>$A$12</f>
        <v>Wilson</v>
      </c>
      <c r="R51" s="82" t="e">
        <f t="shared" ref="R51:W52" si="53">R38-J38</f>
        <v>#DIV/0!</v>
      </c>
      <c r="S51" s="82" t="e">
        <f t="shared" si="53"/>
        <v>#DIV/0!</v>
      </c>
      <c r="T51" s="82" t="e">
        <f t="shared" si="53"/>
        <v>#DIV/0!</v>
      </c>
      <c r="U51" s="82" t="e">
        <f t="shared" si="53"/>
        <v>#DIV/0!</v>
      </c>
      <c r="V51" s="82" t="e">
        <f t="shared" si="53"/>
        <v>#DIV/0!</v>
      </c>
      <c r="W51" s="82" t="e">
        <f t="shared" si="53"/>
        <v>#DIV/0!</v>
      </c>
    </row>
    <row r="52" spans="1:23" ht="15.75" thickBot="1" x14ac:dyDescent="0.3">
      <c r="Q52" s="7" t="str">
        <f>$A$13</f>
        <v>Total</v>
      </c>
      <c r="R52" s="19" t="e">
        <f t="shared" si="53"/>
        <v>#DIV/0!</v>
      </c>
      <c r="S52" s="19" t="e">
        <f t="shared" ref="S52" si="54">S39-K39</f>
        <v>#DIV/0!</v>
      </c>
      <c r="T52" s="19" t="e">
        <f t="shared" ref="T52" si="55">T39-L39</f>
        <v>#DIV/0!</v>
      </c>
      <c r="U52" s="19" t="e">
        <f t="shared" ref="U52" si="56">U39-M39</f>
        <v>#DIV/0!</v>
      </c>
      <c r="V52" s="19" t="e">
        <f t="shared" ref="V52" si="57">V39-N39</f>
        <v>#DIV/0!</v>
      </c>
      <c r="W52" s="19" t="e">
        <f t="shared" ref="W52" si="58">W39-O39</f>
        <v>#DIV/0!</v>
      </c>
    </row>
    <row r="55" spans="1:23" ht="15.75" thickBot="1" x14ac:dyDescent="0.3">
      <c r="A55" s="20" t="s">
        <v>145</v>
      </c>
      <c r="B55" s="21"/>
      <c r="C55" s="22"/>
      <c r="D55" s="22"/>
      <c r="E55" s="22"/>
      <c r="F55" s="22"/>
      <c r="G55" s="22"/>
      <c r="I55" s="20" t="s">
        <v>26</v>
      </c>
      <c r="J55" s="21"/>
      <c r="K55" s="22"/>
      <c r="L55" s="22"/>
      <c r="M55" s="22"/>
      <c r="N55" s="22"/>
      <c r="O55" s="22"/>
      <c r="Q55" s="20" t="s">
        <v>27</v>
      </c>
      <c r="R55" s="26"/>
      <c r="S55" s="26"/>
      <c r="T55" s="26"/>
      <c r="U55" s="26"/>
      <c r="V55" s="26"/>
      <c r="W55" s="26"/>
    </row>
    <row r="56" spans="1:23" x14ac:dyDescent="0.25">
      <c r="A56" s="27"/>
      <c r="B56" s="28">
        <v>0</v>
      </c>
      <c r="C56" s="28">
        <v>1</v>
      </c>
      <c r="D56" s="28">
        <v>2</v>
      </c>
      <c r="E56" s="28">
        <v>3</v>
      </c>
      <c r="F56" s="28" t="s">
        <v>3</v>
      </c>
      <c r="G56" s="28" t="s">
        <v>4</v>
      </c>
      <c r="I56" s="27"/>
      <c r="J56" s="28">
        <v>0</v>
      </c>
      <c r="K56" s="28">
        <v>1</v>
      </c>
      <c r="L56" s="28">
        <v>2</v>
      </c>
      <c r="M56" s="28">
        <v>3</v>
      </c>
      <c r="N56" s="28" t="s">
        <v>3</v>
      </c>
      <c r="O56" s="28" t="s">
        <v>4</v>
      </c>
      <c r="Q56" s="27"/>
      <c r="R56" s="28">
        <v>0</v>
      </c>
      <c r="S56" s="28">
        <v>1</v>
      </c>
      <c r="T56" s="28">
        <v>2</v>
      </c>
      <c r="U56" s="28">
        <v>3</v>
      </c>
      <c r="V56" s="28" t="s">
        <v>3</v>
      </c>
      <c r="W56" s="28" t="s">
        <v>4</v>
      </c>
    </row>
    <row r="57" spans="1:23" x14ac:dyDescent="0.25">
      <c r="A57" s="3" t="str">
        <f>$A$6</f>
        <v>Williamson</v>
      </c>
      <c r="B57" s="23"/>
      <c r="C57" s="23"/>
      <c r="D57" s="23"/>
      <c r="E57" s="23"/>
      <c r="F57" s="23"/>
      <c r="G57" s="23"/>
      <c r="I57" s="3" t="str">
        <f>$A$6</f>
        <v>Williamson</v>
      </c>
      <c r="J57" s="23"/>
      <c r="K57" s="23"/>
      <c r="L57" s="23"/>
      <c r="M57" s="23"/>
      <c r="N57" s="23"/>
      <c r="O57" s="23"/>
      <c r="Q57" s="3" t="str">
        <f>$A$6</f>
        <v>Williamson</v>
      </c>
      <c r="R57" s="23"/>
      <c r="S57" s="23"/>
      <c r="T57" s="23"/>
      <c r="U57" s="23"/>
      <c r="V57" s="23"/>
      <c r="W57" s="23"/>
    </row>
    <row r="58" spans="1:23" x14ac:dyDescent="0.25">
      <c r="A58" s="3" t="str">
        <f>$A$7</f>
        <v>Rutherford</v>
      </c>
      <c r="B58" s="29"/>
      <c r="C58" s="29"/>
      <c r="D58" s="29"/>
      <c r="E58" s="29"/>
      <c r="F58" s="29"/>
      <c r="G58" s="29"/>
      <c r="I58" s="3" t="str">
        <f>$A$7</f>
        <v>Rutherford</v>
      </c>
      <c r="J58" s="29"/>
      <c r="K58" s="29"/>
      <c r="L58" s="29"/>
      <c r="M58" s="29"/>
      <c r="N58" s="29"/>
      <c r="O58" s="29"/>
      <c r="Q58" s="3" t="str">
        <f>$A$7</f>
        <v>Rutherford</v>
      </c>
      <c r="R58" s="29"/>
      <c r="S58" s="29"/>
      <c r="T58" s="29"/>
      <c r="U58" s="29"/>
      <c r="V58" s="29"/>
      <c r="W58" s="29"/>
    </row>
    <row r="59" spans="1:23" x14ac:dyDescent="0.25">
      <c r="A59" s="3" t="str">
        <f>$A$8</f>
        <v>Sumner</v>
      </c>
      <c r="B59" s="29"/>
      <c r="C59" s="29"/>
      <c r="D59" s="29"/>
      <c r="E59" s="29"/>
      <c r="F59" s="29"/>
      <c r="G59" s="29"/>
      <c r="I59" s="3" t="str">
        <f>$A$8</f>
        <v>Sumner</v>
      </c>
      <c r="J59" s="29"/>
      <c r="K59" s="29"/>
      <c r="L59" s="29"/>
      <c r="M59" s="29"/>
      <c r="N59" s="29"/>
      <c r="O59" s="29"/>
      <c r="Q59" s="3" t="str">
        <f>$A$8</f>
        <v>Sumner</v>
      </c>
      <c r="R59" s="29"/>
      <c r="S59" s="29"/>
      <c r="T59" s="29"/>
      <c r="U59" s="29"/>
      <c r="V59" s="29"/>
      <c r="W59" s="29"/>
    </row>
    <row r="60" spans="1:23" x14ac:dyDescent="0.25">
      <c r="A60" s="3" t="str">
        <f>$A$9</f>
        <v>Roberston</v>
      </c>
      <c r="B60" s="29"/>
      <c r="C60" s="29"/>
      <c r="D60" s="29"/>
      <c r="E60" s="29"/>
      <c r="F60" s="29"/>
      <c r="G60" s="29"/>
      <c r="I60" s="3" t="str">
        <f>$A$9</f>
        <v>Roberston</v>
      </c>
      <c r="J60" s="29"/>
      <c r="K60" s="29"/>
      <c r="L60" s="29"/>
      <c r="M60" s="29"/>
      <c r="N60" s="29"/>
      <c r="O60" s="29"/>
      <c r="Q60" s="3" t="str">
        <f>$A$9</f>
        <v>Roberston</v>
      </c>
      <c r="R60" s="29"/>
      <c r="S60" s="29"/>
      <c r="T60" s="29"/>
      <c r="U60" s="29"/>
      <c r="V60" s="29"/>
      <c r="W60" s="29"/>
    </row>
    <row r="61" spans="1:23" x14ac:dyDescent="0.25">
      <c r="A61" s="3" t="str">
        <f>$A$10</f>
        <v>Davidson</v>
      </c>
      <c r="B61" s="29"/>
      <c r="C61" s="29"/>
      <c r="D61" s="29"/>
      <c r="E61" s="29"/>
      <c r="F61" s="29"/>
      <c r="G61" s="29"/>
      <c r="I61" s="3" t="str">
        <f>$A$10</f>
        <v>Davidson</v>
      </c>
      <c r="J61" s="29"/>
      <c r="K61" s="29"/>
      <c r="L61" s="29"/>
      <c r="M61" s="29"/>
      <c r="N61" s="29"/>
      <c r="O61" s="29"/>
      <c r="Q61" s="3" t="str">
        <f>$A$10</f>
        <v>Davidson</v>
      </c>
      <c r="R61" s="29"/>
      <c r="S61" s="29"/>
      <c r="T61" s="29"/>
      <c r="U61" s="29"/>
      <c r="V61" s="29"/>
      <c r="W61" s="29"/>
    </row>
    <row r="62" spans="1:23" x14ac:dyDescent="0.25">
      <c r="A62" s="5" t="str">
        <f>$A$11</f>
        <v>Maury</v>
      </c>
      <c r="B62" s="23"/>
      <c r="C62" s="23"/>
      <c r="D62" s="23"/>
      <c r="E62" s="23"/>
      <c r="F62" s="23"/>
      <c r="G62" s="23"/>
      <c r="I62" s="5" t="str">
        <f>$A$11</f>
        <v>Maury</v>
      </c>
      <c r="J62" s="23"/>
      <c r="K62" s="23"/>
      <c r="L62" s="23"/>
      <c r="M62" s="23"/>
      <c r="N62" s="23"/>
      <c r="O62" s="23"/>
      <c r="Q62" s="5" t="str">
        <f>$A$11</f>
        <v>Maury</v>
      </c>
      <c r="R62" s="23"/>
      <c r="S62" s="23"/>
      <c r="T62" s="23"/>
      <c r="U62" s="23"/>
      <c r="V62" s="23"/>
      <c r="W62" s="23"/>
    </row>
    <row r="63" spans="1:23" ht="15.75" thickBot="1" x14ac:dyDescent="0.3">
      <c r="A63" s="24" t="s">
        <v>4</v>
      </c>
      <c r="B63" s="25"/>
      <c r="C63" s="25"/>
      <c r="D63" s="25"/>
      <c r="E63" s="25"/>
      <c r="F63" s="25"/>
      <c r="G63" s="25"/>
      <c r="I63" s="24" t="s">
        <v>4</v>
      </c>
      <c r="J63" s="25"/>
      <c r="K63" s="25"/>
      <c r="L63" s="25"/>
      <c r="M63" s="25"/>
      <c r="N63" s="25"/>
      <c r="O63" s="25"/>
      <c r="Q63" s="24" t="s">
        <v>4</v>
      </c>
      <c r="R63" s="25"/>
      <c r="S63" s="25"/>
      <c r="T63" s="25"/>
      <c r="U63" s="25"/>
      <c r="V63" s="25"/>
      <c r="W63" s="25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38"/>
  <sheetViews>
    <sheetView topLeftCell="A7" workbookViewId="0">
      <selection activeCell="N12" sqref="N12"/>
    </sheetView>
  </sheetViews>
  <sheetFormatPr defaultRowHeight="15" x14ac:dyDescent="0.25"/>
  <cols>
    <col min="1" max="23" width="9.28515625" customWidth="1" collapsed="1"/>
  </cols>
  <sheetData>
    <row r="1" spans="1:39" ht="21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r="4" spans="1:39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>
        <v>48444.779000000002</v>
      </c>
      <c r="C6" s="4">
        <v>80655.637900000002</v>
      </c>
      <c r="D6" s="4">
        <v>54487.751499999998</v>
      </c>
      <c r="E6" s="4">
        <v>23488.903200000001</v>
      </c>
      <c r="F6" s="4">
        <v>8085.0096000000003</v>
      </c>
      <c r="G6" s="4">
        <f>SUM(B6:F6)</f>
        <v>215162.08120000002</v>
      </c>
      <c r="I6" s="3" t="s">
        <v>6</v>
      </c>
      <c r="O6" s="4"/>
      <c r="Q6" s="3" t="s">
        <v>6</v>
      </c>
      <c r="R6" s="60">
        <v>43689</v>
      </c>
      <c r="S6" s="64">
        <v>68109</v>
      </c>
      <c r="T6" s="68">
        <v>14803</v>
      </c>
      <c r="U6" s="72">
        <v>3433</v>
      </c>
      <c r="V6" s="76">
        <v>1396</v>
      </c>
      <c r="W6" s="4">
        <f>SUM(R6:V6)</f>
        <v>131430</v>
      </c>
    </row>
    <row r="7" spans="1:39" x14ac:dyDescent="0.25">
      <c r="A7" s="3" t="s">
        <v>7</v>
      </c>
      <c r="B7" s="4">
        <v>65323.175499999998</v>
      </c>
      <c r="C7" s="4">
        <v>227458.78330000001</v>
      </c>
      <c r="D7" s="4">
        <v>104715.3944</v>
      </c>
      <c r="E7" s="4">
        <v>27836.1211</v>
      </c>
      <c r="F7" s="4">
        <v>10937.7289</v>
      </c>
      <c r="G7" s="4">
        <f t="shared" ref="G7:G10" si="0">SUM(B7:F7)</f>
        <v>436271.20319999999</v>
      </c>
      <c r="I7" s="3" t="s">
        <v>7</v>
      </c>
      <c r="O7" s="4"/>
      <c r="Q7" s="3" t="s">
        <v>7</v>
      </c>
      <c r="R7" s="61">
        <v>44781</v>
      </c>
      <c r="S7" s="65">
        <v>197972</v>
      </c>
      <c r="T7" s="69">
        <v>124884</v>
      </c>
      <c r="U7" s="73">
        <v>33010</v>
      </c>
      <c r="V7" s="77">
        <v>12913</v>
      </c>
      <c r="W7" s="4">
        <f t="shared" ref="W7:W10" si="1">SUM(R7:V7)</f>
        <v>413560</v>
      </c>
    </row>
    <row r="8" spans="1:39" x14ac:dyDescent="0.25">
      <c r="A8" s="3" t="s">
        <v>8</v>
      </c>
      <c r="B8" s="4">
        <v>7057.9723000000004</v>
      </c>
      <c r="C8" s="4">
        <v>93402.617400000003</v>
      </c>
      <c r="D8" s="4">
        <v>99877.823000000004</v>
      </c>
      <c r="E8" s="4">
        <v>34012.2883</v>
      </c>
      <c r="F8" s="4">
        <v>15173.966</v>
      </c>
      <c r="G8" s="4">
        <f t="shared" si="0"/>
        <v>249524.66700000002</v>
      </c>
      <c r="I8" s="3" t="s">
        <v>8</v>
      </c>
      <c r="O8" s="4"/>
      <c r="Q8" s="3" t="s">
        <v>8</v>
      </c>
      <c r="R8" s="62">
        <v>10061</v>
      </c>
      <c r="S8" s="66">
        <v>90175</v>
      </c>
      <c r="T8" s="70">
        <v>111480</v>
      </c>
      <c r="U8" s="74">
        <v>42782</v>
      </c>
      <c r="V8" s="78">
        <v>15410</v>
      </c>
      <c r="W8" s="4">
        <f t="shared" si="1"/>
        <v>269908</v>
      </c>
    </row>
    <row r="9" spans="1:39" x14ac:dyDescent="0.25">
      <c r="A9" s="5" t="s">
        <v>9</v>
      </c>
      <c r="B9" s="4">
        <v>8313.2075999999997</v>
      </c>
      <c r="C9" s="4">
        <v>100180.98639999999</v>
      </c>
      <c r="D9" s="4">
        <v>311315.77590000001</v>
      </c>
      <c r="E9" s="4">
        <v>133680.91190000001</v>
      </c>
      <c r="F9" s="4">
        <v>75870.129000000001</v>
      </c>
      <c r="G9" s="6">
        <f t="shared" si="0"/>
        <v>629361.01080000005</v>
      </c>
      <c r="I9" s="5" t="s">
        <v>9</v>
      </c>
      <c r="J9" s="80"/>
      <c r="K9" s="80"/>
      <c r="L9" s="80"/>
      <c r="M9" s="80"/>
      <c r="N9" s="80"/>
      <c r="O9" s="6"/>
      <c r="Q9" s="5" t="s">
        <v>9</v>
      </c>
      <c r="R9" s="63">
        <v>11544</v>
      </c>
      <c r="S9" s="67">
        <v>121609</v>
      </c>
      <c r="T9" s="71">
        <v>315282</v>
      </c>
      <c r="U9" s="75">
        <v>165274</v>
      </c>
      <c r="V9" s="79">
        <v>78092</v>
      </c>
      <c r="W9" s="6">
        <f t="shared" si="1"/>
        <v>691801</v>
      </c>
    </row>
    <row r="10" spans="1:39" ht="15.75" thickBot="1" x14ac:dyDescent="0.3">
      <c r="A10" s="7" t="s">
        <v>4</v>
      </c>
      <c r="B10" s="8">
        <f>SUM(B6:B9)</f>
        <v>129139.13439999998</v>
      </c>
      <c r="C10" s="8">
        <f t="shared" ref="C10:F10" si="2">SUM(C6:C9)</f>
        <v>501698.02499999997</v>
      </c>
      <c r="D10" s="8">
        <f t="shared" si="2"/>
        <v>570396.74479999999</v>
      </c>
      <c r="E10" s="8">
        <f t="shared" si="2"/>
        <v>219018.22450000001</v>
      </c>
      <c r="F10" s="8">
        <f t="shared" si="2"/>
        <v>110066.83350000001</v>
      </c>
      <c r="G10" s="8">
        <f t="shared" si="0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110075</v>
      </c>
      <c r="S10" s="8">
        <f t="shared" ref="S10" si="3">SUM(S6:S9)</f>
        <v>477865</v>
      </c>
      <c r="T10" s="8">
        <f t="shared" ref="T10" si="4">SUM(T6:T9)</f>
        <v>566449</v>
      </c>
      <c r="U10" s="8">
        <f t="shared" ref="U10" si="5">SUM(U6:U9)</f>
        <v>244499</v>
      </c>
      <c r="V10" s="8">
        <f t="shared" ref="V10" si="6">SUM(V6:V9)</f>
        <v>107811</v>
      </c>
      <c r="W10" s="8">
        <f t="shared" si="1"/>
        <v>1506699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r="14" spans="1:39" ht="15.75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t="shared" ref="B16:G20" si="7">($W6/$G6)*B6</f>
        <v>29592.097587360571</v>
      </c>
      <c r="C16" s="4">
        <f t="shared" si="7"/>
        <v>49267.837669516826</v>
      </c>
      <c r="D16" s="4">
        <f t="shared" si="7"/>
        <v>33283.39798399849</v>
      </c>
      <c r="E16" s="4">
        <f t="shared" si="7"/>
        <v>14348.004677954377</v>
      </c>
      <c r="F16" s="4">
        <f t="shared" si="7"/>
        <v>4938.6620811697185</v>
      </c>
      <c r="G16" s="4">
        <f t="shared" si="7"/>
        <v>131430</v>
      </c>
      <c r="I16" s="3" t="s">
        <v>6</v>
      </c>
      <c r="J16" s="4" t="e">
        <f t="shared" ref="J16:O20" si="8">($W6/$O6)*J6</f>
        <v>#DIV/0!</v>
      </c>
      <c r="K16" s="4" t="e">
        <f t="shared" si="8"/>
        <v>#DIV/0!</v>
      </c>
      <c r="L16" s="4" t="e">
        <f t="shared" si="8"/>
        <v>#DIV/0!</v>
      </c>
      <c r="M16" s="4" t="e">
        <f t="shared" si="8"/>
        <v>#DIV/0!</v>
      </c>
      <c r="N16" s="4" t="e">
        <f t="shared" si="8"/>
        <v>#DIV/0!</v>
      </c>
      <c r="O16" s="4" t="e">
        <f t="shared" si="8"/>
        <v>#DIV/0!</v>
      </c>
      <c r="Q16" s="3" t="s">
        <v>6</v>
      </c>
      <c r="R16" s="4">
        <f t="shared" ref="R16:V19" si="9">R6</f>
        <v>43689</v>
      </c>
      <c r="S16" s="4">
        <f t="shared" si="9"/>
        <v>68109</v>
      </c>
      <c r="T16" s="4">
        <f t="shared" si="9"/>
        <v>14803</v>
      </c>
      <c r="U16" s="4">
        <f t="shared" si="9"/>
        <v>3433</v>
      </c>
      <c r="V16" s="4">
        <f t="shared" si="9"/>
        <v>1396</v>
      </c>
      <c r="W16" s="4">
        <f>SUM(R16:V16)</f>
        <v>131430</v>
      </c>
      <c r="Y16" s="3" t="s">
        <v>6</v>
      </c>
      <c r="Z16" s="4" t="e">
        <f>R16-J16</f>
        <v>#DIV/0!</v>
      </c>
      <c r="AA16" s="4" t="e">
        <f t="shared" ref="AA16:AA20" si="10">S16-K16</f>
        <v>#DIV/0!</v>
      </c>
      <c r="AB16" s="4" t="e">
        <f t="shared" ref="AB16:AB20" si="11">T16-L16</f>
        <v>#DIV/0!</v>
      </c>
      <c r="AC16" s="4" t="e">
        <f t="shared" ref="AC16:AC20" si="12">U16-M16</f>
        <v>#DIV/0!</v>
      </c>
      <c r="AD16" s="4" t="e">
        <f t="shared" ref="AD16:AD20" si="13">V16-N16</f>
        <v>#DIV/0!</v>
      </c>
      <c r="AE16" s="4" t="e">
        <f t="shared" ref="AE16:AE20" si="14">W16-O16</f>
        <v>#DIV/0!</v>
      </c>
      <c r="AG16" s="3" t="s">
        <v>6</v>
      </c>
      <c r="AH16" s="17" t="e">
        <f>Z16/J16</f>
        <v>#DIV/0!</v>
      </c>
      <c r="AI16" s="17" t="e">
        <f t="shared" ref="AI16:AI20" si="15">AA16/K16</f>
        <v>#DIV/0!</v>
      </c>
      <c r="AJ16" s="17" t="e">
        <f t="shared" ref="AJ16:AJ20" si="16">AB16/L16</f>
        <v>#DIV/0!</v>
      </c>
      <c r="AK16" s="17" t="e">
        <f t="shared" ref="AK16:AK20" si="17">AC16/M16</f>
        <v>#DIV/0!</v>
      </c>
      <c r="AL16" s="17" t="e">
        <f t="shared" ref="AL16:AL20" si="18">AD16/N16</f>
        <v>#DIV/0!</v>
      </c>
      <c r="AM16" s="17" t="e">
        <f t="shared" ref="AM16:AM20" si="19">AE16/O16</f>
        <v>#DIV/0!</v>
      </c>
    </row>
    <row r="17" spans="1:39" x14ac:dyDescent="0.25">
      <c r="A17" s="3" t="s">
        <v>7</v>
      </c>
      <c r="B17" s="4">
        <f t="shared" si="7"/>
        <v>61922.612039547057</v>
      </c>
      <c r="C17" s="4">
        <f t="shared" si="7"/>
        <v>215617.83984725768</v>
      </c>
      <c r="D17" s="4">
        <f t="shared" si="7"/>
        <v>99264.169146206899</v>
      </c>
      <c r="E17" s="4">
        <f t="shared" si="7"/>
        <v>26387.041266252432</v>
      </c>
      <c r="F17" s="4">
        <f t="shared" si="7"/>
        <v>10368.337700735963</v>
      </c>
      <c r="G17" s="4">
        <f t="shared" si="7"/>
        <v>413560</v>
      </c>
      <c r="I17" s="3" t="s">
        <v>7</v>
      </c>
      <c r="J17" s="4" t="e">
        <f t="shared" si="8"/>
        <v>#DIV/0!</v>
      </c>
      <c r="K17" s="4" t="e">
        <f t="shared" si="8"/>
        <v>#DIV/0!</v>
      </c>
      <c r="L17" s="4" t="e">
        <f t="shared" si="8"/>
        <v>#DIV/0!</v>
      </c>
      <c r="M17" s="4" t="e">
        <f t="shared" si="8"/>
        <v>#DIV/0!</v>
      </c>
      <c r="N17" s="4" t="e">
        <f t="shared" si="8"/>
        <v>#DIV/0!</v>
      </c>
      <c r="O17" s="4" t="e">
        <f t="shared" si="8"/>
        <v>#DIV/0!</v>
      </c>
      <c r="Q17" s="3" t="s">
        <v>7</v>
      </c>
      <c r="R17" s="4">
        <f t="shared" si="9"/>
        <v>44781</v>
      </c>
      <c r="S17" s="4">
        <f t="shared" si="9"/>
        <v>197972</v>
      </c>
      <c r="T17" s="4">
        <f t="shared" si="9"/>
        <v>124884</v>
      </c>
      <c r="U17" s="4">
        <f t="shared" si="9"/>
        <v>33010</v>
      </c>
      <c r="V17" s="4">
        <f t="shared" si="9"/>
        <v>12913</v>
      </c>
      <c r="W17" s="4">
        <f t="shared" ref="W17:W20" si="20">SUM(R17:V17)</f>
        <v>413560</v>
      </c>
      <c r="Y17" s="3" t="s">
        <v>7</v>
      </c>
      <c r="Z17" s="4" t="e">
        <f t="shared" ref="Z17:Z20" si="21">R17-J17</f>
        <v>#DIV/0!</v>
      </c>
      <c r="AA17" s="4" t="e">
        <f t="shared" si="10"/>
        <v>#DIV/0!</v>
      </c>
      <c r="AB17" s="4" t="e">
        <f t="shared" si="11"/>
        <v>#DIV/0!</v>
      </c>
      <c r="AC17" s="4" t="e">
        <f t="shared" si="12"/>
        <v>#DIV/0!</v>
      </c>
      <c r="AD17" s="4" t="e">
        <f t="shared" si="13"/>
        <v>#DIV/0!</v>
      </c>
      <c r="AE17" s="4" t="e">
        <f t="shared" si="14"/>
        <v>#DIV/0!</v>
      </c>
      <c r="AG17" s="3" t="s">
        <v>7</v>
      </c>
      <c r="AH17" s="17" t="e">
        <f t="shared" ref="AH17:AH20" si="22">Z17/J17</f>
        <v>#DIV/0!</v>
      </c>
      <c r="AI17" s="17" t="e">
        <f t="shared" si="15"/>
        <v>#DIV/0!</v>
      </c>
      <c r="AJ17" s="17" t="e">
        <f t="shared" si="16"/>
        <v>#DIV/0!</v>
      </c>
      <c r="AK17" s="17" t="e">
        <f t="shared" si="17"/>
        <v>#DIV/0!</v>
      </c>
      <c r="AL17" s="17" t="e">
        <f t="shared" si="18"/>
        <v>#DIV/0!</v>
      </c>
      <c r="AM17" s="17" t="e">
        <f t="shared" si="19"/>
        <v>#DIV/0!</v>
      </c>
    </row>
    <row r="18" spans="1:39" x14ac:dyDescent="0.25">
      <c r="A18" s="3" t="s">
        <v>8</v>
      </c>
      <c r="B18" s="4">
        <f t="shared" si="7"/>
        <v>7634.5285235803958</v>
      </c>
      <c r="C18" s="4">
        <f t="shared" si="7"/>
        <v>101032.55105115198</v>
      </c>
      <c r="D18" s="4">
        <f t="shared" si="7"/>
        <v>108036.70745018567</v>
      </c>
      <c r="E18" s="4">
        <f t="shared" si="7"/>
        <v>36790.706188885124</v>
      </c>
      <c r="F18" s="4">
        <f t="shared" si="7"/>
        <v>16413.506786196813</v>
      </c>
      <c r="G18" s="4">
        <f t="shared" si="7"/>
        <v>269908</v>
      </c>
      <c r="I18" s="3" t="s">
        <v>8</v>
      </c>
      <c r="J18" s="4" t="e">
        <f t="shared" si="8"/>
        <v>#DIV/0!</v>
      </c>
      <c r="K18" s="4" t="e">
        <f t="shared" si="8"/>
        <v>#DIV/0!</v>
      </c>
      <c r="L18" s="4" t="e">
        <f t="shared" si="8"/>
        <v>#DIV/0!</v>
      </c>
      <c r="M18" s="4" t="e">
        <f t="shared" si="8"/>
        <v>#DIV/0!</v>
      </c>
      <c r="N18" s="4" t="e">
        <f t="shared" si="8"/>
        <v>#DIV/0!</v>
      </c>
      <c r="O18" s="4" t="e">
        <f t="shared" si="8"/>
        <v>#DIV/0!</v>
      </c>
      <c r="Q18" s="3" t="s">
        <v>8</v>
      </c>
      <c r="R18" s="4">
        <f t="shared" si="9"/>
        <v>10061</v>
      </c>
      <c r="S18" s="4">
        <f t="shared" si="9"/>
        <v>90175</v>
      </c>
      <c r="T18" s="4">
        <f t="shared" si="9"/>
        <v>111480</v>
      </c>
      <c r="U18" s="4">
        <f t="shared" si="9"/>
        <v>42782</v>
      </c>
      <c r="V18" s="4">
        <f t="shared" si="9"/>
        <v>15410</v>
      </c>
      <c r="W18" s="4">
        <f t="shared" si="20"/>
        <v>269908</v>
      </c>
      <c r="Y18" s="3" t="s">
        <v>8</v>
      </c>
      <c r="Z18" s="4" t="e">
        <f t="shared" si="21"/>
        <v>#DIV/0!</v>
      </c>
      <c r="AA18" s="4" t="e">
        <f t="shared" si="10"/>
        <v>#DIV/0!</v>
      </c>
      <c r="AB18" s="4" t="e">
        <f t="shared" si="11"/>
        <v>#DIV/0!</v>
      </c>
      <c r="AC18" s="4" t="e">
        <f t="shared" si="12"/>
        <v>#DIV/0!</v>
      </c>
      <c r="AD18" s="4" t="e">
        <f t="shared" si="13"/>
        <v>#DIV/0!</v>
      </c>
      <c r="AE18" s="4" t="e">
        <f t="shared" si="14"/>
        <v>#DIV/0!</v>
      </c>
      <c r="AG18" s="3" t="s">
        <v>8</v>
      </c>
      <c r="AH18" s="17" t="e">
        <f t="shared" si="22"/>
        <v>#DIV/0!</v>
      </c>
      <c r="AI18" s="17" t="e">
        <f t="shared" si="15"/>
        <v>#DIV/0!</v>
      </c>
      <c r="AJ18" s="17" t="e">
        <f t="shared" si="16"/>
        <v>#DIV/0!</v>
      </c>
      <c r="AK18" s="17" t="e">
        <f t="shared" si="17"/>
        <v>#DIV/0!</v>
      </c>
      <c r="AL18" s="17" t="e">
        <f t="shared" si="18"/>
        <v>#DIV/0!</v>
      </c>
      <c r="AM18" s="17" t="e">
        <f t="shared" si="19"/>
        <v>#DIV/0!</v>
      </c>
    </row>
    <row r="19" spans="1:39" x14ac:dyDescent="0.25">
      <c r="A19" s="5" t="s">
        <v>9</v>
      </c>
      <c r="B19" s="4">
        <f t="shared" si="7"/>
        <v>9137.9752355126329</v>
      </c>
      <c r="C19" s="4">
        <f t="shared" si="7"/>
        <v>110120.11450218421</v>
      </c>
      <c r="D19" s="4">
        <f t="shared" si="7"/>
        <v>342201.94989459915</v>
      </c>
      <c r="E19" s="4">
        <f t="shared" si="7"/>
        <v>146943.62527443032</v>
      </c>
      <c r="F19" s="4">
        <f t="shared" si="7"/>
        <v>83397.335093273621</v>
      </c>
      <c r="G19" s="6">
        <f t="shared" si="7"/>
        <v>691801</v>
      </c>
      <c r="I19" s="5" t="s">
        <v>9</v>
      </c>
      <c r="J19" s="6" t="e">
        <f t="shared" si="8"/>
        <v>#DIV/0!</v>
      </c>
      <c r="K19" s="6" t="e">
        <f t="shared" si="8"/>
        <v>#DIV/0!</v>
      </c>
      <c r="L19" s="6" t="e">
        <f t="shared" si="8"/>
        <v>#DIV/0!</v>
      </c>
      <c r="M19" s="6" t="e">
        <f t="shared" si="8"/>
        <v>#DIV/0!</v>
      </c>
      <c r="N19" s="6" t="e">
        <f t="shared" si="8"/>
        <v>#DIV/0!</v>
      </c>
      <c r="O19" s="6" t="e">
        <f t="shared" si="8"/>
        <v>#DIV/0!</v>
      </c>
      <c r="Q19" s="5" t="s">
        <v>9</v>
      </c>
      <c r="R19" s="4">
        <f t="shared" si="9"/>
        <v>11544</v>
      </c>
      <c r="S19" s="4">
        <f t="shared" si="9"/>
        <v>121609</v>
      </c>
      <c r="T19" s="4">
        <f t="shared" si="9"/>
        <v>315282</v>
      </c>
      <c r="U19" s="4">
        <f t="shared" si="9"/>
        <v>165274</v>
      </c>
      <c r="V19" s="4">
        <f t="shared" si="9"/>
        <v>78092</v>
      </c>
      <c r="W19" s="6">
        <f t="shared" si="20"/>
        <v>691801</v>
      </c>
      <c r="Y19" s="5" t="s">
        <v>9</v>
      </c>
      <c r="Z19" s="4" t="e">
        <f t="shared" si="21"/>
        <v>#DIV/0!</v>
      </c>
      <c r="AA19" s="4" t="e">
        <f t="shared" si="10"/>
        <v>#DIV/0!</v>
      </c>
      <c r="AB19" s="4" t="e">
        <f t="shared" si="11"/>
        <v>#DIV/0!</v>
      </c>
      <c r="AC19" s="4" t="e">
        <f t="shared" si="12"/>
        <v>#DIV/0!</v>
      </c>
      <c r="AD19" s="4" t="e">
        <f t="shared" si="13"/>
        <v>#DIV/0!</v>
      </c>
      <c r="AE19" s="6" t="e">
        <f t="shared" si="14"/>
        <v>#DIV/0!</v>
      </c>
      <c r="AG19" s="5" t="s">
        <v>9</v>
      </c>
      <c r="AH19" s="17" t="e">
        <f t="shared" si="22"/>
        <v>#DIV/0!</v>
      </c>
      <c r="AI19" s="17" t="e">
        <f t="shared" si="15"/>
        <v>#DIV/0!</v>
      </c>
      <c r="AJ19" s="17" t="e">
        <f t="shared" si="16"/>
        <v>#DIV/0!</v>
      </c>
      <c r="AK19" s="17" t="e">
        <f t="shared" si="17"/>
        <v>#DIV/0!</v>
      </c>
      <c r="AL19" s="17" t="e">
        <f t="shared" si="18"/>
        <v>#DIV/0!</v>
      </c>
      <c r="AM19" s="18" t="e">
        <f t="shared" si="19"/>
        <v>#DIV/0!</v>
      </c>
    </row>
    <row r="20" spans="1:39" ht="15.75" thickBot="1" x14ac:dyDescent="0.3">
      <c r="A20" s="7" t="s">
        <v>4</v>
      </c>
      <c r="B20" s="8">
        <f t="shared" si="7"/>
        <v>127145.91498077275</v>
      </c>
      <c r="C20" s="8">
        <f t="shared" si="7"/>
        <v>493954.48350373644</v>
      </c>
      <c r="D20" s="8">
        <f t="shared" si="7"/>
        <v>561592.86150248768</v>
      </c>
      <c r="E20" s="8">
        <f t="shared" si="7"/>
        <v>215637.75133618058</v>
      </c>
      <c r="F20" s="8">
        <f t="shared" si="7"/>
        <v>108367.98867682261</v>
      </c>
      <c r="G20" s="8">
        <f t="shared" si="7"/>
        <v>1506699</v>
      </c>
      <c r="I20" s="7" t="s">
        <v>4</v>
      </c>
      <c r="J20" s="8" t="e">
        <f t="shared" si="8"/>
        <v>#DIV/0!</v>
      </c>
      <c r="K20" s="8" t="e">
        <f t="shared" si="8"/>
        <v>#DIV/0!</v>
      </c>
      <c r="L20" s="8" t="e">
        <f t="shared" si="8"/>
        <v>#DIV/0!</v>
      </c>
      <c r="M20" s="8" t="e">
        <f t="shared" si="8"/>
        <v>#DIV/0!</v>
      </c>
      <c r="N20" s="8" t="e">
        <f t="shared" si="8"/>
        <v>#DIV/0!</v>
      </c>
      <c r="O20" s="8" t="e">
        <f t="shared" si="8"/>
        <v>#DIV/0!</v>
      </c>
      <c r="Q20" s="7" t="s">
        <v>4</v>
      </c>
      <c r="R20" s="8">
        <f>SUM(R16:R19)</f>
        <v>110075</v>
      </c>
      <c r="S20" s="8">
        <f t="shared" ref="S20:V20" si="23">SUM(S16:S19)</f>
        <v>477865</v>
      </c>
      <c r="T20" s="8">
        <f t="shared" si="23"/>
        <v>566449</v>
      </c>
      <c r="U20" s="8">
        <f t="shared" si="23"/>
        <v>244499</v>
      </c>
      <c r="V20" s="8">
        <f t="shared" si="23"/>
        <v>107811</v>
      </c>
      <c r="W20" s="8">
        <f t="shared" si="20"/>
        <v>1506699</v>
      </c>
      <c r="Y20" s="7" t="s">
        <v>4</v>
      </c>
      <c r="Z20" s="8" t="e">
        <f t="shared" si="21"/>
        <v>#DIV/0!</v>
      </c>
      <c r="AA20" s="8" t="e">
        <f t="shared" si="10"/>
        <v>#DIV/0!</v>
      </c>
      <c r="AB20" s="8" t="e">
        <f t="shared" si="11"/>
        <v>#DIV/0!</v>
      </c>
      <c r="AC20" s="8" t="e">
        <f t="shared" si="12"/>
        <v>#DIV/0!</v>
      </c>
      <c r="AD20" s="8" t="e">
        <f t="shared" si="13"/>
        <v>#DIV/0!</v>
      </c>
      <c r="AE20" s="8" t="e">
        <f t="shared" si="14"/>
        <v>#DIV/0!</v>
      </c>
      <c r="AG20" s="7" t="s">
        <v>4</v>
      </c>
      <c r="AH20" s="19" t="e">
        <f t="shared" si="22"/>
        <v>#DIV/0!</v>
      </c>
      <c r="AI20" s="19" t="e">
        <f t="shared" si="15"/>
        <v>#DIV/0!</v>
      </c>
      <c r="AJ20" s="19" t="e">
        <f t="shared" si="16"/>
        <v>#DIV/0!</v>
      </c>
      <c r="AK20" s="19" t="e">
        <f t="shared" si="17"/>
        <v>#DIV/0!</v>
      </c>
      <c r="AL20" s="19" t="e">
        <f t="shared" si="18"/>
        <v>#DIV/0!</v>
      </c>
      <c r="AM20" s="19" t="e">
        <f t="shared" si="19"/>
        <v>#DIV/0!</v>
      </c>
    </row>
    <row r="23" spans="1:39" ht="15.75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1.9640351249559845E-2</v>
      </c>
      <c r="C25" s="17">
        <f t="shared" ref="C25:G25" si="24">C16/$G$20</f>
        <v>3.2699190528112668E-2</v>
      </c>
      <c r="D25" s="17">
        <f t="shared" si="24"/>
        <v>2.2090276813085088E-2</v>
      </c>
      <c r="E25" s="17">
        <f t="shared" si="24"/>
        <v>9.5228075932580949E-3</v>
      </c>
      <c r="F25" s="17">
        <f t="shared" si="24"/>
        <v>3.2778027204967406E-3</v>
      </c>
      <c r="G25" s="17">
        <f t="shared" si="24"/>
        <v>8.723042890451245E-2</v>
      </c>
      <c r="I25" s="3" t="s">
        <v>6</v>
      </c>
      <c r="J25" s="17" t="e">
        <f>J16/$O$20</f>
        <v>#DIV/0!</v>
      </c>
      <c r="K25" s="17" t="e">
        <f t="shared" ref="K25:O25" si="25">K16/$O$20</f>
        <v>#DIV/0!</v>
      </c>
      <c r="L25" s="17" t="e">
        <f t="shared" si="25"/>
        <v>#DIV/0!</v>
      </c>
      <c r="M25" s="17" t="e">
        <f t="shared" si="25"/>
        <v>#DIV/0!</v>
      </c>
      <c r="N25" s="17" t="e">
        <f t="shared" si="25"/>
        <v>#DIV/0!</v>
      </c>
      <c r="O25" s="17" t="e">
        <f t="shared" si="25"/>
        <v>#DIV/0!</v>
      </c>
      <c r="Q25" s="3" t="s">
        <v>6</v>
      </c>
      <c r="R25" s="17">
        <f t="shared" ref="R25:W29" si="26">R6/$W$10</f>
        <v>2.8996501623748339E-2</v>
      </c>
      <c r="S25" s="17">
        <f t="shared" si="26"/>
        <v>4.5204118407193475E-2</v>
      </c>
      <c r="T25" s="17">
        <f t="shared" si="26"/>
        <v>9.8247891582857617E-3</v>
      </c>
      <c r="U25" s="17">
        <f t="shared" si="26"/>
        <v>2.2784909261903009E-3</v>
      </c>
      <c r="V25" s="17">
        <f t="shared" si="26"/>
        <v>9.2652878909457032E-4</v>
      </c>
      <c r="W25" s="17">
        <f t="shared" si="26"/>
        <v>8.723042890451245E-2</v>
      </c>
    </row>
    <row r="26" spans="1:39" x14ac:dyDescent="0.25">
      <c r="A26" s="3" t="s">
        <v>7</v>
      </c>
      <c r="B26" s="17">
        <f t="shared" ref="B26:G26" si="27">B17/$G$20</f>
        <v>4.1098196812732378E-2</v>
      </c>
      <c r="C26" s="17">
        <f t="shared" si="27"/>
        <v>0.14310611465678127</v>
      </c>
      <c r="D26" s="17">
        <f t="shared" si="27"/>
        <v>6.5881884268992608E-2</v>
      </c>
      <c r="E26" s="17">
        <f t="shared" si="27"/>
        <v>1.7513147129089773E-2</v>
      </c>
      <c r="F26" s="17">
        <f t="shared" si="27"/>
        <v>6.8814923888155253E-3</v>
      </c>
      <c r="G26" s="17">
        <f t="shared" si="27"/>
        <v>0.27448083525641154</v>
      </c>
      <c r="I26" s="3" t="s">
        <v>7</v>
      </c>
      <c r="J26" s="17" t="e">
        <f t="shared" ref="J26:O26" si="28">J17/$O$20</f>
        <v>#DIV/0!</v>
      </c>
      <c r="K26" s="17" t="e">
        <f t="shared" si="28"/>
        <v>#DIV/0!</v>
      </c>
      <c r="L26" s="17" t="e">
        <f t="shared" si="28"/>
        <v>#DIV/0!</v>
      </c>
      <c r="M26" s="17" t="e">
        <f t="shared" si="28"/>
        <v>#DIV/0!</v>
      </c>
      <c r="N26" s="17" t="e">
        <f t="shared" si="28"/>
        <v>#DIV/0!</v>
      </c>
      <c r="O26" s="17" t="e">
        <f t="shared" si="28"/>
        <v>#DIV/0!</v>
      </c>
      <c r="Q26" s="3" t="s">
        <v>7</v>
      </c>
      <c r="R26" s="17">
        <f t="shared" si="26"/>
        <v>2.9721264831263576E-2</v>
      </c>
      <c r="S26" s="17">
        <f t="shared" si="26"/>
        <v>0.13139452538297297</v>
      </c>
      <c r="T26" s="17">
        <f t="shared" si="26"/>
        <v>8.2885831874846938E-2</v>
      </c>
      <c r="U26" s="17">
        <f t="shared" si="26"/>
        <v>2.1908821868203272E-2</v>
      </c>
      <c r="V26" s="17">
        <f t="shared" si="26"/>
        <v>8.5703912991247754E-3</v>
      </c>
      <c r="W26" s="17">
        <f t="shared" si="26"/>
        <v>0.27448083525641154</v>
      </c>
    </row>
    <row r="27" spans="1:39" x14ac:dyDescent="0.25">
      <c r="A27" s="3" t="s">
        <v>8</v>
      </c>
      <c r="B27" s="17">
        <f t="shared" ref="B27:G27" si="29">B18/$G$20</f>
        <v>5.067056209355947E-3</v>
      </c>
      <c r="C27" s="17">
        <f t="shared" si="29"/>
        <v>6.70555638857874E-2</v>
      </c>
      <c r="D27" s="17">
        <f t="shared" si="29"/>
        <v>7.1704240495404636E-2</v>
      </c>
      <c r="E27" s="17">
        <f t="shared" si="29"/>
        <v>2.4418086285903903E-2</v>
      </c>
      <c r="F27" s="17">
        <f t="shared" si="29"/>
        <v>1.0893686652872811E-2</v>
      </c>
      <c r="G27" s="17">
        <f t="shared" si="29"/>
        <v>0.17913863352932471</v>
      </c>
      <c r="I27" s="3" t="s">
        <v>8</v>
      </c>
      <c r="J27" s="17" t="e">
        <f t="shared" ref="J27:O27" si="30">J18/$O$20</f>
        <v>#DIV/0!</v>
      </c>
      <c r="K27" s="17" t="e">
        <f t="shared" si="30"/>
        <v>#DIV/0!</v>
      </c>
      <c r="L27" s="17" t="e">
        <f t="shared" si="30"/>
        <v>#DIV/0!</v>
      </c>
      <c r="M27" s="17" t="e">
        <f t="shared" si="30"/>
        <v>#DIV/0!</v>
      </c>
      <c r="N27" s="17" t="e">
        <f t="shared" si="30"/>
        <v>#DIV/0!</v>
      </c>
      <c r="O27" s="17" t="e">
        <f t="shared" si="30"/>
        <v>#DIV/0!</v>
      </c>
      <c r="Q27" s="3" t="s">
        <v>8</v>
      </c>
      <c r="R27" s="17">
        <f t="shared" si="26"/>
        <v>6.6775115666765561E-3</v>
      </c>
      <c r="S27" s="17">
        <f t="shared" si="26"/>
        <v>5.9849379338540745E-2</v>
      </c>
      <c r="T27" s="17">
        <f t="shared" si="26"/>
        <v>7.3989562613368698E-2</v>
      </c>
      <c r="U27" s="17">
        <f t="shared" si="26"/>
        <v>2.8394523391865264E-2</v>
      </c>
      <c r="V27" s="17">
        <f t="shared" si="26"/>
        <v>1.0227656618873444E-2</v>
      </c>
      <c r="W27" s="17">
        <f t="shared" si="26"/>
        <v>0.17913863352932471</v>
      </c>
    </row>
    <row r="28" spans="1:39" x14ac:dyDescent="0.25">
      <c r="A28" s="5" t="s">
        <v>9</v>
      </c>
      <c r="B28" s="18">
        <f t="shared" ref="B28:G28" si="31">B19/$G$20</f>
        <v>6.0648976574037899E-3</v>
      </c>
      <c r="C28" s="18">
        <f t="shared" si="31"/>
        <v>7.3087003112223617E-2</v>
      </c>
      <c r="D28" s="18">
        <f t="shared" si="31"/>
        <v>0.22712031394100557</v>
      </c>
      <c r="E28" s="18">
        <f t="shared" si="31"/>
        <v>9.7526861884444288E-2</v>
      </c>
      <c r="F28" s="18">
        <f t="shared" si="31"/>
        <v>5.5351025714674013E-2</v>
      </c>
      <c r="G28" s="18">
        <f t="shared" si="31"/>
        <v>0.45915010230975134</v>
      </c>
      <c r="I28" s="5" t="s">
        <v>9</v>
      </c>
      <c r="J28" s="18" t="e">
        <f t="shared" ref="J28:O28" si="32">J19/$O$20</f>
        <v>#DIV/0!</v>
      </c>
      <c r="K28" s="18" t="e">
        <f t="shared" si="32"/>
        <v>#DIV/0!</v>
      </c>
      <c r="L28" s="18" t="e">
        <f t="shared" si="32"/>
        <v>#DIV/0!</v>
      </c>
      <c r="M28" s="18" t="e">
        <f t="shared" si="32"/>
        <v>#DIV/0!</v>
      </c>
      <c r="N28" s="18" t="e">
        <f t="shared" si="32"/>
        <v>#DIV/0!</v>
      </c>
      <c r="O28" s="18" t="e">
        <f t="shared" si="32"/>
        <v>#DIV/0!</v>
      </c>
      <c r="Q28" s="5" t="s">
        <v>9</v>
      </c>
      <c r="R28" s="18">
        <f t="shared" si="26"/>
        <v>7.6617824794467902E-3</v>
      </c>
      <c r="S28" s="18">
        <f t="shared" si="26"/>
        <v>8.0712205954872204E-2</v>
      </c>
      <c r="T28" s="18">
        <f t="shared" si="26"/>
        <v>0.20925347398518218</v>
      </c>
      <c r="U28" s="18">
        <f t="shared" si="26"/>
        <v>0.10969277871691692</v>
      </c>
      <c r="V28" s="18">
        <f t="shared" si="26"/>
        <v>5.1829861173333228E-2</v>
      </c>
      <c r="W28" s="18">
        <f t="shared" si="26"/>
        <v>0.45915010230975134</v>
      </c>
    </row>
    <row r="29" spans="1:39" ht="15.75" thickBot="1" x14ac:dyDescent="0.3">
      <c r="A29" s="7" t="s">
        <v>4</v>
      </c>
      <c r="B29" s="19">
        <f t="shared" ref="B29:G29" si="33">B20/$G$20</f>
        <v>8.4387070662934507E-2</v>
      </c>
      <c r="C29" s="19">
        <f t="shared" si="33"/>
        <v>0.3278388606508244</v>
      </c>
      <c r="D29" s="19">
        <f t="shared" si="33"/>
        <v>0.37273062602582713</v>
      </c>
      <c r="E29" s="19">
        <f t="shared" si="33"/>
        <v>0.14311932996317153</v>
      </c>
      <c r="F29" s="19">
        <f t="shared" si="33"/>
        <v>7.1924112697242526E-2</v>
      </c>
      <c r="G29" s="19">
        <f t="shared" si="33"/>
        <v>1</v>
      </c>
      <c r="I29" s="7" t="s">
        <v>4</v>
      </c>
      <c r="J29" s="19" t="e">
        <f t="shared" ref="J29:O29" si="34">J20/$O$20</f>
        <v>#DIV/0!</v>
      </c>
      <c r="K29" s="19" t="e">
        <f t="shared" si="34"/>
        <v>#DIV/0!</v>
      </c>
      <c r="L29" s="19" t="e">
        <f t="shared" si="34"/>
        <v>#DIV/0!</v>
      </c>
      <c r="M29" s="19" t="e">
        <f t="shared" si="34"/>
        <v>#DIV/0!</v>
      </c>
      <c r="N29" s="19" t="e">
        <f t="shared" si="34"/>
        <v>#DIV/0!</v>
      </c>
      <c r="O29" s="19" t="e">
        <f t="shared" si="34"/>
        <v>#DIV/0!</v>
      </c>
      <c r="Q29" s="7" t="s">
        <v>4</v>
      </c>
      <c r="R29" s="19">
        <f t="shared" si="26"/>
        <v>7.3057060501135265E-2</v>
      </c>
      <c r="S29" s="19">
        <f t="shared" si="26"/>
        <v>0.31716022908357938</v>
      </c>
      <c r="T29" s="19">
        <f t="shared" si="26"/>
        <v>0.37595365763168359</v>
      </c>
      <c r="U29" s="19">
        <f t="shared" si="26"/>
        <v>0.16227461490317574</v>
      </c>
      <c r="V29" s="19">
        <f t="shared" si="26"/>
        <v>7.1554437880426022E-2</v>
      </c>
      <c r="W29" s="19">
        <f t="shared" si="26"/>
        <v>1</v>
      </c>
    </row>
    <row r="32" spans="1:39" ht="15.75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t="shared" ref="S34:W34" si="35">S25-K25</f>
        <v>#DIV/0!</v>
      </c>
      <c r="T34" s="17" t="e">
        <f t="shared" si="35"/>
        <v>#DIV/0!</v>
      </c>
      <c r="U34" s="17" t="e">
        <f t="shared" si="35"/>
        <v>#DIV/0!</v>
      </c>
      <c r="V34" s="17" t="e">
        <f t="shared" si="35"/>
        <v>#DIV/0!</v>
      </c>
      <c r="W34" s="17" t="e">
        <f t="shared" si="35"/>
        <v>#DIV/0!</v>
      </c>
    </row>
    <row r="35" spans="17:23" x14ac:dyDescent="0.25">
      <c r="Q35" s="3" t="s">
        <v>7</v>
      </c>
      <c r="R35" s="17" t="e">
        <f t="shared" ref="R35:W38" si="36">R26-J26</f>
        <v>#DIV/0!</v>
      </c>
      <c r="S35" s="17" t="e">
        <f t="shared" si="36"/>
        <v>#DIV/0!</v>
      </c>
      <c r="T35" s="17" t="e">
        <f t="shared" si="36"/>
        <v>#DIV/0!</v>
      </c>
      <c r="U35" s="17" t="e">
        <f t="shared" si="36"/>
        <v>#DIV/0!</v>
      </c>
      <c r="V35" s="17" t="e">
        <f t="shared" si="36"/>
        <v>#DIV/0!</v>
      </c>
      <c r="W35" s="17" t="e">
        <f t="shared" si="36"/>
        <v>#DIV/0!</v>
      </c>
    </row>
    <row r="36" spans="17:23" x14ac:dyDescent="0.25">
      <c r="Q36" s="3" t="s">
        <v>8</v>
      </c>
      <c r="R36" s="17" t="e">
        <f t="shared" si="36"/>
        <v>#DIV/0!</v>
      </c>
      <c r="S36" s="17" t="e">
        <f t="shared" si="36"/>
        <v>#DIV/0!</v>
      </c>
      <c r="T36" s="17" t="e">
        <f t="shared" si="36"/>
        <v>#DIV/0!</v>
      </c>
      <c r="U36" s="17" t="e">
        <f t="shared" si="36"/>
        <v>#DIV/0!</v>
      </c>
      <c r="V36" s="17" t="e">
        <f t="shared" si="36"/>
        <v>#DIV/0!</v>
      </c>
      <c r="W36" s="17" t="e">
        <f t="shared" si="36"/>
        <v>#DIV/0!</v>
      </c>
    </row>
    <row r="37" spans="17:23" x14ac:dyDescent="0.25">
      <c r="Q37" s="5" t="s">
        <v>9</v>
      </c>
      <c r="R37" s="18" t="e">
        <f t="shared" si="36"/>
        <v>#DIV/0!</v>
      </c>
      <c r="S37" s="18" t="e">
        <f t="shared" si="36"/>
        <v>#DIV/0!</v>
      </c>
      <c r="T37" s="18" t="e">
        <f t="shared" si="36"/>
        <v>#DIV/0!</v>
      </c>
      <c r="U37" s="18" t="e">
        <f t="shared" si="36"/>
        <v>#DIV/0!</v>
      </c>
      <c r="V37" s="18" t="e">
        <f t="shared" si="36"/>
        <v>#DIV/0!</v>
      </c>
      <c r="W37" s="18" t="e">
        <f t="shared" si="36"/>
        <v>#DIV/0!</v>
      </c>
    </row>
    <row r="38" spans="17:23" ht="15.75" thickBot="1" x14ac:dyDescent="0.3">
      <c r="Q38" s="7" t="s">
        <v>4</v>
      </c>
      <c r="R38" s="19" t="e">
        <f t="shared" si="36"/>
        <v>#DIV/0!</v>
      </c>
      <c r="S38" s="19" t="e">
        <f t="shared" si="36"/>
        <v>#DIV/0!</v>
      </c>
      <c r="T38" s="19" t="e">
        <f t="shared" si="36"/>
        <v>#DIV/0!</v>
      </c>
      <c r="U38" s="19" t="e">
        <f t="shared" si="36"/>
        <v>#DIV/0!</v>
      </c>
      <c r="V38" s="19" t="e">
        <f t="shared" si="36"/>
        <v>#DIV/0!</v>
      </c>
      <c r="W38" s="19" t="e">
        <f t="shared" si="36"/>
        <v>#DIV/0!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8"/>
  <sheetViews>
    <sheetView topLeftCell="D1" workbookViewId="0">
      <selection activeCell="M12" sqref="M12"/>
    </sheetView>
  </sheetViews>
  <sheetFormatPr defaultRowHeight="15" x14ac:dyDescent="0.25"/>
  <cols>
    <col min="1" max="23" width="9.28515625" customWidth="1" collapsed="1"/>
  </cols>
  <sheetData>
    <row r="1" spans="1:39" ht="21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r="4" spans="1:39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>
        <v>99077.445999999996</v>
      </c>
      <c r="C6" s="4">
        <v>322825.4227</v>
      </c>
      <c r="D6" s="4">
        <v>43813.186199999996</v>
      </c>
      <c r="E6" s="4">
        <v>7593.2610999999997</v>
      </c>
      <c r="F6" s="4">
        <v>4120.7076999999999</v>
      </c>
      <c r="G6" s="4">
        <f>SUM(B6:F6)</f>
        <v>477430.02370000002</v>
      </c>
      <c r="I6" s="3">
        <v>1</v>
      </c>
      <c r="O6" s="4"/>
      <c r="Q6" s="3">
        <v>1</v>
      </c>
      <c r="R6" s="40">
        <v>83756</v>
      </c>
      <c r="S6" s="44">
        <v>328187</v>
      </c>
      <c r="T6" s="48">
        <v>41128</v>
      </c>
      <c r="U6" s="52">
        <v>9356</v>
      </c>
      <c r="V6" s="56">
        <v>4270</v>
      </c>
      <c r="W6" s="4">
        <f>SUM(R6:V6)</f>
        <v>466697</v>
      </c>
    </row>
    <row r="7" spans="1:39" x14ac:dyDescent="0.25">
      <c r="A7" s="3">
        <v>2</v>
      </c>
      <c r="B7" s="4">
        <v>25854.016199999998</v>
      </c>
      <c r="C7" s="4">
        <v>160502.52559999999</v>
      </c>
      <c r="D7" s="4">
        <v>448414.0012</v>
      </c>
      <c r="E7" s="4">
        <v>127888.8906</v>
      </c>
      <c r="F7" s="4">
        <v>44949.949500000002</v>
      </c>
      <c r="G7" s="4">
        <f t="shared" ref="G7:G10" si="0">SUM(B7:F7)</f>
        <v>807609.38310000009</v>
      </c>
      <c r="I7" s="3">
        <v>2</v>
      </c>
      <c r="O7" s="4"/>
      <c r="Q7" s="3">
        <v>2</v>
      </c>
      <c r="R7" s="41">
        <v>21674</v>
      </c>
      <c r="S7" s="45">
        <v>129892</v>
      </c>
      <c r="T7" s="49">
        <v>421627</v>
      </c>
      <c r="U7" s="53">
        <v>122085</v>
      </c>
      <c r="V7" s="57">
        <v>40346</v>
      </c>
      <c r="W7" s="4">
        <f t="shared" ref="W7:W10" si="1">SUM(R7:V7)</f>
        <v>735624</v>
      </c>
    </row>
    <row r="8" spans="1:39" x14ac:dyDescent="0.25">
      <c r="A8" s="3">
        <v>3</v>
      </c>
      <c r="B8" s="4">
        <v>3601.2170999999998</v>
      </c>
      <c r="C8" s="4">
        <v>15987.585000000001</v>
      </c>
      <c r="D8" s="4">
        <v>61860.2523</v>
      </c>
      <c r="E8" s="4">
        <v>56178.912600000003</v>
      </c>
      <c r="F8" s="4">
        <v>36022.107900000003</v>
      </c>
      <c r="G8" s="4">
        <f t="shared" si="0"/>
        <v>173650.07490000001</v>
      </c>
      <c r="I8" s="3">
        <v>3</v>
      </c>
      <c r="O8" s="4"/>
      <c r="Q8" s="3">
        <v>3</v>
      </c>
      <c r="R8" s="42">
        <v>4134</v>
      </c>
      <c r="S8" s="46">
        <v>17075</v>
      </c>
      <c r="T8" s="50">
        <v>76594</v>
      </c>
      <c r="U8" s="54">
        <v>74634</v>
      </c>
      <c r="V8" s="58">
        <v>26677</v>
      </c>
      <c r="W8" s="4">
        <f t="shared" si="1"/>
        <v>199114</v>
      </c>
    </row>
    <row r="9" spans="1:39" x14ac:dyDescent="0.25">
      <c r="A9" s="5" t="s">
        <v>3</v>
      </c>
      <c r="B9" s="4">
        <v>606.45510000000002</v>
      </c>
      <c r="C9" s="4">
        <v>2382.4917</v>
      </c>
      <c r="D9" s="4">
        <v>16309.3051</v>
      </c>
      <c r="E9" s="4">
        <v>27357.160199999998</v>
      </c>
      <c r="F9" s="4">
        <v>24974.0684</v>
      </c>
      <c r="G9" s="6">
        <f t="shared" si="0"/>
        <v>71629.480500000005</v>
      </c>
      <c r="I9" s="5" t="s">
        <v>3</v>
      </c>
      <c r="J9" s="80"/>
      <c r="K9" s="80"/>
      <c r="L9" s="80"/>
      <c r="M9" s="80"/>
      <c r="N9" s="80"/>
      <c r="O9" s="6"/>
      <c r="Q9" s="5" t="s">
        <v>3</v>
      </c>
      <c r="R9" s="43">
        <v>507</v>
      </c>
      <c r="S9" s="47">
        <v>2703</v>
      </c>
      <c r="T9" s="51">
        <v>27050</v>
      </c>
      <c r="U9" s="55">
        <v>38409</v>
      </c>
      <c r="V9" s="59">
        <v>36516</v>
      </c>
      <c r="W9" s="6">
        <f t="shared" si="1"/>
        <v>105185</v>
      </c>
    </row>
    <row r="10" spans="1:39" ht="15.75" thickBot="1" x14ac:dyDescent="0.3">
      <c r="A10" s="7" t="s">
        <v>4</v>
      </c>
      <c r="B10" s="8">
        <f>SUM(B6:B9)</f>
        <v>129139.1344</v>
      </c>
      <c r="C10" s="8">
        <f t="shared" ref="C10:F10" si="2">SUM(C6:C9)</f>
        <v>501698.02500000002</v>
      </c>
      <c r="D10" s="8">
        <f t="shared" si="2"/>
        <v>570396.74479999999</v>
      </c>
      <c r="E10" s="8">
        <f t="shared" si="2"/>
        <v>219018.22450000001</v>
      </c>
      <c r="F10" s="8">
        <f t="shared" si="2"/>
        <v>110066.83350000001</v>
      </c>
      <c r="G10" s="8">
        <f t="shared" si="0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110071</v>
      </c>
      <c r="S10" s="8">
        <f t="shared" ref="S10" si="3">SUM(S6:S9)</f>
        <v>477857</v>
      </c>
      <c r="T10" s="8">
        <f t="shared" ref="T10" si="4">SUM(T6:T9)</f>
        <v>566399</v>
      </c>
      <c r="U10" s="8">
        <f t="shared" ref="U10" si="5">SUM(U6:U9)</f>
        <v>244484</v>
      </c>
      <c r="V10" s="8">
        <f t="shared" ref="V10" si="6">SUM(V6:V9)</f>
        <v>107809</v>
      </c>
      <c r="W10" s="8">
        <f t="shared" si="1"/>
        <v>1506620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r="14" spans="1:39" ht="15.75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96850.102675815433</v>
      </c>
      <c r="C16" s="4">
        <f t="shared" ref="C16:F16" si="7">($W6/$G6)*C6</f>
        <v>315568.03891431075</v>
      </c>
      <c r="D16" s="4">
        <f t="shared" si="7"/>
        <v>42828.229363367114</v>
      </c>
      <c r="E16" s="4">
        <f t="shared" si="7"/>
        <v>7422.5582801082228</v>
      </c>
      <c r="F16" s="4">
        <f t="shared" si="7"/>
        <v>4028.0707663984726</v>
      </c>
      <c r="G16" s="4">
        <f>($W6/$G6)*G6</f>
        <v>466697</v>
      </c>
      <c r="I16" s="3">
        <v>1</v>
      </c>
      <c r="J16" s="4" t="e">
        <f>($W6/$O6)*J6</f>
        <v>#DIV/0!</v>
      </c>
      <c r="K16" s="4" t="e">
        <f t="shared" ref="K16:O16" si="8">($W6/$O6)*K6</f>
        <v>#DIV/0!</v>
      </c>
      <c r="L16" s="4" t="e">
        <f t="shared" si="8"/>
        <v>#DIV/0!</v>
      </c>
      <c r="M16" s="4" t="e">
        <f t="shared" si="8"/>
        <v>#DIV/0!</v>
      </c>
      <c r="N16" s="4" t="e">
        <f t="shared" si="8"/>
        <v>#DIV/0!</v>
      </c>
      <c r="O16" s="4" t="e">
        <f t="shared" si="8"/>
        <v>#DIV/0!</v>
      </c>
      <c r="Q16" s="3">
        <v>1</v>
      </c>
      <c r="R16" s="4">
        <f>R6</f>
        <v>83756</v>
      </c>
      <c r="S16" s="4">
        <f t="shared" ref="S16:V16" si="9">S6</f>
        <v>328187</v>
      </c>
      <c r="T16" s="4">
        <f t="shared" si="9"/>
        <v>41128</v>
      </c>
      <c r="U16" s="4">
        <f t="shared" si="9"/>
        <v>9356</v>
      </c>
      <c r="V16" s="4">
        <f t="shared" si="9"/>
        <v>4270</v>
      </c>
      <c r="W16" s="4">
        <f>SUM(R16:V16)</f>
        <v>466697</v>
      </c>
      <c r="Y16" s="3">
        <v>1</v>
      </c>
      <c r="Z16" s="4" t="e">
        <f>R16-J16</f>
        <v>#DIV/0!</v>
      </c>
      <c r="AA16" s="4" t="e">
        <f t="shared" ref="AA16:AA20" si="10">S16-K16</f>
        <v>#DIV/0!</v>
      </c>
      <c r="AB16" s="4" t="e">
        <f t="shared" ref="AB16:AB20" si="11">T16-L16</f>
        <v>#DIV/0!</v>
      </c>
      <c r="AC16" s="4" t="e">
        <f t="shared" ref="AC16:AC20" si="12">U16-M16</f>
        <v>#DIV/0!</v>
      </c>
      <c r="AD16" s="4" t="e">
        <f t="shared" ref="AD16:AD20" si="13">V16-N16</f>
        <v>#DIV/0!</v>
      </c>
      <c r="AE16" s="4" t="e">
        <f t="shared" ref="AE16:AE19" si="14">W16-O16</f>
        <v>#DIV/0!</v>
      </c>
      <c r="AG16" s="3">
        <v>1</v>
      </c>
      <c r="AH16" s="17" t="e">
        <f>Z16/J16</f>
        <v>#DIV/0!</v>
      </c>
      <c r="AI16" s="17" t="e">
        <f t="shared" ref="AI16:AI20" si="15">AA16/K16</f>
        <v>#DIV/0!</v>
      </c>
      <c r="AJ16" s="17" t="e">
        <f t="shared" ref="AJ16:AJ20" si="16">AB16/L16</f>
        <v>#DIV/0!</v>
      </c>
      <c r="AK16" s="17" t="e">
        <f t="shared" ref="AK16:AK20" si="17">AC16/M16</f>
        <v>#DIV/0!</v>
      </c>
      <c r="AL16" s="17" t="e">
        <f t="shared" ref="AL16:AL20" si="18">AD16/N16</f>
        <v>#DIV/0!</v>
      </c>
      <c r="AM16" s="17" t="e">
        <f t="shared" ref="AM16:AM20" si="19">AE16/O16</f>
        <v>#DIV/0!</v>
      </c>
    </row>
    <row r="17" spans="1:39" x14ac:dyDescent="0.25">
      <c r="A17" s="3">
        <v>2</v>
      </c>
      <c r="B17" s="4">
        <f t="shared" ref="B17:G17" si="20">($W7/$G7)*B7</f>
        <v>23549.546613865728</v>
      </c>
      <c r="C17" s="4">
        <f t="shared" si="20"/>
        <v>146196.30772337713</v>
      </c>
      <c r="D17" s="4">
        <f t="shared" si="20"/>
        <v>408445.10740151251</v>
      </c>
      <c r="E17" s="4">
        <f t="shared" si="20"/>
        <v>116489.6535718994</v>
      </c>
      <c r="F17" s="4">
        <f t="shared" si="20"/>
        <v>40943.384689345119</v>
      </c>
      <c r="G17" s="4">
        <f t="shared" si="20"/>
        <v>735624</v>
      </c>
      <c r="I17" s="3">
        <v>2</v>
      </c>
      <c r="J17" s="4" t="e">
        <f t="shared" ref="J17:O17" si="21">($W7/$O7)*J7</f>
        <v>#DIV/0!</v>
      </c>
      <c r="K17" s="4" t="e">
        <f t="shared" si="21"/>
        <v>#DIV/0!</v>
      </c>
      <c r="L17" s="4" t="e">
        <f t="shared" si="21"/>
        <v>#DIV/0!</v>
      </c>
      <c r="M17" s="4" t="e">
        <f t="shared" si="21"/>
        <v>#DIV/0!</v>
      </c>
      <c r="N17" s="4" t="e">
        <f t="shared" si="21"/>
        <v>#DIV/0!</v>
      </c>
      <c r="O17" s="4" t="e">
        <f t="shared" si="21"/>
        <v>#DIV/0!</v>
      </c>
      <c r="Q17" s="3">
        <v>2</v>
      </c>
      <c r="R17" s="4">
        <f t="shared" ref="R17:V17" si="22">R7</f>
        <v>21674</v>
      </c>
      <c r="S17" s="4">
        <f t="shared" si="22"/>
        <v>129892</v>
      </c>
      <c r="T17" s="4">
        <f t="shared" si="22"/>
        <v>421627</v>
      </c>
      <c r="U17" s="4">
        <f t="shared" si="22"/>
        <v>122085</v>
      </c>
      <c r="V17" s="4">
        <f t="shared" si="22"/>
        <v>40346</v>
      </c>
      <c r="W17" s="4">
        <f t="shared" ref="W17:W20" si="23">SUM(R17:V17)</f>
        <v>735624</v>
      </c>
      <c r="Y17" s="3">
        <v>2</v>
      </c>
      <c r="Z17" s="4" t="e">
        <f t="shared" ref="Z17:Z20" si="24">R17-J17</f>
        <v>#DIV/0!</v>
      </c>
      <c r="AA17" s="4" t="e">
        <f t="shared" si="10"/>
        <v>#DIV/0!</v>
      </c>
      <c r="AB17" s="4" t="e">
        <f t="shared" si="11"/>
        <v>#DIV/0!</v>
      </c>
      <c r="AC17" s="4" t="e">
        <f t="shared" si="12"/>
        <v>#DIV/0!</v>
      </c>
      <c r="AD17" s="4" t="e">
        <f t="shared" si="13"/>
        <v>#DIV/0!</v>
      </c>
      <c r="AE17" s="4" t="e">
        <f t="shared" si="14"/>
        <v>#DIV/0!</v>
      </c>
      <c r="AG17" s="3">
        <v>2</v>
      </c>
      <c r="AH17" s="17" t="e">
        <f t="shared" ref="AH17:AH20" si="25">Z17/J17</f>
        <v>#DIV/0!</v>
      </c>
      <c r="AI17" s="17" t="e">
        <f t="shared" si="15"/>
        <v>#DIV/0!</v>
      </c>
      <c r="AJ17" s="17" t="e">
        <f t="shared" si="16"/>
        <v>#DIV/0!</v>
      </c>
      <c r="AK17" s="17" t="e">
        <f t="shared" si="17"/>
        <v>#DIV/0!</v>
      </c>
      <c r="AL17" s="17" t="e">
        <f t="shared" si="18"/>
        <v>#DIV/0!</v>
      </c>
      <c r="AM17" s="17" t="e">
        <f t="shared" si="19"/>
        <v>#DIV/0!</v>
      </c>
    </row>
    <row r="18" spans="1:39" x14ac:dyDescent="0.25">
      <c r="A18" s="3">
        <v>3</v>
      </c>
      <c r="B18" s="4">
        <f t="shared" ref="B18:G18" si="26">($W8/$G8)*B8</f>
        <v>4129.2970478839679</v>
      </c>
      <c r="C18" s="4">
        <f t="shared" si="26"/>
        <v>18331.993242866145</v>
      </c>
      <c r="D18" s="4">
        <f t="shared" si="26"/>
        <v>70931.396278149259</v>
      </c>
      <c r="E18" s="4">
        <f t="shared" si="26"/>
        <v>64416.948912219559</v>
      </c>
      <c r="F18" s="4">
        <f t="shared" si="26"/>
        <v>41304.36451888107</v>
      </c>
      <c r="G18" s="4">
        <f t="shared" si="26"/>
        <v>199114</v>
      </c>
      <c r="I18" s="3">
        <v>3</v>
      </c>
      <c r="J18" s="4" t="e">
        <f t="shared" ref="J18:O18" si="27">($W8/$O8)*J8</f>
        <v>#DIV/0!</v>
      </c>
      <c r="K18" s="4" t="e">
        <f t="shared" si="27"/>
        <v>#DIV/0!</v>
      </c>
      <c r="L18" s="4" t="e">
        <f t="shared" si="27"/>
        <v>#DIV/0!</v>
      </c>
      <c r="M18" s="4" t="e">
        <f t="shared" si="27"/>
        <v>#DIV/0!</v>
      </c>
      <c r="N18" s="4" t="e">
        <f t="shared" si="27"/>
        <v>#DIV/0!</v>
      </c>
      <c r="O18" s="4" t="e">
        <f t="shared" si="27"/>
        <v>#DIV/0!</v>
      </c>
      <c r="Q18" s="3">
        <v>3</v>
      </c>
      <c r="R18" s="4">
        <f t="shared" ref="R18:V18" si="28">R8</f>
        <v>4134</v>
      </c>
      <c r="S18" s="4">
        <f t="shared" si="28"/>
        <v>17075</v>
      </c>
      <c r="T18" s="4">
        <f t="shared" si="28"/>
        <v>76594</v>
      </c>
      <c r="U18" s="4">
        <f t="shared" si="28"/>
        <v>74634</v>
      </c>
      <c r="V18" s="4">
        <f t="shared" si="28"/>
        <v>26677</v>
      </c>
      <c r="W18" s="4">
        <f t="shared" si="23"/>
        <v>199114</v>
      </c>
      <c r="Y18" s="3">
        <v>3</v>
      </c>
      <c r="Z18" s="4" t="e">
        <f t="shared" si="24"/>
        <v>#DIV/0!</v>
      </c>
      <c r="AA18" s="4" t="e">
        <f t="shared" si="10"/>
        <v>#DIV/0!</v>
      </c>
      <c r="AB18" s="4" t="e">
        <f t="shared" si="11"/>
        <v>#DIV/0!</v>
      </c>
      <c r="AC18" s="4" t="e">
        <f t="shared" si="12"/>
        <v>#DIV/0!</v>
      </c>
      <c r="AD18" s="4" t="e">
        <f t="shared" si="13"/>
        <v>#DIV/0!</v>
      </c>
      <c r="AE18" s="4" t="e">
        <f t="shared" si="14"/>
        <v>#DIV/0!</v>
      </c>
      <c r="AG18" s="3">
        <v>3</v>
      </c>
      <c r="AH18" s="17" t="e">
        <f t="shared" si="25"/>
        <v>#DIV/0!</v>
      </c>
      <c r="AI18" s="17" t="e">
        <f t="shared" si="15"/>
        <v>#DIV/0!</v>
      </c>
      <c r="AJ18" s="17" t="e">
        <f t="shared" si="16"/>
        <v>#DIV/0!</v>
      </c>
      <c r="AK18" s="17" t="e">
        <f t="shared" si="17"/>
        <v>#DIV/0!</v>
      </c>
      <c r="AL18" s="17" t="e">
        <f t="shared" si="18"/>
        <v>#DIV/0!</v>
      </c>
      <c r="AM18" s="17" t="e">
        <f t="shared" si="19"/>
        <v>#DIV/0!</v>
      </c>
    </row>
    <row r="19" spans="1:39" x14ac:dyDescent="0.25">
      <c r="A19" s="5" t="s">
        <v>3</v>
      </c>
      <c r="B19" s="4">
        <f t="shared" ref="B19:G19" si="29">($W9/$G9)*B9</f>
        <v>890.55482809902549</v>
      </c>
      <c r="C19" s="4">
        <f t="shared" si="29"/>
        <v>3498.5928658871117</v>
      </c>
      <c r="D19" s="4">
        <f t="shared" si="29"/>
        <v>23949.556034313271</v>
      </c>
      <c r="E19" s="4">
        <f t="shared" si="29"/>
        <v>40172.885180104015</v>
      </c>
      <c r="F19" s="4">
        <f t="shared" si="29"/>
        <v>36673.411091596565</v>
      </c>
      <c r="G19" s="6">
        <f t="shared" si="29"/>
        <v>105185</v>
      </c>
      <c r="I19" s="5" t="s">
        <v>3</v>
      </c>
      <c r="J19" s="6" t="e">
        <f t="shared" ref="J19:O19" si="30">($W9/$O9)*J9</f>
        <v>#DIV/0!</v>
      </c>
      <c r="K19" s="6" t="e">
        <f t="shared" si="30"/>
        <v>#DIV/0!</v>
      </c>
      <c r="L19" s="6" t="e">
        <f t="shared" si="30"/>
        <v>#DIV/0!</v>
      </c>
      <c r="M19" s="6" t="e">
        <f t="shared" si="30"/>
        <v>#DIV/0!</v>
      </c>
      <c r="N19" s="6" t="e">
        <f t="shared" si="30"/>
        <v>#DIV/0!</v>
      </c>
      <c r="O19" s="6" t="e">
        <f t="shared" si="30"/>
        <v>#DIV/0!</v>
      </c>
      <c r="Q19" s="5" t="s">
        <v>3</v>
      </c>
      <c r="R19" s="4">
        <f t="shared" ref="R19:V19" si="31">R9</f>
        <v>507</v>
      </c>
      <c r="S19" s="4">
        <f t="shared" si="31"/>
        <v>2703</v>
      </c>
      <c r="T19" s="4">
        <f t="shared" si="31"/>
        <v>27050</v>
      </c>
      <c r="U19" s="4">
        <f t="shared" si="31"/>
        <v>38409</v>
      </c>
      <c r="V19" s="4">
        <f t="shared" si="31"/>
        <v>36516</v>
      </c>
      <c r="W19" s="6">
        <f t="shared" si="23"/>
        <v>105185</v>
      </c>
      <c r="Y19" s="5" t="s">
        <v>3</v>
      </c>
      <c r="Z19" s="4" t="e">
        <f t="shared" si="24"/>
        <v>#DIV/0!</v>
      </c>
      <c r="AA19" s="4" t="e">
        <f t="shared" si="10"/>
        <v>#DIV/0!</v>
      </c>
      <c r="AB19" s="4" t="e">
        <f t="shared" si="11"/>
        <v>#DIV/0!</v>
      </c>
      <c r="AC19" s="4" t="e">
        <f t="shared" si="12"/>
        <v>#DIV/0!</v>
      </c>
      <c r="AD19" s="4" t="e">
        <f t="shared" si="13"/>
        <v>#DIV/0!</v>
      </c>
      <c r="AE19" s="6" t="e">
        <f t="shared" si="14"/>
        <v>#DIV/0!</v>
      </c>
      <c r="AG19" s="5" t="s">
        <v>3</v>
      </c>
      <c r="AH19" s="17" t="e">
        <f t="shared" si="25"/>
        <v>#DIV/0!</v>
      </c>
      <c r="AI19" s="17" t="e">
        <f t="shared" si="15"/>
        <v>#DIV/0!</v>
      </c>
      <c r="AJ19" s="17" t="e">
        <f t="shared" si="16"/>
        <v>#DIV/0!</v>
      </c>
      <c r="AK19" s="17" t="e">
        <f t="shared" si="17"/>
        <v>#DIV/0!</v>
      </c>
      <c r="AL19" s="17" t="e">
        <f t="shared" si="18"/>
        <v>#DIV/0!</v>
      </c>
      <c r="AM19" s="18" t="e">
        <f t="shared" si="19"/>
        <v>#DIV/0!</v>
      </c>
    </row>
    <row r="20" spans="1:39" ht="15.75" thickBot="1" x14ac:dyDescent="0.3">
      <c r="A20" s="7" t="s">
        <v>4</v>
      </c>
      <c r="B20" s="8">
        <f>SUM(B16:B19)</f>
        <v>125419.50116566416</v>
      </c>
      <c r="C20" s="8">
        <f t="shared" ref="C20:G20" si="32">SUM(C16:C19)</f>
        <v>483594.9327464411</v>
      </c>
      <c r="D20" s="8">
        <f t="shared" si="32"/>
        <v>546154.28907734214</v>
      </c>
      <c r="E20" s="8">
        <f t="shared" si="32"/>
        <v>228502.04594433121</v>
      </c>
      <c r="F20" s="8">
        <f t="shared" si="32"/>
        <v>122949.23106622123</v>
      </c>
      <c r="G20" s="8">
        <f t="shared" si="32"/>
        <v>1506620</v>
      </c>
      <c r="I20" s="7" t="s">
        <v>4</v>
      </c>
      <c r="J20" s="8" t="e">
        <f t="shared" ref="J20:O20" si="33">($W10/$O10)*J10</f>
        <v>#DIV/0!</v>
      </c>
      <c r="K20" s="8" t="e">
        <f t="shared" si="33"/>
        <v>#DIV/0!</v>
      </c>
      <c r="L20" s="8" t="e">
        <f t="shared" si="33"/>
        <v>#DIV/0!</v>
      </c>
      <c r="M20" s="8" t="e">
        <f t="shared" si="33"/>
        <v>#DIV/0!</v>
      </c>
      <c r="N20" s="8" t="e">
        <f t="shared" si="33"/>
        <v>#DIV/0!</v>
      </c>
      <c r="O20" s="8" t="e">
        <f t="shared" si="33"/>
        <v>#DIV/0!</v>
      </c>
      <c r="Q20" s="7" t="s">
        <v>4</v>
      </c>
      <c r="R20" s="8">
        <f>SUM(R16:R19)</f>
        <v>110071</v>
      </c>
      <c r="S20" s="8">
        <f t="shared" ref="S20:V20" si="34">SUM(S16:S19)</f>
        <v>477857</v>
      </c>
      <c r="T20" s="8">
        <f t="shared" si="34"/>
        <v>566399</v>
      </c>
      <c r="U20" s="8">
        <f t="shared" si="34"/>
        <v>244484</v>
      </c>
      <c r="V20" s="8">
        <f t="shared" si="34"/>
        <v>107809</v>
      </c>
      <c r="W20" s="8">
        <f t="shared" si="23"/>
        <v>1506620</v>
      </c>
      <c r="Y20" s="7" t="s">
        <v>4</v>
      </c>
      <c r="Z20" s="8" t="e">
        <f t="shared" si="24"/>
        <v>#DIV/0!</v>
      </c>
      <c r="AA20" s="8" t="e">
        <f t="shared" si="10"/>
        <v>#DIV/0!</v>
      </c>
      <c r="AB20" s="8" t="e">
        <f t="shared" si="11"/>
        <v>#DIV/0!</v>
      </c>
      <c r="AC20" s="8" t="e">
        <f t="shared" si="12"/>
        <v>#DIV/0!</v>
      </c>
      <c r="AD20" s="8" t="e">
        <f t="shared" si="13"/>
        <v>#DIV/0!</v>
      </c>
      <c r="AE20" s="8" t="e">
        <f>W20-O20</f>
        <v>#DIV/0!</v>
      </c>
      <c r="AG20" s="7" t="s">
        <v>4</v>
      </c>
      <c r="AH20" s="19" t="e">
        <f t="shared" si="25"/>
        <v>#DIV/0!</v>
      </c>
      <c r="AI20" s="19" t="e">
        <f t="shared" si="15"/>
        <v>#DIV/0!</v>
      </c>
      <c r="AJ20" s="19" t="e">
        <f t="shared" si="16"/>
        <v>#DIV/0!</v>
      </c>
      <c r="AK20" s="19" t="e">
        <f t="shared" si="17"/>
        <v>#DIV/0!</v>
      </c>
      <c r="AL20" s="19" t="e">
        <f t="shared" si="18"/>
        <v>#DIV/0!</v>
      </c>
      <c r="AM20" s="19" t="e">
        <f t="shared" si="19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r="23" spans="1:39" ht="15.75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6.4283032666376014E-2</v>
      </c>
      <c r="C25" s="17">
        <f t="shared" ref="C25:G25" si="35">C16/$G$20</f>
        <v>0.20945430096129797</v>
      </c>
      <c r="D25" s="17">
        <f t="shared" si="35"/>
        <v>2.8426696422035491E-2</v>
      </c>
      <c r="E25" s="17">
        <f t="shared" si="35"/>
        <v>4.9266293292988426E-3</v>
      </c>
      <c r="F25" s="17">
        <f t="shared" si="35"/>
        <v>2.6735811063164387E-3</v>
      </c>
      <c r="G25" s="17">
        <f t="shared" si="35"/>
        <v>0.30976424048532475</v>
      </c>
      <c r="I25" s="3">
        <v>1</v>
      </c>
      <c r="J25" s="17" t="e">
        <f>J16/$O$20</f>
        <v>#DIV/0!</v>
      </c>
      <c r="K25" s="17" t="e">
        <f t="shared" ref="K25:O25" si="36">K16/$O$20</f>
        <v>#DIV/0!</v>
      </c>
      <c r="L25" s="17" t="e">
        <f t="shared" si="36"/>
        <v>#DIV/0!</v>
      </c>
      <c r="M25" s="17" t="e">
        <f t="shared" si="36"/>
        <v>#DIV/0!</v>
      </c>
      <c r="N25" s="17" t="e">
        <f t="shared" si="36"/>
        <v>#DIV/0!</v>
      </c>
      <c r="O25" s="17" t="e">
        <f t="shared" si="36"/>
        <v>#DIV/0!</v>
      </c>
      <c r="Q25" s="3">
        <v>1</v>
      </c>
      <c r="R25" s="17">
        <f>R6/$W$10</f>
        <v>5.5591987362440427E-2</v>
      </c>
      <c r="S25" s="17">
        <f t="shared" ref="S25:W25" si="37">S6/$W$10</f>
        <v>0.21782997703468693</v>
      </c>
      <c r="T25" s="17">
        <f t="shared" si="37"/>
        <v>2.7298190651922846E-2</v>
      </c>
      <c r="U25" s="17">
        <f t="shared" si="37"/>
        <v>6.2099268561415623E-3</v>
      </c>
      <c r="V25" s="17">
        <f t="shared" si="37"/>
        <v>2.8341585801330131E-3</v>
      </c>
      <c r="W25" s="17">
        <f t="shared" si="37"/>
        <v>0.30976424048532475</v>
      </c>
    </row>
    <row r="26" spans="1:39" x14ac:dyDescent="0.25">
      <c r="A26" s="3">
        <v>2</v>
      </c>
      <c r="B26" s="17">
        <f t="shared" ref="B26:G26" si="38">B17/$G$20</f>
        <v>1.5630714190615902E-2</v>
      </c>
      <c r="C26" s="17">
        <f t="shared" si="38"/>
        <v>9.7035953142383044E-2</v>
      </c>
      <c r="D26" s="17">
        <f t="shared" si="38"/>
        <v>0.27110028235488215</v>
      </c>
      <c r="E26" s="17">
        <f t="shared" si="38"/>
        <v>7.7318536573189919E-2</v>
      </c>
      <c r="F26" s="17">
        <f t="shared" si="38"/>
        <v>2.7175654570724614E-2</v>
      </c>
      <c r="G26" s="17">
        <f t="shared" si="38"/>
        <v>0.48826114083179567</v>
      </c>
      <c r="I26" s="3">
        <v>2</v>
      </c>
      <c r="J26" s="17" t="e">
        <f t="shared" ref="J26:O26" si="39">J17/$O$20</f>
        <v>#DIV/0!</v>
      </c>
      <c r="K26" s="17" t="e">
        <f t="shared" si="39"/>
        <v>#DIV/0!</v>
      </c>
      <c r="L26" s="17" t="e">
        <f t="shared" si="39"/>
        <v>#DIV/0!</v>
      </c>
      <c r="M26" s="17" t="e">
        <f t="shared" si="39"/>
        <v>#DIV/0!</v>
      </c>
      <c r="N26" s="17" t="e">
        <f t="shared" si="39"/>
        <v>#DIV/0!</v>
      </c>
      <c r="O26" s="17" t="e">
        <f t="shared" si="39"/>
        <v>#DIV/0!</v>
      </c>
      <c r="Q26" s="3">
        <v>2</v>
      </c>
      <c r="R26" s="17">
        <f t="shared" ref="R26:W26" si="40">R7/$W$10</f>
        <v>1.4385843809321527E-2</v>
      </c>
      <c r="S26" s="17">
        <f t="shared" si="40"/>
        <v>8.6214174775324906E-2</v>
      </c>
      <c r="T26" s="17">
        <f t="shared" si="40"/>
        <v>0.27984959711141494</v>
      </c>
      <c r="U26" s="17">
        <f t="shared" si="40"/>
        <v>8.10323771090255E-2</v>
      </c>
      <c r="V26" s="17">
        <f t="shared" si="40"/>
        <v>2.6779148026708791E-2</v>
      </c>
      <c r="W26" s="17">
        <f t="shared" si="40"/>
        <v>0.48826114083179567</v>
      </c>
    </row>
    <row r="27" spans="1:39" x14ac:dyDescent="0.25">
      <c r="A27" s="3">
        <v>3</v>
      </c>
      <c r="B27" s="17">
        <f t="shared" ref="B27:G27" si="41">B18/$G$20</f>
        <v>2.7407687724070886E-3</v>
      </c>
      <c r="C27" s="17">
        <f t="shared" si="41"/>
        <v>1.2167629025810188E-2</v>
      </c>
      <c r="D27" s="17">
        <f t="shared" si="41"/>
        <v>4.707981858607297E-2</v>
      </c>
      <c r="E27" s="17">
        <f t="shared" si="41"/>
        <v>4.2755936408795554E-2</v>
      </c>
      <c r="F27" s="17">
        <f t="shared" si="41"/>
        <v>2.7415250374268941E-2</v>
      </c>
      <c r="G27" s="17">
        <f t="shared" si="41"/>
        <v>0.13215940316735475</v>
      </c>
      <c r="I27" s="3">
        <v>3</v>
      </c>
      <c r="J27" s="17" t="e">
        <f t="shared" ref="J27:O27" si="42">J18/$O$20</f>
        <v>#DIV/0!</v>
      </c>
      <c r="K27" s="17" t="e">
        <f t="shared" si="42"/>
        <v>#DIV/0!</v>
      </c>
      <c r="L27" s="17" t="e">
        <f t="shared" si="42"/>
        <v>#DIV/0!</v>
      </c>
      <c r="M27" s="17" t="e">
        <f t="shared" si="42"/>
        <v>#DIV/0!</v>
      </c>
      <c r="N27" s="17" t="e">
        <f t="shared" si="42"/>
        <v>#DIV/0!</v>
      </c>
      <c r="O27" s="17" t="e">
        <f t="shared" si="42"/>
        <v>#DIV/0!</v>
      </c>
      <c r="Q27" s="3">
        <v>3</v>
      </c>
      <c r="R27" s="17">
        <f t="shared" ref="R27:W27" si="43">R8/$W$10</f>
        <v>2.7438902974870902E-3</v>
      </c>
      <c r="S27" s="17">
        <f t="shared" si="43"/>
        <v>1.133331563367007E-2</v>
      </c>
      <c r="T27" s="17">
        <f t="shared" si="43"/>
        <v>5.0838300301336764E-2</v>
      </c>
      <c r="U27" s="17">
        <f t="shared" si="43"/>
        <v>4.9537375051439646E-2</v>
      </c>
      <c r="V27" s="17">
        <f t="shared" si="43"/>
        <v>1.7706521883421169E-2</v>
      </c>
      <c r="W27" s="17">
        <f t="shared" si="43"/>
        <v>0.13215940316735475</v>
      </c>
    </row>
    <row r="28" spans="1:39" x14ac:dyDescent="0.25">
      <c r="A28" s="5" t="s">
        <v>3</v>
      </c>
      <c r="B28" s="18">
        <f t="shared" ref="B28:G28" si="44">B19/$G$20</f>
        <v>5.9109452157745518E-4</v>
      </c>
      <c r="C28" s="18">
        <f t="shared" si="44"/>
        <v>2.3221468358890175E-3</v>
      </c>
      <c r="D28" s="18">
        <f t="shared" si="44"/>
        <v>1.5896215392277594E-2</v>
      </c>
      <c r="E28" s="18">
        <f t="shared" si="44"/>
        <v>2.6664245251028139E-2</v>
      </c>
      <c r="F28" s="18">
        <f t="shared" si="44"/>
        <v>2.43415135147526E-2</v>
      </c>
      <c r="G28" s="18">
        <f t="shared" si="44"/>
        <v>6.9815215515524817E-2</v>
      </c>
      <c r="I28" s="5" t="s">
        <v>3</v>
      </c>
      <c r="J28" s="18" t="e">
        <f t="shared" ref="J28:O28" si="45">J19/$O$20</f>
        <v>#DIV/0!</v>
      </c>
      <c r="K28" s="18" t="e">
        <f t="shared" si="45"/>
        <v>#DIV/0!</v>
      </c>
      <c r="L28" s="18" t="e">
        <f t="shared" si="45"/>
        <v>#DIV/0!</v>
      </c>
      <c r="M28" s="18" t="e">
        <f t="shared" si="45"/>
        <v>#DIV/0!</v>
      </c>
      <c r="N28" s="18" t="e">
        <f t="shared" si="45"/>
        <v>#DIV/0!</v>
      </c>
      <c r="O28" s="18" t="e">
        <f t="shared" si="45"/>
        <v>#DIV/0!</v>
      </c>
      <c r="Q28" s="5" t="s">
        <v>3</v>
      </c>
      <c r="R28" s="18">
        <f t="shared" ref="R28:W28" si="46">R9/$W$10</f>
        <v>3.3651484780502052E-4</v>
      </c>
      <c r="S28" s="18">
        <f t="shared" si="46"/>
        <v>1.7940821175877128E-3</v>
      </c>
      <c r="T28" s="18">
        <f t="shared" si="46"/>
        <v>1.7954095923325059E-2</v>
      </c>
      <c r="U28" s="18">
        <f t="shared" si="46"/>
        <v>2.5493488736376791E-2</v>
      </c>
      <c r="V28" s="18">
        <f t="shared" si="46"/>
        <v>2.4237033890430235E-2</v>
      </c>
      <c r="W28" s="18">
        <f t="shared" si="46"/>
        <v>6.9815215515524817E-2</v>
      </c>
    </row>
    <row r="29" spans="1:39" ht="15.75" thickBot="1" x14ac:dyDescent="0.3">
      <c r="A29" s="7" t="s">
        <v>4</v>
      </c>
      <c r="B29" s="19">
        <f t="shared" ref="B29:G29" si="47">B20/$G$20</f>
        <v>8.3245610150976465E-2</v>
      </c>
      <c r="C29" s="19">
        <f t="shared" si="47"/>
        <v>0.32098002996538016</v>
      </c>
      <c r="D29" s="19">
        <f t="shared" si="47"/>
        <v>0.36250301275526819</v>
      </c>
      <c r="E29" s="19">
        <f t="shared" si="47"/>
        <v>0.15166534756231248</v>
      </c>
      <c r="F29" s="19">
        <f t="shared" si="47"/>
        <v>8.1605999566062598E-2</v>
      </c>
      <c r="G29" s="19">
        <f t="shared" si="47"/>
        <v>1</v>
      </c>
      <c r="I29" s="7" t="s">
        <v>4</v>
      </c>
      <c r="J29" s="19" t="e">
        <f t="shared" ref="J29:O29" si="48">J20/$O$20</f>
        <v>#DIV/0!</v>
      </c>
      <c r="K29" s="19" t="e">
        <f t="shared" si="48"/>
        <v>#DIV/0!</v>
      </c>
      <c r="L29" s="19" t="e">
        <f t="shared" si="48"/>
        <v>#DIV/0!</v>
      </c>
      <c r="M29" s="19" t="e">
        <f t="shared" si="48"/>
        <v>#DIV/0!</v>
      </c>
      <c r="N29" s="19" t="e">
        <f t="shared" si="48"/>
        <v>#DIV/0!</v>
      </c>
      <c r="O29" s="19" t="e">
        <f t="shared" si="48"/>
        <v>#DIV/0!</v>
      </c>
      <c r="Q29" s="7" t="s">
        <v>4</v>
      </c>
      <c r="R29" s="19">
        <f t="shared" ref="R29:W29" si="49">R10/$W$10</f>
        <v>7.3058236317054062E-2</v>
      </c>
      <c r="S29" s="19">
        <f t="shared" si="49"/>
        <v>0.31717154956126958</v>
      </c>
      <c r="T29" s="19">
        <f t="shared" si="49"/>
        <v>0.37594018398799961</v>
      </c>
      <c r="U29" s="19">
        <f t="shared" si="49"/>
        <v>0.1622731677529835</v>
      </c>
      <c r="V29" s="19">
        <f t="shared" si="49"/>
        <v>7.1556862380693212E-2</v>
      </c>
      <c r="W29" s="19">
        <f t="shared" si="49"/>
        <v>1</v>
      </c>
    </row>
    <row r="32" spans="1:39" ht="15.75" thickBot="1" x14ac:dyDescent="0.3">
      <c r="Q32" s="12"/>
      <c r="R32" s="10" t="s">
        <v>2</v>
      </c>
      <c r="S32" s="9"/>
      <c r="T32" s="9"/>
      <c r="U32" s="9"/>
      <c r="V32" s="9"/>
      <c r="W32" s="9"/>
      <c r="Y32" s="107" t="s">
        <v>175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107" t="s">
        <v>142</v>
      </c>
      <c r="Z33" s="105" t="s">
        <v>174</v>
      </c>
    </row>
    <row r="34" spans="17:26" x14ac:dyDescent="0.25">
      <c r="Q34" s="3">
        <v>1</v>
      </c>
      <c r="R34" s="17">
        <f>R25-B25</f>
        <v>-8.6910453039355864E-3</v>
      </c>
      <c r="S34" s="17">
        <f t="shared" ref="S34:W34" si="50">S25-C25</f>
        <v>8.3756760733889601E-3</v>
      </c>
      <c r="T34" s="17">
        <f t="shared" si="50"/>
        <v>-1.1285057701126457E-3</v>
      </c>
      <c r="U34" s="17">
        <f t="shared" si="50"/>
        <v>1.2832975268427197E-3</v>
      </c>
      <c r="V34" s="17">
        <f t="shared" si="50"/>
        <v>1.6057747381657437E-4</v>
      </c>
      <c r="W34" s="17">
        <f t="shared" si="50"/>
        <v>0</v>
      </c>
      <c r="Y34" s="4">
        <f>B16+B17+C17+B18+C18+D18+B19+C19+D19+E19</f>
        <v>428500.23249036109</v>
      </c>
      <c r="Z34" s="4">
        <f>R16+R17+S17+R18+S18+T18+R19+S19+T19+U19</f>
        <v>401794</v>
      </c>
    </row>
    <row r="35" spans="17:26" x14ac:dyDescent="0.25">
      <c r="Q35" s="3">
        <v>2</v>
      </c>
      <c r="R35" s="17">
        <f t="shared" ref="R35:W35" si="51">R26-B26</f>
        <v>-1.2448703812943749E-3</v>
      </c>
      <c r="S35" s="17">
        <f t="shared" si="51"/>
        <v>-1.0821778367058138E-2</v>
      </c>
      <c r="T35" s="17">
        <f t="shared" si="51"/>
        <v>8.7493147565327889E-3</v>
      </c>
      <c r="U35" s="17">
        <f t="shared" si="51"/>
        <v>3.7138405358355803E-3</v>
      </c>
      <c r="V35" s="17">
        <f t="shared" si="51"/>
        <v>-3.965065440158233E-4</v>
      </c>
      <c r="W35" s="17">
        <f t="shared" si="51"/>
        <v>0</v>
      </c>
      <c r="Z35" s="106">
        <f>(Z34-Y34)/G20</f>
        <v>-1.7725924579762041E-2</v>
      </c>
    </row>
    <row r="36" spans="17:26" x14ac:dyDescent="0.25">
      <c r="Q36" s="3">
        <v>3</v>
      </c>
      <c r="R36" s="17">
        <f t="shared" ref="R36:W36" si="52">R27-B27</f>
        <v>3.1215250800016407E-6</v>
      </c>
      <c r="S36" s="17">
        <f t="shared" si="52"/>
        <v>-8.3431339214011871E-4</v>
      </c>
      <c r="T36" s="17">
        <f t="shared" si="52"/>
        <v>3.7584817152637937E-3</v>
      </c>
      <c r="U36" s="17">
        <f t="shared" si="52"/>
        <v>6.7814386426440915E-3</v>
      </c>
      <c r="V36" s="17">
        <f t="shared" si="52"/>
        <v>-9.708728490847772E-3</v>
      </c>
      <c r="W36" s="17">
        <f t="shared" si="52"/>
        <v>0</v>
      </c>
    </row>
    <row r="37" spans="17:26" x14ac:dyDescent="0.25">
      <c r="Q37" s="5" t="s">
        <v>3</v>
      </c>
      <c r="R37" s="18">
        <f t="shared" ref="R37:W37" si="53">R28-B28</f>
        <v>-2.5457967377243466E-4</v>
      </c>
      <c r="S37" s="18">
        <f t="shared" si="53"/>
        <v>-5.2806471830130468E-4</v>
      </c>
      <c r="T37" s="18">
        <f t="shared" si="53"/>
        <v>2.0578805310474645E-3</v>
      </c>
      <c r="U37" s="18">
        <f t="shared" si="53"/>
        <v>-1.1707565146513478E-3</v>
      </c>
      <c r="V37" s="18">
        <f t="shared" si="53"/>
        <v>-1.0447962432236571E-4</v>
      </c>
      <c r="W37" s="18">
        <f t="shared" si="53"/>
        <v>0</v>
      </c>
    </row>
    <row r="38" spans="17:26" ht="15.75" thickBot="1" x14ac:dyDescent="0.3">
      <c r="Q38" s="7" t="s">
        <v>4</v>
      </c>
      <c r="R38" s="19">
        <f t="shared" ref="R38:W38" si="54">R29-B29</f>
        <v>-1.0187373833922403E-2</v>
      </c>
      <c r="S38" s="19">
        <f t="shared" si="54"/>
        <v>-3.8084804041105813E-3</v>
      </c>
      <c r="T38" s="19">
        <f t="shared" si="54"/>
        <v>1.3437171232731415E-2</v>
      </c>
      <c r="U38" s="19">
        <f t="shared" si="54"/>
        <v>1.0607820190671025E-2</v>
      </c>
      <c r="V38" s="19">
        <f t="shared" si="54"/>
        <v>-1.0049137185369386E-2</v>
      </c>
      <c r="W38" s="19">
        <f t="shared" si="54"/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width="84.7109375" bestFit="1" customWidth="1" collapsed="1"/>
  </cols>
  <sheetData>
    <row r="1" spans="1:7" x14ac:dyDescent="0.25">
      <c r="A1" t="s">
        <v>96</v>
      </c>
      <c r="B1" t="s">
        <v>97</v>
      </c>
      <c r="F1" t="s">
        <v>98</v>
      </c>
      <c r="G1" t="s">
        <v>146</v>
      </c>
    </row>
    <row r="2" spans="1:7" x14ac:dyDescent="0.25">
      <c r="A2">
        <v>1</v>
      </c>
      <c r="B2" t="s">
        <v>35</v>
      </c>
      <c r="C2" t="s">
        <v>36</v>
      </c>
      <c r="D2">
        <v>-2.88892731349</v>
      </c>
      <c r="E2">
        <v>0.48543234191599999</v>
      </c>
      <c r="F2" t="s">
        <v>99</v>
      </c>
      <c r="G2" t="s">
        <v>118</v>
      </c>
    </row>
    <row r="3" spans="1:7" x14ac:dyDescent="0.25">
      <c r="A3">
        <v>2</v>
      </c>
      <c r="B3" t="s">
        <v>37</v>
      </c>
      <c r="C3" t="s">
        <v>36</v>
      </c>
      <c r="D3">
        <v>-1.84920255786</v>
      </c>
      <c r="E3">
        <v>0.120667788954</v>
      </c>
      <c r="F3" t="s">
        <v>99</v>
      </c>
      <c r="G3" t="s">
        <v>127</v>
      </c>
    </row>
    <row r="4" spans="1:7" x14ac:dyDescent="0.25">
      <c r="A4">
        <v>3</v>
      </c>
      <c r="B4" t="s">
        <v>38</v>
      </c>
      <c r="C4" t="s">
        <v>36</v>
      </c>
      <c r="D4">
        <v>-3.06909125469</v>
      </c>
      <c r="E4">
        <v>0.18162390207699999</v>
      </c>
      <c r="F4" t="s">
        <v>99</v>
      </c>
      <c r="G4" t="s">
        <v>132</v>
      </c>
    </row>
    <row r="5" spans="1:7" x14ac:dyDescent="0.25">
      <c r="A5">
        <v>4</v>
      </c>
      <c r="B5" t="s">
        <v>39</v>
      </c>
      <c r="C5" t="s">
        <v>36</v>
      </c>
      <c r="D5">
        <v>-4.8440472338499996</v>
      </c>
      <c r="E5">
        <v>0.34758296123299998</v>
      </c>
      <c r="F5" t="s">
        <v>99</v>
      </c>
      <c r="G5" t="s">
        <v>138</v>
      </c>
    </row>
    <row r="6" spans="1:7" x14ac:dyDescent="0.25">
      <c r="A6">
        <v>5</v>
      </c>
      <c r="B6" t="s">
        <v>40</v>
      </c>
      <c r="C6" t="s">
        <v>36</v>
      </c>
      <c r="D6">
        <v>-3.7501392251399999</v>
      </c>
      <c r="E6">
        <v>0.48593392329200003</v>
      </c>
      <c r="F6" t="s">
        <v>100</v>
      </c>
      <c r="G6" t="s">
        <v>118</v>
      </c>
    </row>
    <row r="7" spans="1:7" x14ac:dyDescent="0.25">
      <c r="A7">
        <v>6</v>
      </c>
      <c r="B7" t="s">
        <v>41</v>
      </c>
      <c r="C7" t="s">
        <v>36</v>
      </c>
      <c r="D7">
        <v>-1.54083688408</v>
      </c>
      <c r="E7">
        <v>0.17120485389099999</v>
      </c>
      <c r="F7" t="s">
        <v>100</v>
      </c>
      <c r="G7" t="s">
        <v>119</v>
      </c>
    </row>
    <row r="8" spans="1:7" x14ac:dyDescent="0.25">
      <c r="A8">
        <v>7</v>
      </c>
      <c r="B8" t="s">
        <v>42</v>
      </c>
      <c r="C8" t="s">
        <v>36</v>
      </c>
      <c r="D8">
        <v>-1.50533715645</v>
      </c>
      <c r="E8">
        <v>0.108778102305</v>
      </c>
      <c r="F8" t="s">
        <v>100</v>
      </c>
      <c r="G8" t="s">
        <v>132</v>
      </c>
    </row>
    <row r="9" spans="1:7" x14ac:dyDescent="0.25">
      <c r="A9">
        <v>8</v>
      </c>
      <c r="B9" t="s">
        <v>43</v>
      </c>
      <c r="C9" t="s">
        <v>36</v>
      </c>
      <c r="D9">
        <v>-2.6342137133099999</v>
      </c>
      <c r="E9">
        <v>0.162199862</v>
      </c>
      <c r="F9" t="s">
        <v>100</v>
      </c>
      <c r="G9" t="s">
        <v>138</v>
      </c>
    </row>
    <row r="10" spans="1:7" x14ac:dyDescent="0.25">
      <c r="A10">
        <v>9</v>
      </c>
      <c r="B10" t="s">
        <v>44</v>
      </c>
      <c r="C10" t="s">
        <v>36</v>
      </c>
      <c r="D10">
        <v>-3.1293105723300001</v>
      </c>
      <c r="E10">
        <v>0.68731231591800002</v>
      </c>
      <c r="F10" t="s">
        <v>101</v>
      </c>
      <c r="G10" t="s">
        <v>118</v>
      </c>
    </row>
    <row r="11" spans="1:7" x14ac:dyDescent="0.25">
      <c r="A11">
        <v>10</v>
      </c>
      <c r="B11" t="s">
        <v>45</v>
      </c>
      <c r="C11" t="s">
        <v>36</v>
      </c>
      <c r="D11">
        <v>-1.2916609235900001</v>
      </c>
      <c r="E11">
        <v>0.26131690816499997</v>
      </c>
      <c r="F11" t="s">
        <v>101</v>
      </c>
      <c r="G11" t="s">
        <v>119</v>
      </c>
    </row>
    <row r="12" spans="1:7" x14ac:dyDescent="0.25">
      <c r="A12">
        <v>11</v>
      </c>
      <c r="B12" t="s">
        <v>46</v>
      </c>
      <c r="C12" t="s">
        <v>36</v>
      </c>
      <c r="D12">
        <v>-0.36600413520000002</v>
      </c>
      <c r="E12">
        <v>0.204749856644</v>
      </c>
      <c r="F12" t="s">
        <v>101</v>
      </c>
      <c r="G12" t="s">
        <v>127</v>
      </c>
    </row>
    <row r="13" spans="1:7" x14ac:dyDescent="0.25">
      <c r="A13">
        <v>12</v>
      </c>
      <c r="B13" t="s">
        <v>47</v>
      </c>
      <c r="C13" t="s">
        <v>36</v>
      </c>
      <c r="D13">
        <v>-0.96396736597999999</v>
      </c>
      <c r="E13">
        <v>0.203518529877</v>
      </c>
      <c r="F13" t="s">
        <v>101</v>
      </c>
      <c r="G13" t="s">
        <v>138</v>
      </c>
    </row>
    <row r="14" spans="1:7" x14ac:dyDescent="0.25">
      <c r="A14">
        <v>13</v>
      </c>
      <c r="B14" t="s">
        <v>48</v>
      </c>
      <c r="C14" t="s">
        <v>36</v>
      </c>
      <c r="D14">
        <v>-4.3599306108100002</v>
      </c>
      <c r="E14">
        <v>1.2200761253100001</v>
      </c>
      <c r="F14" t="s">
        <v>102</v>
      </c>
      <c r="G14" t="s">
        <v>118</v>
      </c>
    </row>
    <row r="15" spans="1:7" x14ac:dyDescent="0.25">
      <c r="A15">
        <v>14</v>
      </c>
      <c r="B15" t="s">
        <v>49</v>
      </c>
      <c r="C15" t="s">
        <v>36</v>
      </c>
      <c r="D15">
        <v>-1.1985630522499999</v>
      </c>
      <c r="E15">
        <v>0.39337121020799998</v>
      </c>
      <c r="F15" t="s">
        <v>102</v>
      </c>
      <c r="G15" t="s">
        <v>119</v>
      </c>
    </row>
    <row r="16" spans="1:7" x14ac:dyDescent="0.25">
      <c r="A16">
        <v>15</v>
      </c>
      <c r="B16" t="s">
        <v>50</v>
      </c>
      <c r="C16" t="s">
        <v>36</v>
      </c>
      <c r="D16">
        <v>-1.15121947805</v>
      </c>
      <c r="E16">
        <v>0.30214458233000002</v>
      </c>
      <c r="F16" t="s">
        <v>102</v>
      </c>
      <c r="G16" t="s">
        <v>127</v>
      </c>
    </row>
    <row r="17" spans="1:15" x14ac:dyDescent="0.25">
      <c r="A17">
        <v>16</v>
      </c>
      <c r="B17" t="s">
        <v>51</v>
      </c>
      <c r="C17" t="s">
        <v>36</v>
      </c>
      <c r="D17">
        <v>-1.4377901695099999</v>
      </c>
      <c r="E17">
        <v>0.30270627538400002</v>
      </c>
      <c r="F17" t="s">
        <v>102</v>
      </c>
      <c r="G17" t="s">
        <v>132</v>
      </c>
    </row>
    <row r="18" spans="1:15" s="87" customFormat="1" x14ac:dyDescent="0.25">
      <c r="A18" s="87">
        <v>18</v>
      </c>
      <c r="B18" s="87" t="s">
        <v>52</v>
      </c>
      <c r="C18" s="87" t="s">
        <v>36</v>
      </c>
      <c r="D18" s="87">
        <v>0.39953921787000002</v>
      </c>
      <c r="E18" s="87">
        <v>0.124608088395</v>
      </c>
      <c r="F18" s="87" t="s">
        <v>103</v>
      </c>
      <c r="G18" s="87" t="s">
        <v>118</v>
      </c>
      <c r="H18" s="87" t="s">
        <v>119</v>
      </c>
      <c r="I18" s="87" t="s">
        <v>120</v>
      </c>
      <c r="J18" s="87" t="s">
        <v>127</v>
      </c>
      <c r="K18" s="87" t="s">
        <v>126</v>
      </c>
      <c r="L18" s="87" t="s">
        <v>132</v>
      </c>
      <c r="M18" s="87" t="s">
        <v>131</v>
      </c>
      <c r="N18" s="87" t="s">
        <v>138</v>
      </c>
      <c r="O18" s="87" t="s">
        <v>137</v>
      </c>
    </row>
    <row r="19" spans="1:15" x14ac:dyDescent="0.25">
      <c r="A19" s="88">
        <v>19</v>
      </c>
      <c r="B19" s="88" t="s">
        <v>53</v>
      </c>
      <c r="C19" s="88" t="s">
        <v>36</v>
      </c>
      <c r="D19" s="88">
        <v>0.69903044631199995</v>
      </c>
      <c r="E19" s="88">
        <v>0.40297798012199998</v>
      </c>
      <c r="F19" s="88" t="s">
        <v>104</v>
      </c>
      <c r="G19" s="88" t="s">
        <v>118</v>
      </c>
      <c r="H19" s="88"/>
      <c r="I19" s="88"/>
      <c r="J19" s="88"/>
      <c r="K19" s="88"/>
      <c r="L19" s="88"/>
      <c r="M19" s="88"/>
    </row>
    <row r="20" spans="1:15" x14ac:dyDescent="0.25">
      <c r="A20">
        <v>20</v>
      </c>
      <c r="B20" t="s">
        <v>54</v>
      </c>
      <c r="C20" t="s">
        <v>36</v>
      </c>
      <c r="D20">
        <v>0.32485446959800002</v>
      </c>
      <c r="E20">
        <v>0.204037451392</v>
      </c>
      <c r="F20" t="s">
        <v>104</v>
      </c>
      <c r="G20" t="s">
        <v>119</v>
      </c>
    </row>
    <row r="21" spans="1:15" x14ac:dyDescent="0.25">
      <c r="A21">
        <v>22</v>
      </c>
      <c r="B21" t="s">
        <v>55</v>
      </c>
      <c r="C21" t="s">
        <v>36</v>
      </c>
      <c r="D21">
        <v>-0.43856128772000003</v>
      </c>
      <c r="E21">
        <v>0.318213047774</v>
      </c>
      <c r="F21" t="s">
        <v>104</v>
      </c>
      <c r="G21" t="s">
        <v>138</v>
      </c>
    </row>
    <row r="22" spans="1:15" x14ac:dyDescent="0.25">
      <c r="A22">
        <v>24</v>
      </c>
      <c r="B22" t="s">
        <v>56</v>
      </c>
      <c r="C22" t="s">
        <v>36</v>
      </c>
      <c r="D22">
        <v>0.239019734309</v>
      </c>
      <c r="E22">
        <v>0.118684885778</v>
      </c>
      <c r="F22" t="s">
        <v>121</v>
      </c>
      <c r="G22" t="s">
        <v>119</v>
      </c>
    </row>
    <row r="23" spans="1:15" x14ac:dyDescent="0.25">
      <c r="A23">
        <v>25</v>
      </c>
      <c r="B23" t="s">
        <v>57</v>
      </c>
      <c r="C23" t="s">
        <v>36</v>
      </c>
      <c r="D23">
        <v>-0.30115653367700002</v>
      </c>
      <c r="E23">
        <v>0.15726577946500001</v>
      </c>
      <c r="F23" t="s">
        <v>121</v>
      </c>
      <c r="G23" t="s">
        <v>132</v>
      </c>
    </row>
    <row r="24" spans="1:15" x14ac:dyDescent="0.25">
      <c r="A24">
        <v>26</v>
      </c>
      <c r="B24" t="s">
        <v>58</v>
      </c>
      <c r="C24" t="s">
        <v>36</v>
      </c>
      <c r="D24">
        <v>-0.56373515910799998</v>
      </c>
      <c r="E24">
        <v>0.25328633007399998</v>
      </c>
      <c r="F24" t="s">
        <v>121</v>
      </c>
      <c r="G24" t="s">
        <v>138</v>
      </c>
    </row>
    <row r="25" spans="1:15" x14ac:dyDescent="0.25">
      <c r="A25">
        <v>28</v>
      </c>
      <c r="B25" t="s">
        <v>59</v>
      </c>
      <c r="C25" t="s">
        <v>36</v>
      </c>
      <c r="D25">
        <v>0.31959884056900001</v>
      </c>
      <c r="E25">
        <v>0.22861927141800001</v>
      </c>
      <c r="F25" t="s">
        <v>122</v>
      </c>
      <c r="G25" t="s">
        <v>119</v>
      </c>
    </row>
    <row r="26" spans="1:15" x14ac:dyDescent="0.25">
      <c r="A26">
        <v>29</v>
      </c>
      <c r="B26" t="s">
        <v>60</v>
      </c>
      <c r="C26" t="s">
        <v>36</v>
      </c>
      <c r="D26">
        <v>0.57068696704599997</v>
      </c>
      <c r="E26">
        <v>0.28285417099100002</v>
      </c>
      <c r="F26" t="s">
        <v>122</v>
      </c>
      <c r="G26" t="s">
        <v>132</v>
      </c>
    </row>
    <row r="27" spans="1:15" x14ac:dyDescent="0.25">
      <c r="A27">
        <v>31</v>
      </c>
      <c r="B27" t="s">
        <v>61</v>
      </c>
      <c r="C27" t="s">
        <v>36</v>
      </c>
      <c r="D27">
        <v>2.9250059989500001</v>
      </c>
      <c r="E27">
        <v>1.2854634766599999</v>
      </c>
      <c r="F27" t="s">
        <v>105</v>
      </c>
      <c r="G27" t="s">
        <v>118</v>
      </c>
    </row>
    <row r="28" spans="1:15" x14ac:dyDescent="0.25">
      <c r="A28">
        <v>32</v>
      </c>
      <c r="B28" t="s">
        <v>62</v>
      </c>
      <c r="C28" t="s">
        <v>36</v>
      </c>
      <c r="D28">
        <v>1.2969669216299999</v>
      </c>
      <c r="E28">
        <v>0.553290083268</v>
      </c>
      <c r="F28" t="s">
        <v>105</v>
      </c>
      <c r="G28" t="s">
        <v>119</v>
      </c>
    </row>
    <row r="29" spans="1:15" x14ac:dyDescent="0.25">
      <c r="A29">
        <v>34</v>
      </c>
      <c r="B29" t="s">
        <v>63</v>
      </c>
      <c r="C29" t="s">
        <v>36</v>
      </c>
      <c r="D29">
        <v>-2.59112200624</v>
      </c>
      <c r="E29">
        <v>0.67748006502500002</v>
      </c>
      <c r="F29" t="s">
        <v>105</v>
      </c>
      <c r="G29" t="s">
        <v>138</v>
      </c>
    </row>
    <row r="30" spans="1:15" x14ac:dyDescent="0.25">
      <c r="A30">
        <v>35</v>
      </c>
      <c r="B30" t="s">
        <v>64</v>
      </c>
      <c r="C30" t="s">
        <v>36</v>
      </c>
      <c r="D30">
        <v>-1.0636437007299999</v>
      </c>
      <c r="E30">
        <v>0.67287579243399998</v>
      </c>
      <c r="F30" t="s">
        <v>106</v>
      </c>
      <c r="G30" t="s">
        <v>118</v>
      </c>
    </row>
    <row r="31" spans="1:15" x14ac:dyDescent="0.25">
      <c r="A31">
        <v>36</v>
      </c>
      <c r="B31" t="s">
        <v>65</v>
      </c>
      <c r="C31" t="s">
        <v>36</v>
      </c>
      <c r="D31">
        <v>-0.53660640919000002</v>
      </c>
      <c r="E31">
        <v>0.28655587340499999</v>
      </c>
      <c r="F31" t="s">
        <v>106</v>
      </c>
      <c r="G31" t="s">
        <v>119</v>
      </c>
    </row>
    <row r="32" spans="1:15" x14ac:dyDescent="0.25">
      <c r="A32">
        <v>37</v>
      </c>
      <c r="B32" t="s">
        <v>66</v>
      </c>
      <c r="C32" t="s">
        <v>36</v>
      </c>
      <c r="D32">
        <v>0.28589368992800002</v>
      </c>
      <c r="E32">
        <v>0.26930228656600003</v>
      </c>
      <c r="F32" t="s">
        <v>106</v>
      </c>
      <c r="G32" t="s">
        <v>132</v>
      </c>
    </row>
    <row r="33" spans="1:7" x14ac:dyDescent="0.25">
      <c r="A33">
        <v>38</v>
      </c>
      <c r="B33" t="s">
        <v>67</v>
      </c>
      <c r="C33" t="s">
        <v>36</v>
      </c>
      <c r="D33">
        <v>0.64783551265499995</v>
      </c>
      <c r="E33">
        <v>0.37530750296900001</v>
      </c>
      <c r="F33" t="s">
        <v>106</v>
      </c>
      <c r="G33" t="s">
        <v>138</v>
      </c>
    </row>
    <row r="34" spans="1:7" x14ac:dyDescent="0.25">
      <c r="A34">
        <v>41</v>
      </c>
      <c r="B34" t="s">
        <v>68</v>
      </c>
      <c r="C34" t="s">
        <v>36</v>
      </c>
      <c r="D34">
        <v>-0.47288768158</v>
      </c>
      <c r="E34">
        <v>0.28996962859499997</v>
      </c>
      <c r="F34" t="s">
        <v>133</v>
      </c>
      <c r="G34" t="s">
        <v>132</v>
      </c>
    </row>
    <row r="35" spans="1:7" x14ac:dyDescent="0.25">
      <c r="A35">
        <v>42</v>
      </c>
      <c r="B35" t="s">
        <v>69</v>
      </c>
      <c r="C35" t="s">
        <v>36</v>
      </c>
      <c r="D35">
        <v>-1.73045435445</v>
      </c>
      <c r="E35">
        <v>0.60204136834499999</v>
      </c>
      <c r="F35" t="s">
        <v>133</v>
      </c>
      <c r="G35" t="s">
        <v>138</v>
      </c>
    </row>
    <row r="36" spans="1:7" x14ac:dyDescent="0.25">
      <c r="A36">
        <v>43</v>
      </c>
      <c r="B36" t="s">
        <v>70</v>
      </c>
      <c r="C36" t="s">
        <v>36</v>
      </c>
      <c r="D36">
        <v>2.0718120356499998</v>
      </c>
      <c r="E36">
        <v>0.25112785750200001</v>
      </c>
      <c r="F36" t="s">
        <v>107</v>
      </c>
      <c r="G36" t="s">
        <v>118</v>
      </c>
    </row>
    <row r="37" spans="1:7" x14ac:dyDescent="0.25">
      <c r="A37">
        <v>44</v>
      </c>
      <c r="B37" t="s">
        <v>71</v>
      </c>
      <c r="C37" t="s">
        <v>36</v>
      </c>
      <c r="D37">
        <v>0.60728378971399999</v>
      </c>
      <c r="E37">
        <v>0.181439147627</v>
      </c>
      <c r="F37" t="s">
        <v>107</v>
      </c>
      <c r="G37" t="s">
        <v>119</v>
      </c>
    </row>
    <row r="38" spans="1:7" x14ac:dyDescent="0.25">
      <c r="A38">
        <v>45</v>
      </c>
      <c r="B38" t="s">
        <v>72</v>
      </c>
      <c r="C38" t="s">
        <v>36</v>
      </c>
      <c r="D38">
        <v>-0.71462161389500001</v>
      </c>
      <c r="E38">
        <v>0.32036605145399999</v>
      </c>
      <c r="F38" t="s">
        <v>107</v>
      </c>
      <c r="G38" t="s">
        <v>132</v>
      </c>
    </row>
    <row r="39" spans="1:7" x14ac:dyDescent="0.25">
      <c r="A39">
        <v>46</v>
      </c>
      <c r="B39" t="s">
        <v>73</v>
      </c>
      <c r="C39" t="s">
        <v>36</v>
      </c>
      <c r="D39">
        <v>-1.4356778668800001</v>
      </c>
      <c r="E39">
        <v>0.571538197034</v>
      </c>
      <c r="F39" t="s">
        <v>107</v>
      </c>
      <c r="G39" t="s">
        <v>138</v>
      </c>
    </row>
    <row r="40" spans="1:7" x14ac:dyDescent="0.25">
      <c r="A40">
        <v>47</v>
      </c>
      <c r="B40" t="s">
        <v>74</v>
      </c>
      <c r="C40" t="s">
        <v>36</v>
      </c>
      <c r="D40">
        <v>-1.45349726543</v>
      </c>
      <c r="E40">
        <v>0.40356684826</v>
      </c>
      <c r="F40" t="s">
        <v>108</v>
      </c>
      <c r="G40" t="s">
        <v>118</v>
      </c>
    </row>
    <row r="41" spans="1:7" x14ac:dyDescent="0.25">
      <c r="A41">
        <v>48</v>
      </c>
      <c r="B41" t="s">
        <v>75</v>
      </c>
      <c r="C41" t="s">
        <v>36</v>
      </c>
      <c r="D41">
        <v>-1.0930755785699999</v>
      </c>
      <c r="E41">
        <v>0.126439275741</v>
      </c>
      <c r="F41" t="s">
        <v>108</v>
      </c>
      <c r="G41" t="s">
        <v>119</v>
      </c>
    </row>
    <row r="42" spans="1:7" x14ac:dyDescent="0.25">
      <c r="A42">
        <v>49</v>
      </c>
      <c r="B42" t="s">
        <v>76</v>
      </c>
      <c r="C42" t="s">
        <v>36</v>
      </c>
      <c r="D42">
        <v>0.14078168516299999</v>
      </c>
      <c r="E42">
        <v>0.12041492006899999</v>
      </c>
      <c r="F42" t="s">
        <v>108</v>
      </c>
      <c r="G42" t="s">
        <v>132</v>
      </c>
    </row>
    <row r="43" spans="1:7" x14ac:dyDescent="0.25">
      <c r="A43">
        <v>50</v>
      </c>
      <c r="B43" t="s">
        <v>77</v>
      </c>
      <c r="C43" t="s">
        <v>36</v>
      </c>
      <c r="D43">
        <v>0.188609995585</v>
      </c>
      <c r="E43">
        <v>0.169738586315</v>
      </c>
      <c r="F43" t="s">
        <v>108</v>
      </c>
      <c r="G43" t="s">
        <v>138</v>
      </c>
    </row>
    <row r="44" spans="1:7" x14ac:dyDescent="0.25">
      <c r="A44">
        <v>51</v>
      </c>
      <c r="B44" t="s">
        <v>78</v>
      </c>
      <c r="C44" t="s">
        <v>36</v>
      </c>
      <c r="D44">
        <v>-0.58492078305700002</v>
      </c>
      <c r="E44">
        <v>0.39231975258899998</v>
      </c>
      <c r="F44" t="s">
        <v>109</v>
      </c>
      <c r="G44" t="s">
        <v>118</v>
      </c>
    </row>
    <row r="45" spans="1:7" x14ac:dyDescent="0.25">
      <c r="A45">
        <v>52</v>
      </c>
      <c r="B45" t="s">
        <v>79</v>
      </c>
      <c r="C45" t="s">
        <v>36</v>
      </c>
      <c r="D45">
        <v>-1.0058660612699999</v>
      </c>
      <c r="E45">
        <v>0.1591759079</v>
      </c>
      <c r="F45" t="s">
        <v>109</v>
      </c>
      <c r="G45" t="s">
        <v>119</v>
      </c>
    </row>
    <row r="46" spans="1:7" x14ac:dyDescent="0.25">
      <c r="A46">
        <v>53</v>
      </c>
      <c r="B46" t="s">
        <v>80</v>
      </c>
      <c r="C46" t="s">
        <v>36</v>
      </c>
      <c r="D46">
        <v>0.22559840834</v>
      </c>
      <c r="E46">
        <v>0.13586187288400001</v>
      </c>
      <c r="F46" t="s">
        <v>109</v>
      </c>
      <c r="G46" t="s">
        <v>132</v>
      </c>
    </row>
    <row r="47" spans="1:7" x14ac:dyDescent="0.25">
      <c r="A47">
        <v>54</v>
      </c>
      <c r="B47" t="s">
        <v>81</v>
      </c>
      <c r="C47" t="s">
        <v>36</v>
      </c>
      <c r="D47">
        <v>0.34302043279099997</v>
      </c>
      <c r="E47">
        <v>0.18564049817600001</v>
      </c>
      <c r="F47" t="s">
        <v>109</v>
      </c>
      <c r="G47" t="s">
        <v>138</v>
      </c>
    </row>
    <row r="48" spans="1:7" x14ac:dyDescent="0.25">
      <c r="A48">
        <v>55</v>
      </c>
      <c r="B48" t="s">
        <v>82</v>
      </c>
      <c r="C48" t="s">
        <v>36</v>
      </c>
      <c r="D48">
        <v>-0.53538167154600003</v>
      </c>
      <c r="E48">
        <v>0.46253383393000003</v>
      </c>
      <c r="F48" t="s">
        <v>110</v>
      </c>
      <c r="G48" t="s">
        <v>118</v>
      </c>
    </row>
    <row r="49" spans="1:13" x14ac:dyDescent="0.25">
      <c r="A49">
        <v>56</v>
      </c>
      <c r="B49" t="s">
        <v>83</v>
      </c>
      <c r="C49" t="s">
        <v>36</v>
      </c>
      <c r="D49">
        <v>-0.52697142353899995</v>
      </c>
      <c r="E49">
        <v>0.21878082256199999</v>
      </c>
      <c r="F49" t="s">
        <v>110</v>
      </c>
      <c r="G49" t="s">
        <v>119</v>
      </c>
    </row>
    <row r="50" spans="1:13" x14ac:dyDescent="0.25">
      <c r="A50">
        <v>57</v>
      </c>
      <c r="B50" t="s">
        <v>84</v>
      </c>
      <c r="C50" t="s">
        <v>36</v>
      </c>
      <c r="D50">
        <v>0.21517789340999999</v>
      </c>
      <c r="E50">
        <v>0.24686726698100001</v>
      </c>
      <c r="F50" t="s">
        <v>110</v>
      </c>
      <c r="G50" t="s">
        <v>132</v>
      </c>
    </row>
    <row r="51" spans="1:13" x14ac:dyDescent="0.25">
      <c r="A51">
        <v>58</v>
      </c>
      <c r="B51" t="s">
        <v>85</v>
      </c>
      <c r="C51" t="s">
        <v>36</v>
      </c>
      <c r="D51">
        <v>-0.978212790971</v>
      </c>
      <c r="E51">
        <v>0.55972952825599998</v>
      </c>
      <c r="F51" t="s">
        <v>110</v>
      </c>
      <c r="G51" t="s">
        <v>138</v>
      </c>
    </row>
    <row r="52" spans="1:13" x14ac:dyDescent="0.25">
      <c r="A52">
        <v>59</v>
      </c>
      <c r="B52" t="s">
        <v>86</v>
      </c>
      <c r="C52" t="s">
        <v>36</v>
      </c>
      <c r="D52">
        <v>-0.42495698544999999</v>
      </c>
      <c r="E52" s="86">
        <v>9.3174665093100004E-2</v>
      </c>
      <c r="F52" t="s">
        <v>111</v>
      </c>
      <c r="G52" t="s">
        <v>118</v>
      </c>
    </row>
    <row r="53" spans="1:13" s="87" customFormat="1" x14ac:dyDescent="0.25">
      <c r="A53" s="87">
        <v>60</v>
      </c>
      <c r="B53" s="87" t="s">
        <v>87</v>
      </c>
      <c r="C53" s="87" t="s">
        <v>36</v>
      </c>
      <c r="D53" s="87">
        <v>-0.11124462416</v>
      </c>
      <c r="E53" s="89">
        <v>1.9324554676499999E-2</v>
      </c>
      <c r="F53" s="87" t="s">
        <v>123</v>
      </c>
      <c r="G53" s="87" t="s">
        <v>119</v>
      </c>
      <c r="H53" s="87" t="s">
        <v>127</v>
      </c>
      <c r="I53" s="87" t="s">
        <v>128</v>
      </c>
      <c r="J53" s="87" t="s">
        <v>132</v>
      </c>
      <c r="K53" s="87" t="s">
        <v>134</v>
      </c>
      <c r="L53" s="87" t="s">
        <v>138</v>
      </c>
      <c r="M53" s="87" t="s">
        <v>139</v>
      </c>
    </row>
    <row r="54" spans="1:13" x14ac:dyDescent="0.25">
      <c r="A54">
        <v>63</v>
      </c>
      <c r="B54" t="s">
        <v>88</v>
      </c>
      <c r="C54" t="s">
        <v>36</v>
      </c>
      <c r="D54">
        <v>-1.2627495896200001</v>
      </c>
      <c r="E54">
        <v>1.15568726918</v>
      </c>
      <c r="F54" t="s">
        <v>112</v>
      </c>
      <c r="G54" t="s">
        <v>118</v>
      </c>
    </row>
    <row r="55" spans="1:13" x14ac:dyDescent="0.25">
      <c r="A55">
        <v>69</v>
      </c>
      <c r="B55" t="s">
        <v>89</v>
      </c>
      <c r="C55" t="s">
        <v>36</v>
      </c>
      <c r="D55">
        <v>-0.182881856812</v>
      </c>
      <c r="E55" s="86">
        <v>9.1832192679999994E-2</v>
      </c>
      <c r="F55" t="s">
        <v>113</v>
      </c>
      <c r="G55" t="s">
        <v>118</v>
      </c>
    </row>
    <row r="56" spans="1:13" s="87" customFormat="1" x14ac:dyDescent="0.25">
      <c r="A56" s="87">
        <v>72</v>
      </c>
      <c r="B56" s="87" t="s">
        <v>90</v>
      </c>
      <c r="C56" s="87" t="s">
        <v>36</v>
      </c>
      <c r="D56" s="87">
        <v>0.14811075420100001</v>
      </c>
      <c r="E56" s="89">
        <v>5.9982749063499999E-2</v>
      </c>
      <c r="F56" s="87" t="s">
        <v>124</v>
      </c>
      <c r="G56" s="87" t="s">
        <v>119</v>
      </c>
      <c r="H56" s="87" t="s">
        <v>127</v>
      </c>
      <c r="I56" s="87" t="s">
        <v>129</v>
      </c>
      <c r="J56" s="87" t="s">
        <v>132</v>
      </c>
      <c r="K56" s="87" t="s">
        <v>135</v>
      </c>
      <c r="L56" s="87" t="s">
        <v>138</v>
      </c>
      <c r="M56" s="87" t="s">
        <v>140</v>
      </c>
    </row>
    <row r="57" spans="1:13" x14ac:dyDescent="0.25">
      <c r="A57">
        <v>73</v>
      </c>
      <c r="B57" t="s">
        <v>91</v>
      </c>
      <c r="C57" t="s">
        <v>36</v>
      </c>
      <c r="D57" s="86">
        <v>7.1458236224400005E-4</v>
      </c>
      <c r="E57" s="86">
        <v>1.9087285637099999E-4</v>
      </c>
      <c r="F57" t="s">
        <v>114</v>
      </c>
      <c r="G57" t="s">
        <v>118</v>
      </c>
    </row>
    <row r="58" spans="1:13" x14ac:dyDescent="0.25">
      <c r="A58">
        <v>75</v>
      </c>
      <c r="B58" t="s">
        <v>92</v>
      </c>
      <c r="C58" t="s">
        <v>36</v>
      </c>
      <c r="D58">
        <v>0.29597958689600001</v>
      </c>
      <c r="E58" s="86">
        <v>7.8942367252999995E-2</v>
      </c>
      <c r="F58" t="s">
        <v>115</v>
      </c>
      <c r="G58" t="s">
        <v>118</v>
      </c>
    </row>
    <row r="59" spans="1:13" s="87" customFormat="1" x14ac:dyDescent="0.25">
      <c r="A59" s="87">
        <v>76</v>
      </c>
      <c r="B59" s="87" t="s">
        <v>93</v>
      </c>
      <c r="C59" s="87" t="s">
        <v>36</v>
      </c>
      <c r="D59" s="87">
        <v>0.19796492273399999</v>
      </c>
      <c r="E59" s="89">
        <v>3.4156307751499998E-2</v>
      </c>
      <c r="F59" s="87" t="s">
        <v>125</v>
      </c>
      <c r="G59" s="87" t="s">
        <v>119</v>
      </c>
      <c r="H59" s="87" t="s">
        <v>127</v>
      </c>
      <c r="I59" s="87" t="s">
        <v>130</v>
      </c>
      <c r="J59" s="87" t="s">
        <v>132</v>
      </c>
      <c r="K59" s="87" t="s">
        <v>136</v>
      </c>
      <c r="L59" s="87" t="s">
        <v>138</v>
      </c>
      <c r="M59" s="87" t="s">
        <v>141</v>
      </c>
    </row>
    <row r="60" spans="1:13" x14ac:dyDescent="0.25">
      <c r="A60">
        <v>77</v>
      </c>
      <c r="B60" t="s">
        <v>94</v>
      </c>
      <c r="C60" t="s">
        <v>36</v>
      </c>
      <c r="D60">
        <v>0.27817460170199998</v>
      </c>
      <c r="E60">
        <v>0.17839332841300001</v>
      </c>
      <c r="F60" t="s">
        <v>117</v>
      </c>
      <c r="G60" t="s">
        <v>118</v>
      </c>
    </row>
    <row r="61" spans="1:13" x14ac:dyDescent="0.25">
      <c r="A61">
        <v>83</v>
      </c>
      <c r="B61" t="s">
        <v>95</v>
      </c>
      <c r="C61" t="s">
        <v>36</v>
      </c>
      <c r="D61">
        <v>-0.77256225305799997</v>
      </c>
      <c r="E61">
        <v>0.454505526996</v>
      </c>
      <c r="F61" t="s">
        <v>116</v>
      </c>
      <c r="G61" t="s">
        <v>118</v>
      </c>
    </row>
  </sheetData>
  <sortState ref="A2:O61">
    <sortCondition ref="A2:A6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92" t="s">
        <v>165</v>
      </c>
    </row>
    <row r="2" spans="1:10" x14ac:dyDescent="0.25">
      <c r="A2">
        <v>1</v>
      </c>
      <c r="B2" t="s">
        <v>166</v>
      </c>
    </row>
    <row r="3" spans="1:10" x14ac:dyDescent="0.25">
      <c r="A3">
        <v>2</v>
      </c>
      <c r="B3" t="s">
        <v>167</v>
      </c>
    </row>
    <row r="4" spans="1:10" x14ac:dyDescent="0.25">
      <c r="A4">
        <v>3</v>
      </c>
      <c r="B4" t="s">
        <v>168</v>
      </c>
    </row>
    <row r="5" spans="1:10" x14ac:dyDescent="0.25">
      <c r="A5">
        <v>4</v>
      </c>
      <c r="B5" t="s">
        <v>169</v>
      </c>
    </row>
    <row r="8" spans="1:10" x14ac:dyDescent="0.25">
      <c r="A8" t="s">
        <v>154</v>
      </c>
      <c r="B8" t="s">
        <v>155</v>
      </c>
      <c r="C8" t="s">
        <v>156</v>
      </c>
    </row>
    <row r="9" spans="1:10" x14ac:dyDescent="0.25">
      <c r="A9" t="s">
        <v>157</v>
      </c>
      <c r="B9" t="s">
        <v>158</v>
      </c>
      <c r="C9" t="s">
        <v>159</v>
      </c>
      <c r="D9" t="s">
        <v>160</v>
      </c>
      <c r="E9">
        <v>4</v>
      </c>
      <c r="F9" s="95">
        <v>0.46995370370370365</v>
      </c>
      <c r="G9" t="s">
        <v>161</v>
      </c>
      <c r="H9">
        <v>3</v>
      </c>
      <c r="I9" t="s">
        <v>162</v>
      </c>
      <c r="J9">
        <v>12</v>
      </c>
    </row>
    <row r="10" spans="1:10" x14ac:dyDescent="0.25">
      <c r="A10" t="s">
        <v>163</v>
      </c>
    </row>
    <row r="11" spans="1:10" x14ac:dyDescent="0.25">
      <c r="B11">
        <v>1</v>
      </c>
      <c r="C11" t="s">
        <v>35</v>
      </c>
      <c r="D11" t="s">
        <v>36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37</v>
      </c>
      <c r="D12" t="s">
        <v>36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38</v>
      </c>
      <c r="D13" t="s">
        <v>36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39</v>
      </c>
      <c r="D14" t="s">
        <v>36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40</v>
      </c>
      <c r="D15" t="s">
        <v>36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41</v>
      </c>
      <c r="D16" t="s">
        <v>36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42</v>
      </c>
      <c r="D17" t="s">
        <v>36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43</v>
      </c>
      <c r="D18" t="s">
        <v>36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44</v>
      </c>
      <c r="D19" t="s">
        <v>36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45</v>
      </c>
      <c r="D20" t="s">
        <v>36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46</v>
      </c>
      <c r="D21" t="s">
        <v>36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47</v>
      </c>
      <c r="D22" t="s">
        <v>36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48</v>
      </c>
      <c r="D23" t="s">
        <v>36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49</v>
      </c>
      <c r="D24" t="s">
        <v>36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50</v>
      </c>
      <c r="D25" t="s">
        <v>36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51</v>
      </c>
      <c r="D26" t="s">
        <v>36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52</v>
      </c>
      <c r="D27" t="s">
        <v>36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53</v>
      </c>
      <c r="D28" t="s">
        <v>36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54</v>
      </c>
      <c r="D29" t="s">
        <v>36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55</v>
      </c>
      <c r="D30" t="s">
        <v>36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56</v>
      </c>
      <c r="D31" t="s">
        <v>36</v>
      </c>
      <c r="E31">
        <v>0.239019734309</v>
      </c>
      <c r="F31">
        <v>0.118684885778</v>
      </c>
    </row>
    <row r="32" spans="2:6" x14ac:dyDescent="0.25">
      <c r="B32">
        <v>25</v>
      </c>
      <c r="C32" t="s">
        <v>57</v>
      </c>
      <c r="D32" t="s">
        <v>36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58</v>
      </c>
      <c r="D33" t="s">
        <v>36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59</v>
      </c>
      <c r="D34" t="s">
        <v>36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60</v>
      </c>
      <c r="D35" t="s">
        <v>36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61</v>
      </c>
      <c r="D36" t="s">
        <v>36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62</v>
      </c>
      <c r="D37" t="s">
        <v>36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63</v>
      </c>
      <c r="D38" t="s">
        <v>36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64</v>
      </c>
      <c r="D39" t="s">
        <v>36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65</v>
      </c>
      <c r="D40" t="s">
        <v>36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66</v>
      </c>
      <c r="D41" t="s">
        <v>36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67</v>
      </c>
      <c r="D42" t="s">
        <v>36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68</v>
      </c>
      <c r="D43" t="s">
        <v>36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69</v>
      </c>
      <c r="D44" t="s">
        <v>36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70</v>
      </c>
      <c r="D45" t="s">
        <v>36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71</v>
      </c>
      <c r="D46" t="s">
        <v>36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72</v>
      </c>
      <c r="D47" t="s">
        <v>36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73</v>
      </c>
      <c r="D48" t="s">
        <v>36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74</v>
      </c>
      <c r="D49" t="s">
        <v>36</v>
      </c>
      <c r="E49">
        <v>-1.45349726543</v>
      </c>
      <c r="F49">
        <v>0.40356684826</v>
      </c>
    </row>
    <row r="50" spans="2:6" x14ac:dyDescent="0.25">
      <c r="B50">
        <v>48</v>
      </c>
      <c r="C50" t="s">
        <v>75</v>
      </c>
      <c r="D50" t="s">
        <v>36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76</v>
      </c>
      <c r="D51" t="s">
        <v>36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77</v>
      </c>
      <c r="D52" t="s">
        <v>36</v>
      </c>
      <c r="E52">
        <v>0.188609995585</v>
      </c>
      <c r="F52">
        <v>0.169738586315</v>
      </c>
    </row>
    <row r="53" spans="2:6" x14ac:dyDescent="0.25">
      <c r="B53">
        <v>51</v>
      </c>
      <c r="C53" t="s">
        <v>78</v>
      </c>
      <c r="D53" t="s">
        <v>36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79</v>
      </c>
      <c r="D54" t="s">
        <v>36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80</v>
      </c>
      <c r="D55" t="s">
        <v>36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81</v>
      </c>
      <c r="D56" t="s">
        <v>36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82</v>
      </c>
      <c r="D57" t="s">
        <v>36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83</v>
      </c>
      <c r="D58" t="s">
        <v>36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84</v>
      </c>
      <c r="D59" t="s">
        <v>36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85</v>
      </c>
      <c r="D60" t="s">
        <v>36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86</v>
      </c>
      <c r="D61" t="s">
        <v>36</v>
      </c>
      <c r="E61">
        <v>-0.42495698544999999</v>
      </c>
      <c r="F61" s="86">
        <v>9.3174665093100004E-2</v>
      </c>
    </row>
    <row r="62" spans="2:6" x14ac:dyDescent="0.25">
      <c r="B62">
        <v>60</v>
      </c>
      <c r="C62" t="s">
        <v>87</v>
      </c>
      <c r="D62" t="s">
        <v>36</v>
      </c>
      <c r="E62">
        <v>-0.11124462416</v>
      </c>
      <c r="F62" s="86">
        <v>1.9324554676499999E-2</v>
      </c>
    </row>
    <row r="63" spans="2:6" x14ac:dyDescent="0.25">
      <c r="B63">
        <v>63</v>
      </c>
      <c r="C63" t="s">
        <v>88</v>
      </c>
      <c r="D63" t="s">
        <v>36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89</v>
      </c>
      <c r="D64" t="s">
        <v>36</v>
      </c>
      <c r="E64">
        <v>-0.182881856812</v>
      </c>
      <c r="F64" s="86">
        <v>9.1832192679999994E-2</v>
      </c>
    </row>
    <row r="65" spans="2:11" x14ac:dyDescent="0.25">
      <c r="B65">
        <v>72</v>
      </c>
      <c r="C65" t="s">
        <v>90</v>
      </c>
      <c r="D65" t="s">
        <v>36</v>
      </c>
      <c r="E65">
        <v>0.14811075420100001</v>
      </c>
      <c r="F65" s="86">
        <v>5.9982749063499999E-2</v>
      </c>
    </row>
    <row r="66" spans="2:11" x14ac:dyDescent="0.25">
      <c r="B66">
        <v>73</v>
      </c>
      <c r="C66" t="s">
        <v>91</v>
      </c>
      <c r="D66" t="s">
        <v>36</v>
      </c>
      <c r="E66" s="86">
        <v>7.1458236224400005E-4</v>
      </c>
      <c r="F66" s="86">
        <v>1.9087285637099999E-4</v>
      </c>
    </row>
    <row r="67" spans="2:11" x14ac:dyDescent="0.25">
      <c r="B67">
        <v>75</v>
      </c>
      <c r="C67" t="s">
        <v>92</v>
      </c>
      <c r="D67" t="s">
        <v>36</v>
      </c>
      <c r="E67">
        <v>0.29597958689600001</v>
      </c>
      <c r="F67" s="86">
        <v>7.8942367252999995E-2</v>
      </c>
    </row>
    <row r="68" spans="2:11" x14ac:dyDescent="0.25">
      <c r="B68">
        <v>76</v>
      </c>
      <c r="C68" t="s">
        <v>93</v>
      </c>
      <c r="D68" t="s">
        <v>36</v>
      </c>
      <c r="E68">
        <v>0.19796492273399999</v>
      </c>
      <c r="F68" s="86">
        <v>3.4156307751499998E-2</v>
      </c>
    </row>
    <row r="69" spans="2:11" x14ac:dyDescent="0.25">
      <c r="B69">
        <v>77</v>
      </c>
      <c r="C69" t="s">
        <v>94</v>
      </c>
      <c r="D69" t="s">
        <v>36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95</v>
      </c>
      <c r="D70" t="s">
        <v>36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86">
        <v>-5314.5725053400001</v>
      </c>
      <c r="D72" s="86">
        <v>-6344.40425082</v>
      </c>
      <c r="E72" s="86">
        <v>-3915.8071334400001</v>
      </c>
    </row>
    <row r="73" spans="2:11" x14ac:dyDescent="0.25">
      <c r="B73">
        <v>8</v>
      </c>
      <c r="C73" t="s">
        <v>164</v>
      </c>
      <c r="D73" t="s">
        <v>161</v>
      </c>
      <c r="E73">
        <v>3</v>
      </c>
      <c r="F73" t="s">
        <v>162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A62"/>
  <sheetViews>
    <sheetView workbookViewId="0">
      <selection activeCell="D10" sqref="D10"/>
    </sheetView>
  </sheetViews>
  <sheetFormatPr defaultRowHeight="15" x14ac:dyDescent="0.25"/>
  <cols>
    <col min="19" max="19" width="15.42578125" bestFit="1" customWidth="1" collapsed="1"/>
    <col min="20" max="20" width="9.42578125" bestFit="1" customWidth="1" collapsed="1"/>
    <col min="21" max="22" width="14.42578125" bestFit="1" customWidth="1" collapsed="1"/>
    <col min="26" max="27" width="14.42578125" bestFit="1" customWidth="1" collapsed="1"/>
  </cols>
  <sheetData>
    <row r="1" spans="1:27" x14ac:dyDescent="0.25">
      <c r="X1" s="92" t="s">
        <v>172</v>
      </c>
    </row>
    <row r="2" spans="1:27" x14ac:dyDescent="0.25">
      <c r="C2" t="s">
        <v>142</v>
      </c>
      <c r="K2" t="s">
        <v>174</v>
      </c>
      <c r="Z2" t="s">
        <v>170</v>
      </c>
      <c r="AA2" t="s">
        <v>171</v>
      </c>
    </row>
    <row r="3" spans="1:27" x14ac:dyDescent="0.25">
      <c r="A3" s="92" t="s">
        <v>147</v>
      </c>
      <c r="X3" s="96">
        <v>1</v>
      </c>
      <c r="Y3" s="96" t="s">
        <v>35</v>
      </c>
      <c r="Z3" s="100">
        <f>VehAvailCoefficient!E11</f>
        <v>-3.7471395627100001</v>
      </c>
      <c r="AA3" s="99">
        <f>V6</f>
        <v>-3.5593390715983331</v>
      </c>
    </row>
    <row r="4" spans="1:27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96">
        <v>2</v>
      </c>
      <c r="Y4" s="96" t="s">
        <v>37</v>
      </c>
      <c r="Z4" s="100">
        <f>VehAvailCoefficient!E12</f>
        <v>-2.1297115852199999</v>
      </c>
      <c r="AA4" s="99">
        <f t="shared" ref="AA4:AA19" si="0">V7</f>
        <v>-2.0466594392015915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93" t="s">
        <v>149</v>
      </c>
      <c r="R5" s="93" t="s">
        <v>98</v>
      </c>
      <c r="S5" s="93" t="s">
        <v>150</v>
      </c>
      <c r="T5" s="93" t="s">
        <v>151</v>
      </c>
      <c r="U5" s="93" t="s">
        <v>152</v>
      </c>
      <c r="V5" s="93" t="s">
        <v>153</v>
      </c>
      <c r="X5" s="96">
        <v>3</v>
      </c>
      <c r="Y5" s="96" t="s">
        <v>38</v>
      </c>
      <c r="Z5" s="100">
        <f>VehAvailCoefficient!E13</f>
        <v>-3.96633437255</v>
      </c>
      <c r="AA5" s="99">
        <f t="shared" si="0"/>
        <v>-4.1552845907941256</v>
      </c>
    </row>
    <row r="6" spans="1:27" x14ac:dyDescent="0.25">
      <c r="A6" s="3">
        <v>1</v>
      </c>
      <c r="B6" s="4">
        <f>Vehicles_by_HHDrivers!B16</f>
        <v>96850.102675815433</v>
      </c>
      <c r="C6" s="4">
        <f>Vehicles_by_HHDrivers!C16</f>
        <v>315568.03891431075</v>
      </c>
      <c r="D6" s="4">
        <f>Vehicles_by_HHDrivers!D16</f>
        <v>42828.229363367114</v>
      </c>
      <c r="E6" s="4">
        <f>Vehicles_by_HHDrivers!E16</f>
        <v>7422.5582801082228</v>
      </c>
      <c r="F6" s="4">
        <f>Vehicles_by_HHDrivers!F16</f>
        <v>4028.0707663984726</v>
      </c>
      <c r="G6" s="4">
        <f>SUM(B6:F6)</f>
        <v>466697</v>
      </c>
      <c r="I6" s="3">
        <v>1</v>
      </c>
      <c r="J6" s="4">
        <f>Vehicles_by_HHDrivers!R16</f>
        <v>83756</v>
      </c>
      <c r="K6" s="4">
        <f>Vehicles_by_HHDrivers!S16</f>
        <v>328187</v>
      </c>
      <c r="L6" s="4">
        <f>Vehicles_by_HHDrivers!T16</f>
        <v>41128</v>
      </c>
      <c r="M6" s="4">
        <f>Vehicles_by_HHDrivers!U16</f>
        <v>9356</v>
      </c>
      <c r="N6" s="4">
        <f>Vehicles_by_HHDrivers!V16</f>
        <v>4270</v>
      </c>
      <c r="O6" s="4">
        <f>SUM(J6:N6)</f>
        <v>466697</v>
      </c>
      <c r="Q6">
        <v>1</v>
      </c>
      <c r="R6" t="s">
        <v>99</v>
      </c>
      <c r="S6" s="97">
        <f>Z3</f>
        <v>-3.7471395627100001</v>
      </c>
      <c r="T6" s="94">
        <f>B15/J15</f>
        <v>1.1563362944244646</v>
      </c>
      <c r="U6" s="97">
        <f>LN(T6)-LN($T$22)</f>
        <v>0.18780049111166697</v>
      </c>
      <c r="V6" s="97">
        <f>S6+U6</f>
        <v>-3.5593390715983331</v>
      </c>
      <c r="X6" s="96">
        <v>4</v>
      </c>
      <c r="Y6" s="96" t="s">
        <v>39</v>
      </c>
      <c r="Z6" s="100">
        <f>VehAvailCoefficient!E14</f>
        <v>-11.219392631330001</v>
      </c>
      <c r="AA6" s="99">
        <f t="shared" si="0"/>
        <v>-12.019579085694339</v>
      </c>
    </row>
    <row r="7" spans="1:27" x14ac:dyDescent="0.25">
      <c r="A7" s="3">
        <v>2</v>
      </c>
      <c r="B7" s="4">
        <f>Vehicles_by_HHDrivers!B17</f>
        <v>23549.546613865728</v>
      </c>
      <c r="C7" s="4">
        <f>Vehicles_by_HHDrivers!C17</f>
        <v>146196.30772337713</v>
      </c>
      <c r="D7" s="4">
        <f>Vehicles_by_HHDrivers!D17</f>
        <v>408445.10740151251</v>
      </c>
      <c r="E7" s="4">
        <f>Vehicles_by_HHDrivers!E17</f>
        <v>116489.6535718994</v>
      </c>
      <c r="F7" s="4">
        <f>Vehicles_by_HHDrivers!F17</f>
        <v>40943.384689345119</v>
      </c>
      <c r="G7" s="4">
        <f t="shared" ref="G7:G10" si="1">SUM(B7:F7)</f>
        <v>735623.99999999988</v>
      </c>
      <c r="I7" s="3">
        <v>2</v>
      </c>
      <c r="J7" s="4">
        <f>Vehicles_by_HHDrivers!R17</f>
        <v>21674</v>
      </c>
      <c r="K7" s="4">
        <f>Vehicles_by_HHDrivers!S17</f>
        <v>129892</v>
      </c>
      <c r="L7" s="4">
        <f>Vehicles_by_HHDrivers!T17</f>
        <v>421627</v>
      </c>
      <c r="M7" s="4">
        <f>Vehicles_by_HHDrivers!U17</f>
        <v>122085</v>
      </c>
      <c r="N7" s="4">
        <f>Vehicles_by_HHDrivers!V17</f>
        <v>40346</v>
      </c>
      <c r="O7" s="4">
        <f t="shared" ref="O7:O10" si="2">SUM(J7:N7)</f>
        <v>735624</v>
      </c>
      <c r="Q7">
        <v>2</v>
      </c>
      <c r="R7" t="s">
        <v>99</v>
      </c>
      <c r="S7" s="97">
        <f t="shared" ref="S7:S22" si="3">Z4</f>
        <v>-2.1297115852199999</v>
      </c>
      <c r="T7" s="94">
        <f>D15/L15</f>
        <v>1.0413399475629042</v>
      </c>
      <c r="U7" s="97">
        <f t="shared" ref="U7:U22" si="4">LN(T7)-LN($T$22)</f>
        <v>8.3052146018408518E-2</v>
      </c>
      <c r="V7" s="97">
        <f t="shared" ref="V7:V22" si="5">S7+U7</f>
        <v>-2.0466594392015915</v>
      </c>
      <c r="X7" s="96">
        <v>5</v>
      </c>
      <c r="Y7" s="96" t="s">
        <v>40</v>
      </c>
      <c r="Z7" s="100">
        <f>VehAvailCoefficient!E15</f>
        <v>-5.0125223934900003</v>
      </c>
      <c r="AA7" s="99">
        <f t="shared" si="0"/>
        <v>-4.8869853597425292</v>
      </c>
    </row>
    <row r="8" spans="1:27" x14ac:dyDescent="0.25">
      <c r="A8" s="3">
        <v>3</v>
      </c>
      <c r="B8" s="4">
        <f>Vehicles_by_HHDrivers!B18</f>
        <v>4129.2970478839679</v>
      </c>
      <c r="C8" s="4">
        <f>Vehicles_by_HHDrivers!C18</f>
        <v>18331.993242866145</v>
      </c>
      <c r="D8" s="4">
        <f>Vehicles_by_HHDrivers!D18</f>
        <v>70931.396278149259</v>
      </c>
      <c r="E8" s="4">
        <f>Vehicles_by_HHDrivers!E18</f>
        <v>64416.948912219559</v>
      </c>
      <c r="F8" s="4">
        <f>Vehicles_by_HHDrivers!F18</f>
        <v>41304.36451888107</v>
      </c>
      <c r="G8" s="4">
        <f t="shared" si="1"/>
        <v>199114</v>
      </c>
      <c r="I8" s="3">
        <v>3</v>
      </c>
      <c r="J8" s="4">
        <f>Vehicles_by_HHDrivers!R18</f>
        <v>4134</v>
      </c>
      <c r="K8" s="4">
        <f>Vehicles_by_HHDrivers!S18</f>
        <v>17075</v>
      </c>
      <c r="L8" s="4">
        <f>Vehicles_by_HHDrivers!T18</f>
        <v>76594</v>
      </c>
      <c r="M8" s="4">
        <f>Vehicles_by_HHDrivers!U18</f>
        <v>74634</v>
      </c>
      <c r="N8" s="4">
        <f>Vehicles_by_HHDrivers!V18</f>
        <v>26677</v>
      </c>
      <c r="O8" s="4">
        <f t="shared" si="2"/>
        <v>199114</v>
      </c>
      <c r="Q8">
        <v>3</v>
      </c>
      <c r="R8" t="s">
        <v>99</v>
      </c>
      <c r="S8" s="97">
        <f t="shared" si="3"/>
        <v>-3.96633437255</v>
      </c>
      <c r="T8" s="94">
        <f>E15/M15</f>
        <v>0.79334740061011366</v>
      </c>
      <c r="U8" s="97">
        <f t="shared" si="4"/>
        <v>-0.18895021824412531</v>
      </c>
      <c r="V8" s="97">
        <f t="shared" si="5"/>
        <v>-4.1552845907941256</v>
      </c>
      <c r="X8" s="96">
        <v>6</v>
      </c>
      <c r="Y8" s="96" t="s">
        <v>41</v>
      </c>
      <c r="Z8" s="100">
        <f>VehAvailCoefficient!E16</f>
        <v>-1.8563745465099999</v>
      </c>
      <c r="AA8" s="99">
        <f t="shared" si="0"/>
        <v>-1.6955837393917843</v>
      </c>
    </row>
    <row r="9" spans="1:27" x14ac:dyDescent="0.25">
      <c r="A9" s="5" t="s">
        <v>3</v>
      </c>
      <c r="B9" s="4">
        <f>Vehicles_by_HHDrivers!B19</f>
        <v>890.55482809902549</v>
      </c>
      <c r="C9" s="4">
        <f>Vehicles_by_HHDrivers!C19</f>
        <v>3498.5928658871117</v>
      </c>
      <c r="D9" s="4">
        <f>Vehicles_by_HHDrivers!D19</f>
        <v>23949.556034313271</v>
      </c>
      <c r="E9" s="4">
        <f>Vehicles_by_HHDrivers!E19</f>
        <v>40172.885180104015</v>
      </c>
      <c r="F9" s="4">
        <f>Vehicles_by_HHDrivers!F19</f>
        <v>36673.411091596565</v>
      </c>
      <c r="G9" s="6">
        <f t="shared" si="1"/>
        <v>105184.99999999997</v>
      </c>
      <c r="I9" s="5" t="s">
        <v>3</v>
      </c>
      <c r="J9" s="4">
        <f>Vehicles_by_HHDrivers!R19</f>
        <v>507</v>
      </c>
      <c r="K9" s="4">
        <f>Vehicles_by_HHDrivers!S19</f>
        <v>2703</v>
      </c>
      <c r="L9" s="4">
        <f>Vehicles_by_HHDrivers!T19</f>
        <v>27050</v>
      </c>
      <c r="M9" s="4">
        <f>Vehicles_by_HHDrivers!U19</f>
        <v>38409</v>
      </c>
      <c r="N9" s="4">
        <f>Vehicles_by_HHDrivers!V19</f>
        <v>36516</v>
      </c>
      <c r="O9" s="6">
        <f t="shared" si="2"/>
        <v>105185</v>
      </c>
      <c r="Q9">
        <v>4</v>
      </c>
      <c r="R9" t="s">
        <v>99</v>
      </c>
      <c r="S9" s="97">
        <f t="shared" si="3"/>
        <v>-11.219392631330001</v>
      </c>
      <c r="T9" s="94">
        <f>F15/M15</f>
        <v>0.43053342949962303</v>
      </c>
      <c r="U9" s="97">
        <f t="shared" si="4"/>
        <v>-0.80018645436433899</v>
      </c>
      <c r="V9" s="97">
        <f t="shared" si="5"/>
        <v>-12.019579085694339</v>
      </c>
      <c r="X9" s="96">
        <v>7</v>
      </c>
      <c r="Y9" s="96" t="s">
        <v>42</v>
      </c>
      <c r="Z9" s="100">
        <f>VehAvailCoefficient!E17</f>
        <v>-1.3964239432800001</v>
      </c>
      <c r="AA9" s="99">
        <f t="shared" si="0"/>
        <v>-1.4007951571705639</v>
      </c>
    </row>
    <row r="10" spans="1:27" ht="15.75" thickBot="1" x14ac:dyDescent="0.3">
      <c r="A10" s="7" t="s">
        <v>4</v>
      </c>
      <c r="B10" s="8">
        <f>SUM(B6:B9)</f>
        <v>125419.50116566416</v>
      </c>
      <c r="C10" s="8">
        <f t="shared" ref="C10:F10" si="6">SUM(C6:C9)</f>
        <v>483594.9327464411</v>
      </c>
      <c r="D10" s="8">
        <f t="shared" si="6"/>
        <v>546154.28907734214</v>
      </c>
      <c r="E10" s="8">
        <f t="shared" si="6"/>
        <v>228502.04594433121</v>
      </c>
      <c r="F10" s="8">
        <f t="shared" si="6"/>
        <v>122949.23106622123</v>
      </c>
      <c r="G10" s="8">
        <f t="shared" si="1"/>
        <v>1506619.9999999998</v>
      </c>
      <c r="I10" s="7" t="s">
        <v>4</v>
      </c>
      <c r="J10" s="8">
        <f>SUM(J6:J9)</f>
        <v>110071</v>
      </c>
      <c r="K10" s="8">
        <f t="shared" ref="K10:N10" si="7">SUM(K6:K9)</f>
        <v>477857</v>
      </c>
      <c r="L10" s="8">
        <f t="shared" si="7"/>
        <v>566399</v>
      </c>
      <c r="M10" s="8">
        <f t="shared" si="7"/>
        <v>244484</v>
      </c>
      <c r="N10" s="8">
        <f t="shared" si="7"/>
        <v>107809</v>
      </c>
      <c r="O10" s="8">
        <f t="shared" si="2"/>
        <v>1506620</v>
      </c>
      <c r="Q10">
        <v>5</v>
      </c>
      <c r="R10" t="s">
        <v>100</v>
      </c>
      <c r="S10" s="97">
        <f t="shared" si="3"/>
        <v>-5.0125223934900003</v>
      </c>
      <c r="T10" s="94">
        <f>B16/J16</f>
        <v>1.0865344013041307</v>
      </c>
      <c r="U10" s="97">
        <f t="shared" si="4"/>
        <v>0.12553703374747124</v>
      </c>
      <c r="V10" s="97">
        <f t="shared" si="5"/>
        <v>-4.8869853597425292</v>
      </c>
      <c r="X10" s="96">
        <v>8</v>
      </c>
      <c r="Y10" s="96" t="s">
        <v>43</v>
      </c>
      <c r="Z10" s="100">
        <f>VehAvailCoefficient!E18</f>
        <v>-2.3942936803500001</v>
      </c>
      <c r="AA10" s="99">
        <f t="shared" si="0"/>
        <v>-2.3370518353244663</v>
      </c>
    </row>
    <row r="11" spans="1:27" x14ac:dyDescent="0.25">
      <c r="G11" s="4"/>
      <c r="O11" s="4"/>
      <c r="Q11">
        <v>6</v>
      </c>
      <c r="R11" t="s">
        <v>100</v>
      </c>
      <c r="S11" s="97">
        <f t="shared" si="3"/>
        <v>-1.8563745465099999</v>
      </c>
      <c r="T11" s="94">
        <f>C16/K16</f>
        <v>1.1255220315598893</v>
      </c>
      <c r="U11" s="97">
        <f t="shared" si="4"/>
        <v>0.1607908071182157</v>
      </c>
      <c r="V11" s="97">
        <f t="shared" si="5"/>
        <v>-1.6955837393917843</v>
      </c>
      <c r="X11" s="96">
        <v>9</v>
      </c>
      <c r="Y11" s="96" t="s">
        <v>44</v>
      </c>
      <c r="Z11" s="100">
        <f>VehAvailCoefficient!E19</f>
        <v>-4.9201833156500001</v>
      </c>
      <c r="AA11" s="99">
        <f t="shared" si="0"/>
        <v>-4.8787777397105492</v>
      </c>
    </row>
    <row r="12" spans="1:27" x14ac:dyDescent="0.25">
      <c r="A12" s="92" t="s">
        <v>148</v>
      </c>
      <c r="Q12">
        <v>7</v>
      </c>
      <c r="R12" t="s">
        <v>100</v>
      </c>
      <c r="S12" s="97">
        <f t="shared" si="3"/>
        <v>-1.3964239432800001</v>
      </c>
      <c r="T12" s="94">
        <f>E16/M16</f>
        <v>0.95416843651471861</v>
      </c>
      <c r="U12" s="97">
        <f t="shared" si="4"/>
        <v>-4.3712138905638645E-3</v>
      </c>
      <c r="V12" s="97">
        <f t="shared" si="5"/>
        <v>-1.4007951571705639</v>
      </c>
      <c r="X12" s="96">
        <v>10</v>
      </c>
      <c r="Y12" s="96" t="s">
        <v>45</v>
      </c>
      <c r="Z12" s="100">
        <f>VehAvailCoefficient!E20</f>
        <v>-2.29401614977</v>
      </c>
      <c r="AA12" s="99">
        <f t="shared" si="0"/>
        <v>-2.1804399061414674</v>
      </c>
    </row>
    <row r="13" spans="1:27" ht="15.75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100</v>
      </c>
      <c r="S13" s="97">
        <f t="shared" si="3"/>
        <v>-2.3942936803500001</v>
      </c>
      <c r="T13" s="94">
        <f>F16/N16</f>
        <v>1.0148065406569455</v>
      </c>
      <c r="U13" s="97">
        <f t="shared" si="4"/>
        <v>5.7241845025533991E-2</v>
      </c>
      <c r="V13" s="97">
        <f t="shared" si="5"/>
        <v>-2.3370518353244663</v>
      </c>
      <c r="X13" s="96">
        <v>11</v>
      </c>
      <c r="Y13" s="96" t="s">
        <v>46</v>
      </c>
      <c r="Z13" s="100">
        <f>VehAvailCoefficient!E21</f>
        <v>-1.4446352364099999</v>
      </c>
      <c r="AA13" s="99">
        <f t="shared" si="0"/>
        <v>-1.478896969752918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101</v>
      </c>
      <c r="S14" s="97">
        <f t="shared" si="3"/>
        <v>-4.9201833156500001</v>
      </c>
      <c r="T14" s="94">
        <f>B17/J17</f>
        <v>0.99886237249249366</v>
      </c>
      <c r="U14" s="97">
        <f t="shared" si="4"/>
        <v>4.1405575939451357E-2</v>
      </c>
      <c r="V14" s="97">
        <f t="shared" si="5"/>
        <v>-4.8787777397105492</v>
      </c>
      <c r="X14" s="96">
        <v>12</v>
      </c>
      <c r="Y14" s="96" t="s">
        <v>47</v>
      </c>
      <c r="Z14" s="100">
        <f>VehAvailCoefficient!E22</f>
        <v>-0.81535992723999995</v>
      </c>
      <c r="AA14" s="99">
        <f t="shared" si="0"/>
        <v>-0.33564967434402915</v>
      </c>
    </row>
    <row r="15" spans="1:27" x14ac:dyDescent="0.25">
      <c r="A15" s="3">
        <v>1</v>
      </c>
      <c r="B15" s="17">
        <f>B6/$G$10</f>
        <v>6.4283032666376028E-2</v>
      </c>
      <c r="C15" s="17">
        <f t="shared" ref="C15:G15" si="8">C6/$G$10</f>
        <v>0.209454300961298</v>
      </c>
      <c r="D15" s="17">
        <f t="shared" si="8"/>
        <v>2.8426696422035498E-2</v>
      </c>
      <c r="E15" s="17">
        <f t="shared" si="8"/>
        <v>4.9266293292988435E-3</v>
      </c>
      <c r="F15" s="17">
        <f t="shared" si="8"/>
        <v>2.6735811063164391E-3</v>
      </c>
      <c r="G15" s="17">
        <f t="shared" si="8"/>
        <v>0.3097642404853248</v>
      </c>
      <c r="I15" s="3">
        <v>1</v>
      </c>
      <c r="J15" s="17">
        <f>J6/$O$10</f>
        <v>5.5591987362440427E-2</v>
      </c>
      <c r="K15" s="17">
        <f t="shared" ref="K15:O15" si="9">K6/$O$10</f>
        <v>0.21782997703468693</v>
      </c>
      <c r="L15" s="17">
        <f t="shared" si="9"/>
        <v>2.7298190651922846E-2</v>
      </c>
      <c r="M15" s="17">
        <f t="shared" si="9"/>
        <v>6.2099268561415623E-3</v>
      </c>
      <c r="N15" s="17">
        <f t="shared" si="9"/>
        <v>2.8341585801330131E-3</v>
      </c>
      <c r="O15" s="17">
        <f t="shared" si="9"/>
        <v>0.30976424048532475</v>
      </c>
      <c r="Q15">
        <v>10</v>
      </c>
      <c r="R15" t="s">
        <v>101</v>
      </c>
      <c r="S15" s="97">
        <f t="shared" si="3"/>
        <v>-2.29401614977</v>
      </c>
      <c r="T15" s="94">
        <f>C17/K17</f>
        <v>1.0736160025104626</v>
      </c>
      <c r="U15" s="97">
        <f t="shared" si="4"/>
        <v>0.11357624362853237</v>
      </c>
      <c r="V15" s="97">
        <f t="shared" si="5"/>
        <v>-2.1804399061414674</v>
      </c>
      <c r="X15" s="96">
        <v>13</v>
      </c>
      <c r="Y15" s="96" t="s">
        <v>48</v>
      </c>
      <c r="Z15" s="100">
        <f>VehAvailCoefficient!E23</f>
        <v>-5.3216543706600001</v>
      </c>
      <c r="AA15" s="99">
        <f t="shared" si="0"/>
        <v>-4.7157768523647512</v>
      </c>
    </row>
    <row r="16" spans="1:27" x14ac:dyDescent="0.25">
      <c r="A16" s="3">
        <v>2</v>
      </c>
      <c r="B16" s="17">
        <f t="shared" ref="B16:G16" si="10">B7/$G$10</f>
        <v>1.5630714190615902E-2</v>
      </c>
      <c r="C16" s="17">
        <f t="shared" si="10"/>
        <v>9.7035953142383058E-2</v>
      </c>
      <c r="D16" s="17">
        <f t="shared" si="10"/>
        <v>0.27110028235488215</v>
      </c>
      <c r="E16" s="17">
        <f t="shared" si="10"/>
        <v>7.7318536573189933E-2</v>
      </c>
      <c r="F16" s="17">
        <f t="shared" si="10"/>
        <v>2.7175654570724617E-2</v>
      </c>
      <c r="G16" s="17">
        <f t="shared" si="10"/>
        <v>0.48826114083179567</v>
      </c>
      <c r="I16" s="3">
        <v>2</v>
      </c>
      <c r="J16" s="17">
        <f t="shared" ref="J16:O16" si="11">J7/$O$10</f>
        <v>1.4385843809321527E-2</v>
      </c>
      <c r="K16" s="17">
        <f t="shared" si="11"/>
        <v>8.6214174775324906E-2</v>
      </c>
      <c r="L16" s="17">
        <f t="shared" si="11"/>
        <v>0.27984959711141494</v>
      </c>
      <c r="M16" s="17">
        <f t="shared" si="11"/>
        <v>8.10323771090255E-2</v>
      </c>
      <c r="N16" s="17">
        <f t="shared" si="11"/>
        <v>2.6779148026708791E-2</v>
      </c>
      <c r="O16" s="17">
        <f t="shared" si="11"/>
        <v>0.48826114083179567</v>
      </c>
      <c r="Q16">
        <v>11</v>
      </c>
      <c r="R16" t="s">
        <v>101</v>
      </c>
      <c r="S16" s="97">
        <f t="shared" si="3"/>
        <v>-1.4446352364099999</v>
      </c>
      <c r="T16" s="94">
        <f>D17/L17</f>
        <v>0.92606987855640488</v>
      </c>
      <c r="U16" s="97">
        <f t="shared" si="4"/>
        <v>-3.4261733342918002E-2</v>
      </c>
      <c r="V16" s="97">
        <f t="shared" si="5"/>
        <v>-1.478896969752918</v>
      </c>
      <c r="X16" s="96">
        <v>14</v>
      </c>
      <c r="Y16" s="96" t="s">
        <v>49</v>
      </c>
      <c r="Z16" s="100">
        <f>VehAvailCoefficient!E24</f>
        <v>-1.1261276811700001</v>
      </c>
      <c r="AA16" s="99">
        <f t="shared" si="0"/>
        <v>-0.82558524808966183</v>
      </c>
    </row>
    <row r="17" spans="1:27" x14ac:dyDescent="0.25">
      <c r="A17" s="3">
        <v>3</v>
      </c>
      <c r="B17" s="17">
        <f t="shared" ref="B17:G17" si="12">B8/$G$10</f>
        <v>2.740768772407089E-3</v>
      </c>
      <c r="C17" s="17">
        <f t="shared" si="12"/>
        <v>1.216762902581019E-2</v>
      </c>
      <c r="D17" s="17">
        <f t="shared" si="12"/>
        <v>4.7079818586072977E-2</v>
      </c>
      <c r="E17" s="17">
        <f t="shared" si="12"/>
        <v>4.2755936408795561E-2</v>
      </c>
      <c r="F17" s="17">
        <f t="shared" si="12"/>
        <v>2.7415250374268944E-2</v>
      </c>
      <c r="G17" s="17">
        <f t="shared" si="12"/>
        <v>0.13215940316735475</v>
      </c>
      <c r="I17" s="3">
        <v>3</v>
      </c>
      <c r="J17" s="17">
        <f t="shared" ref="J17:O17" si="13">J8/$O$10</f>
        <v>2.7438902974870902E-3</v>
      </c>
      <c r="K17" s="17">
        <f t="shared" si="13"/>
        <v>1.133331563367007E-2</v>
      </c>
      <c r="L17" s="17">
        <f t="shared" si="13"/>
        <v>5.0838300301336764E-2</v>
      </c>
      <c r="M17" s="17">
        <f t="shared" si="13"/>
        <v>4.9537375051439646E-2</v>
      </c>
      <c r="N17" s="17">
        <f t="shared" si="13"/>
        <v>1.7706521883421169E-2</v>
      </c>
      <c r="O17" s="17">
        <f t="shared" si="13"/>
        <v>0.13215940316735475</v>
      </c>
      <c r="Q17">
        <v>12</v>
      </c>
      <c r="R17" t="s">
        <v>101</v>
      </c>
      <c r="S17" s="97">
        <f t="shared" si="3"/>
        <v>-0.81535992723999995</v>
      </c>
      <c r="T17" s="94">
        <f>F17/N17</f>
        <v>1.548313697900104</v>
      </c>
      <c r="U17" s="97">
        <f t="shared" si="4"/>
        <v>0.4797102528959708</v>
      </c>
      <c r="V17" s="97">
        <f t="shared" si="5"/>
        <v>-0.33564967434402915</v>
      </c>
      <c r="X17" s="96">
        <v>15</v>
      </c>
      <c r="Y17" s="96" t="s">
        <v>50</v>
      </c>
      <c r="Z17" s="100">
        <f>VehAvailCoefficient!E25</f>
        <v>-1.6372198765899999</v>
      </c>
      <c r="AA17" s="99">
        <f t="shared" si="0"/>
        <v>-1.716413244350486</v>
      </c>
    </row>
    <row r="18" spans="1:27" x14ac:dyDescent="0.25">
      <c r="A18" s="5" t="s">
        <v>3</v>
      </c>
      <c r="B18" s="18">
        <f t="shared" ref="B18:G18" si="14">B9/$G$10</f>
        <v>5.9109452157745529E-4</v>
      </c>
      <c r="C18" s="18">
        <f t="shared" si="14"/>
        <v>2.3221468358890179E-3</v>
      </c>
      <c r="D18" s="18">
        <f t="shared" si="14"/>
        <v>1.5896215392277598E-2</v>
      </c>
      <c r="E18" s="18">
        <f t="shared" si="14"/>
        <v>2.6664245251028142E-2</v>
      </c>
      <c r="F18" s="18">
        <f t="shared" si="14"/>
        <v>2.4341513514752604E-2</v>
      </c>
      <c r="G18" s="17">
        <f t="shared" si="14"/>
        <v>6.9815215515524803E-2</v>
      </c>
      <c r="I18" s="5" t="s">
        <v>3</v>
      </c>
      <c r="J18" s="17">
        <f t="shared" ref="J18:O18" si="15">J9/$O$10</f>
        <v>3.3651484780502052E-4</v>
      </c>
      <c r="K18" s="17">
        <f t="shared" si="15"/>
        <v>1.7940821175877128E-3</v>
      </c>
      <c r="L18" s="17">
        <f t="shared" si="15"/>
        <v>1.7954095923325059E-2</v>
      </c>
      <c r="M18" s="17">
        <f t="shared" si="15"/>
        <v>2.5493488736376791E-2</v>
      </c>
      <c r="N18" s="17">
        <f t="shared" si="15"/>
        <v>2.4237033890430235E-2</v>
      </c>
      <c r="O18" s="17">
        <f t="shared" si="15"/>
        <v>6.9815215515524817E-2</v>
      </c>
      <c r="Q18">
        <v>13</v>
      </c>
      <c r="R18" t="s">
        <v>102</v>
      </c>
      <c r="S18" s="97">
        <f t="shared" si="3"/>
        <v>-5.3216543706600001</v>
      </c>
      <c r="T18" s="94">
        <f>B18/J18</f>
        <v>1.7565183986174076</v>
      </c>
      <c r="U18" s="97">
        <f t="shared" si="4"/>
        <v>0.60587751829524872</v>
      </c>
      <c r="V18" s="97">
        <f t="shared" si="5"/>
        <v>-4.7157768523647512</v>
      </c>
      <c r="X18" s="96">
        <v>16</v>
      </c>
      <c r="Y18" s="96" t="s">
        <v>51</v>
      </c>
      <c r="Z18" s="100">
        <f>VehAvailCoefficient!E26</f>
        <v>-0.59991414110999997</v>
      </c>
      <c r="AA18" s="99">
        <f t="shared" si="0"/>
        <v>-0.51246982716433798</v>
      </c>
    </row>
    <row r="19" spans="1:27" ht="15.75" thickBot="1" x14ac:dyDescent="0.3">
      <c r="A19" s="7" t="s">
        <v>4</v>
      </c>
      <c r="B19" s="19">
        <f>B10/$G$10</f>
        <v>8.3245610150976479E-2</v>
      </c>
      <c r="C19" s="19">
        <f t="shared" ref="C19:G19" si="16">C10/$G$10</f>
        <v>0.32098002996538022</v>
      </c>
      <c r="D19" s="19">
        <f t="shared" si="16"/>
        <v>0.36250301275526825</v>
      </c>
      <c r="E19" s="19">
        <f t="shared" si="16"/>
        <v>0.15166534756231248</v>
      </c>
      <c r="F19" s="19">
        <f t="shared" si="16"/>
        <v>8.1605999566062612E-2</v>
      </c>
      <c r="G19" s="19">
        <f t="shared" si="16"/>
        <v>1</v>
      </c>
      <c r="I19" s="7" t="s">
        <v>4</v>
      </c>
      <c r="J19" s="19">
        <f>J10/$O$10</f>
        <v>7.3058236317054062E-2</v>
      </c>
      <c r="K19" s="19">
        <f t="shared" ref="K19:N19" si="17">K10/$O$10</f>
        <v>0.31717154956126958</v>
      </c>
      <c r="L19" s="19">
        <f t="shared" si="17"/>
        <v>0.37594018398799961</v>
      </c>
      <c r="M19" s="19">
        <f t="shared" si="17"/>
        <v>0.1622731677529835</v>
      </c>
      <c r="N19" s="19">
        <f t="shared" si="17"/>
        <v>7.1556862380693212E-2</v>
      </c>
      <c r="O19" s="19">
        <f t="shared" ref="O19" si="18">SUM(J19:N19)</f>
        <v>1</v>
      </c>
      <c r="Q19">
        <v>14</v>
      </c>
      <c r="R19" t="s">
        <v>102</v>
      </c>
      <c r="S19" s="97">
        <f t="shared" si="3"/>
        <v>-1.1261276811700001</v>
      </c>
      <c r="T19" s="94">
        <f>C18/K18</f>
        <v>1.2943369833100675</v>
      </c>
      <c r="U19" s="97">
        <f t="shared" si="4"/>
        <v>0.30054243308033823</v>
      </c>
      <c r="V19" s="97">
        <f t="shared" si="5"/>
        <v>-0.82558524808966183</v>
      </c>
      <c r="X19" s="96">
        <v>18</v>
      </c>
      <c r="Y19" s="96" t="s">
        <v>52</v>
      </c>
      <c r="Z19" s="100">
        <f>VehAvailCoefficient!E27</f>
        <v>0.39953921787000002</v>
      </c>
      <c r="AA19" s="99">
        <f t="shared" si="0"/>
        <v>0.39953921787000002</v>
      </c>
    </row>
    <row r="20" spans="1:27" x14ac:dyDescent="0.25">
      <c r="Q20">
        <v>15</v>
      </c>
      <c r="R20" t="s">
        <v>102</v>
      </c>
      <c r="S20" s="97">
        <f t="shared" si="3"/>
        <v>-1.6372198765899999</v>
      </c>
      <c r="T20" s="94">
        <f>D18/L18</f>
        <v>0.88538099942008408</v>
      </c>
      <c r="U20" s="97">
        <f t="shared" si="4"/>
        <v>-7.9193367760486119E-2</v>
      </c>
      <c r="V20" s="97">
        <f t="shared" si="5"/>
        <v>-1.716413244350486</v>
      </c>
      <c r="X20">
        <v>19</v>
      </c>
      <c r="Y20" t="s">
        <v>53</v>
      </c>
      <c r="Z20" s="98">
        <f>VehAvailCoefficient!E28</f>
        <v>0.69903044631199995</v>
      </c>
      <c r="AA20" s="99">
        <v>0.69903044631199995</v>
      </c>
    </row>
    <row r="21" spans="1:27" x14ac:dyDescent="0.25">
      <c r="Q21">
        <v>16</v>
      </c>
      <c r="R21" t="s">
        <v>102</v>
      </c>
      <c r="S21" s="97">
        <f t="shared" si="3"/>
        <v>-0.59991414110999997</v>
      </c>
      <c r="T21" s="94">
        <f>E18/M18</f>
        <v>1.0459237465204514</v>
      </c>
      <c r="U21" s="97">
        <f t="shared" si="4"/>
        <v>8.7444313945662031E-2</v>
      </c>
      <c r="V21" s="97">
        <f t="shared" si="5"/>
        <v>-0.51246982716433798</v>
      </c>
      <c r="X21">
        <v>20</v>
      </c>
      <c r="Y21" t="s">
        <v>54</v>
      </c>
      <c r="Z21" s="98">
        <f>VehAvailCoefficient!E29</f>
        <v>0.32485446959800002</v>
      </c>
      <c r="AA21" s="99">
        <v>0.32485446959800002</v>
      </c>
    </row>
    <row r="22" spans="1:27" ht="15.75" thickBot="1" x14ac:dyDescent="0.3">
      <c r="Q22" s="101">
        <v>18</v>
      </c>
      <c r="R22" s="104" t="s">
        <v>173</v>
      </c>
      <c r="S22" s="102">
        <f t="shared" si="3"/>
        <v>0.39953921787000002</v>
      </c>
      <c r="T22" s="103">
        <f>(C15+D16+E17+F18)/(K15+L16+M17+N18)</f>
        <v>0.95834844002727126</v>
      </c>
      <c r="U22" s="102">
        <f t="shared" si="4"/>
        <v>0</v>
      </c>
      <c r="V22" s="102">
        <f t="shared" si="5"/>
        <v>0.39953921787000002</v>
      </c>
      <c r="X22">
        <v>22</v>
      </c>
      <c r="Y22" t="s">
        <v>55</v>
      </c>
      <c r="Z22" s="98">
        <f>VehAvailCoefficient!E30</f>
        <v>-0.43856128772000003</v>
      </c>
      <c r="AA22" s="99">
        <v>-0.43856128772000003</v>
      </c>
    </row>
    <row r="23" spans="1:27" x14ac:dyDescent="0.25">
      <c r="X23">
        <v>24</v>
      </c>
      <c r="Y23" t="s">
        <v>56</v>
      </c>
      <c r="Z23" s="98">
        <f>VehAvailCoefficient!E31</f>
        <v>0.239019734309</v>
      </c>
      <c r="AA23" s="99">
        <v>0.239019734309</v>
      </c>
    </row>
    <row r="24" spans="1:27" x14ac:dyDescent="0.25">
      <c r="X24">
        <v>25</v>
      </c>
      <c r="Y24" t="s">
        <v>57</v>
      </c>
      <c r="Z24" s="98">
        <f>VehAvailCoefficient!E32</f>
        <v>-0.30115653367700002</v>
      </c>
      <c r="AA24" s="99">
        <v>-0.30115653367700002</v>
      </c>
    </row>
    <row r="25" spans="1:27" x14ac:dyDescent="0.25">
      <c r="X25">
        <v>26</v>
      </c>
      <c r="Y25" t="s">
        <v>58</v>
      </c>
      <c r="Z25" s="98">
        <f>VehAvailCoefficient!E33</f>
        <v>-0.56373515910799998</v>
      </c>
      <c r="AA25" s="99">
        <v>-0.56373515910799998</v>
      </c>
    </row>
    <row r="26" spans="1:27" x14ac:dyDescent="0.25">
      <c r="X26">
        <v>28</v>
      </c>
      <c r="Y26" t="s">
        <v>59</v>
      </c>
      <c r="Z26" s="98">
        <f>VehAvailCoefficient!E34</f>
        <v>0.31959884056900001</v>
      </c>
      <c r="AA26" s="99">
        <v>0.31959884056900001</v>
      </c>
    </row>
    <row r="27" spans="1:27" x14ac:dyDescent="0.25">
      <c r="X27">
        <v>29</v>
      </c>
      <c r="Y27" t="s">
        <v>60</v>
      </c>
      <c r="Z27" s="98">
        <f>VehAvailCoefficient!E35</f>
        <v>0.57068696704599997</v>
      </c>
      <c r="AA27" s="99">
        <v>0.57068696704599997</v>
      </c>
    </row>
    <row r="28" spans="1:27" x14ac:dyDescent="0.25">
      <c r="X28">
        <v>31</v>
      </c>
      <c r="Y28" t="s">
        <v>61</v>
      </c>
      <c r="Z28" s="98">
        <f>VehAvailCoefficient!E36</f>
        <v>2.9250059989500001</v>
      </c>
      <c r="AA28" s="99">
        <v>2.9250059989500001</v>
      </c>
    </row>
    <row r="29" spans="1:27" x14ac:dyDescent="0.25">
      <c r="X29">
        <v>32</v>
      </c>
      <c r="Y29" t="s">
        <v>62</v>
      </c>
      <c r="Z29" s="98">
        <f>VehAvailCoefficient!E37</f>
        <v>1.2969669216299999</v>
      </c>
      <c r="AA29" s="99">
        <v>1.2969669216299999</v>
      </c>
    </row>
    <row r="30" spans="1:27" x14ac:dyDescent="0.25">
      <c r="X30">
        <v>34</v>
      </c>
      <c r="Y30" t="s">
        <v>63</v>
      </c>
      <c r="Z30" s="98">
        <f>VehAvailCoefficient!E38</f>
        <v>-2.59112200624</v>
      </c>
      <c r="AA30" s="99">
        <v>-2.59112200624</v>
      </c>
    </row>
    <row r="31" spans="1:27" x14ac:dyDescent="0.25">
      <c r="X31">
        <v>35</v>
      </c>
      <c r="Y31" t="s">
        <v>64</v>
      </c>
      <c r="Z31" s="98">
        <f>VehAvailCoefficient!E39</f>
        <v>-1.0636437007299999</v>
      </c>
      <c r="AA31" s="99">
        <v>-1.0636437007299999</v>
      </c>
    </row>
    <row r="32" spans="1:27" x14ac:dyDescent="0.25">
      <c r="X32">
        <v>36</v>
      </c>
      <c r="Y32" t="s">
        <v>65</v>
      </c>
      <c r="Z32" s="98">
        <f>VehAvailCoefficient!E40</f>
        <v>-0.53660640919000002</v>
      </c>
      <c r="AA32" s="99">
        <v>-0.53660640919000002</v>
      </c>
    </row>
    <row r="33" spans="24:27" x14ac:dyDescent="0.25">
      <c r="X33">
        <v>37</v>
      </c>
      <c r="Y33" t="s">
        <v>66</v>
      </c>
      <c r="Z33" s="98">
        <f>VehAvailCoefficient!E41</f>
        <v>0.28589368992800002</v>
      </c>
      <c r="AA33" s="99">
        <v>0.28589368992800002</v>
      </c>
    </row>
    <row r="34" spans="24:27" x14ac:dyDescent="0.25">
      <c r="X34">
        <v>38</v>
      </c>
      <c r="Y34" t="s">
        <v>67</v>
      </c>
      <c r="Z34" s="98">
        <f>VehAvailCoefficient!E42</f>
        <v>0.64783551265499995</v>
      </c>
      <c r="AA34" s="99">
        <v>0.64783551265499995</v>
      </c>
    </row>
    <row r="35" spans="24:27" x14ac:dyDescent="0.25">
      <c r="X35">
        <v>41</v>
      </c>
      <c r="Y35" t="s">
        <v>68</v>
      </c>
      <c r="Z35" s="98">
        <f>VehAvailCoefficient!E43</f>
        <v>-0.47288768158</v>
      </c>
      <c r="AA35" s="99">
        <v>-0.47288768158</v>
      </c>
    </row>
    <row r="36" spans="24:27" x14ac:dyDescent="0.25">
      <c r="X36">
        <v>42</v>
      </c>
      <c r="Y36" t="s">
        <v>69</v>
      </c>
      <c r="Z36" s="98">
        <f>VehAvailCoefficient!E44</f>
        <v>-1.73045435445</v>
      </c>
      <c r="AA36" s="99">
        <v>-1.73045435445</v>
      </c>
    </row>
    <row r="37" spans="24:27" x14ac:dyDescent="0.25">
      <c r="X37">
        <v>43</v>
      </c>
      <c r="Y37" t="s">
        <v>70</v>
      </c>
      <c r="Z37" s="98">
        <f>VehAvailCoefficient!E45</f>
        <v>2.0718120356499998</v>
      </c>
      <c r="AA37" s="99">
        <v>2.0718120356499998</v>
      </c>
    </row>
    <row r="38" spans="24:27" x14ac:dyDescent="0.25">
      <c r="X38">
        <v>44</v>
      </c>
      <c r="Y38" t="s">
        <v>71</v>
      </c>
      <c r="Z38" s="98">
        <f>VehAvailCoefficient!E46</f>
        <v>0.60728378971399999</v>
      </c>
      <c r="AA38" s="99">
        <v>0.60728378971399999</v>
      </c>
    </row>
    <row r="39" spans="24:27" x14ac:dyDescent="0.25">
      <c r="X39">
        <v>45</v>
      </c>
      <c r="Y39" t="s">
        <v>72</v>
      </c>
      <c r="Z39" s="98">
        <f>VehAvailCoefficient!E47</f>
        <v>-0.71462161389500001</v>
      </c>
      <c r="AA39" s="99">
        <v>-0.71462161389500001</v>
      </c>
    </row>
    <row r="40" spans="24:27" x14ac:dyDescent="0.25">
      <c r="X40">
        <v>46</v>
      </c>
      <c r="Y40" t="s">
        <v>73</v>
      </c>
      <c r="Z40" s="98">
        <f>VehAvailCoefficient!E48</f>
        <v>-1.4356778668800001</v>
      </c>
      <c r="AA40" s="99">
        <v>-1.4356778668800001</v>
      </c>
    </row>
    <row r="41" spans="24:27" x14ac:dyDescent="0.25">
      <c r="X41">
        <v>47</v>
      </c>
      <c r="Y41" t="s">
        <v>74</v>
      </c>
      <c r="Z41" s="98">
        <f>VehAvailCoefficient!E49</f>
        <v>-1.45349726543</v>
      </c>
      <c r="AA41" s="99">
        <v>-1.45349726543</v>
      </c>
    </row>
    <row r="42" spans="24:27" x14ac:dyDescent="0.25">
      <c r="X42">
        <v>48</v>
      </c>
      <c r="Y42" t="s">
        <v>75</v>
      </c>
      <c r="Z42" s="98">
        <f>VehAvailCoefficient!E50</f>
        <v>-1.0930755785699999</v>
      </c>
      <c r="AA42" s="99">
        <v>-1.0930755785699999</v>
      </c>
    </row>
    <row r="43" spans="24:27" x14ac:dyDescent="0.25">
      <c r="X43">
        <v>49</v>
      </c>
      <c r="Y43" t="s">
        <v>76</v>
      </c>
      <c r="Z43" s="98">
        <f>VehAvailCoefficient!E51</f>
        <v>0.14078168516299999</v>
      </c>
      <c r="AA43" s="99">
        <v>0.14078168516299999</v>
      </c>
    </row>
    <row r="44" spans="24:27" x14ac:dyDescent="0.25">
      <c r="X44">
        <v>50</v>
      </c>
      <c r="Y44" t="s">
        <v>77</v>
      </c>
      <c r="Z44" s="98">
        <f>VehAvailCoefficient!E52</f>
        <v>0.188609995585</v>
      </c>
      <c r="AA44" s="99">
        <v>0.188609995585</v>
      </c>
    </row>
    <row r="45" spans="24:27" x14ac:dyDescent="0.25">
      <c r="X45">
        <v>51</v>
      </c>
      <c r="Y45" t="s">
        <v>78</v>
      </c>
      <c r="Z45" s="98">
        <f>VehAvailCoefficient!E53</f>
        <v>-0.58492078305700002</v>
      </c>
      <c r="AA45" s="99">
        <v>-0.58492078305700002</v>
      </c>
    </row>
    <row r="46" spans="24:27" x14ac:dyDescent="0.25">
      <c r="X46">
        <v>52</v>
      </c>
      <c r="Y46" t="s">
        <v>79</v>
      </c>
      <c r="Z46" s="98">
        <f>VehAvailCoefficient!E54</f>
        <v>-1.0058660612699999</v>
      </c>
      <c r="AA46" s="99">
        <v>-1.0058660612699999</v>
      </c>
    </row>
    <row r="47" spans="24:27" x14ac:dyDescent="0.25">
      <c r="X47">
        <v>53</v>
      </c>
      <c r="Y47" t="s">
        <v>80</v>
      </c>
      <c r="Z47" s="98">
        <f>VehAvailCoefficient!E55</f>
        <v>0.22559840834</v>
      </c>
      <c r="AA47" s="99">
        <v>0.22559840834</v>
      </c>
    </row>
    <row r="48" spans="24:27" x14ac:dyDescent="0.25">
      <c r="X48">
        <v>54</v>
      </c>
      <c r="Y48" t="s">
        <v>81</v>
      </c>
      <c r="Z48" s="98">
        <f>VehAvailCoefficient!E56</f>
        <v>0.34302043279099997</v>
      </c>
      <c r="AA48" s="99">
        <v>0.34302043279099997</v>
      </c>
    </row>
    <row r="49" spans="24:27" x14ac:dyDescent="0.25">
      <c r="X49">
        <v>55</v>
      </c>
      <c r="Y49" t="s">
        <v>82</v>
      </c>
      <c r="Z49" s="98">
        <f>VehAvailCoefficient!E57</f>
        <v>-0.53538167154600003</v>
      </c>
      <c r="AA49" s="99">
        <v>-0.53538167154600003</v>
      </c>
    </row>
    <row r="50" spans="24:27" x14ac:dyDescent="0.25">
      <c r="X50">
        <v>56</v>
      </c>
      <c r="Y50" t="s">
        <v>83</v>
      </c>
      <c r="Z50" s="98">
        <f>VehAvailCoefficient!E58</f>
        <v>-0.52697142353899995</v>
      </c>
      <c r="AA50" s="99">
        <v>-0.52697142353899995</v>
      </c>
    </row>
    <row r="51" spans="24:27" x14ac:dyDescent="0.25">
      <c r="X51">
        <v>57</v>
      </c>
      <c r="Y51" t="s">
        <v>84</v>
      </c>
      <c r="Z51" s="98">
        <f>VehAvailCoefficient!E59</f>
        <v>0.21517789340999999</v>
      </c>
      <c r="AA51" s="99">
        <v>0.21517789340999999</v>
      </c>
    </row>
    <row r="52" spans="24:27" x14ac:dyDescent="0.25">
      <c r="X52">
        <v>58</v>
      </c>
      <c r="Y52" t="s">
        <v>85</v>
      </c>
      <c r="Z52" s="98">
        <f>VehAvailCoefficient!E60</f>
        <v>-0.978212790971</v>
      </c>
      <c r="AA52" s="99">
        <v>-0.978212790971</v>
      </c>
    </row>
    <row r="53" spans="24:27" x14ac:dyDescent="0.25">
      <c r="X53">
        <v>59</v>
      </c>
      <c r="Y53" t="s">
        <v>86</v>
      </c>
      <c r="Z53" s="98">
        <f>VehAvailCoefficient!E61</f>
        <v>-0.42495698544999999</v>
      </c>
      <c r="AA53" s="99">
        <v>-0.42495698544999999</v>
      </c>
    </row>
    <row r="54" spans="24:27" x14ac:dyDescent="0.25">
      <c r="X54">
        <v>60</v>
      </c>
      <c r="Y54" t="s">
        <v>87</v>
      </c>
      <c r="Z54" s="98">
        <f>VehAvailCoefficient!E62</f>
        <v>-0.11124462416</v>
      </c>
      <c r="AA54" s="99">
        <v>-0.11124462416</v>
      </c>
    </row>
    <row r="55" spans="24:27" x14ac:dyDescent="0.25">
      <c r="X55">
        <v>63</v>
      </c>
      <c r="Y55" t="s">
        <v>88</v>
      </c>
      <c r="Z55" s="98">
        <f>VehAvailCoefficient!E63</f>
        <v>-1.2627495896200001</v>
      </c>
      <c r="AA55" s="99">
        <v>-1.2627495896200001</v>
      </c>
    </row>
    <row r="56" spans="24:27" x14ac:dyDescent="0.25">
      <c r="X56">
        <v>69</v>
      </c>
      <c r="Y56" t="s">
        <v>89</v>
      </c>
      <c r="Z56" s="98">
        <f>VehAvailCoefficient!E64</f>
        <v>-0.182881856812</v>
      </c>
      <c r="AA56" s="99">
        <v>-0.182881856812</v>
      </c>
    </row>
    <row r="57" spans="24:27" x14ac:dyDescent="0.25">
      <c r="X57">
        <v>72</v>
      </c>
      <c r="Y57" t="s">
        <v>90</v>
      </c>
      <c r="Z57" s="98">
        <f>VehAvailCoefficient!E65</f>
        <v>0.14811075420100001</v>
      </c>
      <c r="AA57" s="99">
        <v>0.14811075420100001</v>
      </c>
    </row>
    <row r="58" spans="24:27" x14ac:dyDescent="0.25">
      <c r="X58">
        <v>73</v>
      </c>
      <c r="Y58" t="s">
        <v>91</v>
      </c>
      <c r="Z58" s="98">
        <f>VehAvailCoefficient!E66</f>
        <v>7.1458236224400005E-4</v>
      </c>
      <c r="AA58" s="99">
        <v>7.1458236224400005E-4</v>
      </c>
    </row>
    <row r="59" spans="24:27" x14ac:dyDescent="0.25">
      <c r="X59">
        <v>75</v>
      </c>
      <c r="Y59" t="s">
        <v>92</v>
      </c>
      <c r="Z59" s="98">
        <f>VehAvailCoefficient!E67</f>
        <v>0.29597958689600001</v>
      </c>
      <c r="AA59" s="99">
        <v>0.29597958689600001</v>
      </c>
    </row>
    <row r="60" spans="24:27" x14ac:dyDescent="0.25">
      <c r="X60">
        <v>76</v>
      </c>
      <c r="Y60" t="s">
        <v>93</v>
      </c>
      <c r="Z60" s="98">
        <f>VehAvailCoefficient!E68</f>
        <v>0.19796492273399999</v>
      </c>
      <c r="AA60" s="99">
        <v>0.19796492273399999</v>
      </c>
    </row>
    <row r="61" spans="24:27" x14ac:dyDescent="0.25">
      <c r="X61">
        <v>77</v>
      </c>
      <c r="Y61" t="s">
        <v>94</v>
      </c>
      <c r="Z61" s="98">
        <f>VehAvailCoefficient!E69</f>
        <v>0.27817460170199998</v>
      </c>
      <c r="AA61" s="99">
        <v>0.27817460170199998</v>
      </c>
    </row>
    <row r="62" spans="24:27" x14ac:dyDescent="0.25">
      <c r="X62">
        <v>83</v>
      </c>
      <c r="Y62" t="s">
        <v>95</v>
      </c>
      <c r="Z62" s="98">
        <f>VehAvailCoefficient!E70</f>
        <v>-0.77256225305799997</v>
      </c>
      <c r="AA62" s="99">
        <v>-0.77256225305799997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2011-02-15T20:20:51Z</dcterms:created>
  <dcterms:modified xsi:type="dcterms:W3CDTF">2017-04-27T23:05:48Z</dcterms:modified>
</cp:coreProperties>
</file>