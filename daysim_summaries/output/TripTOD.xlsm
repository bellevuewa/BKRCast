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8C4F1C90-05EB-6A55-5F09-09C24B55AC0B}" lastEdited="7" lowestEdited="4" rupBuild="17830"/>
  <workbookPr codeName="ThisWorkbook" defaultThemeVersion="124226"/>
  <mc:AlternateContent>
    <mc:Choice Requires="x15">
      <x15ac:absPath xmlns:x15ac="http://schemas.microsoft.com/office/spreadsheetml/2010/11/ac" url="E:\Projects\Clients\bkr\tasks\calibration\daysim_summaries\output\"/>
    </mc:Choice>
  </mc:AlternateContent>
  <bookViews>
    <workbookView activeTab="5" windowHeight="10695" windowWidth="14265" xWindow="7290" yWindow="330"/>
  </bookViews>
  <sheets>
    <sheet name="Arrival_Time_Outbound_Half_Tour" r:id="rId1" sheetId="12"/>
    <sheet name="Depart_Time_Return_Half_Tour" r:id="rId2" sheetId="19"/>
    <sheet name="Duration" r:id="rId3" sheetId="20"/>
    <sheet name="Arrival_Time_All" r:id="rId4" sheetId="23"/>
    <sheet name="Depart_Time_All" r:id="rId5" sheetId="24"/>
    <sheet name="Documentation" r:id="rId6" sheetId="7"/>
  </sheets>
  <definedNames>
    <definedName name="ARRTIME">Arrival_Time_Outbound_Half_Tour!$L$10:$R$61</definedName>
    <definedName name="DEPTIME">Depart_Time_Return_Half_Tour!$L$10:$R$61</definedName>
    <definedName name="DURDEST">Duration!$L$10:$R$58</definedName>
    <definedName name="out1">Arrival_Time_Outbound_Half_Tour!$B$10:$H$60</definedName>
    <definedName name="out3">Depart_Time_Return_Half_Tour!$B$10:$H$60</definedName>
    <definedName name="out5">Duration!$B$10:$H$57</definedName>
    <definedName name="out7">Arrival_Time_All!$B$10:$H$60</definedName>
    <definedName name="out9">Depart_Time_All!$B$10:$H$60</definedName>
    <definedName name="out2">Arrival_Time_Outbound_Half_Tour!$L$10:$R$60</definedName>
    <definedName name="out4">Depart_Time_Return_Half_Tour!$L$10:$R$60</definedName>
    <definedName name="out6">Duration!$L$10:$R$57</definedName>
    <definedName name="out8">Arrival_Time_All!$L$10:$R$60</definedName>
    <definedName name="out10">Depart_Time_All!$L$10:$R$60</definedName>
  </definedNames>
  <calcPr calcId="171027"/>
</workbook>
</file>

<file path=xl/calcChain.xml><?xml version="1.0" encoding="utf-8"?>
<calcChain xmlns="http://schemas.openxmlformats.org/spreadsheetml/2006/main">
  <c i="24" l="1" r="I10"/>
  <c i="24" l="1" r="R61"/>
  <c i="24" r="R67" s="1"/>
  <c i="24" r="Q61"/>
  <c i="24" r="Q94" s="1"/>
  <c i="24" r="P61"/>
  <c i="24" r="P117" s="1"/>
  <c i="24" r="O61"/>
  <c i="24" r="O88" s="1"/>
  <c i="24" r="N61"/>
  <c i="24" r="N78" s="1"/>
  <c i="24" r="M61"/>
  <c i="24" r="M74" s="1"/>
  <c i="24" r="L61"/>
  <c i="24" r="L114" s="1"/>
  <c i="24" r="H61"/>
  <c i="24" r="H67" s="1"/>
  <c i="24" r="G61"/>
  <c i="24" r="G117" s="1"/>
  <c i="24" r="F61"/>
  <c i="24" r="F117" s="1"/>
  <c i="24" r="E61"/>
  <c i="24" r="E117" s="1"/>
  <c i="24" r="D61"/>
  <c i="24" r="D117" s="1"/>
  <c i="24" r="C61"/>
  <c i="24" r="C117" s="1"/>
  <c i="24" r="B61"/>
  <c i="24" r="B87" s="1"/>
  <c i="24" r="S60"/>
  <c i="24" r="I60"/>
  <c i="24" r="S59"/>
  <c i="24" r="I59"/>
  <c i="24" r="S58"/>
  <c i="24" r="I58"/>
  <c i="24" r="S57"/>
  <c i="24" r="I57"/>
  <c i="24" r="S56"/>
  <c i="24" r="I56"/>
  <c i="24" r="S55"/>
  <c i="24" r="I55"/>
  <c i="24" r="S54"/>
  <c i="24" r="I54"/>
  <c i="24" r="S53"/>
  <c i="24" r="I53"/>
  <c i="24" r="S52"/>
  <c i="24" r="I52"/>
  <c i="24" r="S51"/>
  <c i="24" r="I51"/>
  <c i="24" r="S50"/>
  <c i="24" r="I50"/>
  <c i="24" r="S49"/>
  <c i="24" r="I49"/>
  <c i="24" r="S48"/>
  <c i="24" r="I48"/>
  <c i="24" r="S47"/>
  <c i="24" r="I47"/>
  <c i="24" r="S46"/>
  <c i="24" r="I46"/>
  <c i="24" r="S45"/>
  <c i="24" r="I45"/>
  <c i="24" r="S44"/>
  <c i="24" r="I44"/>
  <c i="24" r="S43"/>
  <c i="24" r="I43"/>
  <c i="24" r="S42"/>
  <c i="24" r="I42"/>
  <c i="24" r="S41"/>
  <c i="24" r="I41"/>
  <c i="24" r="S40"/>
  <c i="24" r="I40"/>
  <c i="24" r="S39"/>
  <c i="24" r="I39"/>
  <c i="24" r="S38"/>
  <c i="24" r="I38"/>
  <c i="24" r="S37"/>
  <c i="24" r="I37"/>
  <c i="24" r="S36"/>
  <c i="24" r="I36"/>
  <c i="24" r="S35"/>
  <c i="24" r="I35"/>
  <c i="24" r="S34"/>
  <c i="24" r="I34"/>
  <c i="24" r="S33"/>
  <c i="24" r="I33"/>
  <c i="24" r="S32"/>
  <c i="24" r="I32"/>
  <c i="24" r="S31"/>
  <c i="24" r="I31"/>
  <c i="24" r="S30"/>
  <c i="24" r="I30"/>
  <c i="24" r="S29"/>
  <c i="24" r="I29"/>
  <c i="24" r="S28"/>
  <c i="24" r="I28"/>
  <c i="24" r="S27"/>
  <c i="24" r="I27"/>
  <c i="24" r="S26"/>
  <c i="24" r="I26"/>
  <c i="24" r="S25"/>
  <c i="24" r="I25"/>
  <c i="24" r="S24"/>
  <c i="24" r="I24"/>
  <c i="24" r="S23"/>
  <c i="24" r="I23"/>
  <c i="24" r="S22"/>
  <c i="24" r="I22"/>
  <c i="24" r="S21"/>
  <c i="24" r="I21"/>
  <c i="24" r="S20"/>
  <c i="24" r="I20"/>
  <c i="24" r="S19"/>
  <c i="24" r="I19"/>
  <c i="24" r="S18"/>
  <c i="24" r="I18"/>
  <c i="24" r="S17"/>
  <c i="24" r="I17"/>
  <c i="24" r="S16"/>
  <c i="24" r="I16"/>
  <c i="24" r="S15"/>
  <c i="24" r="I15"/>
  <c i="24" r="S14"/>
  <c i="24" r="I14"/>
  <c i="24" r="S13"/>
  <c i="24" r="I13"/>
  <c i="24" r="S12"/>
  <c i="24" r="I12"/>
  <c i="24" r="S11"/>
  <c i="24" r="I11"/>
  <c i="24" r="S10"/>
  <c i="23" r="R61"/>
  <c i="23" r="Q61"/>
  <c i="23" r="Q102" s="1"/>
  <c i="23" r="P61"/>
  <c i="23" r="P117" s="1"/>
  <c i="23" r="O61"/>
  <c i="23" r="O101" s="1"/>
  <c i="23" r="N61"/>
  <c i="23" r="N107" s="1"/>
  <c i="23" r="M61"/>
  <c i="23" r="M111" s="1"/>
  <c i="23" r="L61"/>
  <c i="23" r="L117" s="1"/>
  <c i="23" r="H61"/>
  <c i="23" r="H100" s="1"/>
  <c i="23" r="G61"/>
  <c i="23" r="G110" s="1"/>
  <c i="23" r="F61"/>
  <c i="23" r="F94" s="1"/>
  <c i="23" r="E61"/>
  <c i="23" r="E102" s="1"/>
  <c i="23" r="D61"/>
  <c i="23" r="D107" s="1"/>
  <c i="23" r="C61"/>
  <c i="23" r="C107" s="1"/>
  <c i="23" r="B61"/>
  <c i="23" r="B117" s="1"/>
  <c i="23" r="S60"/>
  <c i="23" r="I60"/>
  <c i="23" r="S59"/>
  <c i="23" r="I59"/>
  <c i="23" r="S58"/>
  <c i="23" r="I58"/>
  <c i="23" r="S57"/>
  <c i="23" r="I57"/>
  <c i="23" r="S56"/>
  <c i="23" r="I56"/>
  <c i="23" r="S55"/>
  <c i="23" r="I55"/>
  <c i="23" r="S54"/>
  <c i="23" r="I54"/>
  <c i="23" r="S53"/>
  <c i="23" r="I53"/>
  <c i="23" r="S52"/>
  <c i="23" r="I52"/>
  <c i="23" r="S51"/>
  <c i="23" r="I51"/>
  <c i="23" r="S50"/>
  <c i="23" r="I50"/>
  <c i="23" r="S49"/>
  <c i="23" r="I49"/>
  <c i="23" r="S48"/>
  <c i="23" r="I48"/>
  <c i="23" r="S47"/>
  <c i="23" r="I47"/>
  <c i="23" r="S46"/>
  <c i="23" r="I46"/>
  <c i="23" r="S45"/>
  <c i="23" r="I45"/>
  <c i="23" r="S44"/>
  <c i="23" r="I44"/>
  <c i="23" r="S43"/>
  <c i="23" r="I43"/>
  <c i="23" r="S42"/>
  <c i="23" r="I42"/>
  <c i="23" r="S41"/>
  <c i="23" r="I41"/>
  <c i="23" r="S40"/>
  <c i="23" r="I40"/>
  <c i="23" r="S39"/>
  <c i="23" r="I39"/>
  <c i="23" r="S38"/>
  <c i="23" r="I38"/>
  <c i="23" r="S37"/>
  <c i="23" r="I37"/>
  <c i="23" r="S36"/>
  <c i="23" r="I36"/>
  <c i="23" r="S35"/>
  <c i="23" r="I35"/>
  <c i="23" r="S34"/>
  <c i="23" r="I34"/>
  <c i="23" r="S33"/>
  <c i="23" r="I33"/>
  <c i="23" r="S32"/>
  <c i="23" r="I32"/>
  <c i="23" r="S31"/>
  <c i="23" r="I31"/>
  <c i="23" r="S30"/>
  <c i="23" r="I30"/>
  <c i="23" r="S29"/>
  <c i="23" r="I29"/>
  <c i="23" r="S28"/>
  <c i="23" r="I28"/>
  <c i="23" r="S27"/>
  <c i="23" r="I27"/>
  <c i="23" r="S26"/>
  <c i="23" r="I26"/>
  <c i="23" r="S25"/>
  <c i="23" r="I25"/>
  <c i="23" r="S24"/>
  <c i="23" r="I24"/>
  <c i="23" r="S23"/>
  <c i="23" r="I23"/>
  <c i="23" r="S22"/>
  <c i="23" r="I22"/>
  <c i="23" r="S21"/>
  <c i="23" r="I21"/>
  <c i="23" r="S20"/>
  <c i="23" r="I20"/>
  <c i="23" r="S19"/>
  <c i="23" r="I19"/>
  <c i="23" r="S18"/>
  <c i="23" r="I18"/>
  <c i="23" r="S17"/>
  <c i="23" r="I17"/>
  <c i="23" r="S16"/>
  <c i="23" r="I16"/>
  <c i="23" r="S15"/>
  <c i="23" r="I15"/>
  <c i="23" r="S14"/>
  <c i="23" r="I14"/>
  <c i="23" r="S13"/>
  <c i="23" r="I13"/>
  <c i="23" r="S12"/>
  <c i="23" r="I12"/>
  <c i="23" r="S11"/>
  <c i="23" r="I11"/>
  <c i="23" r="S10"/>
  <c i="23" r="I10"/>
  <c i="23" l="1" r="B79"/>
  <c i="23" r="B87"/>
  <c i="23" r="B89"/>
  <c i="23" r="B91"/>
  <c i="23" r="B93"/>
  <c i="23" r="B73"/>
  <c i="23" r="B71"/>
  <c i="23" r="B75"/>
  <c i="23" r="B77"/>
  <c i="23" r="B97"/>
  <c i="23" r="O80"/>
  <c i="23" r="B101"/>
  <c i="23" r="R102"/>
  <c i="23" r="R67"/>
  <c i="23" r="B69"/>
  <c i="23" r="H70"/>
  <c i="23" r="B95"/>
  <c i="23" r="B103"/>
  <c i="23" r="B109"/>
  <c i="23" r="B111"/>
  <c i="23" r="B113"/>
  <c i="23" r="B115"/>
  <c i="23" r="B67"/>
  <c i="23" r="B81"/>
  <c i="23" r="B85"/>
  <c i="24" r="O76"/>
  <c i="23" r="B83"/>
  <c i="24" r="O68"/>
  <c i="24" r="N70"/>
  <c i="23" r="B99"/>
  <c i="24" r="O70"/>
  <c i="24" r="P70"/>
  <c i="24" r="L72"/>
  <c i="24" r="N72"/>
  <c i="24" r="O72"/>
  <c i="23" r="S61"/>
  <c i="23" r="S109" s="1"/>
  <c i="23" r="M104"/>
  <c i="23" r="B105"/>
  <c i="23" r="B107"/>
  <c i="24" r="O74"/>
  <c i="24" r="L90"/>
  <c i="24" r="M96"/>
  <c i="24" r="L104"/>
  <c i="24" r="L106"/>
  <c i="24" r="L108"/>
  <c i="24" r="L110"/>
  <c i="24" r="L112"/>
  <c i="24" r="L88"/>
  <c i="24" r="M72"/>
  <c i="24" r="M88"/>
  <c i="24" r="M104"/>
  <c i="24" r="B68"/>
  <c i="24" r="B70"/>
  <c i="24" r="B72"/>
  <c i="24" r="B74"/>
  <c i="24" r="B76"/>
  <c i="24" r="B78"/>
  <c i="24" r="B80"/>
  <c i="24" r="B82"/>
  <c i="24" r="B84"/>
  <c i="24" r="B86"/>
  <c i="24" r="B88"/>
  <c i="24" r="B90"/>
  <c i="24" r="B92"/>
  <c i="24" r="B94"/>
  <c i="24" r="B96"/>
  <c i="24" r="B98"/>
  <c i="24" r="B100"/>
  <c i="24" r="B102"/>
  <c i="24" r="B104"/>
  <c i="24" r="B106"/>
  <c i="24" r="B108"/>
  <c i="24" r="B110"/>
  <c i="24" r="B112"/>
  <c i="24" r="B114"/>
  <c i="24" r="B116"/>
  <c i="24" r="C68"/>
  <c i="24" r="C70"/>
  <c i="24" r="C72"/>
  <c i="24" r="C74"/>
  <c i="24" r="C76"/>
  <c i="24" r="C78"/>
  <c i="24" r="C80"/>
  <c i="24" r="C82"/>
  <c i="24" r="C84"/>
  <c i="24" r="C86"/>
  <c i="24" r="C88"/>
  <c i="24" r="C90"/>
  <c i="24" r="C92"/>
  <c i="24" r="C94"/>
  <c i="24" r="C96"/>
  <c i="24" r="C98"/>
  <c i="24" r="C100"/>
  <c i="24" r="C102"/>
  <c i="24" r="C104"/>
  <c i="24" r="C106"/>
  <c i="24" r="C108"/>
  <c i="24" r="C110"/>
  <c i="24" r="C112"/>
  <c i="24" r="C114"/>
  <c i="24" r="C116"/>
  <c i="24" r="D68"/>
  <c i="24" r="D70"/>
  <c i="24" r="D72"/>
  <c i="24" r="D74"/>
  <c i="24" r="D76"/>
  <c i="24" r="D78"/>
  <c i="24" r="D80"/>
  <c i="24" r="D82"/>
  <c i="24" r="D84"/>
  <c i="24" r="D86"/>
  <c i="24" r="D88"/>
  <c i="24" r="D90"/>
  <c i="24" r="D92"/>
  <c i="24" r="D94"/>
  <c i="24" r="D96"/>
  <c i="24" r="D98"/>
  <c i="24" r="D100"/>
  <c i="24" r="D102"/>
  <c i="24" r="D104"/>
  <c i="24" r="D106"/>
  <c i="24" r="D108"/>
  <c i="24" r="D110"/>
  <c i="24" r="D112"/>
  <c i="24" r="D114"/>
  <c i="24" r="D116"/>
  <c i="24" r="E68"/>
  <c i="24" r="E70"/>
  <c i="24" r="E72"/>
  <c i="24" r="E74"/>
  <c i="24" r="E76"/>
  <c i="24" r="E78"/>
  <c i="24" r="E80"/>
  <c i="24" r="E82"/>
  <c i="24" r="E84"/>
  <c i="24" r="E86"/>
  <c i="24" r="E88"/>
  <c i="24" r="E90"/>
  <c i="24" r="E92"/>
  <c i="24" r="E94"/>
  <c i="24" r="E96"/>
  <c i="24" r="E98"/>
  <c i="24" r="E100"/>
  <c i="24" r="E102"/>
  <c i="24" r="E104"/>
  <c i="24" r="E106"/>
  <c i="24" r="E108"/>
  <c i="24" r="E110"/>
  <c i="24" r="E112"/>
  <c i="24" r="E114"/>
  <c i="24" r="E116"/>
  <c i="24" r="F68"/>
  <c i="24" r="F72"/>
  <c i="24" r="F74"/>
  <c i="24" r="F76"/>
  <c i="24" r="F78"/>
  <c i="24" r="F80"/>
  <c i="24" r="F82"/>
  <c i="24" r="F84"/>
  <c i="24" r="F86"/>
  <c i="24" r="F88"/>
  <c i="24" r="F90"/>
  <c i="24" r="F92"/>
  <c i="24" r="F94"/>
  <c i="24" r="F96"/>
  <c i="24" r="F98"/>
  <c i="24" r="F100"/>
  <c i="24" r="F102"/>
  <c i="24" r="F104"/>
  <c i="24" r="F106"/>
  <c i="24" r="F108"/>
  <c i="24" r="F110"/>
  <c i="24" r="F112"/>
  <c i="24" r="F114"/>
  <c i="24" r="F116"/>
  <c i="24" r="G68"/>
  <c i="24" r="G70"/>
  <c i="24" r="G72"/>
  <c i="24" r="G74"/>
  <c i="24" r="G76"/>
  <c i="24" r="G78"/>
  <c i="24" r="G80"/>
  <c i="24" r="G82"/>
  <c i="24" r="G84"/>
  <c i="24" r="G86"/>
  <c i="24" r="G88"/>
  <c i="24" r="G90"/>
  <c i="24" r="G92"/>
  <c i="24" r="G94"/>
  <c i="24" r="G96"/>
  <c i="24" r="G98"/>
  <c i="24" r="G100"/>
  <c i="24" r="G102"/>
  <c i="24" r="G104"/>
  <c i="24" r="G106"/>
  <c i="24" r="G108"/>
  <c i="24" r="G110"/>
  <c i="24" r="G112"/>
  <c i="24" r="G114"/>
  <c i="24" r="G116"/>
  <c i="24" r="H68"/>
  <c i="24" r="H70"/>
  <c i="24" r="H72"/>
  <c i="24" r="H74"/>
  <c i="24" r="H76"/>
  <c i="24" r="H78"/>
  <c i="24" r="H80"/>
  <c i="24" r="H82"/>
  <c i="24" r="H84"/>
  <c i="24" r="H86"/>
  <c i="24" r="H88"/>
  <c i="24" r="H90"/>
  <c i="24" r="H92"/>
  <c i="24" r="H94"/>
  <c i="24" r="H96"/>
  <c i="24" r="H98"/>
  <c i="24" r="H100"/>
  <c i="24" r="H102"/>
  <c i="24" r="H104"/>
  <c i="24" r="H106"/>
  <c i="24" r="H108"/>
  <c i="24" r="H110"/>
  <c i="24" r="H112"/>
  <c i="24" r="H114"/>
  <c i="24" r="H116"/>
  <c i="24" r="F70"/>
  <c i="24" r="I61"/>
  <c i="24" r="I77" s="1"/>
  <c i="24" r="M92"/>
  <c i="24" r="M100"/>
  <c i="24" r="M102"/>
  <c i="24" r="M112"/>
  <c i="24" r="M114"/>
  <c i="24" r="M116"/>
  <c i="24" r="N74"/>
  <c i="24" r="N80"/>
  <c i="24" r="N82"/>
  <c i="24" r="N84"/>
  <c i="24" r="N86"/>
  <c i="24" r="N88"/>
  <c i="24" r="N90"/>
  <c i="24" r="N92"/>
  <c i="24" r="N94"/>
  <c i="24" r="N96"/>
  <c i="24" r="N98"/>
  <c i="24" r="N100"/>
  <c i="24" r="N102"/>
  <c i="24" r="N104"/>
  <c i="24" r="N106"/>
  <c i="24" r="N108"/>
  <c i="24" r="N110"/>
  <c i="24" r="N112"/>
  <c i="24" r="N114"/>
  <c i="24" r="N116"/>
  <c i="24" r="O82"/>
  <c i="24" r="O96"/>
  <c i="24" r="O98"/>
  <c i="24" r="O100"/>
  <c i="24" r="O102"/>
  <c i="24" r="O104"/>
  <c i="24" r="O106"/>
  <c i="24" r="O108"/>
  <c i="24" r="O110"/>
  <c i="24" r="O112"/>
  <c i="24" r="O114"/>
  <c i="24" r="O116"/>
  <c i="24" r="P80"/>
  <c i="24" r="P82"/>
  <c i="24" r="P84"/>
  <c i="24" r="P86"/>
  <c i="24" r="P88"/>
  <c i="24" r="P90"/>
  <c i="24" r="P92"/>
  <c i="24" r="P94"/>
  <c i="24" r="P96"/>
  <c i="24" r="P98"/>
  <c i="24" r="P100"/>
  <c i="24" r="P102"/>
  <c i="24" r="P104"/>
  <c i="24" r="P106"/>
  <c i="24" r="P108"/>
  <c i="24" r="P110"/>
  <c i="24" r="P112"/>
  <c i="24" r="P114"/>
  <c i="24" r="P116"/>
  <c i="24" r="R96"/>
  <c i="24" r="R98"/>
  <c i="24" r="R100"/>
  <c i="24" r="R102"/>
  <c i="24" r="R104"/>
  <c i="24" r="R106"/>
  <c i="24" r="R108"/>
  <c i="24" r="R110"/>
  <c i="24" r="R112"/>
  <c i="24" r="R114"/>
  <c i="24" r="R116"/>
  <c i="24" r="B85"/>
  <c i="24" r="B107"/>
  <c i="24" r="B109"/>
  <c i="24" r="B113"/>
  <c i="24" r="B115"/>
  <c i="24" r="B117"/>
  <c i="24" r="L86"/>
  <c i="24" r="M70"/>
  <c i="24" r="M86"/>
  <c i="24" r="M106"/>
  <c i="24" r="O94"/>
  <c i="24" r="Q88"/>
  <c i="24" r="Q116"/>
  <c i="24" r="B75"/>
  <c i="24" r="B111"/>
  <c i="24" r="C67"/>
  <c i="24" r="C69"/>
  <c i="24" r="C71"/>
  <c i="24" r="C73"/>
  <c i="24" r="C75"/>
  <c i="24" r="C77"/>
  <c i="24" r="C79"/>
  <c i="24" r="C81"/>
  <c i="24" r="C83"/>
  <c i="24" r="C85"/>
  <c i="24" r="C87"/>
  <c i="24" r="C89"/>
  <c i="24" r="C91"/>
  <c i="24" r="C93"/>
  <c i="24" r="C95"/>
  <c i="24" r="C97"/>
  <c i="24" r="C99"/>
  <c i="24" r="C101"/>
  <c i="24" r="C103"/>
  <c i="24" r="C105"/>
  <c i="24" r="C107"/>
  <c i="24" r="C109"/>
  <c i="24" r="C111"/>
  <c i="24" r="C113"/>
  <c i="24" r="C115"/>
  <c i="24" r="L102"/>
  <c i="24" r="M68"/>
  <c i="24" r="N68"/>
  <c i="24" r="O80"/>
  <c i="24" r="Q92"/>
  <c i="24" r="R90"/>
  <c i="24" r="B83"/>
  <c i="24" r="D67"/>
  <c i="24" r="D69"/>
  <c i="24" r="D71"/>
  <c i="24" r="D73"/>
  <c i="24" r="D75"/>
  <c i="24" r="D77"/>
  <c i="24" r="D79"/>
  <c i="24" r="D81"/>
  <c i="24" r="D83"/>
  <c i="24" r="D85"/>
  <c i="24" r="D87"/>
  <c i="24" r="D89"/>
  <c i="24" r="D91"/>
  <c i="24" r="D93"/>
  <c i="24" r="D95"/>
  <c i="24" r="D97"/>
  <c i="24" r="D99"/>
  <c i="24" r="D101"/>
  <c i="24" r="D103"/>
  <c i="24" r="D105"/>
  <c i="24" r="D107"/>
  <c i="24" r="D109"/>
  <c i="24" r="D111"/>
  <c i="24" r="D113"/>
  <c i="24" r="D115"/>
  <c i="24" r="L76"/>
  <c i="24" r="P72"/>
  <c i="24" r="Q78"/>
  <c i="24" r="Q100"/>
  <c i="24" r="R74"/>
  <c i="24" r="B105"/>
  <c i="24" r="E67"/>
  <c i="24" r="E69"/>
  <c i="24" r="E71"/>
  <c i="24" r="E73"/>
  <c i="24" r="E75"/>
  <c i="24" r="E77"/>
  <c i="24" r="E79"/>
  <c i="24" r="E81"/>
  <c i="24" r="E83"/>
  <c i="24" r="E85"/>
  <c i="24" r="E87"/>
  <c i="24" r="E89"/>
  <c i="24" r="E91"/>
  <c i="24" r="E93"/>
  <c i="24" r="E95"/>
  <c i="24" r="E97"/>
  <c i="24" r="E99"/>
  <c i="24" r="E101"/>
  <c i="24" r="E103"/>
  <c i="24" r="E105"/>
  <c i="24" r="E107"/>
  <c i="24" r="E109"/>
  <c i="24" r="E111"/>
  <c i="24" r="E113"/>
  <c i="24" r="E115"/>
  <c i="24" r="L74"/>
  <c i="24" r="M82"/>
  <c i="24" r="P76"/>
  <c i="24" r="Q70"/>
  <c i="24" r="R94"/>
  <c i="24" r="B67"/>
  <c i="24" r="B103"/>
  <c i="24" r="F67"/>
  <c i="24" r="F69"/>
  <c i="24" r="F71"/>
  <c i="24" r="F73"/>
  <c i="24" r="F75"/>
  <c i="24" r="F77"/>
  <c i="24" r="F79"/>
  <c i="24" r="F81"/>
  <c i="24" r="F83"/>
  <c i="24" r="F85"/>
  <c i="24" r="F87"/>
  <c i="24" r="F89"/>
  <c i="24" r="F91"/>
  <c i="24" r="F93"/>
  <c i="24" r="F95"/>
  <c i="24" r="F97"/>
  <c i="24" r="F99"/>
  <c i="24" r="F101"/>
  <c i="24" r="F103"/>
  <c i="24" r="F105"/>
  <c i="24" r="F107"/>
  <c i="24" r="F109"/>
  <c i="24" r="F111"/>
  <c i="24" r="F113"/>
  <c i="24" r="F115"/>
  <c i="24" r="L96"/>
  <c i="24" r="M78"/>
  <c i="24" r="M110"/>
  <c i="24" r="O84"/>
  <c i="24" r="Q74"/>
  <c i="24" r="Q114"/>
  <c i="24" r="R70"/>
  <c i="24" r="R82"/>
  <c i="24" r="B95"/>
  <c i="24" r="G67"/>
  <c i="24" r="G69"/>
  <c i="24" r="G71"/>
  <c i="24" r="G73"/>
  <c i="24" r="G75"/>
  <c i="24" r="G77"/>
  <c i="24" r="G79"/>
  <c i="24" r="G81"/>
  <c i="24" r="G83"/>
  <c i="24" r="G85"/>
  <c i="24" r="G87"/>
  <c i="24" r="G89"/>
  <c i="24" r="G91"/>
  <c i="24" r="G93"/>
  <c i="24" r="G95"/>
  <c i="24" r="G97"/>
  <c i="24" r="G99"/>
  <c i="24" r="G101"/>
  <c i="24" r="G103"/>
  <c i="24" r="G105"/>
  <c i="24" r="G107"/>
  <c i="24" r="G109"/>
  <c i="24" r="G111"/>
  <c i="24" r="G113"/>
  <c i="24" r="G115"/>
  <c i="24" r="L84"/>
  <c i="24" r="M76"/>
  <c i="24" r="N76"/>
  <c i="24" r="P68"/>
  <c i="24" r="Q68"/>
  <c i="24" r="Q86"/>
  <c i="24" r="Q104"/>
  <c i="24" r="R68"/>
  <c i="24" r="B79"/>
  <c i="24" r="H69"/>
  <c i="24" r="H71"/>
  <c i="24" r="H73"/>
  <c i="24" r="H75"/>
  <c i="24" r="H77"/>
  <c i="24" r="H79"/>
  <c i="24" r="H81"/>
  <c i="24" r="H83"/>
  <c i="24" r="H85"/>
  <c i="24" r="H87"/>
  <c i="24" r="H89"/>
  <c i="24" r="H91"/>
  <c i="24" r="H93"/>
  <c i="24" r="H95"/>
  <c i="24" r="H97"/>
  <c i="24" r="H99"/>
  <c i="24" r="H101"/>
  <c i="24" r="H103"/>
  <c i="24" r="H105"/>
  <c i="24" r="H107"/>
  <c i="24" r="H109"/>
  <c i="24" r="H111"/>
  <c i="24" r="H113"/>
  <c i="24" r="H115"/>
  <c i="24" r="H117"/>
  <c i="24" r="L70"/>
  <c i="24" r="L116"/>
  <c i="24" r="O90"/>
  <c i="24" r="Q96"/>
  <c i="24" r="R88"/>
  <c i="24" r="B101"/>
  <c i="24" r="L80"/>
  <c i="24" r="M80"/>
  <c i="24" r="M108"/>
  <c i="24" r="O86"/>
  <c i="24" r="Q72"/>
  <c i="24" r="Q108"/>
  <c i="24" r="R80"/>
  <c i="24" r="B91"/>
  <c i="24" r="L67"/>
  <c i="24" r="L69"/>
  <c i="24" r="L71"/>
  <c i="24" r="L73"/>
  <c i="24" r="L75"/>
  <c i="24" r="L77"/>
  <c i="24" r="L79"/>
  <c i="24" r="L81"/>
  <c i="24" r="L83"/>
  <c i="24" r="L85"/>
  <c i="24" r="L87"/>
  <c i="24" r="L89"/>
  <c i="24" r="L91"/>
  <c i="24" r="L93"/>
  <c i="24" r="L95"/>
  <c i="24" r="L97"/>
  <c i="24" r="L99"/>
  <c i="24" r="L101"/>
  <c i="24" r="L103"/>
  <c i="24" r="L105"/>
  <c i="24" r="L107"/>
  <c i="24" r="L109"/>
  <c i="24" r="L111"/>
  <c i="24" r="L113"/>
  <c i="24" r="L115"/>
  <c i="24" r="L117"/>
  <c i="24" r="L92"/>
  <c i="24" r="M94"/>
  <c i="24" r="Q110"/>
  <c i="24" r="R78"/>
  <c i="24" r="B97"/>
  <c i="24" r="M67"/>
  <c i="24" r="M69"/>
  <c i="24" r="M71"/>
  <c i="24" r="M73"/>
  <c i="24" r="M75"/>
  <c i="24" r="M77"/>
  <c i="24" r="M79"/>
  <c i="24" r="M81"/>
  <c i="24" r="M83"/>
  <c i="24" r="M85"/>
  <c i="24" r="M87"/>
  <c i="24" r="M89"/>
  <c i="24" r="M91"/>
  <c i="24" r="M93"/>
  <c i="24" r="M95"/>
  <c i="24" r="M97"/>
  <c i="24" r="M99"/>
  <c i="24" r="M101"/>
  <c i="24" r="M103"/>
  <c i="24" r="M105"/>
  <c i="24" r="M107"/>
  <c i="24" r="M109"/>
  <c i="24" r="M111"/>
  <c i="24" r="M113"/>
  <c i="24" r="M115"/>
  <c i="24" r="M117"/>
  <c i="24" r="L100"/>
  <c i="24" r="O78"/>
  <c i="24" r="Q90"/>
  <c i="24" r="R92"/>
  <c i="24" r="B81"/>
  <c i="24" r="N67"/>
  <c i="24" r="N69"/>
  <c i="24" r="N71"/>
  <c i="24" r="N73"/>
  <c i="24" r="N75"/>
  <c i="24" r="N77"/>
  <c i="24" r="N79"/>
  <c i="24" r="N81"/>
  <c i="24" r="N83"/>
  <c i="24" r="N85"/>
  <c i="24" r="N87"/>
  <c i="24" r="N89"/>
  <c i="24" r="N91"/>
  <c i="24" r="N93"/>
  <c i="24" r="N95"/>
  <c i="24" r="N97"/>
  <c i="24" r="N99"/>
  <c i="24" r="N101"/>
  <c i="24" r="N103"/>
  <c i="24" r="N105"/>
  <c i="24" r="N107"/>
  <c i="24" r="N109"/>
  <c i="24" r="N111"/>
  <c i="24" r="N113"/>
  <c i="24" r="N115"/>
  <c i="24" r="N117"/>
  <c i="24" r="L82"/>
  <c i="24" r="M84"/>
  <c i="24" r="P74"/>
  <c i="24" r="Q84"/>
  <c i="24" r="Q98"/>
  <c i="24" r="R84"/>
  <c i="24" r="B69"/>
  <c i="24" r="B99"/>
  <c i="24" r="O67"/>
  <c i="24" r="O69"/>
  <c i="24" r="O71"/>
  <c i="24" r="O73"/>
  <c i="24" r="O75"/>
  <c i="24" r="O77"/>
  <c i="24" r="O79"/>
  <c i="24" r="O81"/>
  <c i="24" r="O83"/>
  <c i="24" r="O85"/>
  <c i="24" r="O87"/>
  <c i="24" r="O89"/>
  <c i="24" r="O91"/>
  <c i="24" r="O93"/>
  <c i="24" r="O95"/>
  <c i="24" r="O97"/>
  <c i="24" r="O99"/>
  <c i="24" r="O101"/>
  <c i="24" r="O103"/>
  <c i="24" r="O105"/>
  <c i="24" r="O107"/>
  <c i="24" r="O109"/>
  <c i="24" r="O111"/>
  <c i="24" r="O113"/>
  <c i="24" r="O115"/>
  <c i="24" r="O117"/>
  <c i="24" r="L78"/>
  <c i="24" r="M90"/>
  <c i="24" r="P78"/>
  <c i="24" r="Q82"/>
  <c i="24" r="Q102"/>
  <c i="24" r="R76"/>
  <c i="24" r="S61"/>
  <c i="24" r="S67" s="1"/>
  <c i="24" r="B73"/>
  <c i="24" r="B89"/>
  <c i="24" r="P67"/>
  <c i="24" r="P69"/>
  <c i="24" r="P71"/>
  <c i="24" r="P73"/>
  <c i="24" r="P75"/>
  <c i="24" r="P77"/>
  <c i="24" r="P79"/>
  <c i="24" r="P81"/>
  <c i="24" r="P83"/>
  <c i="24" r="P85"/>
  <c i="24" r="P87"/>
  <c i="24" r="P89"/>
  <c i="24" r="P91"/>
  <c i="24" r="P93"/>
  <c i="24" r="P95"/>
  <c i="24" r="P97"/>
  <c i="24" r="P99"/>
  <c i="24" r="P101"/>
  <c i="24" r="P103"/>
  <c i="24" r="P105"/>
  <c i="24" r="P107"/>
  <c i="24" r="P109"/>
  <c i="24" r="P111"/>
  <c i="24" r="P113"/>
  <c i="24" r="P115"/>
  <c i="24" r="L94"/>
  <c i="24" r="M98"/>
  <c i="24" r="O92"/>
  <c i="24" r="Q76"/>
  <c i="24" r="Q112"/>
  <c i="24" r="R86"/>
  <c i="24" r="B93"/>
  <c i="24" r="Q67"/>
  <c i="24" r="Q69"/>
  <c i="24" r="Q71"/>
  <c i="24" r="Q73"/>
  <c i="24" r="Q75"/>
  <c i="24" r="Q77"/>
  <c i="24" r="Q79"/>
  <c i="24" r="Q81"/>
  <c i="24" r="Q83"/>
  <c i="24" r="Q85"/>
  <c i="24" r="Q87"/>
  <c i="24" r="Q89"/>
  <c i="24" r="Q91"/>
  <c i="24" r="Q93"/>
  <c i="24" r="Q95"/>
  <c i="24" r="Q97"/>
  <c i="24" r="Q99"/>
  <c i="24" r="Q101"/>
  <c i="24" r="Q103"/>
  <c i="24" r="Q105"/>
  <c i="24" r="Q107"/>
  <c i="24" r="Q109"/>
  <c i="24" r="Q111"/>
  <c i="24" r="Q113"/>
  <c i="24" r="Q115"/>
  <c i="24" r="Q117"/>
  <c i="24" r="L98"/>
  <c i="24" r="Q80"/>
  <c i="24" r="Q106"/>
  <c i="24" r="R72"/>
  <c i="24" r="B77"/>
  <c i="24" r="R69"/>
  <c i="24" r="R71"/>
  <c i="24" r="R73"/>
  <c i="24" r="R75"/>
  <c i="24" r="R77"/>
  <c i="24" r="R79"/>
  <c i="24" r="R81"/>
  <c i="24" r="R83"/>
  <c i="24" r="R85"/>
  <c i="24" r="R87"/>
  <c i="24" r="R89"/>
  <c i="24" r="R91"/>
  <c i="24" r="R93"/>
  <c i="24" r="R95"/>
  <c i="24" r="R97"/>
  <c i="24" r="R99"/>
  <c i="24" r="R101"/>
  <c i="24" r="R103"/>
  <c i="24" r="R105"/>
  <c i="24" r="R107"/>
  <c i="24" r="R109"/>
  <c i="24" r="R111"/>
  <c i="24" r="R113"/>
  <c i="24" r="R115"/>
  <c i="24" r="R117"/>
  <c i="24" r="L68"/>
  <c i="24" r="B71"/>
  <c i="23" r="S94"/>
  <c i="23" r="S68"/>
  <c i="23" r="S96"/>
  <c i="23" r="S82"/>
  <c i="23" r="S98"/>
  <c i="23" r="S69"/>
  <c i="23" r="S71"/>
  <c i="23" r="S103"/>
  <c i="23" r="S72"/>
  <c i="23" r="S73"/>
  <c i="23" r="B68"/>
  <c i="23" r="B70"/>
  <c i="23" r="B72"/>
  <c i="23" r="B74"/>
  <c i="23" r="B76"/>
  <c i="23" r="B78"/>
  <c i="23" r="B80"/>
  <c i="23" r="B82"/>
  <c i="23" r="B84"/>
  <c i="23" r="B86"/>
  <c i="23" r="B88"/>
  <c i="23" r="B90"/>
  <c i="23" r="B92"/>
  <c i="23" r="B94"/>
  <c i="23" r="B96"/>
  <c i="23" r="B98"/>
  <c i="23" r="B100"/>
  <c i="23" r="B102"/>
  <c i="23" r="B104"/>
  <c i="23" r="B106"/>
  <c i="23" r="B108"/>
  <c i="23" r="B110"/>
  <c i="23" r="B112"/>
  <c i="23" r="B114"/>
  <c i="23" r="B116"/>
  <c i="23" r="C116"/>
  <c i="23" r="D116"/>
  <c i="23" r="E116"/>
  <c i="23" r="F116"/>
  <c i="23" r="G116"/>
  <c i="23" r="C112"/>
  <c i="23" r="E114"/>
  <c i="23" r="H116"/>
  <c i="23" r="E96"/>
  <c i="23" r="F68"/>
  <c i="23" r="F90"/>
  <c i="23" r="G86"/>
  <c i="23" r="C104"/>
  <c i="23" r="D102"/>
  <c i="23" r="E100"/>
  <c i="23" r="F102"/>
  <c i="23" r="G74"/>
  <c i="23" r="G92"/>
  <c i="23" r="H106"/>
  <c i="23" r="I61"/>
  <c i="23" r="I88" s="1"/>
  <c i="23" r="L68"/>
  <c i="23" r="L70"/>
  <c i="23" r="L72"/>
  <c i="23" r="L74"/>
  <c i="23" r="L76"/>
  <c i="23" r="L78"/>
  <c i="23" r="L80"/>
  <c i="23" r="L82"/>
  <c i="23" r="L84"/>
  <c i="23" r="L86"/>
  <c i="23" r="L88"/>
  <c i="23" r="L90"/>
  <c i="23" r="L92"/>
  <c i="23" r="L94"/>
  <c i="23" r="L96"/>
  <c i="23" r="L98"/>
  <c i="23" r="L100"/>
  <c i="23" r="L102"/>
  <c i="23" r="L104"/>
  <c i="23" r="L106"/>
  <c i="23" r="L108"/>
  <c i="23" r="L110"/>
  <c i="23" r="L112"/>
  <c i="23" r="L114"/>
  <c i="23" r="L116"/>
  <c i="23" r="C72"/>
  <c i="23" r="C80"/>
  <c i="23" r="C114"/>
  <c i="23" r="F80"/>
  <c i="23" r="F114"/>
  <c i="23" r="M106"/>
  <c i="23" r="M108"/>
  <c i="23" r="M110"/>
  <c i="23" r="M112"/>
  <c i="23" r="M114"/>
  <c i="23" r="M116"/>
  <c i="23" r="N116"/>
  <c i="23" r="C68"/>
  <c i="23" r="D80"/>
  <c i="23" r="D92"/>
  <c i="23" r="D114"/>
  <c i="23" r="F112"/>
  <c i="23" r="O82"/>
  <c i="23" r="O84"/>
  <c i="23" r="O86"/>
  <c i="23" r="O88"/>
  <c i="23" r="O90"/>
  <c i="23" r="O92"/>
  <c i="23" r="O94"/>
  <c i="23" r="O96"/>
  <c i="23" r="O98"/>
  <c i="23" r="O100"/>
  <c i="23" r="O102"/>
  <c i="23" r="O104"/>
  <c i="23" r="O106"/>
  <c i="23" r="O108"/>
  <c i="23" r="O110"/>
  <c i="23" r="O112"/>
  <c i="23" r="O114"/>
  <c i="23" r="O116"/>
  <c i="23" r="C98"/>
  <c i="23" r="D70"/>
  <c i="23" r="D100"/>
  <c i="23" r="E98"/>
  <c i="23" r="F106"/>
  <c i="23" r="G68"/>
  <c i="23" r="G94"/>
  <c i="23" r="H84"/>
  <c i="23" r="H112"/>
  <c i="23" r="M96"/>
  <c i="23" r="N72"/>
  <c i="23" r="N82"/>
  <c i="23" r="N84"/>
  <c i="23" r="N88"/>
  <c i="23" r="N94"/>
  <c i="23" r="N100"/>
  <c i="23" r="N112"/>
  <c i="23" r="N114"/>
  <c i="23" r="O68"/>
  <c i="23" r="O70"/>
  <c i="23" r="O72"/>
  <c i="23" r="O74"/>
  <c i="23" r="O76"/>
  <c i="23" r="O78"/>
  <c i="23" r="P68"/>
  <c i="23" r="P70"/>
  <c i="23" r="P72"/>
  <c i="23" r="P74"/>
  <c i="23" r="P76"/>
  <c i="23" r="P78"/>
  <c i="23" r="P80"/>
  <c i="23" r="P82"/>
  <c i="23" r="P84"/>
  <c i="23" r="P86"/>
  <c i="23" r="P88"/>
  <c i="23" r="P90"/>
  <c i="23" r="P92"/>
  <c i="23" r="P94"/>
  <c i="23" r="P96"/>
  <c i="23" r="P98"/>
  <c i="23" r="P100"/>
  <c i="23" r="P102"/>
  <c i="23" r="P104"/>
  <c i="23" r="P106"/>
  <c i="23" r="P108"/>
  <c i="23" r="P110"/>
  <c i="23" r="P112"/>
  <c i="23" r="P114"/>
  <c i="23" r="P116"/>
  <c i="23" r="Q116"/>
  <c i="23" r="C108"/>
  <c i="23" r="D78"/>
  <c i="23" r="D98"/>
  <c i="23" r="E94"/>
  <c i="23" r="F98"/>
  <c i="23" r="G78"/>
  <c i="23" r="G96"/>
  <c i="23" r="H86"/>
  <c i="23" r="H114"/>
  <c i="23" r="R116"/>
  <c i="23" r="C110"/>
  <c i="23" r="D90"/>
  <c i="23" r="E106"/>
  <c i="23" r="G114"/>
  <c i="23" r="C117"/>
  <c i="23" r="C88"/>
  <c i="23" r="D110"/>
  <c i="23" r="E80"/>
  <c i="23" r="E88"/>
  <c i="23" r="F104"/>
  <c i="23" r="G70"/>
  <c i="23" r="G102"/>
  <c i="23" r="H68"/>
  <c i="23" r="H94"/>
  <c i="23" r="D117"/>
  <c i="23" r="C86"/>
  <c i="23" r="D108"/>
  <c i="23" r="E78"/>
  <c i="23" r="E90"/>
  <c i="23" r="F108"/>
  <c i="23" r="G72"/>
  <c i="23" r="G82"/>
  <c i="23" r="G90"/>
  <c i="23" r="H92"/>
  <c i="23" r="M90"/>
  <c i="23" r="N98"/>
  <c i="23" r="Q78"/>
  <c i="23" r="Q82"/>
  <c i="23" r="Q90"/>
  <c i="23" r="Q94"/>
  <c i="23" r="Q96"/>
  <c i="23" r="R78"/>
  <c i="23" r="R100"/>
  <c i="23" r="E117"/>
  <c i="23" r="F117"/>
  <c i="23" r="C76"/>
  <c i="23" r="C92"/>
  <c i="23" r="D88"/>
  <c i="23" r="E68"/>
  <c i="23" r="E108"/>
  <c i="23" r="F76"/>
  <c i="23" r="F84"/>
  <c i="23" r="G106"/>
  <c i="23" r="H80"/>
  <c i="23" r="H102"/>
  <c i="23" r="M70"/>
  <c i="23" r="M80"/>
  <c i="23" r="M102"/>
  <c i="23" r="N74"/>
  <c i="23" r="N90"/>
  <c i="23" r="Q114"/>
  <c i="23" r="R76"/>
  <c i="23" r="R90"/>
  <c i="23" r="R96"/>
  <c i="23" r="R110"/>
  <c i="23" r="G67"/>
  <c i="23" r="G69"/>
  <c i="23" r="G71"/>
  <c i="23" r="G73"/>
  <c i="23" r="G75"/>
  <c i="23" r="G77"/>
  <c i="23" r="G79"/>
  <c i="23" r="G81"/>
  <c i="23" r="G83"/>
  <c i="23" r="G85"/>
  <c i="23" r="G87"/>
  <c i="23" r="G89"/>
  <c i="23" r="G91"/>
  <c i="23" r="G93"/>
  <c i="23" r="G95"/>
  <c i="23" r="G97"/>
  <c i="23" r="G99"/>
  <c i="23" r="G101"/>
  <c i="23" r="G103"/>
  <c i="23" r="G105"/>
  <c i="23" r="G107"/>
  <c i="23" r="G109"/>
  <c i="23" r="G111"/>
  <c i="23" r="G113"/>
  <c i="23" r="G115"/>
  <c i="23" r="G117"/>
  <c i="23" r="C74"/>
  <c i="23" r="C84"/>
  <c i="23" r="D104"/>
  <c i="23" r="E72"/>
  <c i="23" r="E92"/>
  <c i="23" r="F74"/>
  <c i="23" r="F92"/>
  <c i="23" r="G84"/>
  <c i="23" r="H110"/>
  <c i="23" r="M72"/>
  <c i="23" r="M82"/>
  <c i="23" r="N110"/>
  <c i="23" r="Q74"/>
  <c i="23" r="Q108"/>
  <c i="23" r="R80"/>
  <c i="23" r="R106"/>
  <c i="23" r="C85"/>
  <c i="23" r="C113"/>
  <c i="23" r="D79"/>
  <c i="23" r="D103"/>
  <c i="23" r="E69"/>
  <c i="23" r="E75"/>
  <c i="23" r="E83"/>
  <c i="23" r="E91"/>
  <c i="23" r="E97"/>
  <c i="23" r="E101"/>
  <c i="23" r="E105"/>
  <c i="23" r="E109"/>
  <c i="23" r="E113"/>
  <c i="23" r="F67"/>
  <c i="23" r="F71"/>
  <c i="23" r="F75"/>
  <c i="23" r="F79"/>
  <c i="23" r="F83"/>
  <c i="23" r="F87"/>
  <c i="23" r="F89"/>
  <c i="23" r="F91"/>
  <c i="23" r="F95"/>
  <c i="23" r="F97"/>
  <c i="23" r="F99"/>
  <c i="23" r="F101"/>
  <c i="23" r="F103"/>
  <c i="23" r="F105"/>
  <c i="23" r="F107"/>
  <c i="23" r="F111"/>
  <c i="23" r="F113"/>
  <c i="23" r="F115"/>
  <c i="23" r="H67"/>
  <c i="23" r="H69"/>
  <c i="23" r="H71"/>
  <c i="23" r="H73"/>
  <c i="23" r="H75"/>
  <c i="23" r="H77"/>
  <c i="23" r="H79"/>
  <c i="23" r="H81"/>
  <c i="23" r="H83"/>
  <c i="23" r="H85"/>
  <c i="23" r="H87"/>
  <c i="23" r="H89"/>
  <c i="23" r="H91"/>
  <c i="23" r="H93"/>
  <c i="23" r="H95"/>
  <c i="23" r="H97"/>
  <c i="23" r="H99"/>
  <c i="23" r="H101"/>
  <c i="23" r="H103"/>
  <c i="23" r="H105"/>
  <c i="23" r="H107"/>
  <c i="23" r="H109"/>
  <c i="23" r="H111"/>
  <c i="23" r="H113"/>
  <c i="23" r="H115"/>
  <c i="23" r="H117"/>
  <c i="23" r="C100"/>
  <c i="23" r="D68"/>
  <c i="23" r="D86"/>
  <c i="23" r="E104"/>
  <c i="23" r="F70"/>
  <c i="23" r="F88"/>
  <c i="23" r="G108"/>
  <c i="23" r="H82"/>
  <c i="23" r="H98"/>
  <c i="23" r="M68"/>
  <c i="23" r="M92"/>
  <c i="23" r="N70"/>
  <c i="23" r="N108"/>
  <c i="23" r="Q76"/>
  <c i="23" r="Q84"/>
  <c i="23" r="Q92"/>
  <c i="23" r="Q98"/>
  <c i="23" r="R84"/>
  <c i="23" r="R108"/>
  <c i="23" r="C79"/>
  <c i="23" r="C89"/>
  <c i="23" r="C99"/>
  <c i="23" r="C105"/>
  <c i="23" r="D81"/>
  <c i="23" r="D95"/>
  <c i="23" r="D111"/>
  <c i="23" r="E67"/>
  <c i="23" r="E73"/>
  <c i="23" r="E79"/>
  <c i="23" r="E87"/>
  <c i="23" r="E93"/>
  <c i="23" r="E99"/>
  <c i="23" r="E103"/>
  <c i="23" r="E107"/>
  <c i="23" r="E115"/>
  <c i="23" r="F69"/>
  <c i="23" r="F73"/>
  <c i="23" r="F77"/>
  <c i="23" r="F81"/>
  <c i="23" r="F85"/>
  <c i="23" r="F93"/>
  <c i="23" r="F109"/>
  <c i="23" r="C96"/>
  <c i="23" r="D106"/>
  <c i="23" r="E74"/>
  <c i="23" r="E84"/>
  <c i="23" r="F96"/>
  <c i="23" r="G76"/>
  <c i="23" r="G98"/>
  <c i="23" r="H96"/>
  <c i="23" r="M78"/>
  <c i="23" r="N92"/>
  <c i="23" r="Q68"/>
  <c i="23" r="Q110"/>
  <c i="23" r="R74"/>
  <c i="23" r="R98"/>
  <c i="23" r="C83"/>
  <c i="23" r="C115"/>
  <c i="23" r="D73"/>
  <c i="23" r="D85"/>
  <c i="23" r="D101"/>
  <c i="23" r="E71"/>
  <c i="23" r="E77"/>
  <c i="23" r="E81"/>
  <c i="23" r="E85"/>
  <c i="23" r="E89"/>
  <c i="23" r="E95"/>
  <c i="23" r="E111"/>
  <c i="23" r="L67"/>
  <c i="23" r="L69"/>
  <c i="23" r="L71"/>
  <c i="23" r="L73"/>
  <c i="23" r="L75"/>
  <c i="23" r="L77"/>
  <c i="23" r="L79"/>
  <c i="23" r="L81"/>
  <c i="23" r="L83"/>
  <c i="23" r="L85"/>
  <c i="23" r="L87"/>
  <c i="23" r="L89"/>
  <c i="23" r="L91"/>
  <c i="23" r="L93"/>
  <c i="23" r="L95"/>
  <c i="23" r="L97"/>
  <c i="23" r="L99"/>
  <c i="23" r="L101"/>
  <c i="23" r="L103"/>
  <c i="23" r="L105"/>
  <c i="23" r="L107"/>
  <c i="23" r="L109"/>
  <c i="23" r="L111"/>
  <c i="23" r="L113"/>
  <c i="23" r="L115"/>
  <c i="23" r="M117"/>
  <c i="23" r="N117"/>
  <c i="23" r="C78"/>
  <c i="23" r="C82"/>
  <c i="23" r="D76"/>
  <c i="23" r="D82"/>
  <c i="23" r="E110"/>
  <c i="23" r="F72"/>
  <c i="23" r="F82"/>
  <c i="23" r="G112"/>
  <c i="23" r="H76"/>
  <c i="23" r="H88"/>
  <c i="23" r="M86"/>
  <c i="23" r="N102"/>
  <c i="23" r="Q72"/>
  <c i="23" r="Q86"/>
  <c i="23" r="Q106"/>
  <c i="23" r="R72"/>
  <c i="23" r="R88"/>
  <c i="23" r="R92"/>
  <c i="23" r="R112"/>
  <c i="23" r="C67"/>
  <c i="23" r="C77"/>
  <c i="23" r="C87"/>
  <c i="23" r="C101"/>
  <c i="23" r="D93"/>
  <c i="23" r="D115"/>
  <c i="23" r="M71"/>
  <c i="23" r="M83"/>
  <c i="23" r="M107"/>
  <c i="23" r="N69"/>
  <c i="23" r="N77"/>
  <c i="23" r="N87"/>
  <c i="23" r="N97"/>
  <c i="23" r="N109"/>
  <c i="23" r="O67"/>
  <c i="23" r="O79"/>
  <c i="23" r="O87"/>
  <c i="23" r="O89"/>
  <c i="23" r="O91"/>
  <c i="23" r="O93"/>
  <c i="23" r="O99"/>
  <c i="23" r="O105"/>
  <c i="23" r="O107"/>
  <c i="23" r="O109"/>
  <c i="23" r="O111"/>
  <c i="23" r="O113"/>
  <c i="23" r="O115"/>
  <c i="23" r="O117"/>
  <c i="23" r="C102"/>
  <c i="23" r="D84"/>
  <c i="23" r="E76"/>
  <c i="23" r="F110"/>
  <c i="23" r="G80"/>
  <c i="23" r="G100"/>
  <c i="23" r="H72"/>
  <c i="23" r="H90"/>
  <c i="23" r="M76"/>
  <c i="23" r="M98"/>
  <c i="23" r="N78"/>
  <c i="23" r="N96"/>
  <c i="23" r="Q100"/>
  <c i="23" r="C69"/>
  <c i="23" r="C81"/>
  <c i="23" r="C97"/>
  <c i="23" r="C103"/>
  <c i="23" r="D71"/>
  <c i="23" r="D87"/>
  <c i="23" r="D109"/>
  <c i="23" r="M77"/>
  <c i="23" r="M91"/>
  <c i="23" r="M109"/>
  <c i="23" r="N73"/>
  <c i="23" r="N81"/>
  <c i="23" r="N89"/>
  <c i="23" r="N101"/>
  <c i="23" r="N111"/>
  <c i="23" r="O75"/>
  <c i="23" r="O103"/>
  <c i="23" r="P67"/>
  <c i="23" r="P69"/>
  <c i="23" r="P71"/>
  <c i="23" r="P73"/>
  <c i="23" r="P75"/>
  <c i="23" r="P77"/>
  <c i="23" r="P79"/>
  <c i="23" r="P81"/>
  <c i="23" r="P83"/>
  <c i="23" r="P85"/>
  <c i="23" r="P87"/>
  <c i="23" r="P89"/>
  <c i="23" r="P91"/>
  <c i="23" r="P93"/>
  <c i="23" r="P95"/>
  <c i="23" r="P97"/>
  <c i="23" r="P99"/>
  <c i="23" r="P101"/>
  <c i="23" r="P103"/>
  <c i="23" r="P105"/>
  <c i="23" r="P107"/>
  <c i="23" r="P109"/>
  <c i="23" r="P111"/>
  <c i="23" r="P113"/>
  <c i="23" r="P115"/>
  <c i="23" r="C70"/>
  <c i="23" r="C94"/>
  <c i="23" r="D74"/>
  <c i="23" r="D94"/>
  <c i="23" r="E112"/>
  <c i="23" r="F78"/>
  <c i="23" r="F86"/>
  <c i="23" r="G104"/>
  <c i="23" r="H74"/>
  <c i="23" r="H104"/>
  <c i="23" r="M74"/>
  <c i="23" r="M84"/>
  <c i="23" r="M100"/>
  <c i="23" r="N80"/>
  <c i="23" r="N86"/>
  <c i="23" r="Q112"/>
  <c i="23" r="R70"/>
  <c i="23" r="R86"/>
  <c i="23" r="R94"/>
  <c i="23" r="R114"/>
  <c i="23" r="C73"/>
  <c i="23" r="C93"/>
  <c i="23" r="C111"/>
  <c i="23" r="D67"/>
  <c i="23" r="D75"/>
  <c i="23" r="D89"/>
  <c i="23" r="D105"/>
  <c i="23" r="M67"/>
  <c i="23" r="M73"/>
  <c i="23" r="M81"/>
  <c i="23" r="M87"/>
  <c i="23" r="M95"/>
  <c i="23" r="M99"/>
  <c i="23" r="M105"/>
  <c i="23" r="M115"/>
  <c i="23" r="N67"/>
  <c i="23" r="N79"/>
  <c i="23" r="N91"/>
  <c i="23" r="N99"/>
  <c i="23" r="N105"/>
  <c i="23" r="N115"/>
  <c i="23" r="O73"/>
  <c i="23" r="O83"/>
  <c i="23" r="O97"/>
  <c i="23" r="Q67"/>
  <c i="23" r="Q69"/>
  <c i="23" r="Q71"/>
  <c i="23" r="Q73"/>
  <c i="23" r="Q75"/>
  <c i="23" r="Q77"/>
  <c i="23" r="Q79"/>
  <c i="23" r="Q81"/>
  <c i="23" r="Q83"/>
  <c i="23" r="Q85"/>
  <c i="23" r="Q87"/>
  <c i="23" r="Q89"/>
  <c i="23" r="Q91"/>
  <c i="23" r="Q93"/>
  <c i="23" r="Q95"/>
  <c i="23" r="Q97"/>
  <c i="23" r="Q99"/>
  <c i="23" r="Q101"/>
  <c i="23" r="Q103"/>
  <c i="23" r="Q105"/>
  <c i="23" r="Q107"/>
  <c i="23" r="Q109"/>
  <c i="23" r="Q111"/>
  <c i="23" r="Q113"/>
  <c i="23" r="Q115"/>
  <c i="23" r="Q117"/>
  <c i="23" r="C90"/>
  <c i="23" r="D112"/>
  <c i="23" r="E82"/>
  <c i="23" r="E86"/>
  <c i="23" r="F100"/>
  <c i="23" r="G88"/>
  <c i="23" r="H108"/>
  <c i="23" r="M88"/>
  <c i="23" r="N68"/>
  <c i="23" r="N104"/>
  <c i="23" r="Q80"/>
  <c i="23" r="Q104"/>
  <c i="23" r="R82"/>
  <c i="23" r="R104"/>
  <c i="23" r="C75"/>
  <c i="23" r="C95"/>
  <c i="23" r="C109"/>
  <c i="23" r="D69"/>
  <c i="23" r="D83"/>
  <c i="23" r="D99"/>
  <c i="23" r="D113"/>
  <c i="23" r="M69"/>
  <c i="23" r="M79"/>
  <c i="23" r="M89"/>
  <c i="23" r="M97"/>
  <c i="23" r="M103"/>
  <c i="23" r="M113"/>
  <c i="23" r="N75"/>
  <c i="23" r="N85"/>
  <c i="23" r="N95"/>
  <c i="23" r="N103"/>
  <c i="23" r="N113"/>
  <c i="23" r="O69"/>
  <c i="23" r="O77"/>
  <c i="23" r="O85"/>
  <c i="23" r="O95"/>
  <c i="23" r="R69"/>
  <c i="23" r="R71"/>
  <c i="23" r="R73"/>
  <c i="23" r="R75"/>
  <c i="23" r="R77"/>
  <c i="23" r="R79"/>
  <c i="23" r="R81"/>
  <c i="23" r="R83"/>
  <c i="23" r="R85"/>
  <c i="23" r="R87"/>
  <c i="23" r="R89"/>
  <c i="23" r="R91"/>
  <c i="23" r="R93"/>
  <c i="23" r="R95"/>
  <c i="23" r="R97"/>
  <c i="23" r="R99"/>
  <c i="23" r="R101"/>
  <c i="23" r="R103"/>
  <c i="23" r="R105"/>
  <c i="23" r="R107"/>
  <c i="23" r="R109"/>
  <c i="23" r="R111"/>
  <c i="23" r="R113"/>
  <c i="23" r="R115"/>
  <c i="23" r="R117"/>
  <c i="23" r="C106"/>
  <c i="23" r="D72"/>
  <c i="23" r="D96"/>
  <c i="23" r="E70"/>
  <c i="23" r="H78"/>
  <c i="23" r="M94"/>
  <c i="23" r="N76"/>
  <c i="23" r="N106"/>
  <c i="23" r="Q70"/>
  <c i="23" r="Q88"/>
  <c i="23" r="R68"/>
  <c i="23" r="C71"/>
  <c i="23" r="C91"/>
  <c i="23" r="D77"/>
  <c i="23" r="D91"/>
  <c i="23" r="D97"/>
  <c i="23" r="M75"/>
  <c i="23" r="M85"/>
  <c i="23" r="M93"/>
  <c i="23" r="M101"/>
  <c i="23" r="N71"/>
  <c i="23" r="N83"/>
  <c i="23" r="N93"/>
  <c i="23" r="O71"/>
  <c i="23" r="O81"/>
  <c i="20" r="C58"/>
  <c i="20" r="D58"/>
  <c i="20" r="E58"/>
  <c i="20" r="F58"/>
  <c i="20" r="G58"/>
  <c i="20" r="H58"/>
  <c i="20" r="B58"/>
  <c i="20" r="I11"/>
  <c i="20" r="I12"/>
  <c i="20" r="I13"/>
  <c i="20" r="I14"/>
  <c i="20" r="I15"/>
  <c i="20" r="I16"/>
  <c i="20" r="I17"/>
  <c i="20" r="I18"/>
  <c i="20" r="I19"/>
  <c i="20" r="I20"/>
  <c i="20" r="I21"/>
  <c i="20" r="I22"/>
  <c i="20" r="I23"/>
  <c i="20" r="I24"/>
  <c i="20" r="I25"/>
  <c i="20" r="I26"/>
  <c i="20" r="I27"/>
  <c i="20" r="I28"/>
  <c i="20" r="I29"/>
  <c i="20" r="I30"/>
  <c i="20" r="I31"/>
  <c i="20" r="I32"/>
  <c i="20" r="I33"/>
  <c i="20" r="I34"/>
  <c i="20" r="I35"/>
  <c i="20" r="I36"/>
  <c i="20" r="I37"/>
  <c i="20" r="I38"/>
  <c i="20" r="I39"/>
  <c i="20" r="I40"/>
  <c i="20" r="I41"/>
  <c i="20" r="I42"/>
  <c i="20" r="I43"/>
  <c i="20" r="I44"/>
  <c i="20" r="I45"/>
  <c i="20" r="I46"/>
  <c i="20" r="I47"/>
  <c i="20" r="I48"/>
  <c i="20" r="I49"/>
  <c i="20" r="I50"/>
  <c i="20" r="I51"/>
  <c i="20" r="I52"/>
  <c i="20" r="I53"/>
  <c i="20" r="I54"/>
  <c i="20" r="I55"/>
  <c i="20" r="I56"/>
  <c i="20" r="I57"/>
  <c i="20" r="I10"/>
  <c i="19" r="H61"/>
  <c i="19" r="G61"/>
  <c i="19" r="F61"/>
  <c i="19" r="E61"/>
  <c i="19" r="D61"/>
  <c i="19" r="C61"/>
  <c i="19" r="B61"/>
  <c i="19" r="I60"/>
  <c i="19" r="I59"/>
  <c i="19" r="I58"/>
  <c i="19" r="I57"/>
  <c i="19" r="I56"/>
  <c i="19" r="I55"/>
  <c i="19" r="I54"/>
  <c i="19" r="I53"/>
  <c i="19" r="I52"/>
  <c i="19" r="I51"/>
  <c i="19" r="I50"/>
  <c i="19" r="I49"/>
  <c i="19" r="I48"/>
  <c i="19" r="I47"/>
  <c i="19" r="I46"/>
  <c i="19" r="I45"/>
  <c i="19" r="I44"/>
  <c i="19" r="I43"/>
  <c i="19" r="I42"/>
  <c i="19" r="I41"/>
  <c i="19" r="I40"/>
  <c i="19" r="I39"/>
  <c i="19" r="I38"/>
  <c i="19" r="I37"/>
  <c i="19" r="I36"/>
  <c i="19" r="I35"/>
  <c i="19" r="I34"/>
  <c i="19" r="I33"/>
  <c i="19" r="I32"/>
  <c i="19" r="I31"/>
  <c i="19" r="I30"/>
  <c i="19" r="I29"/>
  <c i="19" r="I28"/>
  <c i="19" r="I27"/>
  <c i="19" r="I26"/>
  <c i="19" r="I25"/>
  <c i="19" r="I24"/>
  <c i="19" r="I23"/>
  <c i="19" r="I22"/>
  <c i="19" r="I21"/>
  <c i="19" r="I20"/>
  <c i="19" r="I19"/>
  <c i="19" r="I18"/>
  <c i="19" r="I17"/>
  <c i="19" r="I16"/>
  <c i="19" r="I15"/>
  <c i="19" r="I14"/>
  <c i="19" r="I13"/>
  <c i="19" r="I12"/>
  <c i="19" r="I11"/>
  <c i="19" r="I10"/>
  <c i="20" r="M58"/>
  <c i="20" r="N58"/>
  <c i="20" r="O58"/>
  <c i="20" r="P58"/>
  <c i="20" r="Q58"/>
  <c i="20" r="R58"/>
  <c i="20" r="L58"/>
  <c i="20" r="S11"/>
  <c i="20" r="S12"/>
  <c i="20" r="S13"/>
  <c i="20" r="S14"/>
  <c i="20" r="S15"/>
  <c i="20" r="S16"/>
  <c i="20" r="S17"/>
  <c i="20" r="S18"/>
  <c i="20" r="S19"/>
  <c i="20" r="S20"/>
  <c i="20" r="S21"/>
  <c i="20" r="S22"/>
  <c i="20" r="S23"/>
  <c i="20" r="S24"/>
  <c i="20" r="S25"/>
  <c i="20" r="S26"/>
  <c i="20" r="S27"/>
  <c i="20" r="S28"/>
  <c i="20" r="S29"/>
  <c i="20" r="S30"/>
  <c i="20" r="S31"/>
  <c i="20" r="S32"/>
  <c i="20" r="S33"/>
  <c i="20" r="S34"/>
  <c i="20" r="S35"/>
  <c i="20" r="S36"/>
  <c i="20" r="S37"/>
  <c i="20" r="S38"/>
  <c i="20" r="S39"/>
  <c i="20" r="S40"/>
  <c i="20" r="S41"/>
  <c i="20" r="S42"/>
  <c i="20" r="S43"/>
  <c i="20" r="S44"/>
  <c i="20" r="S45"/>
  <c i="20" r="S46"/>
  <c i="20" r="S47"/>
  <c i="20" r="S48"/>
  <c i="20" r="S49"/>
  <c i="20" r="S50"/>
  <c i="20" r="S51"/>
  <c i="20" r="S52"/>
  <c i="20" r="S53"/>
  <c i="20" r="S54"/>
  <c i="20" r="S55"/>
  <c i="20" r="S56"/>
  <c i="20" r="S57"/>
  <c i="20" r="S10"/>
  <c i="19" r="R61"/>
  <c i="19" r="Q61"/>
  <c i="19" r="P61"/>
  <c i="19" r="O61"/>
  <c i="19" r="N61"/>
  <c i="19" r="M61"/>
  <c i="19" r="L61"/>
  <c i="19" r="S60"/>
  <c i="19" r="S59"/>
  <c i="19" r="S58"/>
  <c i="19" r="S57"/>
  <c i="19" r="S56"/>
  <c i="19" r="S55"/>
  <c i="19" r="S54"/>
  <c i="19" r="S53"/>
  <c i="19" r="S52"/>
  <c i="19" r="S51"/>
  <c i="19" r="S50"/>
  <c i="19" r="S49"/>
  <c i="19" r="S48"/>
  <c i="19" r="S47"/>
  <c i="19" r="S46"/>
  <c i="19" r="S45"/>
  <c i="19" r="S44"/>
  <c i="19" r="S43"/>
  <c i="19" r="S42"/>
  <c i="19" r="S41"/>
  <c i="19" r="S40"/>
  <c i="19" r="S39"/>
  <c i="19" r="S38"/>
  <c i="19" r="S37"/>
  <c i="19" r="S36"/>
  <c i="19" r="S35"/>
  <c i="19" r="S34"/>
  <c i="19" r="S33"/>
  <c i="19" r="S32"/>
  <c i="19" r="S31"/>
  <c i="19" r="S30"/>
  <c i="19" r="S29"/>
  <c i="19" r="S28"/>
  <c i="19" r="S27"/>
  <c i="19" r="S26"/>
  <c i="19" r="S25"/>
  <c i="19" r="S24"/>
  <c i="19" r="S23"/>
  <c i="19" r="S22"/>
  <c i="19" r="S21"/>
  <c i="19" r="S20"/>
  <c i="19" r="S19"/>
  <c i="19" r="S18"/>
  <c i="19" r="S17"/>
  <c i="19" r="S16"/>
  <c i="19" r="S15"/>
  <c i="19" r="S14"/>
  <c i="19" r="S13"/>
  <c i="19" r="S12"/>
  <c i="19" r="S11"/>
  <c i="19" r="S10"/>
  <c i="12" r="M61"/>
  <c i="12" r="N61"/>
  <c i="12" r="N68" s="1"/>
  <c i="12" r="O61"/>
  <c i="12" r="P61"/>
  <c i="12" r="Q61"/>
  <c i="12" r="R61"/>
  <c i="12" r="L61"/>
  <c i="12" r="S11"/>
  <c i="12" r="S12"/>
  <c i="12" r="S13"/>
  <c i="12" r="S14"/>
  <c i="12" r="S15"/>
  <c i="12" r="S16"/>
  <c i="12" r="S17"/>
  <c i="12" r="S18"/>
  <c i="12" r="S19"/>
  <c i="12" r="S20"/>
  <c i="12" r="S21"/>
  <c i="12" r="S22"/>
  <c i="12" r="S23"/>
  <c i="12" r="S24"/>
  <c i="12" r="S25"/>
  <c i="12" r="S26"/>
  <c i="12" r="S27"/>
  <c i="12" r="S28"/>
  <c i="12" r="S29"/>
  <c i="12" r="S30"/>
  <c i="12" r="S31"/>
  <c i="12" r="S32"/>
  <c i="12" r="S33"/>
  <c i="12" r="S34"/>
  <c i="12" r="S35"/>
  <c i="12" r="S36"/>
  <c i="12" r="S37"/>
  <c i="12" r="S38"/>
  <c i="12" r="S39"/>
  <c i="12" r="S40"/>
  <c i="12" r="S41"/>
  <c i="12" r="S42"/>
  <c i="12" r="S43"/>
  <c i="12" r="S44"/>
  <c i="12" r="S45"/>
  <c i="12" r="S46"/>
  <c i="12" r="S47"/>
  <c i="12" r="S48"/>
  <c i="12" r="S49"/>
  <c i="12" r="S50"/>
  <c i="12" r="S51"/>
  <c i="12" r="S52"/>
  <c i="12" r="S53"/>
  <c i="12" r="S54"/>
  <c i="12" r="S55"/>
  <c i="12" r="S56"/>
  <c i="12" r="S57"/>
  <c i="12" r="S58"/>
  <c i="12" r="S59"/>
  <c i="12" r="S60"/>
  <c i="12" r="S10"/>
  <c i="12" r="C61"/>
  <c i="12" r="D61"/>
  <c i="12" r="E61"/>
  <c i="12" r="F61"/>
  <c i="12" r="G61"/>
  <c i="12" r="H61"/>
  <c i="12" r="I11"/>
  <c i="12" r="I12"/>
  <c i="12" r="I13"/>
  <c i="12" r="I14"/>
  <c i="12" r="I15"/>
  <c i="12" r="I16"/>
  <c i="12" r="I17"/>
  <c i="12" r="I18"/>
  <c i="12" r="I19"/>
  <c i="12" r="I20"/>
  <c i="12" r="I21"/>
  <c i="12" r="I22"/>
  <c i="12" r="I23"/>
  <c i="12" r="I24"/>
  <c i="12" r="I25"/>
  <c i="12" r="I26"/>
  <c i="12" r="I27"/>
  <c i="12" r="I28"/>
  <c i="12" r="I29"/>
  <c i="12" r="I30"/>
  <c i="12" r="I31"/>
  <c i="12" r="I32"/>
  <c i="12" r="I33"/>
  <c i="12" r="I34"/>
  <c i="12" r="I35"/>
  <c i="12" r="I36"/>
  <c i="12" r="I37"/>
  <c i="12" r="I38"/>
  <c i="12" r="I39"/>
  <c i="12" r="I40"/>
  <c i="12" r="I41"/>
  <c i="12" r="I42"/>
  <c i="12" r="I43"/>
  <c i="12" r="I44"/>
  <c i="12" r="I45"/>
  <c i="12" r="I46"/>
  <c i="12" r="I47"/>
  <c i="12" r="I48"/>
  <c i="12" r="I49"/>
  <c i="12" r="I50"/>
  <c i="12" r="I51"/>
  <c i="12" r="I52"/>
  <c i="12" r="I53"/>
  <c i="12" r="I54"/>
  <c i="12" r="I55"/>
  <c i="12" r="I56"/>
  <c i="12" r="I57"/>
  <c i="12" r="I58"/>
  <c i="12" r="I59"/>
  <c i="12" r="I60"/>
  <c i="12" r="I10"/>
  <c i="12" r="B61"/>
  <c i="23" l="1" r="S110"/>
  <c i="23" r="S97"/>
  <c i="23" r="S70"/>
  <c i="23" r="S91"/>
  <c i="23" r="S75"/>
  <c i="23" r="S105"/>
  <c i="23" r="S77"/>
  <c i="23" r="S89"/>
  <c i="23" r="I72"/>
  <c i="23" r="I111"/>
  <c i="23" r="S87"/>
  <c i="23" r="I87"/>
  <c i="23" r="S85"/>
  <c i="23" r="S116"/>
  <c i="23" r="I81"/>
  <c i="23" r="I99"/>
  <c i="23" r="I97"/>
  <c i="23" r="I77"/>
  <c i="23" r="I117"/>
  <c i="23" r="I103"/>
  <c i="23" r="S99"/>
  <c i="23" r="I107"/>
  <c i="23" r="S67"/>
  <c i="23" r="I105"/>
  <c i="23" r="S113"/>
  <c i="23" r="S102"/>
  <c i="23" r="S101"/>
  <c i="23" r="S95"/>
  <c i="23" r="S106"/>
  <c i="23" r="I109"/>
  <c i="23" r="S90"/>
  <c i="23" r="S86"/>
  <c i="23" r="S74"/>
  <c i="23" r="S117"/>
  <c i="23" r="S104"/>
  <c i="23" r="I85"/>
  <c i="23" r="S115"/>
  <c i="23" r="I104"/>
  <c i="23" r="I71"/>
  <c i="23" r="I95"/>
  <c i="23" r="S83"/>
  <c i="23" r="I86"/>
  <c i="23" r="I91"/>
  <c i="23" r="S108"/>
  <c i="23" r="S81"/>
  <c i="23" r="I67"/>
  <c i="23" r="S84"/>
  <c i="23" r="S92"/>
  <c i="23" r="S79"/>
  <c i="23" r="I113"/>
  <c i="23" r="S114"/>
  <c i="23" r="S76"/>
  <c i="23" r="I90"/>
  <c i="23" r="S80"/>
  <c i="23" r="S93"/>
  <c i="23" r="I89"/>
  <c i="23" r="S100"/>
  <c i="23" r="S88"/>
  <c i="23" r="S112"/>
  <c i="23" r="S111"/>
  <c i="23" r="S78"/>
  <c i="23" r="S107"/>
  <c i="24" r="S83"/>
  <c i="24" r="I116"/>
  <c i="24" r="I114"/>
  <c i="24" r="I112"/>
  <c i="24" r="I110"/>
  <c i="24" r="I100"/>
  <c i="24" r="I98"/>
  <c i="24" r="I96"/>
  <c i="24" r="I94"/>
  <c i="24" r="I84"/>
  <c i="24" r="I82"/>
  <c i="24" r="I80"/>
  <c i="24" r="I78"/>
  <c i="24" r="I76"/>
  <c i="24" r="I68"/>
  <c i="24" r="I92"/>
  <c i="24" r="I93"/>
  <c i="24" r="I107"/>
  <c i="24" r="S98"/>
  <c i="24" r="S94"/>
  <c i="24" r="S84"/>
  <c i="24" r="S80"/>
  <c i="24" r="S96"/>
  <c i="24" r="S82"/>
  <c i="24" r="S68"/>
  <c i="24" r="S78"/>
  <c i="24" r="S116"/>
  <c i="24" r="S114"/>
  <c i="24" r="S112"/>
  <c i="24" r="S110"/>
  <c i="24" r="S100"/>
  <c i="24" r="S74"/>
  <c i="24" r="S72"/>
  <c i="24" r="S105"/>
  <c i="24" r="I72"/>
  <c i="24" r="S104"/>
  <c i="24" r="S70"/>
  <c i="24" r="S103"/>
  <c i="24" r="S69"/>
  <c i="24" r="I115"/>
  <c i="24" r="I69"/>
  <c i="24" r="I99"/>
  <c i="24" r="I95"/>
  <c i="24" r="I83"/>
  <c i="24" r="S77"/>
  <c i="24" r="I67"/>
  <c i="24" r="S76"/>
  <c i="24" r="I79"/>
  <c i="24" r="I90"/>
  <c i="24" r="I109"/>
  <c i="24" r="I73"/>
  <c i="24" r="S75"/>
  <c i="24" r="I88"/>
  <c i="24" r="S90"/>
  <c i="24" r="S87"/>
  <c i="24" r="I105"/>
  <c i="24" r="S102"/>
  <c i="24" r="I70"/>
  <c i="24" r="S117"/>
  <c i="24" r="I101"/>
  <c i="24" r="S111"/>
  <c i="24" r="S113"/>
  <c i="24" r="S95"/>
  <c i="24" r="S108"/>
  <c i="24" r="S81"/>
  <c i="24" r="I87"/>
  <c i="24" r="S97"/>
  <c i="24" r="S93"/>
  <c i="24" r="S79"/>
  <c i="24" r="I111"/>
  <c i="24" r="I108"/>
  <c i="24" r="I75"/>
  <c i="24" r="S107"/>
  <c i="24" r="I91"/>
  <c i="24" r="S109"/>
  <c i="24" r="S73"/>
  <c i="24" r="S106"/>
  <c i="24" r="I74"/>
  <c i="24" r="S92"/>
  <c i="24" r="S88"/>
  <c i="24" r="S89"/>
  <c i="24" r="I89"/>
  <c i="24" r="I104"/>
  <c i="24" r="S71"/>
  <c i="24" r="S85"/>
  <c i="24" r="I71"/>
  <c i="24" r="S91"/>
  <c i="24" r="I86"/>
  <c i="24" r="S101"/>
  <c i="24" r="I106"/>
  <c i="24" r="S86"/>
  <c i="24" r="I117"/>
  <c i="24" r="I113"/>
  <c i="24" r="I103"/>
  <c i="24" r="S115"/>
  <c i="24" r="I97"/>
  <c i="24" r="I102"/>
  <c i="24" r="S99"/>
  <c i="24" r="I81"/>
  <c i="24" r="I85"/>
  <c i="23" r="I96"/>
  <c i="23" r="I68"/>
  <c i="23" r="I106"/>
  <c i="23" r="I110"/>
  <c i="23" r="I78"/>
  <c i="23" r="I92"/>
  <c i="23" r="I94"/>
  <c i="23" r="I114"/>
  <c i="23" r="I69"/>
  <c i="23" r="I102"/>
  <c i="23" r="I112"/>
  <c i="23" r="I82"/>
  <c i="23" r="I108"/>
  <c i="23" r="I80"/>
  <c i="23" r="I100"/>
  <c i="23" r="I84"/>
  <c i="23" r="I98"/>
  <c i="23" r="I76"/>
  <c i="23" r="I74"/>
  <c i="23" r="I116"/>
  <c i="23" r="I73"/>
  <c i="23" r="I70"/>
  <c i="23" r="I93"/>
  <c i="23" r="I83"/>
  <c i="23" r="I101"/>
  <c i="23" r="I79"/>
  <c i="23" r="I115"/>
  <c i="23" r="I75"/>
  <c i="12" r="S61"/>
  <c i="12" r="S114" s="1"/>
  <c i="20" r="S58"/>
  <c i="20" r="S111" s="1"/>
  <c i="19" r="I61"/>
  <c i="19" r="I117" s="1"/>
  <c i="20" r="I58"/>
  <c i="20" r="I105" s="1"/>
  <c i="19" r="S61"/>
  <c i="19" r="S117" s="1"/>
  <c i="12" r="I61"/>
  <c i="12" r="I89" s="1"/>
  <c i="20" r="R111"/>
  <c i="20" r="Q111"/>
  <c i="20" r="P111"/>
  <c i="20" r="O111"/>
  <c i="20" r="N111"/>
  <c i="20" r="M111"/>
  <c i="20" r="L111"/>
  <c i="20" r="H111"/>
  <c i="20" r="G111"/>
  <c i="20" r="F111"/>
  <c i="20" r="E111"/>
  <c i="20" r="D111"/>
  <c i="20" r="C111"/>
  <c i="20" r="B111"/>
  <c i="20" r="R110"/>
  <c i="20" r="Q110"/>
  <c i="20" r="P110"/>
  <c i="20" r="O110"/>
  <c i="20" r="N110"/>
  <c i="20" r="M110"/>
  <c i="20" r="L110"/>
  <c i="20" r="H110"/>
  <c i="20" r="G110"/>
  <c i="20" r="F110"/>
  <c i="20" r="E110"/>
  <c i="20" r="D110"/>
  <c i="20" r="C110"/>
  <c i="20" r="B110"/>
  <c i="20" r="R109"/>
  <c i="20" r="Q109"/>
  <c i="20" r="P109"/>
  <c i="20" r="O109"/>
  <c i="20" r="N109"/>
  <c i="20" r="M109"/>
  <c i="20" r="L109"/>
  <c i="20" r="H109"/>
  <c i="20" r="G109"/>
  <c i="20" r="F109"/>
  <c i="20" r="E109"/>
  <c i="20" r="D109"/>
  <c i="20" r="C109"/>
  <c i="20" r="B109"/>
  <c i="20" r="R108"/>
  <c i="20" r="Q108"/>
  <c i="20" r="P108"/>
  <c i="20" r="O108"/>
  <c i="20" r="N108"/>
  <c i="20" r="M108"/>
  <c i="20" r="L108"/>
  <c i="20" r="H108"/>
  <c i="20" r="G108"/>
  <c i="20" r="F108"/>
  <c i="20" r="E108"/>
  <c i="20" r="D108"/>
  <c i="20" r="C108"/>
  <c i="20" r="B108"/>
  <c i="20" r="R107"/>
  <c i="20" r="Q107"/>
  <c i="20" r="P107"/>
  <c i="20" r="O107"/>
  <c i="20" r="N107"/>
  <c i="20" r="M107"/>
  <c i="20" r="L107"/>
  <c i="20" r="H107"/>
  <c i="20" r="G107"/>
  <c i="20" r="F107"/>
  <c i="20" r="E107"/>
  <c i="20" r="D107"/>
  <c i="20" r="C107"/>
  <c i="20" r="B107"/>
  <c i="20" r="R106"/>
  <c i="20" r="Q106"/>
  <c i="20" r="P106"/>
  <c i="20" r="O106"/>
  <c i="20" r="N106"/>
  <c i="20" r="M106"/>
  <c i="20" r="L106"/>
  <c i="20" r="H106"/>
  <c i="20" r="G106"/>
  <c i="20" r="F106"/>
  <c i="20" r="E106"/>
  <c i="20" r="D106"/>
  <c i="20" r="C106"/>
  <c i="20" r="B106"/>
  <c i="20" r="R105"/>
  <c i="20" r="Q105"/>
  <c i="20" r="P105"/>
  <c i="20" r="O105"/>
  <c i="20" r="N105"/>
  <c i="20" r="M105"/>
  <c i="20" r="L105"/>
  <c i="20" r="H105"/>
  <c i="20" r="G105"/>
  <c i="20" r="F105"/>
  <c i="20" r="E105"/>
  <c i="20" r="D105"/>
  <c i="20" r="C105"/>
  <c i="20" r="B105"/>
  <c i="20" r="R104"/>
  <c i="20" r="Q104"/>
  <c i="20" r="P104"/>
  <c i="20" r="O104"/>
  <c i="20" r="N104"/>
  <c i="20" r="M104"/>
  <c i="20" r="L104"/>
  <c i="20" r="H104"/>
  <c i="20" r="G104"/>
  <c i="20" r="F104"/>
  <c i="20" r="E104"/>
  <c i="20" r="D104"/>
  <c i="20" r="C104"/>
  <c i="20" r="B104"/>
  <c i="20" r="R103"/>
  <c i="20" r="Q103"/>
  <c i="20" r="P103"/>
  <c i="20" r="O103"/>
  <c i="20" r="N103"/>
  <c i="20" r="M103"/>
  <c i="20" r="L103"/>
  <c i="20" r="H103"/>
  <c i="20" r="G103"/>
  <c i="20" r="F103"/>
  <c i="20" r="E103"/>
  <c i="20" r="D103"/>
  <c i="20" r="C103"/>
  <c i="20" r="B103"/>
  <c i="20" r="R102"/>
  <c i="20" r="Q102"/>
  <c i="20" r="P102"/>
  <c i="20" r="O102"/>
  <c i="20" r="N102"/>
  <c i="20" r="M102"/>
  <c i="20" r="L102"/>
  <c i="20" r="H102"/>
  <c i="20" r="G102"/>
  <c i="20" r="F102"/>
  <c i="20" r="E102"/>
  <c i="20" r="D102"/>
  <c i="20" r="C102"/>
  <c i="20" r="B102"/>
  <c i="20" r="R101"/>
  <c i="20" r="Q101"/>
  <c i="20" r="P101"/>
  <c i="20" r="O101"/>
  <c i="20" r="N101"/>
  <c i="20" r="M101"/>
  <c i="20" r="L101"/>
  <c i="20" r="H101"/>
  <c i="20" r="G101"/>
  <c i="20" r="F101"/>
  <c i="20" r="E101"/>
  <c i="20" r="D101"/>
  <c i="20" r="C101"/>
  <c i="20" r="B101"/>
  <c i="20" r="R100"/>
  <c i="20" r="Q100"/>
  <c i="20" r="P100"/>
  <c i="20" r="O100"/>
  <c i="20" r="N100"/>
  <c i="20" r="M100"/>
  <c i="20" r="L100"/>
  <c i="20" r="H100"/>
  <c i="20" r="G100"/>
  <c i="20" r="F100"/>
  <c i="20" r="E100"/>
  <c i="20" r="D100"/>
  <c i="20" r="C100"/>
  <c i="20" r="B100"/>
  <c i="20" r="R99"/>
  <c i="20" r="Q99"/>
  <c i="20" r="P99"/>
  <c i="20" r="O99"/>
  <c i="20" r="N99"/>
  <c i="20" r="M99"/>
  <c i="20" r="L99"/>
  <c i="20" r="H99"/>
  <c i="20" r="G99"/>
  <c i="20" r="F99"/>
  <c i="20" r="E99"/>
  <c i="20" r="D99"/>
  <c i="20" r="C99"/>
  <c i="20" r="B99"/>
  <c i="20" r="R98"/>
  <c i="20" r="Q98"/>
  <c i="20" r="P98"/>
  <c i="20" r="O98"/>
  <c i="20" r="N98"/>
  <c i="20" r="M98"/>
  <c i="20" r="L98"/>
  <c i="20" r="H98"/>
  <c i="20" r="G98"/>
  <c i="20" r="F98"/>
  <c i="20" r="E98"/>
  <c i="20" r="D98"/>
  <c i="20" r="C98"/>
  <c i="20" r="B98"/>
  <c i="20" r="R97"/>
  <c i="20" r="Q97"/>
  <c i="20" r="P97"/>
  <c i="20" r="O97"/>
  <c i="20" r="N97"/>
  <c i="20" r="M97"/>
  <c i="20" r="L97"/>
  <c i="20" r="H97"/>
  <c i="20" r="G97"/>
  <c i="20" r="F97"/>
  <c i="20" r="E97"/>
  <c i="20" r="D97"/>
  <c i="20" r="C97"/>
  <c i="20" r="B97"/>
  <c i="20" r="R96"/>
  <c i="20" r="Q96"/>
  <c i="20" r="P96"/>
  <c i="20" r="O96"/>
  <c i="20" r="N96"/>
  <c i="20" r="M96"/>
  <c i="20" r="L96"/>
  <c i="20" r="H96"/>
  <c i="20" r="G96"/>
  <c i="20" r="F96"/>
  <c i="20" r="E96"/>
  <c i="20" r="D96"/>
  <c i="20" r="C96"/>
  <c i="20" r="B96"/>
  <c i="20" r="R95"/>
  <c i="20" r="Q95"/>
  <c i="20" r="P95"/>
  <c i="20" r="O95"/>
  <c i="20" r="N95"/>
  <c i="20" r="M95"/>
  <c i="20" r="L95"/>
  <c i="20" r="H95"/>
  <c i="20" r="G95"/>
  <c i="20" r="F95"/>
  <c i="20" r="E95"/>
  <c i="20" r="D95"/>
  <c i="20" r="C95"/>
  <c i="20" r="B95"/>
  <c i="20" r="R94"/>
  <c i="20" r="Q94"/>
  <c i="20" r="P94"/>
  <c i="20" r="O94"/>
  <c i="20" r="N94"/>
  <c i="20" r="M94"/>
  <c i="20" r="L94"/>
  <c i="20" r="H94"/>
  <c i="20" r="G94"/>
  <c i="20" r="F94"/>
  <c i="20" r="E94"/>
  <c i="20" r="D94"/>
  <c i="20" r="C94"/>
  <c i="20" r="B94"/>
  <c i="20" r="R93"/>
  <c i="20" r="Q93"/>
  <c i="20" r="P93"/>
  <c i="20" r="O93"/>
  <c i="20" r="N93"/>
  <c i="20" r="M93"/>
  <c i="20" r="L93"/>
  <c i="20" r="H93"/>
  <c i="20" r="G93"/>
  <c i="20" r="F93"/>
  <c i="20" r="E93"/>
  <c i="20" r="D93"/>
  <c i="20" r="C93"/>
  <c i="20" r="B93"/>
  <c i="20" r="R92"/>
  <c i="20" r="Q92"/>
  <c i="20" r="P92"/>
  <c i="20" r="O92"/>
  <c i="20" r="N92"/>
  <c i="20" r="M92"/>
  <c i="20" r="L92"/>
  <c i="20" r="H92"/>
  <c i="20" r="G92"/>
  <c i="20" r="F92"/>
  <c i="20" r="E92"/>
  <c i="20" r="D92"/>
  <c i="20" r="C92"/>
  <c i="20" r="B92"/>
  <c i="20" r="R91"/>
  <c i="20" r="Q91"/>
  <c i="20" r="P91"/>
  <c i="20" r="O91"/>
  <c i="20" r="N91"/>
  <c i="20" r="M91"/>
  <c i="20" r="L91"/>
  <c i="20" r="H91"/>
  <c i="20" r="G91"/>
  <c i="20" r="F91"/>
  <c i="20" r="E91"/>
  <c i="20" r="D91"/>
  <c i="20" r="C91"/>
  <c i="20" r="B91"/>
  <c i="20" r="R90"/>
  <c i="20" r="Q90"/>
  <c i="20" r="P90"/>
  <c i="20" r="O90"/>
  <c i="20" r="N90"/>
  <c i="20" r="M90"/>
  <c i="20" r="L90"/>
  <c i="20" r="H90"/>
  <c i="20" r="G90"/>
  <c i="20" r="F90"/>
  <c i="20" r="E90"/>
  <c i="20" r="D90"/>
  <c i="20" r="C90"/>
  <c i="20" r="B90"/>
  <c i="20" r="R89"/>
  <c i="20" r="Q89"/>
  <c i="20" r="P89"/>
  <c i="20" r="O89"/>
  <c i="20" r="N89"/>
  <c i="20" r="M89"/>
  <c i="20" r="L89"/>
  <c i="20" r="H89"/>
  <c i="20" r="G89"/>
  <c i="20" r="F89"/>
  <c i="20" r="E89"/>
  <c i="20" r="D89"/>
  <c i="20" r="C89"/>
  <c i="20" r="B89"/>
  <c i="20" r="R88"/>
  <c i="20" r="Q88"/>
  <c i="20" r="P88"/>
  <c i="20" r="O88"/>
  <c i="20" r="N88"/>
  <c i="20" r="M88"/>
  <c i="20" r="L88"/>
  <c i="20" r="H88"/>
  <c i="20" r="G88"/>
  <c i="20" r="F88"/>
  <c i="20" r="E88"/>
  <c i="20" r="D88"/>
  <c i="20" r="C88"/>
  <c i="20" r="B88"/>
  <c i="20" r="R87"/>
  <c i="20" r="Q87"/>
  <c i="20" r="P87"/>
  <c i="20" r="O87"/>
  <c i="20" r="N87"/>
  <c i="20" r="M87"/>
  <c i="20" r="L87"/>
  <c i="20" r="H87"/>
  <c i="20" r="G87"/>
  <c i="20" r="F87"/>
  <c i="20" r="E87"/>
  <c i="20" r="D87"/>
  <c i="20" r="C87"/>
  <c i="20" r="B87"/>
  <c i="20" r="R86"/>
  <c i="20" r="Q86"/>
  <c i="20" r="P86"/>
  <c i="20" r="O86"/>
  <c i="20" r="N86"/>
  <c i="20" r="M86"/>
  <c i="20" r="L86"/>
  <c i="20" r="H86"/>
  <c i="20" r="G86"/>
  <c i="20" r="F86"/>
  <c i="20" r="E86"/>
  <c i="20" r="D86"/>
  <c i="20" r="C86"/>
  <c i="20" r="B86"/>
  <c i="20" r="R85"/>
  <c i="20" r="Q85"/>
  <c i="20" r="P85"/>
  <c i="20" r="O85"/>
  <c i="20" r="N85"/>
  <c i="20" r="M85"/>
  <c i="20" r="L85"/>
  <c i="20" r="H85"/>
  <c i="20" r="G85"/>
  <c i="20" r="F85"/>
  <c i="20" r="E85"/>
  <c i="20" r="D85"/>
  <c i="20" r="C85"/>
  <c i="20" r="B85"/>
  <c i="20" r="R84"/>
  <c i="20" r="Q84"/>
  <c i="20" r="P84"/>
  <c i="20" r="O84"/>
  <c i="20" r="N84"/>
  <c i="20" r="M84"/>
  <c i="20" r="L84"/>
  <c i="20" r="H84"/>
  <c i="20" r="G84"/>
  <c i="20" r="F84"/>
  <c i="20" r="E84"/>
  <c i="20" r="D84"/>
  <c i="20" r="C84"/>
  <c i="20" r="B84"/>
  <c i="20" r="R83"/>
  <c i="20" r="Q83"/>
  <c i="20" r="P83"/>
  <c i="20" r="O83"/>
  <c i="20" r="N83"/>
  <c i="20" r="M83"/>
  <c i="20" r="L83"/>
  <c i="20" r="H83"/>
  <c i="20" r="G83"/>
  <c i="20" r="F83"/>
  <c i="20" r="E83"/>
  <c i="20" r="D83"/>
  <c i="20" r="C83"/>
  <c i="20" r="B83"/>
  <c i="20" r="R82"/>
  <c i="20" r="Q82"/>
  <c i="20" r="P82"/>
  <c i="20" r="O82"/>
  <c i="20" r="N82"/>
  <c i="20" r="M82"/>
  <c i="20" r="L82"/>
  <c i="20" r="H82"/>
  <c i="20" r="G82"/>
  <c i="20" r="F82"/>
  <c i="20" r="E82"/>
  <c i="20" r="D82"/>
  <c i="20" r="C82"/>
  <c i="20" r="B82"/>
  <c i="20" r="R81"/>
  <c i="20" r="Q81"/>
  <c i="20" r="P81"/>
  <c i="20" r="O81"/>
  <c i="20" r="N81"/>
  <c i="20" r="M81"/>
  <c i="20" r="L81"/>
  <c i="20" r="H81"/>
  <c i="20" r="G81"/>
  <c i="20" r="F81"/>
  <c i="20" r="E81"/>
  <c i="20" r="D81"/>
  <c i="20" r="C81"/>
  <c i="20" r="B81"/>
  <c i="20" r="R80"/>
  <c i="20" r="Q80"/>
  <c i="20" r="P80"/>
  <c i="20" r="O80"/>
  <c i="20" r="N80"/>
  <c i="20" r="M80"/>
  <c i="20" r="L80"/>
  <c i="20" r="H80"/>
  <c i="20" r="G80"/>
  <c i="20" r="F80"/>
  <c i="20" r="E80"/>
  <c i="20" r="D80"/>
  <c i="20" r="C80"/>
  <c i="20" r="B80"/>
  <c i="20" r="R79"/>
  <c i="20" r="Q79"/>
  <c i="20" r="P79"/>
  <c i="20" r="O79"/>
  <c i="20" r="N79"/>
  <c i="20" r="M79"/>
  <c i="20" r="L79"/>
  <c i="20" r="H79"/>
  <c i="20" r="G79"/>
  <c i="20" r="F79"/>
  <c i="20" r="E79"/>
  <c i="20" r="D79"/>
  <c i="20" r="C79"/>
  <c i="20" r="B79"/>
  <c i="20" r="R78"/>
  <c i="20" r="Q78"/>
  <c i="20" r="P78"/>
  <c i="20" r="O78"/>
  <c i="20" r="N78"/>
  <c i="20" r="M78"/>
  <c i="20" r="L78"/>
  <c i="20" r="H78"/>
  <c i="20" r="G78"/>
  <c i="20" r="F78"/>
  <c i="20" r="E78"/>
  <c i="20" r="D78"/>
  <c i="20" r="C78"/>
  <c i="20" r="B78"/>
  <c i="20" r="R77"/>
  <c i="20" r="Q77"/>
  <c i="20" r="P77"/>
  <c i="20" r="O77"/>
  <c i="20" r="N77"/>
  <c i="20" r="M77"/>
  <c i="20" r="L77"/>
  <c i="20" r="H77"/>
  <c i="20" r="G77"/>
  <c i="20" r="F77"/>
  <c i="20" r="E77"/>
  <c i="20" r="D77"/>
  <c i="20" r="C77"/>
  <c i="20" r="B77"/>
  <c i="20" r="R76"/>
  <c i="20" r="Q76"/>
  <c i="20" r="P76"/>
  <c i="20" r="O76"/>
  <c i="20" r="N76"/>
  <c i="20" r="M76"/>
  <c i="20" r="L76"/>
  <c i="20" r="H76"/>
  <c i="20" r="G76"/>
  <c i="20" r="F76"/>
  <c i="20" r="E76"/>
  <c i="20" r="D76"/>
  <c i="20" r="C76"/>
  <c i="20" r="B76"/>
  <c i="20" r="R75"/>
  <c i="20" r="Q75"/>
  <c i="20" r="P75"/>
  <c i="20" r="O75"/>
  <c i="20" r="N75"/>
  <c i="20" r="M75"/>
  <c i="20" r="L75"/>
  <c i="20" r="H75"/>
  <c i="20" r="G75"/>
  <c i="20" r="F75"/>
  <c i="20" r="E75"/>
  <c i="20" r="D75"/>
  <c i="20" r="C75"/>
  <c i="20" r="B75"/>
  <c i="20" r="R74"/>
  <c i="20" r="Q74"/>
  <c i="20" r="P74"/>
  <c i="20" r="O74"/>
  <c i="20" r="N74"/>
  <c i="20" r="M74"/>
  <c i="20" r="L74"/>
  <c i="20" r="H74"/>
  <c i="20" r="G74"/>
  <c i="20" r="F74"/>
  <c i="20" r="E74"/>
  <c i="20" r="D74"/>
  <c i="20" r="C74"/>
  <c i="20" r="B74"/>
  <c i="20" r="R73"/>
  <c i="20" r="Q73"/>
  <c i="20" r="P73"/>
  <c i="20" r="O73"/>
  <c i="20" r="N73"/>
  <c i="20" r="M73"/>
  <c i="20" r="L73"/>
  <c i="20" r="H73"/>
  <c i="20" r="G73"/>
  <c i="20" r="F73"/>
  <c i="20" r="E73"/>
  <c i="20" r="D73"/>
  <c i="20" r="C73"/>
  <c i="20" r="B73"/>
  <c i="20" r="R72"/>
  <c i="20" r="Q72"/>
  <c i="20" r="P72"/>
  <c i="20" r="O72"/>
  <c i="20" r="N72"/>
  <c i="20" r="M72"/>
  <c i="20" r="L72"/>
  <c i="20" r="H72"/>
  <c i="20" r="G72"/>
  <c i="20" r="F72"/>
  <c i="20" r="E72"/>
  <c i="20" r="D72"/>
  <c i="20" r="C72"/>
  <c i="20" r="B72"/>
  <c i="20" r="R71"/>
  <c i="20" r="Q71"/>
  <c i="20" r="P71"/>
  <c i="20" r="O71"/>
  <c i="20" r="N71"/>
  <c i="20" r="M71"/>
  <c i="20" r="L71"/>
  <c i="20" r="H71"/>
  <c i="20" r="G71"/>
  <c i="20" r="F71"/>
  <c i="20" r="E71"/>
  <c i="20" r="D71"/>
  <c i="20" r="C71"/>
  <c i="20" r="B71"/>
  <c i="20" r="R70"/>
  <c i="20" r="Q70"/>
  <c i="20" r="P70"/>
  <c i="20" r="O70"/>
  <c i="20" r="N70"/>
  <c i="20" r="M70"/>
  <c i="20" r="L70"/>
  <c i="20" r="H70"/>
  <c i="20" r="G70"/>
  <c i="20" r="F70"/>
  <c i="20" r="E70"/>
  <c i="20" r="D70"/>
  <c i="20" r="C70"/>
  <c i="20" r="B70"/>
  <c i="20" r="R69"/>
  <c i="20" r="Q69"/>
  <c i="20" r="P69"/>
  <c i="20" r="O69"/>
  <c i="20" r="N69"/>
  <c i="20" r="M69"/>
  <c i="20" r="L69"/>
  <c i="20" r="H69"/>
  <c i="20" r="G69"/>
  <c i="20" r="F69"/>
  <c i="20" r="E69"/>
  <c i="20" r="D69"/>
  <c i="20" r="C69"/>
  <c i="20" r="B69"/>
  <c i="20" r="R68"/>
  <c i="20" r="Q68"/>
  <c i="20" r="P68"/>
  <c i="20" r="O68"/>
  <c i="20" r="N68"/>
  <c i="20" r="M68"/>
  <c i="20" r="L68"/>
  <c i="20" r="H68"/>
  <c i="20" r="G68"/>
  <c i="20" r="F68"/>
  <c i="20" r="E68"/>
  <c i="20" r="D68"/>
  <c i="20" r="C68"/>
  <c i="20" r="B68"/>
  <c i="20" r="R67"/>
  <c i="20" r="Q67"/>
  <c i="20" r="P67"/>
  <c i="20" r="O67"/>
  <c i="20" r="N67"/>
  <c i="20" r="M67"/>
  <c i="20" r="L67"/>
  <c i="20" r="H67"/>
  <c i="20" r="G67"/>
  <c i="20" r="F67"/>
  <c i="20" r="E67"/>
  <c i="20" r="D67"/>
  <c i="20" r="C67"/>
  <c i="20" r="B67"/>
  <c i="20" r="R66"/>
  <c i="20" r="Q66"/>
  <c i="20" r="P66"/>
  <c i="20" r="O66"/>
  <c i="20" r="N66"/>
  <c i="20" r="M66"/>
  <c i="20" r="L66"/>
  <c i="20" r="H66"/>
  <c i="20" r="G66"/>
  <c i="20" r="F66"/>
  <c i="20" r="E66"/>
  <c i="20" r="D66"/>
  <c i="20" r="C66"/>
  <c i="20" r="B66"/>
  <c i="20" r="R65"/>
  <c i="20" r="Q65"/>
  <c i="20" r="P65"/>
  <c i="20" r="O65"/>
  <c i="20" r="N65"/>
  <c i="20" r="M65"/>
  <c i="20" r="L65"/>
  <c i="20" r="H65"/>
  <c i="20" r="G65"/>
  <c i="20" r="F65"/>
  <c i="20" r="E65"/>
  <c i="20" r="D65"/>
  <c i="20" r="C65"/>
  <c i="20" r="B65"/>
  <c i="20" r="R64"/>
  <c i="20" r="Q64"/>
  <c i="20" r="P64"/>
  <c i="20" r="O64"/>
  <c i="20" r="N64"/>
  <c i="20" r="M64"/>
  <c i="20" r="L64"/>
  <c i="20" r="H64"/>
  <c i="20" r="G64"/>
  <c i="20" r="F64"/>
  <c i="20" r="E64"/>
  <c i="20" r="D64"/>
  <c i="20" r="C64"/>
  <c i="20" r="B64"/>
  <c i="19" r="R117"/>
  <c i="19" r="Q117"/>
  <c i="19" r="P117"/>
  <c i="19" r="O117"/>
  <c i="19" r="N117"/>
  <c i="19" r="M117"/>
  <c i="19" r="L117"/>
  <c i="19" r="H117"/>
  <c i="19" r="G117"/>
  <c i="19" r="F117"/>
  <c i="19" r="E117"/>
  <c i="19" r="D117"/>
  <c i="19" r="C117"/>
  <c i="19" r="B117"/>
  <c i="19" r="R116"/>
  <c i="19" r="Q116"/>
  <c i="19" r="P116"/>
  <c i="19" r="O116"/>
  <c i="19" r="N116"/>
  <c i="19" r="M116"/>
  <c i="19" r="L116"/>
  <c i="19" r="H116"/>
  <c i="19" r="G116"/>
  <c i="19" r="F116"/>
  <c i="19" r="E116"/>
  <c i="19" r="D116"/>
  <c i="19" r="C116"/>
  <c i="19" r="B116"/>
  <c i="19" r="R115"/>
  <c i="19" r="Q115"/>
  <c i="19" r="P115"/>
  <c i="19" r="O115"/>
  <c i="19" r="N115"/>
  <c i="19" r="M115"/>
  <c i="19" r="L115"/>
  <c i="19" r="H115"/>
  <c i="19" r="G115"/>
  <c i="19" r="F115"/>
  <c i="19" r="E115"/>
  <c i="19" r="D115"/>
  <c i="19" r="C115"/>
  <c i="19" r="B115"/>
  <c i="19" r="R114"/>
  <c i="19" r="Q114"/>
  <c i="19" r="P114"/>
  <c i="19" r="O114"/>
  <c i="19" r="N114"/>
  <c i="19" r="M114"/>
  <c i="19" r="L114"/>
  <c i="19" r="H114"/>
  <c i="19" r="G114"/>
  <c i="19" r="F114"/>
  <c i="19" r="E114"/>
  <c i="19" r="D114"/>
  <c i="19" r="C114"/>
  <c i="19" r="B114"/>
  <c i="19" r="R113"/>
  <c i="19" r="Q113"/>
  <c i="19" r="P113"/>
  <c i="19" r="O113"/>
  <c i="19" r="N113"/>
  <c i="19" r="M113"/>
  <c i="19" r="L113"/>
  <c i="19" r="H113"/>
  <c i="19" r="G113"/>
  <c i="19" r="F113"/>
  <c i="19" r="E113"/>
  <c i="19" r="D113"/>
  <c i="19" r="C113"/>
  <c i="19" r="B113"/>
  <c i="19" r="R112"/>
  <c i="19" r="Q112"/>
  <c i="19" r="P112"/>
  <c i="19" r="O112"/>
  <c i="19" r="N112"/>
  <c i="19" r="M112"/>
  <c i="19" r="L112"/>
  <c i="19" r="H112"/>
  <c i="19" r="G112"/>
  <c i="19" r="F112"/>
  <c i="19" r="E112"/>
  <c i="19" r="D112"/>
  <c i="19" r="C112"/>
  <c i="19" r="B112"/>
  <c i="19" r="R111"/>
  <c i="19" r="Q111"/>
  <c i="19" r="P111"/>
  <c i="19" r="O111"/>
  <c i="19" r="N111"/>
  <c i="19" r="M111"/>
  <c i="19" r="L111"/>
  <c i="19" r="H111"/>
  <c i="19" r="G111"/>
  <c i="19" r="F111"/>
  <c i="19" r="E111"/>
  <c i="19" r="D111"/>
  <c i="19" r="C111"/>
  <c i="19" r="B111"/>
  <c i="19" r="R110"/>
  <c i="19" r="Q110"/>
  <c i="19" r="P110"/>
  <c i="19" r="O110"/>
  <c i="19" r="N110"/>
  <c i="19" r="M110"/>
  <c i="19" r="L110"/>
  <c i="19" r="H110"/>
  <c i="19" r="G110"/>
  <c i="19" r="F110"/>
  <c i="19" r="E110"/>
  <c i="19" r="D110"/>
  <c i="19" r="C110"/>
  <c i="19" r="B110"/>
  <c i="19" r="R109"/>
  <c i="19" r="Q109"/>
  <c i="19" r="P109"/>
  <c i="19" r="O109"/>
  <c i="19" r="N109"/>
  <c i="19" r="M109"/>
  <c i="19" r="L109"/>
  <c i="19" r="H109"/>
  <c i="19" r="G109"/>
  <c i="19" r="F109"/>
  <c i="19" r="E109"/>
  <c i="19" r="D109"/>
  <c i="19" r="C109"/>
  <c i="19" r="B109"/>
  <c i="19" r="R108"/>
  <c i="19" r="Q108"/>
  <c i="19" r="P108"/>
  <c i="19" r="O108"/>
  <c i="19" r="N108"/>
  <c i="19" r="M108"/>
  <c i="19" r="L108"/>
  <c i="19" r="H108"/>
  <c i="19" r="G108"/>
  <c i="19" r="F108"/>
  <c i="19" r="E108"/>
  <c i="19" r="D108"/>
  <c i="19" r="C108"/>
  <c i="19" r="B108"/>
  <c i="19" r="R107"/>
  <c i="19" r="Q107"/>
  <c i="19" r="P107"/>
  <c i="19" r="O107"/>
  <c i="19" r="N107"/>
  <c i="19" r="M107"/>
  <c i="19" r="L107"/>
  <c i="19" r="H107"/>
  <c i="19" r="G107"/>
  <c i="19" r="F107"/>
  <c i="19" r="E107"/>
  <c i="19" r="D107"/>
  <c i="19" r="C107"/>
  <c i="19" r="B107"/>
  <c i="19" r="R106"/>
  <c i="19" r="Q106"/>
  <c i="19" r="P106"/>
  <c i="19" r="O106"/>
  <c i="19" r="N106"/>
  <c i="19" r="M106"/>
  <c i="19" r="L106"/>
  <c i="19" r="H106"/>
  <c i="19" r="G106"/>
  <c i="19" r="F106"/>
  <c i="19" r="E106"/>
  <c i="19" r="D106"/>
  <c i="19" r="C106"/>
  <c i="19" r="B106"/>
  <c i="19" r="R105"/>
  <c i="19" r="Q105"/>
  <c i="19" r="P105"/>
  <c i="19" r="O105"/>
  <c i="19" r="N105"/>
  <c i="19" r="M105"/>
  <c i="19" r="L105"/>
  <c i="19" r="H105"/>
  <c i="19" r="G105"/>
  <c i="19" r="F105"/>
  <c i="19" r="E105"/>
  <c i="19" r="D105"/>
  <c i="19" r="C105"/>
  <c i="19" r="B105"/>
  <c i="19" r="R104"/>
  <c i="19" r="Q104"/>
  <c i="19" r="P104"/>
  <c i="19" r="O104"/>
  <c i="19" r="N104"/>
  <c i="19" r="M104"/>
  <c i="19" r="L104"/>
  <c i="19" r="H104"/>
  <c i="19" r="G104"/>
  <c i="19" r="F104"/>
  <c i="19" r="E104"/>
  <c i="19" r="D104"/>
  <c i="19" r="C104"/>
  <c i="19" r="B104"/>
  <c i="19" r="R103"/>
  <c i="19" r="Q103"/>
  <c i="19" r="P103"/>
  <c i="19" r="O103"/>
  <c i="19" r="N103"/>
  <c i="19" r="M103"/>
  <c i="19" r="L103"/>
  <c i="19" r="H103"/>
  <c i="19" r="G103"/>
  <c i="19" r="F103"/>
  <c i="19" r="E103"/>
  <c i="19" r="D103"/>
  <c i="19" r="C103"/>
  <c i="19" r="B103"/>
  <c i="19" r="R102"/>
  <c i="19" r="Q102"/>
  <c i="19" r="P102"/>
  <c i="19" r="O102"/>
  <c i="19" r="N102"/>
  <c i="19" r="M102"/>
  <c i="19" r="L102"/>
  <c i="19" r="H102"/>
  <c i="19" r="G102"/>
  <c i="19" r="F102"/>
  <c i="19" r="E102"/>
  <c i="19" r="D102"/>
  <c i="19" r="C102"/>
  <c i="19" r="B102"/>
  <c i="19" r="R101"/>
  <c i="19" r="Q101"/>
  <c i="19" r="P101"/>
  <c i="19" r="O101"/>
  <c i="19" r="N101"/>
  <c i="19" r="M101"/>
  <c i="19" r="L101"/>
  <c i="19" r="H101"/>
  <c i="19" r="G101"/>
  <c i="19" r="F101"/>
  <c i="19" r="E101"/>
  <c i="19" r="D101"/>
  <c i="19" r="C101"/>
  <c i="19" r="B101"/>
  <c i="19" r="R100"/>
  <c i="19" r="Q100"/>
  <c i="19" r="P100"/>
  <c i="19" r="O100"/>
  <c i="19" r="N100"/>
  <c i="19" r="M100"/>
  <c i="19" r="L100"/>
  <c i="19" r="H100"/>
  <c i="19" r="G100"/>
  <c i="19" r="F100"/>
  <c i="19" r="E100"/>
  <c i="19" r="D100"/>
  <c i="19" r="C100"/>
  <c i="19" r="B100"/>
  <c i="19" r="R99"/>
  <c i="19" r="Q99"/>
  <c i="19" r="P99"/>
  <c i="19" r="O99"/>
  <c i="19" r="N99"/>
  <c i="19" r="M99"/>
  <c i="19" r="L99"/>
  <c i="19" r="H99"/>
  <c i="19" r="G99"/>
  <c i="19" r="F99"/>
  <c i="19" r="E99"/>
  <c i="19" r="D99"/>
  <c i="19" r="C99"/>
  <c i="19" r="B99"/>
  <c i="19" r="R98"/>
  <c i="19" r="Q98"/>
  <c i="19" r="P98"/>
  <c i="19" r="O98"/>
  <c i="19" r="N98"/>
  <c i="19" r="M98"/>
  <c i="19" r="L98"/>
  <c i="19" r="H98"/>
  <c i="19" r="G98"/>
  <c i="19" r="F98"/>
  <c i="19" r="E98"/>
  <c i="19" r="D98"/>
  <c i="19" r="C98"/>
  <c i="19" r="B98"/>
  <c i="19" r="R97"/>
  <c i="19" r="Q97"/>
  <c i="19" r="P97"/>
  <c i="19" r="O97"/>
  <c i="19" r="N97"/>
  <c i="19" r="M97"/>
  <c i="19" r="L97"/>
  <c i="19" r="H97"/>
  <c i="19" r="G97"/>
  <c i="19" r="F97"/>
  <c i="19" r="E97"/>
  <c i="19" r="D97"/>
  <c i="19" r="C97"/>
  <c i="19" r="B97"/>
  <c i="19" r="R96"/>
  <c i="19" r="Q96"/>
  <c i="19" r="P96"/>
  <c i="19" r="O96"/>
  <c i="19" r="N96"/>
  <c i="19" r="M96"/>
  <c i="19" r="L96"/>
  <c i="19" r="I96"/>
  <c i="19" r="H96"/>
  <c i="19" r="G96"/>
  <c i="19" r="F96"/>
  <c i="19" r="E96"/>
  <c i="19" r="D96"/>
  <c i="19" r="C96"/>
  <c i="19" r="B96"/>
  <c i="19" r="R95"/>
  <c i="19" r="Q95"/>
  <c i="19" r="P95"/>
  <c i="19" r="O95"/>
  <c i="19" r="N95"/>
  <c i="19" r="M95"/>
  <c i="19" r="L95"/>
  <c i="19" r="H95"/>
  <c i="19" r="G95"/>
  <c i="19" r="F95"/>
  <c i="19" r="E95"/>
  <c i="19" r="D95"/>
  <c i="19" r="C95"/>
  <c i="19" r="B95"/>
  <c i="19" r="R94"/>
  <c i="19" r="Q94"/>
  <c i="19" r="P94"/>
  <c i="19" r="O94"/>
  <c i="19" r="N94"/>
  <c i="19" r="M94"/>
  <c i="19" r="L94"/>
  <c i="19" r="H94"/>
  <c i="19" r="G94"/>
  <c i="19" r="F94"/>
  <c i="19" r="E94"/>
  <c i="19" r="D94"/>
  <c i="19" r="C94"/>
  <c i="19" r="B94"/>
  <c i="19" r="R93"/>
  <c i="19" r="Q93"/>
  <c i="19" r="P93"/>
  <c i="19" r="O93"/>
  <c i="19" r="N93"/>
  <c i="19" r="M93"/>
  <c i="19" r="L93"/>
  <c i="19" r="H93"/>
  <c i="19" r="G93"/>
  <c i="19" r="F93"/>
  <c i="19" r="E93"/>
  <c i="19" r="D93"/>
  <c i="19" r="C93"/>
  <c i="19" r="B93"/>
  <c i="19" r="R92"/>
  <c i="19" r="Q92"/>
  <c i="19" r="P92"/>
  <c i="19" r="O92"/>
  <c i="19" r="N92"/>
  <c i="19" r="M92"/>
  <c i="19" r="L92"/>
  <c i="19" r="H92"/>
  <c i="19" r="G92"/>
  <c i="19" r="F92"/>
  <c i="19" r="E92"/>
  <c i="19" r="D92"/>
  <c i="19" r="C92"/>
  <c i="19" r="B92"/>
  <c i="19" r="R91"/>
  <c i="19" r="Q91"/>
  <c i="19" r="P91"/>
  <c i="19" r="O91"/>
  <c i="19" r="N91"/>
  <c i="19" r="M91"/>
  <c i="19" r="L91"/>
  <c i="19" r="H91"/>
  <c i="19" r="G91"/>
  <c i="19" r="F91"/>
  <c i="19" r="E91"/>
  <c i="19" r="D91"/>
  <c i="19" r="C91"/>
  <c i="19" r="B91"/>
  <c i="19" r="R90"/>
  <c i="19" r="Q90"/>
  <c i="19" r="P90"/>
  <c i="19" r="O90"/>
  <c i="19" r="N90"/>
  <c i="19" r="M90"/>
  <c i="19" r="L90"/>
  <c i="19" r="H90"/>
  <c i="19" r="G90"/>
  <c i="19" r="F90"/>
  <c i="19" r="E90"/>
  <c i="19" r="D90"/>
  <c i="19" r="C90"/>
  <c i="19" r="B90"/>
  <c i="19" r="R89"/>
  <c i="19" r="Q89"/>
  <c i="19" r="P89"/>
  <c i="19" r="O89"/>
  <c i="19" r="N89"/>
  <c i="19" r="M89"/>
  <c i="19" r="L89"/>
  <c i="19" r="H89"/>
  <c i="19" r="G89"/>
  <c i="19" r="F89"/>
  <c i="19" r="E89"/>
  <c i="19" r="D89"/>
  <c i="19" r="C89"/>
  <c i="19" r="B89"/>
  <c i="19" r="R88"/>
  <c i="19" r="Q88"/>
  <c i="19" r="P88"/>
  <c i="19" r="O88"/>
  <c i="19" r="N88"/>
  <c i="19" r="M88"/>
  <c i="19" r="L88"/>
  <c i="19" r="H88"/>
  <c i="19" r="G88"/>
  <c i="19" r="F88"/>
  <c i="19" r="E88"/>
  <c i="19" r="D88"/>
  <c i="19" r="C88"/>
  <c i="19" r="B88"/>
  <c i="19" r="R87"/>
  <c i="19" r="Q87"/>
  <c i="19" r="P87"/>
  <c i="19" r="O87"/>
  <c i="19" r="N87"/>
  <c i="19" r="M87"/>
  <c i="19" r="L87"/>
  <c i="19" r="I87"/>
  <c i="19" r="H87"/>
  <c i="19" r="G87"/>
  <c i="19" r="F87"/>
  <c i="19" r="E87"/>
  <c i="19" r="D87"/>
  <c i="19" r="C87"/>
  <c i="19" r="B87"/>
  <c i="19" r="R86"/>
  <c i="19" r="Q86"/>
  <c i="19" r="P86"/>
  <c i="19" r="O86"/>
  <c i="19" r="N86"/>
  <c i="19" r="M86"/>
  <c i="19" r="L86"/>
  <c i="19" r="H86"/>
  <c i="19" r="G86"/>
  <c i="19" r="F86"/>
  <c i="19" r="E86"/>
  <c i="19" r="D86"/>
  <c i="19" r="C86"/>
  <c i="19" r="B86"/>
  <c i="19" r="R85"/>
  <c i="19" r="Q85"/>
  <c i="19" r="P85"/>
  <c i="19" r="O85"/>
  <c i="19" r="N85"/>
  <c i="19" r="M85"/>
  <c i="19" r="L85"/>
  <c i="19" r="H85"/>
  <c i="19" r="G85"/>
  <c i="19" r="F85"/>
  <c i="19" r="E85"/>
  <c i="19" r="D85"/>
  <c i="19" r="C85"/>
  <c i="19" r="B85"/>
  <c i="19" r="R84"/>
  <c i="19" r="Q84"/>
  <c i="19" r="P84"/>
  <c i="19" r="O84"/>
  <c i="19" r="N84"/>
  <c i="19" r="M84"/>
  <c i="19" r="L84"/>
  <c i="19" r="H84"/>
  <c i="19" r="G84"/>
  <c i="19" r="F84"/>
  <c i="19" r="E84"/>
  <c i="19" r="D84"/>
  <c i="19" r="C84"/>
  <c i="19" r="B84"/>
  <c i="19" r="R83"/>
  <c i="19" r="Q83"/>
  <c i="19" r="P83"/>
  <c i="19" r="O83"/>
  <c i="19" r="N83"/>
  <c i="19" r="M83"/>
  <c i="19" r="L83"/>
  <c i="19" r="H83"/>
  <c i="19" r="G83"/>
  <c i="19" r="F83"/>
  <c i="19" r="E83"/>
  <c i="19" r="D83"/>
  <c i="19" r="C83"/>
  <c i="19" r="B83"/>
  <c i="19" r="R82"/>
  <c i="19" r="Q82"/>
  <c i="19" r="P82"/>
  <c i="19" r="O82"/>
  <c i="19" r="N82"/>
  <c i="19" r="M82"/>
  <c i="19" r="L82"/>
  <c i="19" r="H82"/>
  <c i="19" r="G82"/>
  <c i="19" r="F82"/>
  <c i="19" r="E82"/>
  <c i="19" r="D82"/>
  <c i="19" r="C82"/>
  <c i="19" r="B82"/>
  <c i="19" r="R81"/>
  <c i="19" r="Q81"/>
  <c i="19" r="P81"/>
  <c i="19" r="O81"/>
  <c i="19" r="N81"/>
  <c i="19" r="M81"/>
  <c i="19" r="L81"/>
  <c i="19" r="H81"/>
  <c i="19" r="G81"/>
  <c i="19" r="F81"/>
  <c i="19" r="E81"/>
  <c i="19" r="D81"/>
  <c i="19" r="C81"/>
  <c i="19" r="B81"/>
  <c i="19" r="R80"/>
  <c i="19" r="Q80"/>
  <c i="19" r="P80"/>
  <c i="19" r="O80"/>
  <c i="19" r="N80"/>
  <c i="19" r="M80"/>
  <c i="19" r="L80"/>
  <c i="19" r="H80"/>
  <c i="19" r="G80"/>
  <c i="19" r="F80"/>
  <c i="19" r="E80"/>
  <c i="19" r="D80"/>
  <c i="19" r="C80"/>
  <c i="19" r="B80"/>
  <c i="19" r="R79"/>
  <c i="19" r="Q79"/>
  <c i="19" r="P79"/>
  <c i="19" r="O79"/>
  <c i="19" r="N79"/>
  <c i="19" r="M79"/>
  <c i="19" r="L79"/>
  <c i="19" r="H79"/>
  <c i="19" r="G79"/>
  <c i="19" r="F79"/>
  <c i="19" r="E79"/>
  <c i="19" r="D79"/>
  <c i="19" r="C79"/>
  <c i="19" r="B79"/>
  <c i="19" r="R78"/>
  <c i="19" r="Q78"/>
  <c i="19" r="P78"/>
  <c i="19" r="O78"/>
  <c i="19" r="N78"/>
  <c i="19" r="M78"/>
  <c i="19" r="L78"/>
  <c i="19" r="H78"/>
  <c i="19" r="G78"/>
  <c i="19" r="F78"/>
  <c i="19" r="E78"/>
  <c i="19" r="D78"/>
  <c i="19" r="C78"/>
  <c i="19" r="B78"/>
  <c i="19" r="R77"/>
  <c i="19" r="Q77"/>
  <c i="19" r="P77"/>
  <c i="19" r="O77"/>
  <c i="19" r="N77"/>
  <c i="19" r="M77"/>
  <c i="19" r="L77"/>
  <c i="19" r="H77"/>
  <c i="19" r="G77"/>
  <c i="19" r="F77"/>
  <c i="19" r="E77"/>
  <c i="19" r="D77"/>
  <c i="19" r="C77"/>
  <c i="19" r="B77"/>
  <c i="19" r="R76"/>
  <c i="19" r="Q76"/>
  <c i="19" r="P76"/>
  <c i="19" r="O76"/>
  <c i="19" r="N76"/>
  <c i="19" r="M76"/>
  <c i="19" r="L76"/>
  <c i="19" r="H76"/>
  <c i="19" r="G76"/>
  <c i="19" r="F76"/>
  <c i="19" r="E76"/>
  <c i="19" r="D76"/>
  <c i="19" r="C76"/>
  <c i="19" r="B76"/>
  <c i="19" r="R75"/>
  <c i="19" r="Q75"/>
  <c i="19" r="P75"/>
  <c i="19" r="O75"/>
  <c i="19" r="N75"/>
  <c i="19" r="M75"/>
  <c i="19" r="L75"/>
  <c i="19" r="H75"/>
  <c i="19" r="G75"/>
  <c i="19" r="F75"/>
  <c i="19" r="E75"/>
  <c i="19" r="D75"/>
  <c i="19" r="C75"/>
  <c i="19" r="B75"/>
  <c i="19" r="R74"/>
  <c i="19" r="Q74"/>
  <c i="19" r="P74"/>
  <c i="19" r="O74"/>
  <c i="19" r="N74"/>
  <c i="19" r="M74"/>
  <c i="19" r="L74"/>
  <c i="19" r="H74"/>
  <c i="19" r="G74"/>
  <c i="19" r="F74"/>
  <c i="19" r="E74"/>
  <c i="19" r="D74"/>
  <c i="19" r="C74"/>
  <c i="19" r="B74"/>
  <c i="19" r="R73"/>
  <c i="19" r="Q73"/>
  <c i="19" r="P73"/>
  <c i="19" r="O73"/>
  <c i="19" r="N73"/>
  <c i="19" r="M73"/>
  <c i="19" r="L73"/>
  <c i="19" r="H73"/>
  <c i="19" r="G73"/>
  <c i="19" r="F73"/>
  <c i="19" r="E73"/>
  <c i="19" r="D73"/>
  <c i="19" r="C73"/>
  <c i="19" r="B73"/>
  <c i="19" r="R72"/>
  <c i="19" r="Q72"/>
  <c i="19" r="P72"/>
  <c i="19" r="O72"/>
  <c i="19" r="N72"/>
  <c i="19" r="M72"/>
  <c i="19" r="L72"/>
  <c i="19" r="H72"/>
  <c i="19" r="G72"/>
  <c i="19" r="F72"/>
  <c i="19" r="E72"/>
  <c i="19" r="D72"/>
  <c i="19" r="C72"/>
  <c i="19" r="B72"/>
  <c i="19" r="R71"/>
  <c i="19" r="Q71"/>
  <c i="19" r="P71"/>
  <c i="19" r="O71"/>
  <c i="19" r="N71"/>
  <c i="19" r="M71"/>
  <c i="19" r="L71"/>
  <c i="19" r="H71"/>
  <c i="19" r="G71"/>
  <c i="19" r="F71"/>
  <c i="19" r="E71"/>
  <c i="19" r="D71"/>
  <c i="19" r="C71"/>
  <c i="19" r="B71"/>
  <c i="19" r="R70"/>
  <c i="19" r="Q70"/>
  <c i="19" r="P70"/>
  <c i="19" r="O70"/>
  <c i="19" r="N70"/>
  <c i="19" r="M70"/>
  <c i="19" r="L70"/>
  <c i="19" r="H70"/>
  <c i="19" r="G70"/>
  <c i="19" r="F70"/>
  <c i="19" r="E70"/>
  <c i="19" r="D70"/>
  <c i="19" r="C70"/>
  <c i="19" r="B70"/>
  <c i="19" r="R69"/>
  <c i="19" r="Q69"/>
  <c i="19" r="P69"/>
  <c i="19" r="O69"/>
  <c i="19" r="N69"/>
  <c i="19" r="M69"/>
  <c i="19" r="L69"/>
  <c i="19" r="H69"/>
  <c i="19" r="G69"/>
  <c i="19" r="F69"/>
  <c i="19" r="E69"/>
  <c i="19" r="D69"/>
  <c i="19" r="C69"/>
  <c i="19" r="B69"/>
  <c i="19" r="R68"/>
  <c i="19" r="Q68"/>
  <c i="19" r="P68"/>
  <c i="19" r="O68"/>
  <c i="19" r="N68"/>
  <c i="19" r="M68"/>
  <c i="19" r="L68"/>
  <c i="19" r="H68"/>
  <c i="19" r="G68"/>
  <c i="19" r="F68"/>
  <c i="19" r="E68"/>
  <c i="19" r="D68"/>
  <c i="19" r="C68"/>
  <c i="19" r="B68"/>
  <c i="19" r="R67"/>
  <c i="19" r="Q67"/>
  <c i="19" r="P67"/>
  <c i="19" r="O67"/>
  <c i="19" r="N67"/>
  <c i="19" r="M67"/>
  <c i="19" r="L67"/>
  <c i="19" r="H67"/>
  <c i="19" r="G67"/>
  <c i="19" r="F67"/>
  <c i="19" r="E67"/>
  <c i="19" r="D67"/>
  <c i="19" r="C67"/>
  <c i="19" r="B67"/>
  <c i="12" r="R117"/>
  <c i="12" r="Q117"/>
  <c i="12" r="P117"/>
  <c i="12" r="O117"/>
  <c i="12" r="N117"/>
  <c i="12" r="M117"/>
  <c i="12" r="L117"/>
  <c i="12" r="R116"/>
  <c i="12" r="Q116"/>
  <c i="12" r="P116"/>
  <c i="12" r="O116"/>
  <c i="12" r="N116"/>
  <c i="12" r="M116"/>
  <c i="12" r="L116"/>
  <c i="12" r="R115"/>
  <c i="12" r="Q115"/>
  <c i="12" r="P115"/>
  <c i="12" r="O115"/>
  <c i="12" r="N115"/>
  <c i="12" r="M115"/>
  <c i="12" r="L115"/>
  <c i="12" r="R114"/>
  <c i="12" r="Q114"/>
  <c i="12" r="P114"/>
  <c i="12" r="O114"/>
  <c i="12" r="N114"/>
  <c i="12" r="M114"/>
  <c i="12" r="L114"/>
  <c i="12" r="R113"/>
  <c i="12" r="Q113"/>
  <c i="12" r="P113"/>
  <c i="12" r="O113"/>
  <c i="12" r="N113"/>
  <c i="12" r="M113"/>
  <c i="12" r="L113"/>
  <c i="12" r="R112"/>
  <c i="12" r="Q112"/>
  <c i="12" r="P112"/>
  <c i="12" r="O112"/>
  <c i="12" r="N112"/>
  <c i="12" r="M112"/>
  <c i="12" r="L112"/>
  <c i="12" r="R111"/>
  <c i="12" r="Q111"/>
  <c i="12" r="P111"/>
  <c i="12" r="O111"/>
  <c i="12" r="N111"/>
  <c i="12" r="M111"/>
  <c i="12" r="L111"/>
  <c i="12" r="R110"/>
  <c i="12" r="Q110"/>
  <c i="12" r="P110"/>
  <c i="12" r="O110"/>
  <c i="12" r="N110"/>
  <c i="12" r="M110"/>
  <c i="12" r="L110"/>
  <c i="12" r="R109"/>
  <c i="12" r="Q109"/>
  <c i="12" r="P109"/>
  <c i="12" r="O109"/>
  <c i="12" r="N109"/>
  <c i="12" r="M109"/>
  <c i="12" r="L109"/>
  <c i="12" r="R108"/>
  <c i="12" r="Q108"/>
  <c i="12" r="P108"/>
  <c i="12" r="O108"/>
  <c i="12" r="N108"/>
  <c i="12" r="M108"/>
  <c i="12" r="L108"/>
  <c i="12" r="R107"/>
  <c i="12" r="Q107"/>
  <c i="12" r="P107"/>
  <c i="12" r="O107"/>
  <c i="12" r="N107"/>
  <c i="12" r="M107"/>
  <c i="12" r="L107"/>
  <c i="12" r="R106"/>
  <c i="12" r="Q106"/>
  <c i="12" r="P106"/>
  <c i="12" r="O106"/>
  <c i="12" r="N106"/>
  <c i="12" r="M106"/>
  <c i="12" r="L106"/>
  <c i="12" r="R105"/>
  <c i="12" r="Q105"/>
  <c i="12" r="P105"/>
  <c i="12" r="O105"/>
  <c i="12" r="N105"/>
  <c i="12" r="M105"/>
  <c i="12" r="L105"/>
  <c i="12" r="R104"/>
  <c i="12" r="Q104"/>
  <c i="12" r="P104"/>
  <c i="12" r="O104"/>
  <c i="12" r="N104"/>
  <c i="12" r="M104"/>
  <c i="12" r="L104"/>
  <c i="12" r="R103"/>
  <c i="12" r="Q103"/>
  <c i="12" r="P103"/>
  <c i="12" r="O103"/>
  <c i="12" r="N103"/>
  <c i="12" r="M103"/>
  <c i="12" r="L103"/>
  <c i="12" r="R102"/>
  <c i="12" r="Q102"/>
  <c i="12" r="P102"/>
  <c i="12" r="O102"/>
  <c i="12" r="N102"/>
  <c i="12" r="M102"/>
  <c i="12" r="L102"/>
  <c i="12" r="R101"/>
  <c i="12" r="Q101"/>
  <c i="12" r="P101"/>
  <c i="12" r="O101"/>
  <c i="12" r="N101"/>
  <c i="12" r="M101"/>
  <c i="12" r="L101"/>
  <c i="12" r="R100"/>
  <c i="12" r="Q100"/>
  <c i="12" r="P100"/>
  <c i="12" r="O100"/>
  <c i="12" r="N100"/>
  <c i="12" r="M100"/>
  <c i="12" r="L100"/>
  <c i="12" r="R99"/>
  <c i="12" r="Q99"/>
  <c i="12" r="P99"/>
  <c i="12" r="O99"/>
  <c i="12" r="N99"/>
  <c i="12" r="M99"/>
  <c i="12" r="L99"/>
  <c i="12" r="R98"/>
  <c i="12" r="Q98"/>
  <c i="12" r="P98"/>
  <c i="12" r="O98"/>
  <c i="12" r="N98"/>
  <c i="12" r="M98"/>
  <c i="12" r="L98"/>
  <c i="12" r="R97"/>
  <c i="12" r="Q97"/>
  <c i="12" r="P97"/>
  <c i="12" r="O97"/>
  <c i="12" r="N97"/>
  <c i="12" r="M97"/>
  <c i="12" r="L97"/>
  <c i="12" r="R96"/>
  <c i="12" r="Q96"/>
  <c i="12" r="P96"/>
  <c i="12" r="O96"/>
  <c i="12" r="N96"/>
  <c i="12" r="M96"/>
  <c i="12" r="L96"/>
  <c i="12" r="R95"/>
  <c i="12" r="Q95"/>
  <c i="12" r="P95"/>
  <c i="12" r="O95"/>
  <c i="12" r="N95"/>
  <c i="12" r="M95"/>
  <c i="12" r="L95"/>
  <c i="12" r="R94"/>
  <c i="12" r="Q94"/>
  <c i="12" r="P94"/>
  <c i="12" r="O94"/>
  <c i="12" r="N94"/>
  <c i="12" r="M94"/>
  <c i="12" r="L94"/>
  <c i="12" r="R93"/>
  <c i="12" r="Q93"/>
  <c i="12" r="P93"/>
  <c i="12" r="O93"/>
  <c i="12" r="N93"/>
  <c i="12" r="M93"/>
  <c i="12" r="L93"/>
  <c i="12" r="R92"/>
  <c i="12" r="Q92"/>
  <c i="12" r="P92"/>
  <c i="12" r="O92"/>
  <c i="12" r="N92"/>
  <c i="12" r="M92"/>
  <c i="12" r="L92"/>
  <c i="12" r="R91"/>
  <c i="12" r="Q91"/>
  <c i="12" r="P91"/>
  <c i="12" r="O91"/>
  <c i="12" r="N91"/>
  <c i="12" r="M91"/>
  <c i="12" r="L91"/>
  <c i="12" r="R90"/>
  <c i="12" r="Q90"/>
  <c i="12" r="P90"/>
  <c i="12" r="O90"/>
  <c i="12" r="N90"/>
  <c i="12" r="M90"/>
  <c i="12" r="L90"/>
  <c i="12" r="R89"/>
  <c i="12" r="Q89"/>
  <c i="12" r="P89"/>
  <c i="12" r="O89"/>
  <c i="12" r="N89"/>
  <c i="12" r="M89"/>
  <c i="12" r="L89"/>
  <c i="12" r="R88"/>
  <c i="12" r="Q88"/>
  <c i="12" r="P88"/>
  <c i="12" r="O88"/>
  <c i="12" r="N88"/>
  <c i="12" r="M88"/>
  <c i="12" r="L88"/>
  <c i="12" r="R87"/>
  <c i="12" r="Q87"/>
  <c i="12" r="P87"/>
  <c i="12" r="O87"/>
  <c i="12" r="N87"/>
  <c i="12" r="M87"/>
  <c i="12" r="L87"/>
  <c i="12" r="R86"/>
  <c i="12" r="Q86"/>
  <c i="12" r="P86"/>
  <c i="12" r="O86"/>
  <c i="12" r="N86"/>
  <c i="12" r="M86"/>
  <c i="12" r="L86"/>
  <c i="12" r="R85"/>
  <c i="12" r="Q85"/>
  <c i="12" r="P85"/>
  <c i="12" r="O85"/>
  <c i="12" r="N85"/>
  <c i="12" r="M85"/>
  <c i="12" r="L85"/>
  <c i="12" r="R84"/>
  <c i="12" r="Q84"/>
  <c i="12" r="P84"/>
  <c i="12" r="O84"/>
  <c i="12" r="N84"/>
  <c i="12" r="M84"/>
  <c i="12" r="L84"/>
  <c i="12" r="R83"/>
  <c i="12" r="Q83"/>
  <c i="12" r="P83"/>
  <c i="12" r="O83"/>
  <c i="12" r="N83"/>
  <c i="12" r="M83"/>
  <c i="12" r="L83"/>
  <c i="12" r="R82"/>
  <c i="12" r="Q82"/>
  <c i="12" r="P82"/>
  <c i="12" r="O82"/>
  <c i="12" r="N82"/>
  <c i="12" r="M82"/>
  <c i="12" r="L82"/>
  <c i="12" r="R81"/>
  <c i="12" r="Q81"/>
  <c i="12" r="P81"/>
  <c i="12" r="O81"/>
  <c i="12" r="N81"/>
  <c i="12" r="M81"/>
  <c i="12" r="L81"/>
  <c i="12" r="R80"/>
  <c i="12" r="Q80"/>
  <c i="12" r="P80"/>
  <c i="12" r="O80"/>
  <c i="12" r="N80"/>
  <c i="12" r="M80"/>
  <c i="12" r="L80"/>
  <c i="12" r="R79"/>
  <c i="12" r="Q79"/>
  <c i="12" r="P79"/>
  <c i="12" r="O79"/>
  <c i="12" r="N79"/>
  <c i="12" r="M79"/>
  <c i="12" r="L79"/>
  <c i="12" r="R78"/>
  <c i="12" r="Q78"/>
  <c i="12" r="P78"/>
  <c i="12" r="O78"/>
  <c i="12" r="N78"/>
  <c i="12" r="M78"/>
  <c i="12" r="L78"/>
  <c i="12" r="R77"/>
  <c i="12" r="Q77"/>
  <c i="12" r="P77"/>
  <c i="12" r="O77"/>
  <c i="12" r="N77"/>
  <c i="12" r="M77"/>
  <c i="12" r="L77"/>
  <c i="12" r="R76"/>
  <c i="12" r="Q76"/>
  <c i="12" r="P76"/>
  <c i="12" r="O76"/>
  <c i="12" r="N76"/>
  <c i="12" r="M76"/>
  <c i="12" r="L76"/>
  <c i="12" r="R75"/>
  <c i="12" r="Q75"/>
  <c i="12" r="P75"/>
  <c i="12" r="O75"/>
  <c i="12" r="N75"/>
  <c i="12" r="M75"/>
  <c i="12" r="L75"/>
  <c i="12" r="R74"/>
  <c i="12" r="Q74"/>
  <c i="12" r="P74"/>
  <c i="12" r="O74"/>
  <c i="12" r="N74"/>
  <c i="12" r="M74"/>
  <c i="12" r="L74"/>
  <c i="12" r="R73"/>
  <c i="12" r="Q73"/>
  <c i="12" r="P73"/>
  <c i="12" r="O73"/>
  <c i="12" r="N73"/>
  <c i="12" r="M73"/>
  <c i="12" r="L73"/>
  <c i="12" r="R72"/>
  <c i="12" r="Q72"/>
  <c i="12" r="P72"/>
  <c i="12" r="O72"/>
  <c i="12" r="N72"/>
  <c i="12" r="M72"/>
  <c i="12" r="L72"/>
  <c i="12" r="R71"/>
  <c i="12" r="Q71"/>
  <c i="12" r="P71"/>
  <c i="12" r="O71"/>
  <c i="12" r="N71"/>
  <c i="12" r="M71"/>
  <c i="12" r="L71"/>
  <c i="12" r="R70"/>
  <c i="12" r="Q70"/>
  <c i="12" r="P70"/>
  <c i="12" r="O70"/>
  <c i="12" r="N70"/>
  <c i="12" r="M70"/>
  <c i="12" r="L70"/>
  <c i="12" r="R69"/>
  <c i="12" r="Q69"/>
  <c i="12" r="P69"/>
  <c i="12" r="O69"/>
  <c i="12" r="N69"/>
  <c i="12" r="M69"/>
  <c i="12" r="L69"/>
  <c i="12" r="R68"/>
  <c i="12" r="Q68"/>
  <c i="12" r="P68"/>
  <c i="12" r="O68"/>
  <c i="12" r="M68"/>
  <c i="12" r="L68"/>
  <c i="12" r="R67"/>
  <c i="12" r="Q67"/>
  <c i="12" r="P67"/>
  <c i="12" r="O67"/>
  <c i="12" r="N67"/>
  <c i="12" r="M67"/>
  <c i="12" r="H117"/>
  <c i="12" r="G117"/>
  <c i="12" r="F117"/>
  <c i="12" r="E117"/>
  <c i="12" r="D117"/>
  <c i="12" r="C117"/>
  <c i="12" r="B117"/>
  <c i="12" r="H116"/>
  <c i="12" r="G116"/>
  <c i="12" r="F116"/>
  <c i="12" r="E116"/>
  <c i="12" r="D116"/>
  <c i="12" r="C116"/>
  <c i="12" r="B116"/>
  <c i="12" r="H115"/>
  <c i="12" r="G115"/>
  <c i="12" r="F115"/>
  <c i="12" r="E115"/>
  <c i="12" r="D115"/>
  <c i="12" r="C115"/>
  <c i="12" r="B115"/>
  <c i="12" r="H114"/>
  <c i="12" r="G114"/>
  <c i="12" r="F114"/>
  <c i="12" r="E114"/>
  <c i="12" r="D114"/>
  <c i="12" r="C114"/>
  <c i="12" r="B114"/>
  <c i="12" r="H113"/>
  <c i="12" r="G113"/>
  <c i="12" r="F113"/>
  <c i="12" r="E113"/>
  <c i="12" r="D113"/>
  <c i="12" r="C113"/>
  <c i="12" r="B113"/>
  <c i="12" r="H112"/>
  <c i="12" r="G112"/>
  <c i="12" r="F112"/>
  <c i="12" r="E112"/>
  <c i="12" r="D112"/>
  <c i="12" r="C112"/>
  <c i="12" r="B112"/>
  <c i="12" r="H111"/>
  <c i="12" r="G111"/>
  <c i="12" r="F111"/>
  <c i="12" r="E111"/>
  <c i="12" r="D111"/>
  <c i="12" r="C111"/>
  <c i="12" r="B111"/>
  <c i="12" r="H110"/>
  <c i="12" r="G110"/>
  <c i="12" r="F110"/>
  <c i="12" r="E110"/>
  <c i="12" r="D110"/>
  <c i="12" r="C110"/>
  <c i="12" r="B110"/>
  <c i="12" r="H109"/>
  <c i="12" r="G109"/>
  <c i="12" r="F109"/>
  <c i="12" r="E109"/>
  <c i="12" r="D109"/>
  <c i="12" r="C109"/>
  <c i="12" r="B109"/>
  <c i="12" r="H108"/>
  <c i="12" r="G108"/>
  <c i="12" r="F108"/>
  <c i="12" r="E108"/>
  <c i="12" r="D108"/>
  <c i="12" r="C108"/>
  <c i="12" r="B108"/>
  <c i="12" r="H107"/>
  <c i="12" r="G107"/>
  <c i="12" r="F107"/>
  <c i="12" r="E107"/>
  <c i="12" r="D107"/>
  <c i="12" r="C107"/>
  <c i="12" r="B107"/>
  <c i="12" r="H106"/>
  <c i="12" r="G106"/>
  <c i="12" r="F106"/>
  <c i="12" r="E106"/>
  <c i="12" r="D106"/>
  <c i="12" r="C106"/>
  <c i="12" r="B106"/>
  <c i="12" r="H105"/>
  <c i="12" r="G105"/>
  <c i="12" r="F105"/>
  <c i="12" r="E105"/>
  <c i="12" r="D105"/>
  <c i="12" r="C105"/>
  <c i="12" r="B105"/>
  <c i="12" r="H104"/>
  <c i="12" r="G104"/>
  <c i="12" r="F104"/>
  <c i="12" r="E104"/>
  <c i="12" r="D104"/>
  <c i="12" r="C104"/>
  <c i="12" r="B104"/>
  <c i="12" r="H103"/>
  <c i="12" r="G103"/>
  <c i="12" r="F103"/>
  <c i="12" r="E103"/>
  <c i="12" r="D103"/>
  <c i="12" r="C103"/>
  <c i="12" r="B103"/>
  <c i="12" r="H102"/>
  <c i="12" r="G102"/>
  <c i="12" r="F102"/>
  <c i="12" r="E102"/>
  <c i="12" r="D102"/>
  <c i="12" r="C102"/>
  <c i="12" r="B102"/>
  <c i="12" r="H101"/>
  <c i="12" r="G101"/>
  <c i="12" r="F101"/>
  <c i="12" r="E101"/>
  <c i="12" r="D101"/>
  <c i="12" r="C101"/>
  <c i="12" r="B101"/>
  <c i="12" r="H100"/>
  <c i="12" r="G100"/>
  <c i="12" r="F100"/>
  <c i="12" r="E100"/>
  <c i="12" r="D100"/>
  <c i="12" r="C100"/>
  <c i="12" r="B100"/>
  <c i="12" r="H99"/>
  <c i="12" r="G99"/>
  <c i="12" r="F99"/>
  <c i="12" r="E99"/>
  <c i="12" r="D99"/>
  <c i="12" r="C99"/>
  <c i="12" r="B99"/>
  <c i="12" r="H98"/>
  <c i="12" r="G98"/>
  <c i="12" r="F98"/>
  <c i="12" r="E98"/>
  <c i="12" r="D98"/>
  <c i="12" r="C98"/>
  <c i="12" r="B98"/>
  <c i="12" r="H97"/>
  <c i="12" r="G97"/>
  <c i="12" r="F97"/>
  <c i="12" r="E97"/>
  <c i="12" r="D97"/>
  <c i="12" r="C97"/>
  <c i="12" r="B97"/>
  <c i="12" r="H96"/>
  <c i="12" r="G96"/>
  <c i="12" r="F96"/>
  <c i="12" r="E96"/>
  <c i="12" r="D96"/>
  <c i="12" r="C96"/>
  <c i="12" r="B96"/>
  <c i="12" r="H95"/>
  <c i="12" r="G95"/>
  <c i="12" r="F95"/>
  <c i="12" r="E95"/>
  <c i="12" r="D95"/>
  <c i="12" r="C95"/>
  <c i="12" r="B95"/>
  <c i="12" r="H94"/>
  <c i="12" r="G94"/>
  <c i="12" r="F94"/>
  <c i="12" r="E94"/>
  <c i="12" r="D94"/>
  <c i="12" r="C94"/>
  <c i="12" r="B94"/>
  <c i="12" r="H93"/>
  <c i="12" r="G93"/>
  <c i="12" r="F93"/>
  <c i="12" r="E93"/>
  <c i="12" r="D93"/>
  <c i="12" r="C93"/>
  <c i="12" r="B93"/>
  <c i="12" r="H92"/>
  <c i="12" r="G92"/>
  <c i="12" r="F92"/>
  <c i="12" r="E92"/>
  <c i="12" r="D92"/>
  <c i="12" r="C92"/>
  <c i="12" r="B92"/>
  <c i="12" r="H91"/>
  <c i="12" r="G91"/>
  <c i="12" r="F91"/>
  <c i="12" r="E91"/>
  <c i="12" r="D91"/>
  <c i="12" r="C91"/>
  <c i="12" r="B91"/>
  <c i="12" r="H90"/>
  <c i="12" r="G90"/>
  <c i="12" r="F90"/>
  <c i="12" r="E90"/>
  <c i="12" r="D90"/>
  <c i="12" r="C90"/>
  <c i="12" r="B90"/>
  <c i="12" r="H89"/>
  <c i="12" r="G89"/>
  <c i="12" r="F89"/>
  <c i="12" r="E89"/>
  <c i="12" r="D89"/>
  <c i="12" r="C89"/>
  <c i="12" r="B89"/>
  <c i="12" r="H88"/>
  <c i="12" r="G88"/>
  <c i="12" r="F88"/>
  <c i="12" r="E88"/>
  <c i="12" r="D88"/>
  <c i="12" r="C88"/>
  <c i="12" r="B88"/>
  <c i="12" r="H87"/>
  <c i="12" r="G87"/>
  <c i="12" r="F87"/>
  <c i="12" r="E87"/>
  <c i="12" r="D87"/>
  <c i="12" r="C87"/>
  <c i="12" r="B87"/>
  <c i="12" r="H86"/>
  <c i="12" r="G86"/>
  <c i="12" r="F86"/>
  <c i="12" r="E86"/>
  <c i="12" r="D86"/>
  <c i="12" r="C86"/>
  <c i="12" r="B86"/>
  <c i="12" r="H85"/>
  <c i="12" r="G85"/>
  <c i="12" r="F85"/>
  <c i="12" r="E85"/>
  <c i="12" r="D85"/>
  <c i="12" r="C85"/>
  <c i="12" r="B85"/>
  <c i="12" r="H84"/>
  <c i="12" r="G84"/>
  <c i="12" r="F84"/>
  <c i="12" r="E84"/>
  <c i="12" r="D84"/>
  <c i="12" r="C84"/>
  <c i="12" r="B84"/>
  <c i="12" r="H83"/>
  <c i="12" r="G83"/>
  <c i="12" r="F83"/>
  <c i="12" r="E83"/>
  <c i="12" r="D83"/>
  <c i="12" r="C83"/>
  <c i="12" r="B83"/>
  <c i="12" r="H82"/>
  <c i="12" r="G82"/>
  <c i="12" r="F82"/>
  <c i="12" r="E82"/>
  <c i="12" r="D82"/>
  <c i="12" r="C82"/>
  <c i="12" r="B82"/>
  <c i="12" r="H81"/>
  <c i="12" r="G81"/>
  <c i="12" r="F81"/>
  <c i="12" r="E81"/>
  <c i="12" r="D81"/>
  <c i="12" r="C81"/>
  <c i="12" r="B81"/>
  <c i="12" r="H80"/>
  <c i="12" r="G80"/>
  <c i="12" r="F80"/>
  <c i="12" r="E80"/>
  <c i="12" r="D80"/>
  <c i="12" r="C80"/>
  <c i="12" r="B80"/>
  <c i="12" r="H79"/>
  <c i="12" r="G79"/>
  <c i="12" r="F79"/>
  <c i="12" r="E79"/>
  <c i="12" r="D79"/>
  <c i="12" r="C79"/>
  <c i="12" r="B79"/>
  <c i="12" r="H78"/>
  <c i="12" r="G78"/>
  <c i="12" r="F78"/>
  <c i="12" r="E78"/>
  <c i="12" r="D78"/>
  <c i="12" r="C78"/>
  <c i="12" r="B78"/>
  <c i="12" r="H77"/>
  <c i="12" r="G77"/>
  <c i="12" r="F77"/>
  <c i="12" r="E77"/>
  <c i="12" r="D77"/>
  <c i="12" r="C77"/>
  <c i="12" r="B77"/>
  <c i="12" r="H76"/>
  <c i="12" r="G76"/>
  <c i="12" r="F76"/>
  <c i="12" r="E76"/>
  <c i="12" r="D76"/>
  <c i="12" r="C76"/>
  <c i="12" r="B76"/>
  <c i="12" r="H75"/>
  <c i="12" r="G75"/>
  <c i="12" r="F75"/>
  <c i="12" r="E75"/>
  <c i="12" r="D75"/>
  <c i="12" r="C75"/>
  <c i="12" r="B75"/>
  <c i="12" r="H74"/>
  <c i="12" r="G74"/>
  <c i="12" r="F74"/>
  <c i="12" r="E74"/>
  <c i="12" r="D74"/>
  <c i="12" r="C74"/>
  <c i="12" r="B74"/>
  <c i="12" r="H73"/>
  <c i="12" r="G73"/>
  <c i="12" r="F73"/>
  <c i="12" r="E73"/>
  <c i="12" r="D73"/>
  <c i="12" r="C73"/>
  <c i="12" r="B73"/>
  <c i="12" r="H72"/>
  <c i="12" r="G72"/>
  <c i="12" r="F72"/>
  <c i="12" r="E72"/>
  <c i="12" r="D72"/>
  <c i="12" r="C72"/>
  <c i="12" r="B72"/>
  <c i="12" r="H71"/>
  <c i="12" r="G71"/>
  <c i="12" r="F71"/>
  <c i="12" r="E71"/>
  <c i="12" r="D71"/>
  <c i="12" r="C71"/>
  <c i="12" r="B71"/>
  <c i="12" r="H70"/>
  <c i="12" r="G70"/>
  <c i="12" r="F70"/>
  <c i="12" r="E70"/>
  <c i="12" r="D70"/>
  <c i="12" r="C70"/>
  <c i="12" r="B70"/>
  <c i="12" r="H69"/>
  <c i="12" r="G69"/>
  <c i="12" r="F69"/>
  <c i="12" r="E69"/>
  <c i="12" r="D69"/>
  <c i="12" r="C69"/>
  <c i="12" r="B69"/>
  <c i="12" r="H68"/>
  <c i="12" r="G68"/>
  <c i="12" r="F68"/>
  <c i="12" r="E68"/>
  <c i="12" r="D68"/>
  <c i="12" r="C68"/>
  <c i="12" r="B68"/>
  <c i="12" r="H67"/>
  <c i="12" r="G67"/>
  <c i="12" r="F67"/>
  <c i="12" r="E67"/>
  <c i="12" r="D67"/>
  <c i="12" r="C67"/>
  <c i="12" r="B67"/>
  <c i="12" l="1" r="S107"/>
  <c i="12" r="S76"/>
  <c i="12" r="S85"/>
  <c i="12" r="S81"/>
  <c i="12" r="S68"/>
  <c i="12" r="S77"/>
  <c i="12" r="S73"/>
  <c i="12" r="S69"/>
  <c i="20" r="S68"/>
  <c i="20" r="S100"/>
  <c i="20" r="S89"/>
  <c i="19" r="I107"/>
  <c i="19" r="I116"/>
  <c i="19" r="I114"/>
  <c i="19" r="I94"/>
  <c i="19" r="I103"/>
  <c i="19" r="I74"/>
  <c i="19" r="I67"/>
  <c i="19" r="I76"/>
  <c i="12" r="S101"/>
  <c i="12" r="S80"/>
  <c i="19" r="I112"/>
  <c i="19" r="I83"/>
  <c i="19" r="I81"/>
  <c i="12" r="S97"/>
  <c i="12" r="S115"/>
  <c i="12" r="S93"/>
  <c i="12" r="S111"/>
  <c i="12" r="S89"/>
  <c i="20" r="S78"/>
  <c i="20" r="S87"/>
  <c i="19" r="I68"/>
  <c i="20" r="I72"/>
  <c i="20" r="S105"/>
  <c i="20" r="I70"/>
  <c i="20" r="S76"/>
  <c i="20" r="S103"/>
  <c i="12" r="S103"/>
  <c i="20" r="I108"/>
  <c i="19" r="I111"/>
  <c i="20" r="S74"/>
  <c i="12" r="S99"/>
  <c i="20" r="S92"/>
  <c i="19" r="I91"/>
  <c i="20" r="I66"/>
  <c i="20" r="S72"/>
  <c i="20" r="S70"/>
  <c i="20" r="S81"/>
  <c i="20" r="I64"/>
  <c i="20" r="I110"/>
  <c i="19" r="I79"/>
  <c i="19" r="I92"/>
  <c i="20" r="S101"/>
  <c i="12" r="S95"/>
  <c i="20" r="S88"/>
  <c i="12" r="S112"/>
  <c i="19" r="I90"/>
  <c i="20" r="S99"/>
  <c i="12" r="S91"/>
  <c i="12" r="S108"/>
  <c i="19" r="I77"/>
  <c i="20" r="S86"/>
  <c i="19" r="I75"/>
  <c i="19" r="I88"/>
  <c i="19" r="I99"/>
  <c i="20" r="S73"/>
  <c i="20" r="S97"/>
  <c i="20" r="S71"/>
  <c i="20" r="S84"/>
  <c i="12" r="S100"/>
  <c i="19" r="I73"/>
  <c i="19" r="I86"/>
  <c i="20" r="S95"/>
  <c i="20" r="S82"/>
  <c i="12" r="S79"/>
  <c i="12" r="S113"/>
  <c i="19" r="I71"/>
  <c i="19" r="I84"/>
  <c i="20" r="S67"/>
  <c i="12" r="S75"/>
  <c i="12" r="S109"/>
  <c i="20" r="S80"/>
  <c i="20" r="S93"/>
  <c i="19" r="I82"/>
  <c i="20" r="S65"/>
  <c i="20" r="S104"/>
  <c i="19" r="I69"/>
  <c i="20" r="S91"/>
  <c i="20" r="I106"/>
  <c i="20" r="I104"/>
  <c i="20" r="S66"/>
  <c i="20" r="S85"/>
  <c i="20" r="I98"/>
  <c i="12" r="S87"/>
  <c i="20" r="S64"/>
  <c i="20" r="I96"/>
  <c i="12" r="S83"/>
  <c i="12" r="S116"/>
  <c i="20" r="S83"/>
  <c i="20" r="I94"/>
  <c i="20" r="S102"/>
  <c i="12" r="S71"/>
  <c i="12" r="S104"/>
  <c i="20" r="S79"/>
  <c i="12" r="S67"/>
  <c i="12" r="S96"/>
  <c i="20" r="S77"/>
  <c i="20" r="I88"/>
  <c i="12" r="S92"/>
  <c i="20" r="I86"/>
  <c i="20" r="S98"/>
  <c i="12" r="S88"/>
  <c i="20" r="S75"/>
  <c i="20" r="S96"/>
  <c i="12" r="S84"/>
  <c i="12" r="S117"/>
  <c i="20" r="S94"/>
  <c i="12" r="S72"/>
  <c i="12" r="S105"/>
  <c i="20" r="S69"/>
  <c i="20" r="I80"/>
  <c i="20" r="S90"/>
  <c i="20" r="I102"/>
  <c i="20" r="I100"/>
  <c i="20" r="I92"/>
  <c i="20" r="I90"/>
  <c i="20" r="I84"/>
  <c i="20" r="I82"/>
  <c i="20" r="I78"/>
  <c i="20" r="I76"/>
  <c i="20" r="I74"/>
  <c i="20" r="I68"/>
  <c i="19" r="I95"/>
  <c i="19" r="I80"/>
  <c i="19" r="I78"/>
  <c i="19" r="I72"/>
  <c i="19" r="I70"/>
  <c i="19" r="I85"/>
  <c i="19" r="I98"/>
  <c i="12" r="S70"/>
  <c i="12" r="S74"/>
  <c i="12" r="S78"/>
  <c i="12" r="S82"/>
  <c i="12" r="S86"/>
  <c i="12" r="S90"/>
  <c i="12" r="S94"/>
  <c i="12" r="S98"/>
  <c i="12" r="S102"/>
  <c i="12" r="S106"/>
  <c i="12" r="S110"/>
  <c i="20" r="I111"/>
  <c i="20" r="I109"/>
  <c i="20" r="I107"/>
  <c i="20" r="I65"/>
  <c i="20" r="I67"/>
  <c i="20" r="I69"/>
  <c i="20" r="I71"/>
  <c i="20" r="I73"/>
  <c i="20" r="I75"/>
  <c i="20" r="I77"/>
  <c i="20" r="I79"/>
  <c i="20" r="I81"/>
  <c i="20" r="I83"/>
  <c i="20" r="I85"/>
  <c i="20" r="I87"/>
  <c i="20" r="I89"/>
  <c i="20" r="I91"/>
  <c i="20" r="I93"/>
  <c i="20" r="I95"/>
  <c i="20" r="I97"/>
  <c i="20" r="I99"/>
  <c i="20" r="I101"/>
  <c i="20" r="I103"/>
  <c i="19" r="I110"/>
  <c i="19" r="I108"/>
  <c i="19" r="I106"/>
  <c i="19" r="I104"/>
  <c i="19" r="I102"/>
  <c i="19" r="I115"/>
  <c i="19" r="I100"/>
  <c i="20" r="S106"/>
  <c i="20" r="S107"/>
  <c i="20" r="S108"/>
  <c i="20" r="S109"/>
  <c i="19" r="I89"/>
  <c i="19" r="I93"/>
  <c i="19" r="I97"/>
  <c i="19" r="I101"/>
  <c i="19" r="I105"/>
  <c i="19" r="I109"/>
  <c i="19" r="I113"/>
  <c i="20" r="S110"/>
  <c i="12" r="I90"/>
  <c i="12" r="I91"/>
  <c i="12" r="I92"/>
  <c i="12" r="I93"/>
  <c i="12" r="I94"/>
  <c i="12" r="I95"/>
  <c i="12" r="I96"/>
  <c i="12" r="I97"/>
  <c i="12" r="I98"/>
  <c i="12" r="I99"/>
  <c i="12" r="I100"/>
  <c i="12" r="I101"/>
  <c i="12" r="I102"/>
  <c i="12" r="I103"/>
  <c i="12" r="I104"/>
  <c i="12" r="I105"/>
  <c i="12" r="I106"/>
  <c i="12" r="I107"/>
  <c i="12" r="I108"/>
  <c i="12" r="I109"/>
  <c i="12" r="I110"/>
  <c i="12" r="I111"/>
  <c i="12" r="I112"/>
  <c i="12" r="I113"/>
  <c i="12" r="I114"/>
  <c i="12" r="I115"/>
  <c i="12" r="I116"/>
  <c i="12" r="I117"/>
  <c i="12" r="I67"/>
  <c i="12" r="I68"/>
  <c i="12" r="I69"/>
  <c i="12" r="I70"/>
  <c i="12" r="I71"/>
  <c i="12" r="I72"/>
  <c i="12" r="I73"/>
  <c i="12" r="I74"/>
  <c i="12" r="I75"/>
  <c i="12" r="I76"/>
  <c i="12" r="I77"/>
  <c i="12" r="I78"/>
  <c i="12" r="I79"/>
  <c i="12" r="I80"/>
  <c i="12" r="I81"/>
  <c i="12" r="I82"/>
  <c i="12" r="I83"/>
  <c i="12" r="I84"/>
  <c i="12" r="I85"/>
  <c i="12" r="I86"/>
  <c i="12" r="I87"/>
  <c i="12" r="I88"/>
  <c i="19" r="S67"/>
  <c i="19" r="S68"/>
  <c i="19" r="S69"/>
  <c i="19" r="S70"/>
  <c i="19" r="S71"/>
  <c i="19" r="S72"/>
  <c i="19" r="S73"/>
  <c i="19" r="S74"/>
  <c i="19" r="S75"/>
  <c i="19" r="S76"/>
  <c i="19" r="S77"/>
  <c i="19" r="S78"/>
  <c i="19" r="S79"/>
  <c i="19" r="S80"/>
  <c i="19" r="S81"/>
  <c i="19" r="S82"/>
  <c i="19" r="S83"/>
  <c i="19" r="S84"/>
  <c i="19" r="S85"/>
  <c i="19" r="S86"/>
  <c i="19" r="S87"/>
  <c i="19" r="S88"/>
  <c i="19" r="S89"/>
  <c i="19" r="S90"/>
  <c i="19" r="S91"/>
  <c i="19" r="S92"/>
  <c i="19" r="S93"/>
  <c i="19" r="S94"/>
  <c i="19" r="S95"/>
  <c i="19" r="S96"/>
  <c i="19" r="S97"/>
  <c i="19" r="S98"/>
  <c i="19" r="S99"/>
  <c i="19" r="S100"/>
  <c i="19" r="S101"/>
  <c i="19" r="S102"/>
  <c i="19" r="S103"/>
  <c i="19" r="S104"/>
  <c i="19" r="S105"/>
  <c i="19" r="S106"/>
  <c i="19" r="S107"/>
  <c i="19" r="S108"/>
  <c i="19" r="S109"/>
  <c i="19" r="S110"/>
  <c i="19" r="S111"/>
  <c i="19" r="S112"/>
  <c i="19" r="S113"/>
  <c i="19" r="S114"/>
  <c i="19" r="S115"/>
  <c i="19" r="S116"/>
  <c i="12" r="L67"/>
</calcChain>
</file>

<file path=xl/sharedStrings.xml><?xml version="1.0" encoding="utf-8"?>
<sst xmlns="http://schemas.openxmlformats.org/spreadsheetml/2006/main" count="269" uniqueCount="35">
  <si>
    <t>Total</t>
  </si>
  <si>
    <t>Work</t>
  </si>
  <si>
    <t>School</t>
  </si>
  <si>
    <t>Timeperiod</t>
  </si>
  <si>
    <t>Before 3:00am</t>
  </si>
  <si>
    <t>Half-hour time periods</t>
  </si>
  <si>
    <t>Distance values reflect start time of time period</t>
  </si>
  <si>
    <t>After 27:30</t>
  </si>
  <si>
    <t>DaySim</t>
  </si>
  <si>
    <t>Escort</t>
  </si>
  <si>
    <t>PerBus</t>
  </si>
  <si>
    <t>Shop</t>
  </si>
  <si>
    <t>Meal</t>
  </si>
  <si>
    <t>SocRec</t>
  </si>
  <si>
    <t>Trip arrival time at stop location - outbound (first) half-tour</t>
  </si>
  <si>
    <t>Table X. Estimated Arrival at Stops on Outbound Tour Half: DaySim</t>
  </si>
  <si>
    <t>Table X. Estimated Departure at Stops on Return Tour Half: DaySim</t>
  </si>
  <si>
    <t>Trip departure time at stop location - return (second) half-tour</t>
  </si>
  <si>
    <t>Stop locations (trips) only (ie. exclude final half-tour trips to tour destination)</t>
  </si>
  <si>
    <t>Stop locations (trips) only (ie. exclude first half-tour trip from  tour destination)</t>
  </si>
  <si>
    <t>Stop purpose identified by trip destination purpose</t>
  </si>
  <si>
    <t>Stop purpose identified by trip origin purpose</t>
  </si>
  <si>
    <t>Duration at stop location - both half-tours</t>
  </si>
  <si>
    <t>Stop locations (trips) only (ie. exclude last outbound half-tour trip to tour destination and last return half-tour trip to tour origin)</t>
  </si>
  <si>
    <t>Table X. Estimated Duration at Stops: DaySim</t>
  </si>
  <si>
    <t>Steps for tour time of day distributions</t>
  </si>
  <si>
    <t>These frequency distributions have been generated using the trip file</t>
  </si>
  <si>
    <t>The arrival times at each stop are only summarized for stops on the outbound (or first) half-tour</t>
  </si>
  <si>
    <t>The departure times for each stop are only summarized for stops on the return (or second) half-tour</t>
  </si>
  <si>
    <t>Durations are summarized for stops in both tour halves</t>
  </si>
  <si>
    <t>Table X. Observed Arrival at Stops on Outbound Tour Half: Survey</t>
  </si>
  <si>
    <t>Survey</t>
  </si>
  <si>
    <t>Table X. Observed Departure at Stops on Return Tour Half: Survey</t>
  </si>
  <si>
    <t>Table X. Observed Duration at Stops: Survey</t>
  </si>
  <si>
    <t>Observed Sources: Survey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</si>
</sst>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mm/dd/yyyy\ hh:mm:ss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8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4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4">
      <alignment wrapText="1"/>
    </xf>
  </cellStyleXfs>
  <cellXfs count="23">
    <xf borderId="0" fillId="0" fontId="0" numFmtId="0" xfId="0"/>
    <xf applyBorder="1" borderId="1" fillId="0" fontId="0" numFmtId="0" xfId="0"/>
    <xf applyBorder="1" borderId="2" fillId="0" fontId="0" numFmtId="0" xfId="0"/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Font="1" borderId="0" fillId="0" fontId="1" numFmtId="0" xfId="0"/>
    <xf applyAlignment="1" borderId="0" fillId="0" fontId="2" numFmtId="0" xfId="1"/>
    <xf applyBorder="1" applyFont="1" borderId="0" fillId="0" fontId="1" numFmtId="0" xfId="0"/>
    <xf applyNumberFormat="1" borderId="0" fillId="0" fontId="0" numFmtId="20" xfId="0"/>
    <xf applyBorder="1" applyNumberFormat="1" borderId="1" fillId="0" fontId="0" numFmtId="20" xfId="0"/>
    <xf applyAlignment="1" applyBorder="1" borderId="0" fillId="0" fontId="0" numFmtId="0" xfId="0">
      <alignment horizontal="center" vertical="top"/>
    </xf>
    <xf applyBorder="1" applyFill="1" applyNumberFormat="1" borderId="0" fillId="0" fontId="0" numFmtId="20" xfId="0"/>
    <xf applyBorder="1" applyNumberFormat="1" borderId="0" fillId="0" fontId="0" numFmtId="2" xfId="0"/>
    <xf applyAlignment="1" applyNumberFormat="1" borderId="0" fillId="0" fontId="2" numFmtId="10" xfId="1"/>
    <xf applyNumberFormat="1" borderId="0" fillId="0" fontId="0" numFmtId="10" xfId="0"/>
    <xf applyAlignment="1" applyBorder="1" applyNumberFormat="1" borderId="1" fillId="0" fontId="2" numFmtId="10" xfId="1"/>
    <xf applyBorder="1" applyNumberFormat="1" borderId="1" fillId="0" fontId="0" numFmtId="10" xfId="0"/>
    <xf applyBorder="1" applyNumberFormat="1" borderId="3" fillId="0" fontId="0" numFmtId="20" xfId="0"/>
    <xf applyBorder="1" applyNumberFormat="1" borderId="4" fillId="0" fontId="0" numFmtId="20" xfId="0"/>
    <xf applyBorder="1" applyNumberFormat="1" borderId="4" fillId="0" fontId="0" numFmtId="1" xfId="0"/>
    <xf applyNumberFormat="1" borderId="0" fillId="0" fontId="0" numFmtId="1" xfId="0"/>
    <xf applyBorder="1" applyNumberFormat="1" borderId="3" fillId="0" fontId="0" numFmtId="1" xfId="0"/>
  </cellXfs>
  <cellStyles count="8"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calcChain.xml" Type="http://schemas.openxmlformats.org/officeDocument/2006/relationships/calcChain"/>
<Relationship Id="rId11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theme/theme1.xml" Type="http://schemas.openxmlformats.org/officeDocument/2006/relationships/theme"/>
<Relationship Id="rId8" Target="styles.xml" Type="http://schemas.openxmlformats.org/officeDocument/2006/relationships/styles"/>
<Relationship Id="rId9" Target="sharedStrings.xml" Type="http://schemas.openxmlformats.org/officeDocument/2006/relationships/sharedStrings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Stop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Arrival_Time_Outbound_Half_Tour!$B$66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Arrival_Time_Outbound_Half_Tour!$B$67:$B$117</c:f>
              <c:numCache>
                <c:formatCode>0.00%</c:formatCode>
                <c:ptCount val="51"/>
                <c:pt idx="0">
                  <c:v>0</c:v>
                </c:pt>
                <c:pt idx="1">
                  <c:v>1.7759561209298193E-3</c:v>
                </c:pt>
                <c:pt idx="2">
                  <c:v>3.9944868397331027E-3</c:v>
                </c:pt>
                <c:pt idx="3">
                  <c:v>7.1044548441729638E-3</c:v>
                </c:pt>
                <c:pt idx="4">
                  <c:v>1.1570277038013445E-2</c:v>
                </c:pt>
                <c:pt idx="5">
                  <c:v>1.7854166516739409E-2</c:v>
                </c:pt>
                <c:pt idx="6">
                  <c:v>2.6301117919008885E-2</c:v>
                </c:pt>
                <c:pt idx="7">
                  <c:v>3.6878422904323693E-2</c:v>
                </c:pt>
                <c:pt idx="8">
                  <c:v>4.8866964750487817E-2</c:v>
                </c:pt>
                <c:pt idx="9">
                  <c:v>6.0779970543775479E-2</c:v>
                </c:pt>
                <c:pt idx="10">
                  <c:v>7.0742318249152655E-2</c:v>
                </c:pt>
                <c:pt idx="11">
                  <c:v>7.7202821606598401E-2</c:v>
                </c:pt>
                <c:pt idx="12">
                  <c:v>7.9507506599927405E-2</c:v>
                </c:pt>
                <c:pt idx="13">
                  <c:v>7.7953642740913848E-2</c:v>
                </c:pt>
                <c:pt idx="14">
                  <c:v>7.3386898219280877E-2</c:v>
                </c:pt>
                <c:pt idx="15">
                  <c:v>6.6717131434459287E-2</c:v>
                </c:pt>
                <c:pt idx="16">
                  <c:v>5.8675919596367733E-2</c:v>
                </c:pt>
                <c:pt idx="17">
                  <c:v>4.9883523021325621E-2</c:v>
                </c:pt>
                <c:pt idx="18">
                  <c:v>4.1049150234239953E-2</c:v>
                </c:pt>
                <c:pt idx="19">
                  <c:v>3.30329649902548E-2</c:v>
                </c:pt>
                <c:pt idx="20">
                  <c:v>2.6638826605927344E-2</c:v>
                </c:pt>
                <c:pt idx="21">
                  <c:v>2.2275658853395382E-2</c:v>
                </c:pt>
                <c:pt idx="22">
                  <c:v>1.9749064412877278E-2</c:v>
                </c:pt>
                <c:pt idx="23">
                  <c:v>1.8329224273162446E-2</c:v>
                </c:pt>
                <c:pt idx="24">
                  <c:v>1.7061441173361187E-2</c:v>
                </c:pt>
                <c:pt idx="25">
                  <c:v>1.5182238017990343E-2</c:v>
                </c:pt>
                <c:pt idx="26">
                  <c:v>1.2451459998519626E-2</c:v>
                </c:pt>
                <c:pt idx="27">
                  <c:v>9.2108047950471821E-3</c:v>
                </c:pt>
                <c:pt idx="28">
                  <c:v>6.1153057046743993E-3</c:v>
                </c:pt>
                <c:pt idx="29">
                  <c:v>3.7171648367745405E-3</c:v>
                </c:pt>
                <c:pt idx="30">
                  <c:v>2.1936430862642049E-3</c:v>
                </c:pt>
                <c:pt idx="31">
                  <c:v>1.3696238502761287E-3</c:v>
                </c:pt>
                <c:pt idx="32">
                  <c:v>9.3609055177833352E-4</c:v>
                </c:pt>
                <c:pt idx="33">
                  <c:v>6.5451961693158199E-4</c:v>
                </c:pt>
                <c:pt idx="34">
                  <c:v>4.2476718561816162E-4</c:v>
                </c:pt>
                <c:pt idx="35">
                  <c:v>2.3949856969482475E-4</c:v>
                </c:pt>
                <c:pt idx="36">
                  <c:v>1.1294325965491303E-4</c:v>
                </c:pt>
                <c:pt idx="37">
                  <c:v>4.3330612979178145E-5</c:v>
                </c:pt>
                <c:pt idx="38">
                  <c:v>1.3131649180585502E-5</c:v>
                </c:pt>
                <c:pt idx="39">
                  <c:v>3.0200240008706632E-6</c:v>
                </c:pt>
                <c:pt idx="40">
                  <c:v>4.9479243909540757E-7</c:v>
                </c:pt>
                <c:pt idx="41">
                  <c:v>5.1414251689984916E-8</c:v>
                </c:pt>
                <c:pt idx="42">
                  <c:v>2.5454959039377696E-9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45-4D6F-B622-0CCB240CCF5E}"/>
            </c:ext>
          </c:extLst>
        </c:ser>
        <c:ser>
          <c:idx val="1"/>
          <c:order val="1"/>
          <c:tx>
            <c:strRef>
              <c:f>Arrival_Time_Outbound_Half_Tour!$L$66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Arrival_Time_Outbound_Half_Tour!$L$67:$L$117</c:f>
              <c:numCache>
                <c:formatCode>0.00%</c:formatCode>
                <c:ptCount val="51"/>
                <c:pt idx="0">
                  <c:v>5.5113839427178306E-5</c:v>
                </c:pt>
                <c:pt idx="1">
                  <c:v>6.1817742444855951E-3</c:v>
                </c:pt>
                <c:pt idx="2">
                  <c:v>1.2666220932297422E-2</c:v>
                </c:pt>
                <c:pt idx="3">
                  <c:v>2.0312619093634934E-2</c:v>
                </c:pt>
                <c:pt idx="4">
                  <c:v>3.0311838284971769E-2</c:v>
                </c:pt>
                <c:pt idx="5">
                  <c:v>4.350058609235679E-2</c:v>
                </c:pt>
                <c:pt idx="6">
                  <c:v>5.932788297858365E-2</c:v>
                </c:pt>
                <c:pt idx="7">
                  <c:v>7.5339377690105402E-2</c:v>
                </c:pt>
                <c:pt idx="8">
                  <c:v>8.780590533088635E-2</c:v>
                </c:pt>
                <c:pt idx="9">
                  <c:v>9.3339519088526696E-2</c:v>
                </c:pt>
                <c:pt idx="10">
                  <c:v>9.0581061353073547E-2</c:v>
                </c:pt>
                <c:pt idx="11">
                  <c:v>8.0929442280015515E-2</c:v>
                </c:pt>
                <c:pt idx="12">
                  <c:v>6.7851151094426937E-2</c:v>
                </c:pt>
                <c:pt idx="13">
                  <c:v>5.5149174797950125E-2</c:v>
                </c:pt>
                <c:pt idx="14">
                  <c:v>4.5216710939913869E-2</c:v>
                </c:pt>
                <c:pt idx="15">
                  <c:v>3.8335767652758354E-2</c:v>
                </c:pt>
                <c:pt idx="16">
                  <c:v>3.3335475305468647E-2</c:v>
                </c:pt>
                <c:pt idx="17">
                  <c:v>2.8900691945608455E-2</c:v>
                </c:pt>
                <c:pt idx="18">
                  <c:v>2.445520935045804E-2</c:v>
                </c:pt>
                <c:pt idx="19">
                  <c:v>2.0154213790751371E-2</c:v>
                </c:pt>
                <c:pt idx="20">
                  <c:v>1.6369520892359091E-2</c:v>
                </c:pt>
                <c:pt idx="21">
                  <c:v>1.3285542845445582E-2</c:v>
                </c:pt>
                <c:pt idx="22">
                  <c:v>1.0847704095495476E-2</c:v>
                </c:pt>
                <c:pt idx="23">
                  <c:v>8.9089414930703173E-3</c:v>
                </c:pt>
                <c:pt idx="24">
                  <c:v>7.3510361089446224E-3</c:v>
                </c:pt>
                <c:pt idx="25">
                  <c:v>6.1012553109757242E-3</c:v>
                </c:pt>
                <c:pt idx="26">
                  <c:v>5.0932933321466744E-3</c:v>
                </c:pt>
                <c:pt idx="27">
                  <c:v>4.2456520602599272E-3</c:v>
                </c:pt>
                <c:pt idx="28">
                  <c:v>3.4820874999334601E-3</c:v>
                </c:pt>
                <c:pt idx="29">
                  <c:v>2.7653431547341937E-3</c:v>
                </c:pt>
                <c:pt idx="30">
                  <c:v>2.1058617602107005E-3</c:v>
                </c:pt>
                <c:pt idx="31">
                  <c:v>1.5386461133563814E-3</c:v>
                </c:pt>
                <c:pt idx="32">
                  <c:v>1.0916577232667048E-3</c:v>
                </c:pt>
                <c:pt idx="33">
                  <c:v>7.6894556606733747E-4</c:v>
                </c:pt>
                <c:pt idx="34">
                  <c:v>5.5244475551659235E-4</c:v>
                </c:pt>
                <c:pt idx="35">
                  <c:v>4.1321965716269106E-4</c:v>
                </c:pt>
                <c:pt idx="36">
                  <c:v>3.2275918021226589E-4</c:v>
                </c:pt>
                <c:pt idx="37">
                  <c:v>2.5962079324019641E-4</c:v>
                </c:pt>
                <c:pt idx="38">
                  <c:v>2.1064245271238731E-4</c:v>
                </c:pt>
                <c:pt idx="39">
                  <c:v>1.6878873124373165E-4</c:v>
                </c:pt>
                <c:pt idx="40">
                  <c:v>1.3072314990520212E-4</c:v>
                </c:pt>
                <c:pt idx="41">
                  <c:v>9.5624193196881552E-5</c:v>
                </c:pt>
                <c:pt idx="42">
                  <c:v>6.4558429400956389E-5</c:v>
                </c:pt>
                <c:pt idx="43">
                  <c:v>3.9373448070618061E-5</c:v>
                </c:pt>
                <c:pt idx="44">
                  <c:v>2.1273462575630213E-5</c:v>
                </c:pt>
                <c:pt idx="45">
                  <c:v>9.9916187256674749E-6</c:v>
                </c:pt>
                <c:pt idx="46">
                  <c:v>3.9972376713151077E-6</c:v>
                </c:pt>
                <c:pt idx="47">
                  <c:v>1.3296343511533377E-6</c:v>
                </c:pt>
                <c:pt idx="48">
                  <c:v>3.5647010392946198E-7</c:v>
                </c:pt>
                <c:pt idx="49">
                  <c:v>7.2743943946089531E-8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B45-4D6F-B622-0CCB240CC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394176"/>
        <c:axId val="58173120"/>
      </c:lineChart>
      <c:catAx>
        <c:axId val="8939417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3120"/>
        <c:crosses val="autoZero"/>
        <c:auto val="1"/>
        <c:lblAlgn val="ctr"/>
        <c:lblOffset val="100"/>
        <c:tickLblSkip val="2"/>
        <c:noMultiLvlLbl val="0"/>
      </c:catAx>
      <c:valAx>
        <c:axId val="58173120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893941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2576771653543337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78" footer="0.30000000000000032" header="0.30000000000000032" l="0.70000000000000062" r="0.70000000000000062" t="0.75000000000000178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Stop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Arrival_Time_Outbound_Half_Tour!$C$66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Arrival_Time_Outbound_Half_Tour!$C$67:$C$117</c:f>
              <c:numCache>
                <c:formatCode>0.00%</c:formatCode>
                <c:ptCount val="51"/>
                <c:pt idx="0">
                  <c:v>1.2811915182836496E-3</c:v>
                </c:pt>
                <c:pt idx="1">
                  <c:v>1.3842481551080495E-3</c:v>
                </c:pt>
                <c:pt idx="2">
                  <c:v>1.5595814576956487E-3</c:v>
                </c:pt>
                <c:pt idx="3">
                  <c:v>2.0715646227484697E-3</c:v>
                </c:pt>
                <c:pt idx="4">
                  <c:v>3.5885975181758718E-3</c:v>
                </c:pt>
                <c:pt idx="5">
                  <c:v>7.2857019253136906E-3</c:v>
                </c:pt>
                <c:pt idx="6">
                  <c:v>1.4592561054952331E-2</c:v>
                </c:pt>
                <c:pt idx="7">
                  <c:v>2.6472768745938832E-2</c:v>
                </c:pt>
                <c:pt idx="8">
                  <c:v>4.2500112048672996E-2</c:v>
                </c:pt>
                <c:pt idx="9">
                  <c:v>6.033270867659378E-2</c:v>
                </c:pt>
                <c:pt idx="10">
                  <c:v>7.6142775076239719E-2</c:v>
                </c:pt>
                <c:pt idx="11">
                  <c:v>8.6071473209128849E-2</c:v>
                </c:pt>
                <c:pt idx="12">
                  <c:v>8.8064812118656091E-2</c:v>
                </c:pt>
                <c:pt idx="13">
                  <c:v>8.2951510079684029E-2</c:v>
                </c:pt>
                <c:pt idx="14">
                  <c:v>7.3902050884085163E-2</c:v>
                </c:pt>
                <c:pt idx="15">
                  <c:v>6.4541909773467104E-2</c:v>
                </c:pt>
                <c:pt idx="16">
                  <c:v>5.7067284077243749E-2</c:v>
                </c:pt>
                <c:pt idx="17">
                  <c:v>5.1623170037532459E-2</c:v>
                </c:pt>
                <c:pt idx="18">
                  <c:v>4.7069188110423266E-2</c:v>
                </c:pt>
                <c:pt idx="19">
                  <c:v>4.2258907016786855E-2</c:v>
                </c:pt>
                <c:pt idx="20">
                  <c:v>3.6848433772298614E-2</c:v>
                </c:pt>
                <c:pt idx="21">
                  <c:v>3.1226951432794792E-2</c:v>
                </c:pt>
                <c:pt idx="22">
                  <c:v>2.5896950542462362E-2</c:v>
                </c:pt>
                <c:pt idx="23">
                  <c:v>2.1012759218036317E-2</c:v>
                </c:pt>
                <c:pt idx="24">
                  <c:v>1.6472357551113054E-2</c:v>
                </c:pt>
                <c:pt idx="25">
                  <c:v>1.2277819362382569E-2</c:v>
                </c:pt>
                <c:pt idx="26">
                  <c:v>8.6511698327311742E-3</c:v>
                </c:pt>
                <c:pt idx="27">
                  <c:v>5.8228880927795844E-3</c:v>
                </c:pt>
                <c:pt idx="28">
                  <c:v>3.822464836422769E-3</c:v>
                </c:pt>
                <c:pt idx="29">
                  <c:v>2.4938523859865322E-3</c:v>
                </c:pt>
                <c:pt idx="30">
                  <c:v>1.6358117015360361E-3</c:v>
                </c:pt>
                <c:pt idx="31">
                  <c:v>1.0895484278896747E-3</c:v>
                </c:pt>
                <c:pt idx="32">
                  <c:v>7.4193056462095472E-4</c:v>
                </c:pt>
                <c:pt idx="33">
                  <c:v>5.0960779654060098E-4</c:v>
                </c:pt>
                <c:pt idx="34">
                  <c:v>3.3896142523352486E-4</c:v>
                </c:pt>
                <c:pt idx="35">
                  <c:v>2.0736964504022368E-4</c:v>
                </c:pt>
                <c:pt idx="36">
                  <c:v>1.1156322164307583E-4</c:v>
                </c:pt>
                <c:pt idx="37">
                  <c:v>5.0960741301622666E-5</c:v>
                </c:pt>
                <c:pt idx="38">
                  <c:v>1.9173169714834855E-5</c:v>
                </c:pt>
                <c:pt idx="39">
                  <c:v>5.7514509920860018E-6</c:v>
                </c:pt>
                <c:pt idx="40">
                  <c:v>1.3184624377773848E-6</c:v>
                </c:pt>
                <c:pt idx="41">
                  <c:v>2.1648619428137284E-7</c:v>
                </c:pt>
                <c:pt idx="42">
                  <c:v>2.2641063517669722E-8</c:v>
                </c:pt>
                <c:pt idx="43">
                  <c:v>1.132053175883486E-9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41-495E-84ED-FEB7A378BAFD}"/>
            </c:ext>
          </c:extLst>
        </c:ser>
        <c:ser>
          <c:idx val="1"/>
          <c:order val="1"/>
          <c:tx>
            <c:strRef>
              <c:f>Arrival_Time_Outbound_Half_Tour!$M$66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Arrival_Time_Outbound_Half_Tour!$M$67:$M$117</c:f>
              <c:numCache>
                <c:formatCode>0.00%</c:formatCode>
                <c:ptCount val="51"/>
                <c:pt idx="0">
                  <c:v>1.0368685715059075E-4</c:v>
                </c:pt>
                <c:pt idx="1">
                  <c:v>1.9976560540104792E-3</c:v>
                </c:pt>
                <c:pt idx="2">
                  <c:v>4.5149160000849805E-3</c:v>
                </c:pt>
                <c:pt idx="3">
                  <c:v>8.6055244042578041E-3</c:v>
                </c:pt>
                <c:pt idx="4">
                  <c:v>1.5550038978514685E-2</c:v>
                </c:pt>
                <c:pt idx="5">
                  <c:v>2.6438548650850591E-2</c:v>
                </c:pt>
                <c:pt idx="6">
                  <c:v>4.1266801678291887E-2</c:v>
                </c:pt>
                <c:pt idx="7">
                  <c:v>5.8227365516495627E-2</c:v>
                </c:pt>
                <c:pt idx="8">
                  <c:v>7.387740988882982E-2</c:v>
                </c:pt>
                <c:pt idx="9">
                  <c:v>8.4378443272793396E-2</c:v>
                </c:pt>
                <c:pt idx="10">
                  <c:v>8.7238111260387663E-2</c:v>
                </c:pt>
                <c:pt idx="11">
                  <c:v>8.2545791482494343E-2</c:v>
                </c:pt>
                <c:pt idx="12">
                  <c:v>7.2905073976269039E-2</c:v>
                </c:pt>
                <c:pt idx="13">
                  <c:v>6.2015672102900155E-2</c:v>
                </c:pt>
                <c:pt idx="14">
                  <c:v>5.2752980206484577E-2</c:v>
                </c:pt>
                <c:pt idx="15">
                  <c:v>4.6012660223700701E-2</c:v>
                </c:pt>
                <c:pt idx="16">
                  <c:v>4.1017075644966046E-2</c:v>
                </c:pt>
                <c:pt idx="17">
                  <c:v>3.6572256218386383E-2</c:v>
                </c:pt>
                <c:pt idx="18">
                  <c:v>3.2089706231604849E-2</c:v>
                </c:pt>
                <c:pt idx="19">
                  <c:v>2.7696757692310333E-2</c:v>
                </c:pt>
                <c:pt idx="20">
                  <c:v>2.3742305380597399E-2</c:v>
                </c:pt>
                <c:pt idx="21">
                  <c:v>2.0378402659365309E-2</c:v>
                </c:pt>
                <c:pt idx="22">
                  <c:v>1.7522650272671976E-2</c:v>
                </c:pt>
                <c:pt idx="23">
                  <c:v>1.5037803773076286E-2</c:v>
                </c:pt>
                <c:pt idx="24">
                  <c:v>1.2861720169557346E-2</c:v>
                </c:pt>
                <c:pt idx="25">
                  <c:v>1.0991321361135124E-2</c:v>
                </c:pt>
                <c:pt idx="26">
                  <c:v>9.3971135044326227E-3</c:v>
                </c:pt>
                <c:pt idx="27">
                  <c:v>7.9846343793779518E-3</c:v>
                </c:pt>
                <c:pt idx="28">
                  <c:v>6.6430066055277164E-3</c:v>
                </c:pt>
                <c:pt idx="29">
                  <c:v>5.3233479626379485E-3</c:v>
                </c:pt>
                <c:pt idx="30">
                  <c:v>4.0662874467646938E-3</c:v>
                </c:pt>
                <c:pt idx="31">
                  <c:v>2.9594054998520677E-3</c:v>
                </c:pt>
                <c:pt idx="32">
                  <c:v>2.0727298910351816E-3</c:v>
                </c:pt>
                <c:pt idx="33">
                  <c:v>1.4243962854746147E-3</c:v>
                </c:pt>
                <c:pt idx="34">
                  <c:v>9.8598540670759923E-4</c:v>
                </c:pt>
                <c:pt idx="35">
                  <c:v>7.0590692463840205E-4</c:v>
                </c:pt>
                <c:pt idx="36">
                  <c:v>5.3049260235860367E-4</c:v>
                </c:pt>
                <c:pt idx="37">
                  <c:v>4.1602479319950638E-4</c:v>
                </c:pt>
                <c:pt idx="38">
                  <c:v>3.3271320725347637E-4</c:v>
                </c:pt>
                <c:pt idx="39">
                  <c:v>2.6356805363277627E-4</c:v>
                </c:pt>
                <c:pt idx="40">
                  <c:v>2.012221536850469E-4</c:v>
                </c:pt>
                <c:pt idx="41">
                  <c:v>1.4461833781053999E-4</c:v>
                </c:pt>
                <c:pt idx="42">
                  <c:v>9.5928606645382143E-5</c:v>
                </c:pt>
                <c:pt idx="43">
                  <c:v>5.772803466246524E-5</c:v>
                </c:pt>
                <c:pt idx="44">
                  <c:v>3.1007533341268207E-5</c:v>
                </c:pt>
                <c:pt idx="45">
                  <c:v>1.4609844446863226E-5</c:v>
                </c:pt>
                <c:pt idx="46">
                  <c:v>5.9164960135376896E-6</c:v>
                </c:pt>
                <c:pt idx="47">
                  <c:v>2.0078416779517067E-6</c:v>
                </c:pt>
                <c:pt idx="48">
                  <c:v>5.5251769519567269E-7</c:v>
                </c:pt>
                <c:pt idx="49">
                  <c:v>1.1611394120128745E-7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41-495E-84ED-FEB7A378BA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8240"/>
        <c:axId val="58176000"/>
      </c:lineChart>
      <c:catAx>
        <c:axId val="12493824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6000"/>
        <c:crosses val="autoZero"/>
        <c:auto val="1"/>
        <c:lblAlgn val="ctr"/>
        <c:lblOffset val="100"/>
        <c:tickLblSkip val="2"/>
        <c:noMultiLvlLbl val="0"/>
      </c:catAx>
      <c:valAx>
        <c:axId val="58176000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249382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Arrival_Time_Outbound_Half_Tour!$D$67:$D$117</c:f>
              <c:numCache>
                <c:formatCode>0.00%</c:formatCode>
                <c:ptCount val="51"/>
                <c:pt idx="0">
                  <c:v>0</c:v>
                </c:pt>
                <c:pt idx="1">
                  <c:v>5.0455895387274035E-4</c:v>
                </c:pt>
                <c:pt idx="2">
                  <c:v>1.3574896295205235E-3</c:v>
                </c:pt>
                <c:pt idx="3">
                  <c:v>3.211847392964685E-3</c:v>
                </c:pt>
                <c:pt idx="4">
                  <c:v>7.3094864837362251E-3</c:v>
                </c:pt>
                <c:pt idx="5">
                  <c:v>1.5507478705870792E-2</c:v>
                </c:pt>
                <c:pt idx="6">
                  <c:v>2.9648506210086922E-2</c:v>
                </c:pt>
                <c:pt idx="7">
                  <c:v>5.0172611245050028E-2</c:v>
                </c:pt>
                <c:pt idx="8">
                  <c:v>7.4672378643729817E-2</c:v>
                </c:pt>
                <c:pt idx="9">
                  <c:v>9.7700962290588611E-2</c:v>
                </c:pt>
                <c:pt idx="10">
                  <c:v>0.11262026338921999</c:v>
                </c:pt>
                <c:pt idx="11">
                  <c:v>0.11471562025810068</c:v>
                </c:pt>
                <c:pt idx="12">
                  <c:v>0.1035934152261279</c:v>
                </c:pt>
                <c:pt idx="13">
                  <c:v>8.3264401941719954E-2</c:v>
                </c:pt>
                <c:pt idx="14">
                  <c:v>5.9975867871553325E-2</c:v>
                </c:pt>
                <c:pt idx="15">
                  <c:v>3.9317144533604687E-2</c:v>
                </c:pt>
                <c:pt idx="16">
                  <c:v>2.4309352368960875E-2</c:v>
                </c:pt>
                <c:pt idx="17">
                  <c:v>1.5226426017151903E-2</c:v>
                </c:pt>
                <c:pt idx="18">
                  <c:v>1.0691332934323379E-2</c:v>
                </c:pt>
                <c:pt idx="19">
                  <c:v>9.0043300954806699E-3</c:v>
                </c:pt>
                <c:pt idx="20">
                  <c:v>8.9132905890022644E-3</c:v>
                </c:pt>
                <c:pt idx="21">
                  <c:v>9.6987926923960705E-3</c:v>
                </c:pt>
                <c:pt idx="22">
                  <c:v>1.0918625654357026E-2</c:v>
                </c:pt>
                <c:pt idx="23">
                  <c:v>1.2190660190983804E-2</c:v>
                </c:pt>
                <c:pt idx="24">
                  <c:v>1.3160717862444533E-2</c:v>
                </c:pt>
                <c:pt idx="25">
                  <c:v>1.3580762769015726E-2</c:v>
                </c:pt>
                <c:pt idx="26">
                  <c:v>1.3357747734047199E-2</c:v>
                </c:pt>
                <c:pt idx="27">
                  <c:v>1.2519168703813342E-2</c:v>
                </c:pt>
                <c:pt idx="28">
                  <c:v>1.1159762936376088E-2</c:v>
                </c:pt>
                <c:pt idx="29">
                  <c:v>9.4400826065041896E-3</c:v>
                </c:pt>
                <c:pt idx="30">
                  <c:v>7.6029653552385319E-3</c:v>
                </c:pt>
                <c:pt idx="31">
                  <c:v>5.9231469834619297E-3</c:v>
                </c:pt>
                <c:pt idx="32">
                  <c:v>4.5914591275924886E-3</c:v>
                </c:pt>
                <c:pt idx="33">
                  <c:v>3.6312837927153785E-3</c:v>
                </c:pt>
                <c:pt idx="34">
                  <c:v>2.9220654016813598E-3</c:v>
                </c:pt>
                <c:pt idx="35">
                  <c:v>2.3073366651058932E-3</c:v>
                </c:pt>
                <c:pt idx="36">
                  <c:v>1.7030200197015761E-3</c:v>
                </c:pt>
                <c:pt idx="37">
                  <c:v>1.1328667607643885E-3</c:v>
                </c:pt>
                <c:pt idx="38">
                  <c:v>6.7879042828407408E-4</c:v>
                </c:pt>
                <c:pt idx="39">
                  <c:v>3.9877768209136484E-4</c:v>
                </c:pt>
                <c:pt idx="40">
                  <c:v>2.807832865093437E-4</c:v>
                </c:pt>
                <c:pt idx="41">
                  <c:v>2.5729866879051276E-4</c:v>
                </c:pt>
                <c:pt idx="42">
                  <c:v>2.5302501563148638E-4</c:v>
                </c:pt>
                <c:pt idx="43">
                  <c:v>2.2411021960120245E-4</c:v>
                </c:pt>
                <c:pt idx="44">
                  <c:v>1.672439852524463E-4</c:v>
                </c:pt>
                <c:pt idx="45">
                  <c:v>1.0284328180463608E-4</c:v>
                </c:pt>
                <c:pt idx="46">
                  <c:v>5.1418327634797108E-5</c:v>
                </c:pt>
                <c:pt idx="47">
                  <c:v>2.0567331053918845E-5</c:v>
                </c:pt>
                <c:pt idx="48">
                  <c:v>6.425964372109318E-6</c:v>
                </c:pt>
                <c:pt idx="49">
                  <c:v>1.4857721091582238E-6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67-4170-BB9F-86F1B001FF7D}"/>
            </c:ext>
          </c:extLst>
        </c:ser>
        <c:ser>
          <c:idx val="1"/>
          <c:order val="1"/>
          <c:tx>
            <c:strRef>
              <c:f>Arrival_Time_Outbound_Half_Tour!$N$66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Arrival_Time_Outbound_Half_Tour!$N$67:$N$117</c:f>
              <c:numCache>
                <c:formatCode>0.00%</c:formatCode>
                <c:ptCount val="51"/>
                <c:pt idx="0">
                  <c:v>3.9384966220353233E-5</c:v>
                </c:pt>
                <c:pt idx="1">
                  <c:v>9.1225526199526907E-3</c:v>
                </c:pt>
                <c:pt idx="2">
                  <c:v>1.8002983613121845E-2</c:v>
                </c:pt>
                <c:pt idx="3">
                  <c:v>2.7151937298040711E-2</c:v>
                </c:pt>
                <c:pt idx="4">
                  <c:v>3.7693709553892146E-2</c:v>
                </c:pt>
                <c:pt idx="5">
                  <c:v>5.0506963907287351E-2</c:v>
                </c:pt>
                <c:pt idx="6">
                  <c:v>6.5025651827132797E-2</c:v>
                </c:pt>
                <c:pt idx="7">
                  <c:v>7.8754168078004866E-2</c:v>
                </c:pt>
                <c:pt idx="8">
                  <c:v>8.8123349970814044E-2</c:v>
                </c:pt>
                <c:pt idx="9">
                  <c:v>9.0296990570065974E-2</c:v>
                </c:pt>
                <c:pt idx="10">
                  <c:v>8.4764265970695626E-2</c:v>
                </c:pt>
                <c:pt idx="11">
                  <c:v>7.3681540643810509E-2</c:v>
                </c:pt>
                <c:pt idx="12">
                  <c:v>6.0767310975145365E-2</c:v>
                </c:pt>
                <c:pt idx="13">
                  <c:v>4.9440120944022066E-2</c:v>
                </c:pt>
                <c:pt idx="14">
                  <c:v>4.1318677687620181E-2</c:v>
                </c:pt>
                <c:pt idx="15">
                  <c:v>3.5955129093674147E-2</c:v>
                </c:pt>
                <c:pt idx="16">
                  <c:v>3.1814600673008113E-2</c:v>
                </c:pt>
                <c:pt idx="17">
                  <c:v>2.7621437953971317E-2</c:v>
                </c:pt>
                <c:pt idx="18">
                  <c:v>2.3060607910307295E-2</c:v>
                </c:pt>
                <c:pt idx="19">
                  <c:v>1.8558772927168982E-2</c:v>
                </c:pt>
                <c:pt idx="20">
                  <c:v>1.4660994421057739E-2</c:v>
                </c:pt>
                <c:pt idx="21">
                  <c:v>1.1621154682240316E-2</c:v>
                </c:pt>
                <c:pt idx="22">
                  <c:v>9.3813140462879595E-3</c:v>
                </c:pt>
                <c:pt idx="23">
                  <c:v>7.7440493360824156E-3</c:v>
                </c:pt>
                <c:pt idx="24">
                  <c:v>6.5176619091919163E-3</c:v>
                </c:pt>
                <c:pt idx="25">
                  <c:v>5.5650367241220468E-3</c:v>
                </c:pt>
                <c:pt idx="26">
                  <c:v>4.7944695269464925E-3</c:v>
                </c:pt>
                <c:pt idx="27">
                  <c:v>4.1441571179885736E-3</c:v>
                </c:pt>
                <c:pt idx="28">
                  <c:v>3.5789301736445433E-3</c:v>
                </c:pt>
                <c:pt idx="29">
                  <c:v>3.0892456574918054E-3</c:v>
                </c:pt>
                <c:pt idx="30">
                  <c:v>2.6809302209155994E-3</c:v>
                </c:pt>
                <c:pt idx="31">
                  <c:v>2.3589419418974292E-3</c:v>
                </c:pt>
                <c:pt idx="32">
                  <c:v>2.1155142840411567E-3</c:v>
                </c:pt>
                <c:pt idx="33">
                  <c:v>1.9270378657290227E-3</c:v>
                </c:pt>
                <c:pt idx="34">
                  <c:v>1.7584910350799874E-3</c:v>
                </c:pt>
                <c:pt idx="35">
                  <c:v>1.5745915965066778E-3</c:v>
                </c:pt>
                <c:pt idx="36">
                  <c:v>1.3546457159278956E-3</c:v>
                </c:pt>
                <c:pt idx="37">
                  <c:v>1.1020166843286963E-3</c:v>
                </c:pt>
                <c:pt idx="38">
                  <c:v>8.4011580117218871E-4</c:v>
                </c:pt>
                <c:pt idx="39">
                  <c:v>5.9784935436941772E-4</c:v>
                </c:pt>
                <c:pt idx="40">
                  <c:v>3.9605056620467804E-4</c:v>
                </c:pt>
                <c:pt idx="41">
                  <c:v>2.4283668492832241E-4</c:v>
                </c:pt>
                <c:pt idx="42">
                  <c:v>1.3631845987934849E-4</c:v>
                </c:pt>
                <c:pt idx="43">
                  <c:v>6.8996220077371069E-5</c:v>
                </c:pt>
                <c:pt idx="44">
                  <c:v>3.0942586213750403E-5</c:v>
                </c:pt>
                <c:pt idx="45">
                  <c:v>1.2080220404761736E-5</c:v>
                </c:pt>
                <c:pt idx="46">
                  <c:v>4.0339454775502692E-6</c:v>
                </c:pt>
                <c:pt idx="47">
                  <c:v>1.1303132653246454E-6</c:v>
                </c:pt>
                <c:pt idx="48">
                  <c:v>2.5931143527960428E-7</c:v>
                </c:pt>
                <c:pt idx="49">
                  <c:v>4.6413135335170626E-8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67-4170-BB9F-86F1B001FF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8752"/>
        <c:axId val="58197696"/>
      </c:lineChart>
      <c:catAx>
        <c:axId val="12493875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97696"/>
        <c:crosses val="autoZero"/>
        <c:auto val="1"/>
        <c:lblAlgn val="ctr"/>
        <c:lblOffset val="100"/>
        <c:tickLblSkip val="2"/>
        <c:noMultiLvlLbl val="0"/>
      </c:catAx>
      <c:valAx>
        <c:axId val="58197696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249387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baseline="0" lang="en-US"/>
              <a:t> Business</a:t>
            </a:r>
            <a:r>
              <a:rPr lang="en-US"/>
              <a:t>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Arrival_Time_Outbound_Half_Tour!$E$66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Arrival_Time_Outbound_Half_Tour!$E$67:$E$117</c:f>
              <c:numCache>
                <c:formatCode>0.00%</c:formatCode>
                <c:ptCount val="51"/>
                <c:pt idx="0">
                  <c:v>0</c:v>
                </c:pt>
                <c:pt idx="1">
                  <c:v>4.9993169525610335E-4</c:v>
                </c:pt>
                <c:pt idx="2">
                  <c:v>1.0624371506970402E-3</c:v>
                </c:pt>
                <c:pt idx="3">
                  <c:v>1.8445016961362755E-3</c:v>
                </c:pt>
                <c:pt idx="4">
                  <c:v>3.1303924157862193E-3</c:v>
                </c:pt>
                <c:pt idx="5">
                  <c:v>5.2735948361235067E-3</c:v>
                </c:pt>
                <c:pt idx="6">
                  <c:v>8.5731994501140971E-3</c:v>
                </c:pt>
                <c:pt idx="7">
                  <c:v>1.3158620260564483E-2</c:v>
                </c:pt>
                <c:pt idx="8">
                  <c:v>1.896018157397469E-2</c:v>
                </c:pt>
                <c:pt idx="9">
                  <c:v>2.5783320417306625E-2</c:v>
                </c:pt>
                <c:pt idx="10">
                  <c:v>3.3406058596197212E-2</c:v>
                </c:pt>
                <c:pt idx="11">
                  <c:v>4.1563116941504968E-2</c:v>
                </c:pt>
                <c:pt idx="12">
                  <c:v>4.9767344153962223E-2</c:v>
                </c:pt>
                <c:pt idx="13">
                  <c:v>5.7136495119847829E-2</c:v>
                </c:pt>
                <c:pt idx="14">
                  <c:v>6.2508398797095507E-2</c:v>
                </c:pt>
                <c:pt idx="15">
                  <c:v>6.4913860881792781E-2</c:v>
                </c:pt>
                <c:pt idx="16">
                  <c:v>6.4097560215331195E-2</c:v>
                </c:pt>
                <c:pt idx="17">
                  <c:v>6.0671801598322347E-2</c:v>
                </c:pt>
                <c:pt idx="18">
                  <c:v>5.578512896730603E-2</c:v>
                </c:pt>
                <c:pt idx="19">
                  <c:v>5.0555506850281727E-2</c:v>
                </c:pt>
                <c:pt idx="20">
                  <c:v>4.5644939039525205E-2</c:v>
                </c:pt>
                <c:pt idx="21">
                  <c:v>4.121667400306659E-2</c:v>
                </c:pt>
                <c:pt idx="22">
                  <c:v>3.7219635610966487E-2</c:v>
                </c:pt>
                <c:pt idx="23">
                  <c:v>3.3678611398461247E-2</c:v>
                </c:pt>
                <c:pt idx="24">
                  <c:v>3.0705187383441565E-2</c:v>
                </c:pt>
                <c:pt idx="25">
                  <c:v>2.8288529786112151E-2</c:v>
                </c:pt>
                <c:pt idx="26">
                  <c:v>2.6175560282286126E-2</c:v>
                </c:pt>
                <c:pt idx="27">
                  <c:v>2.4009920164549954E-2</c:v>
                </c:pt>
                <c:pt idx="28">
                  <c:v>2.1583233348667054E-2</c:v>
                </c:pt>
                <c:pt idx="29">
                  <c:v>1.8949473606352813E-2</c:v>
                </c:pt>
                <c:pt idx="30">
                  <c:v>1.6322323508420625E-2</c:v>
                </c:pt>
                <c:pt idx="31">
                  <c:v>1.3877675727083349E-2</c:v>
                </c:pt>
                <c:pt idx="32">
                  <c:v>1.1634558870285533E-2</c:v>
                </c:pt>
                <c:pt idx="33">
                  <c:v>9.4955418213573221E-3</c:v>
                </c:pt>
                <c:pt idx="34">
                  <c:v>7.3892379106078954E-3</c:v>
                </c:pt>
                <c:pt idx="35">
                  <c:v>5.3754098201820337E-3</c:v>
                </c:pt>
                <c:pt idx="36">
                  <c:v>3.6177182553859808E-3</c:v>
                </c:pt>
                <c:pt idx="37">
                  <c:v>2.2632137871123987E-3</c:v>
                </c:pt>
                <c:pt idx="38">
                  <c:v>1.349277079596592E-3</c:v>
                </c:pt>
                <c:pt idx="39">
                  <c:v>8.0570703801280917E-4</c:v>
                </c:pt>
                <c:pt idx="40">
                  <c:v>5.1592161582747899E-4</c:v>
                </c:pt>
                <c:pt idx="41">
                  <c:v>3.7011513941907434E-4</c:v>
                </c:pt>
                <c:pt idx="42">
                  <c:v>2.8723044760063768E-4</c:v>
                </c:pt>
                <c:pt idx="43">
                  <c:v>2.1990786224376253E-4</c:v>
                </c:pt>
                <c:pt idx="44">
                  <c:v>1.5259012688905674E-4</c:v>
                </c:pt>
                <c:pt idx="45">
                  <c:v>9.0836564425559224E-5</c:v>
                </c:pt>
                <c:pt idx="46">
                  <c:v>4.4820834391943926E-5</c:v>
                </c:pt>
                <c:pt idx="47">
                  <c:v>1.7843383104224646E-5</c:v>
                </c:pt>
                <c:pt idx="48">
                  <c:v>5.5671127462209374E-6</c:v>
                </c:pt>
                <c:pt idx="49">
                  <c:v>1.2868542775523048E-6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32-4A91-924A-8EC72109FE58}"/>
            </c:ext>
          </c:extLst>
        </c:ser>
        <c:ser>
          <c:idx val="1"/>
          <c:order val="1"/>
          <c:tx>
            <c:strRef>
              <c:f>Arrival_Time_Outbound_Half_Tour!$O$66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Arrival_Time_Outbound_Half_Tour!$O$67:$O$117</c:f>
              <c:numCache>
                <c:formatCode>0.00%</c:formatCode>
                <c:ptCount val="51"/>
                <c:pt idx="0">
                  <c:v>2.1802971788189211E-5</c:v>
                </c:pt>
                <c:pt idx="1">
                  <c:v>2.2177113042556847E-3</c:v>
                </c:pt>
                <c:pt idx="2">
                  <c:v>4.598726574579012E-3</c:v>
                </c:pt>
                <c:pt idx="3">
                  <c:v>7.585979234838479E-3</c:v>
                </c:pt>
                <c:pt idx="4">
                  <c:v>1.1877334910885459E-2</c:v>
                </c:pt>
                <c:pt idx="5">
                  <c:v>1.818834014092597E-2</c:v>
                </c:pt>
                <c:pt idx="6">
                  <c:v>2.6768912864650246E-2</c:v>
                </c:pt>
                <c:pt idx="7">
                  <c:v>3.6964344177680866E-2</c:v>
                </c:pt>
                <c:pt idx="8">
                  <c:v>4.7155970428801368E-2</c:v>
                </c:pt>
                <c:pt idx="9">
                  <c:v>5.5274552938604143E-2</c:v>
                </c:pt>
                <c:pt idx="10">
                  <c:v>5.9761850636165632E-2</c:v>
                </c:pt>
                <c:pt idx="11">
                  <c:v>6.0480693194062768E-2</c:v>
                </c:pt>
                <c:pt idx="12">
                  <c:v>5.8882961879823989E-2</c:v>
                </c:pt>
                <c:pt idx="13">
                  <c:v>5.7087949906517527E-2</c:v>
                </c:pt>
                <c:pt idx="14">
                  <c:v>5.6411366167660938E-2</c:v>
                </c:pt>
                <c:pt idx="15">
                  <c:v>5.6544304408683896E-2</c:v>
                </c:pt>
                <c:pt idx="16">
                  <c:v>5.6103443026123578E-2</c:v>
                </c:pt>
                <c:pt idx="17">
                  <c:v>5.3962494380997379E-2</c:v>
                </c:pt>
                <c:pt idx="18">
                  <c:v>5.0084270675491982E-2</c:v>
                </c:pt>
                <c:pt idx="19">
                  <c:v>4.5263513122459187E-2</c:v>
                </c:pt>
                <c:pt idx="20">
                  <c:v>4.0327742845370704E-2</c:v>
                </c:pt>
                <c:pt idx="21">
                  <c:v>3.5642260005344449E-2</c:v>
                </c:pt>
                <c:pt idx="22">
                  <c:v>3.118235546109021E-2</c:v>
                </c:pt>
                <c:pt idx="23">
                  <c:v>2.685204246001131E-2</c:v>
                </c:pt>
                <c:pt idx="24">
                  <c:v>2.2675205122509309E-2</c:v>
                </c:pt>
                <c:pt idx="25">
                  <c:v>1.8766506735828768E-2</c:v>
                </c:pt>
                <c:pt idx="26">
                  <c:v>1.5216504338206788E-2</c:v>
                </c:pt>
                <c:pt idx="27">
                  <c:v>1.2041795956380523E-2</c:v>
                </c:pt>
                <c:pt idx="28">
                  <c:v>9.2299431623787623E-3</c:v>
                </c:pt>
                <c:pt idx="29">
                  <c:v>6.8009707174107288E-3</c:v>
                </c:pt>
                <c:pt idx="30">
                  <c:v>4.8092764063392864E-3</c:v>
                </c:pt>
                <c:pt idx="31">
                  <c:v>3.2920275701959702E-3</c:v>
                </c:pt>
                <c:pt idx="32">
                  <c:v>2.2255873604632402E-3</c:v>
                </c:pt>
                <c:pt idx="33">
                  <c:v>1.5279980172597698E-3</c:v>
                </c:pt>
                <c:pt idx="34">
                  <c:v>1.0927288597018857E-3</c:v>
                </c:pt>
                <c:pt idx="35">
                  <c:v>8.2113834764490788E-4</c:v>
                </c:pt>
                <c:pt idx="36">
                  <c:v>6.3902571591858254E-4</c:v>
                </c:pt>
                <c:pt idx="37">
                  <c:v>5.0019571265870022E-4</c:v>
                </c:pt>
                <c:pt idx="38">
                  <c:v>3.8251328559020141E-4</c:v>
                </c:pt>
                <c:pt idx="39">
                  <c:v>2.797508700540653E-4</c:v>
                </c:pt>
                <c:pt idx="40">
                  <c:v>1.9281281660362548E-4</c:v>
                </c:pt>
                <c:pt idx="41">
                  <c:v>1.2368446809752682E-4</c:v>
                </c:pt>
                <c:pt idx="42">
                  <c:v>7.2849586012254381E-5</c:v>
                </c:pt>
                <c:pt idx="43">
                  <c:v>3.8799209784327692E-5</c:v>
                </c:pt>
                <c:pt idx="44">
                  <c:v>1.8382683125730812E-5</c:v>
                </c:pt>
                <c:pt idx="45">
                  <c:v>7.618495286588671E-6</c:v>
                </c:pt>
                <c:pt idx="46">
                  <c:v>2.7124544407236374E-6</c:v>
                </c:pt>
                <c:pt idx="47">
                  <c:v>8.1207035612120677E-7</c:v>
                </c:pt>
                <c:pt idx="48">
                  <c:v>1.9868688289837075E-7</c:v>
                </c:pt>
                <c:pt idx="49">
                  <c:v>3.7634055767452255E-8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B32-4A91-924A-8EC72109FE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9264"/>
        <c:axId val="76114176"/>
      </c:lineChart>
      <c:catAx>
        <c:axId val="1249392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76114176"/>
        <c:crosses val="autoZero"/>
        <c:auto val="1"/>
        <c:lblAlgn val="ctr"/>
        <c:lblOffset val="100"/>
        <c:tickLblSkip val="2"/>
        <c:noMultiLvlLbl val="0"/>
      </c:catAx>
      <c:valAx>
        <c:axId val="76114176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249392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59"/>
          <c:h val="0.14182677165354307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Arrival_Time_Outbound_Half_Tour!$F$66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Arrival_Time_Outbound_Half_Tour!$F$67:$F$117</c:f>
              <c:numCache>
                <c:formatCode>0.00%</c:formatCode>
                <c:ptCount val="51"/>
                <c:pt idx="0">
                  <c:v>0</c:v>
                </c:pt>
                <c:pt idx="1">
                  <c:v>4.4691318773674028E-4</c:v>
                </c:pt>
                <c:pt idx="2">
                  <c:v>8.0276744213187128E-4</c:v>
                </c:pt>
                <c:pt idx="3">
                  <c:v>1.0838077844676326E-3</c:v>
                </c:pt>
                <c:pt idx="4">
                  <c:v>1.4596829501306735E-3</c:v>
                </c:pt>
                <c:pt idx="5">
                  <c:v>2.2250072946646982E-3</c:v>
                </c:pt>
                <c:pt idx="6">
                  <c:v>3.7247025887581454E-3</c:v>
                </c:pt>
                <c:pt idx="7">
                  <c:v>6.2631031354387348E-3</c:v>
                </c:pt>
                <c:pt idx="8">
                  <c:v>1.0017022555664508E-2</c:v>
                </c:pt>
                <c:pt idx="9">
                  <c:v>1.4988053511431712E-2</c:v>
                </c:pt>
                <c:pt idx="10">
                  <c:v>2.1037722087259573E-2</c:v>
                </c:pt>
                <c:pt idx="11">
                  <c:v>2.7979398016483518E-2</c:v>
                </c:pt>
                <c:pt idx="12">
                  <c:v>3.5584141221079037E-2</c:v>
                </c:pt>
                <c:pt idx="13">
                  <c:v>4.3389211610015119E-2</c:v>
                </c:pt>
                <c:pt idx="14">
                  <c:v>5.0483413434188724E-2</c:v>
                </c:pt>
                <c:pt idx="15">
                  <c:v>5.5663699687211E-2</c:v>
                </c:pt>
                <c:pt idx="16">
                  <c:v>5.8053859019278488E-2</c:v>
                </c:pt>
                <c:pt idx="17">
                  <c:v>5.7661919195502183E-2</c:v>
                </c:pt>
                <c:pt idx="18">
                  <c:v>5.5284978044254932E-2</c:v>
                </c:pt>
                <c:pt idx="19">
                  <c:v>5.1886105782133755E-2</c:v>
                </c:pt>
                <c:pt idx="20">
                  <c:v>4.8133368911222767E-2</c:v>
                </c:pt>
                <c:pt idx="21">
                  <c:v>4.4445341982191432E-2</c:v>
                </c:pt>
                <c:pt idx="22">
                  <c:v>4.1208405547203134E-2</c:v>
                </c:pt>
                <c:pt idx="23">
                  <c:v>3.8768302187401155E-2</c:v>
                </c:pt>
                <c:pt idx="24">
                  <c:v>3.7248116904767023E-2</c:v>
                </c:pt>
                <c:pt idx="25">
                  <c:v>3.6452280048510484E-2</c:v>
                </c:pt>
                <c:pt idx="26">
                  <c:v>3.5923240929425837E-2</c:v>
                </c:pt>
                <c:pt idx="27">
                  <c:v>3.5066433178870642E-2</c:v>
                </c:pt>
                <c:pt idx="28">
                  <c:v>3.3326248321724934E-2</c:v>
                </c:pt>
                <c:pt idx="29">
                  <c:v>3.0428935226366517E-2</c:v>
                </c:pt>
                <c:pt idx="30">
                  <c:v>2.6572700396460296E-2</c:v>
                </c:pt>
                <c:pt idx="31">
                  <c:v>2.2352997870339817E-2</c:v>
                </c:pt>
                <c:pt idx="32">
                  <c:v>1.8389649298109208E-2</c:v>
                </c:pt>
                <c:pt idx="33">
                  <c:v>1.4946470739417399E-2</c:v>
                </c:pt>
                <c:pt idx="34">
                  <c:v>1.1899864490219089E-2</c:v>
                </c:pt>
                <c:pt idx="35">
                  <c:v>9.0581482331257325E-3</c:v>
                </c:pt>
                <c:pt idx="36">
                  <c:v>6.4534925500293709E-3</c:v>
                </c:pt>
                <c:pt idx="37">
                  <c:v>4.3042106960336267E-3</c:v>
                </c:pt>
                <c:pt idx="38">
                  <c:v>2.7617665122459216E-3</c:v>
                </c:pt>
                <c:pt idx="39">
                  <c:v>1.7659455263872202E-3</c:v>
                </c:pt>
                <c:pt idx="40">
                  <c:v>1.1279388642476784E-3</c:v>
                </c:pt>
                <c:pt idx="41">
                  <c:v>6.876515965578159E-4</c:v>
                </c:pt>
                <c:pt idx="42">
                  <c:v>3.7588074631214412E-4</c:v>
                </c:pt>
                <c:pt idx="43">
                  <c:v>1.7491806840279117E-4</c:v>
                </c:pt>
                <c:pt idx="44">
                  <c:v>6.6664977105442629E-5</c:v>
                </c:pt>
                <c:pt idx="45">
                  <c:v>2.0095092020588997E-5</c:v>
                </c:pt>
                <c:pt idx="46">
                  <c:v>4.5939986983426474E-6</c:v>
                </c:pt>
                <c:pt idx="47">
                  <c:v>7.4762748419926133E-7</c:v>
                </c:pt>
                <c:pt idx="48">
                  <c:v>7.7138802567324268E-8</c:v>
                </c:pt>
                <c:pt idx="49">
                  <c:v>3.7924855332973691E-9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C1-48FF-A090-6F0DBC0ED614}"/>
            </c:ext>
          </c:extLst>
        </c:ser>
        <c:ser>
          <c:idx val="1"/>
          <c:order val="1"/>
          <c:tx>
            <c:strRef>
              <c:f>Arrival_Time_Outbound_Half_Tour!$P$66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Arrival_Time_Outbound_Half_Tour!$P$67:$P$117</c:f>
              <c:numCache>
                <c:formatCode>0.00%</c:formatCode>
                <c:ptCount val="51"/>
                <c:pt idx="0">
                  <c:v>3.7832156281389827E-5</c:v>
                </c:pt>
                <c:pt idx="1">
                  <c:v>3.5019216556280487E-3</c:v>
                </c:pt>
                <c:pt idx="2">
                  <c:v>6.9595877222415562E-3</c:v>
                </c:pt>
                <c:pt idx="3">
                  <c:v>1.0763640331130619E-2</c:v>
                </c:pt>
                <c:pt idx="4">
                  <c:v>1.567626605578077E-2</c:v>
                </c:pt>
                <c:pt idx="5">
                  <c:v>2.2494850900773675E-2</c:v>
                </c:pt>
                <c:pt idx="6">
                  <c:v>3.1433377101068576E-2</c:v>
                </c:pt>
                <c:pt idx="7">
                  <c:v>4.1655413104261983E-2</c:v>
                </c:pt>
                <c:pt idx="8">
                  <c:v>5.132844422672557E-2</c:v>
                </c:pt>
                <c:pt idx="9">
                  <c:v>5.8301964394147511E-2</c:v>
                </c:pt>
                <c:pt idx="10">
                  <c:v>6.1153404477931168E-2</c:v>
                </c:pt>
                <c:pt idx="11">
                  <c:v>6.0046272907291434E-2</c:v>
                </c:pt>
                <c:pt idx="12">
                  <c:v>5.676396895087743E-2</c:v>
                </c:pt>
                <c:pt idx="13">
                  <c:v>5.3667628671723901E-2</c:v>
                </c:pt>
                <c:pt idx="14">
                  <c:v>5.2171086870146613E-2</c:v>
                </c:pt>
                <c:pt idx="15">
                  <c:v>5.1926249538892744E-2</c:v>
                </c:pt>
                <c:pt idx="16">
                  <c:v>5.1418033966995132E-2</c:v>
                </c:pt>
                <c:pt idx="17">
                  <c:v>4.9366270628398989E-2</c:v>
                </c:pt>
                <c:pt idx="18">
                  <c:v>4.5632576202003061E-2</c:v>
                </c:pt>
                <c:pt idx="19">
                  <c:v>4.1002521747317451E-2</c:v>
                </c:pt>
                <c:pt idx="20">
                  <c:v>3.636457290091949E-2</c:v>
                </c:pt>
                <c:pt idx="21">
                  <c:v>3.2151874403776919E-2</c:v>
                </c:pt>
                <c:pt idx="22">
                  <c:v>2.8359338952835839E-2</c:v>
                </c:pt>
                <c:pt idx="23">
                  <c:v>2.4849201932747336E-2</c:v>
                </c:pt>
                <c:pt idx="24">
                  <c:v>2.1565508737547978E-2</c:v>
                </c:pt>
                <c:pt idx="25">
                  <c:v>1.8535503747868401E-2</c:v>
                </c:pt>
                <c:pt idx="26">
                  <c:v>1.5771242708245373E-2</c:v>
                </c:pt>
                <c:pt idx="27">
                  <c:v>1.3224837833134835E-2</c:v>
                </c:pt>
                <c:pt idx="28">
                  <c:v>1.083974777730743E-2</c:v>
                </c:pt>
                <c:pt idx="29">
                  <c:v>8.6218577386831894E-3</c:v>
                </c:pt>
                <c:pt idx="30">
                  <c:v>6.6447124957311008E-3</c:v>
                </c:pt>
                <c:pt idx="31">
                  <c:v>4.9893221785949557E-3</c:v>
                </c:pt>
                <c:pt idx="32">
                  <c:v>3.6853717063168884E-3</c:v>
                </c:pt>
                <c:pt idx="33">
                  <c:v>2.7009182922341723E-3</c:v>
                </c:pt>
                <c:pt idx="34">
                  <c:v>1.9703351320898106E-3</c:v>
                </c:pt>
                <c:pt idx="35">
                  <c:v>1.4264923563529089E-3</c:v>
                </c:pt>
                <c:pt idx="36">
                  <c:v>1.0179794393022276E-3</c:v>
                </c:pt>
                <c:pt idx="37">
                  <c:v>7.1118477050200162E-4</c:v>
                </c:pt>
                <c:pt idx="38">
                  <c:v>4.8427969104193104E-4</c:v>
                </c:pt>
                <c:pt idx="39">
                  <c:v>3.2042513260867626E-4</c:v>
                </c:pt>
                <c:pt idx="40">
                  <c:v>2.0471015893927191E-4</c:v>
                </c:pt>
                <c:pt idx="41">
                  <c:v>1.2460404716499281E-4</c:v>
                </c:pt>
                <c:pt idx="42">
                  <c:v>7.0823374245576894E-5</c:v>
                </c:pt>
                <c:pt idx="43">
                  <c:v>3.6732140235052039E-5</c:v>
                </c:pt>
                <c:pt idx="44">
                  <c:v>1.6994941014197422E-5</c:v>
                </c:pt>
                <c:pt idx="45">
                  <c:v>6.8676622636899188E-6</c:v>
                </c:pt>
                <c:pt idx="46">
                  <c:v>2.3735657360876012E-6</c:v>
                </c:pt>
                <c:pt idx="47">
                  <c:v>6.8530861231548677E-7</c:v>
                </c:pt>
                <c:pt idx="48">
                  <c:v>1.6040970499711912E-7</c:v>
                </c:pt>
                <c:pt idx="49">
                  <c:v>2.885462473491813E-8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C1-48FF-A090-6F0DBC0ED6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9776"/>
        <c:axId val="81252288"/>
      </c:lineChart>
      <c:catAx>
        <c:axId val="12493977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81252288"/>
        <c:crosses val="autoZero"/>
        <c:auto val="1"/>
        <c:lblAlgn val="ctr"/>
        <c:lblOffset val="100"/>
        <c:tickLblSkip val="2"/>
        <c:noMultiLvlLbl val="0"/>
      </c:catAx>
      <c:valAx>
        <c:axId val="81252288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249397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Arrival_Time_Outbound_Half_Tour!$G$66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Arrival_Time_Outbound_Half_Tour!$G$67:$G$117</c:f>
              <c:numCache>
                <c:formatCode>0.00%</c:formatCode>
                <c:ptCount val="51"/>
                <c:pt idx="0">
                  <c:v>0</c:v>
                </c:pt>
                <c:pt idx="1">
                  <c:v>1.7602334364855369E-3</c:v>
                </c:pt>
                <c:pt idx="2">
                  <c:v>4.2252076818965669E-3</c:v>
                </c:pt>
                <c:pt idx="3">
                  <c:v>7.8523802559669412E-3</c:v>
                </c:pt>
                <c:pt idx="4">
                  <c:v>1.2616350932937562E-2</c:v>
                </c:pt>
                <c:pt idx="5">
                  <c:v>1.799090541517245E-2</c:v>
                </c:pt>
                <c:pt idx="6">
                  <c:v>2.3296645876707944E-2</c:v>
                </c:pt>
                <c:pt idx="7">
                  <c:v>2.8150491893855659E-2</c:v>
                </c:pt>
                <c:pt idx="8">
                  <c:v>3.2540876387138075E-2</c:v>
                </c:pt>
                <c:pt idx="9">
                  <c:v>3.6455688554895276E-2</c:v>
                </c:pt>
                <c:pt idx="10">
                  <c:v>3.9553540318103396E-2</c:v>
                </c:pt>
                <c:pt idx="11">
                  <c:v>4.1335075981044939E-2</c:v>
                </c:pt>
                <c:pt idx="12">
                  <c:v>4.1672729270191271E-2</c:v>
                </c:pt>
                <c:pt idx="13">
                  <c:v>4.1150151903756593E-2</c:v>
                </c:pt>
                <c:pt idx="14">
                  <c:v>4.085815652375431E-2</c:v>
                </c:pt>
                <c:pt idx="15">
                  <c:v>4.1757648349373802E-2</c:v>
                </c:pt>
                <c:pt idx="16">
                  <c:v>4.4011989525700498E-2</c:v>
                </c:pt>
                <c:pt idx="17">
                  <c:v>4.6723794218855447E-2</c:v>
                </c:pt>
                <c:pt idx="18">
                  <c:v>4.8314362232817099E-2</c:v>
                </c:pt>
                <c:pt idx="19">
                  <c:v>4.7375267979442748E-2</c:v>
                </c:pt>
                <c:pt idx="20">
                  <c:v>4.3450241542757173E-2</c:v>
                </c:pt>
                <c:pt idx="21">
                  <c:v>3.725174895590707E-2</c:v>
                </c:pt>
                <c:pt idx="22">
                  <c:v>3.0265233011175445E-2</c:v>
                </c:pt>
                <c:pt idx="23">
                  <c:v>2.4084580357786708E-2</c:v>
                </c:pt>
                <c:pt idx="24">
                  <c:v>1.9854418743277022E-2</c:v>
                </c:pt>
                <c:pt idx="25">
                  <c:v>1.8013822577435827E-2</c:v>
                </c:pt>
                <c:pt idx="26">
                  <c:v>1.8354191384052143E-2</c:v>
                </c:pt>
                <c:pt idx="27">
                  <c:v>2.0256152136998308E-2</c:v>
                </c:pt>
                <c:pt idx="28">
                  <c:v>2.2906846049889743E-2</c:v>
                </c:pt>
                <c:pt idx="29">
                  <c:v>2.5408530559903785E-2</c:v>
                </c:pt>
                <c:pt idx="30">
                  <c:v>2.6869166252108629E-2</c:v>
                </c:pt>
                <c:pt idx="31">
                  <c:v>2.6593730367855395E-2</c:v>
                </c:pt>
                <c:pt idx="32">
                  <c:v>2.4341340914493886E-2</c:v>
                </c:pt>
                <c:pt idx="33">
                  <c:v>2.046503223464961E-2</c:v>
                </c:pt>
                <c:pt idx="34">
                  <c:v>1.5778151028938026E-2</c:v>
                </c:pt>
                <c:pt idx="35">
                  <c:v>1.1190573612030448E-2</c:v>
                </c:pt>
                <c:pt idx="36">
                  <c:v>7.3494267701062106E-3</c:v>
                </c:pt>
                <c:pt idx="37">
                  <c:v>4.5012274896696972E-3</c:v>
                </c:pt>
                <c:pt idx="38">
                  <c:v>2.5842806141358589E-3</c:v>
                </c:pt>
                <c:pt idx="39">
                  <c:v>1.3977978723409652E-3</c:v>
                </c:pt>
                <c:pt idx="40">
                  <c:v>7.2050404924877385E-4</c:v>
                </c:pt>
                <c:pt idx="41">
                  <c:v>3.624097206819063E-4</c:v>
                </c:pt>
                <c:pt idx="42">
                  <c:v>1.8296061311948782E-4</c:v>
                </c:pt>
                <c:pt idx="43">
                  <c:v>9.346836621903499E-5</c:v>
                </c:pt>
                <c:pt idx="44">
                  <c:v>4.6988349593521054E-5</c:v>
                </c:pt>
                <c:pt idx="45">
                  <c:v>2.2089434586442792E-5</c:v>
                </c:pt>
                <c:pt idx="46">
                  <c:v>9.2112582820779561E-6</c:v>
                </c:pt>
                <c:pt idx="47">
                  <c:v>3.2505390316927902E-6</c:v>
                </c:pt>
                <c:pt idx="48">
                  <c:v>9.279147491560515E-7</c:v>
                </c:pt>
                <c:pt idx="49">
                  <c:v>2.0054087971470558E-7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A8-4A52-8D10-901093F530F0}"/>
            </c:ext>
          </c:extLst>
        </c:ser>
        <c:ser>
          <c:idx val="1"/>
          <c:order val="1"/>
          <c:tx>
            <c:strRef>
              <c:f>Arrival_Time_Outbound_Half_Tour!$Q$66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Arrival_Time_Outbound_Half_Tour!$Q$67:$Q$117</c:f>
              <c:numCache>
                <c:formatCode>0.00%</c:formatCode>
                <c:ptCount val="51"/>
                <c:pt idx="0">
                  <c:v>3.1768828520845814E-5</c:v>
                </c:pt>
                <c:pt idx="1">
                  <c:v>4.5324748552613434E-3</c:v>
                </c:pt>
                <c:pt idx="2">
                  <c:v>9.1966229906461049E-3</c:v>
                </c:pt>
                <c:pt idx="3">
                  <c:v>1.4453034726423742E-2</c:v>
                </c:pt>
                <c:pt idx="4">
                  <c:v>2.0973541978467323E-2</c:v>
                </c:pt>
                <c:pt idx="5">
                  <c:v>2.9281854419384114E-2</c:v>
                </c:pt>
                <c:pt idx="6">
                  <c:v>3.9216559907884196E-2</c:v>
                </c:pt>
                <c:pt idx="7">
                  <c:v>4.9646082209338728E-2</c:v>
                </c:pt>
                <c:pt idx="8">
                  <c:v>5.8706688086028899E-2</c:v>
                </c:pt>
                <c:pt idx="9">
                  <c:v>6.4509437357396962E-2</c:v>
                </c:pt>
                <c:pt idx="10">
                  <c:v>6.6004757924237878E-2</c:v>
                </c:pt>
                <c:pt idx="11">
                  <c:v>6.3591435414507375E-2</c:v>
                </c:pt>
                <c:pt idx="12">
                  <c:v>5.905182583084672E-2</c:v>
                </c:pt>
                <c:pt idx="13">
                  <c:v>5.4630872386644845E-2</c:v>
                </c:pt>
                <c:pt idx="14">
                  <c:v>5.1706768203282676E-2</c:v>
                </c:pt>
                <c:pt idx="15">
                  <c:v>5.0051885777886523E-2</c:v>
                </c:pt>
                <c:pt idx="16">
                  <c:v>4.8336040238311388E-2</c:v>
                </c:pt>
                <c:pt idx="17">
                  <c:v>4.5388539660177543E-2</c:v>
                </c:pt>
                <c:pt idx="18">
                  <c:v>4.1052681399492738E-2</c:v>
                </c:pt>
                <c:pt idx="19">
                  <c:v>3.6022866534451289E-2</c:v>
                </c:pt>
                <c:pt idx="20">
                  <c:v>3.1106321655786175E-2</c:v>
                </c:pt>
                <c:pt idx="21">
                  <c:v>2.6704921901967726E-2</c:v>
                </c:pt>
                <c:pt idx="22">
                  <c:v>2.2826175776913149E-2</c:v>
                </c:pt>
                <c:pt idx="23">
                  <c:v>1.9367414141458268E-2</c:v>
                </c:pt>
                <c:pt idx="24">
                  <c:v>1.6311163861183153E-2</c:v>
                </c:pt>
                <c:pt idx="25">
                  <c:v>1.3710077589268035E-2</c:v>
                </c:pt>
                <c:pt idx="26">
                  <c:v>1.1574933282289892E-2</c:v>
                </c:pt>
                <c:pt idx="27">
                  <c:v>9.8220072768678331E-3</c:v>
                </c:pt>
                <c:pt idx="28">
                  <c:v>8.3241001619320659E-3</c:v>
                </c:pt>
                <c:pt idx="29">
                  <c:v>6.9920886160798786E-3</c:v>
                </c:pt>
                <c:pt idx="30">
                  <c:v>5.8036646078312966E-3</c:v>
                </c:pt>
                <c:pt idx="31">
                  <c:v>4.7717079713220515E-3</c:v>
                </c:pt>
                <c:pt idx="32">
                  <c:v>3.9019104817904432E-3</c:v>
                </c:pt>
                <c:pt idx="33">
                  <c:v>3.1766563129752966E-3</c:v>
                </c:pt>
                <c:pt idx="34">
                  <c:v>2.5629586014083473E-3</c:v>
                </c:pt>
                <c:pt idx="35">
                  <c:v>2.0277697757755024E-3</c:v>
                </c:pt>
                <c:pt idx="36">
                  <c:v>1.5509097906950986E-3</c:v>
                </c:pt>
                <c:pt idx="37">
                  <c:v>1.1305537296926748E-3</c:v>
                </c:pt>
                <c:pt idx="38">
                  <c:v>7.7774976932123291E-4</c:v>
                </c:pt>
                <c:pt idx="39">
                  <c:v>5.0331112442629055E-4</c:v>
                </c:pt>
                <c:pt idx="40">
                  <c:v>3.071914176978023E-4</c:v>
                </c:pt>
                <c:pt idx="41">
                  <c:v>1.774892149098535E-4</c:v>
                </c:pt>
                <c:pt idx="42">
                  <c:v>9.6874679426075467E-5</c:v>
                </c:pt>
                <c:pt idx="43">
                  <c:v>4.9319440240214041E-5</c:v>
                </c:pt>
                <c:pt idx="44">
                  <c:v>2.2903771242676596E-5</c:v>
                </c:pt>
                <c:pt idx="45">
                  <c:v>9.4416492636689341E-6</c:v>
                </c:pt>
                <c:pt idx="46">
                  <c:v>3.3579959807607712E-6</c:v>
                </c:pt>
                <c:pt idx="47">
                  <c:v>1.0005092300901618E-6</c:v>
                </c:pt>
                <c:pt idx="48">
                  <c:v>2.4149073594334773E-7</c:v>
                </c:pt>
                <c:pt idx="49">
                  <c:v>4.467309728049007E-8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5A8-4A52-8D10-901093F530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100032"/>
        <c:axId val="81254592"/>
      </c:lineChart>
      <c:catAx>
        <c:axId val="12510003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81254592"/>
        <c:crosses val="autoZero"/>
        <c:auto val="1"/>
        <c:lblAlgn val="ctr"/>
        <c:lblOffset val="100"/>
        <c:tickLblSkip val="2"/>
        <c:noMultiLvlLbl val="0"/>
      </c:catAx>
      <c:valAx>
        <c:axId val="81254592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2510003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Soc/Rec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9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Arrival_Time_Outbound_Half_Tour!$H$67:$H$117</c:f>
              <c:numCache>
                <c:formatCode>0.00%</c:formatCode>
                <c:ptCount val="51"/>
                <c:pt idx="0">
                  <c:v>0</c:v>
                </c:pt>
                <c:pt idx="1">
                  <c:v>1.7351693546750018E-3</c:v>
                </c:pt>
                <c:pt idx="2">
                  <c:v>4.1155240943949369E-3</c:v>
                </c:pt>
                <c:pt idx="3">
                  <c:v>7.4935440133132867E-3</c:v>
                </c:pt>
                <c:pt idx="4">
                  <c:v>1.1773579533182017E-2</c:v>
                </c:pt>
                <c:pt idx="5">
                  <c:v>1.6487442932089542E-2</c:v>
                </c:pt>
                <c:pt idx="6">
                  <c:v>2.1062213229860492E-2</c:v>
                </c:pt>
                <c:pt idx="7">
                  <c:v>2.5092795901984054E-2</c:v>
                </c:pt>
                <c:pt idx="8">
                  <c:v>2.8437919410176524E-2</c:v>
                </c:pt>
                <c:pt idx="9">
                  <c:v>3.1142280173442796E-2</c:v>
                </c:pt>
                <c:pt idx="10">
                  <c:v>3.333579205274062E-2</c:v>
                </c:pt>
                <c:pt idx="11">
                  <c:v>3.5193867085710609E-2</c:v>
                </c:pt>
                <c:pt idx="12">
                  <c:v>3.6891510825862915E-2</c:v>
                </c:pt>
                <c:pt idx="13">
                  <c:v>3.8506012024707582E-2</c:v>
                </c:pt>
                <c:pt idx="14">
                  <c:v>3.9971847944426091E-2</c:v>
                </c:pt>
                <c:pt idx="15">
                  <c:v>4.1174188169597788E-2</c:v>
                </c:pt>
                <c:pt idx="16">
                  <c:v>4.2067946456050581E-2</c:v>
                </c:pt>
                <c:pt idx="17">
                  <c:v>4.2653548858553082E-2</c:v>
                </c:pt>
                <c:pt idx="18">
                  <c:v>4.2835747115703683E-2</c:v>
                </c:pt>
                <c:pt idx="19">
                  <c:v>4.2348432201030128E-2</c:v>
                </c:pt>
                <c:pt idx="20">
                  <c:v>4.0865286587953076E-2</c:v>
                </c:pt>
                <c:pt idx="21">
                  <c:v>3.827832849940719E-2</c:v>
                </c:pt>
                <c:pt idx="22">
                  <c:v>3.5004083419845199E-2</c:v>
                </c:pt>
                <c:pt idx="23">
                  <c:v>3.2025630069696977E-2</c:v>
                </c:pt>
                <c:pt idx="24">
                  <c:v>3.040031598432575E-2</c:v>
                </c:pt>
                <c:pt idx="25">
                  <c:v>3.0436895172753917E-2</c:v>
                </c:pt>
                <c:pt idx="26">
                  <c:v>3.1304498136741042E-2</c:v>
                </c:pt>
                <c:pt idx="27">
                  <c:v>3.1629317929593885E-2</c:v>
                </c:pt>
                <c:pt idx="28">
                  <c:v>3.0610127745639697E-2</c:v>
                </c:pt>
                <c:pt idx="29">
                  <c:v>2.8524269185027762E-2</c:v>
                </c:pt>
                <c:pt idx="30">
                  <c:v>2.6144104773402923E-2</c:v>
                </c:pt>
                <c:pt idx="31">
                  <c:v>2.3812399734382851E-2</c:v>
                </c:pt>
                <c:pt idx="32">
                  <c:v>2.1207746908400646E-2</c:v>
                </c:pt>
                <c:pt idx="33">
                  <c:v>1.7904800923032777E-2</c:v>
                </c:pt>
                <c:pt idx="34">
                  <c:v>1.3963160527308584E-2</c:v>
                </c:pt>
                <c:pt idx="35">
                  <c:v>9.9421813605090319E-3</c:v>
                </c:pt>
                <c:pt idx="36">
                  <c:v>6.4798788884461063E-3</c:v>
                </c:pt>
                <c:pt idx="37">
                  <c:v>3.9245259840346167E-3</c:v>
                </c:pt>
                <c:pt idx="38">
                  <c:v>2.2687266517970447E-3</c:v>
                </c:pt>
                <c:pt idx="39">
                  <c:v>1.2951862851133874E-3</c:v>
                </c:pt>
                <c:pt idx="40">
                  <c:v>7.4887064680714875E-4</c:v>
                </c:pt>
                <c:pt idx="41">
                  <c:v>4.3643433716437132E-4</c:v>
                </c:pt>
                <c:pt idx="42">
                  <c:v>2.4719121405709108E-4</c:v>
                </c:pt>
                <c:pt idx="43">
                  <c:v>1.2980507357230321E-4</c:v>
                </c:pt>
                <c:pt idx="44">
                  <c:v>6.0731742272638501E-5</c:v>
                </c:pt>
                <c:pt idx="45">
                  <c:v>2.4601573200291113E-5</c:v>
                </c:pt>
                <c:pt idx="46">
                  <c:v>8.4502265049971691E-6</c:v>
                </c:pt>
                <c:pt idx="47">
                  <c:v>2.4186108903174725E-6</c:v>
                </c:pt>
                <c:pt idx="48">
                  <c:v>5.6623579211695344E-7</c:v>
                </c:pt>
                <c:pt idx="49">
                  <c:v>1.0419482458078149E-7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53-484E-A81C-963A2A088600}"/>
            </c:ext>
          </c:extLst>
        </c:ser>
        <c:ser>
          <c:idx val="1"/>
          <c:order val="1"/>
          <c:tx>
            <c:strRef>
              <c:f>Arrival_Time_Outbound_Half_Tour!$R$66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Arrival_Time_Outbound_Half_Tour!$R$67:$R$117</c:f>
              <c:numCache>
                <c:formatCode>0.00%</c:formatCode>
                <c:ptCount val="51"/>
                <c:pt idx="0">
                  <c:v>2.8567790886436358E-5</c:v>
                </c:pt>
                <c:pt idx="1">
                  <c:v>2.0242449457402723E-3</c:v>
                </c:pt>
                <c:pt idx="2">
                  <c:v>4.4040056584233782E-3</c:v>
                </c:pt>
                <c:pt idx="3">
                  <c:v>7.7174056857524436E-3</c:v>
                </c:pt>
                <c:pt idx="4">
                  <c:v>1.2677053087870148E-2</c:v>
                </c:pt>
                <c:pt idx="5">
                  <c:v>1.9885518694247095E-2</c:v>
                </c:pt>
                <c:pt idx="6">
                  <c:v>2.935963049034963E-2</c:v>
                </c:pt>
                <c:pt idx="7">
                  <c:v>4.0135667958692285E-2</c:v>
                </c:pt>
                <c:pt idx="8">
                  <c:v>5.0311868836932588E-2</c:v>
                </c:pt>
                <c:pt idx="9">
                  <c:v>5.7688588878977244E-2</c:v>
                </c:pt>
                <c:pt idx="10">
                  <c:v>6.0786286138076719E-2</c:v>
                </c:pt>
                <c:pt idx="11">
                  <c:v>5.9683406684696426E-2</c:v>
                </c:pt>
                <c:pt idx="12">
                  <c:v>5.6062679163686756E-2</c:v>
                </c:pt>
                <c:pt idx="13">
                  <c:v>5.2264755794180058E-2</c:v>
                </c:pt>
                <c:pt idx="14">
                  <c:v>4.9904240594180964E-2</c:v>
                </c:pt>
                <c:pt idx="15">
                  <c:v>4.9079077086411647E-2</c:v>
                </c:pt>
                <c:pt idx="16">
                  <c:v>4.8761408909138396E-2</c:v>
                </c:pt>
                <c:pt idx="17">
                  <c:v>4.7888419514532987E-2</c:v>
                </c:pt>
                <c:pt idx="18">
                  <c:v>4.6110829644033312E-2</c:v>
                </c:pt>
                <c:pt idx="19">
                  <c:v>4.3691971918576322E-2</c:v>
                </c:pt>
                <c:pt idx="20">
                  <c:v>4.0957327682662262E-2</c:v>
                </c:pt>
                <c:pt idx="21">
                  <c:v>3.7957201957127096E-2</c:v>
                </c:pt>
                <c:pt idx="22">
                  <c:v>3.4557949866457202E-2</c:v>
                </c:pt>
                <c:pt idx="23">
                  <c:v>3.0703268767323599E-2</c:v>
                </c:pt>
                <c:pt idx="24">
                  <c:v>2.6535660377916978E-2</c:v>
                </c:pt>
                <c:pt idx="25">
                  <c:v>2.2310739325607759E-2</c:v>
                </c:pt>
                <c:pt idx="26">
                  <c:v>1.8246236460310313E-2</c:v>
                </c:pt>
                <c:pt idx="27">
                  <c:v>1.4460037059980479E-2</c:v>
                </c:pt>
                <c:pt idx="28">
                  <c:v>1.1020413052682747E-2</c:v>
                </c:pt>
                <c:pt idx="29">
                  <c:v>8.0141384293906208E-3</c:v>
                </c:pt>
                <c:pt idx="30">
                  <c:v>5.5453556439577448E-3</c:v>
                </c:pt>
                <c:pt idx="31">
                  <c:v>3.6753119146932913E-3</c:v>
                </c:pt>
                <c:pt idx="32">
                  <c:v>2.3761457882071264E-3</c:v>
                </c:pt>
                <c:pt idx="33">
                  <c:v>1.5418308625676452E-3</c:v>
                </c:pt>
                <c:pt idx="34">
                  <c:v>1.035862751470577E-3</c:v>
                </c:pt>
                <c:pt idx="35">
                  <c:v>7.3436796285563115E-4</c:v>
                </c:pt>
                <c:pt idx="36">
                  <c:v>5.4615549435226842E-4</c:v>
                </c:pt>
                <c:pt idx="37">
                  <c:v>4.1465877190404311E-4</c:v>
                </c:pt>
                <c:pt idx="38">
                  <c:v>3.1117426228317928E-4</c:v>
                </c:pt>
                <c:pt idx="39">
                  <c:v>2.2499057322447854E-4</c:v>
                </c:pt>
                <c:pt idx="40">
                  <c:v>1.5402030842047142E-4</c:v>
                </c:pt>
                <c:pt idx="41">
                  <c:v>9.8479441244985147E-5</c:v>
                </c:pt>
                <c:pt idx="42">
                  <c:v>5.8015918152684062E-5</c:v>
                </c:pt>
                <c:pt idx="43">
                  <c:v>3.1010473737630433E-5</c:v>
                </c:pt>
                <c:pt idx="44">
                  <c:v>1.4784334533143184E-5</c:v>
                </c:pt>
                <c:pt idx="45">
                  <c:v>6.1711836503467965E-6</c:v>
                </c:pt>
                <c:pt idx="46">
                  <c:v>2.209641788681673E-6</c:v>
                </c:pt>
                <c:pt idx="47">
                  <c:v>6.6260483607372414E-7</c:v>
                </c:pt>
                <c:pt idx="48">
                  <c:v>1.613865572111958E-7</c:v>
                </c:pt>
                <c:pt idx="49">
                  <c:v>3.0226718643956116E-8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453-484E-A81C-963A2A0886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100544"/>
        <c:axId val="124978304"/>
      </c:lineChart>
      <c:catAx>
        <c:axId val="12510054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78304"/>
        <c:crosses val="autoZero"/>
        <c:auto val="1"/>
        <c:lblAlgn val="ctr"/>
        <c:lblOffset val="100"/>
        <c:tickLblSkip val="2"/>
        <c:noMultiLvlLbl val="0"/>
      </c:catAx>
      <c:valAx>
        <c:axId val="124978304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251005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66" footer="0.30000000000000032" header="0.30000000000000032" l="0.70000000000000062" r="0.70000000000000062" t="0.75000000000000266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Stop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Depart_Time_Return_Half_Tour!$B$66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Depart_Time_Return_Half_Tour!$B$67:$B$117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3.3722328007948942E-9</c:v>
                </c:pt>
                <c:pt idx="3">
                  <c:v>6.8308806370483573E-8</c:v>
                </c:pt>
                <c:pt idx="4">
                  <c:v>6.7692112696026443E-7</c:v>
                </c:pt>
                <c:pt idx="5">
                  <c:v>4.4111788013059261E-6</c:v>
                </c:pt>
                <c:pt idx="6">
                  <c:v>2.1432983372538226E-5</c:v>
                </c:pt>
                <c:pt idx="7">
                  <c:v>8.3269635962682464E-5</c:v>
                </c:pt>
                <c:pt idx="8">
                  <c:v>2.697764099589857E-4</c:v>
                </c:pt>
                <c:pt idx="9">
                  <c:v>7.4740121877529451E-4</c:v>
                </c:pt>
                <c:pt idx="10">
                  <c:v>1.7981996919434248E-3</c:v>
                </c:pt>
                <c:pt idx="11">
                  <c:v>3.8003619407533593E-3</c:v>
                </c:pt>
                <c:pt idx="12">
                  <c:v>7.1384171197105212E-3</c:v>
                </c:pt>
                <c:pt idx="13">
                  <c:v>1.2091225090588867E-2</c:v>
                </c:pt>
                <c:pt idx="14">
                  <c:v>1.8799577753357031E-2</c:v>
                </c:pt>
                <c:pt idx="15">
                  <c:v>2.7341861904852893E-2</c:v>
                </c:pt>
                <c:pt idx="16">
                  <c:v>3.7766876603827708E-2</c:v>
                </c:pt>
                <c:pt idx="17">
                  <c:v>4.9869708461721583E-2</c:v>
                </c:pt>
                <c:pt idx="18">
                  <c:v>6.2741210364257741E-2</c:v>
                </c:pt>
                <c:pt idx="19">
                  <c:v>7.4517868849429833E-2</c:v>
                </c:pt>
                <c:pt idx="20">
                  <c:v>8.2834740192695447E-2</c:v>
                </c:pt>
                <c:pt idx="21">
                  <c:v>8.5948235153007854E-2</c:v>
                </c:pt>
                <c:pt idx="22">
                  <c:v>8.3737176148259568E-2</c:v>
                </c:pt>
                <c:pt idx="23">
                  <c:v>7.767380985766445E-2</c:v>
                </c:pt>
                <c:pt idx="24">
                  <c:v>6.9727730883614461E-2</c:v>
                </c:pt>
                <c:pt idx="25">
                  <c:v>6.1194970631109041E-2</c:v>
                </c:pt>
                <c:pt idx="26">
                  <c:v>5.2448010382046502E-2</c:v>
                </c:pt>
                <c:pt idx="27">
                  <c:v>4.3559507938005511E-2</c:v>
                </c:pt>
                <c:pt idx="28">
                  <c:v>3.490995464290346E-2</c:v>
                </c:pt>
                <c:pt idx="29">
                  <c:v>2.715380708529383E-2</c:v>
                </c:pt>
                <c:pt idx="30">
                  <c:v>2.0768838588329799E-2</c:v>
                </c:pt>
                <c:pt idx="31">
                  <c:v>1.5778039408294538E-2</c:v>
                </c:pt>
                <c:pt idx="32">
                  <c:v>1.1878405937292426E-2</c:v>
                </c:pt>
                <c:pt idx="33">
                  <c:v>8.7498559618456144E-3</c:v>
                </c:pt>
                <c:pt idx="34">
                  <c:v>6.2388690664202271E-3</c:v>
                </c:pt>
                <c:pt idx="35">
                  <c:v>4.3307183993273567E-3</c:v>
                </c:pt>
                <c:pt idx="36">
                  <c:v>3.0266870029576911E-3</c:v>
                </c:pt>
                <c:pt idx="37">
                  <c:v>2.2652115164784352E-3</c:v>
                </c:pt>
                <c:pt idx="38">
                  <c:v>1.9200168272802201E-3</c:v>
                </c:pt>
                <c:pt idx="39">
                  <c:v>1.8253496991653645E-3</c:v>
                </c:pt>
                <c:pt idx="40">
                  <c:v>1.7990053237325772E-3</c:v>
                </c:pt>
                <c:pt idx="41">
                  <c:v>1.6839408965373967E-3</c:v>
                </c:pt>
                <c:pt idx="42">
                  <c:v>1.4094080442645426E-3</c:v>
                </c:pt>
                <c:pt idx="43">
                  <c:v>1.0183967111069771E-3</c:v>
                </c:pt>
                <c:pt idx="44">
                  <c:v>6.2192137190372916E-4</c:v>
                </c:pt>
                <c:pt idx="45">
                  <c:v>3.1593880736606559E-4</c:v>
                </c:pt>
                <c:pt idx="46">
                  <c:v>1.314392942054964E-4</c:v>
                </c:pt>
                <c:pt idx="47">
                  <c:v>4.3936023720497125E-5</c:v>
                </c:pt>
                <c:pt idx="48">
                  <c:v>1.1493933291899016E-5</c:v>
                </c:pt>
                <c:pt idx="49">
                  <c:v>2.2364623996223487E-6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10-485C-89ED-FB839A896794}"/>
            </c:ext>
          </c:extLst>
        </c:ser>
        <c:ser>
          <c:idx val="1"/>
          <c:order val="1"/>
          <c:tx>
            <c:strRef>
              <c:f>Depart_Time_Return_Half_Tour!$L$66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Depart_Time_Return_Half_Tour!$L$67:$L$117</c:f>
              <c:numCache>
                <c:formatCode>0.00%</c:formatCode>
                <c:ptCount val="51"/>
                <c:pt idx="0">
                  <c:v>1.0192192352488283E-3</c:v>
                </c:pt>
                <c:pt idx="1">
                  <c:v>7.0280994663626502E-4</c:v>
                </c:pt>
                <c:pt idx="2">
                  <c:v>4.3142257149152732E-4</c:v>
                </c:pt>
                <c:pt idx="3">
                  <c:v>2.3268106122698587E-4</c:v>
                </c:pt>
                <c:pt idx="4">
                  <c:v>1.1060114431966292E-4</c:v>
                </c:pt>
                <c:pt idx="5">
                  <c:v>5.3552544585188385E-5</c:v>
                </c:pt>
                <c:pt idx="6">
                  <c:v>5.0511101258623995E-5</c:v>
                </c:pt>
                <c:pt idx="7">
                  <c:v>1.0682501985909926E-4</c:v>
                </c:pt>
                <c:pt idx="8">
                  <c:v>2.5335433963881053E-4</c:v>
                </c:pt>
                <c:pt idx="9">
                  <c:v>5.4684334668288822E-4</c:v>
                </c:pt>
                <c:pt idx="10">
                  <c:v>1.0631428896087159E-3</c:v>
                </c:pt>
                <c:pt idx="11">
                  <c:v>1.8876189132060576E-3</c:v>
                </c:pt>
                <c:pt idx="12">
                  <c:v>3.1042049918606814E-3</c:v>
                </c:pt>
                <c:pt idx="13">
                  <c:v>4.7775828072691186E-3</c:v>
                </c:pt>
                <c:pt idx="14">
                  <c:v>6.93382453036829E-3</c:v>
                </c:pt>
                <c:pt idx="15">
                  <c:v>9.5868180733085073E-3</c:v>
                </c:pt>
                <c:pt idx="16">
                  <c:v>1.2868074783732102E-2</c:v>
                </c:pt>
                <c:pt idx="17">
                  <c:v>1.7190278282908179E-2</c:v>
                </c:pt>
                <c:pt idx="18">
                  <c:v>2.3175370383396215E-2</c:v>
                </c:pt>
                <c:pt idx="19">
                  <c:v>3.1135088372456481E-2</c:v>
                </c:pt>
                <c:pt idx="20">
                  <c:v>4.0386052926280121E-2</c:v>
                </c:pt>
                <c:pt idx="21">
                  <c:v>4.9140002585330092E-2</c:v>
                </c:pt>
                <c:pt idx="22">
                  <c:v>5.5396986631660115E-2</c:v>
                </c:pt>
                <c:pt idx="23">
                  <c:v>5.8282633514574557E-2</c:v>
                </c:pt>
                <c:pt idx="24">
                  <c:v>5.8687506152907465E-2</c:v>
                </c:pt>
                <c:pt idx="25">
                  <c:v>5.8615046898707571E-2</c:v>
                </c:pt>
                <c:pt idx="26">
                  <c:v>5.9745425727215619E-2</c:v>
                </c:pt>
                <c:pt idx="27">
                  <c:v>6.2284603296647145E-2</c:v>
                </c:pt>
                <c:pt idx="28">
                  <c:v>6.4848054747468645E-2</c:v>
                </c:pt>
                <c:pt idx="29">
                  <c:v>6.5379369419683753E-2</c:v>
                </c:pt>
                <c:pt idx="30">
                  <c:v>6.245508171984189E-2</c:v>
                </c:pt>
                <c:pt idx="31">
                  <c:v>5.6102877389494786E-2</c:v>
                </c:pt>
                <c:pt idx="32">
                  <c:v>4.7626986399087551E-2</c:v>
                </c:pt>
                <c:pt idx="33">
                  <c:v>3.8695254865903986E-2</c:v>
                </c:pt>
                <c:pt idx="34">
                  <c:v>3.0467481096692676E-2</c:v>
                </c:pt>
                <c:pt idx="35">
                  <c:v>2.3352961650836321E-2</c:v>
                </c:pt>
                <c:pt idx="36">
                  <c:v>1.7331488121779676E-2</c:v>
                </c:pt>
                <c:pt idx="37">
                  <c:v>1.2349613909803285E-2</c:v>
                </c:pt>
                <c:pt idx="38">
                  <c:v>8.4390209333875289E-3</c:v>
                </c:pt>
                <c:pt idx="39">
                  <c:v>5.5977447531468721E-3</c:v>
                </c:pt>
                <c:pt idx="40">
                  <c:v>3.6776982277739604E-3</c:v>
                </c:pt>
                <c:pt idx="41">
                  <c:v>2.4178223244638811E-3</c:v>
                </c:pt>
                <c:pt idx="42">
                  <c:v>1.5656111299903895E-3</c:v>
                </c:pt>
                <c:pt idx="43">
                  <c:v>9.6184284049720241E-4</c:v>
                </c:pt>
                <c:pt idx="44">
                  <c:v>5.3769607533716982E-4</c:v>
                </c:pt>
                <c:pt idx="45">
                  <c:v>2.6389166615211788E-4</c:v>
                </c:pt>
                <c:pt idx="46">
                  <c:v>1.103551195078232E-4</c:v>
                </c:pt>
                <c:pt idx="47">
                  <c:v>3.8221197220175635E-5</c:v>
                </c:pt>
                <c:pt idx="48">
                  <c:v>1.0613693216917295E-5</c:v>
                </c:pt>
                <c:pt idx="49">
                  <c:v>2.2306463284925876E-6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710-485C-89ED-FB839A8967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4075520"/>
        <c:axId val="124980608"/>
      </c:lineChart>
      <c:catAx>
        <c:axId val="8407552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80608"/>
        <c:crosses val="autoZero"/>
        <c:auto val="1"/>
        <c:lblAlgn val="ctr"/>
        <c:lblOffset val="100"/>
        <c:tickLblSkip val="2"/>
        <c:noMultiLvlLbl val="0"/>
      </c:catAx>
      <c:valAx>
        <c:axId val="12498060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84075520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2576771653543345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Stop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Depart_Time_Return_Half_Tour!$C$66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Depart_Time_Return_Half_Tour!$C$67:$C$117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1.3792280851452828E-8</c:v>
                </c:pt>
                <c:pt idx="4">
                  <c:v>2.7584561702905652E-7</c:v>
                </c:pt>
                <c:pt idx="5">
                  <c:v>2.6256622099759773E-6</c:v>
                </c:pt>
                <c:pt idx="6">
                  <c:v>1.5831575001446215E-5</c:v>
                </c:pt>
                <c:pt idx="7">
                  <c:v>6.793304127987805E-5</c:v>
                </c:pt>
                <c:pt idx="8">
                  <c:v>2.2117361563332209E-4</c:v>
                </c:pt>
                <c:pt idx="9">
                  <c:v>5.6988811730337042E-4</c:v>
                </c:pt>
                <c:pt idx="10">
                  <c:v>1.2011228175835302E-3</c:v>
                </c:pt>
                <c:pt idx="11">
                  <c:v>2.138322636911895E-3</c:v>
                </c:pt>
                <c:pt idx="12">
                  <c:v>3.3446090572251661E-3</c:v>
                </c:pt>
                <c:pt idx="13">
                  <c:v>4.857710500272519E-3</c:v>
                </c:pt>
                <c:pt idx="14">
                  <c:v>7.0394331855663274E-3</c:v>
                </c:pt>
                <c:pt idx="15">
                  <c:v>1.080931110549257E-2</c:v>
                </c:pt>
                <c:pt idx="16">
                  <c:v>1.7619849874153628E-2</c:v>
                </c:pt>
                <c:pt idx="17">
                  <c:v>2.8849834977433528E-2</c:v>
                </c:pt>
                <c:pt idx="18">
                  <c:v>4.4526106761990474E-2</c:v>
                </c:pt>
                <c:pt idx="19">
                  <c:v>6.2081159817890981E-2</c:v>
                </c:pt>
                <c:pt idx="20">
                  <c:v>7.6550248327334314E-2</c:v>
                </c:pt>
                <c:pt idx="21">
                  <c:v>8.2904112593491966E-2</c:v>
                </c:pt>
                <c:pt idx="22">
                  <c:v>7.918032098152461E-2</c:v>
                </c:pt>
                <c:pt idx="23">
                  <c:v>6.7909307217836334E-2</c:v>
                </c:pt>
                <c:pt idx="24">
                  <c:v>5.4645756509088081E-2</c:v>
                </c:pt>
                <c:pt idx="25">
                  <c:v>4.4810305144857829E-2</c:v>
                </c:pt>
                <c:pt idx="26">
                  <c:v>4.1003142332368708E-2</c:v>
                </c:pt>
                <c:pt idx="27">
                  <c:v>4.2137352905951116E-2</c:v>
                </c:pt>
                <c:pt idx="28">
                  <c:v>4.4588137550898618E-2</c:v>
                </c:pt>
                <c:pt idx="29">
                  <c:v>4.4688372071980356E-2</c:v>
                </c:pt>
                <c:pt idx="30">
                  <c:v>4.1094784359217387E-2</c:v>
                </c:pt>
                <c:pt idx="31">
                  <c:v>3.5358698842586009E-2</c:v>
                </c:pt>
                <c:pt idx="32">
                  <c:v>3.0268634877080036E-2</c:v>
                </c:pt>
                <c:pt idx="33">
                  <c:v>2.7417136247498305E-2</c:v>
                </c:pt>
                <c:pt idx="34">
                  <c:v>2.6085306531510803E-2</c:v>
                </c:pt>
                <c:pt idx="35">
                  <c:v>2.4231232491957085E-2</c:v>
                </c:pt>
                <c:pt idx="36">
                  <c:v>2.0439546475833455E-2</c:v>
                </c:pt>
                <c:pt idx="37">
                  <c:v>1.5006644706589125E-2</c:v>
                </c:pt>
                <c:pt idx="38">
                  <c:v>9.4168508776611044E-3</c:v>
                </c:pt>
                <c:pt idx="39">
                  <c:v>5.0403351758296069E-3</c:v>
                </c:pt>
                <c:pt idx="40">
                  <c:v>2.3330045795492632E-3</c:v>
                </c:pt>
                <c:pt idx="41">
                  <c:v>9.6521110982545841E-4</c:v>
                </c:pt>
                <c:pt idx="42">
                  <c:v>3.7368155862763184E-4</c:v>
                </c:pt>
                <c:pt idx="43">
                  <c:v>1.3899358586761206E-4</c:v>
                </c:pt>
                <c:pt idx="44">
                  <c:v>4.8381135197121629E-5</c:v>
                </c:pt>
                <c:pt idx="45">
                  <c:v>1.4772279808705171E-5</c:v>
                </c:pt>
                <c:pt idx="46">
                  <c:v>3.7003919628174427E-6</c:v>
                </c:pt>
                <c:pt idx="47">
                  <c:v>7.1705302724289215E-7</c:v>
                </c:pt>
                <c:pt idx="48">
                  <c:v>1.0057775710138192E-7</c:v>
                </c:pt>
                <c:pt idx="49">
                  <c:v>9.1234356676235469E-9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E2-47C2-A397-BCAE31DF4160}"/>
            </c:ext>
          </c:extLst>
        </c:ser>
        <c:ser>
          <c:idx val="1"/>
          <c:order val="1"/>
          <c:tx>
            <c:strRef>
              <c:f>Depart_Time_Return_Half_Tour!$M$66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Depart_Time_Return_Half_Tour!$M$67:$M$117</c:f>
              <c:numCache>
                <c:formatCode>0.00%</c:formatCode>
                <c:ptCount val="51"/>
                <c:pt idx="0">
                  <c:v>0</c:v>
                </c:pt>
                <c:pt idx="1">
                  <c:v>1.234850330610073E-5</c:v>
                </c:pt>
                <c:pt idx="2">
                  <c:v>1.9374908495567073E-5</c:v>
                </c:pt>
                <c:pt idx="3">
                  <c:v>2.1139790631911525E-5</c:v>
                </c:pt>
                <c:pt idx="4">
                  <c:v>2.6921547950756084E-5</c:v>
                </c:pt>
                <c:pt idx="5">
                  <c:v>6.0189856316595543E-5</c:v>
                </c:pt>
                <c:pt idx="6">
                  <c:v>1.6777005338070315E-4</c:v>
                </c:pt>
                <c:pt idx="7">
                  <c:v>4.2802223655631638E-4</c:v>
                </c:pt>
                <c:pt idx="8">
                  <c:v>9.4377308753403175E-4</c:v>
                </c:pt>
                <c:pt idx="9">
                  <c:v>1.8103042291725564E-3</c:v>
                </c:pt>
                <c:pt idx="10">
                  <c:v>3.0696565221285479E-3</c:v>
                </c:pt>
                <c:pt idx="11">
                  <c:v>4.6799022830224949E-3</c:v>
                </c:pt>
                <c:pt idx="12">
                  <c:v>6.5188023353759464E-3</c:v>
                </c:pt>
                <c:pt idx="13">
                  <c:v>8.4158437330052044E-3</c:v>
                </c:pt>
                <c:pt idx="14">
                  <c:v>1.0207421527635331E-2</c:v>
                </c:pt>
                <c:pt idx="15">
                  <c:v>1.184541689713336E-2</c:v>
                </c:pt>
                <c:pt idx="16">
                  <c:v>1.3580138579185963E-2</c:v>
                </c:pt>
                <c:pt idx="17">
                  <c:v>1.6101346779426727E-2</c:v>
                </c:pt>
                <c:pt idx="18">
                  <c:v>2.0367147793693082E-2</c:v>
                </c:pt>
                <c:pt idx="19">
                  <c:v>2.6988804401933984E-2</c:v>
                </c:pt>
                <c:pt idx="20">
                  <c:v>3.5551107039526735E-2</c:v>
                </c:pt>
                <c:pt idx="21">
                  <c:v>4.4605500084947111E-2</c:v>
                </c:pt>
                <c:pt idx="22">
                  <c:v>5.2619465927572544E-2</c:v>
                </c:pt>
                <c:pt idx="23">
                  <c:v>5.9136718089891828E-2</c:v>
                </c:pt>
                <c:pt idx="24">
                  <c:v>6.4962786509340523E-2</c:v>
                </c:pt>
                <c:pt idx="25">
                  <c:v>7.104199684076265E-2</c:v>
                </c:pt>
                <c:pt idx="26">
                  <c:v>7.7036356477636181E-2</c:v>
                </c:pt>
                <c:pt idx="27">
                  <c:v>8.0997431032011555E-2</c:v>
                </c:pt>
                <c:pt idx="28">
                  <c:v>8.0518038236039105E-2</c:v>
                </c:pt>
                <c:pt idx="29">
                  <c:v>7.4409214299497886E-2</c:v>
                </c:pt>
                <c:pt idx="30">
                  <c:v>6.3561588477119277E-2</c:v>
                </c:pt>
                <c:pt idx="31">
                  <c:v>5.043612604572463E-2</c:v>
                </c:pt>
                <c:pt idx="32">
                  <c:v>3.7720339509758498E-2</c:v>
                </c:pt>
                <c:pt idx="33">
                  <c:v>2.715487760971361E-2</c:v>
                </c:pt>
                <c:pt idx="34">
                  <c:v>1.9183393807601118E-2</c:v>
                </c:pt>
                <c:pt idx="35">
                  <c:v>1.337183197688511E-2</c:v>
                </c:pt>
                <c:pt idx="36">
                  <c:v>9.0738527497070797E-3</c:v>
                </c:pt>
                <c:pt idx="37">
                  <c:v>5.8505229398511669E-3</c:v>
                </c:pt>
                <c:pt idx="38">
                  <c:v>3.5100692182417864E-3</c:v>
                </c:pt>
                <c:pt idx="39">
                  <c:v>1.9472118223162272E-3</c:v>
                </c:pt>
                <c:pt idx="40">
                  <c:v>1.0144319465866997E-3</c:v>
                </c:pt>
                <c:pt idx="41">
                  <c:v>5.1495240376679663E-4</c:v>
                </c:pt>
                <c:pt idx="42">
                  <c:v>2.6425525114870185E-4</c:v>
                </c:pt>
                <c:pt idx="43">
                  <c:v>1.3693650925226985E-4</c:v>
                </c:pt>
                <c:pt idx="44">
                  <c:v>6.8386666570521387E-5</c:v>
                </c:pt>
                <c:pt idx="45">
                  <c:v>3.0988282500575574E-5</c:v>
                </c:pt>
                <c:pt idx="46">
                  <c:v>1.2124589420139134E-5</c:v>
                </c:pt>
                <c:pt idx="47">
                  <c:v>3.9417025979262626E-6</c:v>
                </c:pt>
                <c:pt idx="48">
                  <c:v>1.0266148331132432E-6</c:v>
                </c:pt>
                <c:pt idx="49">
                  <c:v>2.022732934327637E-7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2E2-47C2-A397-BCAE31DF41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103616"/>
        <c:axId val="124982912"/>
      </c:lineChart>
      <c:catAx>
        <c:axId val="12510361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82912"/>
        <c:crosses val="autoZero"/>
        <c:auto val="1"/>
        <c:lblAlgn val="ctr"/>
        <c:lblOffset val="100"/>
        <c:tickLblSkip val="2"/>
        <c:noMultiLvlLbl val="0"/>
      </c:catAx>
      <c:valAx>
        <c:axId val="12498291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5103616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Depart_Time_Return_Half_Tour!$D$67:$D$117</c:f>
              <c:numCache>
                <c:formatCode>0.00%</c:formatCode>
                <c:ptCount val="51"/>
                <c:pt idx="0">
                  <c:v>0</c:v>
                </c:pt>
                <c:pt idx="1">
                  <c:v>9.1345871133194073E-9</c:v>
                </c:pt>
                <c:pt idx="2">
                  <c:v>1.8269174226638818E-7</c:v>
                </c:pt>
                <c:pt idx="3">
                  <c:v>1.7410751058535451E-6</c:v>
                </c:pt>
                <c:pt idx="4">
                  <c:v>1.0536080763810374E-5</c:v>
                </c:pt>
                <c:pt idx="5">
                  <c:v>4.5596763526174186E-5</c:v>
                </c:pt>
                <c:pt idx="6">
                  <c:v>1.5113508603342498E-4</c:v>
                </c:pt>
                <c:pt idx="7">
                  <c:v>4.031308136969067E-4</c:v>
                </c:pt>
                <c:pt idx="8">
                  <c:v>9.0297796579322882E-4</c:v>
                </c:pt>
                <c:pt idx="9">
                  <c:v>1.7671413242609027E-3</c:v>
                </c:pt>
                <c:pt idx="10">
                  <c:v>3.1241764701955606E-3</c:v>
                </c:pt>
                <c:pt idx="11">
                  <c:v>5.0897887789533884E-3</c:v>
                </c:pt>
                <c:pt idx="12">
                  <c:v>7.6684597006067938E-3</c:v>
                </c:pt>
                <c:pt idx="13">
                  <c:v>1.0625396337928429E-2</c:v>
                </c:pt>
                <c:pt idx="14">
                  <c:v>1.3498646413248142E-2</c:v>
                </c:pt>
                <c:pt idx="15">
                  <c:v>1.5833170029591982E-2</c:v>
                </c:pt>
                <c:pt idx="16">
                  <c:v>1.7441473242071539E-2</c:v>
                </c:pt>
                <c:pt idx="17">
                  <c:v>1.8435548950156238E-2</c:v>
                </c:pt>
                <c:pt idx="18">
                  <c:v>1.9091992690474568E-2</c:v>
                </c:pt>
                <c:pt idx="19">
                  <c:v>1.9842958049865609E-2</c:v>
                </c:pt>
                <c:pt idx="20">
                  <c:v>2.1434121458650899E-2</c:v>
                </c:pt>
                <c:pt idx="21">
                  <c:v>2.4907221977228763E-2</c:v>
                </c:pt>
                <c:pt idx="22">
                  <c:v>3.1129925200610659E-2</c:v>
                </c:pt>
                <c:pt idx="23">
                  <c:v>4.0076130643635306E-2</c:v>
                </c:pt>
                <c:pt idx="24">
                  <c:v>5.0422542932775267E-2</c:v>
                </c:pt>
                <c:pt idx="25">
                  <c:v>5.9901664814696276E-2</c:v>
                </c:pt>
                <c:pt idx="26">
                  <c:v>6.6302753123663002E-2</c:v>
                </c:pt>
                <c:pt idx="27">
                  <c:v>6.846299262235328E-2</c:v>
                </c:pt>
                <c:pt idx="28">
                  <c:v>6.6567409765739632E-2</c:v>
                </c:pt>
                <c:pt idx="29">
                  <c:v>6.1681655735101391E-2</c:v>
                </c:pt>
                <c:pt idx="30">
                  <c:v>5.5078381090093491E-2</c:v>
                </c:pt>
                <c:pt idx="31">
                  <c:v>4.7903636540788649E-2</c:v>
                </c:pt>
                <c:pt idx="32">
                  <c:v>4.1168593546144182E-2</c:v>
                </c:pt>
                <c:pt idx="33">
                  <c:v>3.5694781223636216E-2</c:v>
                </c:pt>
                <c:pt idx="34">
                  <c:v>3.1872170190349776E-2</c:v>
                </c:pt>
                <c:pt idx="35">
                  <c:v>2.9475726974339016E-2</c:v>
                </c:pt>
                <c:pt idx="36">
                  <c:v>2.7781709333591757E-2</c:v>
                </c:pt>
                <c:pt idx="37">
                  <c:v>2.5918100547946236E-2</c:v>
                </c:pt>
                <c:pt idx="38">
                  <c:v>2.3223448496727781E-2</c:v>
                </c:pt>
                <c:pt idx="39">
                  <c:v>1.9479195906864168E-2</c:v>
                </c:pt>
                <c:pt idx="40">
                  <c:v>1.4973822487055814E-2</c:v>
                </c:pt>
                <c:pt idx="41">
                  <c:v>1.036362260722096E-2</c:v>
                </c:pt>
                <c:pt idx="42">
                  <c:v>6.3604354458880663E-3</c:v>
                </c:pt>
                <c:pt idx="43">
                  <c:v>3.4137956706286458E-3</c:v>
                </c:pt>
                <c:pt idx="44">
                  <c:v>1.5802933924219215E-3</c:v>
                </c:pt>
                <c:pt idx="45">
                  <c:v>6.2120893167266994E-4</c:v>
                </c:pt>
                <c:pt idx="46">
                  <c:v>2.0343538412324628E-4</c:v>
                </c:pt>
                <c:pt idx="47">
                  <c:v>5.4121541675132543E-5</c:v>
                </c:pt>
                <c:pt idx="48">
                  <c:v>1.1295496769257182E-5</c:v>
                </c:pt>
                <c:pt idx="49">
                  <c:v>1.7453190063251975E-6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36-4422-82F6-607A652A2A79}"/>
            </c:ext>
          </c:extLst>
        </c:ser>
        <c:ser>
          <c:idx val="1"/>
          <c:order val="1"/>
          <c:tx>
            <c:strRef>
              <c:f>Depart_Time_Return_Half_Tour!$N$66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Depart_Time_Return_Half_Tour!$N$67:$N$117</c:f>
              <c:numCache>
                <c:formatCode>0.00%</c:formatCode>
                <c:ptCount val="51"/>
                <c:pt idx="0">
                  <c:v>6.5668861653214537E-3</c:v>
                </c:pt>
                <c:pt idx="1">
                  <c:v>4.3838297230019722E-3</c:v>
                </c:pt>
                <c:pt idx="2">
                  <c:v>2.5622343774774291E-3</c:v>
                </c:pt>
                <c:pt idx="3">
                  <c:v>1.3002869456528287E-3</c:v>
                </c:pt>
                <c:pt idx="4">
                  <c:v>5.9006878665757059E-4</c:v>
                </c:pt>
                <c:pt idx="5">
                  <c:v>3.0580848416169665E-4</c:v>
                </c:pt>
                <c:pt idx="6">
                  <c:v>3.3426838134813323E-4</c:v>
                </c:pt>
                <c:pt idx="7">
                  <c:v>6.551789646534221E-4</c:v>
                </c:pt>
                <c:pt idx="8">
                  <c:v>1.3409907738398182E-3</c:v>
                </c:pt>
                <c:pt idx="9">
                  <c:v>2.4967540594729716E-3</c:v>
                </c:pt>
                <c:pt idx="10">
                  <c:v>4.1778454601988724E-3</c:v>
                </c:pt>
                <c:pt idx="11">
                  <c:v>6.322472376367929E-3</c:v>
                </c:pt>
                <c:pt idx="12">
                  <c:v>8.7275212918287784E-3</c:v>
                </c:pt>
                <c:pt idx="13">
                  <c:v>1.1079835075408072E-2</c:v>
                </c:pt>
                <c:pt idx="14">
                  <c:v>1.304140271439231E-2</c:v>
                </c:pt>
                <c:pt idx="15">
                  <c:v>1.4386241007700936E-2</c:v>
                </c:pt>
                <c:pt idx="16">
                  <c:v>1.5171279654340919E-2</c:v>
                </c:pt>
                <c:pt idx="17">
                  <c:v>1.5851912155128371E-2</c:v>
                </c:pt>
                <c:pt idx="18">
                  <c:v>1.7176044344539659E-2</c:v>
                </c:pt>
                <c:pt idx="19">
                  <c:v>1.9774556711755559E-2</c:v>
                </c:pt>
                <c:pt idx="20">
                  <c:v>2.3668215541682101E-2</c:v>
                </c:pt>
                <c:pt idx="21">
                  <c:v>2.8148432945752571E-2</c:v>
                </c:pt>
                <c:pt idx="22">
                  <c:v>3.227725447024004E-2</c:v>
                </c:pt>
                <c:pt idx="23">
                  <c:v>3.5671114322963118E-2</c:v>
                </c:pt>
                <c:pt idx="24">
                  <c:v>3.8883832208371737E-2</c:v>
                </c:pt>
                <c:pt idx="25">
                  <c:v>4.3003269474194611E-2</c:v>
                </c:pt>
                <c:pt idx="26">
                  <c:v>4.8734319186156547E-2</c:v>
                </c:pt>
                <c:pt idx="27">
                  <c:v>5.564522529369207E-2</c:v>
                </c:pt>
                <c:pt idx="28">
                  <c:v>6.2131973199685393E-2</c:v>
                </c:pt>
                <c:pt idx="29">
                  <c:v>6.6172791491982533E-2</c:v>
                </c:pt>
                <c:pt idx="30">
                  <c:v>6.6412086654205005E-2</c:v>
                </c:pt>
                <c:pt idx="31">
                  <c:v>6.2849773284082838E-2</c:v>
                </c:pt>
                <c:pt idx="32">
                  <c:v>5.6666463065906468E-2</c:v>
                </c:pt>
                <c:pt idx="33">
                  <c:v>4.937809046467663E-2</c:v>
                </c:pt>
                <c:pt idx="34">
                  <c:v>4.202572995293441E-2</c:v>
                </c:pt>
                <c:pt idx="35">
                  <c:v>3.4974413379876675E-2</c:v>
                </c:pt>
                <c:pt idx="36">
                  <c:v>2.8275725039097234E-2</c:v>
                </c:pt>
                <c:pt idx="37">
                  <c:v>2.2086018197325221E-2</c:v>
                </c:pt>
                <c:pt idx="38">
                  <c:v>1.673203759299783E-2</c:v>
                </c:pt>
                <c:pt idx="39">
                  <c:v>1.246689601749178E-2</c:v>
                </c:pt>
                <c:pt idx="40">
                  <c:v>9.2541995452330543E-3</c:v>
                </c:pt>
                <c:pt idx="41">
                  <c:v>6.8113484650505129E-3</c:v>
                </c:pt>
                <c:pt idx="42">
                  <c:v>4.8368705508934923E-3</c:v>
                </c:pt>
                <c:pt idx="43">
                  <c:v>3.1885332722449045E-3</c:v>
                </c:pt>
                <c:pt idx="44">
                  <c:v>1.8808431343107545E-3</c:v>
                </c:pt>
                <c:pt idx="45">
                  <c:v>9.6287464381276304E-4</c:v>
                </c:pt>
                <c:pt idx="46">
                  <c:v>4.1663598085785425E-4</c:v>
                </c:pt>
                <c:pt idx="47">
                  <c:v>1.4840422299601186E-4</c:v>
                </c:pt>
                <c:pt idx="48">
                  <c:v>4.2177826484399771E-5</c:v>
                </c:pt>
                <c:pt idx="49">
                  <c:v>9.0331215527132477E-6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936-4422-82F6-607A652A2A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74272"/>
        <c:axId val="130088960"/>
      </c:lineChart>
      <c:catAx>
        <c:axId val="12997427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088960"/>
        <c:crosses val="autoZero"/>
        <c:auto val="1"/>
        <c:lblAlgn val="ctr"/>
        <c:lblOffset val="100"/>
        <c:tickLblSkip val="2"/>
        <c:noMultiLvlLbl val="0"/>
      </c:catAx>
      <c:valAx>
        <c:axId val="13008896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9974272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baseline="0" lang="en-US"/>
              <a:t> Business</a:t>
            </a:r>
            <a:r>
              <a:rPr lang="en-US"/>
              <a:t>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Depart_Time_Return_Half_Tour!$E$66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Depart_Time_Return_Half_Tour!$E$67:$E$117</c:f>
              <c:numCache>
                <c:formatCode>0.00%</c:formatCode>
                <c:ptCount val="51"/>
                <c:pt idx="0">
                  <c:v>0</c:v>
                </c:pt>
                <c:pt idx="1">
                  <c:v>1.7968008078735542E-8</c:v>
                </c:pt>
                <c:pt idx="2">
                  <c:v>3.6742553700456721E-7</c:v>
                </c:pt>
                <c:pt idx="3">
                  <c:v>3.6039845096680504E-6</c:v>
                </c:pt>
                <c:pt idx="4">
                  <c:v>2.2606221841561736E-5</c:v>
                </c:pt>
                <c:pt idx="5">
                  <c:v>1.0203182980691838E-4</c:v>
                </c:pt>
                <c:pt idx="6">
                  <c:v>3.5363983540617354E-4</c:v>
                </c:pt>
                <c:pt idx="7">
                  <c:v>9.8137095952795261E-4</c:v>
                </c:pt>
                <c:pt idx="8">
                  <c:v>2.2460512549179767E-3</c:v>
                </c:pt>
                <c:pt idx="9">
                  <c:v>4.3380709919172786E-3</c:v>
                </c:pt>
                <c:pt idx="10">
                  <c:v>7.2122244417850943E-3</c:v>
                </c:pt>
                <c:pt idx="11">
                  <c:v>1.0528087291278724E-2</c:v>
                </c:pt>
                <c:pt idx="12">
                  <c:v>1.3813416837951446E-2</c:v>
                </c:pt>
                <c:pt idx="13">
                  <c:v>1.6790039147829505E-2</c:v>
                </c:pt>
                <c:pt idx="14">
                  <c:v>1.9607803643435052E-2</c:v>
                </c:pt>
                <c:pt idx="15">
                  <c:v>2.2739696083584365E-2</c:v>
                </c:pt>
                <c:pt idx="16">
                  <c:v>2.6567209743257592E-2</c:v>
                </c:pt>
                <c:pt idx="17">
                  <c:v>3.1007530194065939E-2</c:v>
                </c:pt>
                <c:pt idx="18">
                  <c:v>3.555314819971276E-2</c:v>
                </c:pt>
                <c:pt idx="19">
                  <c:v>3.9713045218826348E-2</c:v>
                </c:pt>
                <c:pt idx="20">
                  <c:v>4.342323910125772E-2</c:v>
                </c:pt>
                <c:pt idx="21">
                  <c:v>4.7028736575576408E-2</c:v>
                </c:pt>
                <c:pt idx="22">
                  <c:v>5.0919989877436504E-2</c:v>
                </c:pt>
                <c:pt idx="23">
                  <c:v>5.521509741884871E-2</c:v>
                </c:pt>
                <c:pt idx="24">
                  <c:v>5.962951967242739E-2</c:v>
                </c:pt>
                <c:pt idx="25">
                  <c:v>6.3378815327347751E-2</c:v>
                </c:pt>
                <c:pt idx="26">
                  <c:v>6.5199968531662045E-2</c:v>
                </c:pt>
                <c:pt idx="27">
                  <c:v>6.3864313067857961E-2</c:v>
                </c:pt>
                <c:pt idx="28">
                  <c:v>5.9073592235801504E-2</c:v>
                </c:pt>
                <c:pt idx="29">
                  <c:v>5.1880150145083521E-2</c:v>
                </c:pt>
                <c:pt idx="30">
                  <c:v>4.4033575618835669E-2</c:v>
                </c:pt>
                <c:pt idx="31">
                  <c:v>3.6827916712286884E-2</c:v>
                </c:pt>
                <c:pt idx="32">
                  <c:v>3.0559137611310593E-2</c:v>
                </c:pt>
                <c:pt idx="33">
                  <c:v>2.4923075216637204E-2</c:v>
                </c:pt>
                <c:pt idx="34">
                  <c:v>1.9696446914948987E-2</c:v>
                </c:pt>
                <c:pt idx="35">
                  <c:v>1.4998302570367337E-2</c:v>
                </c:pt>
                <c:pt idx="36">
                  <c:v>1.1084185460240247E-2</c:v>
                </c:pt>
                <c:pt idx="37">
                  <c:v>8.0653392145588719E-3</c:v>
                </c:pt>
                <c:pt idx="38">
                  <c:v>5.8393092952646729E-3</c:v>
                </c:pt>
                <c:pt idx="39">
                  <c:v>4.2058967139914664E-3</c:v>
                </c:pt>
                <c:pt idx="40">
                  <c:v>2.9937826803512818E-3</c:v>
                </c:pt>
                <c:pt idx="41">
                  <c:v>2.0943021142941351E-3</c:v>
                </c:pt>
                <c:pt idx="42">
                  <c:v>1.4313652308271042E-3</c:v>
                </c:pt>
                <c:pt idx="43">
                  <c:v>9.4017925855569169E-4</c:v>
                </c:pt>
                <c:pt idx="44">
                  <c:v>5.7475732153589032E-4</c:v>
                </c:pt>
                <c:pt idx="45">
                  <c:v>3.1384629279801143E-4</c:v>
                </c:pt>
                <c:pt idx="46">
                  <c:v>1.4693838456951815E-4</c:v>
                </c:pt>
                <c:pt idx="47">
                  <c:v>5.6801163063829496E-5</c:v>
                </c:pt>
                <c:pt idx="48">
                  <c:v>1.7453440132603917E-5</c:v>
                </c:pt>
                <c:pt idx="49">
                  <c:v>4.0055589311163447E-6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70-4DDF-86DD-E4E707A5F7BA}"/>
            </c:ext>
          </c:extLst>
        </c:ser>
        <c:ser>
          <c:idx val="1"/>
          <c:order val="1"/>
          <c:tx>
            <c:strRef>
              <c:f>Depart_Time_Return_Half_Tour!$O$66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Depart_Time_Return_Half_Tour!$O$67:$O$117</c:f>
              <c:numCache>
                <c:formatCode>0.00%</c:formatCode>
                <c:ptCount val="51"/>
                <c:pt idx="0">
                  <c:v>1.0743505081609055E-3</c:v>
                </c:pt>
                <c:pt idx="1">
                  <c:v>7.3726678029814108E-4</c:v>
                </c:pt>
                <c:pt idx="2">
                  <c:v>4.4996490286937867E-4</c:v>
                </c:pt>
                <c:pt idx="3">
                  <c:v>2.4372992106339795E-4</c:v>
                </c:pt>
                <c:pt idx="4">
                  <c:v>1.2791628350184781E-4</c:v>
                </c:pt>
                <c:pt idx="5">
                  <c:v>1.0611309179138622E-4</c:v>
                </c:pt>
                <c:pt idx="6">
                  <c:v>2.0359349435312681E-4</c:v>
                </c:pt>
                <c:pt idx="7">
                  <c:v>4.9005081047064558E-4</c:v>
                </c:pt>
                <c:pt idx="8">
                  <c:v>1.0812986412503819E-3</c:v>
                </c:pt>
                <c:pt idx="9">
                  <c:v>2.1108169628849681E-3</c:v>
                </c:pt>
                <c:pt idx="10">
                  <c:v>3.6756105461850062E-3</c:v>
                </c:pt>
                <c:pt idx="11">
                  <c:v>5.7744564929418348E-3</c:v>
                </c:pt>
                <c:pt idx="12">
                  <c:v>8.2626355666018426E-3</c:v>
                </c:pt>
                <c:pt idx="13">
                  <c:v>1.0848467586782366E-2</c:v>
                </c:pt>
                <c:pt idx="14">
                  <c:v>1.3163199756537137E-2</c:v>
                </c:pt>
                <c:pt idx="15">
                  <c:v>1.4935414789683847E-2</c:v>
                </c:pt>
                <c:pt idx="16">
                  <c:v>1.6246297141903301E-2</c:v>
                </c:pt>
                <c:pt idx="17">
                  <c:v>1.7708831034572933E-2</c:v>
                </c:pt>
                <c:pt idx="18">
                  <c:v>2.0314235414323676E-2</c:v>
                </c:pt>
                <c:pt idx="19">
                  <c:v>2.4844931864199678E-2</c:v>
                </c:pt>
                <c:pt idx="20">
                  <c:v>3.1193434133908352E-2</c:v>
                </c:pt>
                <c:pt idx="21">
                  <c:v>3.8231217346326313E-2</c:v>
                </c:pt>
                <c:pt idx="22">
                  <c:v>4.4535877903360797E-2</c:v>
                </c:pt>
                <c:pt idx="23">
                  <c:v>4.9465555946906131E-2</c:v>
                </c:pt>
                <c:pt idx="24">
                  <c:v>5.3617921677546768E-2</c:v>
                </c:pt>
                <c:pt idx="25">
                  <c:v>5.8192900590062997E-2</c:v>
                </c:pt>
                <c:pt idx="26">
                  <c:v>6.3749888510566968E-2</c:v>
                </c:pt>
                <c:pt idx="27">
                  <c:v>6.9380176851192535E-2</c:v>
                </c:pt>
                <c:pt idx="28">
                  <c:v>7.2981872464962946E-2</c:v>
                </c:pt>
                <c:pt idx="29">
                  <c:v>7.2477382915156957E-2</c:v>
                </c:pt>
                <c:pt idx="30">
                  <c:v>6.7114239536604683E-2</c:v>
                </c:pt>
                <c:pt idx="31">
                  <c:v>5.7930728841899051E-2</c:v>
                </c:pt>
                <c:pt idx="32">
                  <c:v>4.7100818236237935E-2</c:v>
                </c:pt>
                <c:pt idx="33">
                  <c:v>3.6718093548827005E-2</c:v>
                </c:pt>
                <c:pt idx="34">
                  <c:v>2.7925405444760486E-2</c:v>
                </c:pt>
                <c:pt idx="35">
                  <c:v>2.086925710487671E-2</c:v>
                </c:pt>
                <c:pt idx="36">
                  <c:v>1.5226772117847946E-2</c:v>
                </c:pt>
                <c:pt idx="37">
                  <c:v>1.0715522130775873E-2</c:v>
                </c:pt>
                <c:pt idx="38">
                  <c:v>7.2384437089016273E-3</c:v>
                </c:pt>
                <c:pt idx="39">
                  <c:v>4.746964511380701E-3</c:v>
                </c:pt>
                <c:pt idx="40">
                  <c:v>3.0949017575074306E-3</c:v>
                </c:pt>
                <c:pt idx="41">
                  <c:v>2.0385128455958803E-3</c:v>
                </c:pt>
                <c:pt idx="42">
                  <c:v>1.3381071307608722E-3</c:v>
                </c:pt>
                <c:pt idx="43">
                  <c:v>8.4027291618672662E-4</c:v>
                </c:pt>
                <c:pt idx="44">
                  <c:v>4.8161956834668062E-4</c:v>
                </c:pt>
                <c:pt idx="45">
                  <c:v>2.4222795514310249E-4</c:v>
                </c:pt>
                <c:pt idx="46">
                  <c:v>1.0357979351435539E-4</c:v>
                </c:pt>
                <c:pt idx="47">
                  <c:v>3.6585606807481483E-5</c:v>
                </c:pt>
                <c:pt idx="48">
                  <c:v>1.0333972509666766E-5</c:v>
                </c:pt>
                <c:pt idx="49">
                  <c:v>2.2033411492125068E-6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A70-4DDF-86DD-E4E707A5F7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74784"/>
        <c:axId val="130091264"/>
      </c:lineChart>
      <c:catAx>
        <c:axId val="12997478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091264"/>
        <c:crosses val="autoZero"/>
        <c:auto val="1"/>
        <c:lblAlgn val="ctr"/>
        <c:lblOffset val="100"/>
        <c:tickLblSkip val="2"/>
        <c:noMultiLvlLbl val="0"/>
      </c:catAx>
      <c:valAx>
        <c:axId val="1300912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9974784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Depart_Time_Return_Half_Tour!$F$66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Depart_Time_Return_Half_Tour!$F$67:$F$117</c:f>
              <c:numCache>
                <c:formatCode>0.00%</c:formatCode>
                <c:ptCount val="51"/>
                <c:pt idx="0">
                  <c:v>0</c:v>
                </c:pt>
                <c:pt idx="1">
                  <c:v>1.8678668862655005E-6</c:v>
                </c:pt>
                <c:pt idx="2">
                  <c:v>1.0076821835254631E-5</c:v>
                </c:pt>
                <c:pt idx="3">
                  <c:v>3.9819442967894203E-5</c:v>
                </c:pt>
                <c:pt idx="4">
                  <c:v>1.2217858946678443E-4</c:v>
                </c:pt>
                <c:pt idx="5">
                  <c:v>3.0264362269639587E-4</c:v>
                </c:pt>
                <c:pt idx="6">
                  <c:v>6.296478659632964E-4</c:v>
                </c:pt>
                <c:pt idx="7">
                  <c:v>1.1543243088911787E-3</c:v>
                </c:pt>
                <c:pt idx="8">
                  <c:v>1.9710142640260823E-3</c:v>
                </c:pt>
                <c:pt idx="9">
                  <c:v>3.276195279349847E-3</c:v>
                </c:pt>
                <c:pt idx="10">
                  <c:v>5.3474073071888995E-3</c:v>
                </c:pt>
                <c:pt idx="11">
                  <c:v>8.3738805184193268E-3</c:v>
                </c:pt>
                <c:pt idx="12">
                  <c:v>1.2244433754710604E-2</c:v>
                </c:pt>
                <c:pt idx="13">
                  <c:v>1.6519487245046347E-2</c:v>
                </c:pt>
                <c:pt idx="14">
                  <c:v>2.0676685701997224E-2</c:v>
                </c:pt>
                <c:pt idx="15">
                  <c:v>2.4442504806027918E-2</c:v>
                </c:pt>
                <c:pt idx="16">
                  <c:v>2.7931899849773938E-2</c:v>
                </c:pt>
                <c:pt idx="17">
                  <c:v>3.1502044942084938E-2</c:v>
                </c:pt>
                <c:pt idx="18">
                  <c:v>3.5454081528636744E-2</c:v>
                </c:pt>
                <c:pt idx="19">
                  <c:v>3.979767981602602E-2</c:v>
                </c:pt>
                <c:pt idx="20">
                  <c:v>4.4234336602933605E-2</c:v>
                </c:pt>
                <c:pt idx="21">
                  <c:v>4.8356508889801149E-2</c:v>
                </c:pt>
                <c:pt idx="22">
                  <c:v>5.1867214320147834E-2</c:v>
                </c:pt>
                <c:pt idx="23">
                  <c:v>5.4601803613344504E-2</c:v>
                </c:pt>
                <c:pt idx="24">
                  <c:v>5.6383226460562132E-2</c:v>
                </c:pt>
                <c:pt idx="25">
                  <c:v>5.697605300649989E-2</c:v>
                </c:pt>
                <c:pt idx="26">
                  <c:v>5.6270574231664552E-2</c:v>
                </c:pt>
                <c:pt idx="27">
                  <c:v>5.4477468736290328E-2</c:v>
                </c:pt>
                <c:pt idx="28">
                  <c:v>5.203843852308606E-2</c:v>
                </c:pt>
                <c:pt idx="29">
                  <c:v>4.9280614863612716E-2</c:v>
                </c:pt>
                <c:pt idx="30">
                  <c:v>4.6151472827908747E-2</c:v>
                </c:pt>
                <c:pt idx="31">
                  <c:v>4.2304579746842409E-2</c:v>
                </c:pt>
                <c:pt idx="32">
                  <c:v>3.7466901814539474E-2</c:v>
                </c:pt>
                <c:pt idx="33">
                  <c:v>3.1760754109388153E-2</c:v>
                </c:pt>
                <c:pt idx="34">
                  <c:v>2.5704813912468264E-2</c:v>
                </c:pt>
                <c:pt idx="35">
                  <c:v>1.9919408627772944E-2</c:v>
                </c:pt>
                <c:pt idx="36">
                  <c:v>1.4821508110730259E-2</c:v>
                </c:pt>
                <c:pt idx="37">
                  <c:v>1.0553199522669752E-2</c:v>
                </c:pt>
                <c:pt idx="38">
                  <c:v>7.1126851833426125E-3</c:v>
                </c:pt>
                <c:pt idx="39">
                  <c:v>4.4798791123838817E-3</c:v>
                </c:pt>
                <c:pt idx="40">
                  <c:v>2.6199409244141375E-3</c:v>
                </c:pt>
                <c:pt idx="41">
                  <c:v>1.4307477393549618E-3</c:v>
                </c:pt>
                <c:pt idx="42">
                  <c:v>7.4075775582628186E-4</c:v>
                </c:pt>
                <c:pt idx="43">
                  <c:v>3.6728009275970388E-4</c:v>
                </c:pt>
                <c:pt idx="44">
                  <c:v>1.7202336511377503E-4</c:v>
                </c:pt>
                <c:pt idx="45">
                  <c:v>7.3101961327591536E-5</c:v>
                </c:pt>
                <c:pt idx="46">
                  <c:v>2.6732167944031841E-5</c:v>
                </c:pt>
                <c:pt idx="47">
                  <c:v>7.9696866797457979E-6</c:v>
                </c:pt>
                <c:pt idx="48">
                  <c:v>1.8307007019512697E-6</c:v>
                </c:pt>
                <c:pt idx="49">
                  <c:v>2.9985789356719462E-7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22-4894-8AD3-998F87367FB3}"/>
            </c:ext>
          </c:extLst>
        </c:ser>
        <c:ser>
          <c:idx val="1"/>
          <c:order val="1"/>
          <c:tx>
            <c:strRef>
              <c:f>Depart_Time_Return_Half_Tour!$P$66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Depart_Time_Return_Half_Tour!$P$67:$P$117</c:f>
              <c:numCache>
                <c:formatCode>0.00%</c:formatCode>
                <c:ptCount val="51"/>
                <c:pt idx="0">
                  <c:v>3.0794497150721106E-3</c:v>
                </c:pt>
                <c:pt idx="1">
                  <c:v>2.0906513594416672E-3</c:v>
                </c:pt>
                <c:pt idx="2">
                  <c:v>1.2530894023945493E-3</c:v>
                </c:pt>
                <c:pt idx="3">
                  <c:v>6.5418962372337363E-4</c:v>
                </c:pt>
                <c:pt idx="4">
                  <c:v>2.9687602238091278E-4</c:v>
                </c:pt>
                <c:pt idx="5">
                  <c:v>1.2834593461510078E-4</c:v>
                </c:pt>
                <c:pt idx="6">
                  <c:v>8.9212663571529782E-5</c:v>
                </c:pt>
                <c:pt idx="7">
                  <c:v>1.4971134524181047E-4</c:v>
                </c:pt>
                <c:pt idx="8">
                  <c:v>3.1940188830318668E-4</c:v>
                </c:pt>
                <c:pt idx="9">
                  <c:v>6.354713154662552E-4</c:v>
                </c:pt>
                <c:pt idx="10">
                  <c:v>1.1404256761085611E-3</c:v>
                </c:pt>
                <c:pt idx="11">
                  <c:v>1.8574717629147332E-3</c:v>
                </c:pt>
                <c:pt idx="12">
                  <c:v>2.7690507506975214E-3</c:v>
                </c:pt>
                <c:pt idx="13">
                  <c:v>3.8059643280451221E-3</c:v>
                </c:pt>
                <c:pt idx="14">
                  <c:v>4.8640461419433107E-3</c:v>
                </c:pt>
                <c:pt idx="15">
                  <c:v>5.8730945172421533E-3</c:v>
                </c:pt>
                <c:pt idx="16">
                  <c:v>6.9189616227479976E-3</c:v>
                </c:pt>
                <c:pt idx="17">
                  <c:v>8.3446384923473171E-3</c:v>
                </c:pt>
                <c:pt idx="18">
                  <c:v>1.0688036154240254E-2</c:v>
                </c:pt>
                <c:pt idx="19">
                  <c:v>1.4384741738471412E-2</c:v>
                </c:pt>
                <c:pt idx="20">
                  <c:v>1.9407364200816398E-2</c:v>
                </c:pt>
                <c:pt idx="21">
                  <c:v>2.5202587925469654E-2</c:v>
                </c:pt>
                <c:pt idx="22">
                  <c:v>3.111764053898217E-2</c:v>
                </c:pt>
                <c:pt idx="23">
                  <c:v>3.702917818782895E-2</c:v>
                </c:pt>
                <c:pt idx="24">
                  <c:v>4.3576698328297837E-2</c:v>
                </c:pt>
                <c:pt idx="25">
                  <c:v>5.1647473568225008E-2</c:v>
                </c:pt>
                <c:pt idx="26">
                  <c:v>6.1392096002167627E-2</c:v>
                </c:pt>
                <c:pt idx="27">
                  <c:v>7.1518633511365545E-2</c:v>
                </c:pt>
                <c:pt idx="28">
                  <c:v>7.9516802017741431E-2</c:v>
                </c:pt>
                <c:pt idx="29">
                  <c:v>8.2835313529475499E-2</c:v>
                </c:pt>
                <c:pt idx="30">
                  <c:v>8.0293445512882824E-2</c:v>
                </c:pt>
                <c:pt idx="31">
                  <c:v>7.2729630630228692E-2</c:v>
                </c:pt>
                <c:pt idx="32">
                  <c:v>6.2406629768712495E-2</c:v>
                </c:pt>
                <c:pt idx="33">
                  <c:v>5.1662714634173379E-2</c:v>
                </c:pt>
                <c:pt idx="34">
                  <c:v>4.1854325070101173E-2</c:v>
                </c:pt>
                <c:pt idx="35">
                  <c:v>3.325153243414207E-2</c:v>
                </c:pt>
                <c:pt idx="36">
                  <c:v>2.5655688729199193E-2</c:v>
                </c:pt>
                <c:pt idx="37">
                  <c:v>1.900622339595081E-2</c:v>
                </c:pt>
                <c:pt idx="38">
                  <c:v>1.3498418478854721E-2</c:v>
                </c:pt>
                <c:pt idx="39">
                  <c:v>9.3171206009848521E-3</c:v>
                </c:pt>
                <c:pt idx="40">
                  <c:v>6.389008965893843E-3</c:v>
                </c:pt>
                <c:pt idx="41">
                  <c:v>4.3974865631160225E-3</c:v>
                </c:pt>
                <c:pt idx="42">
                  <c:v>2.9838255113516961E-3</c:v>
                </c:pt>
                <c:pt idx="43">
                  <c:v>1.9174204598613773E-3</c:v>
                </c:pt>
                <c:pt idx="44">
                  <c:v>1.1171999820154043E-3</c:v>
                </c:pt>
                <c:pt idx="45">
                  <c:v>5.6902160678668932E-4</c:v>
                </c:pt>
                <c:pt idx="46">
                  <c:v>2.4583987930818586E-4</c:v>
                </c:pt>
                <c:pt idx="47">
                  <c:v>8.7585653927042028E-5</c:v>
                </c:pt>
                <c:pt idx="48">
                  <c:v>2.4919210680245124E-5</c:v>
                </c:pt>
                <c:pt idx="49">
                  <c:v>5.3446464902848965E-6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22-4894-8AD3-998F87367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75296"/>
        <c:axId val="130094144"/>
      </c:lineChart>
      <c:catAx>
        <c:axId val="12997529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094144"/>
        <c:crosses val="autoZero"/>
        <c:auto val="1"/>
        <c:lblAlgn val="ctr"/>
        <c:lblOffset val="100"/>
        <c:tickLblSkip val="2"/>
        <c:noMultiLvlLbl val="0"/>
      </c:catAx>
      <c:valAx>
        <c:axId val="13009414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9975296"/>
        <c:crosses val="autoZero"/>
        <c:crossBetween val="between"/>
        <c:majorUnit val="3.0000000000000002E-2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9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Depart_Time_Return_Half_Tour!$G$66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Depart_Time_Return_Half_Tour!$G$67:$G$117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3.7964088594092913E-9</c:v>
                </c:pt>
                <c:pt idx="3">
                  <c:v>9.7737969783288733E-8</c:v>
                </c:pt>
                <c:pt idx="4">
                  <c:v>1.1594750003573124E-6</c:v>
                </c:pt>
                <c:pt idx="5">
                  <c:v>8.5373634467129717E-6</c:v>
                </c:pt>
                <c:pt idx="6">
                  <c:v>4.4183105586464539E-5</c:v>
                </c:pt>
                <c:pt idx="7">
                  <c:v>1.7231237217036989E-4</c:v>
                </c:pt>
                <c:pt idx="8">
                  <c:v>5.3012724069397617E-4</c:v>
                </c:pt>
                <c:pt idx="9">
                  <c:v>1.3308681710550592E-3</c:v>
                </c:pt>
                <c:pt idx="10">
                  <c:v>2.8031328997159522E-3</c:v>
                </c:pt>
                <c:pt idx="11">
                  <c:v>5.0803731203481941E-3</c:v>
                </c:pt>
                <c:pt idx="12">
                  <c:v>8.1273889926868556E-3</c:v>
                </c:pt>
                <c:pt idx="13">
                  <c:v>1.1796215786645208E-2</c:v>
                </c:pt>
                <c:pt idx="14">
                  <c:v>1.5992107311126623E-2</c:v>
                </c:pt>
                <c:pt idx="15">
                  <c:v>2.077296186608325E-2</c:v>
                </c:pt>
                <c:pt idx="16">
                  <c:v>2.6177122951930119E-2</c:v>
                </c:pt>
                <c:pt idx="17">
                  <c:v>3.1824494258539511E-2</c:v>
                </c:pt>
                <c:pt idx="18">
                  <c:v>3.6731329640213646E-2</c:v>
                </c:pt>
                <c:pt idx="19">
                  <c:v>3.980644187146213E-2</c:v>
                </c:pt>
                <c:pt idx="20">
                  <c:v>4.0825358817710093E-2</c:v>
                </c:pt>
                <c:pt idx="21">
                  <c:v>4.0918077763489852E-2</c:v>
                </c:pt>
                <c:pt idx="22">
                  <c:v>4.1848653532123803E-2</c:v>
                </c:pt>
                <c:pt idx="23">
                  <c:v>4.4621972170254688E-2</c:v>
                </c:pt>
                <c:pt idx="24">
                  <c:v>4.8772302214308859E-2</c:v>
                </c:pt>
                <c:pt idx="25">
                  <c:v>5.296949548214118E-2</c:v>
                </c:pt>
                <c:pt idx="26">
                  <c:v>5.6155189776127101E-2</c:v>
                </c:pt>
                <c:pt idx="27">
                  <c:v>5.8009486236081188E-2</c:v>
                </c:pt>
                <c:pt idx="28">
                  <c:v>5.8510447083188172E-2</c:v>
                </c:pt>
                <c:pt idx="29">
                  <c:v>5.738649336734785E-2</c:v>
                </c:pt>
                <c:pt idx="30">
                  <c:v>5.4210072532084652E-2</c:v>
                </c:pt>
                <c:pt idx="31">
                  <c:v>4.8993049376010803E-2</c:v>
                </c:pt>
                <c:pt idx="32">
                  <c:v>4.2517547430510734E-2</c:v>
                </c:pt>
                <c:pt idx="33">
                  <c:v>3.5930814477905422E-2</c:v>
                </c:pt>
                <c:pt idx="34">
                  <c:v>2.9977433065534208E-2</c:v>
                </c:pt>
                <c:pt idx="35">
                  <c:v>2.4662825623080552E-2</c:v>
                </c:pt>
                <c:pt idx="36">
                  <c:v>1.9639584037550381E-2</c:v>
                </c:pt>
                <c:pt idx="37">
                  <c:v>1.4802041106423112E-2</c:v>
                </c:pt>
                <c:pt idx="38">
                  <c:v>1.0445038021696839E-2</c:v>
                </c:pt>
                <c:pt idx="39">
                  <c:v>6.9473399201844064E-3</c:v>
                </c:pt>
                <c:pt idx="40">
                  <c:v>4.4364977507767014E-3</c:v>
                </c:pt>
                <c:pt idx="41">
                  <c:v>2.7579243871395272E-3</c:v>
                </c:pt>
                <c:pt idx="42">
                  <c:v>1.6586604728476692E-3</c:v>
                </c:pt>
                <c:pt idx="43">
                  <c:v>9.4135181225375557E-4</c:v>
                </c:pt>
                <c:pt idx="44">
                  <c:v>4.899591984789853E-4</c:v>
                </c:pt>
                <c:pt idx="45">
                  <c:v>2.2915545993932091E-4</c:v>
                </c:pt>
                <c:pt idx="46">
                  <c:v>9.5291676062167138E-5</c:v>
                </c:pt>
                <c:pt idx="47">
                  <c:v>3.4985070224391811E-5</c:v>
                </c:pt>
                <c:pt idx="48">
                  <c:v>1.1176054069889263E-5</c:v>
                </c:pt>
                <c:pt idx="49">
                  <c:v>2.9181233706488585E-6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1E-43F5-A7D9-A8F1B0981FB7}"/>
            </c:ext>
          </c:extLst>
        </c:ser>
        <c:ser>
          <c:idx val="1"/>
          <c:order val="1"/>
          <c:tx>
            <c:strRef>
              <c:f>Depart_Time_Return_Half_Tour!$Q$66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Depart_Time_Return_Half_Tour!$Q$67:$Q$117</c:f>
              <c:numCache>
                <c:formatCode>0.00%</c:formatCode>
                <c:ptCount val="51"/>
                <c:pt idx="0">
                  <c:v>2.6081731048513443E-3</c:v>
                </c:pt>
                <c:pt idx="1">
                  <c:v>1.77355933636608E-3</c:v>
                </c:pt>
                <c:pt idx="2">
                  <c:v>1.0659569518111027E-3</c:v>
                </c:pt>
                <c:pt idx="3">
                  <c:v>5.5864606459793702E-4</c:v>
                </c:pt>
                <c:pt idx="4">
                  <c:v>2.5323692144570831E-4</c:v>
                </c:pt>
                <c:pt idx="5">
                  <c:v>1.0249850322582397E-4</c:v>
                </c:pt>
                <c:pt idx="6">
                  <c:v>4.9458991740418114E-5</c:v>
                </c:pt>
                <c:pt idx="7">
                  <c:v>5.5679226508290924E-5</c:v>
                </c:pt>
                <c:pt idx="8">
                  <c:v>1.0949430682604011E-4</c:v>
                </c:pt>
                <c:pt idx="9">
                  <c:v>2.2086201830351585E-4</c:v>
                </c:pt>
                <c:pt idx="10">
                  <c:v>4.11981317351624E-4</c:v>
                </c:pt>
                <c:pt idx="11">
                  <c:v>7.0730193368037208E-4</c:v>
                </c:pt>
                <c:pt idx="12">
                  <c:v>1.1221867112776217E-3</c:v>
                </c:pt>
                <c:pt idx="13">
                  <c:v>1.6514996398752184E-3</c:v>
                </c:pt>
                <c:pt idx="14">
                  <c:v>2.2692629637042069E-3</c:v>
                </c:pt>
                <c:pt idx="15">
                  <c:v>2.9617476116595401E-3</c:v>
                </c:pt>
                <c:pt idx="16">
                  <c:v>3.8061374166398682E-3</c:v>
                </c:pt>
                <c:pt idx="17">
                  <c:v>5.0534254533642206E-3</c:v>
                </c:pt>
                <c:pt idx="18">
                  <c:v>7.1108199225819613E-3</c:v>
                </c:pt>
                <c:pt idx="19">
                  <c:v>1.0347723516388555E-2</c:v>
                </c:pt>
                <c:pt idx="20">
                  <c:v>1.482057935340903E-2</c:v>
                </c:pt>
                <c:pt idx="21">
                  <c:v>2.0179181901112699E-2</c:v>
                </c:pt>
                <c:pt idx="22">
                  <c:v>2.5938355870423879E-2</c:v>
                </c:pt>
                <c:pt idx="23">
                  <c:v>3.1960489457886203E-2</c:v>
                </c:pt>
                <c:pt idx="24">
                  <c:v>3.8714760696737287E-2</c:v>
                </c:pt>
                <c:pt idx="25">
                  <c:v>4.6973654764552369E-2</c:v>
                </c:pt>
                <c:pt idx="26">
                  <c:v>5.7036362815238023E-2</c:v>
                </c:pt>
                <c:pt idx="27">
                  <c:v>6.7998057503876871E-2</c:v>
                </c:pt>
                <c:pt idx="28">
                  <c:v>7.768621387998971E-2</c:v>
                </c:pt>
                <c:pt idx="29">
                  <c:v>8.3519690659902973E-2</c:v>
                </c:pt>
                <c:pt idx="30">
                  <c:v>8.3857937439236363E-2</c:v>
                </c:pt>
                <c:pt idx="31">
                  <c:v>7.8897857274103741E-2</c:v>
                </c:pt>
                <c:pt idx="32">
                  <c:v>7.0411580744168145E-2</c:v>
                </c:pt>
                <c:pt idx="33">
                  <c:v>6.0552056889836461E-2</c:v>
                </c:pt>
                <c:pt idx="34">
                  <c:v>5.0727290368641841E-2</c:v>
                </c:pt>
                <c:pt idx="35">
                  <c:v>4.1363779142780617E-2</c:v>
                </c:pt>
                <c:pt idx="36">
                  <c:v>3.2470913778946904E-2</c:v>
                </c:pt>
                <c:pt idx="37">
                  <c:v>2.4256123944192225E-2</c:v>
                </c:pt>
                <c:pt idx="38">
                  <c:v>1.7212970450355202E-2</c:v>
                </c:pt>
                <c:pt idx="39">
                  <c:v>1.1761621149734173E-2</c:v>
                </c:pt>
                <c:pt idx="40">
                  <c:v>7.9223018929015163E-3</c:v>
                </c:pt>
                <c:pt idx="41">
                  <c:v>5.3380506645764906E-3</c:v>
                </c:pt>
                <c:pt idx="42">
                  <c:v>3.5517330309126358E-3</c:v>
                </c:pt>
                <c:pt idx="43">
                  <c:v>2.2472449445654348E-3</c:v>
                </c:pt>
                <c:pt idx="44">
                  <c:v>1.2942126457078011E-3</c:v>
                </c:pt>
                <c:pt idx="45">
                  <c:v>6.5339307689957638E-4</c:v>
                </c:pt>
                <c:pt idx="46">
                  <c:v>2.8038195149046016E-4</c:v>
                </c:pt>
                <c:pt idx="47">
                  <c:v>9.9370214385058512E-5</c:v>
                </c:pt>
                <c:pt idx="48">
                  <c:v>2.8159556989047003E-5</c:v>
                </c:pt>
                <c:pt idx="49">
                  <c:v>6.0220242478028852E-6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1E-43F5-A7D9-A8F1B0981F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76320"/>
        <c:axId val="130096448"/>
      </c:lineChart>
      <c:catAx>
        <c:axId val="12997632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096448"/>
        <c:crosses val="autoZero"/>
        <c:auto val="1"/>
        <c:lblAlgn val="ctr"/>
        <c:lblOffset val="100"/>
        <c:tickLblSkip val="2"/>
        <c:noMultiLvlLbl val="0"/>
      </c:catAx>
      <c:valAx>
        <c:axId val="13009644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9976320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66" footer="0.30000000000000032" header="0.30000000000000032" l="0.70000000000000062" r="0.70000000000000062" t="0.75000000000000266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Soc/Rec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8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Depart_Time_Return_Half_Tour!$H$67:$H$117</c:f>
              <c:numCache>
                <c:formatCode>0.00%</c:formatCode>
                <c:ptCount val="51"/>
                <c:pt idx="0">
                  <c:v>0</c:v>
                </c:pt>
                <c:pt idx="1">
                  <c:v>1.4939743310629783E-5</c:v>
                </c:pt>
                <c:pt idx="2">
                  <c:v>4.9731956098328176E-5</c:v>
                </c:pt>
                <c:pt idx="3">
                  <c:v>1.2518049343523011E-4</c:v>
                </c:pt>
                <c:pt idx="4">
                  <c:v>2.5664018631597408E-4</c:v>
                </c:pt>
                <c:pt idx="5">
                  <c:v>4.5386058025489935E-4</c:v>
                </c:pt>
                <c:pt idx="6">
                  <c:v>7.6179694561154276E-4</c:v>
                </c:pt>
                <c:pt idx="7">
                  <c:v>1.3504202575217758E-3</c:v>
                </c:pt>
                <c:pt idx="8">
                  <c:v>2.564677971613475E-3</c:v>
                </c:pt>
                <c:pt idx="9">
                  <c:v>4.7774172412160748E-3</c:v>
                </c:pt>
                <c:pt idx="10">
                  <c:v>8.0248969990612835E-3</c:v>
                </c:pt>
                <c:pt idx="11">
                  <c:v>1.1722189940953726E-2</c:v>
                </c:pt>
                <c:pt idx="12">
                  <c:v>1.4866425869676273E-2</c:v>
                </c:pt>
                <c:pt idx="13">
                  <c:v>1.671438311793191E-2</c:v>
                </c:pt>
                <c:pt idx="14">
                  <c:v>1.7333940631448014E-2</c:v>
                </c:pt>
                <c:pt idx="15">
                  <c:v>1.7464003235187174E-2</c:v>
                </c:pt>
                <c:pt idx="16">
                  <c:v>1.7856736813579591E-2</c:v>
                </c:pt>
                <c:pt idx="17">
                  <c:v>1.8809354060580746E-2</c:v>
                </c:pt>
                <c:pt idx="18">
                  <c:v>2.0266433216570047E-2</c:v>
                </c:pt>
                <c:pt idx="19">
                  <c:v>2.2209400641005749E-2</c:v>
                </c:pt>
                <c:pt idx="20">
                  <c:v>2.4877120846596743E-2</c:v>
                </c:pt>
                <c:pt idx="21">
                  <c:v>2.8666690662811935E-2</c:v>
                </c:pt>
                <c:pt idx="22">
                  <c:v>3.3830834436126195E-2</c:v>
                </c:pt>
                <c:pt idx="23">
                  <c:v>4.0180412704543061E-2</c:v>
                </c:pt>
                <c:pt idx="24">
                  <c:v>4.7032804668717065E-2</c:v>
                </c:pt>
                <c:pt idx="25">
                  <c:v>5.3516125270515656E-2</c:v>
                </c:pt>
                <c:pt idx="26">
                  <c:v>5.9006456812240544E-2</c:v>
                </c:pt>
                <c:pt idx="27">
                  <c:v>6.329530729692015E-2</c:v>
                </c:pt>
                <c:pt idx="28">
                  <c:v>6.6334865031070195E-2</c:v>
                </c:pt>
                <c:pt idx="29">
                  <c:v>6.7823870906765421E-2</c:v>
                </c:pt>
                <c:pt idx="30">
                  <c:v>6.7044746168074765E-2</c:v>
                </c:pt>
                <c:pt idx="31">
                  <c:v>6.3169434633129101E-2</c:v>
                </c:pt>
                <c:pt idx="32">
                  <c:v>5.5899913676753871E-2</c:v>
                </c:pt>
                <c:pt idx="33">
                  <c:v>4.5985531934719534E-2</c:v>
                </c:pt>
                <c:pt idx="34">
                  <c:v>3.5120734017079845E-2</c:v>
                </c:pt>
                <c:pt idx="35">
                  <c:v>2.5172077448436591E-2</c:v>
                </c:pt>
                <c:pt idx="36">
                  <c:v>1.7299669774050824E-2</c:v>
                </c:pt>
                <c:pt idx="37">
                  <c:v>1.1647244252020359E-2</c:v>
                </c:pt>
                <c:pt idx="38">
                  <c:v>7.7131296559392881E-3</c:v>
                </c:pt>
                <c:pt idx="39">
                  <c:v>4.9255223381622967E-3</c:v>
                </c:pt>
                <c:pt idx="40">
                  <c:v>2.9395149754813609E-3</c:v>
                </c:pt>
                <c:pt idx="41">
                  <c:v>1.5957373942612871E-3</c:v>
                </c:pt>
                <c:pt idx="42">
                  <c:v>7.7518705648729248E-4</c:v>
                </c:pt>
                <c:pt idx="43">
                  <c:v>3.3461515120482207E-4</c:v>
                </c:pt>
                <c:pt idx="44">
                  <c:v>1.2817757474554295E-4</c:v>
                </c:pt>
                <c:pt idx="45">
                  <c:v>4.3671026723135812E-5</c:v>
                </c:pt>
                <c:pt idx="46">
                  <c:v>1.3325279500542724E-5</c:v>
                </c:pt>
                <c:pt idx="47">
                  <c:v>3.6925576113083667E-6</c:v>
                </c:pt>
                <c:pt idx="48">
                  <c:v>9.4290236029991869E-7</c:v>
                </c:pt>
                <c:pt idx="49">
                  <c:v>2.1364557864068724E-7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AE-485D-8352-A5A7175DBBD8}"/>
            </c:ext>
          </c:extLst>
        </c:ser>
        <c:ser>
          <c:idx val="1"/>
          <c:order val="1"/>
          <c:tx>
            <c:strRef>
              <c:f>Depart_Time_Return_Half_Tour!$R$66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Depart_Time_Return_Half_Tour!$R$67:$R$117</c:f>
              <c:numCache>
                <c:formatCode>0.00%</c:formatCode>
                <c:ptCount val="51"/>
                <c:pt idx="0">
                  <c:v>1.4009323988819415E-4</c:v>
                </c:pt>
                <c:pt idx="1">
                  <c:v>1.2279888792652766E-4</c:v>
                </c:pt>
                <c:pt idx="2">
                  <c:v>9.9916187229426905E-5</c:v>
                </c:pt>
                <c:pt idx="3">
                  <c:v>7.3060006750355356E-5</c:v>
                </c:pt>
                <c:pt idx="4">
                  <c:v>5.3246781205298555E-5</c:v>
                </c:pt>
                <c:pt idx="5">
                  <c:v>6.1065411992382957E-5</c:v>
                </c:pt>
                <c:pt idx="6">
                  <c:v>1.3160664814524419E-4</c:v>
                </c:pt>
                <c:pt idx="7">
                  <c:v>3.2361403174207339E-4</c:v>
                </c:pt>
                <c:pt idx="8">
                  <c:v>7.2137217492963975E-4</c:v>
                </c:pt>
                <c:pt idx="9">
                  <c:v>1.4161022854085892E-3</c:v>
                </c:pt>
                <c:pt idx="10">
                  <c:v>2.4658200426938997E-3</c:v>
                </c:pt>
                <c:pt idx="11">
                  <c:v>3.8505830852769039E-3</c:v>
                </c:pt>
                <c:pt idx="12">
                  <c:v>5.4493616392229998E-3</c:v>
                </c:pt>
                <c:pt idx="13">
                  <c:v>7.0597770594581551E-3</c:v>
                </c:pt>
                <c:pt idx="14">
                  <c:v>8.4737919849717808E-3</c:v>
                </c:pt>
                <c:pt idx="15">
                  <c:v>9.6178853467230978E-3</c:v>
                </c:pt>
                <c:pt idx="16">
                  <c:v>1.0735073757214992E-2</c:v>
                </c:pt>
                <c:pt idx="17">
                  <c:v>1.2491773514690134E-2</c:v>
                </c:pt>
                <c:pt idx="18">
                  <c:v>1.5806344892922507E-2</c:v>
                </c:pt>
                <c:pt idx="19">
                  <c:v>2.1315978432240961E-2</c:v>
                </c:pt>
                <c:pt idx="20">
                  <c:v>2.8780702810309467E-2</c:v>
                </c:pt>
                <c:pt idx="21">
                  <c:v>3.7005792902047391E-2</c:v>
                </c:pt>
                <c:pt idx="22">
                  <c:v>4.4563166373350165E-2</c:v>
                </c:pt>
                <c:pt idx="23">
                  <c:v>5.0822350378745364E-2</c:v>
                </c:pt>
                <c:pt idx="24">
                  <c:v>5.636205623952812E-2</c:v>
                </c:pt>
                <c:pt idx="25">
                  <c:v>6.2298086710440938E-2</c:v>
                </c:pt>
                <c:pt idx="26">
                  <c:v>6.9030943515130061E-2</c:v>
                </c:pt>
                <c:pt idx="27">
                  <c:v>7.5454433100882609E-2</c:v>
                </c:pt>
                <c:pt idx="28">
                  <c:v>7.9312768961641092E-2</c:v>
                </c:pt>
                <c:pt idx="29">
                  <c:v>7.8500820176085256E-2</c:v>
                </c:pt>
                <c:pt idx="30">
                  <c:v>7.2387452528884164E-2</c:v>
                </c:pt>
                <c:pt idx="31">
                  <c:v>6.2223126889462785E-2</c:v>
                </c:pt>
                <c:pt idx="32">
                  <c:v>5.0384704342244901E-2</c:v>
                </c:pt>
                <c:pt idx="33">
                  <c:v>3.9083471421351303E-2</c:v>
                </c:pt>
                <c:pt idx="34">
                  <c:v>2.9487726018774786E-2</c:v>
                </c:pt>
                <c:pt idx="35">
                  <c:v>2.1728359615196629E-2</c:v>
                </c:pt>
                <c:pt idx="36">
                  <c:v>1.5480985136120552E-2</c:v>
                </c:pt>
                <c:pt idx="37">
                  <c:v>1.0489504450003725E-2</c:v>
                </c:pt>
                <c:pt idx="38">
                  <c:v>6.6866004194265465E-3</c:v>
                </c:pt>
                <c:pt idx="39">
                  <c:v>4.0303006580858338E-3</c:v>
                </c:pt>
                <c:pt idx="40">
                  <c:v>2.3533264496029636E-3</c:v>
                </c:pt>
                <c:pt idx="41">
                  <c:v>1.3748066361296692E-3</c:v>
                </c:pt>
                <c:pt idx="42">
                  <c:v>8.1316690551934737E-4</c:v>
                </c:pt>
                <c:pt idx="43">
                  <c:v>4.7394838398531357E-4</c:v>
                </c:pt>
                <c:pt idx="44">
                  <c:v>2.5879558823701501E-4</c:v>
                </c:pt>
                <c:pt idx="45">
                  <c:v>1.2608667926147568E-4</c:v>
                </c:pt>
                <c:pt idx="46">
                  <c:v>5.2734707495429355E-5</c:v>
                </c:pt>
                <c:pt idx="47">
                  <c:v>1.8324661834760525E-5</c:v>
                </c:pt>
                <c:pt idx="48">
                  <c:v>5.1121141174382506E-6</c:v>
                </c:pt>
                <c:pt idx="49">
                  <c:v>1.0798154717315266E-6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4AE-485D-8352-A5A7175DBB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76832"/>
        <c:axId val="130148032"/>
      </c:lineChart>
      <c:catAx>
        <c:axId val="12997683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148032"/>
        <c:crosses val="autoZero"/>
        <c:auto val="1"/>
        <c:lblAlgn val="ctr"/>
        <c:lblOffset val="100"/>
        <c:tickLblSkip val="2"/>
        <c:noMultiLvlLbl val="0"/>
      </c:catAx>
      <c:valAx>
        <c:axId val="13014803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9976832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7"/>
          <c:h val="0.1418267716535427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89" footer="0.30000000000000032" header="0.30000000000000032" l="0.70000000000000062" r="0.70000000000000062" t="0.75000000000000289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Stop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Duration!$B$63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Duration!$B$64:$B$82</c:f>
              <c:numCache>
                <c:formatCode>0.00%</c:formatCode>
                <c:ptCount val="19"/>
                <c:pt idx="0">
                  <c:v>0.24508167348654911</c:v>
                </c:pt>
                <c:pt idx="1">
                  <c:v>0.19084455309570664</c:v>
                </c:pt>
                <c:pt idx="2">
                  <c:v>0.14304754503902897</c:v>
                </c:pt>
                <c:pt idx="3">
                  <c:v>0.10561866958565241</c:v>
                </c:pt>
                <c:pt idx="4">
                  <c:v>7.8970749674286175E-2</c:v>
                </c:pt>
                <c:pt idx="5">
                  <c:v>6.0818156305163039E-2</c:v>
                </c:pt>
                <c:pt idx="6">
                  <c:v>4.793105589516107E-2</c:v>
                </c:pt>
                <c:pt idx="7">
                  <c:v>3.7681618480908757E-2</c:v>
                </c:pt>
                <c:pt idx="8">
                  <c:v>2.8734770978330632E-2</c:v>
                </c:pt>
                <c:pt idx="9">
                  <c:v>2.0872592697617466E-2</c:v>
                </c:pt>
                <c:pt idx="10">
                  <c:v>1.436564163196858E-2</c:v>
                </c:pt>
                <c:pt idx="11">
                  <c:v>9.4089835701343227E-3</c:v>
                </c:pt>
                <c:pt idx="12">
                  <c:v>5.916487606758042E-3</c:v>
                </c:pt>
                <c:pt idx="13">
                  <c:v>3.6120704392893113E-3</c:v>
                </c:pt>
                <c:pt idx="14">
                  <c:v>2.1830524419764047E-3</c:v>
                </c:pt>
                <c:pt idx="15">
                  <c:v>1.3534111504993915E-3</c:v>
                </c:pt>
                <c:pt idx="16">
                  <c:v>8.9363973007540443E-4</c:v>
                </c:pt>
                <c:pt idx="17">
                  <c:v>6.2704181872811444E-4</c:v>
                </c:pt>
                <c:pt idx="18">
                  <c:v>4.4309206939985161E-4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6C-495A-B3C7-BEED10AC4CF0}"/>
            </c:ext>
          </c:extLst>
        </c:ser>
        <c:ser>
          <c:idx val="1"/>
          <c:order val="1"/>
          <c:tx>
            <c:strRef>
              <c:f>Duration!$L$63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Duration!$L$64:$L$82</c:f>
              <c:numCache>
                <c:formatCode>0.00%</c:formatCode>
                <c:ptCount val="19"/>
                <c:pt idx="0">
                  <c:v>0.34094672969293671</c:v>
                </c:pt>
                <c:pt idx="1">
                  <c:v>0.25034649257061969</c:v>
                </c:pt>
                <c:pt idx="2">
                  <c:v>0.16973551340343984</c:v>
                </c:pt>
                <c:pt idx="3">
                  <c:v>0.10594722964069048</c:v>
                </c:pt>
                <c:pt idx="4">
                  <c:v>6.1043570586885976E-2</c:v>
                </c:pt>
                <c:pt idx="5">
                  <c:v>3.2834726123167686E-2</c:v>
                </c:pt>
                <c:pt idx="6">
                  <c:v>1.6871575002665229E-2</c:v>
                </c:pt>
                <c:pt idx="7">
                  <c:v>8.5734066684698528E-3</c:v>
                </c:pt>
                <c:pt idx="8">
                  <c:v>4.480285658856371E-3</c:v>
                </c:pt>
                <c:pt idx="9">
                  <c:v>2.482058475182747E-3</c:v>
                </c:pt>
                <c:pt idx="10">
                  <c:v>1.4764547457242127E-3</c:v>
                </c:pt>
                <c:pt idx="11">
                  <c:v>9.4008309042589082E-4</c:v>
                </c:pt>
                <c:pt idx="12">
                  <c:v>6.3260585338627013E-4</c:v>
                </c:pt>
                <c:pt idx="13">
                  <c:v>4.4230318915771354E-4</c:v>
                </c:pt>
                <c:pt idx="14">
                  <c:v>3.1601589393290497E-4</c:v>
                </c:pt>
                <c:pt idx="15">
                  <c:v>2.2823621213459612E-4</c:v>
                </c:pt>
                <c:pt idx="16">
                  <c:v>1.6649204593738773E-4</c:v>
                </c:pt>
                <c:pt idx="17">
                  <c:v>1.2384754335181399E-4</c:v>
                </c:pt>
                <c:pt idx="18">
                  <c:v>9.5355767087131605E-5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86C-495A-B3C7-BEED10AC4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262080"/>
        <c:axId val="130150912"/>
      </c:lineChart>
      <c:catAx>
        <c:axId val="89262080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150912"/>
        <c:crosses val="autoZero"/>
        <c:auto val="1"/>
        <c:lblAlgn val="ctr"/>
        <c:lblOffset val="100"/>
        <c:tickLblSkip val="2"/>
        <c:noMultiLvlLbl val="0"/>
      </c:catAx>
      <c:valAx>
        <c:axId val="13015091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89262080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8.6552107457156094E-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Stop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Duration!$C$63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Duration!$C$64:$C$82</c:f>
              <c:numCache>
                <c:formatCode>0.00%</c:formatCode>
                <c:ptCount val="19"/>
                <c:pt idx="0">
                  <c:v>9.3173661737324165E-2</c:v>
                </c:pt>
                <c:pt idx="1">
                  <c:v>0.12218734742167052</c:v>
                </c:pt>
                <c:pt idx="2">
                  <c:v>0.1393169662006532</c:v>
                </c:pt>
                <c:pt idx="3">
                  <c:v>0.13922091635678638</c:v>
                </c:pt>
                <c:pt idx="4">
                  <c:v>0.12453982499439052</c:v>
                </c:pt>
                <c:pt idx="5">
                  <c:v>0.10218102137152761</c:v>
                </c:pt>
                <c:pt idx="6">
                  <c:v>7.8599742923570012E-2</c:v>
                </c:pt>
                <c:pt idx="7">
                  <c:v>5.7580762398068967E-2</c:v>
                </c:pt>
                <c:pt idx="8">
                  <c:v>4.0627238980397558E-2</c:v>
                </c:pt>
                <c:pt idx="9">
                  <c:v>2.8079880644335146E-2</c:v>
                </c:pt>
                <c:pt idx="10">
                  <c:v>1.9662911229345163E-2</c:v>
                </c:pt>
                <c:pt idx="11">
                  <c:v>1.453009673802064E-2</c:v>
                </c:pt>
                <c:pt idx="12">
                  <c:v>1.1417193668437357E-2</c:v>
                </c:pt>
                <c:pt idx="13">
                  <c:v>9.1104068539164459E-3</c:v>
                </c:pt>
                <c:pt idx="14">
                  <c:v>6.9162633404930779E-3</c:v>
                </c:pt>
                <c:pt idx="15">
                  <c:v>4.7633456338756659E-3</c:v>
                </c:pt>
                <c:pt idx="16">
                  <c:v>2.9194922067911299E-3</c:v>
                </c:pt>
                <c:pt idx="17">
                  <c:v>1.6195973948440344E-3</c:v>
                </c:pt>
                <c:pt idx="18">
                  <c:v>8.8070656128065366E-4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F0-4368-BB37-D6D0E99A700A}"/>
            </c:ext>
          </c:extLst>
        </c:ser>
        <c:ser>
          <c:idx val="1"/>
          <c:order val="1"/>
          <c:tx>
            <c:strRef>
              <c:f>Duration!$M$63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Duration!$M$64:$M$82</c:f>
              <c:numCache>
                <c:formatCode>0.00%</c:formatCode>
                <c:ptCount val="19"/>
                <c:pt idx="0">
                  <c:v>0.33374198159031354</c:v>
                </c:pt>
                <c:pt idx="1">
                  <c:v>0.24622053585952064</c:v>
                </c:pt>
                <c:pt idx="2">
                  <c:v>0.16825861638188969</c:v>
                </c:pt>
                <c:pt idx="3">
                  <c:v>0.10640205017451998</c:v>
                </c:pt>
                <c:pt idx="4">
                  <c:v>6.2642673296836551E-2</c:v>
                </c:pt>
                <c:pt idx="5">
                  <c:v>3.4912210307367013E-2</c:v>
                </c:pt>
                <c:pt idx="6">
                  <c:v>1.8974162946158959E-2</c:v>
                </c:pt>
                <c:pt idx="7">
                  <c:v>1.0449168473979795E-2</c:v>
                </c:pt>
                <c:pt idx="8">
                  <c:v>6.0193515580208579E-3</c:v>
                </c:pt>
                <c:pt idx="9">
                  <c:v>3.6616677205289342E-3</c:v>
                </c:pt>
                <c:pt idx="10">
                  <c:v>2.3263951334047367E-3</c:v>
                </c:pt>
                <c:pt idx="11">
                  <c:v>1.5201305286739529E-3</c:v>
                </c:pt>
                <c:pt idx="12">
                  <c:v>1.0136805450151585E-3</c:v>
                </c:pt>
                <c:pt idx="13">
                  <c:v>6.9093157482291799E-4</c:v>
                </c:pt>
                <c:pt idx="14">
                  <c:v>4.8434537373291659E-4</c:v>
                </c:pt>
                <c:pt idx="15">
                  <c:v>3.5033821158244428E-4</c:v>
                </c:pt>
                <c:pt idx="16">
                  <c:v>2.601541372888557E-4</c:v>
                </c:pt>
                <c:pt idx="17">
                  <c:v>1.9604851173739228E-4</c:v>
                </c:pt>
                <c:pt idx="18">
                  <c:v>1.4863952025457447E-4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F0-4368-BB37-D6D0E99A7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612928"/>
        <c:axId val="130153216"/>
      </c:lineChart>
      <c:catAx>
        <c:axId val="151612928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153216"/>
        <c:crosses val="autoZero"/>
        <c:auto val="1"/>
        <c:lblAlgn val="ctr"/>
        <c:lblOffset val="100"/>
        <c:tickLblSkip val="2"/>
        <c:noMultiLvlLbl val="0"/>
      </c:catAx>
      <c:valAx>
        <c:axId val="13015321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1612928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Duration!$D$63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Duration!$D$64:$D$82</c:f>
              <c:numCache>
                <c:formatCode>0.00%</c:formatCode>
                <c:ptCount val="19"/>
                <c:pt idx="0">
                  <c:v>0.42090489032169731</c:v>
                </c:pt>
                <c:pt idx="1">
                  <c:v>0.2808812298279062</c:v>
                </c:pt>
                <c:pt idx="2">
                  <c:v>0.16380493122541098</c:v>
                </c:pt>
                <c:pt idx="3">
                  <c:v>8.2163222028291835E-2</c:v>
                </c:pt>
                <c:pt idx="4">
                  <c:v>3.4922807425965957E-2</c:v>
                </c:pt>
                <c:pt idx="5">
                  <c:v>1.241547355605167E-2</c:v>
                </c:pt>
                <c:pt idx="6">
                  <c:v>3.6712180113941582E-3</c:v>
                </c:pt>
                <c:pt idx="7">
                  <c:v>9.2376440242141443E-4</c:v>
                </c:pt>
                <c:pt idx="8">
                  <c:v>2.1970392207135007E-4</c:v>
                </c:pt>
                <c:pt idx="9">
                  <c:v>6.0456457867074101E-5</c:v>
                </c:pt>
                <c:pt idx="10">
                  <c:v>2.0323397166883723E-5</c:v>
                </c:pt>
                <c:pt idx="11">
                  <c:v>6.8777820939517184E-6</c:v>
                </c:pt>
                <c:pt idx="12">
                  <c:v>1.9800394053753231E-6</c:v>
                </c:pt>
                <c:pt idx="13">
                  <c:v>4.436442239299068E-7</c:v>
                </c:pt>
                <c:pt idx="14">
                  <c:v>7.1515090398279972E-8</c:v>
                </c:pt>
                <c:pt idx="15">
                  <c:v>7.3298413234065197E-9</c:v>
                </c:pt>
                <c:pt idx="16">
                  <c:v>3.5753207652309717E-10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73-4C56-9B99-F44EEE418AE8}"/>
            </c:ext>
          </c:extLst>
        </c:ser>
        <c:ser>
          <c:idx val="1"/>
          <c:order val="1"/>
          <c:tx>
            <c:strRef>
              <c:f>Duration!$N$63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Duration!$N$64:$N$82</c:f>
              <c:numCache>
                <c:formatCode>0.00%</c:formatCode>
                <c:ptCount val="19"/>
                <c:pt idx="0">
                  <c:v>0.35298603209575591</c:v>
                </c:pt>
                <c:pt idx="1">
                  <c:v>0.25430682304949026</c:v>
                </c:pt>
                <c:pt idx="2">
                  <c:v>0.16784109521380233</c:v>
                </c:pt>
                <c:pt idx="3">
                  <c:v>0.10137087046914543</c:v>
                </c:pt>
                <c:pt idx="4">
                  <c:v>5.6385740573138124E-2</c:v>
                </c:pt>
                <c:pt idx="5">
                  <c:v>2.9376935782097619E-2</c:v>
                </c:pt>
                <c:pt idx="6">
                  <c:v>1.4768925175000745E-2</c:v>
                </c:pt>
                <c:pt idx="7">
                  <c:v>7.456308822874215E-3</c:v>
                </c:pt>
                <c:pt idx="8">
                  <c:v>3.9292272331887248E-3</c:v>
                </c:pt>
                <c:pt idx="9">
                  <c:v>2.2127228496410514E-3</c:v>
                </c:pt>
                <c:pt idx="10">
                  <c:v>1.3391960365137063E-3</c:v>
                </c:pt>
                <c:pt idx="11">
                  <c:v>8.675829412105639E-4</c:v>
                </c:pt>
                <c:pt idx="12">
                  <c:v>5.9769335319525077E-4</c:v>
                </c:pt>
                <c:pt idx="13">
                  <c:v>4.3456990390609276E-4</c:v>
                </c:pt>
                <c:pt idx="14">
                  <c:v>3.306811704395314E-4</c:v>
                </c:pt>
                <c:pt idx="15">
                  <c:v>2.6171921799616923E-4</c:v>
                </c:pt>
                <c:pt idx="16">
                  <c:v>2.1541011782450753E-4</c:v>
                </c:pt>
                <c:pt idx="17">
                  <c:v>1.8509436315291327E-4</c:v>
                </c:pt>
                <c:pt idx="18">
                  <c:v>1.6589208410111605E-4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C73-4C56-9B99-F44EEE418A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611392"/>
        <c:axId val="152822912"/>
      </c:lineChart>
      <c:catAx>
        <c:axId val="151611392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2822912"/>
        <c:crosses val="autoZero"/>
        <c:auto val="1"/>
        <c:lblAlgn val="ctr"/>
        <c:lblOffset val="100"/>
        <c:tickLblSkip val="2"/>
        <c:noMultiLvlLbl val="0"/>
      </c:catAx>
      <c:valAx>
        <c:axId val="15282291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1611392"/>
        <c:crosses val="autoZero"/>
        <c:crossBetween val="between"/>
        <c:majorUnit val="0.2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54"/>
          <c:h val="9.406542092686189E-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baseline="0" lang="en-US"/>
              <a:t> Business</a:t>
            </a:r>
            <a:r>
              <a:rPr lang="en-US"/>
              <a:t>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Duration!$E$63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Duration!$E$64:$E$82</c:f>
              <c:numCache>
                <c:formatCode>0.00%</c:formatCode>
                <c:ptCount val="19"/>
                <c:pt idx="0">
                  <c:v>0.38122830442919581</c:v>
                </c:pt>
                <c:pt idx="1">
                  <c:v>0.26524667348276643</c:v>
                </c:pt>
                <c:pt idx="2">
                  <c:v>0.1661365287881994</c:v>
                </c:pt>
                <c:pt idx="3">
                  <c:v>9.3629096015792779E-2</c:v>
                </c:pt>
                <c:pt idx="4">
                  <c:v>4.7981989041482605E-2</c:v>
                </c:pt>
                <c:pt idx="5">
                  <c:v>2.2958386494541669E-2</c:v>
                </c:pt>
                <c:pt idx="6">
                  <c:v>1.0714368387428761E-2</c:v>
                </c:pt>
                <c:pt idx="7">
                  <c:v>5.12108110162518E-3</c:v>
                </c:pt>
                <c:pt idx="8">
                  <c:v>2.5809633884862366E-3</c:v>
                </c:pt>
                <c:pt idx="9">
                  <c:v>1.3761126574024789E-3</c:v>
                </c:pt>
                <c:pt idx="10">
                  <c:v>7.8246053819234259E-4</c:v>
                </c:pt>
                <c:pt idx="11">
                  <c:v>4.9131673444489151E-4</c:v>
                </c:pt>
                <c:pt idx="12">
                  <c:v>3.4694778152254238E-4</c:v>
                </c:pt>
                <c:pt idx="13">
                  <c:v>2.6045155423687648E-4</c:v>
                </c:pt>
                <c:pt idx="14">
                  <c:v>1.8930188635089631E-4</c:v>
                </c:pt>
                <c:pt idx="15">
                  <c:v>1.2558975907011951E-4</c:v>
                </c:pt>
                <c:pt idx="16">
                  <c:v>7.7632950982701866E-5</c:v>
                </c:pt>
                <c:pt idx="17">
                  <c:v>5.2222652304006975E-5</c:v>
                </c:pt>
                <c:pt idx="18">
                  <c:v>4.6538732365947462E-5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EE-4E3E-A8F3-C4A58B44C2E1}"/>
            </c:ext>
          </c:extLst>
        </c:ser>
        <c:ser>
          <c:idx val="1"/>
          <c:order val="1"/>
          <c:tx>
            <c:strRef>
              <c:f>Duration!$O$63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Duration!$O$64:$O$82</c:f>
              <c:numCache>
                <c:formatCode>0.00%</c:formatCode>
                <c:ptCount val="19"/>
                <c:pt idx="0">
                  <c:v>0.32564114005237432</c:v>
                </c:pt>
                <c:pt idx="1">
                  <c:v>0.24092242149962181</c:v>
                </c:pt>
                <c:pt idx="2">
                  <c:v>0.16563489425399805</c:v>
                </c:pt>
                <c:pt idx="3">
                  <c:v>0.10608326015034328</c:v>
                </c:pt>
                <c:pt idx="4">
                  <c:v>6.3976795920607635E-2</c:v>
                </c:pt>
                <c:pt idx="5">
                  <c:v>3.7111474436391512E-2</c:v>
                </c:pt>
                <c:pt idx="6">
                  <c:v>2.135369191219836E-2</c:v>
                </c:pt>
                <c:pt idx="7">
                  <c:v>1.2579520408429641E-2</c:v>
                </c:pt>
                <c:pt idx="8">
                  <c:v>7.7259098639448145E-3</c:v>
                </c:pt>
                <c:pt idx="9">
                  <c:v>4.9355181014130636E-3</c:v>
                </c:pt>
                <c:pt idx="10">
                  <c:v>3.2343325458751887E-3</c:v>
                </c:pt>
                <c:pt idx="11">
                  <c:v>2.1496114739688659E-3</c:v>
                </c:pt>
                <c:pt idx="12">
                  <c:v>1.4462401666557321E-3</c:v>
                </c:pt>
                <c:pt idx="13">
                  <c:v>9.9090006362896306E-4</c:v>
                </c:pt>
                <c:pt idx="14">
                  <c:v>6.9703168930246783E-4</c:v>
                </c:pt>
                <c:pt idx="15">
                  <c:v>5.0663408529462071E-4</c:v>
                </c:pt>
                <c:pt idx="16">
                  <c:v>3.8281355619870945E-4</c:v>
                </c:pt>
                <c:pt idx="17">
                  <c:v>3.0305255528672263E-4</c:v>
                </c:pt>
                <c:pt idx="18">
                  <c:v>2.5274884644671146E-4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EE-4E3E-A8F3-C4A58B44C2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5616"/>
        <c:axId val="152825216"/>
      </c:lineChart>
      <c:catAx>
        <c:axId val="151855616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2825216"/>
        <c:crosses val="autoZero"/>
        <c:auto val="1"/>
        <c:lblAlgn val="ctr"/>
        <c:lblOffset val="100"/>
        <c:tickLblSkip val="2"/>
        <c:noMultiLvlLbl val="0"/>
      </c:catAx>
      <c:valAx>
        <c:axId val="15282521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185561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9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Duration!$F$63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Duration!$F$64:$F$82</c:f>
              <c:numCache>
                <c:formatCode>0.00%</c:formatCode>
                <c:ptCount val="19"/>
                <c:pt idx="0">
                  <c:v>0.39480530547145237</c:v>
                </c:pt>
                <c:pt idx="1">
                  <c:v>0.2729203024432863</c:v>
                </c:pt>
                <c:pt idx="2">
                  <c:v>0.16846394644485677</c:v>
                </c:pt>
                <c:pt idx="3">
                  <c:v>9.183431122567802E-2</c:v>
                </c:pt>
                <c:pt idx="4">
                  <c:v>4.3820410160642864E-2</c:v>
                </c:pt>
                <c:pt idx="5">
                  <c:v>1.8202509116191621E-2</c:v>
                </c:pt>
                <c:pt idx="6">
                  <c:v>6.5983470296474365E-3</c:v>
                </c:pt>
                <c:pt idx="7">
                  <c:v>2.1405764680491766E-3</c:v>
                </c:pt>
                <c:pt idx="8">
                  <c:v>6.777575064850777E-4</c:v>
                </c:pt>
                <c:pt idx="9">
                  <c:v>2.513731380650172E-4</c:v>
                </c:pt>
                <c:pt idx="10">
                  <c:v>1.235272462967392E-4</c:v>
                </c:pt>
                <c:pt idx="11">
                  <c:v>7.056676484214253E-5</c:v>
                </c:pt>
                <c:pt idx="12">
                  <c:v>3.9051888348469556E-5</c:v>
                </c:pt>
                <c:pt idx="13">
                  <c:v>1.9343272460241713E-5</c:v>
                </c:pt>
                <c:pt idx="14">
                  <c:v>8.8071722785728795E-6</c:v>
                </c:pt>
                <c:pt idx="15">
                  <c:v>4.3511081844522688E-6</c:v>
                </c:pt>
                <c:pt idx="16">
                  <c:v>2.8196785554277208E-6</c:v>
                </c:pt>
                <c:pt idx="17">
                  <c:v>2.1548372487560062E-6</c:v>
                </c:pt>
                <c:pt idx="18">
                  <c:v>1.5534694619633889E-6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4C-4F04-AAE3-FC3AAD68F479}"/>
            </c:ext>
          </c:extLst>
        </c:ser>
        <c:ser>
          <c:idx val="1"/>
          <c:order val="1"/>
          <c:tx>
            <c:strRef>
              <c:f>Duration!$P$63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Duration!$P$64:$P$82</c:f>
              <c:numCache>
                <c:formatCode>0.00%</c:formatCode>
                <c:ptCount val="19"/>
                <c:pt idx="0">
                  <c:v>0.33001759956443366</c:v>
                </c:pt>
                <c:pt idx="1">
                  <c:v>0.24334958153306296</c:v>
                </c:pt>
                <c:pt idx="2">
                  <c:v>0.16634595722505491</c:v>
                </c:pt>
                <c:pt idx="3">
                  <c:v>0.10550986241334295</c:v>
                </c:pt>
                <c:pt idx="4">
                  <c:v>6.2655019531979134E-2</c:v>
                </c:pt>
                <c:pt idx="5">
                  <c:v>3.5543794437009127E-2</c:v>
                </c:pt>
                <c:pt idx="6">
                  <c:v>1.9896099847329249E-2</c:v>
                </c:pt>
                <c:pt idx="7">
                  <c:v>1.1410100427804177E-2</c:v>
                </c:pt>
                <c:pt idx="8">
                  <c:v>6.8854136178268096E-3</c:v>
                </c:pt>
                <c:pt idx="9">
                  <c:v>4.3896758069669082E-3</c:v>
                </c:pt>
                <c:pt idx="10">
                  <c:v>2.920638096626797E-3</c:v>
                </c:pt>
                <c:pt idx="11">
                  <c:v>2.002317560196077E-3</c:v>
                </c:pt>
                <c:pt idx="12">
                  <c:v>1.4078527224069218E-3</c:v>
                </c:pt>
                <c:pt idx="13">
                  <c:v>1.0167190125596913E-3</c:v>
                </c:pt>
                <c:pt idx="14">
                  <c:v>7.5518753669600864E-4</c:v>
                </c:pt>
                <c:pt idx="15">
                  <c:v>5.7535833247895039E-4</c:v>
                </c:pt>
                <c:pt idx="16">
                  <c:v>4.4723644313356603E-4</c:v>
                </c:pt>
                <c:pt idx="17">
                  <c:v>3.5332201993353154E-4</c:v>
                </c:pt>
                <c:pt idx="18">
                  <c:v>2.83730533002654E-4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04C-4F04-AAE3-FC3AAD68F4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103104"/>
        <c:axId val="152827520"/>
      </c:lineChart>
      <c:catAx>
        <c:axId val="125103104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2827520"/>
        <c:crosses val="autoZero"/>
        <c:auto val="1"/>
        <c:lblAlgn val="ctr"/>
        <c:lblOffset val="100"/>
        <c:tickLblSkip val="2"/>
        <c:noMultiLvlLbl val="0"/>
      </c:catAx>
      <c:valAx>
        <c:axId val="15282752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51031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66" footer="0.30000000000000032" header="0.30000000000000032" l="0.70000000000000062" r="0.70000000000000062" t="0.75000000000000266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8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Duration!$G$63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Duration!$G$64:$G$82</c:f>
              <c:numCache>
                <c:formatCode>0.00%</c:formatCode>
                <c:ptCount val="19"/>
                <c:pt idx="0">
                  <c:v>0.37224339816854363</c:v>
                </c:pt>
                <c:pt idx="1">
                  <c:v>0.26263138895839305</c:v>
                </c:pt>
                <c:pt idx="2">
                  <c:v>0.1679895972548093</c:v>
                </c:pt>
                <c:pt idx="3">
                  <c:v>9.7300654554442562E-2</c:v>
                </c:pt>
                <c:pt idx="4">
                  <c:v>5.1399149209786089E-2</c:v>
                </c:pt>
                <c:pt idx="5">
                  <c:v>2.5207421748683574E-2</c:v>
                </c:pt>
                <c:pt idx="6">
                  <c:v>1.18041582174612E-2</c:v>
                </c:pt>
                <c:pt idx="7">
                  <c:v>5.4481455026340929E-3</c:v>
                </c:pt>
                <c:pt idx="8">
                  <c:v>2.5427664177714942E-3</c:v>
                </c:pt>
                <c:pt idx="9">
                  <c:v>1.2285746005258633E-3</c:v>
                </c:pt>
                <c:pt idx="10">
                  <c:v>6.4308002890181017E-4</c:v>
                </c:pt>
                <c:pt idx="11">
                  <c:v>3.8959404415845895E-4</c:v>
                </c:pt>
                <c:pt idx="12">
                  <c:v>2.7478450422775772E-4</c:v>
                </c:pt>
                <c:pt idx="13">
                  <c:v>2.0489735343029995E-4</c:v>
                </c:pt>
                <c:pt idx="14">
                  <c:v>1.4434692261542693E-4</c:v>
                </c:pt>
                <c:pt idx="15">
                  <c:v>8.9634382423734948E-5</c:v>
                </c:pt>
                <c:pt idx="16">
                  <c:v>4.7414375385233149E-5</c:v>
                </c:pt>
                <c:pt idx="17">
                  <c:v>2.1001710621187787E-5</c:v>
                </c:pt>
                <c:pt idx="18">
                  <c:v>7.7079433442937943E-6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35-4AAF-BFC4-EECBA23528E4}"/>
            </c:ext>
          </c:extLst>
        </c:ser>
        <c:ser>
          <c:idx val="1"/>
          <c:order val="1"/>
          <c:tx>
            <c:strRef>
              <c:f>Duration!$Q$63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Duration!$Q$64:$Q$82</c:f>
              <c:numCache>
                <c:formatCode>0.00%</c:formatCode>
                <c:ptCount val="19"/>
                <c:pt idx="0">
                  <c:v>0.33551365672554007</c:v>
                </c:pt>
                <c:pt idx="1">
                  <c:v>0.24702812017113823</c:v>
                </c:pt>
                <c:pt idx="2">
                  <c:v>0.16838133207480824</c:v>
                </c:pt>
                <c:pt idx="3">
                  <c:v>0.10620518121234167</c:v>
                </c:pt>
                <c:pt idx="4">
                  <c:v>6.2372939447671451E-2</c:v>
                </c:pt>
                <c:pt idx="5">
                  <c:v>3.4640642738925892E-2</c:v>
                </c:pt>
                <c:pt idx="6">
                  <c:v>1.867602339535605E-2</c:v>
                </c:pt>
                <c:pt idx="7">
                  <c:v>1.0103236236078492E-2</c:v>
                </c:pt>
                <c:pt idx="8">
                  <c:v>5.6455995427211495E-3</c:v>
                </c:pt>
                <c:pt idx="9">
                  <c:v>3.3034979587585399E-3</c:v>
                </c:pt>
                <c:pt idx="10">
                  <c:v>2.020846904133435E-3</c:v>
                </c:pt>
                <c:pt idx="11">
                  <c:v>1.2828665297555247E-3</c:v>
                </c:pt>
                <c:pt idx="12">
                  <c:v>8.4009546171150628E-4</c:v>
                </c:pt>
                <c:pt idx="13">
                  <c:v>5.648903882937953E-4</c:v>
                </c:pt>
                <c:pt idx="14">
                  <c:v>3.8775132634862063E-4</c:v>
                </c:pt>
                <c:pt idx="15">
                  <c:v>2.701299766556733E-4</c:v>
                </c:pt>
                <c:pt idx="16">
                  <c:v>1.9108303296251381E-4</c:v>
                </c:pt>
                <c:pt idx="17">
                  <c:v>1.3901018391870466E-4</c:v>
                </c:pt>
                <c:pt idx="18">
                  <c:v>1.063960413100453E-4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335-4AAF-BFC4-EECBA23528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7664"/>
        <c:axId val="190095360"/>
      </c:lineChart>
      <c:catAx>
        <c:axId val="151857664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90095360"/>
        <c:crosses val="autoZero"/>
        <c:auto val="1"/>
        <c:lblAlgn val="ctr"/>
        <c:lblOffset val="100"/>
        <c:tickLblSkip val="2"/>
        <c:noMultiLvlLbl val="0"/>
      </c:catAx>
      <c:valAx>
        <c:axId val="19009536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18576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7"/>
          <c:h val="0.1418267716535427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89" footer="0.30000000000000032" header="0.30000000000000032" l="0.70000000000000062" r="0.70000000000000062" t="0.75000000000000289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Soc/Rec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8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Duration!$H$63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Duration!$H$64:$H$82</c:f>
              <c:numCache>
                <c:formatCode>0.00%</c:formatCode>
                <c:ptCount val="19"/>
                <c:pt idx="0">
                  <c:v>0.25138725703343295</c:v>
                </c:pt>
                <c:pt idx="1">
                  <c:v>0.20200194805096619</c:v>
                </c:pt>
                <c:pt idx="2">
                  <c:v>0.15663381777282434</c:v>
                </c:pt>
                <c:pt idx="3">
                  <c:v>0.1178480876312754</c:v>
                </c:pt>
                <c:pt idx="4">
                  <c:v>8.6370644069165781E-2</c:v>
                </c:pt>
                <c:pt idx="5">
                  <c:v>6.1716943762957777E-2</c:v>
                </c:pt>
                <c:pt idx="6">
                  <c:v>4.2975365079379324E-2</c:v>
                </c:pt>
                <c:pt idx="7">
                  <c:v>2.9167869652020558E-2</c:v>
                </c:pt>
                <c:pt idx="8">
                  <c:v>1.9300642342495313E-2</c:v>
                </c:pt>
                <c:pt idx="9">
                  <c:v>1.241604356939217E-2</c:v>
                </c:pt>
                <c:pt idx="10">
                  <c:v>7.7056701096323774E-3</c:v>
                </c:pt>
                <c:pt idx="11">
                  <c:v>4.5696887426762501E-3</c:v>
                </c:pt>
                <c:pt idx="12">
                  <c:v>2.5783360597768476E-3</c:v>
                </c:pt>
                <c:pt idx="13">
                  <c:v>1.4010074878535808E-3</c:v>
                </c:pt>
                <c:pt idx="14">
                  <c:v>7.6763527221963617E-4</c:v>
                </c:pt>
                <c:pt idx="15">
                  <c:v>4.6500876419900485E-4</c:v>
                </c:pt>
                <c:pt idx="16">
                  <c:v>3.3894245906432671E-4</c:v>
                </c:pt>
                <c:pt idx="17">
                  <c:v>2.8729867030996391E-4</c:v>
                </c:pt>
                <c:pt idx="18">
                  <c:v>2.4971214683952461E-4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5C-4A88-9848-7EFDE37718A7}"/>
            </c:ext>
          </c:extLst>
        </c:ser>
        <c:ser>
          <c:idx val="1"/>
          <c:order val="1"/>
          <c:tx>
            <c:strRef>
              <c:f>Duration!$R$63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Duration!$R$64:$R$82</c:f>
              <c:numCache>
                <c:formatCode>0.00%</c:formatCode>
                <c:ptCount val="19"/>
                <c:pt idx="0">
                  <c:v>0.32166809174930366</c:v>
                </c:pt>
                <c:pt idx="1">
                  <c:v>0.23877682333479355</c:v>
                </c:pt>
                <c:pt idx="2">
                  <c:v>0.16489900905176316</c:v>
                </c:pt>
                <c:pt idx="3">
                  <c:v>0.10616215197520665</c:v>
                </c:pt>
                <c:pt idx="4">
                  <c:v>6.4381544583690761E-2</c:v>
                </c:pt>
                <c:pt idx="5">
                  <c:v>3.7592406020127742E-2</c:v>
                </c:pt>
                <c:pt idx="6">
                  <c:v>2.1857307875119872E-2</c:v>
                </c:pt>
                <c:pt idx="7">
                  <c:v>1.3133414075224028E-2</c:v>
                </c:pt>
                <c:pt idx="8">
                  <c:v>8.3527063397694466E-3</c:v>
                </c:pt>
                <c:pt idx="9">
                  <c:v>5.6242403601683214E-3</c:v>
                </c:pt>
                <c:pt idx="10">
                  <c:v>3.948027586614786E-3</c:v>
                </c:pt>
                <c:pt idx="11">
                  <c:v>2.842889477452662E-3</c:v>
                </c:pt>
                <c:pt idx="12">
                  <c:v>2.0794111777334176E-3</c:v>
                </c:pt>
                <c:pt idx="13">
                  <c:v>1.5375911280153037E-3</c:v>
                </c:pt>
                <c:pt idx="14">
                  <c:v>1.1460996312597908E-3</c:v>
                </c:pt>
                <c:pt idx="15">
                  <c:v>8.5999850627505503E-4</c:v>
                </c:pt>
                <c:pt idx="16">
                  <c:v>6.5098603822131141E-4</c:v>
                </c:pt>
                <c:pt idx="17">
                  <c:v>5.003104626187582E-4</c:v>
                </c:pt>
                <c:pt idx="18">
                  <c:v>3.9359869828347401E-4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15C-4A88-9848-7EFDE37718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816512"/>
        <c:axId val="190097664"/>
      </c:lineChart>
      <c:catAx>
        <c:axId val="154816512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90097664"/>
        <c:crosses val="autoZero"/>
        <c:auto val="1"/>
        <c:lblAlgn val="ctr"/>
        <c:lblOffset val="100"/>
        <c:tickLblSkip val="2"/>
        <c:noMultiLvlLbl val="0"/>
      </c:catAx>
      <c:valAx>
        <c:axId val="1900976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4816512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95"/>
          <c:h val="0.14182677165354265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311" footer="0.30000000000000032" header="0.30000000000000032" l="0.70000000000000062" r="0.70000000000000062" t="0.75000000000000311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Stop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Arrival_Time_All!$B$66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Arrival_Time_All!$B$67:$B$117</c:f>
              <c:numCache>
                <c:formatCode>0.00%</c:formatCode>
                <c:ptCount val="51"/>
                <c:pt idx="0">
                  <c:v>1.6631759637641388E-4</c:v>
                </c:pt>
                <c:pt idx="1">
                  <c:v>1.8660785316786273E-3</c:v>
                </c:pt>
                <c:pt idx="2">
                  <c:v>4.2230089703657213E-3</c:v>
                </c:pt>
                <c:pt idx="3">
                  <c:v>7.9352882046284726E-3</c:v>
                </c:pt>
                <c:pt idx="4">
                  <c:v>1.3692282887083055E-2</c:v>
                </c:pt>
                <c:pt idx="5">
                  <c:v>2.2000893826728117E-2</c:v>
                </c:pt>
                <c:pt idx="6">
                  <c:v>3.2913285870325847E-2</c:v>
                </c:pt>
                <c:pt idx="7">
                  <c:v>4.5723417815644186E-2</c:v>
                </c:pt>
                <c:pt idx="8">
                  <c:v>5.8783019921449575E-2</c:v>
                </c:pt>
                <c:pt idx="9">
                  <c:v>6.9691231381667162E-2</c:v>
                </c:pt>
                <c:pt idx="10">
                  <c:v>7.6028538066276088E-2</c:v>
                </c:pt>
                <c:pt idx="11">
                  <c:v>7.6403047611357813E-2</c:v>
                </c:pt>
                <c:pt idx="12">
                  <c:v>7.1163764150344616E-2</c:v>
                </c:pt>
                <c:pt idx="13">
                  <c:v>6.2237359522991927E-2</c:v>
                </c:pt>
                <c:pt idx="14">
                  <c:v>5.2194640382155225E-2</c:v>
                </c:pt>
                <c:pt idx="15">
                  <c:v>4.3215856271583947E-2</c:v>
                </c:pt>
                <c:pt idx="16">
                  <c:v>3.6542563005206731E-2</c:v>
                </c:pt>
                <c:pt idx="17">
                  <c:v>3.2468901907190588E-2</c:v>
                </c:pt>
                <c:pt idx="18">
                  <c:v>3.0570231352437593E-2</c:v>
                </c:pt>
                <c:pt idx="19">
                  <c:v>2.9963142304625684E-2</c:v>
                </c:pt>
                <c:pt idx="20">
                  <c:v>2.9618121578194892E-2</c:v>
                </c:pt>
                <c:pt idx="21">
                  <c:v>2.8732820327768697E-2</c:v>
                </c:pt>
                <c:pt idx="22">
                  <c:v>2.6995678640466012E-2</c:v>
                </c:pt>
                <c:pt idx="23">
                  <c:v>2.456170099986215E-2</c:v>
                </c:pt>
                <c:pt idx="24">
                  <c:v>2.1792231683862205E-2</c:v>
                </c:pt>
                <c:pt idx="25">
                  <c:v>1.8994562993410884E-2</c:v>
                </c:pt>
                <c:pt idx="26">
                  <c:v>1.6326905656735887E-2</c:v>
                </c:pt>
                <c:pt idx="27">
                  <c:v>1.3840783067158377E-2</c:v>
                </c:pt>
                <c:pt idx="28">
                  <c:v>1.1548237086892732E-2</c:v>
                </c:pt>
                <c:pt idx="29">
                  <c:v>9.45505632762925E-3</c:v>
                </c:pt>
                <c:pt idx="30">
                  <c:v>7.5683327312774957E-3</c:v>
                </c:pt>
                <c:pt idx="31">
                  <c:v>5.8979734010904785E-3</c:v>
                </c:pt>
                <c:pt idx="32">
                  <c:v>4.4576466140416474E-3</c:v>
                </c:pt>
                <c:pt idx="33">
                  <c:v>3.2646194135386979E-3</c:v>
                </c:pt>
                <c:pt idx="34">
                  <c:v>2.3360494586137153E-3</c:v>
                </c:pt>
                <c:pt idx="35">
                  <c:v>1.6765587864288258E-3</c:v>
                </c:pt>
                <c:pt idx="36">
                  <c:v>1.25889513590577E-3</c:v>
                </c:pt>
                <c:pt idx="37">
                  <c:v>1.0148453760454434E-3</c:v>
                </c:pt>
                <c:pt idx="38">
                  <c:v>8.5402203352843964E-4</c:v>
                </c:pt>
                <c:pt idx="39">
                  <c:v>7.0318133367503778E-4</c:v>
                </c:pt>
                <c:pt idx="40">
                  <c:v>5.350348664506908E-4</c:v>
                </c:pt>
                <c:pt idx="41">
                  <c:v>3.6407910968966296E-4</c:v>
                </c:pt>
                <c:pt idx="42">
                  <c:v>2.1854709093370797E-4</c:v>
                </c:pt>
                <c:pt idx="43">
                  <c:v>1.1532819567527331E-4</c:v>
                </c:pt>
                <c:pt idx="44">
                  <c:v>5.3498549079529093E-5</c:v>
                </c:pt>
                <c:pt idx="45">
                  <c:v>2.1759952334897719E-5</c:v>
                </c:pt>
                <c:pt idx="46">
                  <c:v>7.6815314470340578E-6</c:v>
                </c:pt>
                <c:pt idx="47">
                  <c:v>2.3036483598343999E-6</c:v>
                </c:pt>
                <c:pt idx="48">
                  <c:v>5.670842234761784E-7</c:v>
                </c:pt>
                <c:pt idx="49">
                  <c:v>1.0774556177598108E-7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E6-4FBB-BA8B-F170F0124D16}"/>
            </c:ext>
          </c:extLst>
        </c:ser>
        <c:ser>
          <c:idx val="1"/>
          <c:order val="1"/>
          <c:tx>
            <c:strRef>
              <c:f>Arrival_Time_All!$L$66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Arrival_Time_All!$L$67:$L$117</c:f>
              <c:numCache>
                <c:formatCode>0.00%</c:formatCode>
                <c:ptCount val="51"/>
                <c:pt idx="0">
                  <c:v>1.1480587015994029E-3</c:v>
                </c:pt>
                <c:pt idx="1">
                  <c:v>1.6186474111499611E-3</c:v>
                </c:pt>
                <c:pt idx="2">
                  <c:v>2.4536841916846541E-3</c:v>
                </c:pt>
                <c:pt idx="3">
                  <c:v>4.2136818361268695E-3</c:v>
                </c:pt>
                <c:pt idx="4">
                  <c:v>7.7182594114375931E-3</c:v>
                </c:pt>
                <c:pt idx="5">
                  <c:v>1.3845753991121753E-2</c:v>
                </c:pt>
                <c:pt idx="6">
                  <c:v>2.304492058836485E-2</c:v>
                </c:pt>
                <c:pt idx="7">
                  <c:v>3.4768600042921316E-2</c:v>
                </c:pt>
                <c:pt idx="8">
                  <c:v>4.723540859035763E-2</c:v>
                </c:pt>
                <c:pt idx="9">
                  <c:v>5.784657833628834E-2</c:v>
                </c:pt>
                <c:pt idx="10">
                  <c:v>6.4186888251062016E-2</c:v>
                </c:pt>
                <c:pt idx="11">
                  <c:v>6.5090992749024468E-2</c:v>
                </c:pt>
                <c:pt idx="12">
                  <c:v>6.1140951013050823E-2</c:v>
                </c:pt>
                <c:pt idx="13">
                  <c:v>5.4306331713525016E-2</c:v>
                </c:pt>
                <c:pt idx="14">
                  <c:v>4.6981717851730741E-2</c:v>
                </c:pt>
                <c:pt idx="15">
                  <c:v>4.1005599886356069E-2</c:v>
                </c:pt>
                <c:pt idx="16">
                  <c:v>3.7154563507926591E-2</c:v>
                </c:pt>
                <c:pt idx="17">
                  <c:v>3.5228101828358123E-2</c:v>
                </c:pt>
                <c:pt idx="18">
                  <c:v>3.4485099089786461E-2</c:v>
                </c:pt>
                <c:pt idx="19">
                  <c:v>3.4095209637074408E-2</c:v>
                </c:pt>
                <c:pt idx="20">
                  <c:v>3.3414818891005525E-2</c:v>
                </c:pt>
                <c:pt idx="21">
                  <c:v>3.2091343603026776E-2</c:v>
                </c:pt>
                <c:pt idx="22">
                  <c:v>3.0075089556507738E-2</c:v>
                </c:pt>
                <c:pt idx="23">
                  <c:v>2.7579029563933277E-2</c:v>
                </c:pt>
                <c:pt idx="24">
                  <c:v>2.498130735775483E-2</c:v>
                </c:pt>
                <c:pt idx="25">
                  <c:v>2.2674796776122816E-2</c:v>
                </c:pt>
                <c:pt idx="26">
                  <c:v>2.0907142870946572E-2</c:v>
                </c:pt>
                <c:pt idx="27">
                  <c:v>1.9677190771572598E-2</c:v>
                </c:pt>
                <c:pt idx="28">
                  <c:v>1.874058121996652E-2</c:v>
                </c:pt>
                <c:pt idx="29">
                  <c:v>1.7730460766996387E-2</c:v>
                </c:pt>
                <c:pt idx="30">
                  <c:v>1.6337362508502144E-2</c:v>
                </c:pt>
                <c:pt idx="31">
                  <c:v>1.4454000165733533E-2</c:v>
                </c:pt>
                <c:pt idx="32">
                  <c:v>1.2209065676781285E-2</c:v>
                </c:pt>
                <c:pt idx="33">
                  <c:v>9.8814159564527253E-3</c:v>
                </c:pt>
                <c:pt idx="34">
                  <c:v>7.7558730544470727E-3</c:v>
                </c:pt>
                <c:pt idx="35">
                  <c:v>6.0068204461438575E-3</c:v>
                </c:pt>
                <c:pt idx="36">
                  <c:v>4.6635067777923882E-3</c:v>
                </c:pt>
                <c:pt idx="37">
                  <c:v>3.6514505541152455E-3</c:v>
                </c:pt>
                <c:pt idx="38">
                  <c:v>2.8632817890090925E-3</c:v>
                </c:pt>
                <c:pt idx="39">
                  <c:v>2.2127417457126924E-3</c:v>
                </c:pt>
                <c:pt idx="40">
                  <c:v>1.6538085118589501E-3</c:v>
                </c:pt>
                <c:pt idx="41">
                  <c:v>1.1736920043541772E-3</c:v>
                </c:pt>
                <c:pt idx="42">
                  <c:v>7.7679403092202268E-4</c:v>
                </c:pt>
                <c:pt idx="43">
                  <c:v>4.7045772242071263E-4</c:v>
                </c:pt>
                <c:pt idx="44">
                  <c:v>2.5543661041900945E-4</c:v>
                </c:pt>
                <c:pt idx="45">
                  <c:v>1.2159816911136742E-4</c:v>
                </c:pt>
                <c:pt idx="46">
                  <c:v>4.9536325757331085E-5</c:v>
                </c:pt>
                <c:pt idx="47">
                  <c:v>1.6803545785195679E-5</c:v>
                </c:pt>
                <c:pt idx="48">
                  <c:v>4.5913447987351836E-6</c:v>
                </c:pt>
                <c:pt idx="49">
                  <c:v>9.5305310233901091E-7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DE6-4FBB-BA8B-F170F0124D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6640"/>
        <c:axId val="190099968"/>
      </c:lineChart>
      <c:catAx>
        <c:axId val="15185664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90099968"/>
        <c:crosses val="autoZero"/>
        <c:auto val="1"/>
        <c:lblAlgn val="ctr"/>
        <c:lblOffset val="100"/>
        <c:tickLblSkip val="2"/>
        <c:noMultiLvlLbl val="0"/>
      </c:catAx>
      <c:valAx>
        <c:axId val="190099968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518566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2576771653543337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78" footer="0.30000000000000032" header="0.30000000000000032" l="0.70000000000000062" r="0.70000000000000062" t="0.75000000000000178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Stop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Arrival_Time_All!$C$66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Arrival_Time_All!$C$67:$C$117</c:f>
              <c:numCache>
                <c:formatCode>0.00%</c:formatCode>
                <c:ptCount val="51"/>
                <c:pt idx="0">
                  <c:v>6.333032354408343E-5</c:v>
                </c:pt>
                <c:pt idx="1">
                  <c:v>1.8034149613801054E-4</c:v>
                </c:pt>
                <c:pt idx="2">
                  <c:v>4.6510746010717998E-4</c:v>
                </c:pt>
                <c:pt idx="3">
                  <c:v>1.3824308700412535E-3</c:v>
                </c:pt>
                <c:pt idx="4">
                  <c:v>4.0479938815963061E-3</c:v>
                </c:pt>
                <c:pt idx="5">
                  <c:v>1.0432767035085843E-2</c:v>
                </c:pt>
                <c:pt idx="6">
                  <c:v>2.2916163727018463E-2</c:v>
                </c:pt>
                <c:pt idx="7">
                  <c:v>4.2841728525055606E-2</c:v>
                </c:pt>
                <c:pt idx="8">
                  <c:v>6.8614233685110396E-2</c:v>
                </c:pt>
                <c:pt idx="9">
                  <c:v>9.4859761200474055E-2</c:v>
                </c:pt>
                <c:pt idx="10">
                  <c:v>0.11398516710214553</c:v>
                </c:pt>
                <c:pt idx="11">
                  <c:v>0.11974699231720452</c:v>
                </c:pt>
                <c:pt idx="12">
                  <c:v>0.11058467244533338</c:v>
                </c:pt>
                <c:pt idx="13">
                  <c:v>9.0370411459516825E-2</c:v>
                </c:pt>
                <c:pt idx="14">
                  <c:v>6.6118938789752321E-2</c:v>
                </c:pt>
                <c:pt idx="15">
                  <c:v>4.4391857131503044E-2</c:v>
                </c:pt>
                <c:pt idx="16">
                  <c:v>2.8764666408712395E-2</c:v>
                </c:pt>
                <c:pt idx="17">
                  <c:v>1.9513241903276132E-2</c:v>
                </c:pt>
                <c:pt idx="18">
                  <c:v>1.4938721151528439E-2</c:v>
                </c:pt>
                <c:pt idx="19">
                  <c:v>1.2961981519810321E-2</c:v>
                </c:pt>
                <c:pt idx="20">
                  <c:v>1.2063963837916575E-2</c:v>
                </c:pt>
                <c:pt idx="21">
                  <c:v>1.1483695473774463E-2</c:v>
                </c:pt>
                <c:pt idx="22">
                  <c:v>1.1004606466419009E-2</c:v>
                </c:pt>
                <c:pt idx="23">
                  <c:v>1.0628122441390574E-2</c:v>
                </c:pt>
                <c:pt idx="24">
                  <c:v>1.0319608243239806E-2</c:v>
                </c:pt>
                <c:pt idx="25">
                  <c:v>9.9442582862326861E-3</c:v>
                </c:pt>
                <c:pt idx="26">
                  <c:v>9.3797549037313542E-3</c:v>
                </c:pt>
                <c:pt idx="27">
                  <c:v>8.6349482344407983E-3</c:v>
                </c:pt>
                <c:pt idx="28">
                  <c:v>7.8190242781663328E-3</c:v>
                </c:pt>
                <c:pt idx="29">
                  <c:v>7.0052628930589757E-3</c:v>
                </c:pt>
                <c:pt idx="30">
                  <c:v>6.1627883610650466E-3</c:v>
                </c:pt>
                <c:pt idx="31">
                  <c:v>5.2269295230158788E-3</c:v>
                </c:pt>
                <c:pt idx="32">
                  <c:v>4.2035530667265137E-3</c:v>
                </c:pt>
                <c:pt idx="33">
                  <c:v>3.1855429246848508E-3</c:v>
                </c:pt>
                <c:pt idx="34">
                  <c:v>2.2854908706580143E-3</c:v>
                </c:pt>
                <c:pt idx="35">
                  <c:v>1.5730727176341895E-3</c:v>
                </c:pt>
                <c:pt idx="36">
                  <c:v>1.070643637138364E-3</c:v>
                </c:pt>
                <c:pt idx="37">
                  <c:v>7.8670068207994037E-4</c:v>
                </c:pt>
                <c:pt idx="38">
                  <c:v>7.3594194245467999E-4</c:v>
                </c:pt>
                <c:pt idx="39">
                  <c:v>9.1410249214326513E-4</c:v>
                </c:pt>
                <c:pt idx="40">
                  <c:v>1.2450492495968825E-3</c:v>
                </c:pt>
                <c:pt idx="41">
                  <c:v>1.5637410675833855E-3</c:v>
                </c:pt>
                <c:pt idx="42">
                  <c:v>1.6849272284897507E-3</c:v>
                </c:pt>
                <c:pt idx="43">
                  <c:v>1.5201832474218409E-3</c:v>
                </c:pt>
                <c:pt idx="44">
                  <c:v>1.1367118539165949E-3</c:v>
                </c:pt>
                <c:pt idx="45">
                  <c:v>6.9858377814424253E-4</c:v>
                </c:pt>
                <c:pt idx="46">
                  <c:v>3.4905273097605711E-4</c:v>
                </c:pt>
                <c:pt idx="47">
                  <c:v>1.3956281247706764E-4</c:v>
                </c:pt>
                <c:pt idx="48">
                  <c:v>4.3591569558879968E-5</c:v>
                </c:pt>
                <c:pt idx="49">
                  <c:v>1.007675290946594E-5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3D-4D86-B10C-D18D9E12F67F}"/>
            </c:ext>
          </c:extLst>
        </c:ser>
        <c:ser>
          <c:idx val="1"/>
          <c:order val="1"/>
          <c:tx>
            <c:strRef>
              <c:f>Arrival_Time_All!$M$66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Arrival_Time_All!$M$67:$M$117</c:f>
              <c:numCache>
                <c:formatCode>0.00%</c:formatCode>
                <c:ptCount val="51"/>
                <c:pt idx="0">
                  <c:v>5.1482415898730439E-5</c:v>
                </c:pt>
                <c:pt idx="1">
                  <c:v>4.4386553143569519E-4</c:v>
                </c:pt>
                <c:pt idx="2">
                  <c:v>1.1156844088140395E-3</c:v>
                </c:pt>
                <c:pt idx="3">
                  <c:v>2.6327512516905087E-3</c:v>
                </c:pt>
                <c:pt idx="4">
                  <c:v>6.0790658462867011E-3</c:v>
                </c:pt>
                <c:pt idx="5">
                  <c:v>1.3000726284160227E-2</c:v>
                </c:pt>
                <c:pt idx="6">
                  <c:v>2.4740631517144882E-2</c:v>
                </c:pt>
                <c:pt idx="7">
                  <c:v>4.1217851360145941E-2</c:v>
                </c:pt>
                <c:pt idx="8">
                  <c:v>5.9970569028963576E-2</c:v>
                </c:pt>
                <c:pt idx="9">
                  <c:v>7.6582346555394962E-2</c:v>
                </c:pt>
                <c:pt idx="10">
                  <c:v>8.6679269726884861E-2</c:v>
                </c:pt>
                <c:pt idx="11">
                  <c:v>8.8179901854118684E-2</c:v>
                </c:pt>
                <c:pt idx="12">
                  <c:v>8.2092538834282053E-2</c:v>
                </c:pt>
                <c:pt idx="13">
                  <c:v>7.1445624182056286E-2</c:v>
                </c:pt>
                <c:pt idx="14">
                  <c:v>5.9473941611921828E-2</c:v>
                </c:pt>
                <c:pt idx="15">
                  <c:v>4.8403056990227025E-2</c:v>
                </c:pt>
                <c:pt idx="16">
                  <c:v>3.9240993216670274E-2</c:v>
                </c:pt>
                <c:pt idx="17">
                  <c:v>3.2152196107903624E-2</c:v>
                </c:pt>
                <c:pt idx="18">
                  <c:v>2.6893312368087792E-2</c:v>
                </c:pt>
                <c:pt idx="19">
                  <c:v>2.3097037027351872E-2</c:v>
                </c:pt>
                <c:pt idx="20">
                  <c:v>2.0417828088440136E-2</c:v>
                </c:pt>
                <c:pt idx="21">
                  <c:v>1.859571430369477E-2</c:v>
                </c:pt>
                <c:pt idx="22">
                  <c:v>1.7462725770382364E-2</c:v>
                </c:pt>
                <c:pt idx="23">
                  <c:v>1.6896102654143298E-2</c:v>
                </c:pt>
                <c:pt idx="24">
                  <c:v>1.673852821528771E-2</c:v>
                </c:pt>
                <c:pt idx="25">
                  <c:v>1.674285776636527E-2</c:v>
                </c:pt>
                <c:pt idx="26">
                  <c:v>1.6601711355855409E-2</c:v>
                </c:pt>
                <c:pt idx="27">
                  <c:v>1.6054833219679973E-2</c:v>
                </c:pt>
                <c:pt idx="28">
                  <c:v>1.4987988666568442E-2</c:v>
                </c:pt>
                <c:pt idx="29">
                  <c:v>1.3444803194657773E-2</c:v>
                </c:pt>
                <c:pt idx="30">
                  <c:v>1.1564364328187355E-2</c:v>
                </c:pt>
                <c:pt idx="31">
                  <c:v>9.5193122952641571E-3</c:v>
                </c:pt>
                <c:pt idx="32">
                  <c:v>7.492971405046879E-3</c:v>
                </c:pt>
                <c:pt idx="33">
                  <c:v>5.6653108461662948E-3</c:v>
                </c:pt>
                <c:pt idx="34">
                  <c:v>4.1723816391703392E-3</c:v>
                </c:pt>
                <c:pt idx="35">
                  <c:v>3.0576701969090097E-3</c:v>
                </c:pt>
                <c:pt idx="36">
                  <c:v>2.2641946838463972E-3</c:v>
                </c:pt>
                <c:pt idx="37">
                  <c:v>1.6828117737982186E-3</c:v>
                </c:pt>
                <c:pt idx="38">
                  <c:v>1.219475216070698E-3</c:v>
                </c:pt>
                <c:pt idx="39">
                  <c:v>8.3198170184888899E-4</c:v>
                </c:pt>
                <c:pt idx="40">
                  <c:v>5.2051863836087553E-4</c:v>
                </c:pt>
                <c:pt idx="41">
                  <c:v>2.9512505309944067E-4</c:v>
                </c:pt>
                <c:pt idx="42">
                  <c:v>1.5213172008704664E-4</c:v>
                </c:pt>
                <c:pt idx="43">
                  <c:v>7.2394763899184277E-5</c:v>
                </c:pt>
                <c:pt idx="44">
                  <c:v>3.2341478510729427E-5</c:v>
                </c:pt>
                <c:pt idx="45">
                  <c:v>1.3566698804406871E-5</c:v>
                </c:pt>
                <c:pt idx="46">
                  <c:v>5.1982480201420955E-6</c:v>
                </c:pt>
                <c:pt idx="47">
                  <c:v>1.7337071124246917E-6</c:v>
                </c:pt>
                <c:pt idx="48">
                  <c:v>4.7619289554316157E-7</c:v>
                </c:pt>
                <c:pt idx="49">
                  <c:v>1.0005838727168947E-7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3D-4D86-B10C-D18D9E12F6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666432"/>
        <c:axId val="190102272"/>
      </c:lineChart>
      <c:catAx>
        <c:axId val="15566643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90102272"/>
        <c:crosses val="autoZero"/>
        <c:auto val="1"/>
        <c:lblAlgn val="ctr"/>
        <c:lblOffset val="100"/>
        <c:tickLblSkip val="2"/>
        <c:noMultiLvlLbl val="0"/>
      </c:catAx>
      <c:valAx>
        <c:axId val="190102272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5566643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Arrival_Time_All!$D$66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Arrival_Time_All!$D$67:$D$117</c:f>
              <c:numCache>
                <c:formatCode>0.00%</c:formatCode>
                <c:ptCount val="51"/>
                <c:pt idx="0">
                  <c:v>4.0677997512475239E-4</c:v>
                </c:pt>
                <c:pt idx="1">
                  <c:v>6.5829916897172517E-4</c:v>
                </c:pt>
                <c:pt idx="2">
                  <c:v>1.0137673631797964E-3</c:v>
                </c:pt>
                <c:pt idx="3">
                  <c:v>1.669878572722485E-3</c:v>
                </c:pt>
                <c:pt idx="4">
                  <c:v>3.0349419546575307E-3</c:v>
                </c:pt>
                <c:pt idx="5">
                  <c:v>5.8008511470198903E-3</c:v>
                </c:pt>
                <c:pt idx="6">
                  <c:v>1.0802371130545586E-2</c:v>
                </c:pt>
                <c:pt idx="7">
                  <c:v>1.8557683542911603E-2</c:v>
                </c:pt>
                <c:pt idx="8">
                  <c:v>2.8640477632430508E-2</c:v>
                </c:pt>
                <c:pt idx="9">
                  <c:v>3.9316381804636605E-2</c:v>
                </c:pt>
                <c:pt idx="10">
                  <c:v>4.7888759851251017E-2</c:v>
                </c:pt>
                <c:pt idx="11">
                  <c:v>5.1796673621828472E-2</c:v>
                </c:pt>
                <c:pt idx="12">
                  <c:v>4.9914294338397037E-2</c:v>
                </c:pt>
                <c:pt idx="13">
                  <c:v>4.3206824511345235E-2</c:v>
                </c:pt>
                <c:pt idx="14">
                  <c:v>3.4247763360673436E-2</c:v>
                </c:pt>
                <c:pt idx="15">
                  <c:v>2.589844112324698E-2</c:v>
                </c:pt>
                <c:pt idx="16">
                  <c:v>2.0035398760403222E-2</c:v>
                </c:pt>
                <c:pt idx="17">
                  <c:v>1.7084349398551323E-2</c:v>
                </c:pt>
                <c:pt idx="18">
                  <c:v>1.6452849378966683E-2</c:v>
                </c:pt>
                <c:pt idx="19">
                  <c:v>1.7365534654740868E-2</c:v>
                </c:pt>
                <c:pt idx="20">
                  <c:v>1.9489320256255299E-2</c:v>
                </c:pt>
                <c:pt idx="21">
                  <c:v>2.299672897693681E-2</c:v>
                </c:pt>
                <c:pt idx="22">
                  <c:v>2.8097451730935696E-2</c:v>
                </c:pt>
                <c:pt idx="23">
                  <c:v>3.442415881538774E-2</c:v>
                </c:pt>
                <c:pt idx="24">
                  <c:v>4.0816868156429931E-2</c:v>
                </c:pt>
                <c:pt idx="25">
                  <c:v>4.5773440464100631E-2</c:v>
                </c:pt>
                <c:pt idx="26">
                  <c:v>4.8222358599283914E-2</c:v>
                </c:pt>
                <c:pt idx="27">
                  <c:v>4.7945236164218544E-2</c:v>
                </c:pt>
                <c:pt idx="28">
                  <c:v>4.5370567648947618E-2</c:v>
                </c:pt>
                <c:pt idx="29">
                  <c:v>4.1121869182993251E-2</c:v>
                </c:pt>
                <c:pt idx="30">
                  <c:v>3.5812820520543721E-2</c:v>
                </c:pt>
                <c:pt idx="31">
                  <c:v>3.0102721319089417E-2</c:v>
                </c:pt>
                <c:pt idx="32">
                  <c:v>2.4690768883960816E-2</c:v>
                </c:pt>
                <c:pt idx="33">
                  <c:v>2.0121272882933826E-2</c:v>
                </c:pt>
                <c:pt idx="34">
                  <c:v>1.6591755997554053E-2</c:v>
                </c:pt>
                <c:pt idx="35">
                  <c:v>1.3957215807992618E-2</c:v>
                </c:pt>
                <c:pt idx="36">
                  <c:v>1.1901399452534081E-2</c:v>
                </c:pt>
                <c:pt idx="37">
                  <c:v>1.0120825712519085E-2</c:v>
                </c:pt>
                <c:pt idx="38">
                  <c:v>8.4222705525418412E-3</c:v>
                </c:pt>
                <c:pt idx="39">
                  <c:v>6.7364499066677715E-3</c:v>
                </c:pt>
                <c:pt idx="40">
                  <c:v>5.092383373399326E-3</c:v>
                </c:pt>
                <c:pt idx="41">
                  <c:v>3.5799423449403315E-3</c:v>
                </c:pt>
                <c:pt idx="42">
                  <c:v>2.3043051409996061E-3</c:v>
                </c:pt>
                <c:pt idx="43">
                  <c:v>1.3380849722386208E-3</c:v>
                </c:pt>
                <c:pt idx="44">
                  <c:v>6.9093552365737511E-4</c:v>
                </c:pt>
                <c:pt idx="45">
                  <c:v>3.1245067629783591E-4</c:v>
                </c:pt>
                <c:pt idx="46">
                  <c:v>1.2154802733250373E-4</c:v>
                </c:pt>
                <c:pt idx="47">
                  <c:v>3.9756406253796327E-5</c:v>
                </c:pt>
                <c:pt idx="48">
                  <c:v>1.0599033367948868E-5</c:v>
                </c:pt>
                <c:pt idx="49">
                  <c:v>2.1721780812370876E-6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81-4122-83BC-3D86C2DA0E7C}"/>
            </c:ext>
          </c:extLst>
        </c:ser>
        <c:ser>
          <c:idx val="1"/>
          <c:order val="1"/>
          <c:tx>
            <c:strRef>
              <c:f>Arrival_Time_All!$N$66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Arrival_Time_All!$N$67:$N$117</c:f>
              <c:numCache>
                <c:formatCode>0.00%</c:formatCode>
                <c:ptCount val="51"/>
                <c:pt idx="0">
                  <c:v>3.3579438829747705E-3</c:v>
                </c:pt>
                <c:pt idx="1">
                  <c:v>5.5039305897019138E-3</c:v>
                </c:pt>
                <c:pt idx="2">
                  <c:v>7.7773931102646295E-3</c:v>
                </c:pt>
                <c:pt idx="3">
                  <c:v>1.0489751259693265E-2</c:v>
                </c:pt>
                <c:pt idx="4">
                  <c:v>1.4135727687832543E-2</c:v>
                </c:pt>
                <c:pt idx="5">
                  <c:v>1.9133548586352196E-2</c:v>
                </c:pt>
                <c:pt idx="6">
                  <c:v>2.5434201532263414E-2</c:v>
                </c:pt>
                <c:pt idx="7">
                  <c:v>3.229349907049997E-2</c:v>
                </c:pt>
                <c:pt idx="8">
                  <c:v>3.8446790874667187E-2</c:v>
                </c:pt>
                <c:pt idx="9">
                  <c:v>4.26467363758238E-2</c:v>
                </c:pt>
                <c:pt idx="10">
                  <c:v>4.4250572200719505E-2</c:v>
                </c:pt>
                <c:pt idx="11">
                  <c:v>4.3500128347500631E-2</c:v>
                </c:pt>
                <c:pt idx="12">
                  <c:v>4.132952419449562E-2</c:v>
                </c:pt>
                <c:pt idx="13">
                  <c:v>3.8816750414811051E-2</c:v>
                </c:pt>
                <c:pt idx="14">
                  <c:v>3.6619847448586533E-2</c:v>
                </c:pt>
                <c:pt idx="15">
                  <c:v>3.4766284913864527E-2</c:v>
                </c:pt>
                <c:pt idx="16">
                  <c:v>3.2911640383432438E-2</c:v>
                </c:pt>
                <c:pt idx="17">
                  <c:v>3.0806380036905289E-2</c:v>
                </c:pt>
                <c:pt idx="18">
                  <c:v>2.8561739375365856E-2</c:v>
                </c:pt>
                <c:pt idx="19">
                  <c:v>2.6542783829056994E-2</c:v>
                </c:pt>
                <c:pt idx="20">
                  <c:v>2.507418677073522E-2</c:v>
                </c:pt>
                <c:pt idx="21">
                  <c:v>2.425799304679449E-2</c:v>
                </c:pt>
                <c:pt idx="22">
                  <c:v>2.4021772874889186E-2</c:v>
                </c:pt>
                <c:pt idx="23">
                  <c:v>2.428048578793281E-2</c:v>
                </c:pt>
                <c:pt idx="24">
                  <c:v>2.5024807382554068E-2</c:v>
                </c:pt>
                <c:pt idx="25">
                  <c:v>2.6256895057148569E-2</c:v>
                </c:pt>
                <c:pt idx="26">
                  <c:v>2.7846803201022216E-2</c:v>
                </c:pt>
                <c:pt idx="27">
                  <c:v>2.9445648652626229E-2</c:v>
                </c:pt>
                <c:pt idx="28">
                  <c:v>3.0538320102204766E-2</c:v>
                </c:pt>
                <c:pt idx="29">
                  <c:v>3.0618939469019911E-2</c:v>
                </c:pt>
                <c:pt idx="30">
                  <c:v>2.9401073900442127E-2</c:v>
                </c:pt>
                <c:pt idx="31">
                  <c:v>2.6953450326836954E-2</c:v>
                </c:pt>
                <c:pt idx="32">
                  <c:v>2.3678409735846711E-2</c:v>
                </c:pt>
                <c:pt idx="33">
                  <c:v>2.0129331140436017E-2</c:v>
                </c:pt>
                <c:pt idx="34">
                  <c:v>1.6768658441888861E-2</c:v>
                </c:pt>
                <c:pt idx="35">
                  <c:v>1.3817160911585514E-2</c:v>
                </c:pt>
                <c:pt idx="36">
                  <c:v>1.1275029500506259E-2</c:v>
                </c:pt>
                <c:pt idx="37">
                  <c:v>9.0579330577515594E-3</c:v>
                </c:pt>
                <c:pt idx="38">
                  <c:v>7.1152577673482169E-3</c:v>
                </c:pt>
                <c:pt idx="39">
                  <c:v>5.4493879851115357E-3</c:v>
                </c:pt>
                <c:pt idx="40">
                  <c:v>4.0661342487912071E-3</c:v>
                </c:pt>
                <c:pt idx="41">
                  <c:v>2.9385995070561337E-3</c:v>
                </c:pt>
                <c:pt idx="42">
                  <c:v>2.0224916136957257E-3</c:v>
                </c:pt>
                <c:pt idx="43">
                  <c:v>1.2907306582808343E-3</c:v>
                </c:pt>
                <c:pt idx="44">
                  <c:v>7.4092876252672185E-4</c:v>
                </c:pt>
                <c:pt idx="45">
                  <c:v>3.7147237023431383E-4</c:v>
                </c:pt>
                <c:pt idx="46">
                  <c:v>1.582312777478874E-4</c:v>
                </c:pt>
                <c:pt idx="47">
                  <c:v>5.5685593856673221E-5</c:v>
                </c:pt>
                <c:pt idx="48">
                  <c:v>1.5675300858660662E-5</c:v>
                </c:pt>
                <c:pt idx="49">
                  <c:v>3.3314394584900655E-6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81-4122-83BC-3D86C2DA0E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667968"/>
        <c:axId val="123077760"/>
      </c:lineChart>
      <c:catAx>
        <c:axId val="15566796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077760"/>
        <c:crosses val="autoZero"/>
        <c:auto val="1"/>
        <c:lblAlgn val="ctr"/>
        <c:lblOffset val="100"/>
        <c:tickLblSkip val="2"/>
        <c:noMultiLvlLbl val="0"/>
      </c:catAx>
      <c:valAx>
        <c:axId val="123077760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556679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baseline="0" lang="en-US"/>
              <a:t> Business</a:t>
            </a:r>
            <a:r>
              <a:rPr lang="en-US"/>
              <a:t>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Arrival_Time_All!$E$66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Arrival_Time_All!$E$67:$E$117</c:f>
              <c:numCache>
                <c:formatCode>0.00%</c:formatCode>
                <c:ptCount val="51"/>
                <c:pt idx="0">
                  <c:v>0</c:v>
                </c:pt>
                <c:pt idx="1">
                  <c:v>3.1651865388206845E-4</c:v>
                </c:pt>
                <c:pt idx="2">
                  <c:v>6.3750314389690165E-4</c:v>
                </c:pt>
                <c:pt idx="3">
                  <c:v>1.0141307167433296E-3</c:v>
                </c:pt>
                <c:pt idx="4">
                  <c:v>1.5678735946563587E-3</c:v>
                </c:pt>
                <c:pt idx="5">
                  <c:v>2.4806724034157693E-3</c:v>
                </c:pt>
                <c:pt idx="6">
                  <c:v>3.9627718839471233E-3</c:v>
                </c:pt>
                <c:pt idx="7">
                  <c:v>6.2193218274239773E-3</c:v>
                </c:pt>
                <c:pt idx="8">
                  <c:v>9.4180857011006928E-3</c:v>
                </c:pt>
                <c:pt idx="9">
                  <c:v>1.363360213494995E-2</c:v>
                </c:pt>
                <c:pt idx="10">
                  <c:v>1.875591741246696E-2</c:v>
                </c:pt>
                <c:pt idx="11">
                  <c:v>2.4414471467179542E-2</c:v>
                </c:pt>
                <c:pt idx="12">
                  <c:v>3.0012848056152088E-2</c:v>
                </c:pt>
                <c:pt idx="13">
                  <c:v>3.4913665264179168E-2</c:v>
                </c:pt>
                <c:pt idx="14">
                  <c:v>3.8672815001960584E-2</c:v>
                </c:pt>
                <c:pt idx="15">
                  <c:v>4.1150250385389907E-2</c:v>
                </c:pt>
                <c:pt idx="16">
                  <c:v>4.2440517036549039E-2</c:v>
                </c:pt>
                <c:pt idx="17">
                  <c:v>4.2754477824573187E-2</c:v>
                </c:pt>
                <c:pt idx="18">
                  <c:v>4.2393732988658027E-2</c:v>
                </c:pt>
                <c:pt idx="19">
                  <c:v>4.1772093508498052E-2</c:v>
                </c:pt>
                <c:pt idx="20">
                  <c:v>4.133541545287675E-2</c:v>
                </c:pt>
                <c:pt idx="21">
                  <c:v>4.1373425567752073E-2</c:v>
                </c:pt>
                <c:pt idx="22">
                  <c:v>4.1889052027008461E-2</c:v>
                </c:pt>
                <c:pt idx="23">
                  <c:v>4.264104834987429E-2</c:v>
                </c:pt>
                <c:pt idx="24">
                  <c:v>4.3292791323763492E-2</c:v>
                </c:pt>
                <c:pt idx="25">
                  <c:v>4.3537456755281312E-2</c:v>
                </c:pt>
                <c:pt idx="26">
                  <c:v>4.3164524773658397E-2</c:v>
                </c:pt>
                <c:pt idx="27">
                  <c:v>4.2103908813684254E-2</c:v>
                </c:pt>
                <c:pt idx="28">
                  <c:v>4.0435480033742185E-2</c:v>
                </c:pt>
                <c:pt idx="29">
                  <c:v>3.8302655323439995E-2</c:v>
                </c:pt>
                <c:pt idx="30">
                  <c:v>3.5751452290373291E-2</c:v>
                </c:pt>
                <c:pt idx="31">
                  <c:v>3.2648293230274225E-2</c:v>
                </c:pt>
                <c:pt idx="32">
                  <c:v>2.8803645434392976E-2</c:v>
                </c:pt>
                <c:pt idx="33">
                  <c:v>2.4219935317564095E-2</c:v>
                </c:pt>
                <c:pt idx="34">
                  <c:v>1.9228253412398356E-2</c:v>
                </c:pt>
                <c:pt idx="35">
                  <c:v>1.437727457509067E-2</c:v>
                </c:pt>
                <c:pt idx="36">
                  <c:v>1.017700303243549E-2</c:v>
                </c:pt>
                <c:pt idx="37">
                  <c:v>6.9057553329677016E-3</c:v>
                </c:pt>
                <c:pt idx="38">
                  <c:v>4.5807748818290752E-3</c:v>
                </c:pt>
                <c:pt idx="39">
                  <c:v>3.0418880766800273E-3</c:v>
                </c:pt>
                <c:pt idx="40">
                  <c:v>2.0582836929178201E-3</c:v>
                </c:pt>
                <c:pt idx="41">
                  <c:v>1.4129922829125838E-3</c:v>
                </c:pt>
                <c:pt idx="42">
                  <c:v>9.5389472019517341E-4</c:v>
                </c:pt>
                <c:pt idx="43">
                  <c:v>6.0571836313060695E-4</c:v>
                </c:pt>
                <c:pt idx="44">
                  <c:v>3.469276948784584E-4</c:v>
                </c:pt>
                <c:pt idx="45">
                  <c:v>1.732543973872034E-4</c:v>
                </c:pt>
                <c:pt idx="46">
                  <c:v>7.3345258883935743E-5</c:v>
                </c:pt>
                <c:pt idx="47">
                  <c:v>2.5616910878130013E-5</c:v>
                </c:pt>
                <c:pt idx="48">
                  <c:v>7.1540290024713361E-6</c:v>
                </c:pt>
                <c:pt idx="49">
                  <c:v>1.509639103826886E-6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44-482F-9EF4-DE37F89DF77A}"/>
            </c:ext>
          </c:extLst>
        </c:ser>
        <c:ser>
          <c:idx val="1"/>
          <c:order val="1"/>
          <c:tx>
            <c:strRef>
              <c:f>Arrival_Time_All!$O$66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Arrival_Time_All!$O$67:$O$117</c:f>
              <c:numCache>
                <c:formatCode>0.00%</c:formatCode>
                <c:ptCount val="51"/>
                <c:pt idx="0">
                  <c:v>8.0235893219153184E-4</c:v>
                </c:pt>
                <c:pt idx="1">
                  <c:v>1.3119446533370559E-3</c:v>
                </c:pt>
                <c:pt idx="2">
                  <c:v>1.9341607613987065E-3</c:v>
                </c:pt>
                <c:pt idx="3">
                  <c:v>2.8581186021366619E-3</c:v>
                </c:pt>
                <c:pt idx="4">
                  <c:v>4.3746398354469829E-3</c:v>
                </c:pt>
                <c:pt idx="5">
                  <c:v>6.8106487149044211E-3</c:v>
                </c:pt>
                <c:pt idx="6">
                  <c:v>1.037379733963407E-2</c:v>
                </c:pt>
                <c:pt idx="7">
                  <c:v>1.4974158427667177E-2</c:v>
                </c:pt>
                <c:pt idx="8">
                  <c:v>2.0139812090705037E-2</c:v>
                </c:pt>
                <c:pt idx="9">
                  <c:v>2.5129819886943891E-2</c:v>
                </c:pt>
                <c:pt idx="10">
                  <c:v>2.9249789316175546E-2</c:v>
                </c:pt>
                <c:pt idx="11">
                  <c:v>3.2215292731060129E-2</c:v>
                </c:pt>
                <c:pt idx="12">
                  <c:v>3.4291280034039272E-2</c:v>
                </c:pt>
                <c:pt idx="13">
                  <c:v>3.6029758334203403E-2</c:v>
                </c:pt>
                <c:pt idx="14">
                  <c:v>3.7766843705809058E-2</c:v>
                </c:pt>
                <c:pt idx="15">
                  <c:v>3.9327437193037808E-2</c:v>
                </c:pt>
                <c:pt idx="16">
                  <c:v>4.0237661192350692E-2</c:v>
                </c:pt>
                <c:pt idx="17">
                  <c:v>4.0236595353817087E-2</c:v>
                </c:pt>
                <c:pt idx="18">
                  <c:v>3.9572120490420304E-2</c:v>
                </c:pt>
                <c:pt idx="19">
                  <c:v>3.8815587608708235E-2</c:v>
                </c:pt>
                <c:pt idx="20">
                  <c:v>3.8424924589185241E-2</c:v>
                </c:pt>
                <c:pt idx="21">
                  <c:v>3.8480052188464314E-2</c:v>
                </c:pt>
                <c:pt idx="22">
                  <c:v>3.8777333456702492E-2</c:v>
                </c:pt>
                <c:pt idx="23">
                  <c:v>3.911515154490379E-2</c:v>
                </c:pt>
                <c:pt idx="24">
                  <c:v>3.9466688376806829E-2</c:v>
                </c:pt>
                <c:pt idx="25">
                  <c:v>3.9889665839999408E-2</c:v>
                </c:pt>
                <c:pt idx="26">
                  <c:v>4.0288528985080743E-2</c:v>
                </c:pt>
                <c:pt idx="27">
                  <c:v>4.0278389660251823E-2</c:v>
                </c:pt>
                <c:pt idx="28">
                  <c:v>3.9299059479018024E-2</c:v>
                </c:pt>
                <c:pt idx="29">
                  <c:v>3.6907885144506755E-2</c:v>
                </c:pt>
                <c:pt idx="30">
                  <c:v>3.3044925683768323E-2</c:v>
                </c:pt>
                <c:pt idx="31">
                  <c:v>2.810260812344163E-2</c:v>
                </c:pt>
                <c:pt idx="32">
                  <c:v>2.2772138265618479E-2</c:v>
                </c:pt>
                <c:pt idx="33">
                  <c:v>1.7764544414947802E-2</c:v>
                </c:pt>
                <c:pt idx="34">
                  <c:v>1.3556871954236192E-2</c:v>
                </c:pt>
                <c:pt idx="35">
                  <c:v>1.0285972202449773E-2</c:v>
                </c:pt>
                <c:pt idx="36">
                  <c:v>7.8190216197423813E-3</c:v>
                </c:pt>
                <c:pt idx="37">
                  <c:v>5.922998263780543E-3</c:v>
                </c:pt>
                <c:pt idx="38">
                  <c:v>4.410489213791011E-3</c:v>
                </c:pt>
                <c:pt idx="39">
                  <c:v>3.187707468714903E-3</c:v>
                </c:pt>
                <c:pt idx="40">
                  <c:v>2.2206192374966596E-3</c:v>
                </c:pt>
                <c:pt idx="41">
                  <c:v>1.4847880650431366E-3</c:v>
                </c:pt>
                <c:pt idx="42">
                  <c:v>9.4499375366917631E-4</c:v>
                </c:pt>
                <c:pt idx="43">
                  <c:v>5.6258908236118705E-4</c:v>
                </c:pt>
                <c:pt idx="44">
                  <c:v>3.0534227759692223E-4</c:v>
                </c:pt>
                <c:pt idx="45">
                  <c:v>1.4667488379071288E-4</c:v>
                </c:pt>
                <c:pt idx="46">
                  <c:v>6.0499370603705017E-5</c:v>
                </c:pt>
                <c:pt idx="47">
                  <c:v>2.0774920383187576E-5</c:v>
                </c:pt>
                <c:pt idx="48">
                  <c:v>5.7362025778792801E-6</c:v>
                </c:pt>
                <c:pt idx="49">
                  <c:v>1.2005270799073348E-6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644-482F-9EF4-DE37F89DF7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990592"/>
        <c:axId val="123080064"/>
      </c:lineChart>
      <c:catAx>
        <c:axId val="18699059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080064"/>
        <c:crosses val="autoZero"/>
        <c:auto val="1"/>
        <c:lblAlgn val="ctr"/>
        <c:lblOffset val="100"/>
        <c:tickLblSkip val="2"/>
        <c:noMultiLvlLbl val="0"/>
      </c:catAx>
      <c:valAx>
        <c:axId val="123080064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8699059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59"/>
          <c:h val="0.14182677165354307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Arrival_Time_All!$F$66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Arrival_Time_All!$F$67:$F$117</c:f>
              <c:numCache>
                <c:formatCode>0.00%</c:formatCode>
                <c:ptCount val="51"/>
                <c:pt idx="0">
                  <c:v>0</c:v>
                </c:pt>
                <c:pt idx="1">
                  <c:v>2.1824210823008944E-4</c:v>
                </c:pt>
                <c:pt idx="2">
                  <c:v>3.8777418180452008E-4</c:v>
                </c:pt>
                <c:pt idx="3">
                  <c:v>5.0091143286443954E-4</c:v>
                </c:pt>
                <c:pt idx="4">
                  <c:v>6.1327700333789167E-4</c:v>
                </c:pt>
                <c:pt idx="5">
                  <c:v>8.3867640437094797E-4</c:v>
                </c:pt>
                <c:pt idx="6">
                  <c:v>1.3261099758534569E-3</c:v>
                </c:pt>
                <c:pt idx="7">
                  <c:v>2.240119156191584E-3</c:v>
                </c:pt>
                <c:pt idx="8">
                  <c:v>3.7549940438830918E-3</c:v>
                </c:pt>
                <c:pt idx="9">
                  <c:v>6.0499645187813474E-3</c:v>
                </c:pt>
                <c:pt idx="10">
                  <c:v>9.2836072777147689E-3</c:v>
                </c:pt>
                <c:pt idx="11">
                  <c:v>1.3536513288821201E-2</c:v>
                </c:pt>
                <c:pt idx="12">
                  <c:v>1.8724151599068036E-2</c:v>
                </c:pt>
                <c:pt idx="13">
                  <c:v>2.4504676942681696E-2</c:v>
                </c:pt>
                <c:pt idx="14">
                  <c:v>3.0259120533000481E-2</c:v>
                </c:pt>
                <c:pt idx="15">
                  <c:v>3.5243972665095435E-2</c:v>
                </c:pt>
                <c:pt idx="16">
                  <c:v>3.8902650281273043E-2</c:v>
                </c:pt>
                <c:pt idx="17">
                  <c:v>4.1130293948680063E-2</c:v>
                </c:pt>
                <c:pt idx="18">
                  <c:v>4.2260676106735499E-2</c:v>
                </c:pt>
                <c:pt idx="19">
                  <c:v>4.278386218431237E-2</c:v>
                </c:pt>
                <c:pt idx="20">
                  <c:v>4.3057679621205366E-2</c:v>
                </c:pt>
                <c:pt idx="21">
                  <c:v>4.324889082946342E-2</c:v>
                </c:pt>
                <c:pt idx="22">
                  <c:v>4.3471949546964414E-2</c:v>
                </c:pt>
                <c:pt idx="23">
                  <c:v>4.38900496081783E-2</c:v>
                </c:pt>
                <c:pt idx="24">
                  <c:v>4.4617515679717314E-2</c:v>
                </c:pt>
                <c:pt idx="25">
                  <c:v>4.552629391127868E-2</c:v>
                </c:pt>
                <c:pt idx="26">
                  <c:v>4.6211163029464597E-2</c:v>
                </c:pt>
                <c:pt idx="27">
                  <c:v>4.6211124365302829E-2</c:v>
                </c:pt>
                <c:pt idx="28">
                  <c:v>4.5290948427740917E-2</c:v>
                </c:pt>
                <c:pt idx="29">
                  <c:v>4.3518298810672741E-2</c:v>
                </c:pt>
                <c:pt idx="30">
                  <c:v>4.1100799989711133E-2</c:v>
                </c:pt>
                <c:pt idx="31">
                  <c:v>3.8175676323341595E-2</c:v>
                </c:pt>
                <c:pt idx="32">
                  <c:v>3.4735884829682165E-2</c:v>
                </c:pt>
                <c:pt idx="33">
                  <c:v>3.0717624772397319E-2</c:v>
                </c:pt>
                <c:pt idx="34">
                  <c:v>2.6153145243450544E-2</c:v>
                </c:pt>
                <c:pt idx="35">
                  <c:v>2.1267251954929563E-2</c:v>
                </c:pt>
                <c:pt idx="36">
                  <c:v>1.6443016007277451E-2</c:v>
                </c:pt>
                <c:pt idx="37">
                  <c:v>1.2078445648304325E-2</c:v>
                </c:pt>
                <c:pt idx="38">
                  <c:v>8.4396882417247625E-3</c:v>
                </c:pt>
                <c:pt idx="39">
                  <c:v>5.6080079310416361E-3</c:v>
                </c:pt>
                <c:pt idx="40">
                  <c:v>3.5262492850048894E-3</c:v>
                </c:pt>
                <c:pt idx="41">
                  <c:v>2.0764209498417975E-3</c:v>
                </c:pt>
                <c:pt idx="42">
                  <c:v>1.1289614767493882E-3</c:v>
                </c:pt>
                <c:pt idx="43">
                  <c:v>5.5809774112173811E-4</c:v>
                </c:pt>
                <c:pt idx="44">
                  <c:v>2.4696737974272843E-4</c:v>
                </c:pt>
                <c:pt idx="45">
                  <c:v>9.6225692841215302E-5</c:v>
                </c:pt>
                <c:pt idx="46">
                  <c:v>3.2372847519337623E-5</c:v>
                </c:pt>
                <c:pt idx="47">
                  <c:v>9.16957186955194E-6</c:v>
                </c:pt>
                <c:pt idx="48">
                  <c:v>2.1130427002900349E-6</c:v>
                </c:pt>
                <c:pt idx="49">
                  <c:v>3.7358806014979699E-7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E4-44E1-B961-6DFF1D2CA328}"/>
            </c:ext>
          </c:extLst>
        </c:ser>
        <c:ser>
          <c:idx val="1"/>
          <c:order val="1"/>
          <c:tx>
            <c:strRef>
              <c:f>Arrival_Time_All!$P$66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Arrival_Time_All!$P$67:$P$117</c:f>
              <c:numCache>
                <c:formatCode>0.00%</c:formatCode>
                <c:ptCount val="51"/>
                <c:pt idx="0">
                  <c:v>1.6662645703389551E-3</c:v>
                </c:pt>
                <c:pt idx="1">
                  <c:v>1.7254920673806069E-3</c:v>
                </c:pt>
                <c:pt idx="2">
                  <c:v>1.8812837463290878E-3</c:v>
                </c:pt>
                <c:pt idx="3">
                  <c:v>2.2702797280282922E-3</c:v>
                </c:pt>
                <c:pt idx="4">
                  <c:v>3.0892534808211001E-3</c:v>
                </c:pt>
                <c:pt idx="5">
                  <c:v>4.5693221846148258E-3</c:v>
                </c:pt>
                <c:pt idx="6">
                  <c:v>6.8896021550507846E-3</c:v>
                </c:pt>
                <c:pt idx="7">
                  <c:v>1.0055685544927332E-2</c:v>
                </c:pt>
                <c:pt idx="8">
                  <c:v>1.3815676539644649E-2</c:v>
                </c:pt>
                <c:pt idx="9">
                  <c:v>1.7698516937708374E-2</c:v>
                </c:pt>
                <c:pt idx="10">
                  <c:v>2.120321237067211E-2</c:v>
                </c:pt>
                <c:pt idx="11">
                  <c:v>2.4052200970249401E-2</c:v>
                </c:pt>
                <c:pt idx="12">
                  <c:v>2.6325872487513384E-2</c:v>
                </c:pt>
                <c:pt idx="13">
                  <c:v>2.8339785727120721E-2</c:v>
                </c:pt>
                <c:pt idx="14">
                  <c:v>3.033879462306981E-2</c:v>
                </c:pt>
                <c:pt idx="15">
                  <c:v>3.2277108273168306E-2</c:v>
                </c:pt>
                <c:pt idx="16">
                  <c:v>3.3886889528548465E-2</c:v>
                </c:pt>
                <c:pt idx="17">
                  <c:v>3.4947039892458329E-2</c:v>
                </c:pt>
                <c:pt idx="18">
                  <c:v>3.548084606539683E-2</c:v>
                </c:pt>
                <c:pt idx="19">
                  <c:v>3.5736842887110834E-2</c:v>
                </c:pt>
                <c:pt idx="20">
                  <c:v>3.6046962758304796E-2</c:v>
                </c:pt>
                <c:pt idx="21">
                  <c:v>3.6718268806072714E-2</c:v>
                </c:pt>
                <c:pt idx="22">
                  <c:v>3.7992255598242271E-2</c:v>
                </c:pt>
                <c:pt idx="23">
                  <c:v>4.0002171939378967E-2</c:v>
                </c:pt>
                <c:pt idx="24">
                  <c:v>4.2681444214812014E-2</c:v>
                </c:pt>
                <c:pt idx="25">
                  <c:v>4.566353025772163E-2</c:v>
                </c:pt>
                <c:pt idx="26">
                  <c:v>4.8270625351179167E-2</c:v>
                </c:pt>
                <c:pt idx="27">
                  <c:v>4.9665556746139296E-2</c:v>
                </c:pt>
                <c:pt idx="28">
                  <c:v>4.9138074437192689E-2</c:v>
                </c:pt>
                <c:pt idx="29">
                  <c:v>4.638569172211892E-2</c:v>
                </c:pt>
                <c:pt idx="30">
                  <c:v>4.1637295598992236E-2</c:v>
                </c:pt>
                <c:pt idx="31">
                  <c:v>3.5570119460970655E-2</c:v>
                </c:pt>
                <c:pt idx="32">
                  <c:v>2.9081042463784165E-2</c:v>
                </c:pt>
                <c:pt idx="33">
                  <c:v>2.3009256146798322E-2</c:v>
                </c:pt>
                <c:pt idx="34">
                  <c:v>1.7901837429015566E-2</c:v>
                </c:pt>
                <c:pt idx="35">
                  <c:v>1.3909776594496328E-2</c:v>
                </c:pt>
                <c:pt idx="36">
                  <c:v>1.0862321032824388E-2</c:v>
                </c:pt>
                <c:pt idx="37">
                  <c:v>8.4660161078052003E-3</c:v>
                </c:pt>
                <c:pt idx="38">
                  <c:v>6.4909380927245077E-3</c:v>
                </c:pt>
                <c:pt idx="39">
                  <c:v>4.8357515294602154E-3</c:v>
                </c:pt>
                <c:pt idx="40">
                  <c:v>3.4791273881050648E-3</c:v>
                </c:pt>
                <c:pt idx="41">
                  <c:v>2.4070541326610189E-3</c:v>
                </c:pt>
                <c:pt idx="42">
                  <c:v>1.585421604615527E-3</c:v>
                </c:pt>
                <c:pt idx="43">
                  <c:v>9.7442944539703378E-4</c:v>
                </c:pt>
                <c:pt idx="44">
                  <c:v>5.4361033820004938E-4</c:v>
                </c:pt>
                <c:pt idx="45">
                  <c:v>2.6706575083245023E-4</c:v>
                </c:pt>
                <c:pt idx="46">
                  <c:v>1.1213796797133553E-4</c:v>
                </c:pt>
                <c:pt idx="47">
                  <c:v>3.90477776476683E-5</c:v>
                </c:pt>
                <c:pt idx="48">
                  <c:v>1.0899368834125905E-5</c:v>
                </c:pt>
                <c:pt idx="49">
                  <c:v>2.3001575494639094E-6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AE4-44E1-B961-6DFF1D2CA3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991104"/>
        <c:axId val="123082368"/>
      </c:lineChart>
      <c:catAx>
        <c:axId val="18699110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082368"/>
        <c:crosses val="autoZero"/>
        <c:auto val="1"/>
        <c:lblAlgn val="ctr"/>
        <c:lblOffset val="100"/>
        <c:tickLblSkip val="2"/>
        <c:noMultiLvlLbl val="0"/>
      </c:catAx>
      <c:valAx>
        <c:axId val="123082368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869911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Arrival_Time_All!$G$66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Arrival_Time_All!$G$67:$G$117</c:f>
              <c:numCache>
                <c:formatCode>0.00%</c:formatCode>
                <c:ptCount val="51"/>
                <c:pt idx="0">
                  <c:v>3.1644385867371296E-5</c:v>
                </c:pt>
                <c:pt idx="1">
                  <c:v>5.059308666819696E-4</c:v>
                </c:pt>
                <c:pt idx="2">
                  <c:v>1.1160948867298677E-3</c:v>
                </c:pt>
                <c:pt idx="3">
                  <c:v>1.9683182681150676E-3</c:v>
                </c:pt>
                <c:pt idx="4">
                  <c:v>3.098561915393597E-3</c:v>
                </c:pt>
                <c:pt idx="5">
                  <c:v>4.4586674781810515E-3</c:v>
                </c:pt>
                <c:pt idx="6">
                  <c:v>5.9669511206919545E-3</c:v>
                </c:pt>
                <c:pt idx="7">
                  <c:v>7.5851105053888002E-3</c:v>
                </c:pt>
                <c:pt idx="8">
                  <c:v>9.3351850703983445E-3</c:v>
                </c:pt>
                <c:pt idx="9">
                  <c:v>1.1236410381096348E-2</c:v>
                </c:pt>
                <c:pt idx="10">
                  <c:v>1.3247990201617498E-2</c:v>
                </c:pt>
                <c:pt idx="11">
                  <c:v>1.5312034935459051E-2</c:v>
                </c:pt>
                <c:pt idx="12">
                  <c:v>1.7492211124928249E-2</c:v>
                </c:pt>
                <c:pt idx="13">
                  <c:v>2.0107982526802636E-2</c:v>
                </c:pt>
                <c:pt idx="14">
                  <c:v>2.3728600649025947E-2</c:v>
                </c:pt>
                <c:pt idx="15">
                  <c:v>2.8904399065274648E-2</c:v>
                </c:pt>
                <c:pt idx="16">
                  <c:v>3.5641399171393029E-2</c:v>
                </c:pt>
                <c:pt idx="17">
                  <c:v>4.2928141706746414E-2</c:v>
                </c:pt>
                <c:pt idx="18">
                  <c:v>4.8845734028591339E-2</c:v>
                </c:pt>
                <c:pt idx="19">
                  <c:v>5.1484792826123414E-2</c:v>
                </c:pt>
                <c:pt idx="20">
                  <c:v>5.012285179321916E-2</c:v>
                </c:pt>
                <c:pt idx="21">
                  <c:v>4.569913412906397E-2</c:v>
                </c:pt>
                <c:pt idx="22">
                  <c:v>4.0175603426360965E-2</c:v>
                </c:pt>
                <c:pt idx="23">
                  <c:v>3.5375355416530557E-2</c:v>
                </c:pt>
                <c:pt idx="24">
                  <c:v>3.2255320587900635E-2</c:v>
                </c:pt>
                <c:pt idx="25">
                  <c:v>3.0990541404573312E-2</c:v>
                </c:pt>
                <c:pt idx="26">
                  <c:v>3.14568982755382E-2</c:v>
                </c:pt>
                <c:pt idx="27">
                  <c:v>3.3493292007310743E-2</c:v>
                </c:pt>
                <c:pt idx="28">
                  <c:v>3.6745889361233061E-2</c:v>
                </c:pt>
                <c:pt idx="29">
                  <c:v>4.0400536288038379E-2</c:v>
                </c:pt>
                <c:pt idx="30">
                  <c:v>4.3216055717863584E-2</c:v>
                </c:pt>
                <c:pt idx="31">
                  <c:v>4.396176347734012E-2</c:v>
                </c:pt>
                <c:pt idx="32">
                  <c:v>4.1975480343292952E-2</c:v>
                </c:pt>
                <c:pt idx="33">
                  <c:v>3.7443301861628607E-2</c:v>
                </c:pt>
                <c:pt idx="34">
                  <c:v>3.1238305296027471E-2</c:v>
                </c:pt>
                <c:pt idx="35">
                  <c:v>2.4493976879487848E-2</c:v>
                </c:pt>
                <c:pt idx="36">
                  <c:v>1.8204677636743841E-2</c:v>
                </c:pt>
                <c:pt idx="37">
                  <c:v>1.3001108242970795E-2</c:v>
                </c:pt>
                <c:pt idx="38">
                  <c:v>9.0902527259976804E-3</c:v>
                </c:pt>
                <c:pt idx="39">
                  <c:v>6.3263927708597364E-3</c:v>
                </c:pt>
                <c:pt idx="40">
                  <c:v>4.3864708899548606E-3</c:v>
                </c:pt>
                <c:pt idx="41">
                  <c:v>2.9674891801558189E-3</c:v>
                </c:pt>
                <c:pt idx="42">
                  <c:v>1.8947520642459792E-3</c:v>
                </c:pt>
                <c:pt idx="43">
                  <c:v>1.1058394822534975E-3</c:v>
                </c:pt>
                <c:pt idx="44">
                  <c:v>5.7527366694886978E-4</c:v>
                </c:pt>
                <c:pt idx="45">
                  <c:v>2.6147122538939393E-4</c:v>
                </c:pt>
                <c:pt idx="46">
                  <c:v>1.0187869374844155E-4</c:v>
                </c:pt>
                <c:pt idx="47">
                  <c:v>3.3277711076187854E-5</c:v>
                </c:pt>
                <c:pt idx="48">
                  <c:v>8.8431350989339234E-6</c:v>
                </c:pt>
                <c:pt idx="49">
                  <c:v>1.8051946400350067E-6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4D-4A13-AE7C-A21E15E2FB5B}"/>
            </c:ext>
          </c:extLst>
        </c:ser>
        <c:ser>
          <c:idx val="1"/>
          <c:order val="1"/>
          <c:tx>
            <c:strRef>
              <c:f>Arrival_Time_All!$Q$66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Arrival_Time_All!$Q$67:$Q$117</c:f>
              <c:numCache>
                <c:formatCode>0.00%</c:formatCode>
                <c:ptCount val="51"/>
                <c:pt idx="0">
                  <c:v>1.54505608570968E-3</c:v>
                </c:pt>
                <c:pt idx="1">
                  <c:v>2.062836565613724E-3</c:v>
                </c:pt>
                <c:pt idx="2">
                  <c:v>2.708028224713319E-3</c:v>
                </c:pt>
                <c:pt idx="3">
                  <c:v>3.6422582598449357E-3</c:v>
                </c:pt>
                <c:pt idx="4">
                  <c:v>5.0594620221549001E-3</c:v>
                </c:pt>
                <c:pt idx="5">
                  <c:v>7.1272665777476632E-3</c:v>
                </c:pt>
                <c:pt idx="6">
                  <c:v>9.8890843744958781E-3</c:v>
                </c:pt>
                <c:pt idx="7">
                  <c:v>1.3184430119866919E-2</c:v>
                </c:pt>
                <c:pt idx="8">
                  <c:v>1.6650111842453168E-2</c:v>
                </c:pt>
                <c:pt idx="9">
                  <c:v>1.9831541326099957E-2</c:v>
                </c:pt>
                <c:pt idx="10">
                  <c:v>2.2384597253934678E-2</c:v>
                </c:pt>
                <c:pt idx="11">
                  <c:v>2.4283727945575283E-2</c:v>
                </c:pt>
                <c:pt idx="12">
                  <c:v>2.5883699165387578E-2</c:v>
                </c:pt>
                <c:pt idx="13">
                  <c:v>2.7712792002987301E-2</c:v>
                </c:pt>
                <c:pt idx="14">
                  <c:v>3.0083500501074154E-2</c:v>
                </c:pt>
                <c:pt idx="15">
                  <c:v>3.282709101155095E-2</c:v>
                </c:pt>
                <c:pt idx="16">
                  <c:v>3.5392994263979669E-2</c:v>
                </c:pt>
                <c:pt idx="17">
                  <c:v>3.7213608239083422E-2</c:v>
                </c:pt>
                <c:pt idx="18">
                  <c:v>3.8011623524175732E-2</c:v>
                </c:pt>
                <c:pt idx="19">
                  <c:v>3.7863911914851306E-2</c:v>
                </c:pt>
                <c:pt idx="20">
                  <c:v>3.7097072304543469E-2</c:v>
                </c:pt>
                <c:pt idx="21">
                  <c:v>3.6153445207147777E-2</c:v>
                </c:pt>
                <c:pt idx="22">
                  <c:v>3.5470108581037538E-2</c:v>
                </c:pt>
                <c:pt idx="23">
                  <c:v>3.5370153905857966E-2</c:v>
                </c:pt>
                <c:pt idx="24">
                  <c:v>3.5992860854835398E-2</c:v>
                </c:pt>
                <c:pt idx="25">
                  <c:v>3.7275451723954751E-2</c:v>
                </c:pt>
                <c:pt idx="26">
                  <c:v>3.895516194999956E-2</c:v>
                </c:pt>
                <c:pt idx="27">
                  <c:v>4.0575286590226668E-2</c:v>
                </c:pt>
                <c:pt idx="28">
                  <c:v>4.1535551310180482E-2</c:v>
                </c:pt>
                <c:pt idx="29">
                  <c:v>4.1234937398227825E-2</c:v>
                </c:pt>
                <c:pt idx="30">
                  <c:v>3.929178453840277E-2</c:v>
                </c:pt>
                <c:pt idx="31">
                  <c:v>3.5744291021216554E-2</c:v>
                </c:pt>
                <c:pt idx="32">
                  <c:v>3.1095815263694062E-2</c:v>
                </c:pt>
                <c:pt idx="33">
                  <c:v>2.6125870584227748E-2</c:v>
                </c:pt>
                <c:pt idx="34">
                  <c:v>2.1542452890903244E-2</c:v>
                </c:pt>
                <c:pt idx="35">
                  <c:v>1.769288395477352E-2</c:v>
                </c:pt>
                <c:pt idx="36">
                  <c:v>1.4524401642043591E-2</c:v>
                </c:pt>
                <c:pt idx="37">
                  <c:v>1.1786945884389811E-2</c:v>
                </c:pt>
                <c:pt idx="38">
                  <c:v>9.2854749152554063E-3</c:v>
                </c:pt>
                <c:pt idx="39">
                  <c:v>6.9923758613909016E-3</c:v>
                </c:pt>
                <c:pt idx="40">
                  <c:v>4.991485556758545E-3</c:v>
                </c:pt>
                <c:pt idx="41">
                  <c:v>3.3643746895857946E-3</c:v>
                </c:pt>
                <c:pt idx="42">
                  <c:v>2.1291299695969396E-3</c:v>
                </c:pt>
                <c:pt idx="43">
                  <c:v>1.2493890490037015E-3</c:v>
                </c:pt>
                <c:pt idx="44">
                  <c:v>6.6607068098079253E-4</c:v>
                </c:pt>
                <c:pt idx="45">
                  <c:v>3.1437028459383582E-4</c:v>
                </c:pt>
                <c:pt idx="46">
                  <c:v>1.2767363729375439E-4</c:v>
                </c:pt>
                <c:pt idx="47">
                  <c:v>4.3278629070285366E-5</c:v>
                </c:pt>
                <c:pt idx="48">
                  <c:v>1.1825139706374532E-5</c:v>
                </c:pt>
                <c:pt idx="49">
                  <c:v>2.4547598007141039E-6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54D-4A13-AE7C-A21E15E2FB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991616"/>
        <c:axId val="123133952"/>
      </c:lineChart>
      <c:catAx>
        <c:axId val="18699161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133952"/>
        <c:crosses val="autoZero"/>
        <c:auto val="1"/>
        <c:lblAlgn val="ctr"/>
        <c:lblOffset val="100"/>
        <c:tickLblSkip val="2"/>
        <c:noMultiLvlLbl val="0"/>
      </c:catAx>
      <c:valAx>
        <c:axId val="123133952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8699161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Soc/Rec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9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Arrival_Time_All!$H$67:$H$117</c:f>
              <c:numCache>
                <c:formatCode>0.00%</c:formatCode>
                <c:ptCount val="51"/>
                <c:pt idx="0">
                  <c:v>2.2950282934073167E-4</c:v>
                </c:pt>
                <c:pt idx="1">
                  <c:v>8.0424460423898119E-4</c:v>
                </c:pt>
                <c:pt idx="2">
                  <c:v>1.5751228565486816E-3</c:v>
                </c:pt>
                <c:pt idx="3">
                  <c:v>2.6653668409948729E-3</c:v>
                </c:pt>
                <c:pt idx="4">
                  <c:v>4.084632056625145E-3</c:v>
                </c:pt>
                <c:pt idx="5">
                  <c:v>5.7468821513077459E-3</c:v>
                </c:pt>
                <c:pt idx="6">
                  <c:v>7.5442305268634156E-3</c:v>
                </c:pt>
                <c:pt idx="7">
                  <c:v>9.4325073477805749E-3</c:v>
                </c:pt>
                <c:pt idx="8">
                  <c:v>1.1470510789401705E-2</c:v>
                </c:pt>
                <c:pt idx="9">
                  <c:v>1.3785361355222047E-2</c:v>
                </c:pt>
                <c:pt idx="10">
                  <c:v>1.6479098443871805E-2</c:v>
                </c:pt>
                <c:pt idx="11">
                  <c:v>1.951657171307216E-2</c:v>
                </c:pt>
                <c:pt idx="12">
                  <c:v>2.2652282010533042E-2</c:v>
                </c:pt>
                <c:pt idx="13">
                  <c:v>2.5465059670742928E-2</c:v>
                </c:pt>
                <c:pt idx="14">
                  <c:v>2.752418429858278E-2</c:v>
                </c:pt>
                <c:pt idx="15">
                  <c:v>2.8597573850998911E-2</c:v>
                </c:pt>
                <c:pt idx="16">
                  <c:v>2.8746884772387134E-2</c:v>
                </c:pt>
                <c:pt idx="17">
                  <c:v>2.8246297266868278E-2</c:v>
                </c:pt>
                <c:pt idx="18">
                  <c:v>2.7426168807466286E-2</c:v>
                </c:pt>
                <c:pt idx="19">
                  <c:v>2.6586300450672368E-2</c:v>
                </c:pt>
                <c:pt idx="20">
                  <c:v>2.6010687414567083E-2</c:v>
                </c:pt>
                <c:pt idx="21">
                  <c:v>2.5999793191929483E-2</c:v>
                </c:pt>
                <c:pt idx="22">
                  <c:v>2.6838376535667546E-2</c:v>
                </c:pt>
                <c:pt idx="23">
                  <c:v>2.8704484480798726E-2</c:v>
                </c:pt>
                <c:pt idx="24">
                  <c:v>3.1599587256131885E-2</c:v>
                </c:pt>
                <c:pt idx="25">
                  <c:v>3.5373711693484869E-2</c:v>
                </c:pt>
                <c:pt idx="26">
                  <c:v>3.982636358397898E-2</c:v>
                </c:pt>
                <c:pt idx="27">
                  <c:v>4.4755574477610222E-2</c:v>
                </c:pt>
                <c:pt idx="28">
                  <c:v>4.9831242524244146E-2</c:v>
                </c:pt>
                <c:pt idx="29">
                  <c:v>5.4349348264891878E-2</c:v>
                </c:pt>
                <c:pt idx="30">
                  <c:v>5.7146063872042546E-2</c:v>
                </c:pt>
                <c:pt idx="31">
                  <c:v>5.6937054900001755E-2</c:v>
                </c:pt>
                <c:pt idx="32">
                  <c:v>5.2992705723870846E-2</c:v>
                </c:pt>
                <c:pt idx="33">
                  <c:v>4.5672728110163006E-2</c:v>
                </c:pt>
                <c:pt idx="34">
                  <c:v>3.6370026073286002E-2</c:v>
                </c:pt>
                <c:pt idx="35">
                  <c:v>2.6880261793503665E-2</c:v>
                </c:pt>
                <c:pt idx="36">
                  <c:v>1.8651750448346695E-2</c:v>
                </c:pt>
                <c:pt idx="37">
                  <c:v>1.2374181118697619E-2</c:v>
                </c:pt>
                <c:pt idx="38">
                  <c:v>8.0241135213322441E-3</c:v>
                </c:pt>
                <c:pt idx="39">
                  <c:v>5.17685814652256E-3</c:v>
                </c:pt>
                <c:pt idx="40">
                  <c:v>3.3305290550345585E-3</c:v>
                </c:pt>
                <c:pt idx="41">
                  <c:v>2.0982961125874332E-3</c:v>
                </c:pt>
                <c:pt idx="42">
                  <c:v>1.2538164726998552E-3</c:v>
                </c:pt>
                <c:pt idx="43">
                  <c:v>6.8603892674615479E-4</c:v>
                </c:pt>
                <c:pt idx="44">
                  <c:v>3.3280285401914212E-4</c:v>
                </c:pt>
                <c:pt idx="45">
                  <c:v>1.3901605636220827E-4</c:v>
                </c:pt>
                <c:pt idx="46">
                  <c:v>4.8574501589363881E-5</c:v>
                </c:pt>
                <c:pt idx="47">
                  <c:v>1.3738289678076199E-5</c:v>
                </c:pt>
                <c:pt idx="48">
                  <c:v>3.0134362048605578E-6</c:v>
                </c:pt>
                <c:pt idx="49">
                  <c:v>4.785204875613615E-7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71-4C63-A164-DEF99BCD18EB}"/>
            </c:ext>
          </c:extLst>
        </c:ser>
        <c:ser>
          <c:idx val="1"/>
          <c:order val="1"/>
          <c:tx>
            <c:strRef>
              <c:f>Arrival_Time_All!$R$66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Arrival_Time_All!$R$67:$R$117</c:f>
              <c:numCache>
                <c:formatCode>0.00%</c:formatCode>
                <c:ptCount val="51"/>
                <c:pt idx="0">
                  <c:v>2.2618367270147089E-4</c:v>
                </c:pt>
                <c:pt idx="1">
                  <c:v>7.0987319098042274E-4</c:v>
                </c:pt>
                <c:pt idx="2">
                  <c:v>1.3172842172840748E-3</c:v>
                </c:pt>
                <c:pt idx="3">
                  <c:v>2.2368030324020995E-3</c:v>
                </c:pt>
                <c:pt idx="4">
                  <c:v>3.7461416229471571E-3</c:v>
                </c:pt>
                <c:pt idx="5">
                  <c:v>6.1577853280487998E-3</c:v>
                </c:pt>
                <c:pt idx="6">
                  <c:v>9.6734006055518764E-3</c:v>
                </c:pt>
                <c:pt idx="7">
                  <c:v>1.4201114205762604E-2</c:v>
                </c:pt>
                <c:pt idx="8">
                  <c:v>1.9255838824773771E-2</c:v>
                </c:pt>
                <c:pt idx="9">
                  <c:v>2.4059527038374707E-2</c:v>
                </c:pt>
                <c:pt idx="10">
                  <c:v>2.7849297770602528E-2</c:v>
                </c:pt>
                <c:pt idx="11">
                  <c:v>3.0238137005256176E-2</c:v>
                </c:pt>
                <c:pt idx="12">
                  <c:v>3.138229048764795E-2</c:v>
                </c:pt>
                <c:pt idx="13">
                  <c:v>3.1809013198594367E-2</c:v>
                </c:pt>
                <c:pt idx="14">
                  <c:v>3.2023827344127676E-2</c:v>
                </c:pt>
                <c:pt idx="15">
                  <c:v>3.222311184806953E-2</c:v>
                </c:pt>
                <c:pt idx="16">
                  <c:v>3.2344825629960647E-2</c:v>
                </c:pt>
                <c:pt idx="17">
                  <c:v>3.2353924690449884E-2</c:v>
                </c:pt>
                <c:pt idx="18">
                  <c:v>3.2435747532632363E-2</c:v>
                </c:pt>
                <c:pt idx="19">
                  <c:v>3.2901556394589949E-2</c:v>
                </c:pt>
                <c:pt idx="20">
                  <c:v>3.3928838320532666E-2</c:v>
                </c:pt>
                <c:pt idx="21">
                  <c:v>3.5414993384262218E-2</c:v>
                </c:pt>
                <c:pt idx="22">
                  <c:v>3.7084315980540558E-2</c:v>
                </c:pt>
                <c:pt idx="23">
                  <c:v>3.8727291576883059E-2</c:v>
                </c:pt>
                <c:pt idx="24">
                  <c:v>4.0327292667160786E-2</c:v>
                </c:pt>
                <c:pt idx="25">
                  <c:v>4.1948655181013331E-2</c:v>
                </c:pt>
                <c:pt idx="26">
                  <c:v>4.3495555187903857E-2</c:v>
                </c:pt>
                <c:pt idx="27">
                  <c:v>4.4572637008259322E-2</c:v>
                </c:pt>
                <c:pt idx="28">
                  <c:v>4.4582198150866052E-2</c:v>
                </c:pt>
                <c:pt idx="29">
                  <c:v>4.2996195104773691E-2</c:v>
                </c:pt>
                <c:pt idx="30">
                  <c:v>3.9630035630391067E-2</c:v>
                </c:pt>
                <c:pt idx="31">
                  <c:v>3.4772041466762368E-2</c:v>
                </c:pt>
                <c:pt idx="32">
                  <c:v>2.9109027323634133E-2</c:v>
                </c:pt>
                <c:pt idx="33">
                  <c:v>2.3473927286189338E-2</c:v>
                </c:pt>
                <c:pt idx="34">
                  <c:v>1.8527733122838657E-2</c:v>
                </c:pt>
                <c:pt idx="35">
                  <c:v>1.4545288302564919E-2</c:v>
                </c:pt>
                <c:pt idx="36">
                  <c:v>1.1425496348943706E-2</c:v>
                </c:pt>
                <c:pt idx="37">
                  <c:v>8.8919915059044435E-3</c:v>
                </c:pt>
                <c:pt idx="38">
                  <c:v>6.7195624125019728E-3</c:v>
                </c:pt>
                <c:pt idx="39">
                  <c:v>4.8352987469157073E-3</c:v>
                </c:pt>
                <c:pt idx="40">
                  <c:v>3.2735796296316038E-3</c:v>
                </c:pt>
                <c:pt idx="41">
                  <c:v>2.0759063672161631E-3</c:v>
                </c:pt>
                <c:pt idx="42">
                  <c:v>1.2310028592429204E-3</c:v>
                </c:pt>
                <c:pt idx="43">
                  <c:v>6.7884212830323146E-4</c:v>
                </c:pt>
                <c:pt idx="44">
                  <c:v>3.4319446611750479E-4</c:v>
                </c:pt>
                <c:pt idx="45">
                  <c:v>1.5539744239061133E-4</c:v>
                </c:pt>
                <c:pt idx="46">
                  <c:v>6.1191340958009823E-5</c:v>
                </c:pt>
                <c:pt idx="47">
                  <c:v>2.0271970582499225E-5</c:v>
                </c:pt>
                <c:pt idx="48">
                  <c:v>5.4417124867430144E-6</c:v>
                </c:pt>
                <c:pt idx="49">
                  <c:v>1.1137334708120375E-6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B71-4C63-A164-DEF99BCD18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992128"/>
        <c:axId val="123136256"/>
      </c:lineChart>
      <c:catAx>
        <c:axId val="18699212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136256"/>
        <c:crosses val="autoZero"/>
        <c:auto val="1"/>
        <c:lblAlgn val="ctr"/>
        <c:lblOffset val="100"/>
        <c:tickLblSkip val="2"/>
        <c:noMultiLvlLbl val="0"/>
      </c:catAx>
      <c:valAx>
        <c:axId val="123136256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869921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66" footer="0.30000000000000032" header="0.30000000000000032" l="0.70000000000000062" r="0.70000000000000062" t="0.75000000000000266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Stop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Depart_Time_All!$B$66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Depart_Time_All!$B$67:$B$117</c:f>
              <c:numCache>
                <c:formatCode>0.00%</c:formatCode>
                <c:ptCount val="51"/>
                <c:pt idx="0">
                  <c:v>1.1888237281977271E-4</c:v>
                </c:pt>
                <c:pt idx="1">
                  <c:v>3.7062503803957903E-3</c:v>
                </c:pt>
                <c:pt idx="2">
                  <c:v>8.2065714779236392E-3</c:v>
                </c:pt>
                <c:pt idx="3">
                  <c:v>1.4407542834300379E-2</c:v>
                </c:pt>
                <c:pt idx="4">
                  <c:v>2.2815715435384371E-2</c:v>
                </c:pt>
                <c:pt idx="5">
                  <c:v>3.345529666258721E-2</c:v>
                </c:pt>
                <c:pt idx="6">
                  <c:v>4.5648928070732529E-2</c:v>
                </c:pt>
                <c:pt idx="7">
                  <c:v>5.7897996469034443E-2</c:v>
                </c:pt>
                <c:pt idx="8">
                  <c:v>6.806992936848108E-2</c:v>
                </c:pt>
                <c:pt idx="9">
                  <c:v>7.4025393284719299E-2</c:v>
                </c:pt>
                <c:pt idx="10">
                  <c:v>7.449850611351648E-2</c:v>
                </c:pt>
                <c:pt idx="11">
                  <c:v>6.9719798304002947E-2</c:v>
                </c:pt>
                <c:pt idx="12">
                  <c:v>6.1334637269144801E-2</c:v>
                </c:pt>
                <c:pt idx="13">
                  <c:v>5.1657550529190674E-2</c:v>
                </c:pt>
                <c:pt idx="14">
                  <c:v>4.27678014673862E-2</c:v>
                </c:pt>
                <c:pt idx="15">
                  <c:v>3.5957533300063384E-2</c:v>
                </c:pt>
                <c:pt idx="16">
                  <c:v>3.1657227293477364E-2</c:v>
                </c:pt>
                <c:pt idx="17">
                  <c:v>2.9620475809597979E-2</c:v>
                </c:pt>
                <c:pt idx="18">
                  <c:v>2.9139057060037429E-2</c:v>
                </c:pt>
                <c:pt idx="19">
                  <c:v>2.925810899987134E-2</c:v>
                </c:pt>
                <c:pt idx="20">
                  <c:v>2.9059617087388807E-2</c:v>
                </c:pt>
                <c:pt idx="21">
                  <c:v>2.7970283722827054E-2</c:v>
                </c:pt>
                <c:pt idx="22">
                  <c:v>2.5919887774222133E-2</c:v>
                </c:pt>
                <c:pt idx="23">
                  <c:v>2.3237658506930808E-2</c:v>
                </c:pt>
                <c:pt idx="24">
                  <c:v>2.0372237852759541E-2</c:v>
                </c:pt>
                <c:pt idx="25">
                  <c:v>1.763685980758457E-2</c:v>
                </c:pt>
                <c:pt idx="26">
                  <c:v>1.5121216491937591E-2</c:v>
                </c:pt>
                <c:pt idx="27">
                  <c:v>1.2768668376018208E-2</c:v>
                </c:pt>
                <c:pt idx="28">
                  <c:v>1.0515770779593807E-2</c:v>
                </c:pt>
                <c:pt idx="29">
                  <c:v>8.3805916685717186E-3</c:v>
                </c:pt>
                <c:pt idx="30">
                  <c:v>6.452655418525655E-3</c:v>
                </c:pt>
                <c:pt idx="31">
                  <c:v>4.8232731642024046E-3</c:v>
                </c:pt>
                <c:pt idx="32">
                  <c:v>3.5306632328150952E-3</c:v>
                </c:pt>
                <c:pt idx="33">
                  <c:v>2.5577563256241193E-3</c:v>
                </c:pt>
                <c:pt idx="34">
                  <c:v>1.861095221219767E-3</c:v>
                </c:pt>
                <c:pt idx="35">
                  <c:v>1.3902647412666939E-3</c:v>
                </c:pt>
                <c:pt idx="36">
                  <c:v>1.0870511755396172E-3</c:v>
                </c:pt>
                <c:pt idx="37">
                  <c:v>8.8505932620193645E-4</c:v>
                </c:pt>
                <c:pt idx="38">
                  <c:v>7.2512812201223637E-4</c:v>
                </c:pt>
                <c:pt idx="39">
                  <c:v>5.74567774388914E-4</c:v>
                </c:pt>
                <c:pt idx="40">
                  <c:v>4.2979636609953565E-4</c:v>
                </c:pt>
                <c:pt idx="41">
                  <c:v>3.0128189838757091E-4</c:v>
                </c:pt>
                <c:pt idx="42">
                  <c:v>1.9752533915995188E-4</c:v>
                </c:pt>
                <c:pt idx="43">
                  <c:v>1.2003110739227054E-4</c:v>
                </c:pt>
                <c:pt idx="44">
                  <c:v>6.6201112506583814E-5</c:v>
                </c:pt>
                <c:pt idx="45">
                  <c:v>3.2184439065926055E-5</c:v>
                </c:pt>
                <c:pt idx="46">
                  <c:v>1.3362572020829902E-5</c:v>
                </c:pt>
                <c:pt idx="47">
                  <c:v>4.588923548651966E-6</c:v>
                </c:pt>
                <c:pt idx="48">
                  <c:v>1.2588360573266919E-6</c:v>
                </c:pt>
                <c:pt idx="49">
                  <c:v>2.6033346302608519E-7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23-45CB-BAFB-9B8D4CD40C00}"/>
            </c:ext>
          </c:extLst>
        </c:ser>
        <c:ser>
          <c:idx val="1"/>
          <c:order val="1"/>
          <c:tx>
            <c:strRef>
              <c:f>Depart_Time_All!$L$66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Depart_Time_All!$L$67:$L$117</c:f>
              <c:numCache>
                <c:formatCode>0.00%</c:formatCode>
                <c:ptCount val="51"/>
                <c:pt idx="0">
                  <c:v>7.2718627823969853E-4</c:v>
                </c:pt>
                <c:pt idx="1">
                  <c:v>2.3425768235631598E-3</c:v>
                </c:pt>
                <c:pt idx="2">
                  <c:v>4.7068190369991859E-3</c:v>
                </c:pt>
                <c:pt idx="3">
                  <c:v>8.6560902772827714E-3</c:v>
                </c:pt>
                <c:pt idx="4">
                  <c:v>1.4975371482771728E-2</c:v>
                </c:pt>
                <c:pt idx="5">
                  <c:v>2.3992407687564023E-2</c:v>
                </c:pt>
                <c:pt idx="6">
                  <c:v>3.5118924243122664E-2</c:v>
                </c:pt>
                <c:pt idx="7">
                  <c:v>4.6700439817250625E-2</c:v>
                </c:pt>
                <c:pt idx="8">
                  <c:v>5.6424950164061273E-2</c:v>
                </c:pt>
                <c:pt idx="9">
                  <c:v>6.2195015629442484E-2</c:v>
                </c:pt>
                <c:pt idx="10">
                  <c:v>6.302131937837091E-2</c:v>
                </c:pt>
                <c:pt idx="11">
                  <c:v>5.9429853782286185E-2</c:v>
                </c:pt>
                <c:pt idx="12">
                  <c:v>5.3160725666183566E-2</c:v>
                </c:pt>
                <c:pt idx="13">
                  <c:v>4.6359920938914355E-2</c:v>
                </c:pt>
                <c:pt idx="14">
                  <c:v>4.0725592218869545E-2</c:v>
                </c:pt>
                <c:pt idx="15">
                  <c:v>3.702492636667537E-2</c:v>
                </c:pt>
                <c:pt idx="16">
                  <c:v>3.512320575516123E-2</c:v>
                </c:pt>
                <c:pt idx="17">
                  <c:v>3.4363614968139826E-2</c:v>
                </c:pt>
                <c:pt idx="18">
                  <c:v>3.3995745051077039E-2</c:v>
                </c:pt>
                <c:pt idx="19">
                  <c:v>3.3435132968913435E-2</c:v>
                </c:pt>
                <c:pt idx="20">
                  <c:v>3.2334177236426336E-2</c:v>
                </c:pt>
                <c:pt idx="21">
                  <c:v>3.0572165256229956E-2</c:v>
                </c:pt>
                <c:pt idx="22">
                  <c:v>2.8246999461600985E-2</c:v>
                </c:pt>
                <c:pt idx="23">
                  <c:v>2.5654114436406965E-2</c:v>
                </c:pt>
                <c:pt idx="24">
                  <c:v>2.3196580037078446E-2</c:v>
                </c:pt>
                <c:pt idx="25">
                  <c:v>2.1220547960368465E-2</c:v>
                </c:pt>
                <c:pt idx="26">
                  <c:v>1.9848152818046267E-2</c:v>
                </c:pt>
                <c:pt idx="27">
                  <c:v>1.8909010014275005E-2</c:v>
                </c:pt>
                <c:pt idx="28">
                  <c:v>1.8024766964766951E-2</c:v>
                </c:pt>
                <c:pt idx="29">
                  <c:v>1.680800583482165E-2</c:v>
                </c:pt>
                <c:pt idx="30">
                  <c:v>1.5061184294905007E-2</c:v>
                </c:pt>
                <c:pt idx="31">
                  <c:v>1.2860340225595216E-2</c:v>
                </c:pt>
                <c:pt idx="32">
                  <c:v>1.0485621597676142E-2</c:v>
                </c:pt>
                <c:pt idx="33">
                  <c:v>8.2592253863442242E-3</c:v>
                </c:pt>
                <c:pt idx="34">
                  <c:v>6.3986978628538943E-3</c:v>
                </c:pt>
                <c:pt idx="35">
                  <c:v>4.9616039456604763E-3</c:v>
                </c:pt>
                <c:pt idx="36">
                  <c:v>3.8830025557359724E-3</c:v>
                </c:pt>
                <c:pt idx="37">
                  <c:v>3.0529943694744236E-3</c:v>
                </c:pt>
                <c:pt idx="38">
                  <c:v>2.378985854030805E-3</c:v>
                </c:pt>
                <c:pt idx="39">
                  <c:v>1.8090284454256736E-3</c:v>
                </c:pt>
                <c:pt idx="40">
                  <c:v>1.3243778726984023E-3</c:v>
                </c:pt>
                <c:pt idx="41">
                  <c:v>9.2197228692373896E-4</c:v>
                </c:pt>
                <c:pt idx="42">
                  <c:v>6.0179558272484789E-4</c:v>
                </c:pt>
                <c:pt idx="43">
                  <c:v>3.617984536677024E-4</c:v>
                </c:pt>
                <c:pt idx="44">
                  <c:v>1.9606034268798716E-4</c:v>
                </c:pt>
                <c:pt idx="45">
                  <c:v>9.3473463648379704E-5</c:v>
                </c:pt>
                <c:pt idx="46">
                  <c:v>3.8196013543948777E-5</c:v>
                </c:pt>
                <c:pt idx="47">
                  <c:v>1.2999795849094253E-5</c:v>
                </c:pt>
                <c:pt idx="48">
                  <c:v>3.5621504170120406E-6</c:v>
                </c:pt>
                <c:pt idx="49">
                  <c:v>7.4094522694308809E-7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23-45CB-BAFB-9B8D4CD40C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3840"/>
        <c:axId val="123138560"/>
      </c:lineChart>
      <c:catAx>
        <c:axId val="12816384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138560"/>
        <c:crosses val="autoZero"/>
        <c:auto val="1"/>
        <c:lblAlgn val="ctr"/>
        <c:lblOffset val="100"/>
        <c:tickLblSkip val="2"/>
        <c:noMultiLvlLbl val="0"/>
      </c:catAx>
      <c:valAx>
        <c:axId val="12313856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3840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2576771653543345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Stop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Depart_Time_All!$C$66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Depart_Time_All!$C$67:$C$117</c:f>
              <c:numCache>
                <c:formatCode>0.00%</c:formatCode>
                <c:ptCount val="51"/>
                <c:pt idx="0">
                  <c:v>2.7026496885653942E-4</c:v>
                </c:pt>
                <c:pt idx="1">
                  <c:v>4.51873329632081E-4</c:v>
                </c:pt>
                <c:pt idx="2">
                  <c:v>1.0997980725417327E-3</c:v>
                </c:pt>
                <c:pt idx="3">
                  <c:v>3.1155836102393182E-3</c:v>
                </c:pt>
                <c:pt idx="4">
                  <c:v>8.1207577156460192E-3</c:v>
                </c:pt>
                <c:pt idx="5">
                  <c:v>1.8244862252652858E-2</c:v>
                </c:pt>
                <c:pt idx="6">
                  <c:v>3.5092812947673808E-2</c:v>
                </c:pt>
                <c:pt idx="7">
                  <c:v>5.8146317190847077E-2</c:v>
                </c:pt>
                <c:pt idx="8">
                  <c:v>8.3663669723063577E-2</c:v>
                </c:pt>
                <c:pt idx="9">
                  <c:v>0.10528745246134105</c:v>
                </c:pt>
                <c:pt idx="10">
                  <c:v>0.11655865622877651</c:v>
                </c:pt>
                <c:pt idx="11">
                  <c:v>0.11403724208853364</c:v>
                </c:pt>
                <c:pt idx="12">
                  <c:v>9.9050349497902118E-2</c:v>
                </c:pt>
                <c:pt idx="13">
                  <c:v>7.6910180710822451E-2</c:v>
                </c:pt>
                <c:pt idx="14">
                  <c:v>5.4168234273399909E-2</c:v>
                </c:pt>
                <c:pt idx="15">
                  <c:v>3.5730699978346499E-2</c:v>
                </c:pt>
                <c:pt idx="16">
                  <c:v>2.3477458240531386E-2</c:v>
                </c:pt>
                <c:pt idx="17">
                  <c:v>1.6706519650812244E-2</c:v>
                </c:pt>
                <c:pt idx="18">
                  <c:v>1.3521765576474687E-2</c:v>
                </c:pt>
                <c:pt idx="19">
                  <c:v>1.2090157866170004E-2</c:v>
                </c:pt>
                <c:pt idx="20">
                  <c:v>1.1267198980752478E-2</c:v>
                </c:pt>
                <c:pt idx="21">
                  <c:v>1.0641605856190386E-2</c:v>
                </c:pt>
                <c:pt idx="22">
                  <c:v>1.0237864113209183E-2</c:v>
                </c:pt>
                <c:pt idx="23">
                  <c:v>1.0124487152597377E-2</c:v>
                </c:pt>
                <c:pt idx="24">
                  <c:v>1.0168084283832602E-2</c:v>
                </c:pt>
                <c:pt idx="25">
                  <c:v>1.0069151654710503E-2</c:v>
                </c:pt>
                <c:pt idx="26">
                  <c:v>9.5858992002438876E-3</c:v>
                </c:pt>
                <c:pt idx="27">
                  <c:v>8.6991350283343715E-3</c:v>
                </c:pt>
                <c:pt idx="28">
                  <c:v>7.5718684896889082E-3</c:v>
                </c:pt>
                <c:pt idx="29">
                  <c:v>6.3887972065718645E-3</c:v>
                </c:pt>
                <c:pt idx="30">
                  <c:v>5.2514556305244455E-3</c:v>
                </c:pt>
                <c:pt idx="31">
                  <c:v>4.1912922636496899E-3</c:v>
                </c:pt>
                <c:pt idx="32">
                  <c:v>3.2284382842196189E-3</c:v>
                </c:pt>
                <c:pt idx="33">
                  <c:v>2.3957978204616256E-3</c:v>
                </c:pt>
                <c:pt idx="34">
                  <c:v>1.7221733057080017E-3</c:v>
                </c:pt>
                <c:pt idx="35">
                  <c:v>1.2144529498953618E-3</c:v>
                </c:pt>
                <c:pt idx="36">
                  <c:v>8.6597955468970813E-4</c:v>
                </c:pt>
                <c:pt idx="37">
                  <c:v>6.8176021899124203E-4</c:v>
                </c:pt>
                <c:pt idx="38">
                  <c:v>6.8692608826263193E-4</c:v>
                </c:pt>
                <c:pt idx="39">
                  <c:v>8.9234195955998881E-4</c:v>
                </c:pt>
                <c:pt idx="40">
                  <c:v>1.2351372408772616E-3</c:v>
                </c:pt>
                <c:pt idx="41">
                  <c:v>1.5587548438962097E-3</c:v>
                </c:pt>
                <c:pt idx="42">
                  <c:v>1.6821445076714353E-3</c:v>
                </c:pt>
                <c:pt idx="43">
                  <c:v>1.5185768933365521E-3</c:v>
                </c:pt>
                <c:pt idx="44">
                  <c:v>1.1358331300091143E-3</c:v>
                </c:pt>
                <c:pt idx="45">
                  <c:v>6.9815777373398154E-4</c:v>
                </c:pt>
                <c:pt idx="46">
                  <c:v>3.4887736033840374E-4</c:v>
                </c:pt>
                <c:pt idx="47">
                  <c:v>1.3950321553539785E-4</c:v>
                </c:pt>
                <c:pt idx="48">
                  <c:v>4.3575269524175746E-5</c:v>
                </c:pt>
                <c:pt idx="49">
                  <c:v>1.0073338720370601E-5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9F-451D-82CE-5BB4B7448718}"/>
            </c:ext>
          </c:extLst>
        </c:ser>
        <c:ser>
          <c:idx val="1"/>
          <c:order val="1"/>
          <c:tx>
            <c:strRef>
              <c:f>Depart_Time_All!$M$66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Depart_Time_All!$M$67:$M$117</c:f>
              <c:numCache>
                <c:formatCode>0.00%</c:formatCode>
                <c:ptCount val="51"/>
                <c:pt idx="0">
                  <c:v>3.1631065363509685E-5</c:v>
                </c:pt>
                <c:pt idx="1">
                  <c:v>1.0958206528582546E-3</c:v>
                </c:pt>
                <c:pt idx="2">
                  <c:v>2.7518721745433809E-3</c:v>
                </c:pt>
                <c:pt idx="3">
                  <c:v>5.9026674299357635E-3</c:v>
                </c:pt>
                <c:pt idx="4">
                  <c:v>1.1843384115420248E-2</c:v>
                </c:pt>
                <c:pt idx="5">
                  <c:v>2.1858544964235595E-2</c:v>
                </c:pt>
                <c:pt idx="6">
                  <c:v>3.6292094967928797E-2</c:v>
                </c:pt>
                <c:pt idx="7">
                  <c:v>5.3595427563100359E-2</c:v>
                </c:pt>
                <c:pt idx="8">
                  <c:v>7.0267877334689144E-2</c:v>
                </c:pt>
                <c:pt idx="9">
                  <c:v>8.2174124522801886E-2</c:v>
                </c:pt>
                <c:pt idx="10">
                  <c:v>8.6552090103971663E-2</c:v>
                </c:pt>
                <c:pt idx="11">
                  <c:v>8.3275227523149295E-2</c:v>
                </c:pt>
                <c:pt idx="12">
                  <c:v>7.4518652744695504E-2</c:v>
                </c:pt>
                <c:pt idx="13">
                  <c:v>6.3313088470216786E-2</c:v>
                </c:pt>
                <c:pt idx="14">
                  <c:v>5.2164675975367357E-2</c:v>
                </c:pt>
                <c:pt idx="15">
                  <c:v>4.2480036473441146E-2</c:v>
                </c:pt>
                <c:pt idx="16">
                  <c:v>3.471467429032199E-2</c:v>
                </c:pt>
                <c:pt idx="17">
                  <c:v>2.8783738409683766E-2</c:v>
                </c:pt>
                <c:pt idx="18">
                  <c:v>2.4400433665539518E-2</c:v>
                </c:pt>
                <c:pt idx="19">
                  <c:v>2.1256865923530439E-2</c:v>
                </c:pt>
                <c:pt idx="20">
                  <c:v>1.9093690962439111E-2</c:v>
                </c:pt>
                <c:pt idx="21">
                  <c:v>1.7717781989693863E-2</c:v>
                </c:pt>
                <c:pt idx="22">
                  <c:v>1.6988309980419024E-2</c:v>
                </c:pt>
                <c:pt idx="23">
                  <c:v>1.6763523980087926E-2</c:v>
                </c:pt>
                <c:pt idx="24">
                  <c:v>1.6827900231947565E-2</c:v>
                </c:pt>
                <c:pt idx="25">
                  <c:v>1.6870340001799617E-2</c:v>
                </c:pt>
                <c:pt idx="26">
                  <c:v>1.6564627200871439E-2</c:v>
                </c:pt>
                <c:pt idx="27">
                  <c:v>1.5701414212740506E-2</c:v>
                </c:pt>
                <c:pt idx="28">
                  <c:v>1.4259564979705607E-2</c:v>
                </c:pt>
                <c:pt idx="29">
                  <c:v>1.2371017193116677E-2</c:v>
                </c:pt>
                <c:pt idx="30">
                  <c:v>1.0239502130244924E-2</c:v>
                </c:pt>
                <c:pt idx="31">
                  <c:v>8.0848765651392162E-3</c:v>
                </c:pt>
                <c:pt idx="32">
                  <c:v>6.1138617691705735E-3</c:v>
                </c:pt>
                <c:pt idx="33">
                  <c:v>4.4819381237547942E-3</c:v>
                </c:pt>
                <c:pt idx="34">
                  <c:v>3.2490956689757459E-3</c:v>
                </c:pt>
                <c:pt idx="35">
                  <c:v>2.3700798457028439E-3</c:v>
                </c:pt>
                <c:pt idx="36">
                  <c:v>1.7382995937490829E-3</c:v>
                </c:pt>
                <c:pt idx="37">
                  <c:v>1.2524958610365708E-3</c:v>
                </c:pt>
                <c:pt idx="38">
                  <c:v>8.581724625776275E-4</c:v>
                </c:pt>
                <c:pt idx="39">
                  <c:v>5.4458785509875973E-4</c:v>
                </c:pt>
                <c:pt idx="40">
                  <c:v>3.1609149175220759E-4</c:v>
                </c:pt>
                <c:pt idx="41">
                  <c:v>1.6828023219882181E-4</c:v>
                </c:pt>
                <c:pt idx="42">
                  <c:v>8.3466486196464819E-5</c:v>
                </c:pt>
                <c:pt idx="43">
                  <c:v>3.9291558708563769E-5</c:v>
                </c:pt>
                <c:pt idx="44">
                  <c:v>1.7622032280023772E-5</c:v>
                </c:pt>
                <c:pt idx="45">
                  <c:v>7.360352106154528E-6</c:v>
                </c:pt>
                <c:pt idx="46">
                  <c:v>2.7430473408210308E-6</c:v>
                </c:pt>
                <c:pt idx="47">
                  <c:v>8.6908040116063199E-7</c:v>
                </c:pt>
                <c:pt idx="48">
                  <c:v>2.2317616009492792E-7</c:v>
                </c:pt>
                <c:pt idx="49">
                  <c:v>4.3563789814630067E-8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9F-451D-82CE-5BB4B74487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4864"/>
        <c:axId val="123140864"/>
      </c:lineChart>
      <c:catAx>
        <c:axId val="1281648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140864"/>
        <c:crosses val="autoZero"/>
        <c:auto val="1"/>
        <c:lblAlgn val="ctr"/>
        <c:lblOffset val="100"/>
        <c:tickLblSkip val="2"/>
        <c:noMultiLvlLbl val="0"/>
      </c:catAx>
      <c:valAx>
        <c:axId val="1231408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4864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Depart_Time_All!$D$66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Depart_Time_All!$D$67:$D$117</c:f>
              <c:numCache>
                <c:formatCode>0.00%</c:formatCode>
                <c:ptCount val="51"/>
                <c:pt idx="0">
                  <c:v>8.9031218935357685E-5</c:v>
                </c:pt>
                <c:pt idx="1">
                  <c:v>5.6493495360946354E-4</c:v>
                </c:pt>
                <c:pt idx="2">
                  <c:v>1.1770042867570451E-3</c:v>
                </c:pt>
                <c:pt idx="3">
                  <c:v>2.2063774608559058E-3</c:v>
                </c:pt>
                <c:pt idx="4">
                  <c:v>4.1888307698184175E-3</c:v>
                </c:pt>
                <c:pt idx="5">
                  <c:v>7.8908647645966959E-3</c:v>
                </c:pt>
                <c:pt idx="6">
                  <c:v>1.4031512963492844E-2</c:v>
                </c:pt>
                <c:pt idx="7">
                  <c:v>2.2755752076655734E-2</c:v>
                </c:pt>
                <c:pt idx="8">
                  <c:v>3.3116864396657085E-2</c:v>
                </c:pt>
                <c:pt idx="9">
                  <c:v>4.2996291344843049E-2</c:v>
                </c:pt>
                <c:pt idx="10">
                  <c:v>4.9743288951478566E-2</c:v>
                </c:pt>
                <c:pt idx="11">
                  <c:v>5.1347189974824667E-2</c:v>
                </c:pt>
                <c:pt idx="12">
                  <c:v>4.7488330075664206E-2</c:v>
                </c:pt>
                <c:pt idx="13">
                  <c:v>3.9770068599181363E-2</c:v>
                </c:pt>
                <c:pt idx="14">
                  <c:v>3.0931313300803228E-2</c:v>
                </c:pt>
                <c:pt idx="15">
                  <c:v>2.3526888141414987E-2</c:v>
                </c:pt>
                <c:pt idx="16">
                  <c:v>1.8900338830386491E-2</c:v>
                </c:pt>
                <c:pt idx="17">
                  <c:v>1.7009839097633123E-2</c:v>
                </c:pt>
                <c:pt idx="18">
                  <c:v>1.7052148363302683E-2</c:v>
                </c:pt>
                <c:pt idx="19">
                  <c:v>1.8339626967603582E-2</c:v>
                </c:pt>
                <c:pt idx="20">
                  <c:v>2.0808188756862977E-2</c:v>
                </c:pt>
                <c:pt idx="21">
                  <c:v>2.4842393398730751E-2</c:v>
                </c:pt>
                <c:pt idx="22">
                  <c:v>3.0599820400480274E-2</c:v>
                </c:pt>
                <c:pt idx="23">
                  <c:v>3.741484022287081E-2</c:v>
                </c:pt>
                <c:pt idx="24">
                  <c:v>4.3830944172569324E-2</c:v>
                </c:pt>
                <c:pt idx="25">
                  <c:v>4.8272318411389119E-2</c:v>
                </c:pt>
                <c:pt idx="26">
                  <c:v>4.9787182183754247E-2</c:v>
                </c:pt>
                <c:pt idx="27">
                  <c:v>4.8300465021563807E-2</c:v>
                </c:pt>
                <c:pt idx="28">
                  <c:v>4.4367921882807401E-2</c:v>
                </c:pt>
                <c:pt idx="29">
                  <c:v>3.8830960983413175E-2</c:v>
                </c:pt>
                <c:pt idx="30">
                  <c:v>3.2623893092253296E-2</c:v>
                </c:pt>
                <c:pt idx="31">
                  <c:v>2.6649264905016699E-2</c:v>
                </c:pt>
                <c:pt idx="32">
                  <c:v>2.1593564357817348E-2</c:v>
                </c:pt>
                <c:pt idx="33">
                  <c:v>1.7746852792432519E-2</c:v>
                </c:pt>
                <c:pt idx="34">
                  <c:v>1.4976565114553973E-2</c:v>
                </c:pt>
                <c:pt idx="35">
                  <c:v>1.2891930267117923E-2</c:v>
                </c:pt>
                <c:pt idx="36">
                  <c:v>1.1085902221694947E-2</c:v>
                </c:pt>
                <c:pt idx="37">
                  <c:v>9.3056545678180218E-3</c:v>
                </c:pt>
                <c:pt idx="38">
                  <c:v>7.4868056882823296E-3</c:v>
                </c:pt>
                <c:pt idx="39">
                  <c:v>5.6938205685758631E-3</c:v>
                </c:pt>
                <c:pt idx="40">
                  <c:v>4.0433349660475137E-3</c:v>
                </c:pt>
                <c:pt idx="41">
                  <c:v>2.6478936784329601E-3</c:v>
                </c:pt>
                <c:pt idx="42">
                  <c:v>1.5787299603832355E-3</c:v>
                </c:pt>
                <c:pt idx="43">
                  <c:v>8.4575547298791219E-4</c:v>
                </c:pt>
                <c:pt idx="44">
                  <c:v>4.0143757592973097E-4</c:v>
                </c:pt>
                <c:pt idx="45">
                  <c:v>1.6611940241002628E-4</c:v>
                </c:pt>
                <c:pt idx="46">
                  <c:v>5.8756791178186237E-5</c:v>
                </c:pt>
                <c:pt idx="47">
                  <c:v>1.7322163050047352E-5</c:v>
                </c:pt>
                <c:pt idx="48">
                  <c:v>4.1181514033994605E-6</c:v>
                </c:pt>
                <c:pt idx="49">
                  <c:v>7.4628965798994638E-7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5B-4D98-A493-2D8D047C3E89}"/>
            </c:ext>
          </c:extLst>
        </c:ser>
        <c:ser>
          <c:idx val="1"/>
          <c:order val="1"/>
          <c:tx>
            <c:strRef>
              <c:f>Depart_Time_All!$N$66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Depart_Time_All!$N$67:$N$117</c:f>
              <c:numCache>
                <c:formatCode>0.00%</c:formatCode>
                <c:ptCount val="51"/>
                <c:pt idx="0">
                  <c:v>1.9630102330051185E-3</c:v>
                </c:pt>
                <c:pt idx="1">
                  <c:v>5.3390303016657356E-3</c:v>
                </c:pt>
                <c:pt idx="2">
                  <c:v>8.7934790753270414E-3</c:v>
                </c:pt>
                <c:pt idx="3">
                  <c:v>1.2637269186337986E-2</c:v>
                </c:pt>
                <c:pt idx="4">
                  <c:v>1.7347469052001019E-2</c:v>
                </c:pt>
                <c:pt idx="5">
                  <c:v>2.3192919298047246E-2</c:v>
                </c:pt>
                <c:pt idx="6">
                  <c:v>2.9848614684569487E-2</c:v>
                </c:pt>
                <c:pt idx="7">
                  <c:v>3.6340388381290008E-2</c:v>
                </c:pt>
                <c:pt idx="8">
                  <c:v>4.1418330523232016E-2</c:v>
                </c:pt>
                <c:pt idx="9">
                  <c:v>4.4145515437836576E-2</c:v>
                </c:pt>
                <c:pt idx="10">
                  <c:v>4.4345644071055942E-2</c:v>
                </c:pt>
                <c:pt idx="11">
                  <c:v>4.2646757763855382E-2</c:v>
                </c:pt>
                <c:pt idx="12">
                  <c:v>4.0099814305295793E-2</c:v>
                </c:pt>
                <c:pt idx="13">
                  <c:v>3.7606027984785677E-2</c:v>
                </c:pt>
                <c:pt idx="14">
                  <c:v>3.5516093227287465E-2</c:v>
                </c:pt>
                <c:pt idx="15">
                  <c:v>3.3651877779921395E-2</c:v>
                </c:pt>
                <c:pt idx="16">
                  <c:v>3.168254566090821E-2</c:v>
                </c:pt>
                <c:pt idx="17">
                  <c:v>2.951584912678084E-2</c:v>
                </c:pt>
                <c:pt idx="18">
                  <c:v>2.7396677300094822E-2</c:v>
                </c:pt>
                <c:pt idx="19">
                  <c:v>2.5699184467695754E-2</c:v>
                </c:pt>
                <c:pt idx="20">
                  <c:v>2.4656368354175871E-2</c:v>
                </c:pt>
                <c:pt idx="21">
                  <c:v>2.4266640120307704E-2</c:v>
                </c:pt>
                <c:pt idx="22">
                  <c:v>2.4407018240286255E-2</c:v>
                </c:pt>
                <c:pt idx="23">
                  <c:v>2.4993007060690183E-2</c:v>
                </c:pt>
                <c:pt idx="24">
                  <c:v>2.6016593491569106E-2</c:v>
                </c:pt>
                <c:pt idx="25">
                  <c:v>2.7437109880787187E-2</c:v>
                </c:pt>
                <c:pt idx="26">
                  <c:v>2.9038398313669559E-2</c:v>
                </c:pt>
                <c:pt idx="27">
                  <c:v>3.0384928384018441E-2</c:v>
                </c:pt>
                <c:pt idx="28">
                  <c:v>3.0929944182202102E-2</c:v>
                </c:pt>
                <c:pt idx="29">
                  <c:v>3.0233644098092226E-2</c:v>
                </c:pt>
                <c:pt idx="30">
                  <c:v>2.818138178512427E-2</c:v>
                </c:pt>
                <c:pt idx="31">
                  <c:v>2.5067010599531512E-2</c:v>
                </c:pt>
                <c:pt idx="32">
                  <c:v>2.1463292837789485E-2</c:v>
                </c:pt>
                <c:pt idx="33">
                  <c:v>1.7943325285178315E-2</c:v>
                </c:pt>
                <c:pt idx="34">
                  <c:v>1.4838759873213397E-2</c:v>
                </c:pt>
                <c:pt idx="35">
                  <c:v>1.2192522082213133E-2</c:v>
                </c:pt>
                <c:pt idx="36">
                  <c:v>9.8975471036705526E-3</c:v>
                </c:pt>
                <c:pt idx="37">
                  <c:v>7.8691130996498652E-3</c:v>
                </c:pt>
                <c:pt idx="38">
                  <c:v>6.109066704068261E-3</c:v>
                </c:pt>
                <c:pt idx="39">
                  <c:v>4.6518841871316186E-3</c:v>
                </c:pt>
                <c:pt idx="40">
                  <c:v>3.4894420674707201E-3</c:v>
                </c:pt>
                <c:pt idx="41">
                  <c:v>2.5594636077820782E-3</c:v>
                </c:pt>
                <c:pt idx="42">
                  <c:v>1.7937016459840932E-3</c:v>
                </c:pt>
                <c:pt idx="43">
                  <c:v>1.1628496265108496E-3</c:v>
                </c:pt>
                <c:pt idx="44">
                  <c:v>6.7499305241566776E-4</c:v>
                </c:pt>
                <c:pt idx="45">
                  <c:v>3.4077472824851999E-4</c:v>
                </c:pt>
                <c:pt idx="46">
                  <c:v>1.4574299997562585E-4</c:v>
                </c:pt>
                <c:pt idx="47">
                  <c:v>5.1407716264264403E-5</c:v>
                </c:pt>
                <c:pt idx="48">
                  <c:v>1.4489510123460168E-5</c:v>
                </c:pt>
                <c:pt idx="49">
                  <c:v>3.0815008621589877E-6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65B-4D98-A493-2D8D047C3E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8688"/>
        <c:axId val="129836160"/>
      </c:lineChart>
      <c:catAx>
        <c:axId val="15185868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9836160"/>
        <c:crosses val="autoZero"/>
        <c:auto val="1"/>
        <c:lblAlgn val="ctr"/>
        <c:lblOffset val="100"/>
        <c:tickLblSkip val="2"/>
        <c:noMultiLvlLbl val="0"/>
      </c:catAx>
      <c:valAx>
        <c:axId val="12983616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1858688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baseline="0" lang="en-US"/>
              <a:t> Business</a:t>
            </a:r>
            <a:r>
              <a:rPr lang="en-US"/>
              <a:t>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Depart_Time_All!$E$66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Depart_Time_All!$E$67:$E$117</c:f>
              <c:numCache>
                <c:formatCode>0.00%</c:formatCode>
                <c:ptCount val="51"/>
                <c:pt idx="0">
                  <c:v>0</c:v>
                </c:pt>
                <c:pt idx="1">
                  <c:v>3.7244972796360195E-4</c:v>
                </c:pt>
                <c:pt idx="2">
                  <c:v>7.8416982667291017E-4</c:v>
                </c:pt>
                <c:pt idx="3">
                  <c:v>1.3176218964176356E-3</c:v>
                </c:pt>
                <c:pt idx="4">
                  <c:v>2.1224838885445384E-3</c:v>
                </c:pt>
                <c:pt idx="5">
                  <c:v>3.4059099755943878E-3</c:v>
                </c:pt>
                <c:pt idx="6">
                  <c:v>5.3857805269964219E-3</c:v>
                </c:pt>
                <c:pt idx="7">
                  <c:v>8.2227888001676769E-3</c:v>
                </c:pt>
                <c:pt idx="8">
                  <c:v>1.1963007415974143E-2</c:v>
                </c:pt>
                <c:pt idx="9">
                  <c:v>1.6513794412317737E-2</c:v>
                </c:pt>
                <c:pt idx="10">
                  <c:v>2.1644406050972016E-2</c:v>
                </c:pt>
                <c:pt idx="11">
                  <c:v>2.699187876519582E-2</c:v>
                </c:pt>
                <c:pt idx="12">
                  <c:v>3.2087688027370061E-2</c:v>
                </c:pt>
                <c:pt idx="13">
                  <c:v>3.6444547337413424E-2</c:v>
                </c:pt>
                <c:pt idx="14">
                  <c:v>3.9692123192444008E-2</c:v>
                </c:pt>
                <c:pt idx="15">
                  <c:v>4.1682457066026912E-2</c:v>
                </c:pt>
                <c:pt idx="16">
                  <c:v>4.2509031907989984E-2</c:v>
                </c:pt>
                <c:pt idx="17">
                  <c:v>4.2466440377216211E-2</c:v>
                </c:pt>
                <c:pt idx="18">
                  <c:v>4.1988250760789769E-2</c:v>
                </c:pt>
                <c:pt idx="19">
                  <c:v>4.1541807211141209E-2</c:v>
                </c:pt>
                <c:pt idx="20">
                  <c:v>4.1469542477941594E-2</c:v>
                </c:pt>
                <c:pt idx="21">
                  <c:v>4.1861597207738188E-2</c:v>
                </c:pt>
                <c:pt idx="22">
                  <c:v>4.2564246138604142E-2</c:v>
                </c:pt>
                <c:pt idx="23">
                  <c:v>4.330676064936842E-2</c:v>
                </c:pt>
                <c:pt idx="24">
                  <c:v>4.3820396997344253E-2</c:v>
                </c:pt>
                <c:pt idx="25">
                  <c:v>4.3872750266484579E-2</c:v>
                </c:pt>
                <c:pt idx="26">
                  <c:v>4.3268955871066779E-2</c:v>
                </c:pt>
                <c:pt idx="27">
                  <c:v>4.1894456029279714E-2</c:v>
                </c:pt>
                <c:pt idx="28">
                  <c:v>3.976977692008854E-2</c:v>
                </c:pt>
                <c:pt idx="29">
                  <c:v>3.7021476587733436E-2</c:v>
                </c:pt>
                <c:pt idx="30">
                  <c:v>3.3760448146196005E-2</c:v>
                </c:pt>
                <c:pt idx="31">
                  <c:v>2.9995974020049474E-2</c:v>
                </c:pt>
                <c:pt idx="32">
                  <c:v>2.5707274200695476E-2</c:v>
                </c:pt>
                <c:pt idx="33">
                  <c:v>2.1018753394183957E-2</c:v>
                </c:pt>
                <c:pt idx="34">
                  <c:v>1.6284313524707595E-2</c:v>
                </c:pt>
                <c:pt idx="35">
                  <c:v>1.19672996689463E-2</c:v>
                </c:pt>
                <c:pt idx="36">
                  <c:v>8.4193224537753453E-3</c:v>
                </c:pt>
                <c:pt idx="37">
                  <c:v>5.751985833120212E-3</c:v>
                </c:pt>
                <c:pt idx="38">
                  <c:v>3.8725791482348716E-3</c:v>
                </c:pt>
                <c:pt idx="39">
                  <c:v>2.598440534205675E-3</c:v>
                </c:pt>
                <c:pt idx="40">
                  <c:v>1.74593604569537E-3</c:v>
                </c:pt>
                <c:pt idx="41">
                  <c:v>1.1678653970596819E-3</c:v>
                </c:pt>
                <c:pt idx="42">
                  <c:v>7.626690756754698E-4</c:v>
                </c:pt>
                <c:pt idx="43">
                  <c:v>4.7182721672133648E-4</c:v>
                </c:pt>
                <c:pt idx="44">
                  <c:v>2.6740282250170907E-4</c:v>
                </c:pt>
                <c:pt idx="45">
                  <c:v>1.344685078721347E-4</c:v>
                </c:pt>
                <c:pt idx="46">
                  <c:v>5.8239140894709971E-5</c:v>
                </c:pt>
                <c:pt idx="47">
                  <c:v>2.1079932924439679E-5</c:v>
                </c:pt>
                <c:pt idx="48">
                  <c:v>6.1589058112959199E-6</c:v>
                </c:pt>
                <c:pt idx="49">
                  <c:v>1.3657178706670521E-6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05-425A-B8D6-535BBC03167B}"/>
            </c:ext>
          </c:extLst>
        </c:ser>
        <c:ser>
          <c:idx val="1"/>
          <c:order val="1"/>
          <c:tx>
            <c:strRef>
              <c:f>Depart_Time_All!$O$66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Depart_Time_All!$O$67:$O$117</c:f>
              <c:numCache>
                <c:formatCode>0.00%</c:formatCode>
                <c:ptCount val="51"/>
                <c:pt idx="0">
                  <c:v>3.5992894122857829E-4</c:v>
                </c:pt>
                <c:pt idx="1">
                  <c:v>1.3600784972988421E-3</c:v>
                </c:pt>
                <c:pt idx="2">
                  <c:v>2.5040511392018425E-3</c:v>
                </c:pt>
                <c:pt idx="3">
                  <c:v>4.023030758594886E-3</c:v>
                </c:pt>
                <c:pt idx="4">
                  <c:v>6.2269518392326952E-3</c:v>
                </c:pt>
                <c:pt idx="5">
                  <c:v>9.3787144074210151E-3</c:v>
                </c:pt>
                <c:pt idx="6">
                  <c:v>1.3518310284400059E-2</c:v>
                </c:pt>
                <c:pt idx="7">
                  <c:v>1.8347287694692429E-2</c:v>
                </c:pt>
                <c:pt idx="8">
                  <c:v>2.3268370087883166E-2</c:v>
                </c:pt>
                <c:pt idx="9">
                  <c:v>2.760841094829615E-2</c:v>
                </c:pt>
                <c:pt idx="10">
                  <c:v>3.094055207615266E-2</c:v>
                </c:pt>
                <c:pt idx="11">
                  <c:v>3.3305106896459116E-2</c:v>
                </c:pt>
                <c:pt idx="12">
                  <c:v>3.5126693335000056E-2</c:v>
                </c:pt>
                <c:pt idx="13">
                  <c:v>3.6833047890523815E-2</c:v>
                </c:pt>
                <c:pt idx="14">
                  <c:v>3.8474484616651317E-2</c:v>
                </c:pt>
                <c:pt idx="15">
                  <c:v>3.9701076972978297E-2</c:v>
                </c:pt>
                <c:pt idx="16">
                  <c:v>4.0134550580046585E-2</c:v>
                </c:pt>
                <c:pt idx="17">
                  <c:v>3.9776797395763785E-2</c:v>
                </c:pt>
                <c:pt idx="18">
                  <c:v>3.9064291848409927E-2</c:v>
                </c:pt>
                <c:pt idx="19">
                  <c:v>3.8540471038258139E-2</c:v>
                </c:pt>
                <c:pt idx="20">
                  <c:v>3.8476230260611678E-2</c:v>
                </c:pt>
                <c:pt idx="21">
                  <c:v>3.8773247503881711E-2</c:v>
                </c:pt>
                <c:pt idx="22">
                  <c:v>3.918143794859566E-2</c:v>
                </c:pt>
                <c:pt idx="23">
                  <c:v>3.9570916990938683E-2</c:v>
                </c:pt>
                <c:pt idx="24">
                  <c:v>3.9983437344198063E-2</c:v>
                </c:pt>
                <c:pt idx="25">
                  <c:v>4.0432712128402375E-2</c:v>
                </c:pt>
                <c:pt idx="26">
                  <c:v>4.0673241460214775E-2</c:v>
                </c:pt>
                <c:pt idx="27">
                  <c:v>4.0180052963729784E-2</c:v>
                </c:pt>
                <c:pt idx="28">
                  <c:v>3.8386433613577936E-2</c:v>
                </c:pt>
                <c:pt idx="29">
                  <c:v>3.5015250858268225E-2</c:v>
                </c:pt>
                <c:pt idx="30">
                  <c:v>3.027954545678423E-2</c:v>
                </c:pt>
                <c:pt idx="31">
                  <c:v>2.4826970285169708E-2</c:v>
                </c:pt>
                <c:pt idx="32">
                  <c:v>1.9465288164501625E-2</c:v>
                </c:pt>
                <c:pt idx="33">
                  <c:v>1.4832587585495327E-2</c:v>
                </c:pt>
                <c:pt idx="34">
                  <c:v>1.1198005353789493E-2</c:v>
                </c:pt>
                <c:pt idx="35">
                  <c:v>8.4817599505706137E-3</c:v>
                </c:pt>
                <c:pt idx="36">
                  <c:v>6.4339342374332888E-3</c:v>
                </c:pt>
                <c:pt idx="37">
                  <c:v>4.823883202466679E-3</c:v>
                </c:pt>
                <c:pt idx="38">
                  <c:v>3.5266233150298182E-3</c:v>
                </c:pt>
                <c:pt idx="39">
                  <c:v>2.4993670023749012E-3</c:v>
                </c:pt>
                <c:pt idx="40">
                  <c:v>1.7189341063397242E-3</c:v>
                </c:pt>
                <c:pt idx="41">
                  <c:v>1.1467367600289653E-3</c:v>
                </c:pt>
                <c:pt idx="42">
                  <c:v>7.3410114633242309E-4</c:v>
                </c:pt>
                <c:pt idx="43">
                  <c:v>4.4066381032631136E-4</c:v>
                </c:pt>
                <c:pt idx="44">
                  <c:v>2.4069303466291015E-4</c:v>
                </c:pt>
                <c:pt idx="45">
                  <c:v>1.1597898212404468E-4</c:v>
                </c:pt>
                <c:pt idx="46">
                  <c:v>4.7862638776050152E-5</c:v>
                </c:pt>
                <c:pt idx="47">
                  <c:v>1.6421451774592224E-5</c:v>
                </c:pt>
                <c:pt idx="48">
                  <c:v>4.528466465049253E-6</c:v>
                </c:pt>
                <c:pt idx="49">
                  <c:v>9.4672864200562653E-7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05-425A-B8D6-535BBC0316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5376"/>
        <c:axId val="129838464"/>
      </c:lineChart>
      <c:catAx>
        <c:axId val="12816537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9838464"/>
        <c:crosses val="autoZero"/>
        <c:auto val="1"/>
        <c:lblAlgn val="ctr"/>
        <c:lblOffset val="100"/>
        <c:tickLblSkip val="2"/>
        <c:noMultiLvlLbl val="0"/>
      </c:catAx>
      <c:valAx>
        <c:axId val="1298384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5376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Depart_Time_All!$F$66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Depart_Time_All!$F$67:$F$117</c:f>
              <c:numCache>
                <c:formatCode>0.00%</c:formatCode>
                <c:ptCount val="51"/>
                <c:pt idx="0">
                  <c:v>0</c:v>
                </c:pt>
                <c:pt idx="1">
                  <c:v>2.2565028245090545E-4</c:v>
                </c:pt>
                <c:pt idx="2">
                  <c:v>4.0411620225947793E-4</c:v>
                </c:pt>
                <c:pt idx="3">
                  <c:v>5.3623443285385976E-4</c:v>
                </c:pt>
                <c:pt idx="4">
                  <c:v>6.9524932640393166E-4</c:v>
                </c:pt>
                <c:pt idx="5">
                  <c:v>1.0183044465109227E-3</c:v>
                </c:pt>
                <c:pt idx="6">
                  <c:v>1.6741829285143017E-3</c:v>
                </c:pt>
                <c:pt idx="7">
                  <c:v>2.8283816639346985E-3</c:v>
                </c:pt>
                <c:pt idx="8">
                  <c:v>4.6279429937231414E-3</c:v>
                </c:pt>
                <c:pt idx="9">
                  <c:v>7.213668969888236E-3</c:v>
                </c:pt>
                <c:pt idx="10">
                  <c:v>1.0730974899654614E-2</c:v>
                </c:pt>
                <c:pt idx="11">
                  <c:v>1.5277809395118616E-2</c:v>
                </c:pt>
                <c:pt idx="12">
                  <c:v>2.0759936301253414E-2</c:v>
                </c:pt>
                <c:pt idx="13">
                  <c:v>2.6739243026894649E-2</c:v>
                </c:pt>
                <c:pt idx="14">
                  <c:v>3.2453354384230727E-2</c:v>
                </c:pt>
                <c:pt idx="15">
                  <c:v>3.7099898650406804E-2</c:v>
                </c:pt>
                <c:pt idx="16">
                  <c:v>4.0231348858512234E-2</c:v>
                </c:pt>
                <c:pt idx="17">
                  <c:v>4.1949908218875703E-2</c:v>
                </c:pt>
                <c:pt idx="18">
                  <c:v>4.274262671075435E-2</c:v>
                </c:pt>
                <c:pt idx="19">
                  <c:v>4.312375904781502E-2</c:v>
                </c:pt>
                <c:pt idx="20">
                  <c:v>4.3400219379164592E-2</c:v>
                </c:pt>
                <c:pt idx="21">
                  <c:v>4.3700894549140605E-2</c:v>
                </c:pt>
                <c:pt idx="22">
                  <c:v>4.4127172013891644E-2</c:v>
                </c:pt>
                <c:pt idx="23">
                  <c:v>4.479078033248618E-2</c:v>
                </c:pt>
                <c:pt idx="24">
                  <c:v>4.5680133631492183E-2</c:v>
                </c:pt>
                <c:pt idx="25">
                  <c:v>4.6531983919410339E-2</c:v>
                </c:pt>
                <c:pt idx="26">
                  <c:v>4.6903074679938601E-2</c:v>
                </c:pt>
                <c:pt idx="27">
                  <c:v>4.6407872431937711E-2</c:v>
                </c:pt>
                <c:pt idx="28">
                  <c:v>4.4903322007268591E-2</c:v>
                </c:pt>
                <c:pt idx="29">
                  <c:v>4.2487774241910317E-2</c:v>
                </c:pt>
                <c:pt idx="30">
                  <c:v>3.9383621851789237E-2</c:v>
                </c:pt>
                <c:pt idx="31">
                  <c:v>3.5820650722197388E-2</c:v>
                </c:pt>
                <c:pt idx="32">
                  <c:v>3.1954830858172044E-2</c:v>
                </c:pt>
                <c:pt idx="33">
                  <c:v>2.7836700484832826E-2</c:v>
                </c:pt>
                <c:pt idx="34">
                  <c:v>2.3472014974566347E-2</c:v>
                </c:pt>
                <c:pt idx="35">
                  <c:v>1.8952837686825555E-2</c:v>
                </c:pt>
                <c:pt idx="36">
                  <c:v>1.4531116095535186E-2</c:v>
                </c:pt>
                <c:pt idx="37">
                  <c:v>1.0541601989855058E-2</c:v>
                </c:pt>
                <c:pt idx="38">
                  <c:v>7.2423804722418694E-3</c:v>
                </c:pt>
                <c:pt idx="39">
                  <c:v>4.7194733050711151E-3</c:v>
                </c:pt>
                <c:pt idx="40">
                  <c:v>2.9110448039902808E-3</c:v>
                </c:pt>
                <c:pt idx="41">
                  <c:v>1.6872596924007055E-3</c:v>
                </c:pt>
                <c:pt idx="42">
                  <c:v>9.0904523443734967E-4</c:v>
                </c:pt>
                <c:pt idx="43">
                  <c:v>4.4983095157882281E-4</c:v>
                </c:pt>
                <c:pt idx="44">
                  <c:v>2.0183629433240409E-4</c:v>
                </c:pt>
                <c:pt idx="45">
                  <c:v>8.0835101984487933E-5</c:v>
                </c:pt>
                <c:pt idx="46">
                  <c:v>2.8284971414677141E-5</c:v>
                </c:pt>
                <c:pt idx="47">
                  <c:v>8.399670752744902E-6</c:v>
                </c:pt>
                <c:pt idx="48">
                  <c:v>2.0375599368101342E-6</c:v>
                </c:pt>
                <c:pt idx="49">
                  <c:v>3.7935138888739621E-7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64-41EB-8389-A7697BB13204}"/>
            </c:ext>
          </c:extLst>
        </c:ser>
        <c:ser>
          <c:idx val="1"/>
          <c:order val="1"/>
          <c:tx>
            <c:strRef>
              <c:f>Depart_Time_All!$P$66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Depart_Time_All!$P$67:$P$117</c:f>
              <c:numCache>
                <c:formatCode>0.00%</c:formatCode>
                <c:ptCount val="51"/>
                <c:pt idx="0">
                  <c:v>8.357016336392949E-4</c:v>
                </c:pt>
                <c:pt idx="1">
                  <c:v>1.4086289717590605E-3</c:v>
                </c:pt>
                <c:pt idx="2">
                  <c:v>2.0664419631545253E-3</c:v>
                </c:pt>
                <c:pt idx="3">
                  <c:v>2.9651277443605239E-3</c:v>
                </c:pt>
                <c:pt idx="4">
                  <c:v>4.3355115985802863E-3</c:v>
                </c:pt>
                <c:pt idx="5">
                  <c:v>6.4014424272873576E-3</c:v>
                </c:pt>
                <c:pt idx="6">
                  <c:v>9.2525548906630256E-3</c:v>
                </c:pt>
                <c:pt idx="7">
                  <c:v>1.2744927689524529E-2</c:v>
                </c:pt>
                <c:pt idx="8">
                  <c:v>1.6502675513428159E-2</c:v>
                </c:pt>
                <c:pt idx="9">
                  <c:v>2.00547454811391E-2</c:v>
                </c:pt>
                <c:pt idx="10">
                  <c:v>2.305855779501282E-2</c:v>
                </c:pt>
                <c:pt idx="11">
                  <c:v>2.5471421369654544E-2</c:v>
                </c:pt>
                <c:pt idx="12">
                  <c:v>2.7524383221263101E-2</c:v>
                </c:pt>
                <c:pt idx="13">
                  <c:v>2.9492289710056706E-2</c:v>
                </c:pt>
                <c:pt idx="14">
                  <c:v>3.1444560999375044E-2</c:v>
                </c:pt>
                <c:pt idx="15">
                  <c:v>3.3198083080671521E-2</c:v>
                </c:pt>
                <c:pt idx="16">
                  <c:v>3.45038401770884E-2</c:v>
                </c:pt>
                <c:pt idx="17">
                  <c:v>3.5277922757586545E-2</c:v>
                </c:pt>
                <c:pt idx="18">
                  <c:v>3.5677683505852792E-2</c:v>
                </c:pt>
                <c:pt idx="19">
                  <c:v>3.6007726283234849E-2</c:v>
                </c:pt>
                <c:pt idx="20">
                  <c:v>3.6585460876705209E-2</c:v>
                </c:pt>
                <c:pt idx="21">
                  <c:v>3.766571496011703E-2</c:v>
                </c:pt>
                <c:pt idx="22">
                  <c:v>3.940826889828293E-2</c:v>
                </c:pt>
                <c:pt idx="23">
                  <c:v>4.1821983501184608E-2</c:v>
                </c:pt>
                <c:pt idx="24">
                  <c:v>4.467250070866572E-2</c:v>
                </c:pt>
                <c:pt idx="25">
                  <c:v>4.7424309772233109E-2</c:v>
                </c:pt>
                <c:pt idx="26">
                  <c:v>4.9311101211496157E-2</c:v>
                </c:pt>
                <c:pt idx="27">
                  <c:v>4.9557586132757014E-2</c:v>
                </c:pt>
                <c:pt idx="28">
                  <c:v>4.7665091366745793E-2</c:v>
                </c:pt>
                <c:pt idx="29">
                  <c:v>4.3618768657875319E-2</c:v>
                </c:pt>
                <c:pt idx="30">
                  <c:v>3.7917393930957416E-2</c:v>
                </c:pt>
                <c:pt idx="31">
                  <c:v>3.1416384280668237E-2</c:v>
                </c:pt>
                <c:pt idx="32">
                  <c:v>2.5046396174022795E-2</c:v>
                </c:pt>
                <c:pt idx="33">
                  <c:v>1.9515371631228417E-2</c:v>
                </c:pt>
                <c:pt idx="34">
                  <c:v>1.512356586467198E-2</c:v>
                </c:pt>
                <c:pt idx="35">
                  <c:v>1.1780580096028503E-2</c:v>
                </c:pt>
                <c:pt idx="36">
                  <c:v>9.1956852578547431E-3</c:v>
                </c:pt>
                <c:pt idx="37">
                  <c:v>7.0994889713016625E-3</c:v>
                </c:pt>
                <c:pt idx="38">
                  <c:v>5.3549280433457074E-3</c:v>
                </c:pt>
                <c:pt idx="39">
                  <c:v>3.9289830709410044E-3</c:v>
                </c:pt>
                <c:pt idx="40">
                  <c:v>2.8079327313049597E-3</c:v>
                </c:pt>
                <c:pt idx="41">
                  <c:v>1.9498735282232646E-3</c:v>
                </c:pt>
                <c:pt idx="42">
                  <c:v>1.296632666811357E-3</c:v>
                </c:pt>
                <c:pt idx="43">
                  <c:v>8.041646440476324E-4</c:v>
                </c:pt>
                <c:pt idx="44">
                  <c:v>4.5072909025524764E-4</c:v>
                </c:pt>
                <c:pt idx="45">
                  <c:v>2.2140564372841266E-4</c:v>
                </c:pt>
                <c:pt idx="46">
                  <c:v>9.2629380396985311E-5</c:v>
                </c:pt>
                <c:pt idx="47">
                  <c:v>3.2077155908566742E-5</c:v>
                </c:pt>
                <c:pt idx="48">
                  <c:v>8.8983218262215052E-6</c:v>
                </c:pt>
                <c:pt idx="49">
                  <c:v>1.8666170818085477E-6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64-41EB-8389-A7697BB132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5888"/>
        <c:axId val="129840768"/>
      </c:lineChart>
      <c:catAx>
        <c:axId val="12816588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9840768"/>
        <c:crosses val="autoZero"/>
        <c:auto val="1"/>
        <c:lblAlgn val="ctr"/>
        <c:lblOffset val="100"/>
        <c:tickLblSkip val="2"/>
        <c:noMultiLvlLbl val="0"/>
      </c:catAx>
      <c:valAx>
        <c:axId val="12984076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5888"/>
        <c:crosses val="autoZero"/>
        <c:crossBetween val="between"/>
        <c:majorUnit val="3.0000000000000002E-2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9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Depart_Time_All!$G$66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Depart_Time_All!$G$67:$G$117</c:f>
              <c:numCache>
                <c:formatCode>0.00%</c:formatCode>
                <c:ptCount val="51"/>
                <c:pt idx="0">
                  <c:v>9.6578044366852299E-4</c:v>
                </c:pt>
                <c:pt idx="1">
                  <c:v>1.2129881226241163E-3</c:v>
                </c:pt>
                <c:pt idx="2">
                  <c:v>1.651655185923463E-3</c:v>
                </c:pt>
                <c:pt idx="3">
                  <c:v>2.4010807797404648E-3</c:v>
                </c:pt>
                <c:pt idx="4">
                  <c:v>3.4782448993026195E-3</c:v>
                </c:pt>
                <c:pt idx="5">
                  <c:v>4.8264458124375508E-3</c:v>
                </c:pt>
                <c:pt idx="6">
                  <c:v>6.37921948890277E-3</c:v>
                </c:pt>
                <c:pt idx="7">
                  <c:v>8.1071308446452606E-3</c:v>
                </c:pt>
                <c:pt idx="8">
                  <c:v>1.0008216917157793E-2</c:v>
                </c:pt>
                <c:pt idx="9">
                  <c:v>1.2058304691257415E-2</c:v>
                </c:pt>
                <c:pt idx="10">
                  <c:v>1.4187491861710613E-2</c:v>
                </c:pt>
                <c:pt idx="11">
                  <c:v>1.6339359827025557E-2</c:v>
                </c:pt>
                <c:pt idx="12">
                  <c:v>1.8602135536195972E-2</c:v>
                </c:pt>
                <c:pt idx="13">
                  <c:v>2.1326245866011846E-2</c:v>
                </c:pt>
                <c:pt idx="14">
                  <c:v>2.5093639934183828E-2</c:v>
                </c:pt>
                <c:pt idx="15">
                  <c:v>3.0413837244598663E-2</c:v>
                </c:pt>
                <c:pt idx="16">
                  <c:v>3.7181982238564677E-2</c:v>
                </c:pt>
                <c:pt idx="17">
                  <c:v>4.4253072714488195E-2</c:v>
                </c:pt>
                <c:pt idx="18">
                  <c:v>4.9653909403942979E-2</c:v>
                </c:pt>
                <c:pt idx="19">
                  <c:v>5.1571926828746083E-2</c:v>
                </c:pt>
                <c:pt idx="20">
                  <c:v>4.9501073948405458E-2</c:v>
                </c:pt>
                <c:pt idx="21">
                  <c:v>4.4606458131473098E-2</c:v>
                </c:pt>
                <c:pt idx="22">
                  <c:v>3.8988160709981831E-2</c:v>
                </c:pt>
                <c:pt idx="23">
                  <c:v>3.4491872235254295E-2</c:v>
                </c:pt>
                <c:pt idx="24">
                  <c:v>3.2004296187229629E-2</c:v>
                </c:pt>
                <c:pt idx="25">
                  <c:v>3.1563462567117069E-2</c:v>
                </c:pt>
                <c:pt idx="26">
                  <c:v>3.28544446216852E-2</c:v>
                </c:pt>
                <c:pt idx="27">
                  <c:v>3.5490839395504702E-2</c:v>
                </c:pt>
                <c:pt idx="28">
                  <c:v>3.8901946781436277E-2</c:v>
                </c:pt>
                <c:pt idx="29">
                  <c:v>4.2127990719432892E-2</c:v>
                </c:pt>
                <c:pt idx="30">
                  <c:v>4.3924716491824209E-2</c:v>
                </c:pt>
                <c:pt idx="31">
                  <c:v>4.3254372002076887E-2</c:v>
                </c:pt>
                <c:pt idx="32">
                  <c:v>3.9821026909388074E-2</c:v>
                </c:pt>
                <c:pt idx="33">
                  <c:v>3.421486016835832E-2</c:v>
                </c:pt>
                <c:pt idx="34">
                  <c:v>2.7567559644193267E-2</c:v>
                </c:pt>
                <c:pt idx="35">
                  <c:v>2.1022893077631343E-2</c:v>
                </c:pt>
                <c:pt idx="36">
                  <c:v>1.5375393149721164E-2</c:v>
                </c:pt>
                <c:pt idx="37">
                  <c:v>1.0972891412361517E-2</c:v>
                </c:pt>
                <c:pt idx="38">
                  <c:v>7.7839786166398958E-3</c:v>
                </c:pt>
                <c:pt idx="39">
                  <c:v>5.5419201108733935E-3</c:v>
                </c:pt>
                <c:pt idx="40">
                  <c:v>3.9220417943281417E-3</c:v>
                </c:pt>
                <c:pt idx="41">
                  <c:v>2.6860192787854279E-3</c:v>
                </c:pt>
                <c:pt idx="42">
                  <c:v>1.7256560598365529E-3</c:v>
                </c:pt>
                <c:pt idx="43">
                  <c:v>1.0137890482437241E-3</c:v>
                </c:pt>
                <c:pt idx="44">
                  <c:v>5.3438252325898683E-4</c:v>
                </c:pt>
                <c:pt idx="45">
                  <c:v>2.4868705967950709E-4</c:v>
                </c:pt>
                <c:pt idx="46">
                  <c:v>1.0038931620779216E-4</c:v>
                </c:pt>
                <c:pt idx="47">
                  <c:v>3.4379557600043623E-5</c:v>
                </c:pt>
                <c:pt idx="48">
                  <c:v>9.7003240630258428E-6</c:v>
                </c:pt>
                <c:pt idx="49">
                  <c:v>2.1295162795034581E-6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1F-4E25-959C-E3DEEF55BBB8}"/>
            </c:ext>
          </c:extLst>
        </c:ser>
        <c:ser>
          <c:idx val="1"/>
          <c:order val="1"/>
          <c:tx>
            <c:strRef>
              <c:f>Depart_Time_All!$Q$66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Depart_Time_All!$Q$67:$Q$117</c:f>
              <c:numCache>
                <c:formatCode>0.00%</c:formatCode>
                <c:ptCount val="51"/>
                <c:pt idx="0">
                  <c:v>7.8711215254049073E-4</c:v>
                </c:pt>
                <c:pt idx="1">
                  <c:v>1.93132082577692E-3</c:v>
                </c:pt>
                <c:pt idx="2">
                  <c:v>3.1765996663135334E-3</c:v>
                </c:pt>
                <c:pt idx="3">
                  <c:v>4.679716633388435E-3</c:v>
                </c:pt>
                <c:pt idx="4">
                  <c:v>6.6314257133549869E-3</c:v>
                </c:pt>
                <c:pt idx="5">
                  <c:v>9.1564120649311395E-3</c:v>
                </c:pt>
                <c:pt idx="6">
                  <c:v>1.2207108645101817E-2</c:v>
                </c:pt>
                <c:pt idx="7">
                  <c:v>1.5529598152858553E-2</c:v>
                </c:pt>
                <c:pt idx="8">
                  <c:v>1.8734862148550708E-2</c:v>
                </c:pt>
                <c:pt idx="9">
                  <c:v>2.1461470869946153E-2</c:v>
                </c:pt>
                <c:pt idx="10">
                  <c:v>2.3571202795691405E-2</c:v>
                </c:pt>
                <c:pt idx="11">
                  <c:v>2.5263016532808925E-2</c:v>
                </c:pt>
                <c:pt idx="12">
                  <c:v>2.6980064525821312E-2</c:v>
                </c:pt>
                <c:pt idx="13">
                  <c:v>2.9109420707273688E-2</c:v>
                </c:pt>
                <c:pt idx="14">
                  <c:v>3.1677938024221503E-2</c:v>
                </c:pt>
                <c:pt idx="15">
                  <c:v>3.4300863763214139E-2</c:v>
                </c:pt>
                <c:pt idx="16">
                  <c:v>3.6427894975772132E-2</c:v>
                </c:pt>
                <c:pt idx="17">
                  <c:v>3.7668333559820313E-2</c:v>
                </c:pt>
                <c:pt idx="18">
                  <c:v>3.795506211765115E-2</c:v>
                </c:pt>
                <c:pt idx="19">
                  <c:v>3.7506987620041322E-2</c:v>
                </c:pt>
                <c:pt idx="20">
                  <c:v>3.6703000653557895E-2</c:v>
                </c:pt>
                <c:pt idx="21">
                  <c:v>3.5960153392440693E-2</c:v>
                </c:pt>
                <c:pt idx="22">
                  <c:v>3.56345392910834E-2</c:v>
                </c:pt>
                <c:pt idx="23">
                  <c:v>3.5947083447750459E-2</c:v>
                </c:pt>
                <c:pt idx="24">
                  <c:v>3.6942445526185072E-2</c:v>
                </c:pt>
                <c:pt idx="25">
                  <c:v>3.846997040895811E-2</c:v>
                </c:pt>
                <c:pt idx="26">
                  <c:v>4.0168900644720097E-2</c:v>
                </c:pt>
                <c:pt idx="27">
                  <c:v>4.1479783244737049E-2</c:v>
                </c:pt>
                <c:pt idx="28">
                  <c:v>4.1743615152634028E-2</c:v>
                </c:pt>
                <c:pt idx="29">
                  <c:v>4.0420342893590498E-2</c:v>
                </c:pt>
                <c:pt idx="30">
                  <c:v>3.7353774398777038E-2</c:v>
                </c:pt>
                <c:pt idx="31">
                  <c:v>3.2912998744453428E-2</c:v>
                </c:pt>
                <c:pt idx="32">
                  <c:v>2.7866878724806445E-2</c:v>
                </c:pt>
                <c:pt idx="33">
                  <c:v>2.3026897519547541E-2</c:v>
                </c:pt>
                <c:pt idx="34">
                  <c:v>1.8886664241612835E-2</c:v>
                </c:pt>
                <c:pt idx="35">
                  <c:v>1.549969469023083E-2</c:v>
                </c:pt>
                <c:pt idx="36">
                  <c:v>1.2641013397901009E-2</c:v>
                </c:pt>
                <c:pt idx="37">
                  <c:v>1.007811799338398E-2</c:v>
                </c:pt>
                <c:pt idx="38">
                  <c:v>7.7338673680579714E-3</c:v>
                </c:pt>
                <c:pt idx="39">
                  <c:v>5.6668725433715351E-3</c:v>
                </c:pt>
                <c:pt idx="40">
                  <c:v>3.9585558078671715E-3</c:v>
                </c:pt>
                <c:pt idx="41">
                  <c:v>2.6330552018387836E-3</c:v>
                </c:pt>
                <c:pt idx="42">
                  <c:v>1.6551713348965649E-3</c:v>
                </c:pt>
                <c:pt idx="43">
                  <c:v>9.6702896416180149E-4</c:v>
                </c:pt>
                <c:pt idx="44">
                  <c:v>5.1281858706064083E-4</c:v>
                </c:pt>
                <c:pt idx="45">
                  <c:v>2.4032085376966673E-4</c:v>
                </c:pt>
                <c:pt idx="46">
                  <c:v>9.6806639674291734E-5</c:v>
                </c:pt>
                <c:pt idx="47">
                  <c:v>3.2555962251545618E-5</c:v>
                </c:pt>
                <c:pt idx="48">
                  <c:v>8.8357543416198278E-6</c:v>
                </c:pt>
                <c:pt idx="49">
                  <c:v>1.8251212593616503E-6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1F-4E25-959C-E3DEEF55BB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6400"/>
        <c:axId val="147014784"/>
      </c:lineChart>
      <c:catAx>
        <c:axId val="12816640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47014784"/>
        <c:crosses val="autoZero"/>
        <c:auto val="1"/>
        <c:lblAlgn val="ctr"/>
        <c:lblOffset val="100"/>
        <c:tickLblSkip val="2"/>
        <c:noMultiLvlLbl val="0"/>
      </c:catAx>
      <c:valAx>
        <c:axId val="14701478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6400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66" footer="0.30000000000000032" header="0.30000000000000032" l="0.70000000000000062" r="0.70000000000000062" t="0.75000000000000266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Soc/Rec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8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Depart_Time_All!$H$67:$H$117</c:f>
              <c:numCache>
                <c:formatCode>0.00%</c:formatCode>
                <c:ptCount val="51"/>
                <c:pt idx="0">
                  <c:v>1.214425201193306E-5</c:v>
                </c:pt>
                <c:pt idx="1">
                  <c:v>9.3863819140605159E-4</c:v>
                </c:pt>
                <c:pt idx="2">
                  <c:v>2.0421663996484387E-3</c:v>
                </c:pt>
                <c:pt idx="3">
                  <c:v>3.4059247116928213E-3</c:v>
                </c:pt>
                <c:pt idx="4">
                  <c:v>4.9928570024255457E-3</c:v>
                </c:pt>
                <c:pt idx="5">
                  <c:v>6.7094569827924793E-3</c:v>
                </c:pt>
                <c:pt idx="6">
                  <c:v>8.5123671496299073E-3</c:v>
                </c:pt>
                <c:pt idx="7">
                  <c:v>1.0469250952373423E-2</c:v>
                </c:pt>
                <c:pt idx="8">
                  <c:v>1.2719652870459059E-2</c:v>
                </c:pt>
                <c:pt idx="9">
                  <c:v>1.5364067102576533E-2</c:v>
                </c:pt>
                <c:pt idx="10">
                  <c:v>1.8362545619528603E-2</c:v>
                </c:pt>
                <c:pt idx="11">
                  <c:v>2.1506669823981542E-2</c:v>
                </c:pt>
                <c:pt idx="12">
                  <c:v>2.4471543306939163E-2</c:v>
                </c:pt>
                <c:pt idx="13">
                  <c:v>2.6912606184558176E-2</c:v>
                </c:pt>
                <c:pt idx="14">
                  <c:v>2.8564718746201017E-2</c:v>
                </c:pt>
                <c:pt idx="15">
                  <c:v>2.9310992717301164E-2</c:v>
                </c:pt>
                <c:pt idx="16">
                  <c:v>2.9203851393295982E-2</c:v>
                </c:pt>
                <c:pt idx="17">
                  <c:v>2.8443186075893072E-2</c:v>
                </c:pt>
                <c:pt idx="18">
                  <c:v>2.7337494089026478E-2</c:v>
                </c:pt>
                <c:pt idx="19">
                  <c:v>2.6272403702802143E-2</c:v>
                </c:pt>
                <c:pt idx="20">
                  <c:v>2.568204134812652E-2</c:v>
                </c:pt>
                <c:pt idx="21">
                  <c:v>2.5987852887135041E-2</c:v>
                </c:pt>
                <c:pt idx="22">
                  <c:v>2.7480904726314648E-2</c:v>
                </c:pt>
                <c:pt idx="23">
                  <c:v>3.0195428173046931E-2</c:v>
                </c:pt>
                <c:pt idx="24">
                  <c:v>3.3887388609823384E-2</c:v>
                </c:pt>
                <c:pt idx="25">
                  <c:v>3.8179203927468236E-2</c:v>
                </c:pt>
                <c:pt idx="26">
                  <c:v>4.2760467626258888E-2</c:v>
                </c:pt>
                <c:pt idx="27">
                  <c:v>4.7424731027950105E-2</c:v>
                </c:pt>
                <c:pt idx="28">
                  <c:v>5.1845228338976972E-2</c:v>
                </c:pt>
                <c:pt idx="29">
                  <c:v>5.5278521584763332E-2</c:v>
                </c:pt>
                <c:pt idx="30">
                  <c:v>5.6556082764320587E-2</c:v>
                </c:pt>
                <c:pt idx="31">
                  <c:v>5.4557445532405102E-2</c:v>
                </c:pt>
                <c:pt idx="32">
                  <c:v>4.8928177113160068E-2</c:v>
                </c:pt>
                <c:pt idx="33">
                  <c:v>4.0489153640652274E-2</c:v>
                </c:pt>
                <c:pt idx="34">
                  <c:v>3.09473391035886E-2</c:v>
                </c:pt>
                <c:pt idx="35">
                  <c:v>2.2082269192961371E-2</c:v>
                </c:pt>
                <c:pt idx="36">
                  <c:v>1.5004748511943311E-2</c:v>
                </c:pt>
                <c:pt idx="37">
                  <c:v>9.948096674555304E-3</c:v>
                </c:pt>
                <c:pt idx="38">
                  <c:v>6.5558627424629253E-3</c:v>
                </c:pt>
                <c:pt idx="39">
                  <c:v>4.3050950168552196E-3</c:v>
                </c:pt>
                <c:pt idx="40">
                  <c:v>2.7747034661642178E-3</c:v>
                </c:pt>
                <c:pt idx="41">
                  <c:v>1.710774874961949E-3</c:v>
                </c:pt>
                <c:pt idx="42">
                  <c:v>9.8120228089441084E-4</c:v>
                </c:pt>
                <c:pt idx="43">
                  <c:v>5.1019357838652209E-4</c:v>
                </c:pt>
                <c:pt idx="44">
                  <c:v>2.3528527759973851E-4</c:v>
                </c:pt>
                <c:pt idx="45">
                  <c:v>9.4505211459816146E-5</c:v>
                </c:pt>
                <c:pt idx="46">
                  <c:v>3.2556475543651669E-5</c:v>
                </c:pt>
                <c:pt idx="47">
                  <c:v>9.4773053897312637E-6</c:v>
                </c:pt>
                <c:pt idx="48">
                  <c:v>2.2878257223665013E-6</c:v>
                </c:pt>
                <c:pt idx="49">
                  <c:v>4.3788656512115752E-7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D0-41EF-91E5-587CF2612E13}"/>
            </c:ext>
          </c:extLst>
        </c:ser>
        <c:ser>
          <c:idx val="1"/>
          <c:order val="1"/>
          <c:tx>
            <c:strRef>
              <c:f>Depart_Time_All!$R$66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Depart_Time_All!$R$67:$R$117</c:f>
              <c:numCache>
                <c:formatCode>0.00%</c:formatCode>
                <c:ptCount val="51"/>
                <c:pt idx="0">
                  <c:v>6.9878150677177113E-5</c:v>
                </c:pt>
                <c:pt idx="1">
                  <c:v>9.6661088753686108E-4</c:v>
                </c:pt>
                <c:pt idx="2">
                  <c:v>2.0495965721618174E-3</c:v>
                </c:pt>
                <c:pt idx="3">
                  <c:v>3.5688498312281725E-3</c:v>
                </c:pt>
                <c:pt idx="4">
                  <c:v>5.8243770475215123E-3</c:v>
                </c:pt>
                <c:pt idx="5">
                  <c:v>9.0496826524468638E-3</c:v>
                </c:pt>
                <c:pt idx="6">
                  <c:v>1.3242466392367203E-2</c:v>
                </c:pt>
                <c:pt idx="7">
                  <c:v>1.8048768895069581E-2</c:v>
                </c:pt>
                <c:pt idx="8">
                  <c:v>2.2806692235601261E-2</c:v>
                </c:pt>
                <c:pt idx="9">
                  <c:v>2.6780139599208299E-2</c:v>
                </c:pt>
                <c:pt idx="10">
                  <c:v>2.9485238533517959E-2</c:v>
                </c:pt>
                <c:pt idx="11">
                  <c:v>3.0912004711103686E-2</c:v>
                </c:pt>
                <c:pt idx="12">
                  <c:v>3.1472803906200247E-2</c:v>
                </c:pt>
                <c:pt idx="13">
                  <c:v>3.1695704329162286E-2</c:v>
                </c:pt>
                <c:pt idx="14">
                  <c:v>3.1896543921150149E-2</c:v>
                </c:pt>
                <c:pt idx="15">
                  <c:v>3.2093210408631577E-2</c:v>
                </c:pt>
                <c:pt idx="16">
                  <c:v>3.2202036702581455E-2</c:v>
                </c:pt>
                <c:pt idx="17">
                  <c:v>3.2288920400793342E-2</c:v>
                </c:pt>
                <c:pt idx="18">
                  <c:v>3.2614621874059606E-2</c:v>
                </c:pt>
                <c:pt idx="19">
                  <c:v>3.344118850838302E-2</c:v>
                </c:pt>
                <c:pt idx="20">
                  <c:v>3.4808836746341436E-2</c:v>
                </c:pt>
                <c:pt idx="21">
                  <c:v>3.6510360202595835E-2</c:v>
                </c:pt>
                <c:pt idx="22">
                  <c:v>3.8281032735610947E-2</c:v>
                </c:pt>
                <c:pt idx="23">
                  <c:v>4.0001406052356719E-2</c:v>
                </c:pt>
                <c:pt idx="24">
                  <c:v>4.1700129774860067E-2</c:v>
                </c:pt>
                <c:pt idx="25">
                  <c:v>4.3351273313083485E-2</c:v>
                </c:pt>
                <c:pt idx="26">
                  <c:v>4.4666989240214512E-2</c:v>
                </c:pt>
                <c:pt idx="27">
                  <c:v>4.5089077789093976E-2</c:v>
                </c:pt>
                <c:pt idx="28">
                  <c:v>4.4009993771922995E-2</c:v>
                </c:pt>
                <c:pt idx="29">
                  <c:v>4.1087213351842164E-2</c:v>
                </c:pt>
                <c:pt idx="30">
                  <c:v>3.646699387938631E-2</c:v>
                </c:pt>
                <c:pt idx="31">
                  <c:v>3.0786385497693702E-2</c:v>
                </c:pt>
                <c:pt idx="32">
                  <c:v>2.4932849559101068E-2</c:v>
                </c:pt>
                <c:pt idx="33">
                  <c:v>1.9679856100776442E-2</c:v>
                </c:pt>
                <c:pt idx="34">
                  <c:v>1.5408743387933486E-2</c:v>
                </c:pt>
                <c:pt idx="35">
                  <c:v>1.2076237295426045E-2</c:v>
                </c:pt>
                <c:pt idx="36">
                  <c:v>9.408934805913172E-3</c:v>
                </c:pt>
                <c:pt idx="37">
                  <c:v>7.151940145610965E-3</c:v>
                </c:pt>
                <c:pt idx="38">
                  <c:v>5.2001377922105928E-3</c:v>
                </c:pt>
                <c:pt idx="39">
                  <c:v>3.5718342393442756E-3</c:v>
                </c:pt>
                <c:pt idx="40">
                  <c:v>2.3087924847321785E-3</c:v>
                </c:pt>
                <c:pt idx="41">
                  <c:v>1.4056518793452914E-3</c:v>
                </c:pt>
                <c:pt idx="42">
                  <c:v>8.0517783646321566E-4</c:v>
                </c:pt>
                <c:pt idx="43">
                  <c:v>4.3002984184030641E-4</c:v>
                </c:pt>
                <c:pt idx="44">
                  <c:v>2.1017847946349556E-4</c:v>
                </c:pt>
                <c:pt idx="45">
                  <c:v>9.1630301523429626E-5</c:v>
                </c:pt>
                <c:pt idx="46">
                  <c:v>3.4614622697186835E-5</c:v>
                </c:pt>
                <c:pt idx="47">
                  <c:v>1.0982889754340352E-5</c:v>
                </c:pt>
                <c:pt idx="48">
                  <c:v>2.8248481649511569E-6</c:v>
                </c:pt>
                <c:pt idx="49">
                  <c:v>5.555752953403069E-7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FD0-41EF-91E5-587CF2612E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6912"/>
        <c:axId val="147017088"/>
      </c:lineChart>
      <c:catAx>
        <c:axId val="12816691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47017088"/>
        <c:crosses val="autoZero"/>
        <c:auto val="1"/>
        <c:lblAlgn val="ctr"/>
        <c:lblOffset val="100"/>
        <c:tickLblSkip val="2"/>
        <c:noMultiLvlLbl val="0"/>
      </c:catAx>
      <c:valAx>
        <c:axId val="14701708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6912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7"/>
          <c:h val="0.1418267716535427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89" footer="0.30000000000000032" header="0.30000000000000032" l="0.70000000000000062" r="0.70000000000000062" t="0.75000000000000289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Relationship Id="rId2" Target="../charts/chart2.xml" Type="http://schemas.openxmlformats.org/officeDocument/2006/relationships/chart"/>
<Relationship Id="rId3" Target="../charts/chart3.xml" Type="http://schemas.openxmlformats.org/officeDocument/2006/relationships/chart"/>
<Relationship Id="rId4" Target="../charts/chart4.xml" Type="http://schemas.openxmlformats.org/officeDocument/2006/relationships/chart"/>
<Relationship Id="rId5" Target="../charts/chart5.xml" Type="http://schemas.openxmlformats.org/officeDocument/2006/relationships/chart"/>
<Relationship Id="rId6" Target="../charts/chart6.xml" Type="http://schemas.openxmlformats.org/officeDocument/2006/relationships/chart"/>
<Relationship Id="rId7" Target="../charts/chart7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8.xml" Type="http://schemas.openxmlformats.org/officeDocument/2006/relationships/chart"/>
<Relationship Id="rId2" Target="../charts/chart9.xml" Type="http://schemas.openxmlformats.org/officeDocument/2006/relationships/chart"/>
<Relationship Id="rId3" Target="../charts/chart10.xml" Type="http://schemas.openxmlformats.org/officeDocument/2006/relationships/chart"/>
<Relationship Id="rId4" Target="../charts/chart11.xml" Type="http://schemas.openxmlformats.org/officeDocument/2006/relationships/chart"/>
<Relationship Id="rId5" Target="../charts/chart12.xml" Type="http://schemas.openxmlformats.org/officeDocument/2006/relationships/chart"/>
<Relationship Id="rId6" Target="../charts/chart13.xml" Type="http://schemas.openxmlformats.org/officeDocument/2006/relationships/chart"/>
<Relationship Id="rId7" Target="../charts/chart14.xml" Type="http://schemas.openxmlformats.org/officeDocument/2006/relationships/chart"/>
</Relationships>

</file>

<file path=xl/drawings/_rels/drawing3.xml.rels><?xml version="1.0" encoding="UTF-8" standalone="no"?>
<Relationships xmlns="http://schemas.openxmlformats.org/package/2006/relationships">
<Relationship Id="rId1" Target="../charts/chart15.xml" Type="http://schemas.openxmlformats.org/officeDocument/2006/relationships/chart"/>
<Relationship Id="rId2" Target="../charts/chart16.xml" Type="http://schemas.openxmlformats.org/officeDocument/2006/relationships/chart"/>
<Relationship Id="rId3" Target="../charts/chart17.xml" Type="http://schemas.openxmlformats.org/officeDocument/2006/relationships/chart"/>
<Relationship Id="rId4" Target="../charts/chart18.xml" Type="http://schemas.openxmlformats.org/officeDocument/2006/relationships/chart"/>
<Relationship Id="rId5" Target="../charts/chart19.xml" Type="http://schemas.openxmlformats.org/officeDocument/2006/relationships/chart"/>
<Relationship Id="rId6" Target="../charts/chart20.xml" Type="http://schemas.openxmlformats.org/officeDocument/2006/relationships/chart"/>
<Relationship Id="rId7" Target="../charts/chart21.xml" Type="http://schemas.openxmlformats.org/officeDocument/2006/relationships/chart"/>
</Relationships>

</file>

<file path=xl/drawings/_rels/drawing4.xml.rels><?xml version="1.0" encoding="UTF-8" standalone="no"?>
<Relationships xmlns="http://schemas.openxmlformats.org/package/2006/relationships">
<Relationship Id="rId1" Target="../charts/chart22.xml" Type="http://schemas.openxmlformats.org/officeDocument/2006/relationships/chart"/>
<Relationship Id="rId2" Target="../charts/chart23.xml" Type="http://schemas.openxmlformats.org/officeDocument/2006/relationships/chart"/>
<Relationship Id="rId3" Target="../charts/chart24.xml" Type="http://schemas.openxmlformats.org/officeDocument/2006/relationships/chart"/>
<Relationship Id="rId4" Target="../charts/chart25.xml" Type="http://schemas.openxmlformats.org/officeDocument/2006/relationships/chart"/>
<Relationship Id="rId5" Target="../charts/chart26.xml" Type="http://schemas.openxmlformats.org/officeDocument/2006/relationships/chart"/>
<Relationship Id="rId6" Target="../charts/chart27.xml" Type="http://schemas.openxmlformats.org/officeDocument/2006/relationships/chart"/>
<Relationship Id="rId7" Target="../charts/chart28.xml" Type="http://schemas.openxmlformats.org/officeDocument/2006/relationships/chart"/>
</Relationships>

</file>

<file path=xl/drawings/_rels/drawing5.xml.rels><?xml version="1.0" encoding="UTF-8" standalone="no"?>
<Relationships xmlns="http://schemas.openxmlformats.org/package/2006/relationships">
<Relationship Id="rId1" Target="../charts/chart29.xml" Type="http://schemas.openxmlformats.org/officeDocument/2006/relationships/chart"/>
<Relationship Id="rId2" Target="../charts/chart30.xml" Type="http://schemas.openxmlformats.org/officeDocument/2006/relationships/chart"/>
<Relationship Id="rId3" Target="../charts/chart31.xml" Type="http://schemas.openxmlformats.org/officeDocument/2006/relationships/chart"/>
<Relationship Id="rId4" Target="../charts/chart32.xml" Type="http://schemas.openxmlformats.org/officeDocument/2006/relationships/chart"/>
<Relationship Id="rId5" Target="../charts/chart33.xml" Type="http://schemas.openxmlformats.org/officeDocument/2006/relationships/chart"/>
<Relationship Id="rId6" Target="../charts/chart34.xml" Type="http://schemas.openxmlformats.org/officeDocument/2006/relationships/chart"/>
<Relationship Id="rId7" Target="../charts/chart35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20</xdr:col>
      <xdr:colOff>19050</xdr:colOff>
      <xdr:row>7</xdr:row>
      <xdr:rowOff>180975</xdr:rowOff>
    </xdr:from>
    <xdr:to>
      <xdr:col>29</xdr:col>
      <xdr:colOff>38100</xdr:colOff>
      <xdr:row>24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27</xdr:row>
      <xdr:rowOff>0</xdr:rowOff>
    </xdr:from>
    <xdr:to>
      <xdr:col>29</xdr:col>
      <xdr:colOff>19050</xdr:colOff>
      <xdr:row>44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46</xdr:row>
      <xdr:rowOff>0</xdr:rowOff>
    </xdr:from>
    <xdr:to>
      <xdr:col>29</xdr:col>
      <xdr:colOff>19050</xdr:colOff>
      <xdr:row>62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65</xdr:row>
      <xdr:rowOff>0</xdr:rowOff>
    </xdr:from>
    <xdr:to>
      <xdr:col>29</xdr:col>
      <xdr:colOff>19050</xdr:colOff>
      <xdr:row>82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85</xdr:row>
      <xdr:rowOff>0</xdr:rowOff>
    </xdr:from>
    <xdr:to>
      <xdr:col>29</xdr:col>
      <xdr:colOff>19050</xdr:colOff>
      <xdr:row>102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104</xdr:row>
      <xdr:rowOff>0</xdr:rowOff>
    </xdr:from>
    <xdr:to>
      <xdr:col>29</xdr:col>
      <xdr:colOff>19050</xdr:colOff>
      <xdr:row>120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123</xdr:row>
      <xdr:rowOff>0</xdr:rowOff>
    </xdr:from>
    <xdr:to>
      <xdr:col>29</xdr:col>
      <xdr:colOff>19050</xdr:colOff>
      <xdr:row>140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20</xdr:col>
      <xdr:colOff>19050</xdr:colOff>
      <xdr:row>7</xdr:row>
      <xdr:rowOff>180975</xdr:rowOff>
    </xdr:from>
    <xdr:to>
      <xdr:col>29</xdr:col>
      <xdr:colOff>38100</xdr:colOff>
      <xdr:row>24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27</xdr:row>
      <xdr:rowOff>0</xdr:rowOff>
    </xdr:from>
    <xdr:to>
      <xdr:col>29</xdr:col>
      <xdr:colOff>19050</xdr:colOff>
      <xdr:row>44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46</xdr:row>
      <xdr:rowOff>0</xdr:rowOff>
    </xdr:from>
    <xdr:to>
      <xdr:col>29</xdr:col>
      <xdr:colOff>19050</xdr:colOff>
      <xdr:row>62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65</xdr:row>
      <xdr:rowOff>0</xdr:rowOff>
    </xdr:from>
    <xdr:to>
      <xdr:col>29</xdr:col>
      <xdr:colOff>19050</xdr:colOff>
      <xdr:row>82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85</xdr:row>
      <xdr:rowOff>0</xdr:rowOff>
    </xdr:from>
    <xdr:to>
      <xdr:col>29</xdr:col>
      <xdr:colOff>19050</xdr:colOff>
      <xdr:row>102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104</xdr:row>
      <xdr:rowOff>0</xdr:rowOff>
    </xdr:from>
    <xdr:to>
      <xdr:col>29</xdr:col>
      <xdr:colOff>19050</xdr:colOff>
      <xdr:row>120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123</xdr:row>
      <xdr:rowOff>0</xdr:rowOff>
    </xdr:from>
    <xdr:to>
      <xdr:col>29</xdr:col>
      <xdr:colOff>19050</xdr:colOff>
      <xdr:row>140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20</xdr:col>
      <xdr:colOff>19050</xdr:colOff>
      <xdr:row>7</xdr:row>
      <xdr:rowOff>180975</xdr:rowOff>
    </xdr:from>
    <xdr:to>
      <xdr:col>29</xdr:col>
      <xdr:colOff>38100</xdr:colOff>
      <xdr:row>24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27</xdr:row>
      <xdr:rowOff>0</xdr:rowOff>
    </xdr:from>
    <xdr:to>
      <xdr:col>29</xdr:col>
      <xdr:colOff>19050</xdr:colOff>
      <xdr:row>44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45</xdr:row>
      <xdr:rowOff>19050</xdr:rowOff>
    </xdr:from>
    <xdr:to>
      <xdr:col>29</xdr:col>
      <xdr:colOff>19050</xdr:colOff>
      <xdr:row>61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62</xdr:row>
      <xdr:rowOff>0</xdr:rowOff>
    </xdr:from>
    <xdr:to>
      <xdr:col>29</xdr:col>
      <xdr:colOff>19050</xdr:colOff>
      <xdr:row>79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82</xdr:row>
      <xdr:rowOff>0</xdr:rowOff>
    </xdr:from>
    <xdr:to>
      <xdr:col>29</xdr:col>
      <xdr:colOff>19050</xdr:colOff>
      <xdr:row>99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101</xdr:row>
      <xdr:rowOff>0</xdr:rowOff>
    </xdr:from>
    <xdr:to>
      <xdr:col>29</xdr:col>
      <xdr:colOff>19050</xdr:colOff>
      <xdr:row>116</xdr:row>
      <xdr:rowOff>66675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117</xdr:row>
      <xdr:rowOff>0</xdr:rowOff>
    </xdr:from>
    <xdr:to>
      <xdr:col>29</xdr:col>
      <xdr:colOff>19050</xdr:colOff>
      <xdr:row>134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20</xdr:col>
      <xdr:colOff>19050</xdr:colOff>
      <xdr:row>7</xdr:row>
      <xdr:rowOff>180975</xdr:rowOff>
    </xdr:from>
    <xdr:to>
      <xdr:col>29</xdr:col>
      <xdr:colOff>38100</xdr:colOff>
      <xdr:row>24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27</xdr:row>
      <xdr:rowOff>0</xdr:rowOff>
    </xdr:from>
    <xdr:to>
      <xdr:col>29</xdr:col>
      <xdr:colOff>19050</xdr:colOff>
      <xdr:row>44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46</xdr:row>
      <xdr:rowOff>0</xdr:rowOff>
    </xdr:from>
    <xdr:to>
      <xdr:col>29</xdr:col>
      <xdr:colOff>19050</xdr:colOff>
      <xdr:row>62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65</xdr:row>
      <xdr:rowOff>0</xdr:rowOff>
    </xdr:from>
    <xdr:to>
      <xdr:col>29</xdr:col>
      <xdr:colOff>19050</xdr:colOff>
      <xdr:row>82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85</xdr:row>
      <xdr:rowOff>0</xdr:rowOff>
    </xdr:from>
    <xdr:to>
      <xdr:col>29</xdr:col>
      <xdr:colOff>19050</xdr:colOff>
      <xdr:row>102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104</xdr:row>
      <xdr:rowOff>0</xdr:rowOff>
    </xdr:from>
    <xdr:to>
      <xdr:col>29</xdr:col>
      <xdr:colOff>19050</xdr:colOff>
      <xdr:row>120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123</xdr:row>
      <xdr:rowOff>0</xdr:rowOff>
    </xdr:from>
    <xdr:to>
      <xdr:col>29</xdr:col>
      <xdr:colOff>19050</xdr:colOff>
      <xdr:row>140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a="http://schemas.openxmlformats.org/drawingml/2006/main" xmlns:xdr="http://schemas.openxmlformats.org/drawingml/2006/spreadsheetDrawing">
  <xdr:twoCellAnchor>
    <xdr:from>
      <xdr:col>20</xdr:col>
      <xdr:colOff>19050</xdr:colOff>
      <xdr:row>7</xdr:row>
      <xdr:rowOff>180975</xdr:rowOff>
    </xdr:from>
    <xdr:to>
      <xdr:col>29</xdr:col>
      <xdr:colOff>38100</xdr:colOff>
      <xdr:row>24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27</xdr:row>
      <xdr:rowOff>0</xdr:rowOff>
    </xdr:from>
    <xdr:to>
      <xdr:col>29</xdr:col>
      <xdr:colOff>19050</xdr:colOff>
      <xdr:row>44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46</xdr:row>
      <xdr:rowOff>0</xdr:rowOff>
    </xdr:from>
    <xdr:to>
      <xdr:col>29</xdr:col>
      <xdr:colOff>19050</xdr:colOff>
      <xdr:row>62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65</xdr:row>
      <xdr:rowOff>0</xdr:rowOff>
    </xdr:from>
    <xdr:to>
      <xdr:col>29</xdr:col>
      <xdr:colOff>19050</xdr:colOff>
      <xdr:row>82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85</xdr:row>
      <xdr:rowOff>0</xdr:rowOff>
    </xdr:from>
    <xdr:to>
      <xdr:col>29</xdr:col>
      <xdr:colOff>19050</xdr:colOff>
      <xdr:row>102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104</xdr:row>
      <xdr:rowOff>0</xdr:rowOff>
    </xdr:from>
    <xdr:to>
      <xdr:col>29</xdr:col>
      <xdr:colOff>19050</xdr:colOff>
      <xdr:row>120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123</xdr:row>
      <xdr:rowOff>0</xdr:rowOff>
    </xdr:from>
    <xdr:to>
      <xdr:col>29</xdr:col>
      <xdr:colOff>19050</xdr:colOff>
      <xdr:row>140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Relationship Id="rId2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Relationship Id="rId2" Target="../drawings/drawing3.xml" Type="http://schemas.openxmlformats.org/officeDocument/2006/relationships/drawing"/>
</Relationships>

</file>

<file path=xl/worksheets/_rels/sheet4.xml.rels><?xml version="1.0" encoding="UTF-8" standalone="no"?>
<Relationships xmlns="http://schemas.openxmlformats.org/package/2006/relationships">
<Relationship Id="rId1" Target="../drawings/drawing4.xml" Type="http://schemas.openxmlformats.org/officeDocument/2006/relationships/drawing"/>
</Relationships>

</file>

<file path=xl/worksheets/_rels/sheet5.xml.rels><?xml version="1.0" encoding="UTF-8" standalone="no"?>
<Relationships xmlns="http://schemas.openxmlformats.org/package/2006/relationships">
<Relationship Id="rId1" Target="../drawings/drawing5.xml" Type="http://schemas.openxmlformats.org/officeDocument/2006/relationships/drawing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X117"/>
  <sheetViews>
    <sheetView workbookViewId="0" zoomScaleNormal="100">
      <selection activeCell="A5" sqref="A5"/>
    </sheetView>
  </sheetViews>
  <sheetFormatPr defaultRowHeight="15" x14ac:dyDescent="0.25"/>
  <cols>
    <col min="1" max="1" customWidth="true" width="12.7109375" collapsed="true"/>
    <col min="2" max="9" customWidth="true" width="10.7109375" collapsed="true"/>
    <col min="10" max="10" customWidth="true" width="6.42578125" collapsed="true"/>
    <col min="11" max="11" customWidth="true" width="12.7109375" collapsed="true"/>
    <col min="12" max="19" customWidth="true" width="10.7109375" collapsed="true"/>
  </cols>
  <sheetData>
    <row r="1" spans="1:24" x14ac:dyDescent="0.25">
      <c r="A1" t="s">
        <v>14</v>
      </c>
    </row>
    <row r="2" spans="1:24" x14ac:dyDescent="0.25">
      <c r="A2" t="s">
        <v>18</v>
      </c>
    </row>
    <row r="3" spans="1:24" x14ac:dyDescent="0.25">
      <c r="A3" t="s">
        <v>20</v>
      </c>
    </row>
    <row r="4" spans="1:24" x14ac:dyDescent="0.25">
      <c r="A4" t="s">
        <v>34</v>
      </c>
    </row>
    <row r="5" spans="1:24" x14ac:dyDescent="0.25">
      <c r="A5" t="s">
        <v>5</v>
      </c>
    </row>
    <row r="6" spans="1:24" x14ac:dyDescent="0.25">
      <c r="A6" t="s">
        <v>6</v>
      </c>
    </row>
    <row r="7" spans="1:24" x14ac:dyDescent="0.25">
      <c r="U7" s="5"/>
      <c r="V7" s="5"/>
      <c r="W7" s="5"/>
      <c r="X7" s="5"/>
    </row>
    <row ht="15.75" r="8" spans="1:24" thickBot="1" x14ac:dyDescent="0.3">
      <c r="A8" s="3" t="s">
        <v>30</v>
      </c>
      <c r="B8" s="1"/>
      <c r="C8" s="1"/>
      <c r="D8" s="1"/>
      <c r="E8" s="1"/>
      <c r="F8" s="1"/>
      <c r="G8" s="1"/>
      <c r="H8" s="1"/>
      <c r="I8" s="1"/>
      <c r="K8" s="3" t="s">
        <v>15</v>
      </c>
      <c r="L8" s="1"/>
      <c r="M8" s="1"/>
      <c r="N8" s="1"/>
      <c r="O8" s="1"/>
      <c r="P8" s="1"/>
      <c r="Q8" s="1"/>
      <c r="R8" s="1"/>
      <c r="S8" s="1"/>
      <c r="U8" s="8"/>
      <c r="V8" s="5"/>
      <c r="W8" s="5"/>
      <c r="X8" s="5"/>
    </row>
    <row r="9" spans="1:24" x14ac:dyDescent="0.25">
      <c r="A9" s="2" t="s">
        <v>3</v>
      </c>
      <c r="B9" s="4" t="s">
        <v>1</v>
      </c>
      <c r="C9" s="4" t="s">
        <v>2</v>
      </c>
      <c r="D9" s="4" t="s">
        <v>9</v>
      </c>
      <c r="E9" s="4" t="s">
        <v>10</v>
      </c>
      <c r="F9" s="4" t="s">
        <v>11</v>
      </c>
      <c r="G9" s="4" t="s">
        <v>12</v>
      </c>
      <c r="H9" s="4" t="s">
        <v>13</v>
      </c>
      <c r="I9" s="4" t="s">
        <v>0</v>
      </c>
      <c r="K9" s="2" t="s">
        <v>3</v>
      </c>
      <c r="L9" s="4" t="s">
        <v>1</v>
      </c>
      <c r="M9" s="4" t="s">
        <v>2</v>
      </c>
      <c r="N9" s="4" t="s">
        <v>9</v>
      </c>
      <c r="O9" s="4" t="s">
        <v>10</v>
      </c>
      <c r="P9" s="4" t="s">
        <v>11</v>
      </c>
      <c r="Q9" s="4" t="s">
        <v>12</v>
      </c>
      <c r="R9" s="4" t="s">
        <v>13</v>
      </c>
      <c r="S9" s="4" t="s">
        <v>0</v>
      </c>
      <c r="U9" s="5"/>
      <c r="V9" s="11"/>
      <c r="W9" s="11"/>
      <c r="X9" s="5"/>
    </row>
    <row r="10" spans="1:24" x14ac:dyDescent="0.25">
      <c r="A10" t="s">
        <v>4</v>
      </c>
      <c r="B10" s="21" t="n">
        <v>0.0</v>
      </c>
      <c r="C10" s="21" t="n">
        <v>24.97125</v>
      </c>
      <c r="D10" s="21" t="n">
        <v>0.0</v>
      </c>
      <c r="E10" s="21" t="n">
        <v>0.0</v>
      </c>
      <c r="F10" s="21" t="n">
        <v>0.0</v>
      </c>
      <c r="G10" s="21" t="n">
        <v>0.0</v>
      </c>
      <c r="H10" s="21" t="n">
        <v>0.0</v>
      </c>
      <c r="I10" s="21">
        <f>SUM(B10:H10)</f>
        <v>19.977</v>
      </c>
      <c r="K10" t="s">
        <v>4</v>
      </c>
      <c r="L10" s="7" t="n">
        <v>18.63377211147314</v>
      </c>
      <c r="M10" s="7" t="n">
        <v>9.609137378850303</v>
      </c>
      <c r="N10" s="7" t="n">
        <v>40.65823764416426</v>
      </c>
      <c r="O10" s="7" t="n">
        <v>118.956223314801</v>
      </c>
      <c r="P10" s="7" t="n">
        <v>62.75980757881325</v>
      </c>
      <c r="Q10" s="7" t="n">
        <v>51.45706480893096</v>
      </c>
      <c r="R10" s="7" t="n">
        <v>64.98686202334933</v>
      </c>
      <c r="S10">
        <f>SUM(L10:R10)</f>
        <v>101</v>
      </c>
      <c r="U10" s="5"/>
      <c r="V10" s="13"/>
      <c r="W10" s="13"/>
      <c r="X10" s="5"/>
    </row>
    <row r="11" spans="1:24" x14ac:dyDescent="0.25">
      <c r="A11" s="9">
        <v>0.125</v>
      </c>
      <c r="B11" s="21" t="n">
        <v>219.98886434460337</v>
      </c>
      <c r="C11" s="21" t="n">
        <v>28.72732458585799</v>
      </c>
      <c r="D11" s="21" t="n">
        <v>124.54549964569213</v>
      </c>
      <c r="E11" s="21" t="n">
        <v>207.1912431110828</v>
      </c>
      <c r="F11" s="21" t="n">
        <v>131.81951626012133</v>
      </c>
      <c r="G11" s="21" t="n">
        <v>268.1919430891886</v>
      </c>
      <c r="H11" s="21" t="n">
        <v>326.2011184761544</v>
      </c>
      <c r="I11" s="21">
        <f ref="I11:I60" si="0" t="shared">SUM(B11:H11)</f>
        <v>1077.7735498105048</v>
      </c>
      <c r="K11" s="9">
        <v>0.125</v>
      </c>
      <c r="L11" s="7" t="n">
        <v>623.8625097576984</v>
      </c>
      <c r="M11" s="7" t="n">
        <v>67.40453145729091</v>
      </c>
      <c r="N11" s="7" t="n">
        <v>2723.445655519546</v>
      </c>
      <c r="O11" s="7" t="n">
        <v>1589.0124562162068</v>
      </c>
      <c r="P11" s="7" t="n">
        <v>1518.0234043271525</v>
      </c>
      <c r="Q11" s="7" t="n">
        <v>736.512014633998</v>
      </c>
      <c r="R11" s="7" t="n">
        <v>744.2248992404682</v>
      </c>
      <c r="S11">
        <f ref="S11:S60" si="1" t="shared">SUM(L11:R11)</f>
        <v>12105.760298728943</v>
      </c>
      <c r="U11" s="5"/>
      <c r="V11" s="13"/>
      <c r="W11" s="13"/>
      <c r="X11" s="5"/>
    </row>
    <row r="12" spans="1:24" x14ac:dyDescent="0.25">
      <c r="A12" s="9">
        <v>0.14583333333333334</v>
      </c>
      <c r="B12" s="21" t="n">
        <v>496.2148387094861</v>
      </c>
      <c r="C12" s="21" t="n">
        <v>33.54171508901504</v>
      </c>
      <c r="D12" s="21" t="n">
        <v>335.40011739567035</v>
      </c>
      <c r="E12" s="21" t="n">
        <v>446.1457616274006</v>
      </c>
      <c r="F12" s="21" t="n">
        <v>237.3600146826946</v>
      </c>
      <c r="G12" s="21" t="n">
        <v>643.7861901402614</v>
      </c>
      <c r="H12" s="21" t="n">
        <v>773.9050712528278</v>
      </c>
      <c r="I12" s="21">
        <f si="0" t="shared"/>
        <v>2437.932727951908</v>
      </c>
      <c r="K12" s="9">
        <v>0.14583333333333334</v>
      </c>
      <c r="L12" s="7" t="n">
        <v>1226.7607539649625</v>
      </c>
      <c r="M12" s="7" t="n">
        <v>135.09547961276212</v>
      </c>
      <c r="N12" s="7" t="n">
        <v>5247.8559896390725</v>
      </c>
      <c r="O12" s="7" t="n">
        <v>3017.0026216110155</v>
      </c>
      <c r="P12" s="7" t="n">
        <v>2836.3358070205127</v>
      </c>
      <c r="Q12" s="7" t="n">
        <v>1419.1738891877983</v>
      </c>
      <c r="R12" s="7" t="n">
        <v>1427.5811816840219</v>
      </c>
      <c r="S12">
        <f si="1" t="shared"/>
        <v>24537.459086418152</v>
      </c>
      <c r="U12" s="5"/>
      <c r="V12" s="13"/>
      <c r="W12" s="13"/>
      <c r="X12" s="5"/>
    </row>
    <row r="13" spans="1:24" x14ac:dyDescent="0.25">
      <c r="A13" s="9">
        <v>0.16666666666666666</v>
      </c>
      <c r="B13" s="21" t="n">
        <v>886.1512463732604</v>
      </c>
      <c r="C13" s="21" t="n">
        <v>44.392848282959555</v>
      </c>
      <c r="D13" s="21" t="n">
        <v>795.5897584692935</v>
      </c>
      <c r="E13" s="21" t="n">
        <v>792.7891780780848</v>
      </c>
      <c r="F13" s="21" t="n">
        <v>322.5956173033699</v>
      </c>
      <c r="G13" s="21" t="n">
        <v>1196.3534586893632</v>
      </c>
      <c r="H13" s="21" t="n">
        <v>1408.9454812870845</v>
      </c>
      <c r="I13" s="21">
        <f si="0" t="shared"/>
        <v>4451.3860955013279</v>
      </c>
      <c r="K13" s="9">
        <v>0.16666666666666666</v>
      </c>
      <c r="L13" s="7" t="n">
        <v>1868.2872472791737</v>
      </c>
      <c r="M13" s="7" t="n">
        <v>230.1043356079239</v>
      </c>
      <c r="N13" s="7" t="n">
        <v>7677.699713809699</v>
      </c>
      <c r="O13" s="7" t="n">
        <v>4483.025891376771</v>
      </c>
      <c r="P13" s="7" t="n">
        <v>4012.0727163145802</v>
      </c>
      <c r="Q13" s="7" t="n">
        <v>2154.6988274094774</v>
      </c>
      <c r="R13" s="7" t="n">
        <v>2161.27322011623</v>
      </c>
      <c r="S13">
        <f si="1" t="shared"/>
        <v>38822.90288734436</v>
      </c>
      <c r="U13" s="5"/>
      <c r="V13" s="13"/>
      <c r="W13" s="13"/>
      <c r="X13" s="5"/>
    </row>
    <row r="14" spans="1:24" x14ac:dyDescent="0.25">
      <c r="A14" s="9">
        <v>0.1875</v>
      </c>
      <c r="B14" s="21" t="n">
        <v>1449.3318376137736</v>
      </c>
      <c r="C14" s="21" t="n">
        <v>74.57097815334618</v>
      </c>
      <c r="D14" s="21" t="n">
        <v>1816.6252786483044</v>
      </c>
      <c r="E14" s="21" t="n">
        <v>1384.201147066506</v>
      </c>
      <c r="F14" s="21" t="n">
        <v>440.24987460261366</v>
      </c>
      <c r="G14" s="21" t="n">
        <v>1922.6583037199657</v>
      </c>
      <c r="H14" s="21" t="n">
        <v>2212.5467063672854</v>
      </c>
      <c r="I14" s="21">
        <f si="0" t="shared"/>
        <v>7548.4587143768313</v>
      </c>
      <c r="K14" s="9">
        <v>0.1875</v>
      </c>
      <c r="L14" s="7" t="n">
        <v>2636.8555326095993</v>
      </c>
      <c r="M14" s="7" t="n">
        <v>379.08357195442176</v>
      </c>
      <c r="N14" s="7" t="n">
        <v>10309.857281198</v>
      </c>
      <c r="O14" s="7" t="n">
        <v>6211.7718468258645</v>
      </c>
      <c r="P14" s="7" t="n">
        <v>5198.340549231097</v>
      </c>
      <c r="Q14" s="7" t="n">
        <v>3060.9078827379326</v>
      </c>
      <c r="R14" s="7" t="n">
        <v>3038.0323852405045</v>
      </c>
      <c r="S14">
        <f si="1" t="shared"/>
        <v>57400.474161148071</v>
      </c>
      <c r="U14" s="5"/>
      <c r="V14" s="5"/>
      <c r="W14" s="5"/>
      <c r="X14" s="5"/>
    </row>
    <row r="15" spans="1:24" x14ac:dyDescent="0.25">
      <c r="A15" s="9">
        <v>0.20833333333333334</v>
      </c>
      <c r="B15" s="21" t="n">
        <v>2244.4846075246537</v>
      </c>
      <c r="C15" s="21" t="n">
        <v>148.0075409525045</v>
      </c>
      <c r="D15" s="21" t="n">
        <v>3868.947939089607</v>
      </c>
      <c r="E15" s="21" t="n">
        <v>2393.568143942271</v>
      </c>
      <c r="F15" s="21" t="n">
        <v>683.4820187458961</v>
      </c>
      <c r="G15" s="21" t="n">
        <v>2746.0021205629328</v>
      </c>
      <c r="H15" s="21" t="n">
        <v>3097.6761716967876</v>
      </c>
      <c r="I15" s="21">
        <f si="0" t="shared"/>
        <v>12225.903855433369</v>
      </c>
      <c r="K15" s="9">
        <v>0.20833333333333334</v>
      </c>
      <c r="L15" s="7" t="n">
        <v>3621.3273940522104</v>
      </c>
      <c r="M15" s="7" t="n">
        <v>610.53419139561</v>
      </c>
      <c r="N15" s="7" t="n">
        <v>13428.889454813618</v>
      </c>
      <c r="O15" s="7" t="n">
        <v>8468.976948160007</v>
      </c>
      <c r="P15" s="7" t="n">
        <v>6612.346241981681</v>
      </c>
      <c r="Q15" s="7" t="n">
        <v>4254.012546023322</v>
      </c>
      <c r="R15" s="7" t="n">
        <v>4152.873529853303</v>
      </c>
      <c r="S15">
        <f si="1" t="shared"/>
        <v>82372.658880233765</v>
      </c>
    </row>
    <row r="16" spans="1:24" x14ac:dyDescent="0.25">
      <c r="A16" s="9">
        <v>0.22916666666666666</v>
      </c>
      <c r="B16" s="21" t="n">
        <v>3315.711210092264</v>
      </c>
      <c r="C16" s="21" t="n">
        <v>294.5771261319905</v>
      </c>
      <c r="D16" s="21" t="n">
        <v>7435.471914947716</v>
      </c>
      <c r="E16" s="21" t="n">
        <v>3972.5094040964723</v>
      </c>
      <c r="F16" s="21" t="n">
        <v>1168.452061976502</v>
      </c>
      <c r="G16" s="21" t="n">
        <v>3570.9668561597628</v>
      </c>
      <c r="H16" s="21" t="n">
        <v>3963.72107059315</v>
      </c>
      <c r="I16" s="21">
        <f si="0" t="shared"/>
        <v>18927.8791457798</v>
      </c>
      <c r="K16" s="9">
        <v>0.22916666666666666</v>
      </c>
      <c r="L16" s="7" t="n">
        <v>4840.791181851973</v>
      </c>
      <c r="M16" s="7" t="n">
        <v>940.3309728074314</v>
      </c>
      <c r="N16" s="7" t="n">
        <v>16978.905518289543</v>
      </c>
      <c r="O16" s="7" t="n">
        <v>11399.55722214086</v>
      </c>
      <c r="P16" s="7" t="n">
        <v>8395.04111629675</v>
      </c>
      <c r="Q16" s="7" t="n">
        <v>5752.455676853875</v>
      </c>
      <c r="R16" s="7" t="n">
        <v>5535.803635205726</v>
      </c>
      <c r="S16">
        <f si="1" t="shared"/>
        <v>113465.25153064728</v>
      </c>
    </row>
    <row r="17" spans="1:19" x14ac:dyDescent="0.25">
      <c r="A17" s="9">
        <v>0.25</v>
      </c>
      <c r="B17" s="21" t="n">
        <v>4662.066019820012</v>
      </c>
      <c r="C17" s="21" t="n">
        <v>535.6687940595114</v>
      </c>
      <c r="D17" s="21" t="n">
        <v>12677.550812139349</v>
      </c>
      <c r="E17" s="21" t="n">
        <v>6194.362492067626</v>
      </c>
      <c r="F17" s="21" t="n">
        <v>2013.6817192752185</v>
      </c>
      <c r="G17" s="21" t="n">
        <v>4350.497485883534</v>
      </c>
      <c r="H17" s="21" t="n">
        <v>4753.1315212418285</v>
      </c>
      <c r="I17" s="21">
        <f si="0" t="shared"/>
        <v>27765.200672299288</v>
      </c>
      <c r="K17" s="9">
        <v>0.25</v>
      </c>
      <c r="L17" s="7" t="n">
        <v>6202.54478779239</v>
      </c>
      <c r="M17" s="7" t="n">
        <v>1357.4589692318357</v>
      </c>
      <c r="N17" s="7" t="n">
        <v>20424.1526538854</v>
      </c>
      <c r="O17" s="7" t="n">
        <v>14915.144611953912</v>
      </c>
      <c r="P17" s="7" t="n">
        <v>10524.157106828065</v>
      </c>
      <c r="Q17" s="7" t="n">
        <v>7418.780236392889</v>
      </c>
      <c r="R17" s="7" t="n">
        <v>7106.567221873094</v>
      </c>
      <c r="S17">
        <f si="1" t="shared"/>
        <v>146762.53981018066</v>
      </c>
    </row>
    <row r="18" spans="1:19" x14ac:dyDescent="0.25">
      <c r="A18" s="9">
        <v>0.27083333333333331</v>
      </c>
      <c r="B18" s="21" t="n">
        <v>6200.085365007723</v>
      </c>
      <c r="C18" s="21" t="n">
        <v>864.6370166244178</v>
      </c>
      <c r="D18" s="21" t="n">
        <v>19066.31507583308</v>
      </c>
      <c r="E18" s="21" t="n">
        <v>9034.083788944461</v>
      </c>
      <c r="F18" s="21" t="n">
        <v>3314.788901519041</v>
      </c>
      <c r="G18" s="21" t="n">
        <v>5090.516766091119</v>
      </c>
      <c r="H18" s="21" t="n">
        <v>5472.101708220461</v>
      </c>
      <c r="I18" s="21">
        <f si="0" t="shared"/>
        <v>38172.275654835219</v>
      </c>
      <c r="K18" s="9">
        <v>0.27083333333333331</v>
      </c>
      <c r="L18" s="7" t="n">
        <v>7522.050451614697</v>
      </c>
      <c r="M18" s="7" t="n">
        <v>1818.1640290211487</v>
      </c>
      <c r="N18" s="7" t="n">
        <v>22944.104188506255</v>
      </c>
      <c r="O18" s="7" t="n">
        <v>18691.97075753363</v>
      </c>
      <c r="P18" s="7" t="n">
        <v>12821.61799279703</v>
      </c>
      <c r="Q18" s="7" t="n">
        <v>8989.765874369024</v>
      </c>
      <c r="R18" s="7" t="n">
        <v>8682.018859292963</v>
      </c>
      <c r="S18">
        <f si="1" t="shared"/>
        <v>175472.74508571625</v>
      </c>
    </row>
    <row r="19" spans="1:19" x14ac:dyDescent="0.25">
      <c r="A19" s="9">
        <v>0.29166666666666669</v>
      </c>
      <c r="B19" s="21" t="n">
        <v>7750.139347634747</v>
      </c>
      <c r="C19" s="21" t="n">
        <v>1234.1853476018043</v>
      </c>
      <c r="D19" s="21" t="n">
        <v>25284.429278596956</v>
      </c>
      <c r="E19" s="21" t="n">
        <v>12391.11681357512</v>
      </c>
      <c r="F19" s="21" t="n">
        <v>5114.013256148234</v>
      </c>
      <c r="G19" s="21" t="n">
        <v>5783.830011740312</v>
      </c>
      <c r="H19" s="21" t="n">
        <v>6168.216616744972</v>
      </c>
      <c r="I19" s="21">
        <f si="0" t="shared"/>
        <v>48807.64615372409</v>
      </c>
      <c r="K19" s="9">
        <v>0.29166666666666669</v>
      </c>
      <c r="L19" s="7" t="n">
        <v>8592.21020766468</v>
      </c>
      <c r="M19" s="7" t="n">
        <v>2252.447171861306</v>
      </c>
      <c r="N19" s="7" t="n">
        <v>23847.69944702478</v>
      </c>
      <c r="O19" s="7" t="n">
        <v>22257.380999080007</v>
      </c>
      <c r="P19" s="7" t="n">
        <v>15022.946454998359</v>
      </c>
      <c r="Q19" s="7" t="n">
        <v>10183.0368959504</v>
      </c>
      <c r="R19" s="7" t="n">
        <v>10031.113508038241</v>
      </c>
      <c r="S19">
        <f si="1" t="shared"/>
        <v>192714.76301765442</v>
      </c>
    </row>
    <row r="20" spans="1:19" x14ac:dyDescent="0.25">
      <c r="A20" s="9">
        <v>0.3125</v>
      </c>
      <c r="B20" s="21" t="n">
        <v>9076.266046317389</v>
      </c>
      <c r="C20" s="21" t="n">
        <v>1563.5943512686315</v>
      </c>
      <c r="D20" s="21" t="n">
        <v>29615.3546040171</v>
      </c>
      <c r="E20" s="21" t="n">
        <v>16121.14225827788</v>
      </c>
      <c r="F20" s="21" t="n">
        <v>7378.062970806385</v>
      </c>
      <c r="G20" s="21" t="n">
        <v>6357.764621733182</v>
      </c>
      <c r="H20" s="21" t="n">
        <v>6887.862574874034</v>
      </c>
      <c r="I20" s="21">
        <f si="0" t="shared"/>
        <v>57955.637411852171</v>
      </c>
      <c r="K20" s="9">
        <v>0.3125</v>
      </c>
      <c r="L20" s="7" t="n">
        <v>9257.756199794563</v>
      </c>
      <c r="M20" s="7" t="n">
        <v>2581.618112650562</v>
      </c>
      <c r="N20" s="7" t="n">
        <v>22923.29578240956</v>
      </c>
      <c r="O20" s="7" t="n">
        <v>25109.5223409518</v>
      </c>
      <c r="P20" s="7" t="n">
        <v>16856.15624474704</v>
      </c>
      <c r="Q20" s="7" t="n">
        <v>10815.812329041899</v>
      </c>
      <c r="R20" s="7" t="n">
        <v>10948.103646782552</v>
      </c>
      <c r="S20">
        <f si="1" t="shared"/>
        <v>194925.25082969666</v>
      </c>
    </row>
    <row r="21" spans="1:19" x14ac:dyDescent="0.25">
      <c r="A21" s="9">
        <v>0.33333333333333331</v>
      </c>
      <c r="B21" s="21" t="n">
        <v>9970.06732059166</v>
      </c>
      <c r="C21" s="21" t="n">
        <v>1769.4073914909827</v>
      </c>
      <c r="D21" s="21" t="n">
        <v>30699.00145468935</v>
      </c>
      <c r="E21" s="21" t="n">
        <v>20030.56347326506</v>
      </c>
      <c r="F21" s="21" t="n">
        <v>9999.856915384256</v>
      </c>
      <c r="G21" s="21" t="n">
        <v>6712.979253333185</v>
      </c>
      <c r="H21" s="21" t="n">
        <v>7640.226315141128</v>
      </c>
      <c r="I21" s="21">
        <f si="0" t="shared"/>
        <v>64278.178876672631</v>
      </c>
      <c r="K21" s="9">
        <v>0.33333333333333331</v>
      </c>
      <c r="L21" s="7" t="n">
        <v>9458.411684974604</v>
      </c>
      <c r="M21" s="7" t="n">
        <v>2742.240768967511</v>
      </c>
      <c r="N21" s="7" t="n">
        <v>20508.463933772953</v>
      </c>
      <c r="O21" s="7" t="n">
        <v>26840.85442826125</v>
      </c>
      <c r="P21" s="7" t="n">
        <v>18106.518796869834</v>
      </c>
      <c r="Q21" s="7" t="n">
        <v>10869.14331806482</v>
      </c>
      <c r="R21" s="7" t="n">
        <v>11315.125855130913</v>
      </c>
      <c r="S21">
        <f si="1" t="shared"/>
        <v>183909.60741329193</v>
      </c>
    </row>
    <row r="22" spans="1:19" x14ac:dyDescent="0.25">
      <c r="A22" s="9">
        <v>0.35416666666666669</v>
      </c>
      <c r="B22" s="21" t="n">
        <v>10326.612126301412</v>
      </c>
      <c r="C22" s="21" t="n">
        <v>1806.4213205955048</v>
      </c>
      <c r="D22" s="21" t="n">
        <v>28213.719822356165</v>
      </c>
      <c r="E22" s="21" t="n">
        <v>23830.815787211654</v>
      </c>
      <c r="F22" s="21" t="n">
        <v>12809.585028914316</v>
      </c>
      <c r="G22" s="21" t="n">
        <v>6824.625153575981</v>
      </c>
      <c r="H22" s="21" t="n">
        <v>8385.078888134383</v>
      </c>
      <c r="I22" s="21">
        <f si="0" t="shared"/>
        <v>67380.60699996326</v>
      </c>
      <c r="K22" s="9">
        <v>0.35416666666666669</v>
      </c>
      <c r="L22" s="7" t="n">
        <v>9231.419207440333</v>
      </c>
      <c r="M22" s="7" t="n">
        <v>2708.4611389938914</v>
      </c>
      <c r="N22" s="7" t="n">
        <v>17281.122288821432</v>
      </c>
      <c r="O22" s="7" t="n">
        <v>27251.116902702823</v>
      </c>
      <c r="P22" s="7" t="n">
        <v>18663.35864981752</v>
      </c>
      <c r="Q22" s="7" t="n">
        <v>10470.36530939333</v>
      </c>
      <c r="R22" s="7" t="n">
        <v>11134.832582743982</v>
      </c>
      <c r="S22">
        <f si="1" t="shared"/>
        <v>166088.63460636139</v>
      </c>
    </row>
    <row r="23" spans="1:19" x14ac:dyDescent="0.25">
      <c r="A23" s="9">
        <v>0.375</v>
      </c>
      <c r="B23" s="21" t="n">
        <v>10163.854275054917</v>
      </c>
      <c r="C23" s="21" t="n">
        <v>1692.7355936165422</v>
      </c>
      <c r="D23" s="21" t="n">
        <v>23041.61628988055</v>
      </c>
      <c r="E23" s="21" t="n">
        <v>27119.64738728775</v>
      </c>
      <c r="F23" s="21" t="n">
        <v>15560.344516058767</v>
      </c>
      <c r="G23" s="21" t="n">
        <v>6801.9170010253</v>
      </c>
      <c r="H23" s="21" t="n">
        <v>9051.675713357738</v>
      </c>
      <c r="I23" s="21">
        <f si="0" t="shared"/>
        <v>67770.249188605696</v>
      </c>
      <c r="K23" s="9">
        <v>0.375</v>
      </c>
      <c r="L23" s="7" t="n">
        <v>8681.61907004414</v>
      </c>
      <c r="M23" s="7" t="n">
        <v>2501.8002332295873</v>
      </c>
      <c r="N23" s="7" t="n">
        <v>13942.72354366357</v>
      </c>
      <c r="O23" s="7" t="n">
        <v>26408.2952928265</v>
      </c>
      <c r="P23" s="7" t="n">
        <v>18535.653729597732</v>
      </c>
      <c r="Q23" s="7" t="n">
        <v>9812.943661954076</v>
      </c>
      <c r="R23" s="7" t="n">
        <v>10520.177147224658</v>
      </c>
      <c r="S23">
        <f si="1" t="shared"/>
        <v>149016.60666370392</v>
      </c>
    </row>
    <row r="24" spans="1:19" x14ac:dyDescent="0.25">
      <c r="A24" s="9">
        <v>0.39583333333333331</v>
      </c>
      <c r="B24" s="21" t="n">
        <v>9583.344859551184</v>
      </c>
      <c r="C24" s="21" t="n">
        <v>1498.36551745314</v>
      </c>
      <c r="D24" s="21" t="n">
        <v>16810.651642428995</v>
      </c>
      <c r="E24" s="21" t="n">
        <v>29464.814179211884</v>
      </c>
      <c r="F24" s="21" t="n">
        <v>17908.06755536267</v>
      </c>
      <c r="G24" s="21" t="n">
        <v>6840.669607666252</v>
      </c>
      <c r="H24" s="21" t="n">
        <v>9575.94009230897</v>
      </c>
      <c r="I24" s="21">
        <f si="0" t="shared"/>
        <v>66327.089213008789</v>
      </c>
      <c r="K24" s="9">
        <v>0.39583333333333331</v>
      </c>
      <c r="L24" s="7" t="n">
        <v>7935.223702887842</v>
      </c>
      <c r="M24" s="7" t="n">
        <v>2181.1294951783602</v>
      </c>
      <c r="N24" s="7" t="n">
        <v>10980.352285129866</v>
      </c>
      <c r="O24" s="7" t="n">
        <v>24611.6947728042</v>
      </c>
      <c r="P24" s="7" t="n">
        <v>17826.19061324168</v>
      </c>
      <c r="Q24" s="7" t="n">
        <v>9063.496051344264</v>
      </c>
      <c r="R24" s="7" t="n">
        <v>9643.39912788451</v>
      </c>
      <c r="S24">
        <f si="1" t="shared"/>
        <v>137220.22713375092</v>
      </c>
    </row>
    <row r="25" spans="1:19" x14ac:dyDescent="0.25">
      <c r="A25" s="9">
        <v>0.41666666666666669</v>
      </c>
      <c r="B25" s="21" t="n">
        <v>8709.51946623234</v>
      </c>
      <c r="C25" s="21" t="n">
        <v>1303.276302568807</v>
      </c>
      <c r="D25" s="21" t="n">
        <v>11118.487563164974</v>
      </c>
      <c r="E25" s="21" t="n">
        <v>30567.212068596265</v>
      </c>
      <c r="F25" s="21" t="n">
        <v>19478.675967544867</v>
      </c>
      <c r="G25" s="21" t="n">
        <v>7098.347399801998</v>
      </c>
      <c r="H25" s="21" t="n">
        <v>9921.837954079845</v>
      </c>
      <c r="I25" s="21">
        <f si="0" t="shared"/>
        <v>63783.991083018685</v>
      </c>
      <c r="K25" s="9">
        <v>0.41666666666666669</v>
      </c>
      <c r="L25" s="7" t="n">
        <v>7100.4889564966825</v>
      </c>
      <c r="M25" s="7" t="n">
        <v>1817.663576870214</v>
      </c>
      <c r="N25" s="7" t="n">
        <v>8597.43349975755</v>
      </c>
      <c r="O25" s="7" t="n">
        <v>22274.566815826438</v>
      </c>
      <c r="P25" s="7" t="n">
        <v>16687.9010382959</v>
      </c>
      <c r="Q25" s="7" t="n">
        <v>8309.899335414324</v>
      </c>
      <c r="R25" s="7" t="n">
        <v>8672.59990882202</v>
      </c>
      <c r="S25">
        <f si="1" t="shared"/>
        <v>130307.82508563995</v>
      </c>
    </row>
    <row r="26" spans="1:19" x14ac:dyDescent="0.25">
      <c r="A26" s="9">
        <v>0.4375</v>
      </c>
      <c r="B26" s="21" t="n">
        <v>7649.134110787192</v>
      </c>
      <c r="C26" s="21" t="n">
        <v>1155.2161910304853</v>
      </c>
      <c r="D26" s="21" t="n">
        <v>6917.691410808542</v>
      </c>
      <c r="E26" s="21" t="n">
        <v>30380.985988331155</v>
      </c>
      <c r="F26" s="21" t="n">
        <v>20051.601705661385</v>
      </c>
      <c r="G26" s="21" t="n">
        <v>7577.5187440229965</v>
      </c>
      <c r="H26" s="21" t="n">
        <v>10069.8947154317</v>
      </c>
      <c r="I26" s="21">
        <f si="0" t="shared"/>
        <v>60560.908389043419</v>
      </c>
      <c r="K26" s="9">
        <v>0.4375</v>
      </c>
      <c r="L26" s="7" t="n">
        <v>6255.000309377372</v>
      </c>
      <c r="M26" s="7" t="n">
        <v>1470.2801938272692</v>
      </c>
      <c r="N26" s="7" t="n">
        <v>6786.892662901079</v>
      </c>
      <c r="O26" s="7" t="n">
        <v>19806.134618137145</v>
      </c>
      <c r="P26" s="7" t="n">
        <v>15301.741407559171</v>
      </c>
      <c r="Q26" s="7" t="n">
        <v>7574.656061009992</v>
      </c>
      <c r="R26" s="7" t="n">
        <v>7734.232363081034</v>
      </c>
      <c r="S26">
        <f si="1" t="shared"/>
        <v>124679.13825416565</v>
      </c>
    </row>
    <row r="27" spans="1:19" x14ac:dyDescent="0.25">
      <c r="A27" s="9">
        <v>0.45833333333333331</v>
      </c>
      <c r="B27" s="21" t="n">
        <v>6490.005274958855</v>
      </c>
      <c r="C27" s="21" t="n">
        <v>1055.599567715844</v>
      </c>
      <c r="D27" s="21" t="n">
        <v>4368.495263036566</v>
      </c>
      <c r="E27" s="21" t="n">
        <v>29105.235907592745</v>
      </c>
      <c r="F27" s="21" t="n">
        <v>19709.02289814492</v>
      </c>
      <c r="G27" s="21" t="n">
        <v>8095.405486212623</v>
      </c>
      <c r="H27" s="21" t="n">
        <v>10001.333393556284</v>
      </c>
      <c r="I27" s="21">
        <f si="0" t="shared"/>
        <v>56882.527849833117</v>
      </c>
      <c r="K27" s="9">
        <v>0.45833333333333331</v>
      </c>
      <c r="L27" s="7" t="n">
        <v>5456.635097866988</v>
      </c>
      <c r="M27" s="7" t="n">
        <v>1173.938947463385</v>
      </c>
      <c r="N27" s="7" t="n">
        <v>5454.587974283394</v>
      </c>
      <c r="O27" s="7" t="n">
        <v>17548.349005201788</v>
      </c>
      <c r="P27" s="7" t="n">
        <v>13876.369644720036</v>
      </c>
      <c r="Q27" s="7" t="n">
        <v>6867.027886968005</v>
      </c>
      <c r="R27" s="7" t="n">
        <v>6912.899908620749</v>
      </c>
      <c r="S27">
        <f si="1" t="shared"/>
        <v>117067.73679542542</v>
      </c>
    </row>
    <row r="28" spans="1:19" x14ac:dyDescent="0.25">
      <c r="A28" s="9">
        <v>0.47916666666666669</v>
      </c>
      <c r="B28" s="21" t="n">
        <v>5324.923995182729</v>
      </c>
      <c r="C28" s="21" t="n">
        <v>976.6048581972416</v>
      </c>
      <c r="D28" s="21" t="n">
        <v>3109.5891685739134</v>
      </c>
      <c r="E28" s="21" t="n">
        <v>27083.489317606603</v>
      </c>
      <c r="F28" s="21" t="n">
        <v>18771.998080733196</v>
      </c>
      <c r="G28" s="21" t="n">
        <v>8366.597999744248</v>
      </c>
      <c r="H28" s="21" t="n">
        <v>9708.416540188231</v>
      </c>
      <c r="I28" s="21">
        <f si="0" t="shared"/>
        <v>52916.907853238197</v>
      </c>
      <c r="K28" s="9">
        <v>0.47916666666666669</v>
      </c>
      <c r="L28" s="7" t="n">
        <v>4753.339707758707</v>
      </c>
      <c r="M28" s="7" t="n">
        <v>941.4676549360265</v>
      </c>
      <c r="N28" s="7" t="n">
        <v>4506.213393339865</v>
      </c>
      <c r="O28" s="7" t="n">
        <v>15744.591168232306</v>
      </c>
      <c r="P28" s="7" t="n">
        <v>12624.095871416559</v>
      </c>
      <c r="Q28" s="7" t="n">
        <v>6217.631079589337</v>
      </c>
      <c r="R28" s="7" t="n">
        <v>6262.854479250898</v>
      </c>
      <c r="S28">
        <f si="1" t="shared"/>
        <v>106765.38283443451</v>
      </c>
    </row>
    <row r="29" spans="1:19" x14ac:dyDescent="0.25">
      <c r="A29" s="9">
        <v>0.5</v>
      </c>
      <c r="B29" s="21" t="n">
        <v>4264.070379088861</v>
      </c>
      <c r="C29" s="21" t="n">
        <v>890.3977866957619</v>
      </c>
      <c r="D29" s="21" t="n">
        <v>2652.5570216186024</v>
      </c>
      <c r="E29" s="21" t="n">
        <v>24688.845048187137</v>
      </c>
      <c r="F29" s="21" t="n">
        <v>17575.10145903123</v>
      </c>
      <c r="G29" s="21" t="n">
        <v>8156.063358430274</v>
      </c>
      <c r="H29" s="21" t="n">
        <v>9211.531604761314</v>
      </c>
      <c r="I29" s="21">
        <f si="0" t="shared"/>
        <v>48809.34641010371</v>
      </c>
      <c r="K29" s="9">
        <v>0.5</v>
      </c>
      <c r="L29" s="7" t="n">
        <v>4173.426866898482</v>
      </c>
      <c r="M29" s="7" t="n">
        <v>770.3615779020888</v>
      </c>
      <c r="N29" s="7" t="n">
        <v>3866.607869319262</v>
      </c>
      <c r="O29" s="7" t="n">
        <v>14495.455508493047</v>
      </c>
      <c r="P29" s="7" t="n">
        <v>11687.17633854482</v>
      </c>
      <c r="Q29" s="7" t="n">
        <v>5663.03176764262</v>
      </c>
      <c r="R29" s="7" t="n">
        <v>5803.215201228336</v>
      </c>
      <c r="S29">
        <f si="1" t="shared"/>
        <v>95160.741761207581</v>
      </c>
    </row>
    <row r="30" spans="1:19" x14ac:dyDescent="0.25">
      <c r="A30" s="9">
        <v>0.52083333333333337</v>
      </c>
      <c r="B30" s="21" t="n">
        <v>3412.057055438691</v>
      </c>
      <c r="C30" s="21" t="n">
        <v>788.0022221744681</v>
      </c>
      <c r="D30" s="21" t="n">
        <v>2631.402487212912</v>
      </c>
      <c r="E30" s="21" t="n">
        <v>22230.584989391435</v>
      </c>
      <c r="F30" s="21" t="n">
        <v>16318.42322171439</v>
      </c>
      <c r="G30" s="21" t="n">
        <v>7408.391969874314</v>
      </c>
      <c r="H30" s="21" t="n">
        <v>8551.536526438154</v>
      </c>
      <c r="I30" s="21">
        <f si="0" t="shared"/>
        <v>44678.649323252583</v>
      </c>
      <c r="K30" s="9">
        <v>0.52083333333333337</v>
      </c>
      <c r="L30" s="7" t="n">
        <v>3707.649596930784</v>
      </c>
      <c r="M30" s="7" t="n">
        <v>648.4137182753989</v>
      </c>
      <c r="N30" s="7" t="n">
        <v>3459.2305744911073</v>
      </c>
      <c r="O30" s="7" t="n">
        <v>13718.896549130488</v>
      </c>
      <c r="P30" s="7" t="n">
        <v>11061.9581289202</v>
      </c>
      <c r="Q30" s="7" t="n">
        <v>5204.712767200763</v>
      </c>
      <c r="R30" s="7" t="n">
        <v>5503.12219629892</v>
      </c>
      <c r="S30">
        <f si="1" t="shared"/>
        <v>83905.516235351563</v>
      </c>
    </row>
    <row r="31" spans="1:19" x14ac:dyDescent="0.25">
      <c r="A31" s="9">
        <v>0.54166666666666663</v>
      </c>
      <c r="B31" s="21" t="n">
        <v>2824.336943711537</v>
      </c>
      <c r="C31" s="21" t="n">
        <v>677.6538845959358</v>
      </c>
      <c r="D31" s="21" t="n">
        <v>2840.7572215473433</v>
      </c>
      <c r="E31" s="21" t="n">
        <v>19906.285991543882</v>
      </c>
      <c r="F31" s="21" t="n">
        <v>15107.289822808725</v>
      </c>
      <c r="G31" s="21" t="n">
        <v>6274.289975684371</v>
      </c>
      <c r="H31" s="21" t="n">
        <v>7780.827113042271</v>
      </c>
      <c r="I31" s="21">
        <f si="0" t="shared"/>
        <v>40663.658703683657</v>
      </c>
      <c r="K31" s="9">
        <v>0.54166666666666663</v>
      </c>
      <c r="L31" s="7" t="n">
        <v>3310.580206012268</v>
      </c>
      <c r="M31" s="7" t="n">
        <v>558.4297872652149</v>
      </c>
      <c r="N31" s="7" t="n">
        <v>3193.7529244463885</v>
      </c>
      <c r="O31" s="7" t="n">
        <v>13183.711284882373</v>
      </c>
      <c r="P31" s="7" t="n">
        <v>10603.856965571747</v>
      </c>
      <c r="Q31" s="7" t="n">
        <v>4796.534188098994</v>
      </c>
      <c r="R31" s="7" t="n">
        <v>5288.2982957377335</v>
      </c>
      <c r="S31">
        <f si="1" t="shared"/>
        <v>73707.803775787354</v>
      </c>
    </row>
    <row r="32" spans="1:19" x14ac:dyDescent="0.25">
      <c r="A32" s="9">
        <v>0.5625</v>
      </c>
      <c r="B32" s="21" t="n">
        <v>2478.914883776965</v>
      </c>
      <c r="C32" s="21" t="n">
        <v>570.0488667638305</v>
      </c>
      <c r="D32" s="21" t="n">
        <v>3162.7506249073326</v>
      </c>
      <c r="E32" s="21" t="n">
        <v>17824.47575235728</v>
      </c>
      <c r="F32" s="21" t="n">
        <v>14044.891270960332</v>
      </c>
      <c r="G32" s="21" t="n">
        <v>5030.647090776584</v>
      </c>
      <c r="H32" s="21" t="n">
        <v>6993.5093860366715</v>
      </c>
      <c r="I32" s="21">
        <f si="0" t="shared"/>
        <v>36991.232961531168</v>
      </c>
      <c r="K32" s="9">
        <v>0.5625</v>
      </c>
      <c r="L32" s="7" t="n">
        <v>2930.254509822086</v>
      </c>
      <c r="M32" s="7" t="n">
        <v>484.0375629663563</v>
      </c>
      <c r="N32" s="7" t="n">
        <v>2984.432280801704</v>
      </c>
      <c r="O32" s="7" t="n">
        <v>12638.378790886705</v>
      </c>
      <c r="P32" s="7" t="n">
        <v>10135.075832864837</v>
      </c>
      <c r="Q32" s="7" t="n">
        <v>4383.614886531881</v>
      </c>
      <c r="R32" s="7" t="n">
        <v>5082.182775397009</v>
      </c>
      <c r="S32">
        <f si="1" t="shared"/>
        <v>64412.075006484985</v>
      </c>
    </row>
    <row r="33" spans="1:19" x14ac:dyDescent="0.25">
      <c r="A33" s="9">
        <v>0.58333333333333337</v>
      </c>
      <c r="B33" s="21" t="n">
        <v>2284.391820095025</v>
      </c>
      <c r="C33" s="21" t="n">
        <v>467.73254018784536</v>
      </c>
      <c r="D33" s="21" t="n">
        <v>3502.0319505610323</v>
      </c>
      <c r="E33" s="21" t="n">
        <v>16058.001385218566</v>
      </c>
      <c r="F33" s="21" t="n">
        <v>13229.17764373888</v>
      </c>
      <c r="G33" s="21" t="n">
        <v>3957.187623734647</v>
      </c>
      <c r="H33" s="21" t="n">
        <v>6356.061882282466</v>
      </c>
      <c r="I33" s="21">
        <f si="0" t="shared"/>
        <v>33955.028735227876</v>
      </c>
      <c r="K33" s="9">
        <v>0.58333333333333337</v>
      </c>
      <c r="L33" s="7" t="n">
        <v>2542.859599129352</v>
      </c>
      <c r="M33" s="7" t="n">
        <v>415.3033225798302</v>
      </c>
      <c r="N33" s="7" t="n">
        <v>2781.7050983169142</v>
      </c>
      <c r="O33" s="7" t="n">
        <v>11953.709533148</v>
      </c>
      <c r="P33" s="7" t="n">
        <v>9574.297370416914</v>
      </c>
      <c r="Q33" s="7" t="n">
        <v>3956.9882310024213</v>
      </c>
      <c r="R33" s="7" t="n">
        <v>4853.242084720754</v>
      </c>
      <c r="S33">
        <f si="1" t="shared"/>
        <v>55678.599967002869</v>
      </c>
    </row>
    <row r="34" spans="1:19" x14ac:dyDescent="0.25">
      <c r="A34" s="9">
        <v>0.60416666666666663</v>
      </c>
      <c r="B34" s="21" t="n">
        <v>2119.5489846894097</v>
      </c>
      <c r="C34" s="21" t="n">
        <v>368.1187048598895</v>
      </c>
      <c r="D34" s="21" t="n">
        <v>3772.382863959775</v>
      </c>
      <c r="E34" s="21" t="n">
        <v>14641.624601284022</v>
      </c>
      <c r="F34" s="21" t="n">
        <v>12684.116836313977</v>
      </c>
      <c r="G34" s="21" t="n">
        <v>3240.4691966189157</v>
      </c>
      <c r="H34" s="21" t="n">
        <v>6046.391150304571</v>
      </c>
      <c r="I34" s="21">
        <f si="0" t="shared"/>
        <v>31756.617806771283</v>
      </c>
      <c r="K34" s="9">
        <v>0.60416666666666663</v>
      </c>
      <c r="L34" s="7" t="n">
        <v>2161.7389168392397</v>
      </c>
      <c r="M34" s="7" t="n">
        <v>350.59647318607165</v>
      </c>
      <c r="N34" s="7" t="n">
        <v>2583.747348261146</v>
      </c>
      <c r="O34" s="7" t="n">
        <v>11163.921007570587</v>
      </c>
      <c r="P34" s="7" t="n">
        <v>8976.545072569887</v>
      </c>
      <c r="Q34" s="7" t="n">
        <v>3567.69483257661</v>
      </c>
      <c r="R34" s="7" t="n">
        <v>4625.53430725034</v>
      </c>
      <c r="S34">
        <f si="1" t="shared"/>
        <v>47421.718318939209</v>
      </c>
    </row>
    <row r="35" spans="1:19" x14ac:dyDescent="0.25">
      <c r="A35" s="9">
        <v>0.625</v>
      </c>
      <c r="B35" s="21" t="n">
        <v>1885.9506352280118</v>
      </c>
      <c r="C35" s="21" t="n">
        <v>272.5531731800903</v>
      </c>
      <c r="D35" s="21" t="n">
        <v>3911.0898432866907</v>
      </c>
      <c r="E35" s="21" t="n">
        <v>13511.294621354462</v>
      </c>
      <c r="F35" s="21" t="n">
        <v>12332.937195211114</v>
      </c>
      <c r="G35" s="21" t="n">
        <v>2940.3060561555376</v>
      </c>
      <c r="H35" s="21" t="n">
        <v>6105.423033722159</v>
      </c>
      <c r="I35" s="21">
        <f si="0" t="shared"/>
        <v>30315.99076818972</v>
      </c>
      <c r="K35" s="9">
        <v>0.625</v>
      </c>
      <c r="L35" s="7" t="n">
        <v>1815.6890934325506</v>
      </c>
      <c r="M35" s="7" t="n">
        <v>293.39650001484074</v>
      </c>
      <c r="N35" s="7" t="n">
        <v>2415.428671488381</v>
      </c>
      <c r="O35" s="7" t="n">
        <v>10378.41985178099</v>
      </c>
      <c r="P35" s="7" t="n">
        <v>8452.817618818213</v>
      </c>
      <c r="Q35" s="7" t="n">
        <v>3283.9155856257926</v>
      </c>
      <c r="R35" s="7" t="n">
        <v>4441.586784033325</v>
      </c>
      <c r="S35">
        <f si="1" t="shared"/>
        <v>39773.231563568115</v>
      </c>
    </row>
    <row r="36" spans="1:19" x14ac:dyDescent="0.25">
      <c r="A36" s="9">
        <v>0.64583333333333337</v>
      </c>
      <c r="B36" s="21" t="n">
        <v>1549.919212461028</v>
      </c>
      <c r="C36" s="21" t="n">
        <v>188.5019349362784</v>
      </c>
      <c r="D36" s="21" t="n">
        <v>3886.3824913763</v>
      </c>
      <c r="E36" s="21" t="n">
        <v>12490.747916289576</v>
      </c>
      <c r="F36" s="21" t="n">
        <v>12031.851721371488</v>
      </c>
      <c r="G36" s="21" t="n">
        <v>3011.6227912593386</v>
      </c>
      <c r="H36" s="21" t="n">
        <v>6352.041221691867</v>
      </c>
      <c r="I36" s="21">
        <f si="0" t="shared"/>
        <v>29237.896321411994</v>
      </c>
      <c r="K36" s="9">
        <v>0.64583333333333337</v>
      </c>
      <c r="L36" s="7" t="n">
        <v>1520.4618676523078</v>
      </c>
      <c r="M36" s="7" t="n">
        <v>246.83613792082832</v>
      </c>
      <c r="N36" s="7" t="n">
        <v>2293.967235254013</v>
      </c>
      <c r="O36" s="7" t="n">
        <v>9655.023444276781</v>
      </c>
      <c r="P36" s="7" t="n">
        <v>8050.90039016967</v>
      </c>
      <c r="Q36" s="7" t="n">
        <v>3130.9535102270734</v>
      </c>
      <c r="R36" s="7" t="n">
        <v>4311.800031924224</v>
      </c>
      <c r="S36">
        <f si="1" t="shared"/>
        <v>32844.198202133179</v>
      </c>
    </row>
    <row r="37" spans="1:19" x14ac:dyDescent="0.25">
      <c r="A37" s="9">
        <v>0.66666666666666663</v>
      </c>
      <c r="B37" s="21" t="n">
        <v>1150.7311590630354</v>
      </c>
      <c r="C37" s="21" t="n">
        <v>123.30777603777288</v>
      </c>
      <c r="D37" s="21" t="n">
        <v>3690.644168152329</v>
      </c>
      <c r="E37" s="21" t="n">
        <v>11388.855134670368</v>
      </c>
      <c r="F37" s="21" t="n">
        <v>11613.112333851936</v>
      </c>
      <c r="G37" s="21" t="n">
        <v>3347.1164842635853</v>
      </c>
      <c r="H37" s="21" t="n">
        <v>6490.711673745159</v>
      </c>
      <c r="I37" s="21">
        <f si="0" t="shared"/>
        <v>28007.900304902843</v>
      </c>
      <c r="K37" s="9">
        <v>0.66666666666666663</v>
      </c>
      <c r="L37" s="7" t="n">
        <v>1269.1616986553781</v>
      </c>
      <c r="M37" s="7" t="n">
        <v>210.2363646022815</v>
      </c>
      <c r="N37" s="7" t="n">
        <v>2210.4183919066336</v>
      </c>
      <c r="O37" s="7" t="n">
        <v>8949.498030224438</v>
      </c>
      <c r="P37" s="7" t="n">
        <v>7707.058373744354</v>
      </c>
      <c r="Q37" s="7" t="n">
        <v>3067.7004345559662</v>
      </c>
      <c r="R37" s="7" t="n">
        <v>4196.003861087371</v>
      </c>
      <c r="S37">
        <f si="1" t="shared"/>
        <v>26613.472764015198</v>
      </c>
    </row>
    <row r="38" spans="1:19" x14ac:dyDescent="0.25">
      <c r="A38" s="9">
        <v>0.6875</v>
      </c>
      <c r="B38" s="21" t="n">
        <v>768.0259228236743</v>
      </c>
      <c r="C38" s="21" t="n">
        <v>78.40804266951876</v>
      </c>
      <c r="D38" s="21" t="n">
        <v>3335.990816011174</v>
      </c>
      <c r="E38" s="21" t="n">
        <v>10128.27324295836</v>
      </c>
      <c r="F38" s="21" t="n">
        <v>10924.511573959748</v>
      </c>
      <c r="G38" s="21" t="n">
        <v>3807.263952927546</v>
      </c>
      <c r="H38" s="21" t="n">
        <v>6333.617028918896</v>
      </c>
      <c r="I38" s="21">
        <f si="0" t="shared"/>
        <v>26279.01174205952</v>
      </c>
      <c r="K38" s="9">
        <v>0.6875</v>
      </c>
      <c r="L38" s="7" t="n">
        <v>1044.686780441848</v>
      </c>
      <c r="M38" s="7" t="n">
        <v>179.62190315585934</v>
      </c>
      <c r="N38" s="7" t="n">
        <v>2137.4383883293212</v>
      </c>
      <c r="O38" s="7" t="n">
        <v>8169.649140267361</v>
      </c>
      <c r="P38" s="7" t="n">
        <v>7300.776369359633</v>
      </c>
      <c r="Q38" s="7" t="n">
        <v>3015.4174884504546</v>
      </c>
      <c r="R38" s="7" t="n">
        <v>4030.63275128719</v>
      </c>
      <c r="S38">
        <f si="1" t="shared"/>
        <v>21018.967744827271</v>
      </c>
    </row>
    <row r="39" spans="1:19" x14ac:dyDescent="0.25">
      <c r="A39" s="9">
        <v>0.70833333333333337</v>
      </c>
      <c r="B39" s="21" t="n">
        <v>470.113189608349</v>
      </c>
      <c r="C39" s="21" t="n">
        <v>49.82501943752426</v>
      </c>
      <c r="D39" s="21" t="n">
        <v>2861.4655989949183</v>
      </c>
      <c r="E39" s="21" t="n">
        <v>8779.68710836889</v>
      </c>
      <c r="F39" s="21" t="n">
        <v>9890.378451443577</v>
      </c>
      <c r="G39" s="21" t="n">
        <v>4234.078070014867</v>
      </c>
      <c r="H39" s="21" t="n">
        <v>5915.053498156335</v>
      </c>
      <c r="I39" s="21">
        <f si="0" t="shared"/>
        <v>24019.294850817489</v>
      </c>
      <c r="K39" s="9">
        <v>0.70833333333333337</v>
      </c>
      <c r="L39" s="7" t="n">
        <v>837.2338028936697</v>
      </c>
      <c r="M39" s="7" t="n">
        <v>150.79851273819818</v>
      </c>
      <c r="N39" s="7" t="n">
        <v>2049.412147273578</v>
      </c>
      <c r="O39" s="7" t="n">
        <v>7264.305209699062</v>
      </c>
      <c r="P39" s="7" t="n">
        <v>6747.706729898062</v>
      </c>
      <c r="Q39" s="7" t="n">
        <v>2908.185848668774</v>
      </c>
      <c r="R39" s="7" t="n">
        <v>3773.593739858319</v>
      </c>
      <c r="S39">
        <f si="1" t="shared"/>
        <v>16089.493473052979</v>
      </c>
    </row>
    <row r="40" spans="1:19" x14ac:dyDescent="0.25">
      <c r="A40" s="9">
        <v>0.72916666666666663</v>
      </c>
      <c r="B40" s="21" t="n">
        <v>279.54069183685465</v>
      </c>
      <c r="C40" s="21" t="n">
        <v>32.169512240426755</v>
      </c>
      <c r="D40" s="21" t="n">
        <v>2336.027387657679</v>
      </c>
      <c r="E40" s="21" t="n">
        <v>7477.894484206232</v>
      </c>
      <c r="F40" s="21" t="n">
        <v>8573.19899167592</v>
      </c>
      <c r="G40" s="21" t="n">
        <v>4471.083210246899</v>
      </c>
      <c r="H40" s="21" t="n">
        <v>5390.960349944064</v>
      </c>
      <c r="I40" s="21">
        <f si="0" t="shared"/>
        <v>21422.945685798073</v>
      </c>
      <c r="K40" s="9">
        <v>0.72916666666666663</v>
      </c>
      <c r="L40" s="7" t="n">
        <v>650.2734096439087</v>
      </c>
      <c r="M40" s="7" t="n">
        <v>122.0257734223852</v>
      </c>
      <c r="N40" s="7" t="n">
        <v>1934.9404130171522</v>
      </c>
      <c r="O40" s="7" t="n">
        <v>6263.744722418573</v>
      </c>
      <c r="P40" s="7" t="n">
        <v>6045.658109933694</v>
      </c>
      <c r="Q40" s="7" t="n">
        <v>2723.2476511901236</v>
      </c>
      <c r="R40" s="7" t="n">
        <v>3428.089149371643</v>
      </c>
      <c r="S40">
        <f si="1" t="shared"/>
        <v>11950.152805328369</v>
      </c>
    </row>
    <row r="41" spans="1:19" x14ac:dyDescent="0.25">
      <c r="A41" s="9">
        <v>0.75</v>
      </c>
      <c r="B41" s="21" t="n">
        <v>175.26559583654233</v>
      </c>
      <c r="C41" s="21" t="n">
        <v>21.283745614848918</v>
      </c>
      <c r="D41" s="21" t="n">
        <v>1838.8758908830596</v>
      </c>
      <c r="E41" s="21" t="n">
        <v>6308.911230581341</v>
      </c>
      <c r="F41" s="21" t="n">
        <v>7160.817044817706</v>
      </c>
      <c r="G41" s="21" t="n">
        <v>4403.351296909666</v>
      </c>
      <c r="H41" s="21" t="n">
        <v>4855.8184992636725</v>
      </c>
      <c r="I41" s="21">
        <f si="0" t="shared"/>
        <v>18699.434996864031</v>
      </c>
      <c r="K41" s="9">
        <v>0.75</v>
      </c>
      <c r="L41" s="7" t="n">
        <v>493.3425792918434</v>
      </c>
      <c r="M41" s="7" t="n">
        <v>94.40494823049377</v>
      </c>
      <c r="N41" s="7" t="n">
        <v>1794.687651271572</v>
      </c>
      <c r="O41" s="7" t="n">
        <v>5251.68604585335</v>
      </c>
      <c r="P41" s="7" t="n">
        <v>5250.285471694493</v>
      </c>
      <c r="Q41" s="7" t="n">
        <v>2475.7635892399308</v>
      </c>
      <c r="R41" s="7" t="n">
        <v>3031.3410869553527</v>
      </c>
      <c r="S41">
        <f si="1" t="shared"/>
        <v>8708.2202787399292</v>
      </c>
    </row>
    <row r="42" spans="1:19" x14ac:dyDescent="0.25">
      <c r="A42" s="9">
        <v>0.77083333333333337</v>
      </c>
      <c r="B42" s="21" t="n">
        <v>119.4960605488992</v>
      </c>
      <c r="C42" s="21" t="n">
        <v>14.465731393785058</v>
      </c>
      <c r="D42" s="21" t="n">
        <v>1425.9108558281457</v>
      </c>
      <c r="E42" s="21" t="n">
        <v>5263.98766022093</v>
      </c>
      <c r="F42" s="21" t="n">
        <v>5851.95964810415</v>
      </c>
      <c r="G42" s="21" t="n">
        <v>4001.303187568228</v>
      </c>
      <c r="H42" s="21" t="n">
        <v>4278.116075656124</v>
      </c>
      <c r="I42" s="21">
        <f si="0" t="shared"/>
        <v>15935.073427790736</v>
      </c>
      <c r="K42" s="9">
        <v>0.77083333333333337</v>
      </c>
      <c r="L42" s="7" t="n">
        <v>371.7466085531279</v>
      </c>
      <c r="M42" s="7" t="n">
        <v>70.29815669733037</v>
      </c>
      <c r="N42" s="7" t="n">
        <v>1632.2602935379787</v>
      </c>
      <c r="O42" s="7" t="n">
        <v>4309.811096784641</v>
      </c>
      <c r="P42" s="7" t="n">
        <v>4423.60748212123</v>
      </c>
      <c r="Q42" s="7" t="n">
        <v>2193.7485913121927</v>
      </c>
      <c r="R42" s="7" t="n">
        <v>2624.9476510720424</v>
      </c>
      <c r="S42">
        <f si="1" t="shared"/>
        <v>6349.3283271789551</v>
      </c>
    </row>
    <row r="43" spans="1:19" x14ac:dyDescent="0.25">
      <c r="A43" s="9">
        <v>0.79166666666666663</v>
      </c>
      <c r="B43" s="21" t="n">
        <v>82.9950236673032</v>
      </c>
      <c r="C43" s="21" t="n">
        <v>9.932836305533389</v>
      </c>
      <c r="D43" s="21" t="n">
        <v>1109.63056649202</v>
      </c>
      <c r="E43" s="21" t="n">
        <v>4280.701734377464</v>
      </c>
      <c r="F43" s="21" t="n">
        <v>4730.539754662352</v>
      </c>
      <c r="G43" s="21" t="n">
        <v>3336.33612445171</v>
      </c>
      <c r="H43" s="21" t="n">
        <v>3590.6304882596132</v>
      </c>
      <c r="I43" s="21">
        <f si="0" t="shared"/>
        <v>13119.449113336466</v>
      </c>
      <c r="K43" s="9">
        <v>0.79166666666666663</v>
      </c>
      <c r="L43" s="7" t="n">
        <v>282.4103432639431</v>
      </c>
      <c r="M43" s="7" t="n">
        <v>51.40351444680523</v>
      </c>
      <c r="N43" s="7" t="n">
        <v>1448.7180199218978</v>
      </c>
      <c r="O43" s="7" t="n">
        <v>3481.507290338478</v>
      </c>
      <c r="P43" s="7" t="n">
        <v>3605.865673125398</v>
      </c>
      <c r="Q43" s="7" t="n">
        <v>1897.6437729471975</v>
      </c>
      <c r="R43" s="7" t="n">
        <v>2232.7260661307755</v>
      </c>
      <c r="S43">
        <f si="1" t="shared"/>
        <v>4729.412353515625</v>
      </c>
    </row>
    <row r="44" spans="1:19" x14ac:dyDescent="0.25">
      <c r="A44" s="9">
        <v>0.8125</v>
      </c>
      <c r="B44" s="21" t="n">
        <v>53.477363383711875</v>
      </c>
      <c r="C44" s="21" t="n">
        <v>6.606577056646348</v>
      </c>
      <c r="D44" s="21" t="n">
        <v>866.4022113663598</v>
      </c>
      <c r="E44" s="21" t="n">
        <v>3319.636580135867</v>
      </c>
      <c r="F44" s="21" t="n">
        <v>3752.1082274502687</v>
      </c>
      <c r="G44" s="21" t="n">
        <v>2550.411768097436</v>
      </c>
      <c r="H44" s="21" t="n">
        <v>2801.35515313786</v>
      </c>
      <c r="I44" s="21">
        <f si="0" t="shared"/>
        <v>10272.09613300705</v>
      </c>
      <c r="K44" s="9">
        <v>0.8125</v>
      </c>
      <c r="L44" s="7" t="n">
        <v>216.8381921408282</v>
      </c>
      <c r="M44" s="7" t="n">
        <v>37.82934828333957</v>
      </c>
      <c r="N44" s="7" t="n">
        <v>1244.3975162516954</v>
      </c>
      <c r="O44" s="7" t="n">
        <v>2769.892295856601</v>
      </c>
      <c r="P44" s="7" t="n">
        <v>2821.7579051542534</v>
      </c>
      <c r="Q44" s="7" t="n">
        <v>1596.2253675193442</v>
      </c>
      <c r="R44" s="7" t="n">
        <v>1858.6711763266558</v>
      </c>
      <c r="S44">
        <f si="1" t="shared"/>
        <v>3638.724684715271</v>
      </c>
    </row>
    <row r="45" spans="1:19" x14ac:dyDescent="0.25">
      <c r="A45" s="9">
        <v>0.83333333333333337</v>
      </c>
      <c r="B45" s="21" t="n">
        <v>29.97001071636562</v>
      </c>
      <c r="C45" s="21" t="n">
        <v>4.041768287420274</v>
      </c>
      <c r="D45" s="21" t="n">
        <v>661.7997430613577</v>
      </c>
      <c r="E45" s="21" t="n">
        <v>2407.8492752732636</v>
      </c>
      <c r="F45" s="21" t="n">
        <v>2847.8922210332667</v>
      </c>
      <c r="G45" s="21" t="n">
        <v>1793.7249631123884</v>
      </c>
      <c r="H45" s="21" t="n">
        <v>2006.740286270333</v>
      </c>
      <c r="I45" s="21">
        <f si="0" t="shared"/>
        <v>7532.451361724472</v>
      </c>
      <c r="K45" s="9">
        <v>0.83333333333333337</v>
      </c>
      <c r="L45" s="7" t="n">
        <v>166.36826612678658</v>
      </c>
      <c r="M45" s="7" t="n">
        <v>28.399266681267704</v>
      </c>
      <c r="N45" s="7" t="n">
        <v>1024.2434497805011</v>
      </c>
      <c r="O45" s="7" t="n">
        <v>2157.6652207149477</v>
      </c>
      <c r="P45" s="7" t="n">
        <v>2098.080808458434</v>
      </c>
      <c r="Q45" s="7" t="n">
        <v>1294.3413821921865</v>
      </c>
      <c r="R45" s="7" t="n">
        <v>1499.5312435483322</v>
      </c>
      <c r="S45">
        <f si="1" t="shared"/>
        <v>2873.8283853530884</v>
      </c>
    </row>
    <row r="46" spans="1:19" x14ac:dyDescent="0.25">
      <c r="A46" s="9">
        <v>0.85416666666666663</v>
      </c>
      <c r="B46" s="21" t="n">
        <v>14.065262948832515</v>
      </c>
      <c r="C46" s="21" t="n">
        <v>2.17443922996521</v>
      </c>
      <c r="D46" s="21" t="n">
        <v>475.4157732589399</v>
      </c>
      <c r="E46" s="21" t="n">
        <v>1618.3728602810893</v>
      </c>
      <c r="F46" s="21" t="n">
        <v>2021.989285459209</v>
      </c>
      <c r="G46" s="21" t="n">
        <v>1168.5874400345006</v>
      </c>
      <c r="H46" s="21" t="n">
        <v>1321.430746244004</v>
      </c>
      <c r="I46" s="21">
        <f si="0" t="shared"/>
        <v>5128.1839617948535</v>
      </c>
      <c r="K46" s="9">
        <v>0.85416666666666663</v>
      </c>
      <c r="L46" s="7" t="n">
        <v>125.35579046187573</v>
      </c>
      <c r="M46" s="7" t="n">
        <v>21.56428738620998</v>
      </c>
      <c r="N46" s="7" t="n">
        <v>800.6560880874765</v>
      </c>
      <c r="O46" s="7" t="n">
        <v>1628.9475778619462</v>
      </c>
      <c r="P46" s="7" t="n">
        <v>1468.8685652068762</v>
      </c>
      <c r="Q46" s="7" t="n">
        <v>1001.3139709689513</v>
      </c>
      <c r="R46" s="7" t="n">
        <v>1158.0208216614587</v>
      </c>
      <c r="S46">
        <f si="1" t="shared"/>
        <v>2282.9865913391113</v>
      </c>
    </row>
    <row r="47" spans="1:19" x14ac:dyDescent="0.25">
      <c r="A47" s="9">
        <v>0.875</v>
      </c>
      <c r="B47" s="21" t="n">
        <v>5.375550541063135</v>
      </c>
      <c r="C47" s="21" t="n">
        <v>0.9932577550411226</v>
      </c>
      <c r="D47" s="21" t="n">
        <v>310.2820466839262</v>
      </c>
      <c r="E47" s="21" t="n">
        <v>1013.5739653401724</v>
      </c>
      <c r="F47" s="21" t="n">
        <v>1341.1432892844914</v>
      </c>
      <c r="G47" s="21" t="n">
        <v>710.5979597644944</v>
      </c>
      <c r="H47" s="21" t="n">
        <v>810.5416797887003</v>
      </c>
      <c r="I47" s="21">
        <f si="0" t="shared"/>
        <v>3253.3668410197251</v>
      </c>
      <c r="K47" s="9">
        <v>0.875</v>
      </c>
      <c r="L47" s="7" t="n">
        <v>91.37469400838927</v>
      </c>
      <c r="M47" s="7" t="n">
        <v>16.164904269097462</v>
      </c>
      <c r="N47" s="7" t="n">
        <v>590.9161306788769</v>
      </c>
      <c r="O47" s="7" t="n">
        <v>1179.6075953813884</v>
      </c>
      <c r="P47" s="7" t="n">
        <v>964.1930559345221</v>
      </c>
      <c r="Q47" s="7" t="n">
        <v>732.4768289884514</v>
      </c>
      <c r="R47" s="7" t="n">
        <v>846.589597590725</v>
      </c>
      <c r="S47">
        <f si="1" t="shared"/>
        <v>1781.0504522323608</v>
      </c>
    </row>
    <row r="48" spans="1:19" x14ac:dyDescent="0.25">
      <c r="A48" s="9">
        <v>0.89583333333333337</v>
      </c>
      <c r="B48" s="21" t="n">
        <v>1.6241054782122364</v>
      </c>
      <c r="C48" s="21" t="n">
        <v>0.3736974585056305</v>
      </c>
      <c r="D48" s="21" t="n">
        <v>183.01754264727637</v>
      </c>
      <c r="E48" s="21" t="n">
        <v>606.0521111211763</v>
      </c>
      <c r="F48" s="21" t="n">
        <v>853.4332321957128</v>
      </c>
      <c r="G48" s="21" t="n">
        <v>405.8129699031282</v>
      </c>
      <c r="H48" s="21" t="n">
        <v>474.2483792206307</v>
      </c>
      <c r="I48" s="21">
        <f si="0" t="shared"/>
        <v>1964.4081662952422</v>
      </c>
      <c r="K48" s="9">
        <v>0.89583333333333337</v>
      </c>
      <c r="L48" s="7" t="n">
        <v>63.85101240151908</v>
      </c>
      <c r="M48" s="7" t="n">
        <v>11.672289205648152</v>
      </c>
      <c r="N48" s="7" t="n">
        <v>410.9797702163779</v>
      </c>
      <c r="O48" s="7" t="n">
        <v>813.8488594773863</v>
      </c>
      <c r="P48" s="7" t="n">
        <v>595.3967964947739</v>
      </c>
      <c r="Q48" s="7" t="n">
        <v>503.9370508562165</v>
      </c>
      <c r="R48" s="7" t="n">
        <v>581.5102933705974</v>
      </c>
      <c r="S48">
        <f si="1" t="shared"/>
        <v>1338.9643096923828</v>
      </c>
    </row>
    <row r="49" spans="1:19" x14ac:dyDescent="0.25">
      <c r="A49" s="9">
        <v>0.91666666666666663</v>
      </c>
      <c r="B49" s="21" t="n">
        <v>0.3725712861028718</v>
      </c>
      <c r="C49" s="21" t="n">
        <v>0.11209949374198915</v>
      </c>
      <c r="D49" s="21" t="n">
        <v>105.0612721228625</v>
      </c>
      <c r="E49" s="21" t="n">
        <v>362.2799216296621</v>
      </c>
      <c r="F49" s="21" t="n">
        <v>540.4975480937778</v>
      </c>
      <c r="G49" s="21" t="n">
        <v>218.9974087087351</v>
      </c>
      <c r="H49" s="21" t="n">
        <v>272.54320260553186</v>
      </c>
      <c r="I49" s="21">
        <f si="0" t="shared"/>
        <v>1173.056561171627</v>
      </c>
      <c r="K49" s="9">
        <v>0.91666666666666663</v>
      </c>
      <c r="L49" s="7" t="n">
        <v>42.65329496112047</v>
      </c>
      <c r="M49" s="7" t="n">
        <v>7.997626468454132</v>
      </c>
      <c r="N49" s="7" t="n">
        <v>269.9266069278309</v>
      </c>
      <c r="O49" s="7" t="n">
        <v>534.2844388287303</v>
      </c>
      <c r="P49" s="7" t="n">
        <v>350.15480262947216</v>
      </c>
      <c r="Q49" s="7" t="n">
        <v>325.7223950293917</v>
      </c>
      <c r="R49" s="7" t="n">
        <v>374.0378017050398</v>
      </c>
      <c r="S49">
        <f si="1" t="shared"/>
        <v>958.43698596954346</v>
      </c>
    </row>
    <row r="50" spans="1:19" x14ac:dyDescent="0.25">
      <c r="A50" s="9">
        <v>0.9375</v>
      </c>
      <c r="B50" s="21" t="n">
        <v>0.06091105840792751</v>
      </c>
      <c r="C50" s="21" t="n">
        <v>0.025697684288024904</v>
      </c>
      <c r="D50" s="21" t="n">
        <v>71.32034437806068</v>
      </c>
      <c r="E50" s="21" t="n">
        <v>230.34182067150556</v>
      </c>
      <c r="F50" s="21" t="n">
        <v>342.55040975095767</v>
      </c>
      <c r="G50" s="21" t="n">
        <v>113.03651357453032</v>
      </c>
      <c r="H50" s="21" t="n">
        <v>157.0580782400628</v>
      </c>
      <c r="I50" s="21">
        <f si="0" t="shared"/>
        <v>721.26329286298744</v>
      </c>
      <c r="K50" s="9">
        <v>0.9375</v>
      </c>
      <c r="L50" s="7" t="n">
        <v>27.3015683574355</v>
      </c>
      <c r="M50" s="7" t="n">
        <v>5.176633565710968</v>
      </c>
      <c r="N50" s="7" t="n">
        <v>168.21142567313473</v>
      </c>
      <c r="O50" s="7" t="n">
        <v>334.90116782508846</v>
      </c>
      <c r="P50" s="7" t="n">
        <v>199.96078075430927</v>
      </c>
      <c r="Q50" s="7" t="n">
        <v>198.35210158182525</v>
      </c>
      <c r="R50" s="7" t="n">
        <v>225.3645033698009</v>
      </c>
      <c r="S50">
        <f si="1" t="shared"/>
        <v>647.72885036468506</v>
      </c>
    </row>
    <row r="51" spans="1:19" x14ac:dyDescent="0.25">
      <c r="A51" s="9">
        <v>0.95833333333333337</v>
      </c>
      <c r="B51" s="21" t="n">
        <v>0.006317588778569316</v>
      </c>
      <c r="C51" s="21" t="n">
        <v>0.004219455718994141</v>
      </c>
      <c r="D51" s="21" t="n">
        <v>63.47058726228232</v>
      </c>
      <c r="E51" s="21" t="n">
        <v>162.52244882472607</v>
      </c>
      <c r="F51" s="21" t="n">
        <v>207.94532010184437</v>
      </c>
      <c r="G51" s="21" t="n">
        <v>57.084094370566184</v>
      </c>
      <c r="H51" s="21" t="n">
        <v>90.31831674354339</v>
      </c>
      <c r="I51" s="21">
        <f si="0" t="shared"/>
        <v>463.53731334609984</v>
      </c>
      <c r="K51" s="9">
        <v>0.95833333333333337</v>
      </c>
      <c r="L51" s="7" t="n">
        <v>16.812779596077235</v>
      </c>
      <c r="M51" s="7" t="n">
        <v>3.1712700383786205</v>
      </c>
      <c r="N51" s="7" t="n">
        <v>99.8487997748586</v>
      </c>
      <c r="O51" s="7" t="n">
        <v>201.27918713114678</v>
      </c>
      <c r="P51" s="7" t="n">
        <v>112.87537422958195</v>
      </c>
      <c r="Q51" s="7" t="n">
        <v>114.31578040910007</v>
      </c>
      <c r="R51" s="7" t="n">
        <v>127.49210145241037</v>
      </c>
      <c r="S51">
        <f si="1" t="shared"/>
        <v>409.43088912963867</v>
      </c>
    </row>
    <row r="52" spans="1:19" x14ac:dyDescent="0.25">
      <c r="A52" s="9">
        <v>0.97916666666666663</v>
      </c>
      <c r="B52" s="21" t="n">
        <v>3.1226252932548524E-4</v>
      </c>
      <c r="C52" s="21" t="n">
        <v>4.4128894805908194E-4</v>
      </c>
      <c r="D52" s="21" t="n">
        <v>61.71687299453927</v>
      </c>
      <c r="E52" s="21" t="n">
        <v>123.85006453707953</v>
      </c>
      <c r="F52" s="21" t="n">
        <v>113.49907359544915</v>
      </c>
      <c r="G52" s="21" t="n">
        <v>28.923855841615925</v>
      </c>
      <c r="H52" s="21" t="n">
        <v>50.21601683928495</v>
      </c>
      <c r="I52" s="21">
        <f si="0" t="shared"/>
        <v>304.75094582300187</v>
      </c>
      <c r="K52" s="9">
        <v>0.97916666666666663</v>
      </c>
      <c r="L52" s="7" t="n">
        <v>9.954825081543131</v>
      </c>
      <c r="M52" s="7" t="n">
        <v>1.8417323779951318</v>
      </c>
      <c r="N52" s="7" t="n">
        <v>56.3413822248792</v>
      </c>
      <c r="O52" s="7" t="n">
        <v>115.82697544491366</v>
      </c>
      <c r="P52" s="7" t="n">
        <v>63.142652808507016</v>
      </c>
      <c r="Q52" s="7" t="n">
        <v>62.45828695829873</v>
      </c>
      <c r="R52" s="7" t="n">
        <v>67.80223270949467</v>
      </c>
      <c r="S52">
        <f si="1" t="shared"/>
        <v>238.97146701812744</v>
      </c>
    </row>
    <row r="53" spans="1:19" x14ac:dyDescent="0.25">
      <c r="A53" s="9">
        <v>1</v>
      </c>
      <c r="B53" s="21" t="n">
        <v>0.0</v>
      </c>
      <c r="C53" s="21" t="n">
        <v>2.2064447402954102E-5</v>
      </c>
      <c r="D53" s="21" t="n">
        <v>54.50927940580098</v>
      </c>
      <c r="E53" s="21" t="n">
        <v>93.61760473920506</v>
      </c>
      <c r="F53" s="21" t="n">
        <v>52.81825284195304</v>
      </c>
      <c r="G53" s="21" t="n">
        <v>14.782399057720184</v>
      </c>
      <c r="H53" s="21" t="n">
        <v>25.887876199260255</v>
      </c>
      <c r="I53" s="21">
        <f si="0" t="shared"/>
        <v>196.31962365961076</v>
      </c>
      <c r="K53" s="9">
        <v>1</v>
      </c>
      <c r="L53" s="7" t="n">
        <v>5.600241086257699</v>
      </c>
      <c r="M53" s="7" t="n">
        <v>1.0086677690078771</v>
      </c>
      <c r="N53" s="7" t="n">
        <v>29.863045121567023</v>
      </c>
      <c r="O53" s="7" t="n">
        <v>63.04661950560931</v>
      </c>
      <c r="P53" s="7" t="n">
        <v>34.30312774969318</v>
      </c>
      <c r="Q53" s="7" t="n">
        <v>32.14274475972173</v>
      </c>
      <c r="R53" s="7" t="n">
        <v>33.762379348560216</v>
      </c>
      <c r="S53">
        <f si="1" t="shared"/>
        <v>126.74899959564209</v>
      </c>
    </row>
    <row r="54" spans="1:19" x14ac:dyDescent="0.25">
      <c r="A54" s="9">
        <v>1.0208333333333333</v>
      </c>
      <c r="B54" s="21" t="n">
        <v>0.0</v>
      </c>
      <c r="C54" s="21" t="n">
        <v>0.0</v>
      </c>
      <c r="D54" s="21" t="n">
        <v>40.65528715531413</v>
      </c>
      <c r="E54" s="21" t="n">
        <v>64.51315477375014</v>
      </c>
      <c r="F54" s="21" t="n">
        <v>20.142395048367206</v>
      </c>
      <c r="G54" s="21" t="n">
        <v>7.410502480529114</v>
      </c>
      <c r="H54" s="21" t="n">
        <v>11.926875508773637</v>
      </c>
      <c r="I54" s="21">
        <f si="0" t="shared"/>
        <v>118.19913178691866</v>
      </c>
      <c r="K54" s="9">
        <v>1.0208333333333333</v>
      </c>
      <c r="L54" s="7" t="n">
        <v>2.921377439765516</v>
      </c>
      <c r="M54" s="7" t="n">
        <v>0.5128673928320668</v>
      </c>
      <c r="N54" s="7" t="n">
        <v>14.550024704067706</v>
      </c>
      <c r="O54" s="7" t="n">
        <v>31.72197072538318</v>
      </c>
      <c r="P54" s="7" t="n">
        <v>17.452613888887214</v>
      </c>
      <c r="Q54" s="7" t="n">
        <v>15.314443632315012</v>
      </c>
      <c r="R54" s="7" t="n">
        <v>15.548364651549015</v>
      </c>
      <c r="S54">
        <f si="1" t="shared"/>
        <v>60.032052040100098</v>
      </c>
    </row>
    <row r="55" spans="1:19" x14ac:dyDescent="0.25">
      <c r="A55" s="9">
        <v>4.1666666666666664E-2</v>
      </c>
      <c r="B55" s="21" t="n">
        <v>0.0</v>
      </c>
      <c r="C55" s="21" t="n">
        <v>0.0</v>
      </c>
      <c r="D55" s="21" t="n">
        <v>24.998059076976944</v>
      </c>
      <c r="E55" s="21" t="n">
        <v>38.28193364338611</v>
      </c>
      <c r="F55" s="21" t="n">
        <v>6.076240729411412</v>
      </c>
      <c r="G55" s="21" t="n">
        <v>3.4700416325927566</v>
      </c>
      <c r="H55" s="21" t="n">
        <v>4.775913469942068</v>
      </c>
      <c r="I55" s="21">
        <f si="0" t="shared"/>
        <v>63.630553539180767</v>
      </c>
      <c r="K55" s="9">
        <v>4.1666666666666664E-2</v>
      </c>
      <c r="L55" s="7" t="n">
        <v>1.3686524880504607</v>
      </c>
      <c r="M55" s="7" t="n">
        <v>0.23612047938642994</v>
      </c>
      <c r="N55" s="7" t="n">
        <v>6.338642555780989</v>
      </c>
      <c r="O55" s="7" t="n">
        <v>14.324814993955517</v>
      </c>
      <c r="P55" s="7" t="n">
        <v>7.9889418839689155</v>
      </c>
      <c r="Q55" s="7" t="n">
        <v>6.5812702957268385</v>
      </c>
      <c r="R55" s="7" t="n">
        <v>6.484670480644855</v>
      </c>
      <c r="S55">
        <f si="1" t="shared"/>
        <v>24.93824577331543</v>
      </c>
    </row>
    <row r="56" spans="1:19" x14ac:dyDescent="0.25">
      <c r="A56" s="9">
        <v>6.25E-2</v>
      </c>
      <c r="B56" s="21" t="n">
        <v>0.0</v>
      </c>
      <c r="C56" s="21" t="n">
        <v>0.0</v>
      </c>
      <c r="D56" s="21" t="n">
        <v>12.498133007366526</v>
      </c>
      <c r="E56" s="21" t="n">
        <v>18.864148025669277</v>
      </c>
      <c r="F56" s="21" t="n">
        <v>1.3901377715522039</v>
      </c>
      <c r="G56" s="21" t="n">
        <v>1.4422275901059753</v>
      </c>
      <c r="H56" s="21" t="n">
        <v>1.6275481837519028</v>
      </c>
      <c r="I56" s="21">
        <f si="0" t="shared"/>
        <v>29.428825659465794</v>
      </c>
      <c r="K56" s="9">
        <v>6.25E-2</v>
      </c>
      <c r="L56" s="7" t="n">
        <v>0.5565723637965649</v>
      </c>
      <c r="M56" s="7" t="n">
        <v>0.09542369735773967</v>
      </c>
      <c r="N56" s="7" t="n">
        <v>2.3958120277610053</v>
      </c>
      <c r="O56" s="7" t="n">
        <v>5.624271995075841</v>
      </c>
      <c r="P56" s="7" t="n">
        <v>3.1700680611298626</v>
      </c>
      <c r="Q56" s="7" t="n">
        <v>2.473163005602263</v>
      </c>
      <c r="R56" s="7" t="n">
        <v>2.3827539715309536</v>
      </c>
      <c r="S56">
        <f si="1" t="shared"/>
        <v>8.9156312942504883</v>
      </c>
    </row>
    <row r="57" spans="1:19" x14ac:dyDescent="0.25">
      <c r="A57" s="9">
        <v>8.3333333333333329E-2</v>
      </c>
      <c r="B57" s="21" t="n">
        <v>0.0</v>
      </c>
      <c r="C57" s="21" t="n">
        <v>0.0</v>
      </c>
      <c r="D57" s="21" t="n">
        <v>4.99925320294661</v>
      </c>
      <c r="E57" s="21" t="n">
        <v>7.506268107847445</v>
      </c>
      <c r="F57" s="21" t="n">
        <v>0.2263804126718149</v>
      </c>
      <c r="G57" s="21" t="n">
        <v>0.5078628660348836</v>
      </c>
      <c r="H57" s="21" t="n">
        <v>0.463577470779171</v>
      </c>
      <c r="I57" s="21">
        <f si="0" t="shared"/>
        <v>11.268960865020752</v>
      </c>
      <c r="K57" s="9">
        <v>8.3333333333333329E-2</v>
      </c>
      <c r="L57" s="7" t="n">
        <v>0.18981556237649766</v>
      </c>
      <c r="M57" s="7" t="n">
        <v>0.03269227638923758</v>
      </c>
      <c r="N57" s="7" t="n">
        <v>0.7611373279280894</v>
      </c>
      <c r="O57" s="7" t="n">
        <v>1.8578550755807655</v>
      </c>
      <c r="P57" s="7" t="n">
        <v>1.0532536629228444</v>
      </c>
      <c r="Q57" s="7" t="n">
        <v>0.7858424071874599</v>
      </c>
      <c r="R57" s="7" t="n">
        <v>0.7468342840547721</v>
      </c>
      <c r="S57">
        <f si="1" t="shared"/>
        <v>2.682988166809082</v>
      </c>
    </row>
    <row r="58" spans="1:19" x14ac:dyDescent="0.25">
      <c r="A58" s="9">
        <v>0.10416666666666667</v>
      </c>
      <c r="B58" s="21" t="n">
        <v>0.0</v>
      </c>
      <c r="C58" s="21" t="n">
        <v>0.0</v>
      </c>
      <c r="D58" s="21" t="n">
        <v>1.5619441766688196</v>
      </c>
      <c r="E58" s="21" t="n">
        <v>2.341608738664324</v>
      </c>
      <c r="F58" s="21" t="n">
        <v>0.02337078968888378</v>
      </c>
      <c r="G58" s="21" t="n">
        <v>0.1448150922728863</v>
      </c>
      <c r="H58" s="21" t="n">
        <v>0.10824709259811116</v>
      </c>
      <c r="I58" s="21">
        <f si="0" t="shared"/>
        <v>3.4392030852317812</v>
      </c>
      <c r="J58" s="5"/>
      <c r="K58" s="9">
        <v>0.10416666666666667</v>
      </c>
      <c r="L58" s="7" t="n">
        <v>0.05230289011052084</v>
      </c>
      <c r="M58" s="7" t="n">
        <v>0.009126005366311592</v>
      </c>
      <c r="N58" s="7" t="n">
        <v>0.19610042348458365</v>
      </c>
      <c r="O58" s="7" t="n">
        <v>0.49776558867887744</v>
      </c>
      <c r="P58" s="7" t="n">
        <v>0.2824566188650597</v>
      </c>
      <c r="Q58" s="7" t="n">
        <v>0.20333429164939987</v>
      </c>
      <c r="R58" s="7" t="n">
        <v>0.1922426798355642</v>
      </c>
      <c r="S58">
        <f si="1" t="shared"/>
        <v>0.66009044647216797</v>
      </c>
    </row>
    <row r="59" spans="1:19" x14ac:dyDescent="0.25">
      <c r="A59" s="9">
        <v>0.125</v>
      </c>
      <c r="B59" s="21" t="n">
        <v>0.0</v>
      </c>
      <c r="C59" s="21" t="n">
        <v>0.0</v>
      </c>
      <c r="D59" s="21" t="n">
        <v>0.3611431622355652</v>
      </c>
      <c r="E59" s="21" t="n">
        <v>0.5412548734672546</v>
      </c>
      <c r="F59" s="21" t="n">
        <v>0.0011495707447519302</v>
      </c>
      <c r="G59" s="21" t="n">
        <v>0.03128282491116906</v>
      </c>
      <c r="H59" s="21" t="n">
        <v>0.01989453180294037</v>
      </c>
      <c r="I59" s="21">
        <f si="0" t="shared"/>
        <v>0.78574057435989386</v>
      </c>
      <c r="J59" s="5"/>
      <c r="K59" s="9">
        <v>0.125</v>
      </c>
      <c r="L59" s="7" t="n">
        <v>0.010956948928476727</v>
      </c>
      <c r="M59" s="7" t="n">
        <v>0.0019463467260167143</v>
      </c>
      <c r="N59" s="7" t="n">
        <v>0.03863841155188745</v>
      </c>
      <c r="O59" s="7" t="n">
        <v>0.10184961561160062</v>
      </c>
      <c r="P59" s="7" t="n">
        <v>0.05761270972699409</v>
      </c>
      <c r="Q59" s="7" t="n">
        <v>0.040337696229754284</v>
      </c>
      <c r="R59" s="7" t="n">
        <v>0.03821040620812817</v>
      </c>
      <c r="S59">
        <f si="1" t="shared"/>
        <v>0.12570285797119141</v>
      </c>
    </row>
    <row r="60" spans="1:19" x14ac:dyDescent="0.25">
      <c r="A60" s="18" t="s">
        <v>7</v>
      </c>
      <c r="B60" s="22" t="n">
        <v>0.0</v>
      </c>
      <c r="C60" s="22" t="n">
        <v>0.0</v>
      </c>
      <c r="D60" s="22" t="n">
        <v>0.0</v>
      </c>
      <c r="E60" s="22" t="n">
        <v>0.0</v>
      </c>
      <c r="F60" s="22" t="n">
        <v>0.0</v>
      </c>
      <c r="G60" s="22" t="n">
        <v>0.0</v>
      </c>
      <c r="H60" s="22" t="n">
        <v>0.0</v>
      </c>
      <c r="I60" s="21">
        <f si="0" t="shared"/>
        <v>0</v>
      </c>
      <c r="J60" s="5"/>
      <c r="K60" s="18" t="s">
        <v>7</v>
      </c>
      <c r="L60" s="7" t="n">
        <v>0.0</v>
      </c>
      <c r="M60" s="7" t="n">
        <v>0.0</v>
      </c>
      <c r="N60" s="7" t="n">
        <v>0.0</v>
      </c>
      <c r="O60" s="7" t="n">
        <v>0.0</v>
      </c>
      <c r="P60" s="7" t="n">
        <v>0.0</v>
      </c>
      <c r="Q60" s="7" t="n">
        <v>0.0</v>
      </c>
      <c r="R60" s="7" t="n">
        <v>0.0</v>
      </c>
      <c r="S60">
        <f si="1" t="shared"/>
        <v>0</v>
      </c>
    </row>
    <row ht="15.75" r="61" spans="1:19" thickBot="1" x14ac:dyDescent="0.3">
      <c r="A61" s="19"/>
      <c r="B61" s="20">
        <f>SUM(B10:B60)</f>
        <v>104549.43607401167</v>
      </c>
      <c r="C61" s="20">
        <f ref="C61:I61" si="2" t="shared">SUM(C10:C60)</f>
        <v>15592.516587030033</v>
      </c>
      <c r="D61" s="20">
        <f si="2" t="shared"/>
        <v>199674.29720905548</v>
      </c>
      <c r="E61" s="20">
        <f si="2" t="shared"/>
        <v>347513.41701864841</v>
      </c>
      <c r="F61" s="20">
        <f si="2" t="shared"/>
        <v>249702.96354386079</v>
      </c>
      <c r="G61" s="20">
        <f si="2" t="shared"/>
        <v>124777.34324735614</v>
      </c>
      <c r="H61" s="20">
        <f si="2" t="shared"/>
        <v>152608.27452294168</v>
      </c>
      <c r="I61" s="20">
        <f si="2" t="shared"/>
        <v>1194418.2482029039</v>
      </c>
      <c r="J61" s="5"/>
      <c r="K61" s="19"/>
      <c r="L61" s="20">
        <f>SUM(L10:L60)</f>
        <v>254019.68263339996</v>
      </c>
      <c r="M61" s="20">
        <f ref="M61:S61" si="3" t="shared">SUM(M10:M60)</f>
        <v>154310.78190326691</v>
      </c>
      <c r="N61" s="20">
        <f si="3" t="shared"/>
        <v>660150.36942100525</v>
      </c>
      <c r="O61" s="20">
        <f si="3" t="shared"/>
        <v>825575.53047657013</v>
      </c>
      <c r="P61" s="20">
        <f si="3" t="shared"/>
        <v>211460.3233423233</v>
      </c>
      <c r="Q61" s="20">
        <f si="3" t="shared"/>
        <v>125909.58452796936</v>
      </c>
      <c r="R61" s="20">
        <f si="3" t="shared"/>
        <v>525066.85097312927</v>
      </c>
      <c r="S61" s="20">
        <f si="3" t="shared"/>
        <v>2756493.1232776642</v>
      </c>
    </row>
    <row r="62" spans="1:19" x14ac:dyDescent="0.25">
      <c r="J62" s="5"/>
    </row>
    <row r="63" spans="1:19" x14ac:dyDescent="0.25">
      <c r="J63" s="5"/>
    </row>
    <row ht="15.75" r="65" spans="1:19" thickBot="1" x14ac:dyDescent="0.3">
      <c r="A65" s="3" t="s">
        <v>30</v>
      </c>
      <c r="B65" s="1"/>
      <c r="C65" s="1"/>
      <c r="D65" s="1"/>
      <c r="E65" s="1"/>
      <c r="F65" s="1"/>
      <c r="G65" s="1"/>
      <c r="H65" s="1"/>
      <c r="I65" s="1"/>
      <c r="K65" s="3" t="s">
        <v>15</v>
      </c>
      <c r="L65" s="1"/>
      <c r="M65" s="1"/>
      <c r="N65" s="1"/>
      <c r="O65" s="1"/>
      <c r="P65" s="1"/>
      <c r="Q65" s="1"/>
      <c r="R65" s="1"/>
      <c r="S65" s="1"/>
    </row>
    <row r="66" spans="1:19" x14ac:dyDescent="0.25">
      <c r="A66" s="2" t="s">
        <v>3</v>
      </c>
      <c r="B66" s="4" t="s">
        <v>31</v>
      </c>
      <c r="C66" s="4" t="s">
        <v>31</v>
      </c>
      <c r="D66" s="4" t="s">
        <v>31</v>
      </c>
      <c r="E66" s="4" t="s">
        <v>31</v>
      </c>
      <c r="F66" s="4" t="s">
        <v>31</v>
      </c>
      <c r="G66" s="4" t="s">
        <v>31</v>
      </c>
      <c r="H66" s="4" t="s">
        <v>31</v>
      </c>
      <c r="I66" s="4" t="s">
        <v>31</v>
      </c>
      <c r="K66" s="2" t="s">
        <v>3</v>
      </c>
      <c r="L66" s="4" t="s">
        <v>8</v>
      </c>
      <c r="M66" s="4" t="s">
        <v>8</v>
      </c>
      <c r="N66" s="4" t="s">
        <v>8</v>
      </c>
      <c r="O66" s="4" t="s">
        <v>8</v>
      </c>
      <c r="P66" s="4" t="s">
        <v>8</v>
      </c>
      <c r="Q66" s="4" t="s">
        <v>8</v>
      </c>
      <c r="R66" s="4" t="s">
        <v>8</v>
      </c>
      <c r="S66" s="4" t="s">
        <v>8</v>
      </c>
    </row>
    <row r="67" spans="1:19" x14ac:dyDescent="0.25">
      <c r="A67" t="s">
        <v>4</v>
      </c>
      <c r="B67" s="15">
        <f>B10/B$61</f>
        <v>0</v>
      </c>
      <c r="C67" s="15">
        <f ref="C67:I67" si="4" t="shared">C10/C$61</f>
        <v>1.2811915182836496E-3</v>
      </c>
      <c r="D67" s="15">
        <f si="4" t="shared"/>
        <v>0</v>
      </c>
      <c r="E67" s="15">
        <f si="4" t="shared"/>
        <v>0</v>
      </c>
      <c r="F67" s="15">
        <f si="4" t="shared"/>
        <v>0</v>
      </c>
      <c r="G67" s="15">
        <f si="4" t="shared"/>
        <v>0</v>
      </c>
      <c r="H67" s="15">
        <f si="4" t="shared"/>
        <v>0</v>
      </c>
      <c r="I67" s="15">
        <f si="4" t="shared"/>
        <v>1.6725297047375965E-5</v>
      </c>
      <c r="K67" t="s">
        <v>4</v>
      </c>
      <c r="L67" s="14">
        <f>L10/L$61</f>
        <v>5.5113839427178306E-5</v>
      </c>
      <c r="M67" s="14">
        <f ref="M67:S67" si="5" t="shared">M10/M$61</f>
        <v>1.0368685715059075E-4</v>
      </c>
      <c r="N67" s="14">
        <f si="5" t="shared"/>
        <v>3.9384966220353233E-5</v>
      </c>
      <c r="O67" s="14">
        <f si="5" t="shared"/>
        <v>2.1802971788189211E-5</v>
      </c>
      <c r="P67" s="14">
        <f si="5" t="shared"/>
        <v>3.7832156281389827E-5</v>
      </c>
      <c r="Q67" s="14">
        <f si="5" t="shared"/>
        <v>3.1768828520845814E-5</v>
      </c>
      <c r="R67" s="14">
        <f si="5" t="shared"/>
        <v>2.8567790886436358E-5</v>
      </c>
      <c r="S67" s="15">
        <f si="5" t="shared"/>
        <v>3.6640758921939156E-5</v>
      </c>
    </row>
    <row r="68" spans="1:19" x14ac:dyDescent="0.25">
      <c r="A68" s="9">
        <v>0.125</v>
      </c>
      <c r="B68" s="15">
        <f ref="B68:I68" si="6" t="shared">B11/B$61</f>
        <v>1.7759561209298193E-3</v>
      </c>
      <c r="C68" s="15">
        <f si="6" t="shared"/>
        <v>1.3842481551080495E-3</v>
      </c>
      <c r="D68" s="15">
        <f si="6" t="shared"/>
        <v>5.0455895387274035E-4</v>
      </c>
      <c r="E68" s="15">
        <f si="6" t="shared"/>
        <v>4.9993169525610335E-4</v>
      </c>
      <c r="F68" s="15">
        <f si="6" t="shared"/>
        <v>4.4691318773674028E-4</v>
      </c>
      <c r="G68" s="15">
        <f si="6" t="shared"/>
        <v>1.7602334364855369E-3</v>
      </c>
      <c r="H68" s="15">
        <f si="6" t="shared"/>
        <v>1.7351693546750018E-3</v>
      </c>
      <c r="I68" s="15">
        <f si="6" t="shared"/>
        <v>9.023418316256469E-4</v>
      </c>
      <c r="K68" s="9">
        <v>0.125</v>
      </c>
      <c r="L68" s="14">
        <f ref="L68:S68" si="7" t="shared">L11/L$61</f>
        <v>6.1817742444855951E-3</v>
      </c>
      <c r="M68" s="14">
        <f si="7" t="shared"/>
        <v>1.9976560540104792E-3</v>
      </c>
      <c r="N68" s="14">
        <f>N11/N$61</f>
        <v>9.1225526199526907E-3</v>
      </c>
      <c r="O68" s="14">
        <f si="7" t="shared"/>
        <v>2.2177113042556847E-3</v>
      </c>
      <c r="P68" s="14">
        <f si="7" t="shared"/>
        <v>3.5019216556280487E-3</v>
      </c>
      <c r="Q68" s="14">
        <f si="7" t="shared"/>
        <v>4.5324748552613434E-3</v>
      </c>
      <c r="R68" s="14">
        <f si="7" t="shared"/>
        <v>2.0242449457402723E-3</v>
      </c>
      <c r="S68" s="15">
        <f si="7" t="shared"/>
        <v>4.3917251947773201E-3</v>
      </c>
    </row>
    <row r="69" spans="1:19" x14ac:dyDescent="0.25">
      <c r="A69" s="9">
        <v>0.14583333333333334</v>
      </c>
      <c r="B69" s="15">
        <f ref="B69:I69" si="8" t="shared">B12/B$61</f>
        <v>3.9944868397331027E-3</v>
      </c>
      <c r="C69" s="15">
        <f si="8" t="shared"/>
        <v>1.5595814576956487E-3</v>
      </c>
      <c r="D69" s="15">
        <f si="8" t="shared"/>
        <v>1.3574896295205235E-3</v>
      </c>
      <c r="E69" s="15">
        <f si="8" t="shared"/>
        <v>1.0624371506970402E-3</v>
      </c>
      <c r="F69" s="15">
        <f si="8" t="shared"/>
        <v>8.0276744213187128E-4</v>
      </c>
      <c r="G69" s="15">
        <f si="8" t="shared"/>
        <v>4.2252076818965669E-3</v>
      </c>
      <c r="H69" s="15">
        <f si="8" t="shared"/>
        <v>4.1155240943949369E-3</v>
      </c>
      <c r="I69" s="15">
        <f si="8" t="shared"/>
        <v>2.0411047232575101E-3</v>
      </c>
      <c r="K69" s="9">
        <v>0.14583333333333334</v>
      </c>
      <c r="L69" s="14">
        <f ref="L69:S69" si="9" t="shared">L12/L$61</f>
        <v>1.2666220932297422E-2</v>
      </c>
      <c r="M69" s="14">
        <f si="9" t="shared"/>
        <v>4.5149160000849805E-3</v>
      </c>
      <c r="N69" s="14">
        <f si="9" t="shared"/>
        <v>1.8002983613121845E-2</v>
      </c>
      <c r="O69" s="14">
        <f si="9" t="shared"/>
        <v>4.598726574579012E-3</v>
      </c>
      <c r="P69" s="14">
        <f si="9" t="shared"/>
        <v>6.9595877222415562E-3</v>
      </c>
      <c r="Q69" s="14">
        <f si="9" t="shared"/>
        <v>9.1966229906461049E-3</v>
      </c>
      <c r="R69" s="14">
        <f si="9" t="shared"/>
        <v>4.4040056584233782E-3</v>
      </c>
      <c r="S69" s="15">
        <f si="9" t="shared"/>
        <v>8.9016942865583447E-3</v>
      </c>
    </row>
    <row r="70" spans="1:19" x14ac:dyDescent="0.25">
      <c r="A70" s="9">
        <v>0.16666666666666666</v>
      </c>
      <c r="B70" s="15">
        <f ref="B70:I70" si="10" t="shared">B13/B$61</f>
        <v>7.1044548441729638E-3</v>
      </c>
      <c r="C70" s="15">
        <f si="10" t="shared"/>
        <v>2.0715646227484697E-3</v>
      </c>
      <c r="D70" s="15">
        <f si="10" t="shared"/>
        <v>3.211847392964685E-3</v>
      </c>
      <c r="E70" s="15">
        <f si="10" t="shared"/>
        <v>1.8445016961362755E-3</v>
      </c>
      <c r="F70" s="15">
        <f si="10" t="shared"/>
        <v>1.0838077844676326E-3</v>
      </c>
      <c r="G70" s="15">
        <f si="10" t="shared"/>
        <v>7.8523802559669412E-3</v>
      </c>
      <c r="H70" s="15">
        <f si="10" t="shared"/>
        <v>7.4935440133132867E-3</v>
      </c>
      <c r="I70" s="15">
        <f si="10" t="shared"/>
        <v>3.7268235831115172E-3</v>
      </c>
      <c r="K70" s="9">
        <v>0.16666666666666666</v>
      </c>
      <c r="L70" s="14">
        <f ref="L70:S70" si="11" t="shared">L13/L$61</f>
        <v>2.0312619093634934E-2</v>
      </c>
      <c r="M70" s="14">
        <f si="11" t="shared"/>
        <v>8.6055244042578041E-3</v>
      </c>
      <c r="N70" s="14">
        <f si="11" t="shared"/>
        <v>2.7151937298040711E-2</v>
      </c>
      <c r="O70" s="14">
        <f si="11" t="shared"/>
        <v>7.585979234838479E-3</v>
      </c>
      <c r="P70" s="14">
        <f si="11" t="shared"/>
        <v>1.0763640331130619E-2</v>
      </c>
      <c r="Q70" s="14">
        <f si="11" t="shared"/>
        <v>1.4453034726423742E-2</v>
      </c>
      <c r="R70" s="14">
        <f si="11" t="shared"/>
        <v>7.7174056857524436E-3</v>
      </c>
      <c r="S70" s="15">
        <f si="11" t="shared"/>
        <v>1.4084164607376637E-2</v>
      </c>
    </row>
    <row r="71" spans="1:19" x14ac:dyDescent="0.25">
      <c r="A71" s="9">
        <v>0.1875</v>
      </c>
      <c r="B71" s="15">
        <f ref="B71:I71" si="12" t="shared">B14/B$61</f>
        <v>1.1570277038013445E-2</v>
      </c>
      <c r="C71" s="15">
        <f si="12" t="shared"/>
        <v>3.5885975181758718E-3</v>
      </c>
      <c r="D71" s="15">
        <f si="12" t="shared"/>
        <v>7.3094864837362251E-3</v>
      </c>
      <c r="E71" s="15">
        <f si="12" t="shared"/>
        <v>3.1303924157862193E-3</v>
      </c>
      <c r="F71" s="15">
        <f si="12" t="shared"/>
        <v>1.4596829501306735E-3</v>
      </c>
      <c r="G71" s="15">
        <f si="12" t="shared"/>
        <v>1.2616350932937562E-2</v>
      </c>
      <c r="H71" s="15">
        <f si="12" t="shared"/>
        <v>1.1773579533182017E-2</v>
      </c>
      <c r="I71" s="15">
        <f si="12" t="shared"/>
        <v>6.3197784576165678E-3</v>
      </c>
      <c r="K71" s="9">
        <v>0.1875</v>
      </c>
      <c r="L71" s="14">
        <f ref="L71:S71" si="13" t="shared">L14/L$61</f>
        <v>3.0311838284971769E-2</v>
      </c>
      <c r="M71" s="14">
        <f si="13" t="shared"/>
        <v>1.5550038978514685E-2</v>
      </c>
      <c r="N71" s="14">
        <f si="13" t="shared"/>
        <v>3.7693709553892146E-2</v>
      </c>
      <c r="O71" s="14">
        <f si="13" t="shared"/>
        <v>1.1877334910885459E-2</v>
      </c>
      <c r="P71" s="14">
        <f si="13" t="shared"/>
        <v>1.567626605578077E-2</v>
      </c>
      <c r="Q71" s="14">
        <f si="13" t="shared"/>
        <v>2.0973541978467323E-2</v>
      </c>
      <c r="R71" s="14">
        <f si="13" t="shared"/>
        <v>1.2677053087870148E-2</v>
      </c>
      <c r="S71" s="15">
        <f si="13" t="shared"/>
        <v>2.0823732037065584E-2</v>
      </c>
    </row>
    <row r="72" spans="1:19" x14ac:dyDescent="0.25">
      <c r="A72" s="9">
        <v>0.20833333333333334</v>
      </c>
      <c r="B72" s="15">
        <f ref="B72:I72" si="14" t="shared">B15/B$61</f>
        <v>1.7854166516739409E-2</v>
      </c>
      <c r="C72" s="15">
        <f si="14" t="shared"/>
        <v>7.2857019253136906E-3</v>
      </c>
      <c r="D72" s="15">
        <f si="14" t="shared"/>
        <v>1.5507478705870792E-2</v>
      </c>
      <c r="E72" s="15">
        <f si="14" t="shared"/>
        <v>5.2735948361235067E-3</v>
      </c>
      <c r="F72" s="15">
        <f si="14" t="shared"/>
        <v>2.2250072946646982E-3</v>
      </c>
      <c r="G72" s="15">
        <f si="14" t="shared"/>
        <v>1.799090541517245E-2</v>
      </c>
      <c r="H72" s="15">
        <f si="14" t="shared"/>
        <v>1.6487442932089542E-2</v>
      </c>
      <c r="I72" s="15">
        <f si="14" t="shared"/>
        <v>1.0235864927405624E-2</v>
      </c>
      <c r="K72" s="9">
        <v>0.20833333333333334</v>
      </c>
      <c r="L72" s="14">
        <f ref="L72:S72" si="15" t="shared">L15/L$61</f>
        <v>4.350058609235679E-2</v>
      </c>
      <c r="M72" s="14">
        <f si="15" t="shared"/>
        <v>2.6438548650850591E-2</v>
      </c>
      <c r="N72" s="14">
        <f si="15" t="shared"/>
        <v>5.0506963907287351E-2</v>
      </c>
      <c r="O72" s="14">
        <f si="15" t="shared"/>
        <v>1.818834014092597E-2</v>
      </c>
      <c r="P72" s="14">
        <f si="15" t="shared"/>
        <v>2.2494850900773675E-2</v>
      </c>
      <c r="Q72" s="14">
        <f si="15" t="shared"/>
        <v>2.9281854419384114E-2</v>
      </c>
      <c r="R72" s="14">
        <f si="15" t="shared"/>
        <v>1.9885518694247095E-2</v>
      </c>
      <c r="S72" s="15">
        <f si="15" t="shared"/>
        <v>2.9883135997918572E-2</v>
      </c>
    </row>
    <row r="73" spans="1:19" x14ac:dyDescent="0.25">
      <c r="A73" s="9">
        <v>0.22916666666666666</v>
      </c>
      <c r="B73" s="15">
        <f ref="B73:I73" si="16" t="shared">B16/B$61</f>
        <v>2.6301117919008885E-2</v>
      </c>
      <c r="C73" s="15">
        <f si="16" t="shared"/>
        <v>1.4592561054952331E-2</v>
      </c>
      <c r="D73" s="15">
        <f si="16" t="shared"/>
        <v>2.9648506210086922E-2</v>
      </c>
      <c r="E73" s="15">
        <f si="16" t="shared"/>
        <v>8.5731994501140971E-3</v>
      </c>
      <c r="F73" s="15">
        <f si="16" t="shared"/>
        <v>3.7247025887581454E-3</v>
      </c>
      <c r="G73" s="15">
        <f si="16" t="shared"/>
        <v>2.3296645876707944E-2</v>
      </c>
      <c r="H73" s="15">
        <f si="16" t="shared"/>
        <v>2.1062213229860492E-2</v>
      </c>
      <c r="I73" s="15">
        <f si="16" t="shared"/>
        <v>1.5846944045151922E-2</v>
      </c>
      <c r="K73" s="9">
        <v>0.22916666666666666</v>
      </c>
      <c r="L73" s="14">
        <f ref="L73:S73" si="17" t="shared">L16/L$61</f>
        <v>5.932788297858365E-2</v>
      </c>
      <c r="M73" s="14">
        <f si="17" t="shared"/>
        <v>4.1266801678291887E-2</v>
      </c>
      <c r="N73" s="14">
        <f si="17" t="shared"/>
        <v>6.5025651827132797E-2</v>
      </c>
      <c r="O73" s="14">
        <f si="17" t="shared"/>
        <v>2.6768912864650246E-2</v>
      </c>
      <c r="P73" s="14">
        <f si="17" t="shared"/>
        <v>3.1433377101068576E-2</v>
      </c>
      <c r="Q73" s="14">
        <f si="17" t="shared"/>
        <v>3.9216559907884196E-2</v>
      </c>
      <c r="R73" s="14">
        <f si="17" t="shared"/>
        <v>2.935963049034963E-2</v>
      </c>
      <c r="S73" s="15">
        <f si="17" t="shared"/>
        <v>4.116290027080826E-2</v>
      </c>
    </row>
    <row r="74" spans="1:19" x14ac:dyDescent="0.25">
      <c r="A74" s="9">
        <v>0.25</v>
      </c>
      <c r="B74" s="15">
        <f ref="B74:I74" si="18" t="shared">B17/B$61</f>
        <v>3.6878422904323693E-2</v>
      </c>
      <c r="C74" s="15">
        <f si="18" t="shared"/>
        <v>2.6472768745938832E-2</v>
      </c>
      <c r="D74" s="15">
        <f si="18" t="shared"/>
        <v>5.0172611245050028E-2</v>
      </c>
      <c r="E74" s="15">
        <f si="18" t="shared"/>
        <v>1.3158620260564483E-2</v>
      </c>
      <c r="F74" s="15">
        <f si="18" t="shared"/>
        <v>6.2631031354387348E-3</v>
      </c>
      <c r="G74" s="15">
        <f si="18" t="shared"/>
        <v>2.8150491893855659E-2</v>
      </c>
      <c r="H74" s="15">
        <f si="18" t="shared"/>
        <v>2.5092795901984054E-2</v>
      </c>
      <c r="I74" s="15">
        <f si="18" t="shared"/>
        <v>2.3245794104430516E-2</v>
      </c>
      <c r="K74" s="9">
        <v>0.25</v>
      </c>
      <c r="L74" s="14">
        <f ref="L74:S74" si="19" t="shared">L17/L$61</f>
        <v>7.5339377690105402E-2</v>
      </c>
      <c r="M74" s="14">
        <f si="19" t="shared"/>
        <v>5.8227365516495627E-2</v>
      </c>
      <c r="N74" s="14">
        <f si="19" t="shared"/>
        <v>7.8754168078004866E-2</v>
      </c>
      <c r="O74" s="14">
        <f si="19" t="shared"/>
        <v>3.6964344177680866E-2</v>
      </c>
      <c r="P74" s="14">
        <f si="19" t="shared"/>
        <v>4.1655413104261983E-2</v>
      </c>
      <c r="Q74" s="14">
        <f si="19" t="shared"/>
        <v>4.9646082209338728E-2</v>
      </c>
      <c r="R74" s="14">
        <f si="19" t="shared"/>
        <v>4.0135667958692285E-2</v>
      </c>
      <c r="S74" s="15">
        <f si="19" t="shared"/>
        <v>5.3242483563924033E-2</v>
      </c>
    </row>
    <row r="75" spans="1:19" x14ac:dyDescent="0.25">
      <c r="A75" s="9">
        <v>0.27083333333333331</v>
      </c>
      <c r="B75" s="15">
        <f ref="B75:I75" si="20" t="shared">B18/B$61</f>
        <v>4.8866964750487817E-2</v>
      </c>
      <c r="C75" s="15">
        <f si="20" t="shared"/>
        <v>4.2500112048672996E-2</v>
      </c>
      <c r="D75" s="15">
        <f si="20" t="shared"/>
        <v>7.4672378643729817E-2</v>
      </c>
      <c r="E75" s="15">
        <f si="20" t="shared"/>
        <v>1.896018157397469E-2</v>
      </c>
      <c r="F75" s="15">
        <f si="20" t="shared"/>
        <v>1.0017022555664508E-2</v>
      </c>
      <c r="G75" s="15">
        <f si="20" t="shared"/>
        <v>3.2540876387138075E-2</v>
      </c>
      <c r="H75" s="15">
        <f si="20" t="shared"/>
        <v>2.8437919410176524E-2</v>
      </c>
      <c r="I75" s="15">
        <f si="20" t="shared"/>
        <v>3.1958885183032332E-2</v>
      </c>
      <c r="K75" s="9">
        <v>0.27083333333333331</v>
      </c>
      <c r="L75" s="14">
        <f ref="L75:S75" si="21" t="shared">L18/L$61</f>
        <v>8.780590533088635E-2</v>
      </c>
      <c r="M75" s="14">
        <f si="21" t="shared"/>
        <v>7.387740988882982E-2</v>
      </c>
      <c r="N75" s="14">
        <f si="21" t="shared"/>
        <v>8.8123349970814044E-2</v>
      </c>
      <c r="O75" s="14">
        <f si="21" t="shared"/>
        <v>4.7155970428801368E-2</v>
      </c>
      <c r="P75" s="14">
        <f si="21" t="shared"/>
        <v>5.132844422672557E-2</v>
      </c>
      <c r="Q75" s="14">
        <f si="21" t="shared"/>
        <v>5.8706688086028899E-2</v>
      </c>
      <c r="R75" s="14">
        <f si="21" t="shared"/>
        <v>5.0311868836932588E-2</v>
      </c>
      <c r="S75" s="15">
        <f si="21" t="shared"/>
        <v>6.3657965842144684E-2</v>
      </c>
    </row>
    <row r="76" spans="1:19" x14ac:dyDescent="0.25">
      <c r="A76" s="9">
        <v>0.29166666666666669</v>
      </c>
      <c r="B76" s="15">
        <f ref="B76:I76" si="22" t="shared">B19/B$61</f>
        <v>6.0779970543775479E-2</v>
      </c>
      <c r="C76" s="15">
        <f si="22" t="shared"/>
        <v>6.033270867659378E-2</v>
      </c>
      <c r="D76" s="15">
        <f si="22" t="shared"/>
        <v>9.7700962290588611E-2</v>
      </c>
      <c r="E76" s="15">
        <f si="22" t="shared"/>
        <v>2.5783320417306625E-2</v>
      </c>
      <c r="F76" s="15">
        <f si="22" t="shared"/>
        <v>1.4988053511431712E-2</v>
      </c>
      <c r="G76" s="15">
        <f si="22" t="shared"/>
        <v>3.6455688554895276E-2</v>
      </c>
      <c r="H76" s="15">
        <f si="22" t="shared"/>
        <v>3.1142280173442796E-2</v>
      </c>
      <c r="I76" s="15">
        <f si="22" t="shared"/>
        <v>4.086311158353368E-2</v>
      </c>
      <c r="K76" s="9">
        <v>0.29166666666666669</v>
      </c>
      <c r="L76" s="14">
        <f ref="L76:S76" si="23" t="shared">L19/L$61</f>
        <v>9.3339519088526696E-2</v>
      </c>
      <c r="M76" s="14">
        <f si="23" t="shared"/>
        <v>8.4378443272793396E-2</v>
      </c>
      <c r="N76" s="14">
        <f si="23" t="shared"/>
        <v>9.0296990570065974E-2</v>
      </c>
      <c r="O76" s="14">
        <f si="23" t="shared"/>
        <v>5.5274552938604143E-2</v>
      </c>
      <c r="P76" s="14">
        <f si="23" t="shared"/>
        <v>5.8301964394147511E-2</v>
      </c>
      <c r="Q76" s="14">
        <f si="23" t="shared"/>
        <v>6.4509437357396962E-2</v>
      </c>
      <c r="R76" s="14">
        <f si="23" t="shared"/>
        <v>5.7688588878977244E-2</v>
      </c>
      <c r="S76" s="15">
        <f si="23" t="shared"/>
        <v>6.9913021509193179E-2</v>
      </c>
    </row>
    <row r="77" spans="1:19" x14ac:dyDescent="0.25">
      <c r="A77" s="9">
        <v>0.3125</v>
      </c>
      <c r="B77" s="15">
        <f ref="B77:I77" si="24" t="shared">B20/B$61</f>
        <v>7.0742318249152655E-2</v>
      </c>
      <c r="C77" s="15">
        <f si="24" t="shared"/>
        <v>7.6142775076239719E-2</v>
      </c>
      <c r="D77" s="15">
        <f si="24" t="shared"/>
        <v>0.11262026338921999</v>
      </c>
      <c r="E77" s="15">
        <f si="24" t="shared"/>
        <v>3.3406058596197212E-2</v>
      </c>
      <c r="F77" s="15">
        <f si="24" t="shared"/>
        <v>2.1037722087259573E-2</v>
      </c>
      <c r="G77" s="15">
        <f si="24" t="shared"/>
        <v>3.9553540318103396E-2</v>
      </c>
      <c r="H77" s="15">
        <f si="24" t="shared"/>
        <v>3.333579205274062E-2</v>
      </c>
      <c r="I77" s="15">
        <f si="24" t="shared"/>
        <v>4.8522062936539177E-2</v>
      </c>
      <c r="K77" s="9">
        <v>0.3125</v>
      </c>
      <c r="L77" s="14">
        <f ref="L77:S77" si="25" t="shared">L20/L$61</f>
        <v>9.0581061353073547E-2</v>
      </c>
      <c r="M77" s="14">
        <f si="25" t="shared"/>
        <v>8.7238111260387663E-2</v>
      </c>
      <c r="N77" s="14">
        <f si="25" t="shared"/>
        <v>8.4764265970695626E-2</v>
      </c>
      <c r="O77" s="14">
        <f si="25" t="shared"/>
        <v>5.9761850636165632E-2</v>
      </c>
      <c r="P77" s="14">
        <f si="25" t="shared"/>
        <v>6.1153404477931168E-2</v>
      </c>
      <c r="Q77" s="14">
        <f si="25" t="shared"/>
        <v>6.6004757924237878E-2</v>
      </c>
      <c r="R77" s="14">
        <f si="25" t="shared"/>
        <v>6.0786286138076719E-2</v>
      </c>
      <c r="S77" s="15">
        <f si="25" t="shared"/>
        <v>7.0714941816331048E-2</v>
      </c>
    </row>
    <row r="78" spans="1:19" x14ac:dyDescent="0.25">
      <c r="A78" s="9">
        <v>0.33333333333333331</v>
      </c>
      <c r="B78" s="15">
        <f ref="B78:I78" si="26" t="shared">B21/B$61</f>
        <v>7.7202821606598401E-2</v>
      </c>
      <c r="C78" s="15">
        <f si="26" t="shared"/>
        <v>8.6071473209128849E-2</v>
      </c>
      <c r="D78" s="15">
        <f si="26" t="shared"/>
        <v>0.11471562025810068</v>
      </c>
      <c r="E78" s="15">
        <f si="26" t="shared"/>
        <v>4.1563116941504968E-2</v>
      </c>
      <c r="F78" s="15">
        <f si="26" t="shared"/>
        <v>2.7979398016483518E-2</v>
      </c>
      <c r="G78" s="15">
        <f si="26" t="shared"/>
        <v>4.1335075981044939E-2</v>
      </c>
      <c r="H78" s="15">
        <f si="26" t="shared"/>
        <v>3.5193867085710609E-2</v>
      </c>
      <c r="I78" s="15">
        <f si="26" t="shared"/>
        <v>5.3815469558828495E-2</v>
      </c>
      <c r="K78" s="9">
        <v>0.33333333333333331</v>
      </c>
      <c r="L78" s="14">
        <f ref="L78:S78" si="27" t="shared">L21/L$61</f>
        <v>8.0929442280015515E-2</v>
      </c>
      <c r="M78" s="14">
        <f si="27" t="shared"/>
        <v>8.2545791482494343E-2</v>
      </c>
      <c r="N78" s="14">
        <f si="27" t="shared"/>
        <v>7.3681540643810509E-2</v>
      </c>
      <c r="O78" s="14">
        <f si="27" t="shared"/>
        <v>6.0480693194062768E-2</v>
      </c>
      <c r="P78" s="14">
        <f si="27" t="shared"/>
        <v>6.0046272907291434E-2</v>
      </c>
      <c r="Q78" s="14">
        <f si="27" t="shared"/>
        <v>6.3591435414507375E-2</v>
      </c>
      <c r="R78" s="14">
        <f si="27" t="shared"/>
        <v>5.9683406684696426E-2</v>
      </c>
      <c r="S78" s="15">
        <f si="27" t="shared"/>
        <v>6.671868899662281E-2</v>
      </c>
    </row>
    <row r="79" spans="1:19" x14ac:dyDescent="0.25">
      <c r="A79" s="9">
        <v>0.35416666666666669</v>
      </c>
      <c r="B79" s="15">
        <f ref="B79:I79" si="28" t="shared">B22/B$61</f>
        <v>7.9507506599927405E-2</v>
      </c>
      <c r="C79" s="15">
        <f si="28" t="shared"/>
        <v>8.8064812118656091E-2</v>
      </c>
      <c r="D79" s="15">
        <f si="28" t="shared"/>
        <v>0.1035934152261279</v>
      </c>
      <c r="E79" s="15">
        <f si="28" t="shared"/>
        <v>4.9767344153962223E-2</v>
      </c>
      <c r="F79" s="15">
        <f si="28" t="shared"/>
        <v>3.5584141221079037E-2</v>
      </c>
      <c r="G79" s="15">
        <f si="28" t="shared"/>
        <v>4.1672729270191271E-2</v>
      </c>
      <c r="H79" s="15">
        <f si="28" t="shared"/>
        <v>3.6891510825862915E-2</v>
      </c>
      <c r="I79" s="15">
        <f si="28" t="shared"/>
        <v>5.6412908209785541E-2</v>
      </c>
      <c r="K79" s="9">
        <v>0.35416666666666669</v>
      </c>
      <c r="L79" s="14">
        <f ref="L79:S79" si="29" t="shared">L22/L$61</f>
        <v>6.7851151094426937E-2</v>
      </c>
      <c r="M79" s="14">
        <f si="29" t="shared"/>
        <v>7.2905073976269039E-2</v>
      </c>
      <c r="N79" s="14">
        <f si="29" t="shared"/>
        <v>6.0767310975145365E-2</v>
      </c>
      <c r="O79" s="14">
        <f si="29" t="shared"/>
        <v>5.8882961879823989E-2</v>
      </c>
      <c r="P79" s="14">
        <f si="29" t="shared"/>
        <v>5.676396895087743E-2</v>
      </c>
      <c r="Q79" s="14">
        <f si="29" t="shared"/>
        <v>5.905182583084672E-2</v>
      </c>
      <c r="R79" s="14">
        <f si="29" t="shared"/>
        <v>5.6062679163686756E-2</v>
      </c>
      <c r="S79" s="15">
        <f si="29" t="shared"/>
        <v>6.0253600200848793E-2</v>
      </c>
    </row>
    <row r="80" spans="1:19" x14ac:dyDescent="0.25">
      <c r="A80" s="9">
        <v>0.375</v>
      </c>
      <c r="B80" s="15">
        <f ref="B80:I80" si="30" t="shared">B23/B$61</f>
        <v>7.7953642740913848E-2</v>
      </c>
      <c r="C80" s="15">
        <f si="30" t="shared"/>
        <v>8.2951510079684029E-2</v>
      </c>
      <c r="D80" s="15">
        <f si="30" t="shared"/>
        <v>8.3264401941719954E-2</v>
      </c>
      <c r="E80" s="15">
        <f si="30" t="shared"/>
        <v>5.7136495119847829E-2</v>
      </c>
      <c r="F80" s="15">
        <f si="30" t="shared"/>
        <v>4.3389211610015119E-2</v>
      </c>
      <c r="G80" s="15">
        <f si="30" t="shared"/>
        <v>4.1150151903756593E-2</v>
      </c>
      <c r="H80" s="15">
        <f si="30" t="shared"/>
        <v>3.8506012024707582E-2</v>
      </c>
      <c r="I80" s="15">
        <f si="30" t="shared"/>
        <v>5.6739127429249643E-2</v>
      </c>
      <c r="K80" s="9">
        <v>0.375</v>
      </c>
      <c r="L80" s="14">
        <f ref="L80:S80" si="31" t="shared">L23/L$61</f>
        <v>5.5149174797950125E-2</v>
      </c>
      <c r="M80" s="14">
        <f si="31" t="shared"/>
        <v>6.2015672102900155E-2</v>
      </c>
      <c r="N80" s="14">
        <f si="31" t="shared"/>
        <v>4.9440120944022066E-2</v>
      </c>
      <c r="O80" s="14">
        <f si="31" t="shared"/>
        <v>5.7087949906517527E-2</v>
      </c>
      <c r="P80" s="14">
        <f si="31" t="shared"/>
        <v>5.3667628671723901E-2</v>
      </c>
      <c r="Q80" s="14">
        <f si="31" t="shared"/>
        <v>5.4630872386644845E-2</v>
      </c>
      <c r="R80" s="14">
        <f si="31" t="shared"/>
        <v>5.2264755794180058E-2</v>
      </c>
      <c r="S80" s="15">
        <f si="31" t="shared"/>
        <v>5.4060213466635712E-2</v>
      </c>
    </row>
    <row r="81" spans="1:19" x14ac:dyDescent="0.25">
      <c r="A81" s="9">
        <v>0.39583333333333331</v>
      </c>
      <c r="B81" s="15">
        <f ref="B81:I81" si="32" t="shared">B24/B$61</f>
        <v>7.3386898219280877E-2</v>
      </c>
      <c r="C81" s="15">
        <f si="32" t="shared"/>
        <v>7.3902050884085163E-2</v>
      </c>
      <c r="D81" s="15">
        <f si="32" t="shared"/>
        <v>5.9975867871553325E-2</v>
      </c>
      <c r="E81" s="15">
        <f si="32" t="shared"/>
        <v>6.2508398797095507E-2</v>
      </c>
      <c r="F81" s="15">
        <f si="32" t="shared"/>
        <v>5.0483413434188724E-2</v>
      </c>
      <c r="G81" s="15">
        <f si="32" t="shared"/>
        <v>4.085815652375431E-2</v>
      </c>
      <c r="H81" s="15">
        <f si="32" t="shared"/>
        <v>3.9971847944426091E-2</v>
      </c>
      <c r="I81" s="15">
        <f si="32" t="shared"/>
        <v>5.5530873973838817E-2</v>
      </c>
      <c r="K81" s="9">
        <v>0.39583333333333331</v>
      </c>
      <c r="L81" s="14">
        <f ref="L81:S81" si="33" t="shared">L24/L$61</f>
        <v>4.5216710939913869E-2</v>
      </c>
      <c r="M81" s="14">
        <f si="33" t="shared"/>
        <v>5.2752980206484577E-2</v>
      </c>
      <c r="N81" s="14">
        <f si="33" t="shared"/>
        <v>4.1318677687620181E-2</v>
      </c>
      <c r="O81" s="14">
        <f si="33" t="shared"/>
        <v>5.6411366167660938E-2</v>
      </c>
      <c r="P81" s="14">
        <f si="33" t="shared"/>
        <v>5.2171086870146613E-2</v>
      </c>
      <c r="Q81" s="14">
        <f si="33" t="shared"/>
        <v>5.1706768203282676E-2</v>
      </c>
      <c r="R81" s="14">
        <f si="33" t="shared"/>
        <v>4.9904240594180964E-2</v>
      </c>
      <c r="S81" s="15">
        <f si="33" t="shared"/>
        <v>4.9780725362589123E-2</v>
      </c>
    </row>
    <row r="82" spans="1:19" x14ac:dyDescent="0.25">
      <c r="A82" s="9">
        <v>0.41666666666666669</v>
      </c>
      <c r="B82" s="15">
        <f ref="B82:I82" si="34" t="shared">B25/B$61</f>
        <v>6.6717131434459287E-2</v>
      </c>
      <c r="C82" s="15">
        <f si="34" t="shared"/>
        <v>6.4541909773467104E-2</v>
      </c>
      <c r="D82" s="15">
        <f si="34" t="shared"/>
        <v>3.9317144533604687E-2</v>
      </c>
      <c r="E82" s="15">
        <f si="34" t="shared"/>
        <v>6.4913860881792781E-2</v>
      </c>
      <c r="F82" s="15">
        <f si="34" t="shared"/>
        <v>5.5663699687211E-2</v>
      </c>
      <c r="G82" s="15">
        <f si="34" t="shared"/>
        <v>4.1757648349373802E-2</v>
      </c>
      <c r="H82" s="15">
        <f si="34" t="shared"/>
        <v>4.1174188169597788E-2</v>
      </c>
      <c r="I82" s="15">
        <f si="34" t="shared"/>
        <v>5.3401721866680046E-2</v>
      </c>
      <c r="K82" s="9">
        <v>0.41666666666666669</v>
      </c>
      <c r="L82" s="14">
        <f ref="L82:S82" si="35" t="shared">L25/L$61</f>
        <v>3.8335767652758354E-2</v>
      </c>
      <c r="M82" s="14">
        <f si="35" t="shared"/>
        <v>4.6012660223700701E-2</v>
      </c>
      <c r="N82" s="14">
        <f si="35" t="shared"/>
        <v>3.5955129093674147E-2</v>
      </c>
      <c r="O82" s="14">
        <f si="35" t="shared"/>
        <v>5.6544304408683896E-2</v>
      </c>
      <c r="P82" s="14">
        <f si="35" t="shared"/>
        <v>5.1926249538892744E-2</v>
      </c>
      <c r="Q82" s="14">
        <f si="35" t="shared"/>
        <v>5.0051885777886523E-2</v>
      </c>
      <c r="R82" s="14">
        <f si="35" t="shared"/>
        <v>4.9079077086411647E-2</v>
      </c>
      <c r="S82" s="15">
        <f si="35" t="shared"/>
        <v>4.7273045590149991E-2</v>
      </c>
    </row>
    <row r="83" spans="1:19" x14ac:dyDescent="0.25">
      <c r="A83" s="9">
        <v>0.4375</v>
      </c>
      <c r="B83" s="15">
        <f ref="B83:I83" si="36" t="shared">B26/B$61</f>
        <v>5.8675919596367733E-2</v>
      </c>
      <c r="C83" s="15">
        <f si="36" t="shared"/>
        <v>5.7067284077243749E-2</v>
      </c>
      <c r="D83" s="15">
        <f si="36" t="shared"/>
        <v>2.4309352368960875E-2</v>
      </c>
      <c r="E83" s="15">
        <f si="36" t="shared"/>
        <v>6.4097560215331195E-2</v>
      </c>
      <c r="F83" s="15">
        <f si="36" t="shared"/>
        <v>5.8053859019278488E-2</v>
      </c>
      <c r="G83" s="15">
        <f si="36" t="shared"/>
        <v>4.4011989525700498E-2</v>
      </c>
      <c r="H83" s="15">
        <f si="36" t="shared"/>
        <v>4.2067946456050581E-2</v>
      </c>
      <c r="I83" s="15">
        <f si="36" t="shared"/>
        <v>5.0703267871335743E-2</v>
      </c>
      <c r="K83" s="9">
        <v>0.4375</v>
      </c>
      <c r="L83" s="14">
        <f ref="L83:S83" si="37" t="shared">L26/L$61</f>
        <v>3.3335475305468647E-2</v>
      </c>
      <c r="M83" s="14">
        <f si="37" t="shared"/>
        <v>4.1017075644966046E-2</v>
      </c>
      <c r="N83" s="14">
        <f si="37" t="shared"/>
        <v>3.1814600673008113E-2</v>
      </c>
      <c r="O83" s="14">
        <f si="37" t="shared"/>
        <v>5.6103443026123578E-2</v>
      </c>
      <c r="P83" s="14">
        <f si="37" t="shared"/>
        <v>5.1418033966995132E-2</v>
      </c>
      <c r="Q83" s="14">
        <f si="37" t="shared"/>
        <v>4.8336040238311388E-2</v>
      </c>
      <c r="R83" s="14">
        <f si="37" t="shared"/>
        <v>4.8761408909138396E-2</v>
      </c>
      <c r="S83" s="15">
        <f si="37" t="shared"/>
        <v>4.5231071756099063E-2</v>
      </c>
    </row>
    <row r="84" spans="1:19" x14ac:dyDescent="0.25">
      <c r="A84" s="9">
        <v>0.45833333333333331</v>
      </c>
      <c r="B84" s="15">
        <f ref="B84:I84" si="38" t="shared">B27/B$61</f>
        <v>4.9883523021325621E-2</v>
      </c>
      <c r="C84" s="15">
        <f si="38" t="shared"/>
        <v>5.1623170037532459E-2</v>
      </c>
      <c r="D84" s="15">
        <f si="38" t="shared"/>
        <v>1.5226426017151903E-2</v>
      </c>
      <c r="E84" s="15">
        <f si="38" t="shared"/>
        <v>6.0671801598322347E-2</v>
      </c>
      <c r="F84" s="15">
        <f si="38" t="shared"/>
        <v>5.7661919195502183E-2</v>
      </c>
      <c r="G84" s="15">
        <f si="38" t="shared"/>
        <v>4.6723794218855447E-2</v>
      </c>
      <c r="H84" s="15">
        <f si="38" t="shared"/>
        <v>4.2653548858553082E-2</v>
      </c>
      <c r="I84" s="15">
        <f si="38" t="shared"/>
        <v>4.7623625924517937E-2</v>
      </c>
      <c r="K84" s="9">
        <v>0.45833333333333331</v>
      </c>
      <c r="L84" s="14">
        <f ref="L84:S84" si="39" t="shared">L27/L$61</f>
        <v>2.8900691945608455E-2</v>
      </c>
      <c r="M84" s="14">
        <f si="39" t="shared"/>
        <v>3.6572256218386383E-2</v>
      </c>
      <c r="N84" s="14">
        <f si="39" t="shared"/>
        <v>2.7621437953971317E-2</v>
      </c>
      <c r="O84" s="14">
        <f si="39" t="shared"/>
        <v>5.3962494380997379E-2</v>
      </c>
      <c r="P84" s="14">
        <f si="39" t="shared"/>
        <v>4.9366270628398989E-2</v>
      </c>
      <c r="Q84" s="14">
        <f si="39" t="shared"/>
        <v>4.5388539660177543E-2</v>
      </c>
      <c r="R84" s="14">
        <f si="39" t="shared"/>
        <v>4.7888419514532987E-2</v>
      </c>
      <c r="S84" s="15">
        <f si="39" t="shared"/>
        <v>4.2469809123348599E-2</v>
      </c>
    </row>
    <row r="85" spans="1:19" x14ac:dyDescent="0.25">
      <c r="A85" s="9">
        <v>0.47916666666666669</v>
      </c>
      <c r="B85" s="15">
        <f ref="B85:I85" si="40" t="shared">B28/B$61</f>
        <v>4.1049150234239953E-2</v>
      </c>
      <c r="C85" s="15">
        <f si="40" t="shared"/>
        <v>4.7069188110423266E-2</v>
      </c>
      <c r="D85" s="15">
        <f si="40" t="shared"/>
        <v>1.0691332934323379E-2</v>
      </c>
      <c r="E85" s="15">
        <f si="40" t="shared"/>
        <v>5.578512896730603E-2</v>
      </c>
      <c r="F85" s="15">
        <f si="40" t="shared"/>
        <v>5.5284978044254932E-2</v>
      </c>
      <c r="G85" s="15">
        <f si="40" t="shared"/>
        <v>4.8314362232817099E-2</v>
      </c>
      <c r="H85" s="15">
        <f si="40" t="shared"/>
        <v>4.2835747115703683E-2</v>
      </c>
      <c r="I85" s="15">
        <f si="40" t="shared"/>
        <v>4.4303499157732934E-2</v>
      </c>
      <c r="K85" s="9">
        <v>0.47916666666666669</v>
      </c>
      <c r="L85" s="14">
        <f ref="L85:S85" si="41" t="shared">L28/L$61</f>
        <v>2.445520935045804E-2</v>
      </c>
      <c r="M85" s="14">
        <f si="41" t="shared"/>
        <v>3.2089706231604849E-2</v>
      </c>
      <c r="N85" s="14">
        <f si="41" t="shared"/>
        <v>2.3060607910307295E-2</v>
      </c>
      <c r="O85" s="14">
        <f si="41" t="shared"/>
        <v>5.0084270675491982E-2</v>
      </c>
      <c r="P85" s="14">
        <f si="41" t="shared"/>
        <v>4.5632576202003061E-2</v>
      </c>
      <c r="Q85" s="14">
        <f si="41" t="shared"/>
        <v>4.1052681399492738E-2</v>
      </c>
      <c r="R85" s="14">
        <f si="41" t="shared"/>
        <v>4.6110829644033312E-2</v>
      </c>
      <c r="S85" s="15">
        <f si="41" t="shared"/>
        <v>3.8732323303416395E-2</v>
      </c>
    </row>
    <row r="86" spans="1:19" x14ac:dyDescent="0.25">
      <c r="A86" s="9">
        <v>0.5</v>
      </c>
      <c r="B86" s="15">
        <f ref="B86:I86" si="42" t="shared">B29/B$61</f>
        <v>3.30329649902548E-2</v>
      </c>
      <c r="C86" s="15">
        <f si="42" t="shared"/>
        <v>4.2258907016786855E-2</v>
      </c>
      <c r="D86" s="15">
        <f si="42" t="shared"/>
        <v>9.0043300954806699E-3</v>
      </c>
      <c r="E86" s="15">
        <f si="42" t="shared"/>
        <v>5.0555506850281727E-2</v>
      </c>
      <c r="F86" s="15">
        <f si="42" t="shared"/>
        <v>5.1886105782133755E-2</v>
      </c>
      <c r="G86" s="15">
        <f si="42" t="shared"/>
        <v>4.7375267979442748E-2</v>
      </c>
      <c r="H86" s="15">
        <f si="42" t="shared"/>
        <v>4.2348432201030128E-2</v>
      </c>
      <c r="I86" s="15">
        <f si="42" t="shared"/>
        <v>4.0864535085210901E-2</v>
      </c>
      <c r="K86" s="9">
        <v>0.5</v>
      </c>
      <c r="L86" s="14">
        <f ref="L86:S86" si="43" t="shared">L29/L$61</f>
        <v>2.0154213790751371E-2</v>
      </c>
      <c r="M86" s="14">
        <f si="43" t="shared"/>
        <v>2.7696757692310333E-2</v>
      </c>
      <c r="N86" s="14">
        <f si="43" t="shared"/>
        <v>1.8558772927168982E-2</v>
      </c>
      <c r="O86" s="14">
        <f si="43" t="shared"/>
        <v>4.5263513122459187E-2</v>
      </c>
      <c r="P86" s="14">
        <f si="43" t="shared"/>
        <v>4.1002521747317451E-2</v>
      </c>
      <c r="Q86" s="14">
        <f si="43" t="shared"/>
        <v>3.6022866534451289E-2</v>
      </c>
      <c r="R86" s="14">
        <f si="43" t="shared"/>
        <v>4.3691971918576322E-2</v>
      </c>
      <c r="S86" s="15">
        <f si="43" t="shared"/>
        <v>3.4522394036686284E-2</v>
      </c>
    </row>
    <row r="87" spans="1:19" x14ac:dyDescent="0.25">
      <c r="A87" s="9">
        <v>0.52083333333333337</v>
      </c>
      <c r="B87" s="15">
        <f ref="B87:I87" si="44" t="shared">B30/B$61</f>
        <v>2.6638826605927344E-2</v>
      </c>
      <c r="C87" s="15">
        <f si="44" t="shared"/>
        <v>3.6848433772298614E-2</v>
      </c>
      <c r="D87" s="15">
        <f si="44" t="shared"/>
        <v>8.9132905890022644E-3</v>
      </c>
      <c r="E87" s="15">
        <f si="44" t="shared"/>
        <v>4.5644939039525205E-2</v>
      </c>
      <c r="F87" s="15">
        <f si="44" t="shared"/>
        <v>4.8133368911222767E-2</v>
      </c>
      <c r="G87" s="15">
        <f si="44" t="shared"/>
        <v>4.3450241542757173E-2</v>
      </c>
      <c r="H87" s="15">
        <f si="44" t="shared"/>
        <v>4.0865286587953076E-2</v>
      </c>
      <c r="I87" s="15">
        <f si="44" t="shared"/>
        <v>3.7406201211740632E-2</v>
      </c>
      <c r="K87" s="9">
        <v>0.52083333333333337</v>
      </c>
      <c r="L87" s="14">
        <f ref="L87:S87" si="45" t="shared">L30/L$61</f>
        <v>1.6369520892359091E-2</v>
      </c>
      <c r="M87" s="14">
        <f si="45" t="shared"/>
        <v>2.3742305380597399E-2</v>
      </c>
      <c r="N87" s="14">
        <f si="45" t="shared"/>
        <v>1.4660994421057739E-2</v>
      </c>
      <c r="O87" s="14">
        <f si="45" t="shared"/>
        <v>4.0327742845370704E-2</v>
      </c>
      <c r="P87" s="14">
        <f si="45" t="shared"/>
        <v>3.636457290091949E-2</v>
      </c>
      <c r="Q87" s="14">
        <f si="45" t="shared"/>
        <v>3.1106321655786175E-2</v>
      </c>
      <c r="R87" s="14">
        <f si="45" t="shared"/>
        <v>4.0957327682662262E-2</v>
      </c>
      <c r="S87" s="15">
        <f si="45" t="shared"/>
        <v>3.0439225669310576E-2</v>
      </c>
    </row>
    <row r="88" spans="1:19" x14ac:dyDescent="0.25">
      <c r="A88" s="9">
        <v>0.54166666666666663</v>
      </c>
      <c r="B88" s="15">
        <f ref="B88:I88" si="46" t="shared">B31/B$61</f>
        <v>2.2275658853395382E-2</v>
      </c>
      <c r="C88" s="15">
        <f si="46" t="shared"/>
        <v>3.1226951432794792E-2</v>
      </c>
      <c r="D88" s="15">
        <f si="46" t="shared"/>
        <v>9.6987926923960705E-3</v>
      </c>
      <c r="E88" s="15">
        <f si="46" t="shared"/>
        <v>4.121667400306659E-2</v>
      </c>
      <c r="F88" s="15">
        <f si="46" t="shared"/>
        <v>4.4445341982191432E-2</v>
      </c>
      <c r="G88" s="15">
        <f si="46" t="shared"/>
        <v>3.725174895590707E-2</v>
      </c>
      <c r="H88" s="15">
        <f si="46" t="shared"/>
        <v>3.827832849940719E-2</v>
      </c>
      <c r="I88" s="15">
        <f si="46" t="shared"/>
        <v>3.4044739993603856E-2</v>
      </c>
      <c r="K88" s="9">
        <v>0.54166666666666663</v>
      </c>
      <c r="L88" s="14">
        <f ref="L88:S88" si="47" t="shared">L31/L$61</f>
        <v>1.3285542845445582E-2</v>
      </c>
      <c r="M88" s="14">
        <f si="47" t="shared"/>
        <v>2.0378402659365309E-2</v>
      </c>
      <c r="N88" s="14">
        <f si="47" t="shared"/>
        <v>1.1621154682240316E-2</v>
      </c>
      <c r="O88" s="14">
        <f si="47" t="shared"/>
        <v>3.5642260005344449E-2</v>
      </c>
      <c r="P88" s="14">
        <f si="47" t="shared"/>
        <v>3.2151874403776919E-2</v>
      </c>
      <c r="Q88" s="14">
        <f si="47" t="shared"/>
        <v>2.6704921901967726E-2</v>
      </c>
      <c r="R88" s="14">
        <f si="47" t="shared"/>
        <v>3.7957201957127096E-2</v>
      </c>
      <c r="S88" s="15">
        <f si="47" t="shared"/>
        <v>2.6739701671427932E-2</v>
      </c>
    </row>
    <row r="89" spans="1:19" x14ac:dyDescent="0.25">
      <c r="A89" s="9">
        <v>0.5625</v>
      </c>
      <c r="B89" s="15">
        <f ref="B89:I89" si="48" t="shared">B32/B$61</f>
        <v>1.9749064412877278E-2</v>
      </c>
      <c r="C89" s="15">
        <f si="48" t="shared"/>
        <v>2.5896950542462362E-2</v>
      </c>
      <c r="D89" s="15">
        <f si="48" t="shared"/>
        <v>1.0918625654357026E-2</v>
      </c>
      <c r="E89" s="15">
        <f si="48" t="shared"/>
        <v>3.7219635610966487E-2</v>
      </c>
      <c r="F89" s="15">
        <f si="48" t="shared"/>
        <v>4.1208405547203134E-2</v>
      </c>
      <c r="G89" s="15">
        <f si="48" t="shared"/>
        <v>3.0265233011175445E-2</v>
      </c>
      <c r="H89" s="15">
        <f si="48" t="shared"/>
        <v>3.5004083419845199E-2</v>
      </c>
      <c r="I89" s="15">
        <f si="48" t="shared"/>
        <v>3.0970083567617445E-2</v>
      </c>
      <c r="K89" s="9">
        <v>0.5625</v>
      </c>
      <c r="L89" s="14">
        <f ref="L89:S89" si="49" t="shared">L32/L$61</f>
        <v>1.0847704095495476E-2</v>
      </c>
      <c r="M89" s="14">
        <f si="49" t="shared"/>
        <v>1.7522650272671976E-2</v>
      </c>
      <c r="N89" s="14">
        <f si="49" t="shared"/>
        <v>9.3813140462879595E-3</v>
      </c>
      <c r="O89" s="14">
        <f si="49" t="shared"/>
        <v>3.118235546109021E-2</v>
      </c>
      <c r="P89" s="14">
        <f si="49" t="shared"/>
        <v>2.8359338952835839E-2</v>
      </c>
      <c r="Q89" s="14">
        <f si="49" t="shared"/>
        <v>2.2826175776913149E-2</v>
      </c>
      <c r="R89" s="14">
        <f si="49" t="shared"/>
        <v>3.4557949866457202E-2</v>
      </c>
      <c r="S89" s="15">
        <f si="49" t="shared"/>
        <v>2.3367399128460187E-2</v>
      </c>
    </row>
    <row r="90" spans="1:19" x14ac:dyDescent="0.25">
      <c r="A90" s="9">
        <v>0.58333333333333337</v>
      </c>
      <c r="B90" s="15">
        <f ref="B90:I90" si="50" t="shared">B33/B$61</f>
        <v>1.8329224273162446E-2</v>
      </c>
      <c r="C90" s="15">
        <f si="50" t="shared"/>
        <v>2.1012759218036317E-2</v>
      </c>
      <c r="D90" s="15">
        <f si="50" t="shared"/>
        <v>1.2190660190983804E-2</v>
      </c>
      <c r="E90" s="15">
        <f si="50" t="shared"/>
        <v>3.3678611398461247E-2</v>
      </c>
      <c r="F90" s="15">
        <f si="50" t="shared"/>
        <v>3.8768302187401155E-2</v>
      </c>
      <c r="G90" s="15">
        <f si="50" t="shared"/>
        <v>2.4084580357786708E-2</v>
      </c>
      <c r="H90" s="15">
        <f si="50" t="shared"/>
        <v>3.2025630069696977E-2</v>
      </c>
      <c r="I90" s="15">
        <f si="50" t="shared"/>
        <v>2.8428089395248175E-2</v>
      </c>
      <c r="K90" s="9">
        <v>0.58333333333333337</v>
      </c>
      <c r="L90" s="14">
        <f ref="L90:S90" si="51" t="shared">L33/L$61</f>
        <v>8.9089414930703173E-3</v>
      </c>
      <c r="M90" s="14">
        <f si="51" t="shared"/>
        <v>1.5037803773076286E-2</v>
      </c>
      <c r="N90" s="14">
        <f si="51" t="shared"/>
        <v>7.7440493360824156E-3</v>
      </c>
      <c r="O90" s="14">
        <f si="51" t="shared"/>
        <v>2.685204246001131E-2</v>
      </c>
      <c r="P90" s="14">
        <f si="51" t="shared"/>
        <v>2.4849201932747336E-2</v>
      </c>
      <c r="Q90" s="14">
        <f si="51" t="shared"/>
        <v>1.9367414141458268E-2</v>
      </c>
      <c r="R90" s="14">
        <f si="51" t="shared"/>
        <v>3.0703268767323599E-2</v>
      </c>
      <c r="S90" s="15">
        <f si="51" t="shared"/>
        <v>2.0199070876257837E-2</v>
      </c>
    </row>
    <row r="91" spans="1:19" x14ac:dyDescent="0.25">
      <c r="A91" s="9">
        <v>0.60416666666666663</v>
      </c>
      <c r="B91" s="15">
        <f ref="B91:I91" si="52" t="shared">B34/B$61</f>
        <v>1.7061441173361187E-2</v>
      </c>
      <c r="C91" s="15">
        <f si="52" t="shared"/>
        <v>1.6472357551113054E-2</v>
      </c>
      <c r="D91" s="15">
        <f si="52" t="shared"/>
        <v>1.3160717862444533E-2</v>
      </c>
      <c r="E91" s="15">
        <f si="52" t="shared"/>
        <v>3.0705187383441565E-2</v>
      </c>
      <c r="F91" s="15">
        <f si="52" t="shared"/>
        <v>3.7248116904767023E-2</v>
      </c>
      <c r="G91" s="15">
        <f si="52" t="shared"/>
        <v>1.9854418743277022E-2</v>
      </c>
      <c r="H91" s="15">
        <f si="52" t="shared"/>
        <v>3.040031598432575E-2</v>
      </c>
      <c r="I91" s="15">
        <f si="52" t="shared"/>
        <v>2.6587518948702944E-2</v>
      </c>
      <c r="K91" s="9">
        <v>0.60416666666666663</v>
      </c>
      <c r="L91" s="14">
        <f ref="L91:S91" si="53" t="shared">L34/L$61</f>
        <v>7.3510361089446224E-3</v>
      </c>
      <c r="M91" s="14">
        <f si="53" t="shared"/>
        <v>1.2861720169557346E-2</v>
      </c>
      <c r="N91" s="14">
        <f si="53" t="shared"/>
        <v>6.5176619091919163E-3</v>
      </c>
      <c r="O91" s="14">
        <f si="53" t="shared"/>
        <v>2.2675205122509309E-2</v>
      </c>
      <c r="P91" s="14">
        <f si="53" t="shared"/>
        <v>2.1565508737547978E-2</v>
      </c>
      <c r="Q91" s="14">
        <f si="53" t="shared"/>
        <v>1.6311163861183153E-2</v>
      </c>
      <c r="R91" s="14">
        <f si="53" t="shared"/>
        <v>2.6535660377916978E-2</v>
      </c>
      <c r="S91" s="15">
        <f si="53" t="shared"/>
        <v>1.720364107513225E-2</v>
      </c>
    </row>
    <row r="92" spans="1:19" x14ac:dyDescent="0.25">
      <c r="A92" s="9">
        <v>0.625</v>
      </c>
      <c r="B92" s="15">
        <f ref="B92:I92" si="54" t="shared">B35/B$61</f>
        <v>1.5182238017990343E-2</v>
      </c>
      <c r="C92" s="15">
        <f si="54" t="shared"/>
        <v>1.2277819362382569E-2</v>
      </c>
      <c r="D92" s="15">
        <f si="54" t="shared"/>
        <v>1.3580762769015726E-2</v>
      </c>
      <c r="E92" s="15">
        <f si="54" t="shared"/>
        <v>2.8288529786112151E-2</v>
      </c>
      <c r="F92" s="15">
        <f si="54" t="shared"/>
        <v>3.6452280048510484E-2</v>
      </c>
      <c r="G92" s="15">
        <f si="54" t="shared"/>
        <v>1.8013822577435827E-2</v>
      </c>
      <c r="H92" s="15">
        <f si="54" t="shared"/>
        <v>3.0436895172753917E-2</v>
      </c>
      <c r="I92" s="15">
        <f si="54" t="shared"/>
        <v>2.5381386138232993E-2</v>
      </c>
      <c r="K92" s="9">
        <v>0.625</v>
      </c>
      <c r="L92" s="14">
        <f ref="L92:S92" si="55" t="shared">L35/L$61</f>
        <v>6.1012553109757242E-3</v>
      </c>
      <c r="M92" s="14">
        <f si="55" t="shared"/>
        <v>1.0991321361135124E-2</v>
      </c>
      <c r="N92" s="14">
        <f si="55" t="shared"/>
        <v>5.5650367241220468E-3</v>
      </c>
      <c r="O92" s="14">
        <f si="55" t="shared"/>
        <v>1.8766506735828768E-2</v>
      </c>
      <c r="P92" s="14">
        <f si="55" t="shared"/>
        <v>1.8535503747868401E-2</v>
      </c>
      <c r="Q92" s="14">
        <f si="55" t="shared"/>
        <v>1.3710077589268035E-2</v>
      </c>
      <c r="R92" s="14">
        <f si="55" t="shared"/>
        <v>2.2310739325607759E-2</v>
      </c>
      <c r="S92" s="15">
        <f si="55" t="shared"/>
        <v>1.4428924646209509E-2</v>
      </c>
    </row>
    <row r="93" spans="1:19" x14ac:dyDescent="0.25">
      <c r="A93" s="9">
        <v>0.64583333333333337</v>
      </c>
      <c r="B93" s="15">
        <f ref="B93:I93" si="56" t="shared">B36/B$61</f>
        <v>1.2451459998519626E-2</v>
      </c>
      <c r="C93" s="15">
        <f si="56" t="shared"/>
        <v>8.6511698327311742E-3</v>
      </c>
      <c r="D93" s="15">
        <f si="56" t="shared"/>
        <v>1.3357747734047199E-2</v>
      </c>
      <c r="E93" s="15">
        <f si="56" t="shared"/>
        <v>2.6175560282286126E-2</v>
      </c>
      <c r="F93" s="15">
        <f si="56" t="shared"/>
        <v>3.5923240929425837E-2</v>
      </c>
      <c r="G93" s="15">
        <f si="56" t="shared"/>
        <v>1.8354191384052143E-2</v>
      </c>
      <c r="H93" s="15">
        <f si="56" t="shared"/>
        <v>3.1304498136741042E-2</v>
      </c>
      <c r="I93" s="15">
        <f si="56" t="shared"/>
        <v>2.4478775642789035E-2</v>
      </c>
      <c r="K93" s="9">
        <v>0.64583333333333337</v>
      </c>
      <c r="L93" s="14">
        <f ref="L93:S93" si="57" t="shared">L36/L$61</f>
        <v>5.0932933321466744E-3</v>
      </c>
      <c r="M93" s="14">
        <f si="57" t="shared"/>
        <v>9.3971135044326227E-3</v>
      </c>
      <c r="N93" s="14">
        <f si="57" t="shared"/>
        <v>4.7944695269464925E-3</v>
      </c>
      <c r="O93" s="14">
        <f si="57" t="shared"/>
        <v>1.5216504338206788E-2</v>
      </c>
      <c r="P93" s="14">
        <f si="57" t="shared"/>
        <v>1.5771242708245373E-2</v>
      </c>
      <c r="Q93" s="14">
        <f si="57" t="shared"/>
        <v>1.1574933282289892E-2</v>
      </c>
      <c r="R93" s="14">
        <f si="57" t="shared"/>
        <v>1.8246236460310313E-2</v>
      </c>
      <c r="S93" s="15">
        <f si="57" t="shared"/>
        <v>1.1915211369393556E-2</v>
      </c>
    </row>
    <row r="94" spans="1:19" x14ac:dyDescent="0.25">
      <c r="A94" s="9">
        <v>0.66666666666666663</v>
      </c>
      <c r="B94" s="15">
        <f ref="B94:I94" si="58" t="shared">B37/B$61</f>
        <v>9.2108047950471821E-3</v>
      </c>
      <c r="C94" s="15">
        <f si="58" t="shared"/>
        <v>5.8228880927795844E-3</v>
      </c>
      <c r="D94" s="15">
        <f si="58" t="shared"/>
        <v>1.2519168703813342E-2</v>
      </c>
      <c r="E94" s="15">
        <f si="58" t="shared"/>
        <v>2.4009920164549954E-2</v>
      </c>
      <c r="F94" s="15">
        <f si="58" t="shared"/>
        <v>3.5066433178870642E-2</v>
      </c>
      <c r="G94" s="15">
        <f si="58" t="shared"/>
        <v>2.0256152136998308E-2</v>
      </c>
      <c r="H94" s="15">
        <f si="58" t="shared"/>
        <v>3.1629317929593885E-2</v>
      </c>
      <c r="I94" s="15">
        <f si="58" t="shared"/>
        <v>2.3448988950933166E-2</v>
      </c>
      <c r="K94" s="9">
        <v>0.66666666666666663</v>
      </c>
      <c r="L94" s="14">
        <f ref="L94:S94" si="59" t="shared">L37/L$61</f>
        <v>4.2456520602599272E-3</v>
      </c>
      <c r="M94" s="14">
        <f si="59" t="shared"/>
        <v>7.9846343793779518E-3</v>
      </c>
      <c r="N94" s="14">
        <f si="59" t="shared"/>
        <v>4.1441571179885736E-3</v>
      </c>
      <c r="O94" s="14">
        <f si="59" t="shared"/>
        <v>1.2041795956380523E-2</v>
      </c>
      <c r="P94" s="14">
        <f si="59" t="shared"/>
        <v>1.3224837833134835E-2</v>
      </c>
      <c r="Q94" s="14">
        <f si="59" t="shared"/>
        <v>9.8220072768678331E-3</v>
      </c>
      <c r="R94" s="14">
        <f si="59" t="shared"/>
        <v>1.4460037059980479E-2</v>
      </c>
      <c r="S94" s="15">
        <f si="59" t="shared"/>
        <v>9.6548300952660846E-3</v>
      </c>
    </row>
    <row r="95" spans="1:19" x14ac:dyDescent="0.25">
      <c r="A95" s="9">
        <v>0.6875</v>
      </c>
      <c r="B95" s="15">
        <f ref="B95:I95" si="60" t="shared">B38/B$61</f>
        <v>6.1153057046743993E-3</v>
      </c>
      <c r="C95" s="15">
        <f si="60" t="shared"/>
        <v>3.822464836422769E-3</v>
      </c>
      <c r="D95" s="15">
        <f si="60" t="shared"/>
        <v>1.1159762936376088E-2</v>
      </c>
      <c r="E95" s="15">
        <f si="60" t="shared"/>
        <v>2.1583233348667054E-2</v>
      </c>
      <c r="F95" s="15">
        <f si="60" t="shared"/>
        <v>3.3326248321724934E-2</v>
      </c>
      <c r="G95" s="15">
        <f si="60" t="shared"/>
        <v>2.2906846049889743E-2</v>
      </c>
      <c r="H95" s="15">
        <f si="60" t="shared"/>
        <v>3.0610127745639697E-2</v>
      </c>
      <c r="I95" s="15">
        <f si="60" t="shared"/>
        <v>2.2001515617831827E-2</v>
      </c>
      <c r="K95" s="9">
        <v>0.6875</v>
      </c>
      <c r="L95" s="14">
        <f ref="L95:S95" si="61" t="shared">L38/L$61</f>
        <v>3.4820874999334601E-3</v>
      </c>
      <c r="M95" s="14">
        <f si="61" t="shared"/>
        <v>6.6430066055277164E-3</v>
      </c>
      <c r="N95" s="14">
        <f si="61" t="shared"/>
        <v>3.5789301736445433E-3</v>
      </c>
      <c r="O95" s="14">
        <f si="61" t="shared"/>
        <v>9.2299431623787623E-3</v>
      </c>
      <c r="P95" s="14">
        <f si="61" t="shared"/>
        <v>1.083974777730743E-2</v>
      </c>
      <c r="Q95" s="14">
        <f si="61" t="shared"/>
        <v>8.3241001619320659E-3</v>
      </c>
      <c r="R95" s="14">
        <f si="61" t="shared"/>
        <v>1.1020413052682747E-2</v>
      </c>
      <c r="S95" s="15">
        <f si="61" t="shared"/>
        <v>7.6252567319428826E-3</v>
      </c>
    </row>
    <row r="96" spans="1:19" x14ac:dyDescent="0.25">
      <c r="A96" s="9">
        <v>0.70833333333333337</v>
      </c>
      <c r="B96" s="15">
        <f ref="B96:I96" si="62" t="shared">B39/B$61</f>
        <v>3.7171648367745405E-3</v>
      </c>
      <c r="C96" s="15">
        <f si="62" t="shared"/>
        <v>2.4938523859865322E-3</v>
      </c>
      <c r="D96" s="15">
        <f si="62" t="shared"/>
        <v>9.4400826065041896E-3</v>
      </c>
      <c r="E96" s="15">
        <f si="62" t="shared"/>
        <v>1.8949473606352813E-2</v>
      </c>
      <c r="F96" s="15">
        <f si="62" t="shared"/>
        <v>3.0428935226366517E-2</v>
      </c>
      <c r="G96" s="15">
        <f si="62" t="shared"/>
        <v>2.5408530559903785E-2</v>
      </c>
      <c r="H96" s="15">
        <f si="62" t="shared"/>
        <v>2.8524269185027762E-2</v>
      </c>
      <c r="I96" s="15">
        <f si="62" t="shared"/>
        <v>2.0109618123263274E-2</v>
      </c>
      <c r="K96" s="9">
        <v>0.70833333333333337</v>
      </c>
      <c r="L96" s="14">
        <f ref="L96:S96" si="63" t="shared">L39/L$61</f>
        <v>2.7653431547341937E-3</v>
      </c>
      <c r="M96" s="14">
        <f si="63" t="shared"/>
        <v>5.3233479626379485E-3</v>
      </c>
      <c r="N96" s="14">
        <f si="63" t="shared"/>
        <v>3.0892456574918054E-3</v>
      </c>
      <c r="O96" s="14">
        <f si="63" t="shared"/>
        <v>6.8009707174107288E-3</v>
      </c>
      <c r="P96" s="14">
        <f si="63" t="shared"/>
        <v>8.6218577386831894E-3</v>
      </c>
      <c r="Q96" s="14">
        <f si="63" t="shared"/>
        <v>6.9920886160798786E-3</v>
      </c>
      <c r="R96" s="14">
        <f si="63" t="shared"/>
        <v>8.0141384293906208E-3</v>
      </c>
      <c r="S96" s="15">
        <f si="63" t="shared"/>
        <v>5.8369430843786905E-3</v>
      </c>
    </row>
    <row r="97" spans="1:19" x14ac:dyDescent="0.25">
      <c r="A97" s="9">
        <v>0.72916666666666663</v>
      </c>
      <c r="B97" s="15">
        <f ref="B97:I97" si="64" t="shared">B40/B$61</f>
        <v>2.1936430862642049E-3</v>
      </c>
      <c r="C97" s="15">
        <f si="64" t="shared"/>
        <v>1.6358117015360361E-3</v>
      </c>
      <c r="D97" s="15">
        <f si="64" t="shared"/>
        <v>7.6029653552385319E-3</v>
      </c>
      <c r="E97" s="15">
        <f si="64" t="shared"/>
        <v>1.6322323508420625E-2</v>
      </c>
      <c r="F97" s="15">
        <f si="64" t="shared"/>
        <v>2.6572700396460296E-2</v>
      </c>
      <c r="G97" s="15">
        <f si="64" t="shared"/>
        <v>2.6869166252108629E-2</v>
      </c>
      <c r="H97" s="15">
        <f si="64" t="shared"/>
        <v>2.6144104773402923E-2</v>
      </c>
      <c r="I97" s="15">
        <f si="64" t="shared"/>
        <v>1.7935882776431603E-2</v>
      </c>
      <c r="K97" s="9">
        <v>0.72916666666666663</v>
      </c>
      <c r="L97" s="14">
        <f ref="L97:S97" si="65" t="shared">L40/L$61</f>
        <v>2.1058617602107005E-3</v>
      </c>
      <c r="M97" s="14">
        <f si="65" t="shared"/>
        <v>4.0662874467646938E-3</v>
      </c>
      <c r="N97" s="14">
        <f si="65" t="shared"/>
        <v>2.6809302209155994E-3</v>
      </c>
      <c r="O97" s="14">
        <f si="65" t="shared"/>
        <v>4.8092764063392864E-3</v>
      </c>
      <c r="P97" s="14">
        <f si="65" t="shared"/>
        <v>6.6447124957311008E-3</v>
      </c>
      <c r="Q97" s="14">
        <f si="65" t="shared"/>
        <v>5.8036646078312966E-3</v>
      </c>
      <c r="R97" s="14">
        <f si="65" t="shared"/>
        <v>5.5453556439577448E-3</v>
      </c>
      <c r="S97" s="15">
        <f si="65" t="shared"/>
        <v>4.3352739407957587E-3</v>
      </c>
    </row>
    <row r="98" spans="1:19" x14ac:dyDescent="0.25">
      <c r="A98" s="9">
        <v>0.75</v>
      </c>
      <c r="B98" s="15">
        <f ref="B98:I98" si="66" t="shared">B41/B$61</f>
        <v>1.3696238502761287E-3</v>
      </c>
      <c r="C98" s="15">
        <f si="66" t="shared"/>
        <v>1.0895484278896747E-3</v>
      </c>
      <c r="D98" s="15">
        <f si="66" t="shared"/>
        <v>5.9231469834619297E-3</v>
      </c>
      <c r="E98" s="15">
        <f si="66" t="shared"/>
        <v>1.3877675727083349E-2</v>
      </c>
      <c r="F98" s="15">
        <f si="66" t="shared"/>
        <v>2.2352997870339817E-2</v>
      </c>
      <c r="G98" s="15">
        <f si="66" t="shared"/>
        <v>2.6593730367855395E-2</v>
      </c>
      <c r="H98" s="15">
        <f si="66" t="shared"/>
        <v>2.3812399734382851E-2</v>
      </c>
      <c r="I98" s="15">
        <f si="66" t="shared"/>
        <v>1.5655684283958991E-2</v>
      </c>
      <c r="K98" s="9">
        <v>0.75</v>
      </c>
      <c r="L98" s="14">
        <f ref="L98:S98" si="67" t="shared">L41/L$61</f>
        <v>1.5386461133563814E-3</v>
      </c>
      <c r="M98" s="14">
        <f si="67" t="shared"/>
        <v>2.9594054998520677E-3</v>
      </c>
      <c r="N98" s="14">
        <f si="67" t="shared"/>
        <v>2.3589419418974292E-3</v>
      </c>
      <c r="O98" s="14">
        <f si="67" t="shared"/>
        <v>3.2920275701959702E-3</v>
      </c>
      <c r="P98" s="14">
        <f si="67" t="shared"/>
        <v>4.9893221785949557E-3</v>
      </c>
      <c r="Q98" s="14">
        <f si="67" t="shared"/>
        <v>4.7717079713220515E-3</v>
      </c>
      <c r="R98" s="14">
        <f si="67" t="shared"/>
        <v>3.6753119146932913E-3</v>
      </c>
      <c r="S98" s="15">
        <f si="67" t="shared"/>
        <v>3.1591663353708072E-3</v>
      </c>
    </row>
    <row r="99" spans="1:19" x14ac:dyDescent="0.25">
      <c r="A99" s="9">
        <v>0.77083333333333337</v>
      </c>
      <c r="B99" s="15">
        <f ref="B99:I99" si="68" t="shared">B42/B$61</f>
        <v>9.3609055177833352E-4</v>
      </c>
      <c r="C99" s="15">
        <f si="68" t="shared"/>
        <v>7.4193056462095472E-4</v>
      </c>
      <c r="D99" s="15">
        <f si="68" t="shared"/>
        <v>4.5914591275924886E-3</v>
      </c>
      <c r="E99" s="15">
        <f si="68" t="shared"/>
        <v>1.1634558870285533E-2</v>
      </c>
      <c r="F99" s="15">
        <f si="68" t="shared"/>
        <v>1.8389649298109208E-2</v>
      </c>
      <c r="G99" s="15">
        <f si="68" t="shared"/>
        <v>2.4341340914493886E-2</v>
      </c>
      <c r="H99" s="15">
        <f si="68" t="shared"/>
        <v>2.1207746908400646E-2</v>
      </c>
      <c r="I99" s="15">
        <f si="68" t="shared"/>
        <v>1.3341284304527586E-2</v>
      </c>
      <c r="K99" s="9">
        <v>0.77083333333333337</v>
      </c>
      <c r="L99" s="14">
        <f ref="L99:S99" si="69" t="shared">L42/L$61</f>
        <v>1.0916577232667048E-3</v>
      </c>
      <c r="M99" s="14">
        <f si="69" t="shared"/>
        <v>2.0727298910351816E-3</v>
      </c>
      <c r="N99" s="14">
        <f si="69" t="shared"/>
        <v>2.1155142840411567E-3</v>
      </c>
      <c r="O99" s="14">
        <f si="69" t="shared"/>
        <v>2.2255873604632402E-3</v>
      </c>
      <c r="P99" s="14">
        <f si="69" t="shared"/>
        <v>3.6853717063168884E-3</v>
      </c>
      <c r="Q99" s="14">
        <f si="69" t="shared"/>
        <v>3.9019104817904432E-3</v>
      </c>
      <c r="R99" s="14">
        <f si="69" t="shared"/>
        <v>2.3761457882071264E-3</v>
      </c>
      <c r="S99" s="15">
        <f si="69" t="shared"/>
        <v>2.3034080054693397E-3</v>
      </c>
    </row>
    <row r="100" spans="1:19" x14ac:dyDescent="0.25">
      <c r="A100" s="9">
        <v>0.79166666666666663</v>
      </c>
      <c r="B100" s="15">
        <f ref="B100:I100" si="70" t="shared">B43/B$61</f>
        <v>6.5451961693158199E-4</v>
      </c>
      <c r="C100" s="15">
        <f si="70" t="shared"/>
        <v>5.0960779654060098E-4</v>
      </c>
      <c r="D100" s="15">
        <f si="70" t="shared"/>
        <v>3.6312837927153785E-3</v>
      </c>
      <c r="E100" s="15">
        <f si="70" t="shared"/>
        <v>9.4955418213573221E-3</v>
      </c>
      <c r="F100" s="15">
        <f si="70" t="shared"/>
        <v>1.4946470739417399E-2</v>
      </c>
      <c r="G100" s="15">
        <f si="70" t="shared"/>
        <v>2.046503223464961E-2</v>
      </c>
      <c r="H100" s="15">
        <f si="70" t="shared"/>
        <v>1.7904800923032777E-2</v>
      </c>
      <c r="I100" s="15">
        <f si="70" t="shared"/>
        <v>1.098396573652128E-2</v>
      </c>
      <c r="K100" s="9">
        <v>0.79166666666666663</v>
      </c>
      <c r="L100" s="14">
        <f ref="L100:S100" si="71" t="shared">L43/L$61</f>
        <v>7.6894556606733747E-4</v>
      </c>
      <c r="M100" s="14">
        <f si="71" t="shared"/>
        <v>1.4243962854746147E-3</v>
      </c>
      <c r="N100" s="14">
        <f si="71" t="shared"/>
        <v>1.9270378657290227E-3</v>
      </c>
      <c r="O100" s="14">
        <f si="71" t="shared"/>
        <v>1.5279980172597698E-3</v>
      </c>
      <c r="P100" s="14">
        <f si="71" t="shared"/>
        <v>2.7009182922341723E-3</v>
      </c>
      <c r="Q100" s="14">
        <f si="71" t="shared"/>
        <v>3.1766563129752966E-3</v>
      </c>
      <c r="R100" s="14">
        <f si="71" t="shared"/>
        <v>1.5418308625676452E-3</v>
      </c>
      <c r="S100" s="15">
        <f si="71" t="shared"/>
        <v>1.7157352266099692E-3</v>
      </c>
    </row>
    <row r="101" spans="1:19" x14ac:dyDescent="0.25">
      <c r="A101" s="9">
        <v>0.8125</v>
      </c>
      <c r="B101" s="15">
        <f ref="B101:I101" si="72" t="shared">B44/B$61</f>
        <v>4.2476718561816162E-4</v>
      </c>
      <c r="C101" s="15">
        <f si="72" t="shared"/>
        <v>3.3896142523352486E-4</v>
      </c>
      <c r="D101" s="15">
        <f si="72" t="shared"/>
        <v>2.9220654016813598E-3</v>
      </c>
      <c r="E101" s="15">
        <f si="72" t="shared"/>
        <v>7.3892379106078954E-3</v>
      </c>
      <c r="F101" s="15">
        <f si="72" t="shared"/>
        <v>1.1899864490219089E-2</v>
      </c>
      <c r="G101" s="15">
        <f si="72" t="shared"/>
        <v>1.5778151028938026E-2</v>
      </c>
      <c r="H101" s="15">
        <f si="72" t="shared"/>
        <v>1.3963160527308584E-2</v>
      </c>
      <c r="I101" s="15">
        <f si="72" t="shared"/>
        <v>8.6000830516966952E-3</v>
      </c>
      <c r="K101" s="9">
        <v>0.8125</v>
      </c>
      <c r="L101" s="14">
        <f ref="L101:S101" si="73" t="shared">L44/L$61</f>
        <v>5.5244475551659235E-4</v>
      </c>
      <c r="M101" s="14">
        <f si="73" t="shared"/>
        <v>9.8598540670759923E-4</v>
      </c>
      <c r="N101" s="14">
        <f si="73" t="shared"/>
        <v>1.7584910350799874E-3</v>
      </c>
      <c r="O101" s="14">
        <f si="73" t="shared"/>
        <v>1.0927288597018857E-3</v>
      </c>
      <c r="P101" s="14">
        <f si="73" t="shared"/>
        <v>1.9703351320898106E-3</v>
      </c>
      <c r="Q101" s="14">
        <f si="73" t="shared"/>
        <v>2.5629586014083473E-3</v>
      </c>
      <c r="R101" s="14">
        <f si="73" t="shared"/>
        <v>1.035862751470577E-3</v>
      </c>
      <c r="S101" s="15">
        <f si="73" t="shared"/>
        <v>1.320055781742191E-3</v>
      </c>
    </row>
    <row r="102" spans="1:19" x14ac:dyDescent="0.25">
      <c r="A102" s="9">
        <v>0.83333333333333337</v>
      </c>
      <c r="B102" s="15">
        <f ref="B102:I102" si="74" t="shared">B45/B$61</f>
        <v>2.3949856969482475E-4</v>
      </c>
      <c r="C102" s="15">
        <f si="74" t="shared"/>
        <v>2.0736964504022368E-4</v>
      </c>
      <c r="D102" s="15">
        <f si="74" t="shared"/>
        <v>2.3073366651058932E-3</v>
      </c>
      <c r="E102" s="15">
        <f si="74" t="shared"/>
        <v>5.3754098201820337E-3</v>
      </c>
      <c r="F102" s="15">
        <f si="74" t="shared"/>
        <v>9.0581482331257325E-3</v>
      </c>
      <c r="G102" s="15">
        <f si="74" t="shared"/>
        <v>1.1190573612030448E-2</v>
      </c>
      <c r="H102" s="15">
        <f si="74" t="shared"/>
        <v>9.9421813605090319E-3</v>
      </c>
      <c r="I102" s="15">
        <f si="74" t="shared"/>
        <v>6.3063766591456858E-3</v>
      </c>
      <c r="K102" s="9">
        <v>0.83333333333333337</v>
      </c>
      <c r="L102" s="14">
        <f ref="L102:S102" si="75" t="shared">L45/L$61</f>
        <v>4.1321965716269106E-4</v>
      </c>
      <c r="M102" s="14">
        <f si="75" t="shared"/>
        <v>7.0590692463840205E-4</v>
      </c>
      <c r="N102" s="14">
        <f si="75" t="shared"/>
        <v>1.5745915965066778E-3</v>
      </c>
      <c r="O102" s="14">
        <f si="75" t="shared"/>
        <v>8.2113834764490788E-4</v>
      </c>
      <c r="P102" s="14">
        <f si="75" t="shared"/>
        <v>1.4264923563529089E-3</v>
      </c>
      <c r="Q102" s="14">
        <f si="75" t="shared"/>
        <v>2.0277697757755024E-3</v>
      </c>
      <c r="R102" s="14">
        <f si="75" t="shared"/>
        <v>7.3436796285563115E-4</v>
      </c>
      <c r="S102" s="15">
        <f si="75" t="shared"/>
        <v>1.0425668618885956E-3</v>
      </c>
    </row>
    <row r="103" spans="1:19" x14ac:dyDescent="0.25">
      <c r="A103" s="9">
        <v>0.85416666666666663</v>
      </c>
      <c r="B103" s="15">
        <f ref="B103:I103" si="76" t="shared">B46/B$61</f>
        <v>1.1294325965491303E-4</v>
      </c>
      <c r="C103" s="15">
        <f si="76" t="shared"/>
        <v>1.1156322164307583E-4</v>
      </c>
      <c r="D103" s="15">
        <f si="76" t="shared"/>
        <v>1.7030200197015761E-3</v>
      </c>
      <c r="E103" s="15">
        <f si="76" t="shared"/>
        <v>3.6177182553859808E-3</v>
      </c>
      <c r="F103" s="15">
        <f si="76" t="shared"/>
        <v>6.4534925500293709E-3</v>
      </c>
      <c r="G103" s="15">
        <f si="76" t="shared"/>
        <v>7.3494267701062106E-3</v>
      </c>
      <c r="H103" s="15">
        <f si="76" t="shared"/>
        <v>6.4798788884461063E-3</v>
      </c>
      <c r="I103" s="15">
        <f si="76" t="shared"/>
        <v>4.2934574798322188E-3</v>
      </c>
      <c r="K103" s="9">
        <v>0.85416666666666663</v>
      </c>
      <c r="L103" s="14">
        <f ref="L103:S103" si="77" t="shared">L46/L$61</f>
        <v>3.2275918021226589E-4</v>
      </c>
      <c r="M103" s="14">
        <f si="77" t="shared"/>
        <v>5.3049260235860367E-4</v>
      </c>
      <c r="N103" s="14">
        <f si="77" t="shared"/>
        <v>1.3546457159278956E-3</v>
      </c>
      <c r="O103" s="14">
        <f si="77" t="shared"/>
        <v>6.3902571591858254E-4</v>
      </c>
      <c r="P103" s="14">
        <f si="77" t="shared"/>
        <v>1.0179794393022276E-3</v>
      </c>
      <c r="Q103" s="14">
        <f si="77" t="shared"/>
        <v>1.5509097906950986E-3</v>
      </c>
      <c r="R103" s="14">
        <f si="77" t="shared"/>
        <v>5.4615549435226842E-4</v>
      </c>
      <c r="S103" s="15">
        <f si="77" t="shared"/>
        <v>8.2822139916114855E-4</v>
      </c>
    </row>
    <row r="104" spans="1:19" x14ac:dyDescent="0.25">
      <c r="A104" s="9">
        <v>0.875</v>
      </c>
      <c r="B104" s="15">
        <f ref="B104:I104" si="78" t="shared">B47/B$61</f>
        <v>4.3330612979178145E-5</v>
      </c>
      <c r="C104" s="15">
        <f si="78" t="shared"/>
        <v>5.0960741301622666E-5</v>
      </c>
      <c r="D104" s="15">
        <f si="78" t="shared"/>
        <v>1.1328667607643885E-3</v>
      </c>
      <c r="E104" s="15">
        <f si="78" t="shared"/>
        <v>2.2632137871123987E-3</v>
      </c>
      <c r="F104" s="15">
        <f si="78" t="shared"/>
        <v>4.3042106960336267E-3</v>
      </c>
      <c r="G104" s="15">
        <f si="78" t="shared"/>
        <v>4.5012274896696972E-3</v>
      </c>
      <c r="H104" s="15">
        <f si="78" t="shared"/>
        <v>3.9245259840346167E-3</v>
      </c>
      <c r="I104" s="15">
        <f si="78" t="shared"/>
        <v>2.7238087210360953E-3</v>
      </c>
      <c r="K104" s="9">
        <v>0.875</v>
      </c>
      <c r="L104" s="14">
        <f ref="L104:S104" si="79" t="shared">L47/L$61</f>
        <v>2.5962079324019641E-4</v>
      </c>
      <c r="M104" s="14">
        <f si="79" t="shared"/>
        <v>4.1602479319950638E-4</v>
      </c>
      <c r="N104" s="14">
        <f si="79" t="shared"/>
        <v>1.1020166843286963E-3</v>
      </c>
      <c r="O104" s="14">
        <f si="79" t="shared"/>
        <v>5.0019571265870022E-4</v>
      </c>
      <c r="P104" s="14">
        <f si="79" t="shared"/>
        <v>7.1118477050200162E-4</v>
      </c>
      <c r="Q104" s="14">
        <f si="79" t="shared"/>
        <v>1.1305537296926748E-3</v>
      </c>
      <c r="R104" s="14">
        <f si="79" t="shared"/>
        <v>4.1465877190404311E-4</v>
      </c>
      <c r="S104" s="15">
        <f si="79" t="shared"/>
        <v>6.4612911136689743E-4</v>
      </c>
    </row>
    <row r="105" spans="1:19" x14ac:dyDescent="0.25">
      <c r="A105" s="9">
        <v>0.89583333333333337</v>
      </c>
      <c r="B105" s="15">
        <f ref="B105:I105" si="80" t="shared">B48/B$61</f>
        <v>1.3131649180585502E-5</v>
      </c>
      <c r="C105" s="15">
        <f si="80" t="shared"/>
        <v>1.9173169714834855E-5</v>
      </c>
      <c r="D105" s="15">
        <f si="80" t="shared"/>
        <v>6.7879042828407408E-4</v>
      </c>
      <c r="E105" s="15">
        <f si="80" t="shared"/>
        <v>1.349277079596592E-3</v>
      </c>
      <c r="F105" s="15">
        <f si="80" t="shared"/>
        <v>2.7617665122459216E-3</v>
      </c>
      <c r="G105" s="15">
        <f si="80" t="shared"/>
        <v>2.5842806141358589E-3</v>
      </c>
      <c r="H105" s="15">
        <f si="80" t="shared"/>
        <v>2.2687266517970447E-3</v>
      </c>
      <c r="I105" s="15">
        <f si="80" t="shared"/>
        <v>1.6446568605686062E-3</v>
      </c>
      <c r="K105" s="9">
        <v>0.89583333333333337</v>
      </c>
      <c r="L105" s="14">
        <f ref="L105:S105" si="81" t="shared">L48/L$61</f>
        <v>2.1064245271238731E-4</v>
      </c>
      <c r="M105" s="14">
        <f si="81" t="shared"/>
        <v>3.3271320725347637E-4</v>
      </c>
      <c r="N105" s="14">
        <f si="81" t="shared"/>
        <v>8.4011580117218871E-4</v>
      </c>
      <c r="O105" s="14">
        <f si="81" t="shared"/>
        <v>3.8251328559020141E-4</v>
      </c>
      <c r="P105" s="14">
        <f si="81" t="shared"/>
        <v>4.8427969104193104E-4</v>
      </c>
      <c r="Q105" s="14">
        <f si="81" t="shared"/>
        <v>7.7774976932123291E-4</v>
      </c>
      <c r="R105" s="14">
        <f si="81" t="shared"/>
        <v>3.1117426228317928E-4</v>
      </c>
      <c r="S105" s="15">
        <f si="81" t="shared"/>
        <v>4.8574919283682453E-4</v>
      </c>
    </row>
    <row r="106" spans="1:19" x14ac:dyDescent="0.25">
      <c r="A106" s="9">
        <v>0.91666666666666663</v>
      </c>
      <c r="B106" s="15">
        <f ref="B106:I106" si="82" t="shared">B49/B$61</f>
        <v>3.0200240008706632E-6</v>
      </c>
      <c r="C106" s="15">
        <f si="82" t="shared"/>
        <v>5.7514509920860018E-6</v>
      </c>
      <c r="D106" s="15">
        <f si="82" t="shared"/>
        <v>3.9877768209136484E-4</v>
      </c>
      <c r="E106" s="15">
        <f si="82" t="shared"/>
        <v>8.0570703801280917E-4</v>
      </c>
      <c r="F106" s="15">
        <f si="82" t="shared"/>
        <v>1.7659455263872202E-3</v>
      </c>
      <c r="G106" s="15">
        <f si="82" t="shared"/>
        <v>1.3977978723409652E-3</v>
      </c>
      <c r="H106" s="15">
        <f si="82" t="shared"/>
        <v>1.2951862851133874E-3</v>
      </c>
      <c r="I106" s="15">
        <f si="82" t="shared"/>
        <v>9.8211540466380419E-4</v>
      </c>
      <c r="K106" s="9">
        <v>0.91666666666666663</v>
      </c>
      <c r="L106" s="14">
        <f ref="L106:S106" si="83" t="shared">L49/L$61</f>
        <v>1.6878873124373165E-4</v>
      </c>
      <c r="M106" s="14">
        <f si="83" t="shared"/>
        <v>2.6356805363277627E-4</v>
      </c>
      <c r="N106" s="14">
        <f si="83" t="shared"/>
        <v>5.9784935436941772E-4</v>
      </c>
      <c r="O106" s="14">
        <f si="83" t="shared"/>
        <v>2.797508700540653E-4</v>
      </c>
      <c r="P106" s="14">
        <f si="83" t="shared"/>
        <v>3.2042513260867626E-4</v>
      </c>
      <c r="Q106" s="14">
        <f si="83" t="shared"/>
        <v>5.0331112442629055E-4</v>
      </c>
      <c r="R106" s="14">
        <f si="83" t="shared"/>
        <v>2.2499057322447854E-4</v>
      </c>
      <c r="S106" s="15">
        <f si="83" t="shared"/>
        <v>3.4770156975029724E-4</v>
      </c>
    </row>
    <row r="107" spans="1:19" x14ac:dyDescent="0.25">
      <c r="A107" s="9">
        <v>0.9375</v>
      </c>
      <c r="B107" s="15">
        <f ref="B107:I107" si="84" t="shared">B50/B$61</f>
        <v>4.9479243909540757E-7</v>
      </c>
      <c r="C107" s="15">
        <f si="84" t="shared"/>
        <v>1.3184624377773848E-6</v>
      </c>
      <c r="D107" s="15">
        <f si="84" t="shared"/>
        <v>2.807832865093437E-4</v>
      </c>
      <c r="E107" s="15">
        <f si="84" t="shared"/>
        <v>5.1592161582747899E-4</v>
      </c>
      <c r="F107" s="15">
        <f si="84" t="shared"/>
        <v>1.1279388642476784E-3</v>
      </c>
      <c r="G107" s="15">
        <f si="84" t="shared"/>
        <v>7.2050404924877385E-4</v>
      </c>
      <c r="H107" s="15">
        <f si="84" t="shared"/>
        <v>7.4887064680714875E-4</v>
      </c>
      <c r="I107" s="15">
        <f si="84" t="shared"/>
        <v>6.0386158194433541E-4</v>
      </c>
      <c r="K107" s="9">
        <v>0.9375</v>
      </c>
      <c r="L107" s="14">
        <f ref="L107:S107" si="85" t="shared">L50/L$61</f>
        <v>1.3072314990520212E-4</v>
      </c>
      <c r="M107" s="14">
        <f si="85" t="shared"/>
        <v>2.012221536850469E-4</v>
      </c>
      <c r="N107" s="14">
        <f si="85" t="shared"/>
        <v>3.9605056620467804E-4</v>
      </c>
      <c r="O107" s="14">
        <f si="85" t="shared"/>
        <v>1.9281281660362548E-4</v>
      </c>
      <c r="P107" s="14">
        <f si="85" t="shared"/>
        <v>2.0471015893927191E-4</v>
      </c>
      <c r="Q107" s="14">
        <f si="85" t="shared"/>
        <v>3.071914176978023E-4</v>
      </c>
      <c r="R107" s="14">
        <f si="85" t="shared"/>
        <v>1.5402030842047142E-4</v>
      </c>
      <c r="S107" s="15">
        <f si="85" t="shared"/>
        <v>2.3498293715838836E-4</v>
      </c>
    </row>
    <row r="108" spans="1:19" x14ac:dyDescent="0.25">
      <c r="A108" s="9">
        <v>0.95833333333333337</v>
      </c>
      <c r="B108" s="15">
        <f ref="B108:I108" si="86" t="shared">B51/B$61</f>
        <v>5.1414251689984916E-8</v>
      </c>
      <c r="C108" s="15">
        <f si="86" t="shared"/>
        <v>2.1648619428137284E-7</v>
      </c>
      <c r="D108" s="15">
        <f si="86" t="shared"/>
        <v>2.5729866879051276E-4</v>
      </c>
      <c r="E108" s="15">
        <f si="86" t="shared"/>
        <v>3.7011513941907434E-4</v>
      </c>
      <c r="F108" s="15">
        <f si="86" t="shared"/>
        <v>6.876515965578159E-4</v>
      </c>
      <c r="G108" s="15">
        <f si="86" t="shared"/>
        <v>3.624097206819063E-4</v>
      </c>
      <c r="H108" s="15">
        <f si="86" t="shared"/>
        <v>4.3643433716437132E-4</v>
      </c>
      <c r="I108" s="15">
        <f si="86" t="shared"/>
        <v>3.8808626211423689E-4</v>
      </c>
      <c r="K108" s="9">
        <v>0.95833333333333337</v>
      </c>
      <c r="L108" s="14">
        <f ref="L108:S108" si="87" t="shared">L51/L$61</f>
        <v>9.5624193196881552E-5</v>
      </c>
      <c r="M108" s="14">
        <f si="87" t="shared"/>
        <v>1.4461833781053999E-4</v>
      </c>
      <c r="N108" s="14">
        <f si="87" t="shared"/>
        <v>2.4283668492832241E-4</v>
      </c>
      <c r="O108" s="14">
        <f si="87" t="shared"/>
        <v>1.2368446809752682E-4</v>
      </c>
      <c r="P108" s="14">
        <f si="87" t="shared"/>
        <v>1.2460404716499281E-4</v>
      </c>
      <c r="Q108" s="14">
        <f si="87" t="shared"/>
        <v>1.774892149098535E-4</v>
      </c>
      <c r="R108" s="14">
        <f si="87" t="shared"/>
        <v>9.8479441244985147E-5</v>
      </c>
      <c r="S108" s="15">
        <f si="87" t="shared"/>
        <v>1.4853325251281473E-4</v>
      </c>
    </row>
    <row r="109" spans="1:19" x14ac:dyDescent="0.25">
      <c r="A109" s="9">
        <v>0.97916666666666663</v>
      </c>
      <c r="B109" s="15">
        <f ref="B109:I109" si="88" t="shared">B52/B$61</f>
        <v>2.5454959039377696E-9</v>
      </c>
      <c r="C109" s="15">
        <f si="88" t="shared"/>
        <v>2.2641063517669722E-8</v>
      </c>
      <c r="D109" s="15">
        <f si="88" t="shared"/>
        <v>2.5302501563148638E-4</v>
      </c>
      <c r="E109" s="15">
        <f si="88" t="shared"/>
        <v>2.8723044760063768E-4</v>
      </c>
      <c r="F109" s="15">
        <f si="88" t="shared"/>
        <v>3.7588074631214412E-4</v>
      </c>
      <c r="G109" s="15">
        <f si="88" t="shared"/>
        <v>1.8296061311948782E-4</v>
      </c>
      <c r="H109" s="15">
        <f si="88" t="shared"/>
        <v>2.4719121405709108E-4</v>
      </c>
      <c r="I109" s="15">
        <f si="88" t="shared"/>
        <v>2.5514592252883243E-4</v>
      </c>
      <c r="K109" s="9">
        <v>0.97916666666666663</v>
      </c>
      <c r="L109" s="14">
        <f ref="L109:S109" si="89" t="shared">L52/L$61</f>
        <v>6.4558429400956389E-5</v>
      </c>
      <c r="M109" s="14">
        <f si="89" t="shared"/>
        <v>9.5928606645382143E-5</v>
      </c>
      <c r="N109" s="14">
        <f si="89" t="shared"/>
        <v>1.3631845987934849E-4</v>
      </c>
      <c r="O109" s="14">
        <f si="89" t="shared"/>
        <v>7.2849586012254381E-5</v>
      </c>
      <c r="P109" s="14">
        <f si="89" t="shared"/>
        <v>7.0823374245576894E-5</v>
      </c>
      <c r="Q109" s="14">
        <f si="89" t="shared"/>
        <v>9.6874679426075467E-5</v>
      </c>
      <c r="R109" s="14">
        <f si="89" t="shared"/>
        <v>5.8015918152684062E-5</v>
      </c>
      <c r="S109" s="15">
        <f si="89" t="shared"/>
        <v>8.6694018933003379E-5</v>
      </c>
    </row>
    <row r="110" spans="1:19" x14ac:dyDescent="0.25">
      <c r="A110" s="9">
        <v>1</v>
      </c>
      <c r="B110" s="15">
        <f ref="B110:I110" si="90" t="shared">B53/B$61</f>
        <v>0</v>
      </c>
      <c r="C110" s="15">
        <f si="90" t="shared"/>
        <v>1.132053175883486E-9</v>
      </c>
      <c r="D110" s="15">
        <f si="90" t="shared"/>
        <v>2.2411021960120245E-4</v>
      </c>
      <c r="E110" s="15">
        <f si="90" t="shared"/>
        <v>2.1990786224376253E-4</v>
      </c>
      <c r="F110" s="15">
        <f si="90" t="shared"/>
        <v>1.7491806840279117E-4</v>
      </c>
      <c r="G110" s="15">
        <f si="90" t="shared"/>
        <v>9.346836621903499E-5</v>
      </c>
      <c r="H110" s="15">
        <f si="90" t="shared"/>
        <v>1.2980507357230321E-4</v>
      </c>
      <c r="I110" s="15">
        <f si="90" t="shared"/>
        <v>1.6436421994974463E-4</v>
      </c>
      <c r="K110" s="9">
        <v>1</v>
      </c>
      <c r="L110" s="14">
        <f ref="L110:S110" si="91" t="shared">L53/L$61</f>
        <v>3.9373448070618061E-5</v>
      </c>
      <c r="M110" s="14">
        <f si="91" t="shared"/>
        <v>5.772803466246524E-5</v>
      </c>
      <c r="N110" s="14">
        <f si="91" t="shared"/>
        <v>6.8996220077371069E-5</v>
      </c>
      <c r="O110" s="14">
        <f si="91" t="shared"/>
        <v>3.8799209784327692E-5</v>
      </c>
      <c r="P110" s="14">
        <f si="91" t="shared"/>
        <v>3.6732140235052039E-5</v>
      </c>
      <c r="Q110" s="14">
        <f si="91" t="shared"/>
        <v>4.9319440240214041E-5</v>
      </c>
      <c r="R110" s="14">
        <f si="91" t="shared"/>
        <v>3.1010473737630433E-5</v>
      </c>
      <c r="S110" s="15">
        <f si="91" t="shared"/>
        <v>4.5981975621592926E-5</v>
      </c>
    </row>
    <row r="111" spans="1:19" x14ac:dyDescent="0.25">
      <c r="A111" s="9">
        <v>1.0208333333333333</v>
      </c>
      <c r="B111" s="15">
        <f ref="B111:I111" si="92" t="shared">B54/B$61</f>
        <v>0</v>
      </c>
      <c r="C111" s="15">
        <f si="92" t="shared"/>
        <v>0</v>
      </c>
      <c r="D111" s="15">
        <f si="92" t="shared"/>
        <v>1.672439852524463E-4</v>
      </c>
      <c r="E111" s="15">
        <f si="92" t="shared"/>
        <v>1.5259012688905674E-4</v>
      </c>
      <c r="F111" s="15">
        <f si="92" t="shared"/>
        <v>6.6664977105442629E-5</v>
      </c>
      <c r="G111" s="15">
        <f si="92" t="shared"/>
        <v>4.6988349593521054E-5</v>
      </c>
      <c r="H111" s="15">
        <f si="92" t="shared"/>
        <v>6.0731742272638501E-5</v>
      </c>
      <c r="I111" s="15">
        <f si="92" t="shared"/>
        <v>9.895958301437419E-5</v>
      </c>
      <c r="K111" s="9">
        <v>1.0208333333333333</v>
      </c>
      <c r="L111" s="14">
        <f ref="L111:S111" si="93" t="shared">L54/L$61</f>
        <v>2.1273462575630213E-5</v>
      </c>
      <c r="M111" s="14">
        <f si="93" t="shared"/>
        <v>3.1007533341268207E-5</v>
      </c>
      <c r="N111" s="14">
        <f si="93" t="shared"/>
        <v>3.0942586213750403E-5</v>
      </c>
      <c r="O111" s="14">
        <f si="93" t="shared"/>
        <v>1.8382683125730812E-5</v>
      </c>
      <c r="P111" s="14">
        <f si="93" t="shared"/>
        <v>1.6994941014197422E-5</v>
      </c>
      <c r="Q111" s="14">
        <f si="93" t="shared"/>
        <v>2.2903771242676596E-5</v>
      </c>
      <c r="R111" s="14">
        <f si="93" t="shared"/>
        <v>1.4784334533143184E-5</v>
      </c>
      <c r="S111" s="15">
        <f si="93" t="shared"/>
        <v>2.1778415310798153E-5</v>
      </c>
    </row>
    <row r="112" spans="1:19" x14ac:dyDescent="0.25">
      <c r="A112" s="9">
        <v>4.1666666666666664E-2</v>
      </c>
      <c r="B112" s="15">
        <f ref="B112:I112" si="94" t="shared">B55/B$61</f>
        <v>0</v>
      </c>
      <c r="C112" s="15">
        <f si="94" t="shared"/>
        <v>0</v>
      </c>
      <c r="D112" s="15">
        <f si="94" t="shared"/>
        <v>1.0284328180463608E-4</v>
      </c>
      <c r="E112" s="15">
        <f si="94" t="shared"/>
        <v>9.0836564425559224E-5</v>
      </c>
      <c r="F112" s="15">
        <f si="94" t="shared"/>
        <v>2.0095092020588997E-5</v>
      </c>
      <c r="G112" s="15">
        <f si="94" t="shared"/>
        <v>2.2089434586442792E-5</v>
      </c>
      <c r="H112" s="15">
        <f si="94" t="shared"/>
        <v>2.4601573200291113E-5</v>
      </c>
      <c r="I112" s="15">
        <f si="94" t="shared"/>
        <v>5.3273259710254709E-5</v>
      </c>
      <c r="K112" s="9">
        <v>4.1666666666666664E-2</v>
      </c>
      <c r="L112" s="14">
        <f ref="L112:S112" si="95" t="shared">L55/L$61</f>
        <v>9.9916187256674749E-6</v>
      </c>
      <c r="M112" s="14">
        <f si="95" t="shared"/>
        <v>1.4609844446863226E-5</v>
      </c>
      <c r="N112" s="14">
        <f si="95" t="shared"/>
        <v>1.2080220404761736E-5</v>
      </c>
      <c r="O112" s="14">
        <f si="95" t="shared"/>
        <v>7.618495286588671E-6</v>
      </c>
      <c r="P112" s="14">
        <f si="95" t="shared"/>
        <v>6.8676622636899188E-6</v>
      </c>
      <c r="Q112" s="14">
        <f si="95" t="shared"/>
        <v>9.4416492636689341E-6</v>
      </c>
      <c r="R112" s="14">
        <f si="95" t="shared"/>
        <v>6.1711836503467965E-6</v>
      </c>
      <c r="S112" s="15">
        <f si="95" t="shared"/>
        <v>9.0470915971892941E-6</v>
      </c>
    </row>
    <row r="113" spans="1:19" x14ac:dyDescent="0.25">
      <c r="A113" s="9">
        <v>6.25E-2</v>
      </c>
      <c r="B113" s="15">
        <f ref="B113:I113" si="96" t="shared">B56/B$61</f>
        <v>0</v>
      </c>
      <c r="C113" s="15">
        <f si="96" t="shared"/>
        <v>0</v>
      </c>
      <c r="D113" s="15">
        <f si="96" t="shared"/>
        <v>5.1418327634797108E-5</v>
      </c>
      <c r="E113" s="15">
        <f si="96" t="shared"/>
        <v>4.4820834391943926E-5</v>
      </c>
      <c r="F113" s="15">
        <f si="96" t="shared"/>
        <v>4.5939986983426474E-6</v>
      </c>
      <c r="G113" s="15">
        <f si="96" t="shared"/>
        <v>9.2112582820779561E-6</v>
      </c>
      <c r="H113" s="15">
        <f si="96" t="shared"/>
        <v>8.4502265049971691E-6</v>
      </c>
      <c r="I113" s="15">
        <f si="96" t="shared"/>
        <v>2.4638626966511752E-5</v>
      </c>
      <c r="K113" s="9">
        <v>6.25E-2</v>
      </c>
      <c r="L113" s="14">
        <f ref="L113:S113" si="97" t="shared">L56/L$61</f>
        <v>3.9972376713151077E-6</v>
      </c>
      <c r="M113" s="14">
        <f si="97" t="shared"/>
        <v>5.9164960135376896E-6</v>
      </c>
      <c r="N113" s="14">
        <f si="97" t="shared"/>
        <v>4.0339454775502692E-6</v>
      </c>
      <c r="O113" s="14">
        <f si="97" t="shared"/>
        <v>2.7124544407236374E-6</v>
      </c>
      <c r="P113" s="14">
        <f si="97" t="shared"/>
        <v>2.3735657360876012E-6</v>
      </c>
      <c r="Q113" s="14">
        <f si="97" t="shared"/>
        <v>3.3579959807607712E-6</v>
      </c>
      <c r="R113" s="14">
        <f si="97" t="shared"/>
        <v>2.209641788681673E-6</v>
      </c>
      <c r="S113" s="15">
        <f si="97" t="shared"/>
        <v>3.2344108602923614E-6</v>
      </c>
    </row>
    <row r="114" spans="1:19" x14ac:dyDescent="0.25">
      <c r="A114" s="9">
        <v>8.3333333333333329E-2</v>
      </c>
      <c r="B114" s="15">
        <f ref="B114:I114" si="98" t="shared">B57/B$61</f>
        <v>0</v>
      </c>
      <c r="C114" s="15">
        <f si="98" t="shared"/>
        <v>0</v>
      </c>
      <c r="D114" s="15">
        <f si="98" t="shared"/>
        <v>2.0567331053918845E-5</v>
      </c>
      <c r="E114" s="15">
        <f si="98" t="shared"/>
        <v>1.7843383104224646E-5</v>
      </c>
      <c r="F114" s="15">
        <f si="98" t="shared"/>
        <v>7.4762748419926133E-7</v>
      </c>
      <c r="G114" s="15">
        <f si="98" t="shared"/>
        <v>3.2505390316927902E-6</v>
      </c>
      <c r="H114" s="15">
        <f si="98" t="shared"/>
        <v>2.4186108903174725E-6</v>
      </c>
      <c r="I114" s="15">
        <f si="98" t="shared"/>
        <v>9.4346857827865488E-6</v>
      </c>
      <c r="K114" s="9">
        <v>8.3333333333333329E-2</v>
      </c>
      <c r="L114" s="14">
        <f ref="L114:S114" si="99" t="shared">L57/L$61</f>
        <v>1.3296343511533377E-6</v>
      </c>
      <c r="M114" s="14">
        <f si="99" t="shared"/>
        <v>2.0078416779517067E-6</v>
      </c>
      <c r="N114" s="14">
        <f si="99" t="shared"/>
        <v>1.1303132653246454E-6</v>
      </c>
      <c r="O114" s="14">
        <f si="99" t="shared"/>
        <v>8.1207035612120677E-7</v>
      </c>
      <c r="P114" s="14">
        <f si="99" t="shared"/>
        <v>6.8530861231548677E-7</v>
      </c>
      <c r="Q114" s="14">
        <f si="99" t="shared"/>
        <v>1.0005092300901618E-6</v>
      </c>
      <c r="R114" s="14">
        <f si="99" t="shared"/>
        <v>6.6260483607372414E-7</v>
      </c>
      <c r="S114" s="15">
        <f si="99" t="shared"/>
        <v>9.7333388723234692E-7</v>
      </c>
    </row>
    <row r="115" spans="1:19" x14ac:dyDescent="0.25">
      <c r="A115" s="9">
        <v>0.10416666666666667</v>
      </c>
      <c r="B115" s="15">
        <f ref="B115:I115" si="100" t="shared">B58/B$61</f>
        <v>0</v>
      </c>
      <c r="C115" s="15">
        <f si="100" t="shared"/>
        <v>0</v>
      </c>
      <c r="D115" s="15">
        <f si="100" t="shared"/>
        <v>6.425964372109318E-6</v>
      </c>
      <c r="E115" s="15">
        <f si="100" t="shared"/>
        <v>5.5671127462209374E-6</v>
      </c>
      <c r="F115" s="15">
        <f si="100" t="shared"/>
        <v>7.7138802567324268E-8</v>
      </c>
      <c r="G115" s="15">
        <f si="100" t="shared"/>
        <v>9.279147491560515E-7</v>
      </c>
      <c r="H115" s="15">
        <f si="100" t="shared"/>
        <v>5.6623579211695344E-7</v>
      </c>
      <c r="I115" s="15">
        <f si="100" t="shared"/>
        <v>2.8793959656982236E-6</v>
      </c>
      <c r="K115" s="9">
        <v>0.10416666666666667</v>
      </c>
      <c r="L115" s="14">
        <f ref="L115:S115" si="101" t="shared">L58/L$61</f>
        <v>3.5647010392946198E-7</v>
      </c>
      <c r="M115" s="14">
        <f si="101" t="shared"/>
        <v>5.5251769519567269E-7</v>
      </c>
      <c r="N115" s="14">
        <f si="101" t="shared"/>
        <v>2.5931143527960428E-7</v>
      </c>
      <c r="O115" s="14">
        <f si="101" t="shared"/>
        <v>1.9868688289837075E-7</v>
      </c>
      <c r="P115" s="14">
        <f si="101" t="shared"/>
        <v>1.6040970499711912E-7</v>
      </c>
      <c r="Q115" s="14">
        <f si="101" t="shared"/>
        <v>2.4149073594334773E-7</v>
      </c>
      <c r="R115" s="14">
        <f si="101" t="shared"/>
        <v>1.613865572111958E-7</v>
      </c>
      <c r="S115" s="15">
        <f si="101" t="shared"/>
        <v>2.3946747441447414E-7</v>
      </c>
    </row>
    <row r="116" spans="1:19" x14ac:dyDescent="0.25">
      <c r="A116" s="9">
        <v>0.125</v>
      </c>
      <c r="B116" s="15">
        <f ref="B116:I116" si="102" t="shared">B59/B$61</f>
        <v>0</v>
      </c>
      <c r="C116" s="15">
        <f si="102" t="shared"/>
        <v>0</v>
      </c>
      <c r="D116" s="15">
        <f si="102" t="shared"/>
        <v>1.4857721091582238E-6</v>
      </c>
      <c r="E116" s="15">
        <f si="102" t="shared"/>
        <v>1.2868542775523048E-6</v>
      </c>
      <c r="F116" s="15">
        <f si="102" t="shared"/>
        <v>3.7924855332973691E-9</v>
      </c>
      <c r="G116" s="15">
        <f si="102" t="shared"/>
        <v>2.0054087971470558E-7</v>
      </c>
      <c r="H116" s="15">
        <f si="102" t="shared"/>
        <v>1.0419482458078149E-7</v>
      </c>
      <c r="I116" s="15">
        <f si="102" t="shared"/>
        <v>6.5784374572483494E-7</v>
      </c>
      <c r="K116" s="9">
        <v>0.125</v>
      </c>
      <c r="L116" s="14">
        <f ref="L116:S116" si="103" t="shared">L59/L$61</f>
        <v>7.2743943946089531E-8</v>
      </c>
      <c r="M116" s="14">
        <f si="103" t="shared"/>
        <v>1.1611394120128745E-7</v>
      </c>
      <c r="N116" s="14">
        <f si="103" t="shared"/>
        <v>4.6413135335170626E-8</v>
      </c>
      <c r="O116" s="14">
        <f si="103" t="shared"/>
        <v>3.7634055767452255E-8</v>
      </c>
      <c r="P116" s="14">
        <f si="103" t="shared"/>
        <v>2.885462473491813E-8</v>
      </c>
      <c r="Q116" s="14">
        <f si="103" t="shared"/>
        <v>4.467309728049007E-8</v>
      </c>
      <c r="R116" s="14">
        <f si="103" t="shared"/>
        <v>3.0226718643956116E-8</v>
      </c>
      <c r="S116" s="15">
        <f si="103" t="shared"/>
        <v>4.5602456581397843E-8</v>
      </c>
    </row>
    <row ht="15.75" r="117" spans="1:19" thickBot="1" x14ac:dyDescent="0.3">
      <c r="A117" s="10" t="s">
        <v>7</v>
      </c>
      <c r="B117" s="17">
        <f ref="B117:I117" si="104" t="shared">B60/B$61</f>
        <v>0</v>
      </c>
      <c r="C117" s="17">
        <f si="104" t="shared"/>
        <v>0</v>
      </c>
      <c r="D117" s="17">
        <f si="104" t="shared"/>
        <v>0</v>
      </c>
      <c r="E117" s="17">
        <f si="104" t="shared"/>
        <v>0</v>
      </c>
      <c r="F117" s="17">
        <f si="104" t="shared"/>
        <v>0</v>
      </c>
      <c r="G117" s="17">
        <f si="104" t="shared"/>
        <v>0</v>
      </c>
      <c r="H117" s="17">
        <f si="104" t="shared"/>
        <v>0</v>
      </c>
      <c r="I117" s="17">
        <f si="104" t="shared"/>
        <v>0</v>
      </c>
      <c r="K117" s="10" t="s">
        <v>7</v>
      </c>
      <c r="L117" s="16">
        <f ref="L117:S117" si="105" t="shared">L60/L$61</f>
        <v>0</v>
      </c>
      <c r="M117" s="16">
        <f si="105" t="shared"/>
        <v>0</v>
      </c>
      <c r="N117" s="16">
        <f si="105" t="shared"/>
        <v>0</v>
      </c>
      <c r="O117" s="16">
        <f si="105" t="shared"/>
        <v>0</v>
      </c>
      <c r="P117" s="16">
        <f si="105" t="shared"/>
        <v>0</v>
      </c>
      <c r="Q117" s="16">
        <f si="105" t="shared"/>
        <v>0</v>
      </c>
      <c r="R117" s="16">
        <f si="105" t="shared"/>
        <v>0</v>
      </c>
      <c r="S117" s="17">
        <f si="105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X117"/>
  <sheetViews>
    <sheetView workbookViewId="0" zoomScale="70" zoomScaleNormal="70">
      <selection activeCell="A5" sqref="A5"/>
    </sheetView>
  </sheetViews>
  <sheetFormatPr defaultRowHeight="15" x14ac:dyDescent="0.25"/>
  <cols>
    <col min="1" max="1" customWidth="true" width="12.7109375" collapsed="true"/>
    <col min="2" max="9" customWidth="true" width="10.7109375" collapsed="true"/>
    <col min="10" max="10" customWidth="true" width="6.42578125" collapsed="true"/>
    <col min="11" max="11" customWidth="true" width="12.7109375" collapsed="true"/>
    <col min="12" max="19" customWidth="true" width="10.7109375" collapsed="true"/>
  </cols>
  <sheetData>
    <row r="1" spans="1:24" x14ac:dyDescent="0.25">
      <c r="A1" t="s">
        <v>17</v>
      </c>
    </row>
    <row r="2" spans="1:24" x14ac:dyDescent="0.25">
      <c r="A2" t="s">
        <v>19</v>
      </c>
    </row>
    <row r="3" spans="1:24" x14ac:dyDescent="0.25">
      <c r="A3" t="s">
        <v>21</v>
      </c>
    </row>
    <row r="4" spans="1:24" x14ac:dyDescent="0.25">
      <c r="A4" t="s">
        <v>34</v>
      </c>
    </row>
    <row r="5" spans="1:24" x14ac:dyDescent="0.25">
      <c r="A5" t="s">
        <v>5</v>
      </c>
    </row>
    <row r="6" spans="1:24" x14ac:dyDescent="0.25">
      <c r="A6" t="s">
        <v>6</v>
      </c>
    </row>
    <row r="7" spans="1:24" x14ac:dyDescent="0.25">
      <c r="U7" s="5"/>
      <c r="V7" s="5"/>
      <c r="W7" s="5"/>
      <c r="X7" s="5"/>
    </row>
    <row ht="15.75" r="8" spans="1:24" thickBot="1" x14ac:dyDescent="0.3">
      <c r="A8" s="3" t="s">
        <v>32</v>
      </c>
      <c r="B8" s="1"/>
      <c r="C8" s="1"/>
      <c r="D8" s="1"/>
      <c r="E8" s="1"/>
      <c r="F8" s="1"/>
      <c r="G8" s="1"/>
      <c r="H8" s="1"/>
      <c r="I8" s="1"/>
      <c r="K8" s="3" t="s">
        <v>16</v>
      </c>
      <c r="L8" s="1"/>
      <c r="M8" s="1"/>
      <c r="N8" s="1"/>
      <c r="O8" s="1"/>
      <c r="P8" s="1"/>
      <c r="Q8" s="1"/>
      <c r="R8" s="1"/>
      <c r="S8" s="1"/>
      <c r="U8" s="8"/>
      <c r="V8" s="5"/>
      <c r="W8" s="5"/>
      <c r="X8" s="5"/>
    </row>
    <row r="9" spans="1:24" x14ac:dyDescent="0.25">
      <c r="A9" s="2" t="s">
        <v>3</v>
      </c>
      <c r="B9" s="4" t="s">
        <v>1</v>
      </c>
      <c r="C9" s="4" t="s">
        <v>2</v>
      </c>
      <c r="D9" s="4" t="s">
        <v>9</v>
      </c>
      <c r="E9" s="4" t="s">
        <v>10</v>
      </c>
      <c r="F9" s="4" t="s">
        <v>11</v>
      </c>
      <c r="G9" s="4" t="s">
        <v>12</v>
      </c>
      <c r="H9" s="4" t="s">
        <v>13</v>
      </c>
      <c r="I9" s="4" t="s">
        <v>0</v>
      </c>
      <c r="K9" s="2" t="s">
        <v>3</v>
      </c>
      <c r="L9" s="4" t="s">
        <v>1</v>
      </c>
      <c r="M9" s="4" t="s">
        <v>2</v>
      </c>
      <c r="N9" s="4" t="s">
        <v>9</v>
      </c>
      <c r="O9" s="4" t="s">
        <v>10</v>
      </c>
      <c r="P9" s="4" t="s">
        <v>11</v>
      </c>
      <c r="Q9" s="4" t="s">
        <v>12</v>
      </c>
      <c r="R9" s="4" t="s">
        <v>13</v>
      </c>
      <c r="S9" s="4" t="s">
        <v>0</v>
      </c>
      <c r="U9" s="5"/>
      <c r="V9" s="11"/>
      <c r="W9" s="11"/>
      <c r="X9" s="5"/>
    </row>
    <row r="10" spans="1:24" x14ac:dyDescent="0.25">
      <c r="A10" t="s">
        <v>4</v>
      </c>
      <c r="B10" s="21" t="n">
        <v>0.0</v>
      </c>
      <c r="C10" s="21" t="n">
        <v>0.0</v>
      </c>
      <c r="D10" s="21" t="n">
        <v>0.0</v>
      </c>
      <c r="E10" s="21" t="n">
        <v>0.0</v>
      </c>
      <c r="F10" s="21" t="n">
        <v>0.0</v>
      </c>
      <c r="G10" s="21" t="n">
        <v>0.0</v>
      </c>
      <c r="H10" s="21" t="n">
        <v>0.0</v>
      </c>
      <c r="I10" s="21">
        <f>SUM(B10:H10)</f>
        <v>0</v>
      </c>
      <c r="K10" t="s">
        <v>4</v>
      </c>
      <c r="L10" s="7" t="n">
        <v>3309.9762845937325</v>
      </c>
      <c r="M10" s="7" t="n">
        <v>9.2</v>
      </c>
      <c r="N10" s="7" t="n">
        <v>1364.6812038575117</v>
      </c>
      <c r="O10" s="7" t="n">
        <v>720.9770106330329</v>
      </c>
      <c r="P10" s="7" t="n">
        <v>769.4282355558795</v>
      </c>
      <c r="Q10" s="7" t="n">
        <v>298.1238841531237</v>
      </c>
      <c r="R10" s="7" t="n">
        <v>349.78467614726827</v>
      </c>
      <c r="S10">
        <f>SUM(L10:R10)</f>
        <v>4270</v>
      </c>
      <c r="U10" s="5"/>
      <c r="V10" s="13"/>
      <c r="W10" s="13"/>
      <c r="X10" s="5"/>
    </row>
    <row r="11" spans="1:24" x14ac:dyDescent="0.25">
      <c r="A11" s="9">
        <v>0.125</v>
      </c>
      <c r="B11" s="21" t="n">
        <v>0.0</v>
      </c>
      <c r="C11" s="21" t="n">
        <v>0.0</v>
      </c>
      <c r="D11" s="21" t="n">
        <v>0.00111117357239151</v>
      </c>
      <c r="E11" s="21" t="n">
        <v>0.003990380413841248</v>
      </c>
      <c r="F11" s="21" t="n">
        <v>0.6438148354407643</v>
      </c>
      <c r="G11" s="21" t="n">
        <v>0.0</v>
      </c>
      <c r="H11" s="21" t="n">
        <v>2.1157217527677057</v>
      </c>
      <c r="I11" s="21">
        <f ref="I11:I60" si="0" t="shared">SUM(B11:H11)</f>
        <v>2.2827072036743163</v>
      </c>
      <c r="K11" s="9">
        <v>0.125</v>
      </c>
      <c r="L11" s="7" t="n">
        <v>2204.7176103375577</v>
      </c>
      <c r="M11" s="7" t="n">
        <v>6.174918603897094</v>
      </c>
      <c r="N11" s="7" t="n">
        <v>916.0067059562447</v>
      </c>
      <c r="O11" s="7" t="n">
        <v>499.47518710746624</v>
      </c>
      <c r="P11" s="7" t="n">
        <v>546.2928397157108</v>
      </c>
      <c r="Q11" s="7" t="n">
        <v>205.18447406657322</v>
      </c>
      <c r="R11" s="7" t="n">
        <v>246.7832868679032</v>
      </c>
      <c r="S11">
        <f ref="S11:S60" si="1" t="shared">SUM(L11:R11)</f>
        <v>2883.9110584259033</v>
      </c>
      <c r="U11" s="5"/>
      <c r="V11" s="13"/>
      <c r="W11" s="13"/>
      <c r="X11" s="5"/>
    </row>
    <row r="12" spans="1:24" x14ac:dyDescent="0.25">
      <c r="A12" s="9">
        <v>0.14583333333333334</v>
      </c>
      <c r="B12" s="21" t="n">
        <v>4.4510967412662503E-4</v>
      </c>
      <c r="C12" s="21" t="n">
        <v>0.0</v>
      </c>
      <c r="D12" s="21" t="n">
        <v>0.022223471447830198</v>
      </c>
      <c r="E12" s="21" t="n">
        <v>0.08148288370254383</v>
      </c>
      <c r="F12" s="21" t="n">
        <v>3.4534476571100274</v>
      </c>
      <c r="G12" s="21" t="n">
        <v>4.877309799194336E-4</v>
      </c>
      <c r="H12" s="21" t="n">
        <v>7.042745853197803</v>
      </c>
      <c r="I12" s="21">
        <f si="0" t="shared"/>
        <v>8.7496795286178592</v>
      </c>
      <c r="K12" s="9">
        <v>0.14583333333333334</v>
      </c>
      <c r="L12" s="7" t="n">
        <v>1282.597796236089</v>
      </c>
      <c r="M12" s="7" t="n">
        <v>3.642678297562283</v>
      </c>
      <c r="N12" s="7" t="n">
        <v>542.150807493346</v>
      </c>
      <c r="O12" s="7" t="n">
        <v>314.64458834690913</v>
      </c>
      <c r="P12" s="7" t="n">
        <v>358.44447875171954</v>
      </c>
      <c r="Q12" s="7" t="n">
        <v>127.57111170913463</v>
      </c>
      <c r="R12" s="7" t="n">
        <v>160.03171656572204</v>
      </c>
      <c r="S12">
        <f si="1" t="shared"/>
        <v>1716.8869009017944</v>
      </c>
      <c r="U12" s="5"/>
      <c r="V12" s="13"/>
      <c r="W12" s="13"/>
      <c r="X12" s="5"/>
    </row>
    <row r="13" spans="1:24" x14ac:dyDescent="0.25">
      <c r="A13" s="9">
        <v>0.16666666666666666</v>
      </c>
      <c r="B13" s="21" t="n">
        <v>0.009013906466305732</v>
      </c>
      <c r="C13" s="21" t="n">
        <v>1.9871633070087433E-4</v>
      </c>
      <c r="D13" s="21" t="n">
        <v>0.2119033092979403</v>
      </c>
      <c r="E13" s="21" t="n">
        <v>0.7975816779103433</v>
      </c>
      <c r="F13" s="21" t="n">
        <v>13.588939675968126</v>
      </c>
      <c r="G13" s="21" t="n">
        <v>0.01246318943779945</v>
      </c>
      <c r="H13" s="21" t="n">
        <v>17.724839035556418</v>
      </c>
      <c r="I13" s="21">
        <f si="0" t="shared"/>
        <v>26.678289696693419</v>
      </c>
      <c r="K13" s="9">
        <v>0.16666666666666666</v>
      </c>
      <c r="L13" s="7" t="n">
        <v>643.3768423799454</v>
      </c>
      <c r="M13" s="7" t="n">
        <v>1.879848950403919</v>
      </c>
      <c r="N13" s="7" t="n">
        <v>283.69200590265933</v>
      </c>
      <c r="O13" s="7" t="n">
        <v>187.10391210385453</v>
      </c>
      <c r="P13" s="7" t="n">
        <v>226.8321306394106</v>
      </c>
      <c r="Q13" s="7" t="n">
        <v>73.97308052456384</v>
      </c>
      <c r="R13" s="7" t="n">
        <v>99.10014091512221</v>
      </c>
      <c r="S13">
        <f si="1" t="shared"/>
        <v>894.39392757415771</v>
      </c>
      <c r="U13" s="5"/>
      <c r="V13" s="13"/>
      <c r="W13" s="13"/>
      <c r="X13" s="5"/>
    </row>
    <row r="14" spans="1:24" x14ac:dyDescent="0.25">
      <c r="A14" s="9">
        <v>0.1875</v>
      </c>
      <c r="B14" s="21" t="n">
        <v>0.08934979850011576</v>
      </c>
      <c r="C14" s="21" t="n">
        <v>0.003974326614017486</v>
      </c>
      <c r="D14" s="21" t="n">
        <v>1.2838978483924983</v>
      </c>
      <c r="E14" s="21" t="n">
        <v>4.98871984303003</v>
      </c>
      <c r="F14" s="21" t="n">
        <v>41.56803885547189</v>
      </c>
      <c r="G14" s="21" t="n">
        <v>0.14708443609720706</v>
      </c>
      <c r="H14" s="21" t="n">
        <v>36.31811104605306</v>
      </c>
      <c r="I14" s="21">
        <f si="0" t="shared"/>
        <v>69.510666505050665</v>
      </c>
      <c r="K14" s="9">
        <v>0.1875</v>
      </c>
      <c r="L14" s="7" t="n">
        <v>279.49424888054557</v>
      </c>
      <c r="M14" s="7" t="n">
        <v>0.8784183793069963</v>
      </c>
      <c r="N14" s="7" t="n">
        <v>137.423919706841</v>
      </c>
      <c r="O14" s="7" t="n">
        <v>116.84216130071783</v>
      </c>
      <c r="P14" s="7" t="n">
        <v>153.5700616292782</v>
      </c>
      <c r="Q14" s="7" t="n">
        <v>44.56551745254822</v>
      </c>
      <c r="R14" s="7" t="n">
        <v>64.77960053819548</v>
      </c>
      <c r="S14">
        <f si="1" t="shared"/>
        <v>423.43207263946533</v>
      </c>
      <c r="U14" s="5"/>
      <c r="V14" s="5"/>
      <c r="W14" s="5"/>
      <c r="X14" s="5"/>
    </row>
    <row r="15" spans="1:24" x14ac:dyDescent="0.25">
      <c r="A15" s="9">
        <v>0.20833333333333334</v>
      </c>
      <c r="B15" s="21" t="n">
        <v>0.5827284305466544</v>
      </c>
      <c r="C15" s="21" t="n">
        <v>0.03781842068137169</v>
      </c>
      <c r="D15" s="21" t="n">
        <v>5.568153207123347</v>
      </c>
      <c r="E15" s="21" t="n">
        <v>22.434244965912153</v>
      </c>
      <c r="F15" s="21" t="n">
        <v>102.74751444238417</v>
      </c>
      <c r="G15" s="21" t="n">
        <v>1.0788210228567883</v>
      </c>
      <c r="H15" s="21" t="n">
        <v>64.11907437437729</v>
      </c>
      <c r="I15" s="21">
        <f si="0" t="shared"/>
        <v>161.49463108863833</v>
      </c>
      <c r="K15" s="9">
        <v>0.20833333333333334</v>
      </c>
      <c r="L15" s="7" t="n">
        <v>115.98250053091806</v>
      </c>
      <c r="M15" s="7" t="n">
        <v>0.4435823078062342</v>
      </c>
      <c r="N15" s="7" t="n">
        <v>73.30436203543596</v>
      </c>
      <c r="O15" s="7" t="n">
        <v>91.3105268873401</v>
      </c>
      <c r="P15" s="7" t="n">
        <v>128.69046113363433</v>
      </c>
      <c r="Q15" s="7" t="n">
        <v>34.33383944925164</v>
      </c>
      <c r="R15" s="7" t="n">
        <v>52.28155703552768</v>
      </c>
      <c r="S15">
        <f si="1" t="shared"/>
        <v>246.35717868804932</v>
      </c>
    </row>
    <row r="16" spans="1:24" x14ac:dyDescent="0.25">
      <c r="A16" s="9">
        <v>0.22916666666666666</v>
      </c>
      <c r="B16" s="21" t="n">
        <v>2.8348460924955083</v>
      </c>
      <c r="C16" s="21" t="n">
        <v>0.2278534206927681</v>
      </c>
      <c r="D16" s="21" t="n">
        <v>18.51609414926262</v>
      </c>
      <c r="E16" s="21" t="n">
        <v>77.40874139768627</v>
      </c>
      <c r="F16" s="21" t="n">
        <v>213.49321908769824</v>
      </c>
      <c r="G16" s="21" t="n">
        <v>5.567748946206745</v>
      </c>
      <c r="H16" s="21" t="n">
        <v>107.24124295302411</v>
      </c>
      <c r="I16" s="21">
        <f si="0" t="shared"/>
        <v>348.36742402896886</v>
      </c>
      <c r="K16" s="9">
        <v>0.22916666666666666</v>
      </c>
      <c r="L16" s="7" t="n">
        <v>69.87520808730048</v>
      </c>
      <c r="M16" s="7" t="n">
        <v>0.3588999323063067</v>
      </c>
      <c r="N16" s="7" t="n">
        <v>59.260554767456334</v>
      </c>
      <c r="O16" s="7" t="n">
        <v>97.64805514802795</v>
      </c>
      <c r="P16" s="7" t="n">
        <v>140.9516908461975</v>
      </c>
      <c r="Q16" s="7" t="n">
        <v>38.010561797016024</v>
      </c>
      <c r="R16" s="7" t="n">
        <v>56.455099511924736</v>
      </c>
      <c r="S16">
        <f si="1" t="shared"/>
        <v>326.31736183166504</v>
      </c>
    </row>
    <row r="17" spans="1:19" x14ac:dyDescent="0.25">
      <c r="A17" s="9">
        <v>0.25</v>
      </c>
      <c r="B17" s="21" t="n">
        <v>11.028712114573098</v>
      </c>
      <c r="C17" s="21" t="n">
        <v>0.9762849537272664</v>
      </c>
      <c r="D17" s="21" t="n">
        <v>49.60757111797432</v>
      </c>
      <c r="E17" s="21" t="n">
        <v>213.6868316127933</v>
      </c>
      <c r="F17" s="21" t="n">
        <v>391.28260755708015</v>
      </c>
      <c r="G17" s="21" t="n">
        <v>21.68370408612261</v>
      </c>
      <c r="H17" s="21" t="n">
        <v>189.25441097161413</v>
      </c>
      <c r="I17" s="21">
        <f si="0" t="shared"/>
        <v>717.04660936193477</v>
      </c>
      <c r="K17" s="9">
        <v>0.25</v>
      </c>
      <c r="L17" s="7" t="n">
        <v>86.26064493607726</v>
      </c>
      <c r="M17" s="7" t="n">
        <v>0.5138026139048445</v>
      </c>
      <c r="N17" s="7" t="n">
        <v>75.69067867857996</v>
      </c>
      <c r="O17" s="7" t="n">
        <v>130.1982984723773</v>
      </c>
      <c r="P17" s="7" t="n">
        <v>184.5942261037169</v>
      </c>
      <c r="Q17" s="7" t="n">
        <v>52.94519605353229</v>
      </c>
      <c r="R17" s="7" t="n">
        <v>75.12022031367579</v>
      </c>
      <c r="S17">
        <f si="1" t="shared"/>
        <v>707.67780590057373</v>
      </c>
    </row>
    <row r="18" spans="1:19" x14ac:dyDescent="0.25">
      <c r="A18" s="9">
        <v>0.27083333333333331</v>
      </c>
      <c r="B18" s="21" t="n">
        <v>35.771850199867536</v>
      </c>
      <c r="C18" s="21" t="n">
        <v>3.1705683131318754</v>
      </c>
      <c r="D18" s="21" t="n">
        <v>111.7073295316357</v>
      </c>
      <c r="E18" s="21" t="n">
        <v>486.194150510403</v>
      </c>
      <c r="F18" s="21" t="n">
        <v>668.8266121349499</v>
      </c>
      <c r="G18" s="21" t="n">
        <v>66.76162236460935</v>
      </c>
      <c r="H18" s="21" t="n">
        <v>358.4519855089359</v>
      </c>
      <c r="I18" s="21">
        <f si="0" t="shared"/>
        <v>1412.552644271469</v>
      </c>
      <c r="K18" s="9">
        <v>0.27083333333333331</v>
      </c>
      <c r="L18" s="7" t="n">
        <v>142.23160769475925</v>
      </c>
      <c r="M18" s="7" t="n">
        <v>0.9515725685803976</v>
      </c>
      <c r="N18" s="7" t="n">
        <v>115.88632498459992</v>
      </c>
      <c r="O18" s="7" t="n">
        <v>191.6140250134553</v>
      </c>
      <c r="P18" s="7" t="n">
        <v>260.3042703717519</v>
      </c>
      <c r="Q18" s="7" t="n">
        <v>79.13585857178984</v>
      </c>
      <c r="R18" s="7" t="n">
        <v>109.3255735264526</v>
      </c>
      <c r="S18">
        <f si="1" t="shared"/>
        <v>1521.4529132843018</v>
      </c>
    </row>
    <row r="19" spans="1:19" x14ac:dyDescent="0.25">
      <c r="A19" s="9">
        <v>0.29166666666666669</v>
      </c>
      <c r="B19" s="21" t="n">
        <v>99.17367727661242</v>
      </c>
      <c r="C19" s="21" t="n">
        <v>8.136288966273181</v>
      </c>
      <c r="D19" s="21" t="n">
        <v>219.7778578410663</v>
      </c>
      <c r="E19" s="21" t="n">
        <v>933.214325562262</v>
      </c>
      <c r="F19" s="21" t="n">
        <v>1114.9014595838385</v>
      </c>
      <c r="G19" s="21" t="n">
        <v>168.31608838752007</v>
      </c>
      <c r="H19" s="21" t="n">
        <v>667.7950945243565</v>
      </c>
      <c r="I19" s="21">
        <f si="0" t="shared"/>
        <v>2619.2018305581096</v>
      </c>
      <c r="K19" s="9">
        <v>0.29166666666666669</v>
      </c>
      <c r="L19" s="7" t="n">
        <v>235.0472086045097</v>
      </c>
      <c r="M19" s="7" t="n">
        <v>1.8532421277511733</v>
      </c>
      <c r="N19" s="7" t="n">
        <v>179.60929560068516</v>
      </c>
      <c r="O19" s="7" t="n">
        <v>291.9424200828524</v>
      </c>
      <c r="P19" s="7" t="n">
        <v>374.78932681804775</v>
      </c>
      <c r="Q19" s="7" t="n">
        <v>118.13621753265377</v>
      </c>
      <c r="R19" s="7" t="n">
        <v>162.33731748640184</v>
      </c>
      <c r="S19">
        <f si="1" t="shared"/>
        <v>2935.7479658126831</v>
      </c>
    </row>
    <row r="20" spans="1:19" x14ac:dyDescent="0.25">
      <c r="A20" s="9">
        <v>0.3125</v>
      </c>
      <c r="B20" s="21" t="n">
        <v>238.66583124725346</v>
      </c>
      <c r="C20" s="21" t="n">
        <v>17.040742375166733</v>
      </c>
      <c r="D20" s="21" t="n">
        <v>390.12870733468037</v>
      </c>
      <c r="E20" s="21" t="n">
        <v>1541.9739877945747</v>
      </c>
      <c r="F20" s="21" t="n">
        <v>1828.8917284291417</v>
      </c>
      <c r="G20" s="21" t="n">
        <v>357.9152170961414</v>
      </c>
      <c r="H20" s="21" t="n">
        <v>1124.7377599364884</v>
      </c>
      <c r="I20" s="21">
        <f si="0" t="shared"/>
        <v>4480.1950892746927</v>
      </c>
      <c r="K20" s="9">
        <v>0.3125</v>
      </c>
      <c r="L20" s="7" t="n">
        <v>371.64732389460573</v>
      </c>
      <c r="M20" s="7" t="n">
        <v>3.510831753797076</v>
      </c>
      <c r="N20" s="7" t="n">
        <v>267.83987346562446</v>
      </c>
      <c r="O20" s="7" t="n">
        <v>449.66296704463315</v>
      </c>
      <c r="P20" s="7" t="n">
        <v>542.9877133710146</v>
      </c>
      <c r="Q20" s="7" t="n">
        <v>172.69953787740047</v>
      </c>
      <c r="R20" s="7" t="n">
        <v>239.66308927208422</v>
      </c>
      <c r="S20">
        <f si="1" t="shared"/>
        <v>5072.2553539276123</v>
      </c>
    </row>
    <row r="21" spans="1:19" x14ac:dyDescent="0.25">
      <c r="A21" s="9">
        <v>0.33333333333333331</v>
      </c>
      <c r="B21" s="21" t="n">
        <v>504.4321337747602</v>
      </c>
      <c r="C21" s="21" t="n">
        <v>30.056010864678484</v>
      </c>
      <c r="D21" s="21" t="n">
        <v>636.8464415527314</v>
      </c>
      <c r="E21" s="21" t="n">
        <v>2238.4794652398896</v>
      </c>
      <c r="F21" s="21" t="n">
        <v>2885.568732422472</v>
      </c>
      <c r="G21" s="21" t="n">
        <v>659.6627597781146</v>
      </c>
      <c r="H21" s="21" t="n">
        <v>1652.6588512861663</v>
      </c>
      <c r="I21" s="21">
        <f si="0" t="shared"/>
        <v>6989.9772542290693</v>
      </c>
      <c r="K21" s="9">
        <v>0.33333333333333331</v>
      </c>
      <c r="L21" s="7" t="n">
        <v>565.6819243410126</v>
      </c>
      <c r="M21" s="7" t="n">
        <v>6.356230237565678</v>
      </c>
      <c r="N21" s="7" t="n">
        <v>381.8790790346426</v>
      </c>
      <c r="O21" s="7" t="n">
        <v>693.3419789050196</v>
      </c>
      <c r="P21" s="7" t="n">
        <v>791.1907519160416</v>
      </c>
      <c r="Q21" s="7" t="n">
        <v>247.5435711610839</v>
      </c>
      <c r="R21" s="7" t="n">
        <v>350.2741194277407</v>
      </c>
      <c r="S21">
        <f si="1" t="shared"/>
        <v>7923.2315626144409</v>
      </c>
    </row>
    <row r="22" spans="1:19" x14ac:dyDescent="0.25">
      <c r="A22" s="9">
        <v>0.35416666666666669</v>
      </c>
      <c r="B22" s="21" t="n">
        <v>947.8067597299572</v>
      </c>
      <c r="C22" s="21" t="n">
        <v>46.40971782969744</v>
      </c>
      <c r="D22" s="21" t="n">
        <v>960.0175941957768</v>
      </c>
      <c r="E22" s="21" t="n">
        <v>2924.6640777595403</v>
      </c>
      <c r="F22" s="21" t="n">
        <v>4264.145145071097</v>
      </c>
      <c r="G22" s="21" t="n">
        <v>1082.2272615502118</v>
      </c>
      <c r="H22" s="21" t="n">
        <v>2120.4060295793042</v>
      </c>
      <c r="I22" s="21">
        <f si="0" t="shared"/>
        <v>9958.8864245501518</v>
      </c>
      <c r="K22" s="9">
        <v>0.35416666666666669</v>
      </c>
      <c r="L22" s="7" t="n">
        <v>839.0988116027365</v>
      </c>
      <c r="M22" s="7" t="n">
        <v>11.050291539014514</v>
      </c>
      <c r="N22" s="7" t="n">
        <v>525.3053181661278</v>
      </c>
      <c r="O22" s="7" t="n">
        <v>1058.2533873054465</v>
      </c>
      <c r="P22" s="7" t="n">
        <v>1154.9147284236326</v>
      </c>
      <c r="Q22" s="7" t="n">
        <v>350.17687129241284</v>
      </c>
      <c r="R22" s="7" t="n">
        <v>506.69608047606505</v>
      </c>
      <c r="S22">
        <f si="1" t="shared"/>
        <v>11304.148802757263</v>
      </c>
    </row>
    <row r="23" spans="1:19" x14ac:dyDescent="0.25">
      <c r="A23" s="9">
        <v>0.375</v>
      </c>
      <c r="B23" s="21" t="n">
        <v>1607.2315549837624</v>
      </c>
      <c r="C23" s="21" t="n">
        <v>66.34435990576411</v>
      </c>
      <c r="D23" s="21" t="n">
        <v>1331.8578301385649</v>
      </c>
      <c r="E23" s="21" t="n">
        <v>3547.1465923469186</v>
      </c>
      <c r="F23" s="21" t="n">
        <v>5836.163219883476</v>
      </c>
      <c r="G23" s="21" t="n">
        <v>1622.6266739490723</v>
      </c>
      <c r="H23" s="21" t="n">
        <v>2435.358545795156</v>
      </c>
      <c r="I23" s="21">
        <f si="0" t="shared"/>
        <v>13121.84740617733</v>
      </c>
      <c r="K23" s="9">
        <v>0.375</v>
      </c>
      <c r="L23" s="7" t="n">
        <v>1221.4861249609473</v>
      </c>
      <c r="M23" s="7" t="n">
        <v>18.509699891271435</v>
      </c>
      <c r="N23" s="7" t="n">
        <v>704.9825538588442</v>
      </c>
      <c r="O23" s="7" t="n">
        <v>1573.7813010044529</v>
      </c>
      <c r="P23" s="7" t="n">
        <v>1667.252456392728</v>
      </c>
      <c r="Q23" s="7" t="n">
        <v>490.277389094336</v>
      </c>
      <c r="R23" s="7" t="n">
        <v>721.3980130480951</v>
      </c>
      <c r="S23">
        <f si="1" t="shared"/>
        <v>14866.460465431213</v>
      </c>
    </row>
    <row r="24" spans="1:19" x14ac:dyDescent="0.25">
      <c r="A24" s="9">
        <v>0.39583333333333331</v>
      </c>
      <c r="B24" s="21" t="n">
        <v>2504.8709034404824</v>
      </c>
      <c r="C24" s="21" t="n">
        <v>94.6517288644179</v>
      </c>
      <c r="D24" s="21" t="n">
        <v>1700.5559733527366</v>
      </c>
      <c r="E24" s="21" t="n">
        <v>4143.406620519602</v>
      </c>
      <c r="F24" s="21" t="n">
        <v>7441.551523976297</v>
      </c>
      <c r="G24" s="21" t="n">
        <v>2277.96174050688</v>
      </c>
      <c r="H24" s="21" t="n">
        <v>2612.6150501878865</v>
      </c>
      <c r="I24" s="21">
        <f si="0" t="shared"/>
        <v>16328.813864156913</v>
      </c>
      <c r="K24" s="9">
        <v>0.39583333333333331</v>
      </c>
      <c r="L24" s="7" t="n">
        <v>1741.374279157159</v>
      </c>
      <c r="M24" s="7" t="n">
        <v>29.72235665693922</v>
      </c>
      <c r="N24" s="7" t="n">
        <v>928.0313098576514</v>
      </c>
      <c r="O24" s="7" t="n">
        <v>2244.611957369306</v>
      </c>
      <c r="P24" s="7" t="n">
        <v>2340.621361400906</v>
      </c>
      <c r="Q24" s="7" t="n">
        <v>676.7857279947116</v>
      </c>
      <c r="R24" s="7" t="n">
        <v>999.6339711077895</v>
      </c>
      <c r="S24">
        <f si="1" t="shared"/>
        <v>18194.263338088989</v>
      </c>
    </row>
    <row r="25" spans="1:19" x14ac:dyDescent="0.25">
      <c r="A25" s="9">
        <v>0.41666666666666669</v>
      </c>
      <c r="B25" s="21" t="n">
        <v>3656.494515772692</v>
      </c>
      <c r="C25" s="21" t="n">
        <v>143.8906421146657</v>
      </c>
      <c r="D25" s="21" t="n">
        <v>2018.7805785202356</v>
      </c>
      <c r="E25" s="21" t="n">
        <v>4816.974787968218</v>
      </c>
      <c r="F25" s="21" t="n">
        <v>8990.506339548052</v>
      </c>
      <c r="G25" s="21" t="n">
        <v>3046.82723219545</v>
      </c>
      <c r="H25" s="21" t="n">
        <v>2743.778237256843</v>
      </c>
      <c r="I25" s="21">
        <f si="0" t="shared"/>
        <v>19648.003122300244</v>
      </c>
      <c r="K25" s="9">
        <v>0.41666666666666669</v>
      </c>
      <c r="L25" s="7" t="n">
        <v>2409.8853404484207</v>
      </c>
      <c r="M25" s="7" t="n">
        <v>45.432399666238865</v>
      </c>
      <c r="N25" s="7" t="n">
        <v>1195.4418015372853</v>
      </c>
      <c r="O25" s="7" t="n">
        <v>3036.5748692480456</v>
      </c>
      <c r="P25" s="7" t="n">
        <v>3151.7722026413076</v>
      </c>
      <c r="Q25" s="7" t="n">
        <v>913.4700173921133</v>
      </c>
      <c r="R25" s="7" t="n">
        <v>1332.6876010278972</v>
      </c>
      <c r="S25">
        <f si="1" t="shared"/>
        <v>21021.26070690155</v>
      </c>
    </row>
    <row r="26" spans="1:19" x14ac:dyDescent="0.25">
      <c r="A26" s="9">
        <v>0.4375</v>
      </c>
      <c r="B26" s="21" t="n">
        <v>5073.713944491763</v>
      </c>
      <c r="C26" s="21" t="n">
        <v>234.07097369350555</v>
      </c>
      <c r="D26" s="21" t="n">
        <v>2270.346947746123</v>
      </c>
      <c r="E26" s="21" t="n">
        <v>5652.131726673932</v>
      </c>
      <c r="F26" s="21" t="n">
        <v>10500.617069910255</v>
      </c>
      <c r="G26" s="21" t="n">
        <v>3902.302741659715</v>
      </c>
      <c r="H26" s="21" t="n">
        <v>2901.7936688018503</v>
      </c>
      <c r="I26" s="21">
        <f si="0" t="shared"/>
        <v>23269.394463643934</v>
      </c>
      <c r="K26" s="9">
        <v>0.4375</v>
      </c>
      <c r="L26" s="7" t="n">
        <v>3205.595427994199</v>
      </c>
      <c r="M26" s="7" t="n">
        <v>66.10657206856742</v>
      </c>
      <c r="N26" s="7" t="n">
        <v>1497.3936161020333</v>
      </c>
      <c r="O26" s="7" t="n">
        <v>3879.5250448913876</v>
      </c>
      <c r="P26" s="7" t="n">
        <v>4040.976307433478</v>
      </c>
      <c r="Q26" s="7" t="n">
        <v>1195.4931558908515</v>
      </c>
      <c r="R26" s="7" t="n">
        <v>1697.070407710899</v>
      </c>
      <c r="S26">
        <f si="1" t="shared"/>
        <v>23558.319116592407</v>
      </c>
    </row>
    <row r="27" spans="1:19" x14ac:dyDescent="0.25">
      <c r="A27" s="9">
        <v>0.45833333333333331</v>
      </c>
      <c r="B27" s="21" t="n">
        <v>6730.867616596044</v>
      </c>
      <c r="C27" s="21" t="n">
        <v>384.5371574251717</v>
      </c>
      <c r="D27" s="21" t="n">
        <v>2465.821856539462</v>
      </c>
      <c r="E27" s="21" t="n">
        <v>6640.82883432235</v>
      </c>
      <c r="F27" s="21" t="n">
        <v>12043.934087352947</v>
      </c>
      <c r="G27" s="21" t="n">
        <v>4748.337029411369</v>
      </c>
      <c r="H27" s="21" t="n">
        <v>3091.3767301367143</v>
      </c>
      <c r="I27" s="21">
        <f si="0" t="shared"/>
        <v>27276.76135465641</v>
      </c>
      <c r="K27" s="9">
        <v>0.45833333333333331</v>
      </c>
      <c r="L27" s="7" t="n">
        <v>4072.27451229431</v>
      </c>
      <c r="M27" s="7" t="n">
        <v>92.57018670301707</v>
      </c>
      <c r="N27" s="7" t="n">
        <v>1815.6453495341002</v>
      </c>
      <c r="O27" s="7" t="n">
        <v>4690.927951745442</v>
      </c>
      <c r="P27" s="7" t="n">
        <v>4929.244338883645</v>
      </c>
      <c r="Q27" s="7" t="n">
        <v>1509.8293615725902</v>
      </c>
      <c r="R27" s="7" t="n">
        <v>2062.3986425848448</v>
      </c>
      <c r="S27">
        <f si="1" t="shared"/>
        <v>26738.405717849731</v>
      </c>
    </row>
    <row r="28" spans="1:19" x14ac:dyDescent="0.25">
      <c r="A28" s="9">
        <v>0.47916666666666669</v>
      </c>
      <c r="B28" s="21" t="n">
        <v>8502.764982094985</v>
      </c>
      <c r="C28" s="21" t="n">
        <v>596.5765065463461</v>
      </c>
      <c r="D28" s="21" t="n">
        <v>2622.436923370606</v>
      </c>
      <c r="E28" s="21" t="n">
        <v>7691.54894708066</v>
      </c>
      <c r="F28" s="21" t="n">
        <v>13656.566383622792</v>
      </c>
      <c r="G28" s="21" t="n">
        <v>5415.665918312528</v>
      </c>
      <c r="H28" s="21" t="n">
        <v>3290.0260009653566</v>
      </c>
      <c r="I28" s="21">
        <f si="0" t="shared"/>
        <v>31487.421727060511</v>
      </c>
      <c r="K28" s="9">
        <v>0.47916666666666669</v>
      </c>
      <c r="L28" s="7" t="n">
        <v>4933.37816876486</v>
      </c>
      <c r="M28" s="7" t="n">
        <v>127.07795882006371</v>
      </c>
      <c r="N28" s="7" t="n">
        <v>2132.72885169529</v>
      </c>
      <c r="O28" s="7" t="n">
        <v>5408.911102626278</v>
      </c>
      <c r="P28" s="7" t="n">
        <v>5745.7859540869595</v>
      </c>
      <c r="Q28" s="7" t="n">
        <v>1840.048087766091</v>
      </c>
      <c r="R28" s="7" t="n">
        <v>2404.5039520515575</v>
      </c>
      <c r="S28">
        <f si="1" t="shared"/>
        <v>31999.375750541687</v>
      </c>
    </row>
    <row r="29" spans="1:19" x14ac:dyDescent="0.25">
      <c r="A29" s="9">
        <v>0.5</v>
      </c>
      <c r="B29" s="21" t="n">
        <v>10131.88069431786</v>
      </c>
      <c r="C29" s="21" t="n">
        <v>835.911170582465</v>
      </c>
      <c r="D29" s="21" t="n">
        <v>2772.1234755409364</v>
      </c>
      <c r="E29" s="21" t="n">
        <v>8711.572308735967</v>
      </c>
      <c r="F29" s="21" t="n">
        <v>15283.879154788547</v>
      </c>
      <c r="G29" s="21" t="n">
        <v>5749.544077610464</v>
      </c>
      <c r="H29" s="21" t="n">
        <v>3515.7520634482507</v>
      </c>
      <c r="I29" s="21">
        <f si="0" t="shared"/>
        <v>35516.835385437582</v>
      </c>
      <c r="K29" s="9">
        <v>0.5</v>
      </c>
      <c r="L29" s="7" t="n">
        <v>5715.564571841234</v>
      </c>
      <c r="M29" s="7" t="n">
        <v>173.82232802788144</v>
      </c>
      <c r="N29" s="7" t="n">
        <v>2441.405882481872</v>
      </c>
      <c r="O29" s="7" t="n">
        <v>6014.877655386617</v>
      </c>
      <c r="P29" s="7" t="n">
        <v>6450.844910301936</v>
      </c>
      <c r="Q29" s="7" t="n">
        <v>2172.5462366064376</v>
      </c>
      <c r="R29" s="7" t="n">
        <v>2715.7123548730124</v>
      </c>
      <c r="S29">
        <f si="1" t="shared"/>
        <v>40412.800863265991</v>
      </c>
    </row>
    <row r="30" spans="1:19" x14ac:dyDescent="0.25">
      <c r="A30" s="9">
        <v>0.52083333333333337</v>
      </c>
      <c r="B30" s="21" t="n">
        <v>11291.997845865148</v>
      </c>
      <c r="C30" s="21" t="n">
        <v>1034.45274662477</v>
      </c>
      <c r="D30" s="21" t="n">
        <v>3001.0894483030543</v>
      </c>
      <c r="E30" s="21" t="n">
        <v>9678.079282929139</v>
      </c>
      <c r="F30" s="21" t="n">
        <v>16802.349354946364</v>
      </c>
      <c r="G30" s="21" t="n">
        <v>5749.455232520654</v>
      </c>
      <c r="H30" s="21" t="n">
        <v>3844.094698260799</v>
      </c>
      <c r="I30" s="21">
        <f si="0" t="shared"/>
        <v>39037.923544591707</v>
      </c>
      <c r="K30" s="9">
        <v>0.52083333333333337</v>
      </c>
      <c r="L30" s="7" t="n">
        <v>6370.14514613555</v>
      </c>
      <c r="M30" s="7" t="n">
        <v>237.89781884687574</v>
      </c>
      <c r="N30" s="7" t="n">
        <v>2748.493844677866</v>
      </c>
      <c r="O30" s="7" t="n">
        <v>6533.808871395952</v>
      </c>
      <c r="P30" s="7" t="n">
        <v>7044.345483977964</v>
      </c>
      <c r="Q30" s="7" t="n">
        <v>2500.336216664856</v>
      </c>
      <c r="R30" s="7" t="n">
        <v>3006.30887409117</v>
      </c>
      <c r="S30">
        <f si="1" t="shared"/>
        <v>51647.091833114624</v>
      </c>
    </row>
    <row r="31" spans="1:19" x14ac:dyDescent="0.25">
      <c r="A31" s="9">
        <v>0.54166666666666663</v>
      </c>
      <c r="B31" s="21" t="n">
        <v>11742.169753085082</v>
      </c>
      <c r="C31" s="21" t="n">
        <v>1121.9444215696064</v>
      </c>
      <c r="D31" s="21" t="n">
        <v>3463.3143189387492</v>
      </c>
      <c r="E31" s="21" t="n">
        <v>10629.327871082827</v>
      </c>
      <c r="F31" s="21" t="n">
        <v>18099.493994724162</v>
      </c>
      <c r="G31" s="21" t="n">
        <v>5624.248192577028</v>
      </c>
      <c r="H31" s="21" t="n">
        <v>4366.20369589196</v>
      </c>
      <c r="I31" s="21">
        <f si="0" t="shared"/>
        <v>42018.646755606649</v>
      </c>
      <c r="K31" s="9">
        <v>0.54166666666666663</v>
      </c>
      <c r="L31" s="7" t="n">
        <v>6887.3909617784575</v>
      </c>
      <c r="M31" s="7" t="n">
        <v>322.8481267838027</v>
      </c>
      <c r="N31" s="7" t="n">
        <v>3074.155223929333</v>
      </c>
      <c r="O31" s="7" t="n">
        <v>7019.10664625457</v>
      </c>
      <c r="P31" s="7" t="n">
        <v>7563.827769955396</v>
      </c>
      <c r="Q31" s="7" t="n">
        <v>2823.081331813414</v>
      </c>
      <c r="R31" s="7" t="n">
        <v>3298.863764999322</v>
      </c>
      <c r="S31">
        <f si="1" t="shared"/>
        <v>63779.948628425598</v>
      </c>
    </row>
    <row r="32" spans="1:19" x14ac:dyDescent="0.25">
      <c r="A32" s="9">
        <v>0.5625</v>
      </c>
      <c r="B32" s="21" t="n">
        <v>11462.94515325829</v>
      </c>
      <c r="C32" s="21" t="n">
        <v>1069.758162344326</v>
      </c>
      <c r="D32" s="21" t="n">
        <v>4313.58617680044</v>
      </c>
      <c r="E32" s="21" t="n">
        <v>11599.98814501907</v>
      </c>
      <c r="F32" s="21" t="n">
        <v>19134.89126023536</v>
      </c>
      <c r="G32" s="21" t="n">
        <v>5669.634009235937</v>
      </c>
      <c r="H32" s="21" t="n">
        <v>5127.304351868345</v>
      </c>
      <c r="I32" s="21">
        <f si="0" t="shared"/>
        <v>44707.393083377079</v>
      </c>
      <c r="K32" s="9">
        <v>0.5625</v>
      </c>
      <c r="L32" s="7" t="n">
        <v>7302.525323717755</v>
      </c>
      <c r="M32" s="7" t="n">
        <v>428.10029398992083</v>
      </c>
      <c r="N32" s="7" t="n">
        <v>3451.2045935116403</v>
      </c>
      <c r="O32" s="7" t="n">
        <v>7537.463023697182</v>
      </c>
      <c r="P32" s="7" t="n">
        <v>8079.69046458183</v>
      </c>
      <c r="Q32" s="7" t="n">
        <v>3144.6801987765202</v>
      </c>
      <c r="R32" s="7" t="n">
        <v>3621.65392004465</v>
      </c>
      <c r="S32">
        <f si="1" t="shared"/>
        <v>74481.314464569092</v>
      </c>
    </row>
    <row r="33" spans="1:19" x14ac:dyDescent="0.25">
      <c r="A33" s="9">
        <v>0.58333333333333337</v>
      </c>
      <c r="B33" s="21" t="n">
        <v>10652.134668026298</v>
      </c>
      <c r="C33" s="21" t="n">
        <v>911.4908910052887</v>
      </c>
      <c r="D33" s="21" t="n">
        <v>5580.370458578414</v>
      </c>
      <c r="E33" s="21" t="n">
        <v>12573.933406239954</v>
      </c>
      <c r="F33" s="21" t="n">
        <v>19913.13040975454</v>
      </c>
      <c r="G33" s="21" t="n">
        <v>6052.769844599789</v>
      </c>
      <c r="H33" s="21" t="n">
        <v>6084.519347614929</v>
      </c>
      <c r="I33" s="21">
        <f si="0" t="shared"/>
        <v>47345.427217896169</v>
      </c>
      <c r="K33" s="9">
        <v>0.58333333333333337</v>
      </c>
      <c r="L33" s="7" t="n">
        <v>7688.075870355187</v>
      </c>
      <c r="M33" s="7" t="n">
        <v>547.4824894923606</v>
      </c>
      <c r="N33" s="7" t="n">
        <v>3922.944234795531</v>
      </c>
      <c r="O33" s="7" t="n">
        <v>8156.853779101208</v>
      </c>
      <c r="P33" s="7" t="n">
        <v>8684.412734860434</v>
      </c>
      <c r="Q33" s="7" t="n">
        <v>3469.129052803041</v>
      </c>
      <c r="R33" s="7" t="n">
        <v>4002.6917805639505</v>
      </c>
      <c r="S33">
        <f si="1" t="shared"/>
        <v>82767.80434513092</v>
      </c>
    </row>
    <row r="34" spans="1:19" x14ac:dyDescent="0.25">
      <c r="A34" s="9">
        <v>0.60416666666666663</v>
      </c>
      <c r="B34" s="21" t="n">
        <v>9576.158196099306</v>
      </c>
      <c r="C34" s="21" t="n">
        <v>722.7845417288303</v>
      </c>
      <c r="D34" s="21" t="n">
        <v>7073.843825970147</v>
      </c>
      <c r="E34" s="21" t="n">
        <v>13471.721924147903</v>
      </c>
      <c r="F34" s="21" t="n">
        <v>20400.70585670835</v>
      </c>
      <c r="G34" s="21" t="n">
        <v>6700.399761020193</v>
      </c>
      <c r="H34" s="21" t="n">
        <v>7113.063291209366</v>
      </c>
      <c r="I34" s="21">
        <f si="0" t="shared"/>
        <v>49847.839768194579</v>
      </c>
      <c r="K34" s="9">
        <v>0.60416666666666663</v>
      </c>
      <c r="L34" s="7" t="n">
        <v>8125.281424273879</v>
      </c>
      <c r="M34" s="7" t="n">
        <v>668.9220504292832</v>
      </c>
      <c r="N34" s="7" t="n">
        <v>4530.727945619417</v>
      </c>
      <c r="O34" s="7" t="n">
        <v>8924.510404627115</v>
      </c>
      <c r="P34" s="7" t="n">
        <v>9461.85045563776</v>
      </c>
      <c r="Q34" s="7" t="n">
        <v>3793.9984888619238</v>
      </c>
      <c r="R34" s="7" t="n">
        <v>4458.671915023079</v>
      </c>
      <c r="S34">
        <f si="1" t="shared"/>
        <v>89766.878480911255</v>
      </c>
    </row>
    <row r="35" spans="1:19" x14ac:dyDescent="0.25">
      <c r="A35" s="9">
        <v>0.625</v>
      </c>
      <c r="B35" s="21" t="n">
        <v>8411.951472780489</v>
      </c>
      <c r="C35" s="21" t="n">
        <v>577.4729115428762</v>
      </c>
      <c r="D35" s="21" t="n">
        <v>8426.29189016814</v>
      </c>
      <c r="E35" s="21" t="n">
        <v>14136.142282987825</v>
      </c>
      <c r="F35" s="21" t="n">
        <v>20503.02252134523</v>
      </c>
      <c r="G35" s="21" t="n">
        <v>7386.442075553241</v>
      </c>
      <c r="H35" s="21" t="n">
        <v>8067.638663659973</v>
      </c>
      <c r="I35" s="21">
        <f si="0" t="shared"/>
        <v>51746.183007997519</v>
      </c>
      <c r="K35" s="9">
        <v>0.625</v>
      </c>
      <c r="L35" s="7" t="n">
        <v>8658.756196936767</v>
      </c>
      <c r="M35" s="7" t="n">
        <v>775.1757243269449</v>
      </c>
      <c r="N35" s="7" t="n">
        <v>5287.020834004147</v>
      </c>
      <c r="O35" s="7" t="n">
        <v>9828.141829828608</v>
      </c>
      <c r="P35" s="7" t="n">
        <v>10434.952635532605</v>
      </c>
      <c r="Q35" s="7" t="n">
        <v>4102.906837295854</v>
      </c>
      <c r="R35" s="7" t="n">
        <v>4976.406094613903</v>
      </c>
      <c r="S35">
        <f si="1" t="shared"/>
        <v>97681.589862823486</v>
      </c>
    </row>
    <row r="36" spans="1:19" x14ac:dyDescent="0.25">
      <c r="A36" s="9">
        <v>0.64583333333333337</v>
      </c>
      <c r="B36" s="21" t="n">
        <v>7213.3224497834635</v>
      </c>
      <c r="C36" s="21" t="n">
        <v>511.3601011825876</v>
      </c>
      <c r="D36" s="21" t="n">
        <v>9269.225788367188</v>
      </c>
      <c r="E36" s="21" t="n">
        <v>14334.913011812478</v>
      </c>
      <c r="F36" s="21" t="n">
        <v>20152.66222538094</v>
      </c>
      <c r="G36" s="21" t="n">
        <v>7913.192956394773</v>
      </c>
      <c r="H36" s="21" t="n">
        <v>8857.654419919496</v>
      </c>
      <c r="I36" s="21">
        <f si="0" t="shared"/>
        <v>52458.335074828057</v>
      </c>
      <c r="K36" s="9">
        <v>0.64583333333333337</v>
      </c>
      <c r="L36" s="7" t="n">
        <v>9256.999786331045</v>
      </c>
      <c r="M36" s="7" t="n">
        <v>846.5263116510021</v>
      </c>
      <c r="N36" s="7" t="n">
        <v>6145.829107688368</v>
      </c>
      <c r="O36" s="7" t="n">
        <v>10761.67621590439</v>
      </c>
      <c r="P36" s="7" t="n">
        <v>11519.431233310432</v>
      </c>
      <c r="Q36" s="7" t="n">
        <v>4362.404967274979</v>
      </c>
      <c r="R36" s="7" t="n">
        <v>5497.940784624918</v>
      </c>
      <c r="S36">
        <f si="1" t="shared"/>
        <v>107714.65692520142</v>
      </c>
    </row>
    <row r="37" spans="1:19" x14ac:dyDescent="0.25">
      <c r="A37" s="9">
        <v>0.66666666666666663</v>
      </c>
      <c r="B37" s="21" t="n">
        <v>5994.026094912557</v>
      </c>
      <c r="C37" s="21" t="n">
        <v>511.9887802019235</v>
      </c>
      <c r="D37" s="21" t="n">
        <v>9427.471421753078</v>
      </c>
      <c r="E37" s="21" t="n">
        <v>13858.400579483177</v>
      </c>
      <c r="F37" s="21" t="n">
        <v>19409.21434747348</v>
      </c>
      <c r="G37" s="21" t="n">
        <v>8206.98125374705</v>
      </c>
      <c r="H37" s="21" t="n">
        <v>9469.3477847851</v>
      </c>
      <c r="I37" s="21">
        <f si="0" t="shared"/>
        <v>51658.468307435702</v>
      </c>
      <c r="K37" s="9">
        <v>0.66666666666666663</v>
      </c>
      <c r="L37" s="7" t="n">
        <v>9807.181705112695</v>
      </c>
      <c r="M37" s="7" t="n">
        <v>866.459600766721</v>
      </c>
      <c r="N37" s="7" t="n">
        <v>6993.629594209839</v>
      </c>
      <c r="O37" s="7" t="n">
        <v>11532.910223398296</v>
      </c>
      <c r="P37" s="7" t="n">
        <v>12523.595081286527</v>
      </c>
      <c r="Q37" s="7" t="n">
        <v>4528.531716082878</v>
      </c>
      <c r="R37" s="7" t="n">
        <v>5927.281973036126</v>
      </c>
      <c r="S37">
        <f si="1" t="shared"/>
        <v>118592.25599575043</v>
      </c>
    </row>
    <row r="38" spans="1:19" x14ac:dyDescent="0.25">
      <c r="A38" s="9">
        <v>0.6875</v>
      </c>
      <c r="B38" s="21" t="n">
        <v>4807.825896354583</v>
      </c>
      <c r="C38" s="21" t="n">
        <v>534.710792794641</v>
      </c>
      <c r="D38" s="21" t="n">
        <v>8980.20272276195</v>
      </c>
      <c r="E38" s="21" t="n">
        <v>12690.235550481255</v>
      </c>
      <c r="F38" s="21" t="n">
        <v>18438.001981715366</v>
      </c>
      <c r="G38" s="21" t="n">
        <v>8269.025784302212</v>
      </c>
      <c r="H38" s="21" t="n">
        <v>9913.150546301402</v>
      </c>
      <c r="I38" s="21">
        <f si="0" t="shared"/>
        <v>49437.8819416111</v>
      </c>
      <c r="K38" s="9">
        <v>0.6875</v>
      </c>
      <c r="L38" s="7" t="n">
        <v>10155.364608636442</v>
      </c>
      <c r="M38" s="7" t="n">
        <v>828.6809811213916</v>
      </c>
      <c r="N38" s="7" t="n">
        <v>7675.7589732192555</v>
      </c>
      <c r="O38" s="7" t="n">
        <v>11927.82349655097</v>
      </c>
      <c r="P38" s="7" t="n">
        <v>13209.190865402512</v>
      </c>
      <c r="Q38" s="7" t="n">
        <v>4561.836804672241</v>
      </c>
      <c r="R38" s="7" t="n">
        <v>6163.363810842694</v>
      </c>
      <c r="S38">
        <f si="1" t="shared"/>
        <v>126851.48402023315</v>
      </c>
    </row>
    <row r="39" spans="1:19" x14ac:dyDescent="0.25">
      <c r="A39" s="9">
        <v>0.70833333333333337</v>
      </c>
      <c r="B39" s="21" t="n">
        <v>3743.2935446854335</v>
      </c>
      <c r="C39" s="21" t="n">
        <v>534.4494352644317</v>
      </c>
      <c r="D39" s="21" t="n">
        <v>8156.5176191896135</v>
      </c>
      <c r="E39" s="21" t="n">
        <v>11077.626772940865</v>
      </c>
      <c r="F39" s="21" t="n">
        <v>17373.571547012747</v>
      </c>
      <c r="G39" s="21" t="n">
        <v>8081.584689203199</v>
      </c>
      <c r="H39" s="21" t="n">
        <v>10147.766994256775</v>
      </c>
      <c r="I39" s="21">
        <f si="0" t="shared"/>
        <v>46147.951827612786</v>
      </c>
      <c r="K39" s="9">
        <v>0.70833333333333337</v>
      </c>
      <c r="L39" s="7" t="n">
        <v>10173.32312635058</v>
      </c>
      <c r="M39" s="7" t="n">
        <v>740.9671037649175</v>
      </c>
      <c r="N39" s="7" t="n">
        <v>8049.720270444028</v>
      </c>
      <c r="O39" s="7" t="n">
        <v>11800.526573302712</v>
      </c>
      <c r="P39" s="7" t="n">
        <v>13383.734789140794</v>
      </c>
      <c r="Q39" s="7" t="n">
        <v>4442.645612558557</v>
      </c>
      <c r="R39" s="7" t="n">
        <v>6141.28864345798</v>
      </c>
      <c r="S39">
        <f si="1" t="shared"/>
        <v>128750.9614944458</v>
      </c>
    </row>
    <row r="40" spans="1:19" x14ac:dyDescent="0.25">
      <c r="A40" s="9">
        <v>0.72916666666666663</v>
      </c>
      <c r="B40" s="21" t="n">
        <v>2864.4587623679104</v>
      </c>
      <c r="C40" s="21" t="n">
        <v>494.8390145216448</v>
      </c>
      <c r="D40" s="21" t="n">
        <v>7181.871813891095</v>
      </c>
      <c r="E40" s="21" t="n">
        <v>9386.271539741332</v>
      </c>
      <c r="F40" s="21" t="n">
        <v>16208.498585473486</v>
      </c>
      <c r="G40" s="21" t="n">
        <v>7595.534780814884</v>
      </c>
      <c r="H40" s="21" t="n">
        <v>10054.382316894684</v>
      </c>
      <c r="I40" s="21">
        <f si="0" t="shared"/>
        <v>42110.50013900976</v>
      </c>
      <c r="K40" s="9">
        <v>0.72916666666666663</v>
      </c>
      <c r="L40" s="7" t="n">
        <v>9813.72174492848</v>
      </c>
      <c r="M40" s="7" t="n">
        <v>622.4353750934076</v>
      </c>
      <c r="N40" s="7" t="n">
        <v>8037.409703461515</v>
      </c>
      <c r="O40" s="7" t="n">
        <v>11133.400761366707</v>
      </c>
      <c r="P40" s="7" t="n">
        <v>12971.931560113642</v>
      </c>
      <c r="Q40" s="7" t="n">
        <v>4177.922151081618</v>
      </c>
      <c r="R40" s="7" t="n">
        <v>5855.82339201833</v>
      </c>
      <c r="S40">
        <f si="1" t="shared"/>
        <v>122505.22764873505</v>
      </c>
    </row>
    <row r="41" spans="1:19" x14ac:dyDescent="0.25">
      <c r="A41" s="9">
        <v>0.75</v>
      </c>
      <c r="B41" s="21" t="n">
        <v>2174.8574523946445</v>
      </c>
      <c r="C41" s="21" t="n">
        <v>435.01454410271333</v>
      </c>
      <c r="D41" s="21" t="n">
        <v>6206.338921750954</v>
      </c>
      <c r="E41" s="21" t="n">
        <v>7865.066238333328</v>
      </c>
      <c r="F41" s="21" t="n">
        <v>14820.682449256765</v>
      </c>
      <c r="G41" s="21" t="n">
        <v>6809.2097328706595</v>
      </c>
      <c r="H41" s="21" t="n">
        <v>9492.809021328554</v>
      </c>
      <c r="I41" s="21">
        <f si="0" t="shared"/>
        <v>37484.463900986768</v>
      </c>
      <c r="K41" s="9">
        <v>0.75</v>
      </c>
      <c r="L41" s="7" t="n">
        <v>9123.147714293047</v>
      </c>
      <c r="M41" s="7" t="n">
        <v>495.6480231811108</v>
      </c>
      <c r="N41" s="7" t="n">
        <v>7648.712119952719</v>
      </c>
      <c r="O41" s="7" t="n">
        <v>10033.527499457508</v>
      </c>
      <c r="P41" s="7" t="n">
        <v>12031.010530171921</v>
      </c>
      <c r="Q41" s="7" t="n">
        <v>3797.4786591992497</v>
      </c>
      <c r="R41" s="7" t="n">
        <v>5355.834198462194</v>
      </c>
      <c r="S41">
        <f si="1" t="shared"/>
        <v>109297.43580818176</v>
      </c>
    </row>
    <row r="42" spans="1:19" x14ac:dyDescent="0.25">
      <c r="A42" s="9">
        <v>0.77083333333333337</v>
      </c>
      <c r="B42" s="21" t="n">
        <v>1634.7194365224207</v>
      </c>
      <c r="C42" s="21" t="n">
        <v>388.5661699087581</v>
      </c>
      <c r="D42" s="21" t="n">
        <v>5326.21980367137</v>
      </c>
      <c r="E42" s="21" t="n">
        <v>6548.315857780833</v>
      </c>
      <c r="F42" s="21" t="n">
        <v>13110.126154731668</v>
      </c>
      <c r="G42" s="21" t="n">
        <v>5831.488115936276</v>
      </c>
      <c r="H42" s="21" t="n">
        <v>8408.814561000572</v>
      </c>
      <c r="I42" s="21">
        <f si="0" t="shared"/>
        <v>32383.605480038354</v>
      </c>
      <c r="K42" s="9">
        <v>0.77083333333333337</v>
      </c>
      <c r="L42" s="7" t="n">
        <v>8211.541025920036</v>
      </c>
      <c r="M42" s="7" t="n">
        <v>378.6549399595858</v>
      </c>
      <c r="N42" s="7" t="n">
        <v>6967.7396283401085</v>
      </c>
      <c r="O42" s="7" t="n">
        <v>8677.382463609223</v>
      </c>
      <c r="P42" s="7" t="n">
        <v>10712.923344673485</v>
      </c>
      <c r="Q42" s="7" t="n">
        <v>3343.802490232795</v>
      </c>
      <c r="R42" s="7" t="n">
        <v>4719.364302192456</v>
      </c>
      <c r="S42">
        <f si="1" t="shared"/>
        <v>92417.73405456543</v>
      </c>
    </row>
    <row r="43" spans="1:19" x14ac:dyDescent="0.25">
      <c r="A43" s="9">
        <v>0.79166666666666663</v>
      </c>
      <c r="B43" s="21" t="n">
        <v>1201.457787163697</v>
      </c>
      <c r="C43" s="21" t="n">
        <v>372.278860543844</v>
      </c>
      <c r="D43" s="21" t="n">
        <v>4615.784138121615</v>
      </c>
      <c r="E43" s="21" t="n">
        <v>5353.955992699295</v>
      </c>
      <c r="F43" s="21" t="n">
        <v>11116.017890567684</v>
      </c>
      <c r="G43" s="21" t="n">
        <v>4838.132961475673</v>
      </c>
      <c r="H43" s="21" t="n">
        <v>6915.540896412714</v>
      </c>
      <c r="I43" s="21">
        <f si="0" t="shared"/>
        <v>27058.798677189538</v>
      </c>
      <c r="K43" s="9">
        <v>0.79166666666666663</v>
      </c>
      <c r="L43" s="7" t="n">
        <v>7203.206049102435</v>
      </c>
      <c r="M43" s="7" t="n">
        <v>281.17031770300997</v>
      </c>
      <c r="N43" s="7" t="n">
        <v>6114.731955270816</v>
      </c>
      <c r="O43" s="7" t="n">
        <v>7244.374786858477</v>
      </c>
      <c r="P43" s="7" t="n">
        <v>9203.188878182485</v>
      </c>
      <c r="Q43" s="7" t="n">
        <v>2861.1460156106496</v>
      </c>
      <c r="R43" s="7" t="n">
        <v>4026.9824587968824</v>
      </c>
      <c r="S43">
        <f si="1" t="shared"/>
        <v>75296.394287109375</v>
      </c>
    </row>
    <row r="44" spans="1:19" x14ac:dyDescent="0.25">
      <c r="A44" s="9">
        <v>0.8125</v>
      </c>
      <c r="B44" s="21" t="n">
        <v>854.0866497066438</v>
      </c>
      <c r="C44" s="21" t="n">
        <v>371.84047478608045</v>
      </c>
      <c r="D44" s="21" t="n">
        <v>4114.806373180604</v>
      </c>
      <c r="E44" s="21" t="n">
        <v>4231.790485185211</v>
      </c>
      <c r="F44" s="21" t="n">
        <v>9013.836010042976</v>
      </c>
      <c r="G44" s="21" t="n">
        <v>3957.8850791234986</v>
      </c>
      <c r="H44" s="21" t="n">
        <v>5274.357895453258</v>
      </c>
      <c r="I44" s="21">
        <f si="0" t="shared"/>
        <v>21908.259979639624</v>
      </c>
      <c r="K44" s="9">
        <v>0.8125</v>
      </c>
      <c r="L44" s="7" t="n">
        <v>6199.211279946852</v>
      </c>
      <c r="M44" s="7" t="n">
        <v>205.32393431672259</v>
      </c>
      <c r="N44" s="7" t="n">
        <v>5206.291027854908</v>
      </c>
      <c r="O44" s="7" t="n">
        <v>5873.181218847476</v>
      </c>
      <c r="P44" s="7" t="n">
        <v>7667.8312619612525</v>
      </c>
      <c r="Q44" s="7" t="n">
        <v>2387.2405242018563</v>
      </c>
      <c r="R44" s="7" t="n">
        <v>3344.4073630662415</v>
      </c>
      <c r="S44">
        <f si="1" t="shared"/>
        <v>59956.284727096558</v>
      </c>
    </row>
    <row r="45" spans="1:19" x14ac:dyDescent="0.25">
      <c r="A45" s="9">
        <v>0.83333333333333337</v>
      </c>
      <c r="B45" s="21" t="n">
        <v>590.1379317598183</v>
      </c>
      <c r="C45" s="21" t="n">
        <v>356.10669377859176</v>
      </c>
      <c r="D45" s="21" t="n">
        <v>3798.5112245435475</v>
      </c>
      <c r="E45" s="21" t="n">
        <v>3214.0990107961497</v>
      </c>
      <c r="F45" s="21" t="n">
        <v>7009.613814153461</v>
      </c>
      <c r="G45" s="21" t="n">
        <v>3208.1587569881926</v>
      </c>
      <c r="H45" s="21" t="n">
        <v>3772.5832213615004</v>
      </c>
      <c r="I45" s="21">
        <f si="0" t="shared"/>
        <v>17301.922426483536</v>
      </c>
      <c r="K45" s="9">
        <v>0.83333333333333337</v>
      </c>
      <c r="L45" s="7" t="n">
        <v>5264.751494459324</v>
      </c>
      <c r="M45" s="7" t="n">
        <v>148.71224427366136</v>
      </c>
      <c r="N45" s="7" t="n">
        <v>4330.7325319724805</v>
      </c>
      <c r="O45" s="7" t="n">
        <v>4649.232155835833</v>
      </c>
      <c r="P45" s="7" t="n">
        <v>6225.014060515734</v>
      </c>
      <c r="Q45" s="7" t="n">
        <v>1948.9793516701043</v>
      </c>
      <c r="R45" s="7" t="n">
        <v>2715.9212746825597</v>
      </c>
      <c r="S45">
        <f si="1" t="shared"/>
        <v>46828.407383918762</v>
      </c>
    </row>
    <row r="46" spans="1:19" x14ac:dyDescent="0.25">
      <c r="A46" s="9">
        <v>0.85416666666666663</v>
      </c>
      <c r="B46" s="21" t="n">
        <v>409.5753067394697</v>
      </c>
      <c r="C46" s="21" t="n">
        <v>305.0283002272218</v>
      </c>
      <c r="D46" s="21" t="n">
        <v>3578.1661136115163</v>
      </c>
      <c r="E46" s="21" t="n">
        <v>2364.3114151054683</v>
      </c>
      <c r="F46" s="21" t="n">
        <v>5237.5162730192915</v>
      </c>
      <c r="G46" s="21" t="n">
        <v>2538.363489571826</v>
      </c>
      <c r="H46" s="21" t="n">
        <v>2587.7766872168227</v>
      </c>
      <c r="I46" s="21">
        <f si="0" t="shared"/>
        <v>13414.386180111407</v>
      </c>
      <c r="K46" s="9">
        <v>0.85416666666666663</v>
      </c>
      <c r="L46" s="7" t="n">
        <v>4434.922693351041</v>
      </c>
      <c r="M46" s="7" t="n">
        <v>107.34653163382357</v>
      </c>
      <c r="N46" s="7" t="n">
        <v>3541.834754254843</v>
      </c>
      <c r="O46" s="7" t="n">
        <v>3612.305757493645</v>
      </c>
      <c r="P46" s="7" t="n">
        <v>4941.449265811525</v>
      </c>
      <c r="Q46" s="7" t="n">
        <v>1562.1641035347598</v>
      </c>
      <c r="R46" s="7" t="n">
        <v>2165.4127232485307</v>
      </c>
      <c r="S46">
        <f si="1" t="shared"/>
        <v>35603.554867744446</v>
      </c>
    </row>
    <row r="47" spans="1:19" x14ac:dyDescent="0.25">
      <c r="A47" s="9">
        <v>0.875</v>
      </c>
      <c r="B47" s="21" t="n">
        <v>303.9261382482031</v>
      </c>
      <c r="C47" s="21" t="n">
        <v>225.09496226808406</v>
      </c>
      <c r="D47" s="21" t="n">
        <v>3339.4289262331404</v>
      </c>
      <c r="E47" s="21" t="n">
        <v>1712.0109177360396</v>
      </c>
      <c r="F47" s="21" t="n">
        <v>3742.0184234157955</v>
      </c>
      <c r="G47" s="21" t="n">
        <v>1916.2196716579576</v>
      </c>
      <c r="H47" s="21" t="n">
        <v>1741.1491811873746</v>
      </c>
      <c r="I47" s="21">
        <f si="0" t="shared"/>
        <v>10218.863491537762</v>
      </c>
      <c r="K47" s="9">
        <v>0.875</v>
      </c>
      <c r="L47" s="7" t="n">
        <v>3723.673535525158</v>
      </c>
      <c r="M47" s="7" t="n">
        <v>77.38986893270655</v>
      </c>
      <c r="N47" s="7" t="n">
        <v>2863.84558272281</v>
      </c>
      <c r="O47" s="7" t="n">
        <v>2769.6696481240947</v>
      </c>
      <c r="P47" s="7" t="n">
        <v>3843.6876766079167</v>
      </c>
      <c r="Q47" s="7" t="n">
        <v>1233.684157144257</v>
      </c>
      <c r="R47" s="7" t="n">
        <v>1701.012618995836</v>
      </c>
      <c r="S47">
        <f si="1" t="shared"/>
        <v>26091.1083984375</v>
      </c>
    </row>
    <row r="48" spans="1:19" x14ac:dyDescent="0.25">
      <c r="A48" s="9">
        <v>0.89583333333333337</v>
      </c>
      <c r="B48" s="21" t="n">
        <v>255.7352049524328</v>
      </c>
      <c r="C48" s="21" t="n">
        <v>140.81837401855856</v>
      </c>
      <c r="D48" s="21" t="n">
        <v>2991.8329334629625</v>
      </c>
      <c r="E48" s="21" t="n">
        <v>1236.6847333365065</v>
      </c>
      <c r="F48" s="21" t="n">
        <v>2525.930755790294</v>
      </c>
      <c r="G48" s="21" t="n">
        <v>1361.9863036209354</v>
      </c>
      <c r="H48" s="21" t="n">
        <v>1155.0996031261839</v>
      </c>
      <c r="I48" s="21">
        <f si="0" t="shared"/>
        <v>7602.7766500541684</v>
      </c>
      <c r="K48" s="9">
        <v>0.89583333333333337</v>
      </c>
      <c r="L48" s="7" t="n">
        <v>3126.3224210015815</v>
      </c>
      <c r="M48" s="7" t="n">
        <v>55.741583285376954</v>
      </c>
      <c r="N48" s="7" t="n">
        <v>2298.7132721535613</v>
      </c>
      <c r="O48" s="7" t="n">
        <v>2106.5940124186427</v>
      </c>
      <c r="P48" s="7" t="n">
        <v>2932.447961081571</v>
      </c>
      <c r="Q48" s="7" t="n">
        <v>963.5074345270166</v>
      </c>
      <c r="R48" s="7" t="n">
        <v>1319.8272172452048</v>
      </c>
      <c r="S48">
        <f si="1" t="shared"/>
        <v>18416.249826431274</v>
      </c>
    </row>
    <row r="49" spans="1:19" x14ac:dyDescent="0.25">
      <c r="A49" s="9">
        <v>0.91666666666666663</v>
      </c>
      <c r="B49" s="21" t="n">
        <v>242.14424753983843</v>
      </c>
      <c r="C49" s="21" t="n">
        <v>74.46649800831682</v>
      </c>
      <c r="D49" s="21" t="n">
        <v>2504.940427859386</v>
      </c>
      <c r="E49" s="21" t="n">
        <v>893.5920821595769</v>
      </c>
      <c r="F49" s="21" t="n">
        <v>1589.8123761562626</v>
      </c>
      <c r="G49" s="21" t="n">
        <v>915.1669613488853</v>
      </c>
      <c r="H49" s="21" t="n">
        <v>741.2469456149697</v>
      </c>
      <c r="I49" s="21">
        <f si="0" t="shared"/>
        <v>5471.1755004505148</v>
      </c>
      <c r="K49" s="9">
        <v>0.91666666666666663</v>
      </c>
      <c r="L49" s="7" t="n">
        <v>2618.2449276287975</v>
      </c>
      <c r="M49" s="7" t="n">
        <v>40.009748573503565</v>
      </c>
      <c r="N49" s="7" t="n">
        <v>1831.6679250135203</v>
      </c>
      <c r="O49" s="7" t="n">
        <v>1593.5679525451644</v>
      </c>
      <c r="P49" s="7" t="n">
        <v>2192.805526584957</v>
      </c>
      <c r="Q49" s="7" t="n">
        <v>745.4917296885791</v>
      </c>
      <c r="R49" s="7" t="n">
        <v>1011.3000212562638</v>
      </c>
      <c r="S49">
        <f si="1" t="shared"/>
        <v>12694.050999641418</v>
      </c>
    </row>
    <row r="50" spans="1:19" x14ac:dyDescent="0.25">
      <c r="A50" s="9">
        <v>0.9375</v>
      </c>
      <c r="B50" s="21" t="n">
        <v>238.33828076959162</v>
      </c>
      <c r="C50" s="21" t="n">
        <v>33.64193310399108</v>
      </c>
      <c r="D50" s="21" t="n">
        <v>1918.521696756061</v>
      </c>
      <c r="E50" s="21" t="n">
        <v>642.7012714672051</v>
      </c>
      <c r="F50" s="21" t="n">
        <v>927.2722289909766</v>
      </c>
      <c r="G50" s="21" t="n">
        <v>590.8427909784698</v>
      </c>
      <c r="H50" s="21" t="n">
        <v>446.00073484790204</v>
      </c>
      <c r="I50" s="21">
        <f si="0" t="shared"/>
        <v>3770.8789525899883</v>
      </c>
      <c r="K50" s="9">
        <v>0.9375</v>
      </c>
      <c r="L50" s="7" t="n">
        <v>2160.1174588502245</v>
      </c>
      <c r="M50" s="7" t="n">
        <v>28.369636228154434</v>
      </c>
      <c r="N50" s="7" t="n">
        <v>1437.624694888427</v>
      </c>
      <c r="O50" s="7" t="n">
        <v>1193.5902613913324</v>
      </c>
      <c r="P50" s="7" t="n">
        <v>1600.4971617636493</v>
      </c>
      <c r="Q50" s="7" t="n">
        <v>568.753313424728</v>
      </c>
      <c r="R50" s="7" t="n">
        <v>760.4794793122346</v>
      </c>
      <c r="S50">
        <f si="1" t="shared"/>
        <v>8722.9691181182861</v>
      </c>
    </row>
    <row r="51" spans="1:19" x14ac:dyDescent="0.25">
      <c r="A51" s="9">
        <v>0.95833333333333337</v>
      </c>
      <c r="B51" s="21" t="n">
        <v>223.1532298379772</v>
      </c>
      <c r="C51" s="21" t="n">
        <v>13.383187299561577</v>
      </c>
      <c r="D51" s="21" t="n">
        <v>1321.2878179701183</v>
      </c>
      <c r="E51" s="21" t="n">
        <v>457.4591855336428</v>
      </c>
      <c r="F51" s="21" t="n">
        <v>504.286136512756</v>
      </c>
      <c r="G51" s="21" t="n">
        <v>371.31242413192916</v>
      </c>
      <c r="H51" s="21" t="n">
        <v>244.86615959920755</v>
      </c>
      <c r="I51" s="21">
        <f si="0" t="shared"/>
        <v>2465.3496002215379</v>
      </c>
      <c r="K51" s="9">
        <v>0.95833333333333337</v>
      </c>
      <c r="L51" s="7" t="n">
        <v>1715.801259664508</v>
      </c>
      <c r="M51" s="7" t="n">
        <v>19.52646091941472</v>
      </c>
      <c r="N51" s="7" t="n">
        <v>1091.8138737457994</v>
      </c>
      <c r="O51" s="7" t="n">
        <v>871.9565498096897</v>
      </c>
      <c r="P51" s="7" t="n">
        <v>1128.5272247697005</v>
      </c>
      <c r="Q51" s="7" t="n">
        <v>421.4921877767798</v>
      </c>
      <c r="R51" s="7" t="n">
        <v>552.8973021885645</v>
      </c>
      <c r="S51">
        <f si="1" t="shared"/>
        <v>6019.6871509552002</v>
      </c>
    </row>
    <row r="52" spans="1:19" x14ac:dyDescent="0.25">
      <c r="A52" s="9">
        <v>0.97916666666666663</v>
      </c>
      <c r="B52" s="21" t="n">
        <v>187.0056826118693</v>
      </c>
      <c r="C52" s="21" t="n">
        <v>4.929989739274429</v>
      </c>
      <c r="D52" s="21" t="n">
        <v>806.6175367645751</v>
      </c>
      <c r="E52" s="21" t="n">
        <v>319.39500659411794</v>
      </c>
      <c r="F52" s="21" t="n">
        <v>259.78236474504837</v>
      </c>
      <c r="G52" s="21" t="n">
        <v>226.06890733654222</v>
      </c>
      <c r="H52" s="21" t="n">
        <v>120.59485354897325</v>
      </c>
      <c r="I52" s="21">
        <f si="0" t="shared"/>
        <v>1511.6700702739711</v>
      </c>
      <c r="K52" s="9">
        <v>0.97916666666666663</v>
      </c>
      <c r="L52" s="7" t="n">
        <v>1274.666847251879</v>
      </c>
      <c r="M52" s="7" t="n">
        <v>12.720826962702514</v>
      </c>
      <c r="N52" s="7" t="n">
        <v>781.9274794278108</v>
      </c>
      <c r="O52" s="7" t="n">
        <v>606.080342742884</v>
      </c>
      <c r="P52" s="7" t="n">
        <v>755.0684825487083</v>
      </c>
      <c r="Q52" s="7" t="n">
        <v>296.06469231544474</v>
      </c>
      <c r="R52" s="7" t="n">
        <v>379.8008414657194</v>
      </c>
      <c r="S52">
        <f si="1" t="shared"/>
        <v>4085.8579196929932</v>
      </c>
    </row>
    <row r="53" spans="1:19" x14ac:dyDescent="0.25">
      <c r="A53" s="9">
        <v>1</v>
      </c>
      <c r="B53" s="21" t="n">
        <v>135.40355077770704</v>
      </c>
      <c r="C53" s="21" t="n">
        <v>1.7537702728759768</v>
      </c>
      <c r="D53" s="21" t="n">
        <v>430.875798783865</v>
      </c>
      <c r="E53" s="21" t="n">
        <v>214.16017083589762</v>
      </c>
      <c r="F53" s="21" t="n">
        <v>128.14807085240858</v>
      </c>
      <c r="G53" s="21" t="n">
        <v>130.46442641631037</v>
      </c>
      <c r="H53" s="21" t="n">
        <v>52.80967750144342</v>
      </c>
      <c r="I53" s="21">
        <f si="0" t="shared"/>
        <v>856.34188237457261</v>
      </c>
      <c r="K53" s="9">
        <v>1</v>
      </c>
      <c r="L53" s="7" t="n">
        <v>859.9524712785394</v>
      </c>
      <c r="M53" s="7" t="n">
        <v>7.622153612751304</v>
      </c>
      <c r="N53" s="7" t="n">
        <v>513.0387095462411</v>
      </c>
      <c r="O53" s="7" t="n">
        <v>389.1116578535398</v>
      </c>
      <c r="P53" s="7" t="n">
        <v>467.9664335226095</v>
      </c>
      <c r="Q53" s="7" t="n">
        <v>191.43657694647146</v>
      </c>
      <c r="R53" s="7" t="n">
        <v>239.86863809243368</v>
      </c>
      <c r="S53">
        <f si="1" t="shared"/>
        <v>2618.3891410827637</v>
      </c>
    </row>
    <row r="54" spans="1:19" x14ac:dyDescent="0.25">
      <c r="A54" s="9">
        <v>1.0208333333333333</v>
      </c>
      <c r="B54" s="21" t="n">
        <v>82.9265787284429</v>
      </c>
      <c r="C54" s="21" t="n">
        <v>0.594688124169922</v>
      </c>
      <c r="D54" s="21" t="n">
        <v>198.7593371192727</v>
      </c>
      <c r="E54" s="21" t="n">
        <v>133.05838338390976</v>
      </c>
      <c r="F54" s="21" t="n">
        <v>59.75880632410357</v>
      </c>
      <c r="G54" s="21" t="n">
        <v>69.56085901117206</v>
      </c>
      <c r="H54" s="21" t="n">
        <v>20.472843488908424</v>
      </c>
      <c r="I54" s="21">
        <f si="0" t="shared"/>
        <v>439.71956174840926</v>
      </c>
      <c r="K54" s="9">
        <v>1.0208333333333333</v>
      </c>
      <c r="L54" s="7" t="n">
        <v>512.8896769138382</v>
      </c>
      <c r="M54" s="7" t="n">
        <v>4.0839714091646115</v>
      </c>
      <c r="N54" s="7" t="n">
        <v>299.8635905577427</v>
      </c>
      <c r="O54" s="7" t="n">
        <v>223.98216067632245</v>
      </c>
      <c r="P54" s="7" t="n">
        <v>261.4942838826354</v>
      </c>
      <c r="Q54" s="7" t="n">
        <v>110.67872658608096</v>
      </c>
      <c r="R54" s="7" t="n">
        <v>135.48737150494028</v>
      </c>
      <c r="S54">
        <f si="1" t="shared"/>
        <v>1518.0993509292603</v>
      </c>
    </row>
    <row r="55" spans="1:19" x14ac:dyDescent="0.25">
      <c r="A55" s="9">
        <v>4.1666666666666664E-2</v>
      </c>
      <c r="B55" s="21" t="n">
        <v>42.28489196392291</v>
      </c>
      <c r="C55" s="21" t="n">
        <v>0.17983170852611544</v>
      </c>
      <c r="D55" s="21" t="n">
        <v>77.9841784875523</v>
      </c>
      <c r="E55" s="21" t="n">
        <v>73.44603603107268</v>
      </c>
      <c r="F55" s="21" t="n">
        <v>25.313553679106214</v>
      </c>
      <c r="G55" s="21" t="n">
        <v>33.620009793775566</v>
      </c>
      <c r="H55" s="21" t="n">
        <v>7.012949621528808</v>
      </c>
      <c r="I55" s="21">
        <f si="0" t="shared"/>
        <v>200.20572175302505</v>
      </c>
      <c r="K55" s="9">
        <v>4.1666666666666664E-2</v>
      </c>
      <c r="L55" s="7" t="n">
        <v>263.9518851883589</v>
      </c>
      <c r="M55" s="7" t="n">
        <v>1.9061524735627746</v>
      </c>
      <c r="N55" s="7" t="n">
        <v>152.13772115838057</v>
      </c>
      <c r="O55" s="7" t="n">
        <v>112.43962386604932</v>
      </c>
      <c r="P55" s="7" t="n">
        <v>128.18717518730014</v>
      </c>
      <c r="Q55" s="7" t="n">
        <v>55.68888612730156</v>
      </c>
      <c r="R55" s="7" t="n">
        <v>66.67227452128826</v>
      </c>
      <c r="S55">
        <f si="1" t="shared"/>
        <v>768.62713241577148</v>
      </c>
    </row>
    <row r="56" spans="1:19" x14ac:dyDescent="0.25">
      <c r="A56" s="9">
        <v>6.25E-2</v>
      </c>
      <c r="B56" s="21" t="n">
        <v>17.675110170380407</v>
      </c>
      <c r="C56" s="21" t="n">
        <v>0.04496145248413086</v>
      </c>
      <c r="D56" s="21" t="n">
        <v>25.531683765755048</v>
      </c>
      <c r="E56" s="21" t="n">
        <v>34.60740507166548</v>
      </c>
      <c r="F56" s="21" t="n">
        <v>9.237541190254479</v>
      </c>
      <c r="G56" s="21" t="n">
        <v>14.553657240518579</v>
      </c>
      <c r="H56" s="21" t="n">
        <v>2.1284591425105064</v>
      </c>
      <c r="I56" s="21">
        <f si="0" t="shared"/>
        <v>78.91547711515426</v>
      </c>
      <c r="K56" s="9">
        <v>6.25E-2</v>
      </c>
      <c r="L56" s="7" t="n">
        <v>114.51505677828042</v>
      </c>
      <c r="M56" s="7" t="n">
        <v>0.7557694826591809</v>
      </c>
      <c r="N56" s="7" t="n">
        <v>65.35927460589798</v>
      </c>
      <c r="O56" s="7" t="n">
        <v>47.947776586642846</v>
      </c>
      <c r="P56" s="7" t="n">
        <v>53.649008186730484</v>
      </c>
      <c r="Q56" s="7" t="n">
        <v>23.767019131022586</v>
      </c>
      <c r="R56" s="7" t="n">
        <v>27.866490528031093</v>
      </c>
      <c r="S56">
        <f si="1" t="shared"/>
        <v>330.06389045715332</v>
      </c>
    </row>
    <row r="57" spans="1:19" x14ac:dyDescent="0.25">
      <c r="A57" s="9">
        <v>8.3333333333333329E-2</v>
      </c>
      <c r="B57" s="21" t="n">
        <v>5.943171070988752</v>
      </c>
      <c r="C57" s="21" t="n">
        <v>0.008712521791458129</v>
      </c>
      <c r="D57" s="21" t="n">
        <v>6.79909395109825</v>
      </c>
      <c r="E57" s="21" t="n">
        <v>13.424479666471743</v>
      </c>
      <c r="F57" s="21" t="n">
        <v>2.7506022283005485</v>
      </c>
      <c r="G57" s="21" t="n">
        <v>5.576293910876845</v>
      </c>
      <c r="H57" s="21" t="n">
        <v>0.5794186835502795</v>
      </c>
      <c r="I57" s="21">
        <f si="0" t="shared"/>
        <v>26.244989725494381</v>
      </c>
      <c r="K57" s="9">
        <v>8.3333333333333329E-2</v>
      </c>
      <c r="L57" s="7" t="n">
        <v>40.84726765106199</v>
      </c>
      <c r="M57" s="7" t="n">
        <v>0.24789660675904135</v>
      </c>
      <c r="N57" s="7" t="n">
        <v>23.160270108139464</v>
      </c>
      <c r="O57" s="7" t="n">
        <v>16.9005325082482</v>
      </c>
      <c r="P57" s="7" t="n">
        <v>18.631271242319464</v>
      </c>
      <c r="Q57" s="7" t="n">
        <v>8.375834497217024</v>
      </c>
      <c r="R57" s="7" t="n">
        <v>9.63097728881307</v>
      </c>
      <c r="S57">
        <f si="1" t="shared"/>
        <v>116.91851997375488</v>
      </c>
    </row>
    <row r="58" spans="1:19" x14ac:dyDescent="0.25">
      <c r="A58" s="9">
        <v>0.10416666666666667</v>
      </c>
      <c r="B58" s="21" t="n">
        <v>1.5661479539325311</v>
      </c>
      <c r="C58" s="21" t="n">
        <v>0.0012220656871795655</v>
      </c>
      <c r="D58" s="21" t="n">
        <v>1.4211380660582402</v>
      </c>
      <c r="E58" s="21" t="n">
        <v>4.132116040206659</v>
      </c>
      <c r="F58" s="21" t="n">
        <v>0.6314078053711758</v>
      </c>
      <c r="G58" s="21" t="n">
        <v>1.8509561081204575</v>
      </c>
      <c r="H58" s="21" t="n">
        <v>0.14418209660633352</v>
      </c>
      <c r="I58" s="21">
        <f si="0" t="shared"/>
        <v>7.1514403409004208</v>
      </c>
      <c r="J58" s="5"/>
      <c r="K58" s="9">
        <v>0.10416666666666667</v>
      </c>
      <c r="L58" s="7" t="n">
        <v>11.617795688594395</v>
      </c>
      <c r="M58" s="7" t="n">
        <v>0.06516936701197498</v>
      </c>
      <c r="N58" s="7" t="n">
        <v>6.559507712274006</v>
      </c>
      <c r="O58" s="7" t="n">
        <v>4.767799797784626</v>
      </c>
      <c r="P58" s="7" t="n">
        <v>5.193152161816493</v>
      </c>
      <c r="Q58" s="7" t="n">
        <v>2.3609317647686456</v>
      </c>
      <c r="R58" s="7" t="n">
        <v>2.6658269673825656</v>
      </c>
      <c r="S58">
        <f si="1" t="shared"/>
        <v>33.091830253601074</v>
      </c>
    </row>
    <row r="59" spans="1:19" x14ac:dyDescent="0.25">
      <c r="A59" s="9">
        <v>0.125</v>
      </c>
      <c r="B59" s="21" t="n">
        <v>0.30740211545840834</v>
      </c>
      <c r="C59" s="21" t="n">
        <v>1.1085391044616702E-4</v>
      </c>
      <c r="D59" s="21" t="n">
        <v>0.21978289746735352</v>
      </c>
      <c r="E59" s="21" t="n">
        <v>0.9490611275555259</v>
      </c>
      <c r="F59" s="21" t="n">
        <v>0.10338606754388036</v>
      </c>
      <c r="G59" s="21" t="n">
        <v>0.49689352597592285</v>
      </c>
      <c r="H59" s="21" t="n">
        <v>0.031928184006821535</v>
      </c>
      <c r="I59" s="21">
        <f si="0" t="shared"/>
        <v>1.5134957714080812</v>
      </c>
      <c r="J59" s="5"/>
      <c r="K59" s="9">
        <v>0.125</v>
      </c>
      <c r="L59" s="7" t="n">
        <v>2.489054210136347</v>
      </c>
      <c r="M59" s="7" t="n">
        <v>0.012986160091153795</v>
      </c>
      <c r="N59" s="7" t="n">
        <v>1.401921866702976</v>
      </c>
      <c r="O59" s="7" t="n">
        <v>1.0159445875612558</v>
      </c>
      <c r="P59" s="7" t="n">
        <v>1.095776477045934</v>
      </c>
      <c r="Q59" s="7" t="n">
        <v>0.5024773465955696</v>
      </c>
      <c r="R59" s="7" t="n">
        <v>0.558063137647751</v>
      </c>
      <c r="S59">
        <f si="1" t="shared"/>
        <v>7.0654144287109375</v>
      </c>
    </row>
    <row r="60" spans="1:19" x14ac:dyDescent="0.25">
      <c r="A60" s="18" t="s">
        <v>7</v>
      </c>
      <c r="B60" s="22" t="n">
        <v>0.0</v>
      </c>
      <c r="C60" s="22" t="n">
        <v>0.0</v>
      </c>
      <c r="D60" s="22" t="n">
        <v>0.0</v>
      </c>
      <c r="E60" s="22" t="n">
        <v>0.0</v>
      </c>
      <c r="F60" s="22" t="n">
        <v>0.0</v>
      </c>
      <c r="G60" s="22" t="n">
        <v>0.0</v>
      </c>
      <c r="H60" s="22" t="n">
        <v>0.0</v>
      </c>
      <c r="I60" s="21">
        <f si="0" t="shared"/>
        <v>0</v>
      </c>
      <c r="J60" s="5"/>
      <c r="K60" s="18" t="s">
        <v>7</v>
      </c>
      <c r="L60" s="7" t="n">
        <v>0.0</v>
      </c>
      <c r="M60" s="7" t="n">
        <v>0.0</v>
      </c>
      <c r="N60" s="7" t="n">
        <v>0.0</v>
      </c>
      <c r="O60" s="7" t="n">
        <v>0.0</v>
      </c>
      <c r="P60" s="7" t="n">
        <v>0.0</v>
      </c>
      <c r="Q60" s="7" t="n">
        <v>0.0</v>
      </c>
      <c r="R60" s="7" t="n">
        <v>0.0</v>
      </c>
      <c r="S60">
        <f si="1" t="shared"/>
        <v>0</v>
      </c>
    </row>
    <row ht="15.75" r="61" spans="1:19" thickBot="1" x14ac:dyDescent="0.3">
      <c r="A61" s="19"/>
      <c r="B61" s="20">
        <f>SUM(B10:B60)</f>
        <v>111658.70128850274</v>
      </c>
      <c r="C61" s="20">
        <f ref="C61:I61" si="2" t="shared">SUM(C10:C60)</f>
        <v>9720.3653960803986</v>
      </c>
      <c r="D61" s="20">
        <f si="2" t="shared"/>
        <v>100396.12611985218</v>
      </c>
      <c r="E61" s="20">
        <f si="2" t="shared"/>
        <v>169595.354881929</v>
      </c>
      <c r="F61" s="20">
        <f si="2" t="shared"/>
        <v>280564.01148980047</v>
      </c>
      <c r="G61" s="20">
        <f si="2" t="shared"/>
        <v>102777.33468261328</v>
      </c>
      <c r="H61" s="20">
        <f si="2" t="shared"/>
        <v>117450.92086151913</v>
      </c>
      <c r="I61" s="20">
        <f si="2" t="shared"/>
        <v>892162.81472029735</v>
      </c>
      <c r="J61" s="5"/>
      <c r="K61" s="19"/>
      <c r="L61" s="20">
        <f>SUM(L10:L60)</f>
        <v>273738.94678497314</v>
      </c>
      <c r="M61" s="20">
        <f ref="M61:R61" si="3" t="shared">SUM(M10:M60)</f>
        <v>41028.025798797607</v>
      </c>
      <c r="N61" s="20">
        <f si="3" t="shared"/>
        <v>430493.2244644165</v>
      </c>
      <c r="O61" s="20">
        <f si="3" t="shared"/>
        <v>497044.48961830139</v>
      </c>
      <c r="P61" s="20">
        <f si="3" t="shared"/>
        <v>142233.20415210724</v>
      </c>
      <c r="Q61" s="20">
        <f si="3" t="shared"/>
        <v>55211.059316635132</v>
      </c>
      <c r="R61" s="20">
        <f si="3" t="shared"/>
        <v>342628.9522485733</v>
      </c>
      <c r="S61" s="20">
        <f ref="S61" si="4" t="shared">SUM(S10:S60)</f>
        <v>1782377.9023838043</v>
      </c>
    </row>
    <row r="62" spans="1:19" x14ac:dyDescent="0.25">
      <c r="J62" s="5"/>
    </row>
    <row r="63" spans="1:19" x14ac:dyDescent="0.25">
      <c r="J63" s="5"/>
    </row>
    <row ht="15.75" r="65" spans="1:19" thickBot="1" x14ac:dyDescent="0.3">
      <c r="A65" s="3" t="s">
        <v>32</v>
      </c>
      <c r="B65" s="1"/>
      <c r="C65" s="1"/>
      <c r="D65" s="1"/>
      <c r="E65" s="1"/>
      <c r="F65" s="1"/>
      <c r="G65" s="1"/>
      <c r="H65" s="1"/>
      <c r="I65" s="1"/>
      <c r="K65" s="3" t="s">
        <v>16</v>
      </c>
      <c r="L65" s="1"/>
      <c r="M65" s="1"/>
      <c r="N65" s="1"/>
      <c r="O65" s="1"/>
      <c r="P65" s="1"/>
      <c r="Q65" s="1"/>
      <c r="R65" s="1"/>
      <c r="S65" s="1"/>
    </row>
    <row r="66" spans="1:19" x14ac:dyDescent="0.25">
      <c r="A66" s="2" t="s">
        <v>3</v>
      </c>
      <c r="B66" s="4" t="s">
        <v>31</v>
      </c>
      <c r="C66" s="4" t="s">
        <v>31</v>
      </c>
      <c r="D66" s="4" t="s">
        <v>31</v>
      </c>
      <c r="E66" s="4" t="s">
        <v>31</v>
      </c>
      <c r="F66" s="4" t="s">
        <v>31</v>
      </c>
      <c r="G66" s="4" t="s">
        <v>31</v>
      </c>
      <c r="H66" s="4" t="s">
        <v>31</v>
      </c>
      <c r="I66" s="4" t="s">
        <v>31</v>
      </c>
      <c r="K66" s="2" t="s">
        <v>3</v>
      </c>
      <c r="L66" s="4" t="s">
        <v>8</v>
      </c>
      <c r="M66" s="4" t="s">
        <v>8</v>
      </c>
      <c r="N66" s="4" t="s">
        <v>8</v>
      </c>
      <c r="O66" s="4" t="s">
        <v>8</v>
      </c>
      <c r="P66" s="4" t="s">
        <v>8</v>
      </c>
      <c r="Q66" s="4" t="s">
        <v>8</v>
      </c>
      <c r="R66" s="4" t="s">
        <v>8</v>
      </c>
      <c r="S66" s="4" t="s">
        <v>8</v>
      </c>
    </row>
    <row r="67" spans="1:19" x14ac:dyDescent="0.25">
      <c r="A67" t="s">
        <v>4</v>
      </c>
      <c r="B67" s="15">
        <f>B10/B$61</f>
        <v>0</v>
      </c>
      <c r="C67" s="15">
        <f ref="C67:I67" si="5" t="shared">C10/C$61</f>
        <v>0</v>
      </c>
      <c r="D67" s="15">
        <f si="5" t="shared"/>
        <v>0</v>
      </c>
      <c r="E67" s="15">
        <f si="5" t="shared"/>
        <v>0</v>
      </c>
      <c r="F67" s="15">
        <f si="5" t="shared"/>
        <v>0</v>
      </c>
      <c r="G67" s="15">
        <f si="5" t="shared"/>
        <v>0</v>
      </c>
      <c r="H67" s="15">
        <f si="5" t="shared"/>
        <v>0</v>
      </c>
      <c r="I67" s="15">
        <f si="5" t="shared"/>
        <v>0</v>
      </c>
      <c r="K67" t="s">
        <v>4</v>
      </c>
      <c r="L67" s="14">
        <f>L10/L$61</f>
        <v>1.0192192352488283E-3</v>
      </c>
      <c r="M67" s="14">
        <f ref="M67:S67" si="6" t="shared">M10/M$61</f>
        <v>0</v>
      </c>
      <c r="N67" s="14">
        <f si="6" t="shared"/>
        <v>6.5668861653214537E-3</v>
      </c>
      <c r="O67" s="14">
        <f si="6" t="shared"/>
        <v>1.0743505081609055E-3</v>
      </c>
      <c r="P67" s="14">
        <f si="6" t="shared"/>
        <v>3.0794497150721106E-3</v>
      </c>
      <c r="Q67" s="14">
        <f si="6" t="shared"/>
        <v>2.6081731048513443E-3</v>
      </c>
      <c r="R67" s="14">
        <f si="6" t="shared"/>
        <v>1.4009323988819415E-4</v>
      </c>
      <c r="S67" s="15">
        <f si="6" t="shared"/>
        <v>2.395676020382197E-3</v>
      </c>
    </row>
    <row r="68" spans="1:19" x14ac:dyDescent="0.25">
      <c r="A68" s="9">
        <v>0.125</v>
      </c>
      <c r="B68" s="15">
        <f ref="B68:I83" si="7" t="shared">B11/B$61</f>
        <v>0</v>
      </c>
      <c r="C68" s="15">
        <f si="7" t="shared"/>
        <v>0</v>
      </c>
      <c r="D68" s="15">
        <f si="7" t="shared"/>
        <v>9.1345871133194073E-9</v>
      </c>
      <c r="E68" s="15">
        <f si="7" t="shared"/>
        <v>1.7968008078735542E-8</v>
      </c>
      <c r="F68" s="15">
        <f si="7" t="shared"/>
        <v>1.8678668862655005E-6</v>
      </c>
      <c r="G68" s="15">
        <f si="7" t="shared"/>
        <v>0</v>
      </c>
      <c r="H68" s="15">
        <f si="7" t="shared"/>
        <v>1.4939743310629783E-5</v>
      </c>
      <c r="I68" s="15">
        <f si="7" t="shared"/>
        <v>2.5586217739751569E-6</v>
      </c>
      <c r="K68" s="9">
        <v>0.125</v>
      </c>
      <c r="L68" s="14">
        <f ref="L68:S83" si="8" t="shared">L11/L$61</f>
        <v>7.0280994663626502E-4</v>
      </c>
      <c r="M68" s="14">
        <f si="8" t="shared"/>
        <v>1.234850330610073E-5</v>
      </c>
      <c r="N68" s="14">
        <f si="8" t="shared"/>
        <v>4.3838297230019722E-3</v>
      </c>
      <c r="O68" s="14">
        <f si="8" t="shared"/>
        <v>7.3726678029814108E-4</v>
      </c>
      <c r="P68" s="14">
        <f si="8" t="shared"/>
        <v>2.0906513594416672E-3</v>
      </c>
      <c r="Q68" s="14">
        <f si="8" t="shared"/>
        <v>1.77355933636608E-3</v>
      </c>
      <c r="R68" s="14">
        <f si="8" t="shared"/>
        <v>1.2279888792652766E-4</v>
      </c>
      <c r="S68" s="15">
        <f si="8" t="shared"/>
        <v>1.6180132476782147E-3</v>
      </c>
    </row>
    <row r="69" spans="1:19" x14ac:dyDescent="0.25">
      <c r="A69" s="9">
        <v>0.14583333333333334</v>
      </c>
      <c r="B69" s="15">
        <f si="7" t="shared"/>
        <v>3.3722328007948942E-9</v>
      </c>
      <c r="C69" s="15">
        <f si="7" t="shared"/>
        <v>0</v>
      </c>
      <c r="D69" s="15">
        <f si="7" t="shared"/>
        <v>1.8269174226638818E-7</v>
      </c>
      <c r="E69" s="15">
        <f si="7" t="shared"/>
        <v>3.6742553700456721E-7</v>
      </c>
      <c r="F69" s="15">
        <f si="7" t="shared"/>
        <v>1.0076821835254631E-5</v>
      </c>
      <c r="G69" s="15">
        <f si="7" t="shared"/>
        <v>3.7964088594092913E-9</v>
      </c>
      <c r="H69" s="15">
        <f si="7" t="shared"/>
        <v>4.9731956098328176E-5</v>
      </c>
      <c r="I69" s="15">
        <f si="7" t="shared"/>
        <v>9.8072676693670291E-6</v>
      </c>
      <c r="K69" s="9">
        <v>0.14583333333333334</v>
      </c>
      <c r="L69" s="14">
        <f si="8" t="shared"/>
        <v>4.3142257149152732E-4</v>
      </c>
      <c r="M69" s="14">
        <f si="8" t="shared"/>
        <v>1.9374908495567073E-5</v>
      </c>
      <c r="N69" s="14">
        <f si="8" t="shared"/>
        <v>2.5622343774774291E-3</v>
      </c>
      <c r="O69" s="14">
        <f si="8" t="shared"/>
        <v>4.4996490286937867E-4</v>
      </c>
      <c r="P69" s="14">
        <f si="8" t="shared"/>
        <v>1.2530894023945493E-3</v>
      </c>
      <c r="Q69" s="14">
        <f si="8" t="shared"/>
        <v>1.0659569518111027E-3</v>
      </c>
      <c r="R69" s="14">
        <f si="8" t="shared"/>
        <v>9.9916187229426905E-5</v>
      </c>
      <c r="S69" s="15">
        <f si="8" t="shared"/>
        <v>9.6325638833694009E-4</v>
      </c>
    </row>
    <row r="70" spans="1:19" x14ac:dyDescent="0.25">
      <c r="A70" s="9">
        <v>0.16666666666666666</v>
      </c>
      <c r="B70" s="15">
        <f si="7" t="shared"/>
        <v>6.8308806370483573E-8</v>
      </c>
      <c r="C70" s="15">
        <f si="7" t="shared"/>
        <v>1.3792280851452828E-8</v>
      </c>
      <c r="D70" s="15">
        <f si="7" t="shared"/>
        <v>1.7410751058535451E-6</v>
      </c>
      <c r="E70" s="15">
        <f si="7" t="shared"/>
        <v>3.6039845096680504E-6</v>
      </c>
      <c r="F70" s="15">
        <f si="7" t="shared"/>
        <v>3.9819442967894203E-5</v>
      </c>
      <c r="G70" s="15">
        <f si="7" t="shared"/>
        <v>9.7737969783288733E-8</v>
      </c>
      <c r="H70" s="15">
        <f si="7" t="shared"/>
        <v>1.2518049343523011E-4</v>
      </c>
      <c r="I70" s="15">
        <f si="7" t="shared"/>
        <v>2.990293840598742E-5</v>
      </c>
      <c r="K70" s="9">
        <v>0.16666666666666666</v>
      </c>
      <c r="L70" s="14">
        <f si="8" t="shared"/>
        <v>2.3268106122698587E-4</v>
      </c>
      <c r="M70" s="14">
        <f si="8" t="shared"/>
        <v>2.1139790631911525E-5</v>
      </c>
      <c r="N70" s="14">
        <f si="8" t="shared"/>
        <v>1.3002869456528287E-3</v>
      </c>
      <c r="O70" s="14">
        <f si="8" t="shared"/>
        <v>2.4372992106339795E-4</v>
      </c>
      <c r="P70" s="14">
        <f si="8" t="shared"/>
        <v>6.5418962372337363E-4</v>
      </c>
      <c r="Q70" s="14">
        <f si="8" t="shared"/>
        <v>5.5864606459793702E-4</v>
      </c>
      <c r="R70" s="14">
        <f si="8" t="shared"/>
        <v>7.3060006750355356E-5</v>
      </c>
      <c r="S70" s="15">
        <f si="8" t="shared"/>
        <v>5.0179814638521333E-4</v>
      </c>
    </row>
    <row r="71" spans="1:19" x14ac:dyDescent="0.25">
      <c r="A71" s="9">
        <v>0.1875</v>
      </c>
      <c r="B71" s="15">
        <f si="7" t="shared"/>
        <v>6.7692112696026443E-7</v>
      </c>
      <c r="C71" s="15">
        <f si="7" t="shared"/>
        <v>2.7584561702905652E-7</v>
      </c>
      <c r="D71" s="15">
        <f si="7" t="shared"/>
        <v>1.0536080763810374E-5</v>
      </c>
      <c r="E71" s="15">
        <f si="7" t="shared"/>
        <v>2.2606221841561736E-5</v>
      </c>
      <c r="F71" s="15">
        <f si="7" t="shared"/>
        <v>1.2217858946678443E-4</v>
      </c>
      <c r="G71" s="15">
        <f si="7" t="shared"/>
        <v>1.1594750003573124E-6</v>
      </c>
      <c r="H71" s="15">
        <f si="7" t="shared"/>
        <v>2.5664018631597408E-4</v>
      </c>
      <c r="I71" s="15">
        <f si="7" t="shared"/>
        <v>7.7912534974732166E-5</v>
      </c>
      <c r="K71" s="9">
        <v>0.1875</v>
      </c>
      <c r="L71" s="14">
        <f si="8" t="shared"/>
        <v>1.1060114431966292E-4</v>
      </c>
      <c r="M71" s="14">
        <f si="8" t="shared"/>
        <v>2.6921547950756084E-5</v>
      </c>
      <c r="N71" s="14">
        <f si="8" t="shared"/>
        <v>5.9006878665757059E-4</v>
      </c>
      <c r="O71" s="14">
        <f si="8" t="shared"/>
        <v>1.2791628350184781E-4</v>
      </c>
      <c r="P71" s="14">
        <f si="8" t="shared"/>
        <v>2.9687602238091278E-4</v>
      </c>
      <c r="Q71" s="14">
        <f si="8" t="shared"/>
        <v>2.5323692144570831E-4</v>
      </c>
      <c r="R71" s="14">
        <f si="8" t="shared"/>
        <v>5.3246781205298555E-5</v>
      </c>
      <c r="S71" s="15">
        <f si="8" t="shared"/>
        <v>2.3756582264241208E-4</v>
      </c>
    </row>
    <row r="72" spans="1:19" x14ac:dyDescent="0.25">
      <c r="A72" s="9">
        <v>0.20833333333333334</v>
      </c>
      <c r="B72" s="15">
        <f si="7" t="shared"/>
        <v>4.4111788013059261E-6</v>
      </c>
      <c r="C72" s="15">
        <f si="7" t="shared"/>
        <v>2.6256622099759773E-6</v>
      </c>
      <c r="D72" s="15">
        <f si="7" t="shared"/>
        <v>4.5596763526174186E-5</v>
      </c>
      <c r="E72" s="15">
        <f si="7" t="shared"/>
        <v>1.0203182980691838E-4</v>
      </c>
      <c r="F72" s="15">
        <f si="7" t="shared"/>
        <v>3.0264362269639587E-4</v>
      </c>
      <c r="G72" s="15">
        <f si="7" t="shared"/>
        <v>8.5373634467129717E-6</v>
      </c>
      <c r="H72" s="15">
        <f si="7" t="shared"/>
        <v>4.5386058025489935E-4</v>
      </c>
      <c r="I72" s="15">
        <f si="7" t="shared"/>
        <v>1.8101475249141452E-4</v>
      </c>
      <c r="K72" s="9">
        <v>0.20833333333333334</v>
      </c>
      <c r="L72" s="14">
        <f si="8" t="shared"/>
        <v>5.3552544585188385E-5</v>
      </c>
      <c r="M72" s="14">
        <f si="8" t="shared"/>
        <v>6.0189856316595543E-5</v>
      </c>
      <c r="N72" s="14">
        <f si="8" t="shared"/>
        <v>3.0580848416169665E-4</v>
      </c>
      <c r="O72" s="14">
        <f si="8" t="shared"/>
        <v>1.0611309179138622E-4</v>
      </c>
      <c r="P72" s="14">
        <f si="8" t="shared"/>
        <v>1.2834593461510078E-4</v>
      </c>
      <c r="Q72" s="14">
        <f si="8" t="shared"/>
        <v>1.0249850322582397E-4</v>
      </c>
      <c r="R72" s="14">
        <f si="8" t="shared"/>
        <v>6.1065411992382957E-5</v>
      </c>
      <c r="S72" s="15">
        <f si="8" t="shared"/>
        <v>1.3821826356720651E-4</v>
      </c>
    </row>
    <row r="73" spans="1:19" x14ac:dyDescent="0.25">
      <c r="A73" s="9">
        <v>0.22916666666666666</v>
      </c>
      <c r="B73" s="15">
        <f si="7" t="shared"/>
        <v>2.1432983372538226E-5</v>
      </c>
      <c r="C73" s="15">
        <f si="7" t="shared"/>
        <v>1.5831575001446215E-5</v>
      </c>
      <c r="D73" s="15">
        <f si="7" t="shared"/>
        <v>1.5113508603342498E-4</v>
      </c>
      <c r="E73" s="15">
        <f si="7" t="shared"/>
        <v>3.5363983540617354E-4</v>
      </c>
      <c r="F73" s="15">
        <f si="7" t="shared"/>
        <v>6.296478659632964E-4</v>
      </c>
      <c r="G73" s="15">
        <f si="7" t="shared"/>
        <v>4.4183105586464539E-5</v>
      </c>
      <c r="H73" s="15">
        <f si="7" t="shared"/>
        <v>7.6179694561154276E-4</v>
      </c>
      <c r="I73" s="15">
        <f si="7" t="shared"/>
        <v>3.9047516695502022E-4</v>
      </c>
      <c r="K73" s="9">
        <v>0.22916666666666666</v>
      </c>
      <c r="L73" s="14">
        <f si="8" t="shared"/>
        <v>5.0511101258623995E-5</v>
      </c>
      <c r="M73" s="14">
        <f si="8" t="shared"/>
        <v>1.6777005338070315E-4</v>
      </c>
      <c r="N73" s="14">
        <f si="8" t="shared"/>
        <v>3.3426838134813323E-4</v>
      </c>
      <c r="O73" s="14">
        <f si="8" t="shared"/>
        <v>2.0359349435312681E-4</v>
      </c>
      <c r="P73" s="14">
        <f si="8" t="shared"/>
        <v>8.9212663571529782E-5</v>
      </c>
      <c r="Q73" s="14">
        <f si="8" t="shared"/>
        <v>4.9458991740418114E-5</v>
      </c>
      <c r="R73" s="14">
        <f si="8" t="shared"/>
        <v>1.3160664814524419E-4</v>
      </c>
      <c r="S73" s="15">
        <f si="8" t="shared"/>
        <v>1.8307978425632335E-4</v>
      </c>
    </row>
    <row r="74" spans="1:19" x14ac:dyDescent="0.25">
      <c r="A74" s="9">
        <v>0.25</v>
      </c>
      <c r="B74" s="15">
        <f si="7" t="shared"/>
        <v>8.3269635962682464E-5</v>
      </c>
      <c r="C74" s="15">
        <f si="7" t="shared"/>
        <v>6.793304127987805E-5</v>
      </c>
      <c r="D74" s="15">
        <f si="7" t="shared"/>
        <v>4.031308136969067E-4</v>
      </c>
      <c r="E74" s="15">
        <f si="7" t="shared"/>
        <v>9.8137095952795261E-4</v>
      </c>
      <c r="F74" s="15">
        <f si="7" t="shared"/>
        <v>1.1543243088911787E-3</v>
      </c>
      <c r="G74" s="15">
        <f si="7" t="shared"/>
        <v>1.7231237217036989E-4</v>
      </c>
      <c r="H74" s="15">
        <f si="7" t="shared"/>
        <v>1.3504202575217758E-3</v>
      </c>
      <c r="I74" s="15">
        <f si="7" t="shared"/>
        <v>8.037172111760078E-4</v>
      </c>
      <c r="K74" s="9">
        <v>0.25</v>
      </c>
      <c r="L74" s="14">
        <f si="8" t="shared"/>
        <v>1.0682501985909926E-4</v>
      </c>
      <c r="M74" s="14">
        <f si="8" t="shared"/>
        <v>4.2802223655631638E-4</v>
      </c>
      <c r="N74" s="14">
        <f si="8" t="shared"/>
        <v>6.551789646534221E-4</v>
      </c>
      <c r="O74" s="14">
        <f si="8" t="shared"/>
        <v>4.9005081047064558E-4</v>
      </c>
      <c r="P74" s="14">
        <f si="8" t="shared"/>
        <v>1.4971134524181047E-4</v>
      </c>
      <c r="Q74" s="14">
        <f si="8" t="shared"/>
        <v>5.5679226508290924E-5</v>
      </c>
      <c r="R74" s="14">
        <f si="8" t="shared"/>
        <v>3.2361403174207339E-4</v>
      </c>
      <c r="S74" s="15">
        <f si="8" t="shared"/>
        <v>3.9704139338470518E-4</v>
      </c>
    </row>
    <row r="75" spans="1:19" x14ac:dyDescent="0.25">
      <c r="A75" s="9">
        <v>0.27083333333333331</v>
      </c>
      <c r="B75" s="15">
        <f si="7" t="shared"/>
        <v>2.697764099589857E-4</v>
      </c>
      <c r="C75" s="15">
        <f si="7" t="shared"/>
        <v>2.2117361563332209E-4</v>
      </c>
      <c r="D75" s="15">
        <f si="7" t="shared"/>
        <v>9.0297796579322882E-4</v>
      </c>
      <c r="E75" s="15">
        <f si="7" t="shared"/>
        <v>2.2460512549179767E-3</v>
      </c>
      <c r="F75" s="15">
        <f si="7" t="shared"/>
        <v>1.9710142640260823E-3</v>
      </c>
      <c r="G75" s="15">
        <f si="7" t="shared"/>
        <v>5.3012724069397617E-4</v>
      </c>
      <c r="H75" s="15">
        <f si="7" t="shared"/>
        <v>2.564677971613475E-3</v>
      </c>
      <c r="I75" s="15">
        <f si="7" t="shared"/>
        <v>1.5832902032734009E-3</v>
      </c>
      <c r="K75" s="9">
        <v>0.27083333333333331</v>
      </c>
      <c r="L75" s="14">
        <f si="8" t="shared"/>
        <v>2.5335433963881053E-4</v>
      </c>
      <c r="M75" s="14">
        <f si="8" t="shared"/>
        <v>9.4377308753403175E-4</v>
      </c>
      <c r="N75" s="14">
        <f si="8" t="shared"/>
        <v>1.3409907738398182E-3</v>
      </c>
      <c r="O75" s="14">
        <f si="8" t="shared"/>
        <v>1.0812986412503819E-3</v>
      </c>
      <c r="P75" s="14">
        <f si="8" t="shared"/>
        <v>3.1940188830318668E-4</v>
      </c>
      <c r="Q75" s="14">
        <f si="8" t="shared"/>
        <v>1.0949430682604011E-4</v>
      </c>
      <c r="R75" s="14">
        <f si="8" t="shared"/>
        <v>7.2137217492963975E-4</v>
      </c>
      <c r="S75" s="15">
        <f si="8" t="shared"/>
        <v>8.5360849191939948E-4</v>
      </c>
    </row>
    <row r="76" spans="1:19" x14ac:dyDescent="0.25">
      <c r="A76" s="9">
        <v>0.29166666666666669</v>
      </c>
      <c r="B76" s="15">
        <f si="7" t="shared"/>
        <v>7.4740121877529451E-4</v>
      </c>
      <c r="C76" s="15">
        <f si="7" t="shared"/>
        <v>5.6988811730337042E-4</v>
      </c>
      <c r="D76" s="15">
        <f si="7" t="shared"/>
        <v>1.7671413242609027E-3</v>
      </c>
      <c r="E76" s="15">
        <f si="7" t="shared"/>
        <v>4.3380709919172786E-3</v>
      </c>
      <c r="F76" s="15">
        <f si="7" t="shared"/>
        <v>3.276195279349847E-3</v>
      </c>
      <c r="G76" s="15">
        <f si="7" t="shared"/>
        <v>1.3308681710550592E-3</v>
      </c>
      <c r="H76" s="15">
        <f si="7" t="shared"/>
        <v>4.7774172412160748E-3</v>
      </c>
      <c r="I76" s="15">
        <f si="7" t="shared"/>
        <v>2.935789059286513E-3</v>
      </c>
      <c r="K76" s="9">
        <v>0.29166666666666669</v>
      </c>
      <c r="L76" s="14">
        <f si="8" t="shared"/>
        <v>5.4684334668288822E-4</v>
      </c>
      <c r="M76" s="14">
        <f si="8" t="shared"/>
        <v>1.8103042291725564E-3</v>
      </c>
      <c r="N76" s="14">
        <f si="8" t="shared"/>
        <v>2.4967540594729716E-3</v>
      </c>
      <c r="O76" s="14">
        <f si="8" t="shared"/>
        <v>2.1108169628849681E-3</v>
      </c>
      <c r="P76" s="14">
        <f si="8" t="shared"/>
        <v>6.354713154662552E-4</v>
      </c>
      <c r="Q76" s="14">
        <f si="8" t="shared"/>
        <v>2.2086201830351585E-4</v>
      </c>
      <c r="R76" s="14">
        <f si="8" t="shared"/>
        <v>1.4161022854085892E-3</v>
      </c>
      <c r="S76" s="15">
        <f si="8" t="shared"/>
        <v>1.6470962537665709E-3</v>
      </c>
    </row>
    <row r="77" spans="1:19" x14ac:dyDescent="0.25">
      <c r="A77" s="9">
        <v>0.3125</v>
      </c>
      <c r="B77" s="15">
        <f si="7" t="shared"/>
        <v>1.7981996919434248E-3</v>
      </c>
      <c r="C77" s="15">
        <f si="7" t="shared"/>
        <v>1.2011228175835302E-3</v>
      </c>
      <c r="D77" s="15">
        <f si="7" t="shared"/>
        <v>3.1241764701955606E-3</v>
      </c>
      <c r="E77" s="15">
        <f si="7" t="shared"/>
        <v>7.2122244417850943E-3</v>
      </c>
      <c r="F77" s="15">
        <f si="7" t="shared"/>
        <v>5.3474073071888995E-3</v>
      </c>
      <c r="G77" s="15">
        <f si="7" t="shared"/>
        <v>2.8031328997159522E-3</v>
      </c>
      <c r="H77" s="15">
        <f si="7" t="shared"/>
        <v>8.0248969990612835E-3</v>
      </c>
      <c r="I77" s="15">
        <f si="7" t="shared"/>
        <v>5.0217236308815246E-3</v>
      </c>
      <c r="K77" s="9">
        <v>0.3125</v>
      </c>
      <c r="L77" s="14">
        <f si="8" t="shared"/>
        <v>1.0631428896087159E-3</v>
      </c>
      <c r="M77" s="14">
        <f si="8" t="shared"/>
        <v>3.0696565221285479E-3</v>
      </c>
      <c r="N77" s="14">
        <f si="8" t="shared"/>
        <v>4.1778454601988724E-3</v>
      </c>
      <c r="O77" s="14">
        <f si="8" t="shared"/>
        <v>3.6756105461850062E-3</v>
      </c>
      <c r="P77" s="14">
        <f si="8" t="shared"/>
        <v>1.1404256761085611E-3</v>
      </c>
      <c r="Q77" s="14">
        <f si="8" t="shared"/>
        <v>4.11981317351624E-4</v>
      </c>
      <c r="R77" s="14">
        <f si="8" t="shared"/>
        <v>2.4658200426938997E-3</v>
      </c>
      <c r="S77" s="15">
        <f si="8" t="shared"/>
        <v>2.8457799814191084E-3</v>
      </c>
    </row>
    <row r="78" spans="1:19" x14ac:dyDescent="0.25">
      <c r="A78" s="9">
        <v>0.33333333333333331</v>
      </c>
      <c r="B78" s="15">
        <f si="7" t="shared"/>
        <v>3.8003619407533593E-3</v>
      </c>
      <c r="C78" s="15">
        <f si="7" t="shared"/>
        <v>2.138322636911895E-3</v>
      </c>
      <c r="D78" s="15">
        <f si="7" t="shared"/>
        <v>5.0897887789533884E-3</v>
      </c>
      <c r="E78" s="15">
        <f si="7" t="shared"/>
        <v>1.0528087291278724E-2</v>
      </c>
      <c r="F78" s="15">
        <f si="7" t="shared"/>
        <v>8.3738805184193268E-3</v>
      </c>
      <c r="G78" s="15">
        <f si="7" t="shared"/>
        <v>5.0803731203481941E-3</v>
      </c>
      <c r="H78" s="15">
        <f si="7" t="shared"/>
        <v>1.1722189940953726E-2</v>
      </c>
      <c r="I78" s="15">
        <f si="7" t="shared"/>
        <v>7.8348672898012478E-3</v>
      </c>
      <c r="K78" s="9">
        <v>0.33333333333333331</v>
      </c>
      <c r="L78" s="14">
        <f si="8" t="shared"/>
        <v>1.8876189132060576E-3</v>
      </c>
      <c r="M78" s="14">
        <f si="8" t="shared"/>
        <v>4.6799022830224949E-3</v>
      </c>
      <c r="N78" s="14">
        <f si="8" t="shared"/>
        <v>6.322472376367929E-3</v>
      </c>
      <c r="O78" s="14">
        <f si="8" t="shared"/>
        <v>5.7744564929418348E-3</v>
      </c>
      <c r="P78" s="14">
        <f si="8" t="shared"/>
        <v>1.8574717629147332E-3</v>
      </c>
      <c r="Q78" s="14">
        <f si="8" t="shared"/>
        <v>7.0730193368037208E-4</v>
      </c>
      <c r="R78" s="14">
        <f si="8" t="shared"/>
        <v>3.8505830852769039E-3</v>
      </c>
      <c r="S78" s="15">
        <f si="8" t="shared"/>
        <v>4.4453151893421028E-3</v>
      </c>
    </row>
    <row r="79" spans="1:19" x14ac:dyDescent="0.25">
      <c r="A79" s="9">
        <v>0.35416666666666669</v>
      </c>
      <c r="B79" s="15">
        <f si="7" t="shared"/>
        <v>7.1384171197105212E-3</v>
      </c>
      <c r="C79" s="15">
        <f si="7" t="shared"/>
        <v>3.3446090572251661E-3</v>
      </c>
      <c r="D79" s="15">
        <f si="7" t="shared"/>
        <v>7.6684597006067938E-3</v>
      </c>
      <c r="E79" s="15">
        <f si="7" t="shared"/>
        <v>1.3813416837951446E-2</v>
      </c>
      <c r="F79" s="15">
        <f si="7" t="shared"/>
        <v>1.2244433754710604E-2</v>
      </c>
      <c r="G79" s="15">
        <f si="7" t="shared"/>
        <v>8.1273889926868556E-3</v>
      </c>
      <c r="H79" s="15">
        <f si="7" t="shared"/>
        <v>1.4866425869676273E-2</v>
      </c>
      <c r="I79" s="15">
        <f si="7" t="shared"/>
        <v>1.1162633389593097E-2</v>
      </c>
      <c r="K79" s="9">
        <v>0.35416666666666669</v>
      </c>
      <c r="L79" s="14">
        <f si="8" t="shared"/>
        <v>3.1042049918606814E-3</v>
      </c>
      <c r="M79" s="14">
        <f si="8" t="shared"/>
        <v>6.5188023353759464E-3</v>
      </c>
      <c r="N79" s="14">
        <f si="8" t="shared"/>
        <v>8.7275212918287784E-3</v>
      </c>
      <c r="O79" s="14">
        <f si="8" t="shared"/>
        <v>8.2626355666018426E-3</v>
      </c>
      <c r="P79" s="14">
        <f si="8" t="shared"/>
        <v>2.7690507506975214E-3</v>
      </c>
      <c r="Q79" s="14">
        <f si="8" t="shared"/>
        <v>1.1221867112776217E-3</v>
      </c>
      <c r="R79" s="14">
        <f si="8" t="shared"/>
        <v>5.4493616392229998E-3</v>
      </c>
      <c r="S79" s="15">
        <f si="8" t="shared"/>
        <v>6.3421728846833007E-3</v>
      </c>
    </row>
    <row r="80" spans="1:19" x14ac:dyDescent="0.25">
      <c r="A80" s="9">
        <v>0.375</v>
      </c>
      <c r="B80" s="15">
        <f si="7" t="shared"/>
        <v>1.2091225090588867E-2</v>
      </c>
      <c r="C80" s="15">
        <f si="7" t="shared"/>
        <v>4.857710500272519E-3</v>
      </c>
      <c r="D80" s="15">
        <f si="7" t="shared"/>
        <v>1.0625396337928429E-2</v>
      </c>
      <c r="E80" s="15">
        <f si="7" t="shared"/>
        <v>1.6790039147829505E-2</v>
      </c>
      <c r="F80" s="15">
        <f si="7" t="shared"/>
        <v>1.6519487245046347E-2</v>
      </c>
      <c r="G80" s="15">
        <f si="7" t="shared"/>
        <v>1.1796215786645208E-2</v>
      </c>
      <c r="H80" s="15">
        <f si="7" t="shared"/>
        <v>1.671438311793191E-2</v>
      </c>
      <c r="I80" s="15">
        <f si="7" t="shared"/>
        <v>1.4707906661959645E-2</v>
      </c>
      <c r="K80" s="9">
        <v>0.375</v>
      </c>
      <c r="L80" s="14">
        <f si="8" t="shared"/>
        <v>4.7775828072691186E-3</v>
      </c>
      <c r="M80" s="14">
        <f si="8" t="shared"/>
        <v>8.4158437330052044E-3</v>
      </c>
      <c r="N80" s="14">
        <f si="8" t="shared"/>
        <v>1.1079835075408072E-2</v>
      </c>
      <c r="O80" s="14">
        <f si="8" t="shared"/>
        <v>1.0848467586782366E-2</v>
      </c>
      <c r="P80" s="14">
        <f si="8" t="shared"/>
        <v>3.8059643280451221E-3</v>
      </c>
      <c r="Q80" s="14">
        <f si="8" t="shared"/>
        <v>1.6514996398752184E-3</v>
      </c>
      <c r="R80" s="14">
        <f si="8" t="shared"/>
        <v>7.0597770594581551E-3</v>
      </c>
      <c r="S80" s="15">
        <f si="8" t="shared"/>
        <v>8.3408016030429768E-3</v>
      </c>
    </row>
    <row r="81" spans="1:19" x14ac:dyDescent="0.25">
      <c r="A81" s="9">
        <v>0.39583333333333331</v>
      </c>
      <c r="B81" s="15">
        <f si="7" t="shared"/>
        <v>1.8799577753357031E-2</v>
      </c>
      <c r="C81" s="15">
        <f si="7" t="shared"/>
        <v>7.0394331855663274E-3</v>
      </c>
      <c r="D81" s="15">
        <f si="7" t="shared"/>
        <v>1.3498646413248142E-2</v>
      </c>
      <c r="E81" s="15">
        <f si="7" t="shared"/>
        <v>1.9607803643435052E-2</v>
      </c>
      <c r="F81" s="15">
        <f si="7" t="shared"/>
        <v>2.0676685701997224E-2</v>
      </c>
      <c r="G81" s="15">
        <f si="7" t="shared"/>
        <v>1.5992107311126623E-2</v>
      </c>
      <c r="H81" s="15">
        <f si="7" t="shared"/>
        <v>1.7333940631448014E-2</v>
      </c>
      <c r="I81" s="15">
        <f si="7" t="shared"/>
        <v>1.8302504424908331E-2</v>
      </c>
      <c r="K81" s="9">
        <v>0.39583333333333331</v>
      </c>
      <c r="L81" s="14">
        <f si="8" t="shared"/>
        <v>6.93382453036829E-3</v>
      </c>
      <c r="M81" s="14">
        <f si="8" t="shared"/>
        <v>1.0207421527635331E-2</v>
      </c>
      <c r="N81" s="14">
        <f si="8" t="shared"/>
        <v>1.304140271439231E-2</v>
      </c>
      <c r="O81" s="14">
        <f si="8" t="shared"/>
        <v>1.3163199756537137E-2</v>
      </c>
      <c r="P81" s="14">
        <f si="8" t="shared"/>
        <v>4.8640461419433107E-3</v>
      </c>
      <c r="Q81" s="14">
        <f si="8" t="shared"/>
        <v>2.2692629637042069E-3</v>
      </c>
      <c r="R81" s="14">
        <f si="8" t="shared"/>
        <v>8.4737919849717808E-3</v>
      </c>
      <c r="S81" s="15">
        <f si="8" t="shared"/>
        <v>1.0207859575545371E-2</v>
      </c>
    </row>
    <row r="82" spans="1:19" x14ac:dyDescent="0.25">
      <c r="A82" s="9">
        <v>0.41666666666666669</v>
      </c>
      <c r="B82" s="15">
        <f si="7" t="shared"/>
        <v>2.7341861904852893E-2</v>
      </c>
      <c r="C82" s="15">
        <f si="7" t="shared"/>
        <v>1.080931110549257E-2</v>
      </c>
      <c r="D82" s="15">
        <f si="7" t="shared"/>
        <v>1.5833170029591982E-2</v>
      </c>
      <c r="E82" s="15">
        <f si="7" t="shared"/>
        <v>2.2739696083584365E-2</v>
      </c>
      <c r="F82" s="15">
        <f si="7" t="shared"/>
        <v>2.4442504806027918E-2</v>
      </c>
      <c r="G82" s="15">
        <f si="7" t="shared"/>
        <v>2.077296186608325E-2</v>
      </c>
      <c r="H82" s="15">
        <f si="7" t="shared"/>
        <v>1.7464003235187174E-2</v>
      </c>
      <c r="I82" s="15">
        <f si="7" t="shared"/>
        <v>2.2022889542263769E-2</v>
      </c>
      <c r="K82" s="9">
        <v>0.41666666666666669</v>
      </c>
      <c r="L82" s="14">
        <f si="8" t="shared"/>
        <v>9.5868180733085073E-3</v>
      </c>
      <c r="M82" s="14">
        <f si="8" t="shared"/>
        <v>1.184541689713336E-2</v>
      </c>
      <c r="N82" s="14">
        <f si="8" t="shared"/>
        <v>1.4386241007700936E-2</v>
      </c>
      <c r="O82" s="14">
        <f si="8" t="shared"/>
        <v>1.4935414789683847E-2</v>
      </c>
      <c r="P82" s="14">
        <f si="8" t="shared"/>
        <v>5.8730945172421533E-3</v>
      </c>
      <c r="Q82" s="14">
        <f si="8" t="shared"/>
        <v>2.9617476116595401E-3</v>
      </c>
      <c r="R82" s="14">
        <f si="8" t="shared"/>
        <v>9.6178853467230978E-3</v>
      </c>
      <c r="S82" s="15">
        <f si="8" t="shared"/>
        <v>1.1793941497359848E-2</v>
      </c>
    </row>
    <row r="83" spans="1:19" x14ac:dyDescent="0.25">
      <c r="A83" s="9">
        <v>0.4375</v>
      </c>
      <c r="B83" s="15">
        <f si="7" t="shared"/>
        <v>3.7766876603827708E-2</v>
      </c>
      <c r="C83" s="15">
        <f si="7" t="shared"/>
        <v>1.7619849874153628E-2</v>
      </c>
      <c r="D83" s="15">
        <f si="7" t="shared"/>
        <v>1.7441473242071539E-2</v>
      </c>
      <c r="E83" s="15">
        <f si="7" t="shared"/>
        <v>2.6567209743257592E-2</v>
      </c>
      <c r="F83" s="15">
        <f si="7" t="shared"/>
        <v>2.7931899849773938E-2</v>
      </c>
      <c r="G83" s="15">
        <f si="7" t="shared"/>
        <v>2.6177122951930119E-2</v>
      </c>
      <c r="H83" s="15">
        <f si="7" t="shared"/>
        <v>1.7856736813579591E-2</v>
      </c>
      <c r="I83" s="15">
        <f si="7" t="shared"/>
        <v>2.6082004405147886E-2</v>
      </c>
      <c r="K83" s="9">
        <v>0.4375</v>
      </c>
      <c r="L83" s="14">
        <f si="8" t="shared"/>
        <v>1.2868074783732102E-2</v>
      </c>
      <c r="M83" s="14">
        <f si="8" t="shared"/>
        <v>1.3580138579185963E-2</v>
      </c>
      <c r="N83" s="14">
        <f si="8" t="shared"/>
        <v>1.5171279654340919E-2</v>
      </c>
      <c r="O83" s="14">
        <f si="8" t="shared"/>
        <v>1.6246297141903301E-2</v>
      </c>
      <c r="P83" s="14">
        <f si="8" t="shared"/>
        <v>6.9189616227479976E-3</v>
      </c>
      <c r="Q83" s="14">
        <f si="8" t="shared"/>
        <v>3.8061374166398682E-3</v>
      </c>
      <c r="R83" s="14">
        <f si="8" t="shared"/>
        <v>1.0735073757214992E-2</v>
      </c>
      <c r="S83" s="15">
        <f si="8" t="shared"/>
        <v>1.321735367403558E-2</v>
      </c>
    </row>
    <row r="84" spans="1:19" x14ac:dyDescent="0.25">
      <c r="A84" s="9">
        <v>0.45833333333333331</v>
      </c>
      <c r="B84" s="15">
        <f ref="B84:I88" si="9" t="shared">B27/B$61</f>
        <v>4.9869708461721583E-2</v>
      </c>
      <c r="C84" s="15">
        <f si="9" t="shared"/>
        <v>2.8849834977433528E-2</v>
      </c>
      <c r="D84" s="15">
        <f si="9" t="shared"/>
        <v>1.8435548950156238E-2</v>
      </c>
      <c r="E84" s="15">
        <f si="9" t="shared"/>
        <v>3.1007530194065939E-2</v>
      </c>
      <c r="F84" s="15">
        <f si="9" t="shared"/>
        <v>3.1502044942084938E-2</v>
      </c>
      <c r="G84" s="15">
        <f si="9" t="shared"/>
        <v>3.1824494258539511E-2</v>
      </c>
      <c r="H84" s="15">
        <f si="9" t="shared"/>
        <v>1.8809354060580746E-2</v>
      </c>
      <c r="I84" s="15">
        <f si="9" t="shared"/>
        <v>3.0573748316564807E-2</v>
      </c>
      <c r="K84" s="9">
        <v>0.45833333333333331</v>
      </c>
      <c r="L84" s="14">
        <f ref="L84:S99" si="10" t="shared">L27/L$61</f>
        <v>1.7190278282908179E-2</v>
      </c>
      <c r="M84" s="14">
        <f si="10" t="shared"/>
        <v>1.6101346779426727E-2</v>
      </c>
      <c r="N84" s="14">
        <f si="10" t="shared"/>
        <v>1.5851912155128371E-2</v>
      </c>
      <c r="O84" s="14">
        <f si="10" t="shared"/>
        <v>1.7708831034572933E-2</v>
      </c>
      <c r="P84" s="14">
        <f si="10" t="shared"/>
        <v>8.3446384923473171E-3</v>
      </c>
      <c r="Q84" s="14">
        <f si="10" t="shared"/>
        <v>5.0534254533642206E-3</v>
      </c>
      <c r="R84" s="14">
        <f si="10" t="shared"/>
        <v>1.2491773514690134E-2</v>
      </c>
      <c r="S84" s="15">
        <f si="10" t="shared"/>
        <v>1.5001535691218459E-2</v>
      </c>
    </row>
    <row r="85" spans="1:19" x14ac:dyDescent="0.25">
      <c r="A85" s="9">
        <v>0.47916666666666669</v>
      </c>
      <c r="B85" s="15">
        <f si="9" t="shared"/>
        <v>6.2741210364257741E-2</v>
      </c>
      <c r="C85" s="15">
        <f si="9" t="shared"/>
        <v>4.4526106761990474E-2</v>
      </c>
      <c r="D85" s="15">
        <f si="9" t="shared"/>
        <v>1.9091992690474568E-2</v>
      </c>
      <c r="E85" s="15">
        <f si="9" t="shared"/>
        <v>3.555314819971276E-2</v>
      </c>
      <c r="F85" s="15">
        <f si="9" t="shared"/>
        <v>3.5454081528636744E-2</v>
      </c>
      <c r="G85" s="15">
        <f si="9" t="shared"/>
        <v>3.6731329640213646E-2</v>
      </c>
      <c r="H85" s="15">
        <f si="9" t="shared"/>
        <v>2.0266433216570047E-2</v>
      </c>
      <c r="I85" s="15">
        <f si="9" t="shared"/>
        <v>3.5293358126489677E-2</v>
      </c>
      <c r="K85" s="9">
        <v>0.47916666666666669</v>
      </c>
      <c r="L85" s="14">
        <f si="10" t="shared"/>
        <v>2.3175370383396215E-2</v>
      </c>
      <c r="M85" s="14">
        <f si="10" t="shared"/>
        <v>2.0367147793693082E-2</v>
      </c>
      <c r="N85" s="14">
        <f si="10" t="shared"/>
        <v>1.7176044344539659E-2</v>
      </c>
      <c r="O85" s="14">
        <f si="10" t="shared"/>
        <v>2.0314235414323676E-2</v>
      </c>
      <c r="P85" s="14">
        <f si="10" t="shared"/>
        <v>1.0688036154240254E-2</v>
      </c>
      <c r="Q85" s="14">
        <f si="10" t="shared"/>
        <v>7.1108199225819613E-3</v>
      </c>
      <c r="R85" s="14">
        <f si="10" t="shared"/>
        <v>1.5806344892922507E-2</v>
      </c>
      <c r="S85" s="15">
        <f si="10" t="shared"/>
        <v>1.7953193712593039E-2</v>
      </c>
    </row>
    <row r="86" spans="1:19" x14ac:dyDescent="0.25">
      <c r="A86" s="9">
        <v>0.5</v>
      </c>
      <c r="B86" s="15">
        <f si="9" t="shared"/>
        <v>7.4517868849429833E-2</v>
      </c>
      <c r="C86" s="15">
        <f si="9" t="shared"/>
        <v>6.2081159817890981E-2</v>
      </c>
      <c r="D86" s="15">
        <f si="9" t="shared"/>
        <v>1.9842958049865609E-2</v>
      </c>
      <c r="E86" s="15">
        <f si="9" t="shared"/>
        <v>3.9713045218826348E-2</v>
      </c>
      <c r="F86" s="15">
        <f si="9" t="shared"/>
        <v>3.979767981602602E-2</v>
      </c>
      <c r="G86" s="15">
        <f si="9" t="shared"/>
        <v>3.980644187146213E-2</v>
      </c>
      <c r="H86" s="15">
        <f si="9" t="shared"/>
        <v>2.2209400641005749E-2</v>
      </c>
      <c r="I86" s="15">
        <f si="9" t="shared"/>
        <v>3.9809813634266403E-2</v>
      </c>
      <c r="K86" s="9">
        <v>0.5</v>
      </c>
      <c r="L86" s="14">
        <f si="10" t="shared"/>
        <v>3.1135088372456481E-2</v>
      </c>
      <c r="M86" s="14">
        <f si="10" t="shared"/>
        <v>2.6988804401933984E-2</v>
      </c>
      <c r="N86" s="14">
        <f si="10" t="shared"/>
        <v>1.9774556711755559E-2</v>
      </c>
      <c r="O86" s="14">
        <f si="10" t="shared"/>
        <v>2.4844931864199678E-2</v>
      </c>
      <c r="P86" s="14">
        <f si="10" t="shared"/>
        <v>1.4384741738471412E-2</v>
      </c>
      <c r="Q86" s="14">
        <f si="10" t="shared"/>
        <v>1.0347723516388555E-2</v>
      </c>
      <c r="R86" s="14">
        <f si="10" t="shared"/>
        <v>2.1315978432240961E-2</v>
      </c>
      <c r="S86" s="15">
        <f si="10" t="shared"/>
        <v>2.267353113456845E-2</v>
      </c>
    </row>
    <row r="87" spans="1:19" x14ac:dyDescent="0.25">
      <c r="A87" s="9">
        <v>0.52083333333333337</v>
      </c>
      <c r="B87" s="15">
        <f si="9" t="shared"/>
        <v>8.2834740192695447E-2</v>
      </c>
      <c r="C87" s="15">
        <f si="9" t="shared"/>
        <v>7.6550248327334314E-2</v>
      </c>
      <c r="D87" s="15">
        <f si="9" t="shared"/>
        <v>2.1434121458650899E-2</v>
      </c>
      <c r="E87" s="15">
        <f si="9" t="shared"/>
        <v>4.342323910125772E-2</v>
      </c>
      <c r="F87" s="15">
        <f si="9" t="shared"/>
        <v>4.4234336602933605E-2</v>
      </c>
      <c r="G87" s="15">
        <f si="9" t="shared"/>
        <v>4.0825358817710093E-2</v>
      </c>
      <c r="H87" s="15">
        <f si="9" t="shared"/>
        <v>2.4877120846596743E-2</v>
      </c>
      <c r="I87" s="15">
        <f si="9" t="shared"/>
        <v>4.3756501504526972E-2</v>
      </c>
      <c r="K87" s="9">
        <v>0.52083333333333337</v>
      </c>
      <c r="L87" s="14">
        <f si="10" t="shared"/>
        <v>4.0386052926280121E-2</v>
      </c>
      <c r="M87" s="14">
        <f si="10" t="shared"/>
        <v>3.5551107039526735E-2</v>
      </c>
      <c r="N87" s="14">
        <f si="10" t="shared"/>
        <v>2.3668215541682101E-2</v>
      </c>
      <c r="O87" s="14">
        <f si="10" t="shared"/>
        <v>3.1193434133908352E-2</v>
      </c>
      <c r="P87" s="14">
        <f si="10" t="shared"/>
        <v>1.9407364200816398E-2</v>
      </c>
      <c r="Q87" s="14">
        <f si="10" t="shared"/>
        <v>1.482057935340903E-2</v>
      </c>
      <c r="R87" s="14">
        <f si="10" t="shared"/>
        <v>2.8780702810309467E-2</v>
      </c>
      <c r="S87" s="15">
        <f si="10" t="shared"/>
        <v>2.897651040446602E-2</v>
      </c>
    </row>
    <row r="88" spans="1:19" x14ac:dyDescent="0.25">
      <c r="A88" s="9">
        <v>0.54166666666666663</v>
      </c>
      <c r="B88" s="15">
        <f si="9" t="shared"/>
        <v>8.5948235153007854E-2</v>
      </c>
      <c r="C88" s="15">
        <f si="9" t="shared"/>
        <v>8.2904112593491966E-2</v>
      </c>
      <c r="D88" s="15">
        <f si="9" t="shared"/>
        <v>2.4907221977228763E-2</v>
      </c>
      <c r="E88" s="15">
        <f si="9" t="shared"/>
        <v>4.7028736575576408E-2</v>
      </c>
      <c r="F88" s="15">
        <f si="9" t="shared"/>
        <v>4.8356508889801149E-2</v>
      </c>
      <c r="G88" s="15">
        <f si="9" t="shared"/>
        <v>4.0918077763489852E-2</v>
      </c>
      <c r="H88" s="15">
        <f si="9" t="shared"/>
        <v>2.8666690662811935E-2</v>
      </c>
      <c r="I88" s="15">
        <f si="9" t="shared"/>
        <v>4.7097509627522356E-2</v>
      </c>
      <c r="K88" s="9">
        <v>0.54166666666666663</v>
      </c>
      <c r="L88" s="14">
        <f si="10" t="shared"/>
        <v>4.9140002585330092E-2</v>
      </c>
      <c r="M88" s="14">
        <f si="10" t="shared"/>
        <v>4.4605500084947111E-2</v>
      </c>
      <c r="N88" s="14">
        <f si="10" t="shared"/>
        <v>2.8148432945752571E-2</v>
      </c>
      <c r="O88" s="14">
        <f si="10" t="shared"/>
        <v>3.8231217346326313E-2</v>
      </c>
      <c r="P88" s="14">
        <f si="10" t="shared"/>
        <v>2.5202587925469654E-2</v>
      </c>
      <c r="Q88" s="14">
        <f si="10" t="shared"/>
        <v>2.0179181901112699E-2</v>
      </c>
      <c r="R88" s="14">
        <f si="10" t="shared"/>
        <v>3.7005792902047391E-2</v>
      </c>
      <c r="S88" s="15">
        <f si="10" t="shared"/>
        <v>3.578362845675119E-2</v>
      </c>
    </row>
    <row r="89" spans="1:19" x14ac:dyDescent="0.25">
      <c r="A89" s="9">
        <v>0.5625</v>
      </c>
      <c r="B89" s="15">
        <f ref="B89:I89" si="11" t="shared">B32/B$61</f>
        <v>8.3737176148259568E-2</v>
      </c>
      <c r="C89" s="15">
        <f si="11" t="shared"/>
        <v>7.918032098152461E-2</v>
      </c>
      <c r="D89" s="15">
        <f si="11" t="shared"/>
        <v>3.1129925200610659E-2</v>
      </c>
      <c r="E89" s="15">
        <f si="11" t="shared"/>
        <v>5.0919989877436504E-2</v>
      </c>
      <c r="F89" s="15">
        <f si="11" t="shared"/>
        <v>5.1867214320147834E-2</v>
      </c>
      <c r="G89" s="15">
        <f si="11" t="shared"/>
        <v>4.1848653532123803E-2</v>
      </c>
      <c r="H89" s="15">
        <f si="11" t="shared"/>
        <v>3.3830834436126195E-2</v>
      </c>
      <c r="I89" s="15">
        <f si="11" t="shared"/>
        <v>5.0111249141664045E-2</v>
      </c>
      <c r="K89" s="9">
        <v>0.5625</v>
      </c>
      <c r="L89" s="14">
        <f si="10" t="shared"/>
        <v>5.5396986631660115E-2</v>
      </c>
      <c r="M89" s="14">
        <f si="10" t="shared"/>
        <v>5.2619465927572544E-2</v>
      </c>
      <c r="N89" s="14">
        <f si="10" t="shared"/>
        <v>3.227725447024004E-2</v>
      </c>
      <c r="O89" s="14">
        <f si="10" t="shared"/>
        <v>4.4535877903360797E-2</v>
      </c>
      <c r="P89" s="14">
        <f si="10" t="shared"/>
        <v>3.111764053898217E-2</v>
      </c>
      <c r="Q89" s="14">
        <f si="10" t="shared"/>
        <v>2.5938355870423879E-2</v>
      </c>
      <c r="R89" s="14">
        <f si="10" t="shared"/>
        <v>4.4563166373350165E-2</v>
      </c>
      <c r="S89" s="15">
        <f si="10" t="shared"/>
        <v>4.1787611013890828E-2</v>
      </c>
    </row>
    <row r="90" spans="1:19" x14ac:dyDescent="0.25">
      <c r="A90" s="9">
        <v>0.58333333333333337</v>
      </c>
      <c r="B90" s="15">
        <f ref="B90:I105" si="12" t="shared">B33/B$61</f>
        <v>7.767380985766445E-2</v>
      </c>
      <c r="C90" s="15">
        <f si="12" t="shared"/>
        <v>6.7909307217836334E-2</v>
      </c>
      <c r="D90" s="15">
        <f si="12" t="shared"/>
        <v>4.0076130643635306E-2</v>
      </c>
      <c r="E90" s="15">
        <f si="12" t="shared"/>
        <v>5.521509741884871E-2</v>
      </c>
      <c r="F90" s="15">
        <f si="12" t="shared"/>
        <v>5.4601803613344504E-2</v>
      </c>
      <c r="G90" s="15">
        <f si="12" t="shared"/>
        <v>4.4621972170254688E-2</v>
      </c>
      <c r="H90" s="15">
        <f si="12" t="shared"/>
        <v>4.0180412704543061E-2</v>
      </c>
      <c r="I90" s="15">
        <f si="12" t="shared"/>
        <v>5.3068146796433645E-2</v>
      </c>
      <c r="K90" s="9">
        <v>0.58333333333333337</v>
      </c>
      <c r="L90" s="14">
        <f si="10" t="shared"/>
        <v>5.8282633514574557E-2</v>
      </c>
      <c r="M90" s="14">
        <f si="10" t="shared"/>
        <v>5.9136718089891828E-2</v>
      </c>
      <c r="N90" s="14">
        <f si="10" t="shared"/>
        <v>3.5671114322963118E-2</v>
      </c>
      <c r="O90" s="14">
        <f si="10" t="shared"/>
        <v>4.9465555946906131E-2</v>
      </c>
      <c r="P90" s="14">
        <f si="10" t="shared"/>
        <v>3.702917818782895E-2</v>
      </c>
      <c r="Q90" s="14">
        <f si="10" t="shared"/>
        <v>3.1960489457886203E-2</v>
      </c>
      <c r="R90" s="14">
        <f si="10" t="shared"/>
        <v>5.0822350378745364E-2</v>
      </c>
      <c r="S90" s="15">
        <f si="10" t="shared"/>
        <v>4.6436731646209727E-2</v>
      </c>
    </row>
    <row r="91" spans="1:19" x14ac:dyDescent="0.25">
      <c r="A91" s="9">
        <v>0.60416666666666663</v>
      </c>
      <c r="B91" s="15">
        <f si="12" t="shared"/>
        <v>6.9727730883614461E-2</v>
      </c>
      <c r="C91" s="15">
        <f si="12" t="shared"/>
        <v>5.4645756509088081E-2</v>
      </c>
      <c r="D91" s="15">
        <f si="12" t="shared"/>
        <v>5.0422542932775267E-2</v>
      </c>
      <c r="E91" s="15">
        <f si="12" t="shared"/>
        <v>5.962951967242739E-2</v>
      </c>
      <c r="F91" s="15">
        <f si="12" t="shared"/>
        <v>5.6383226460562132E-2</v>
      </c>
      <c r="G91" s="15">
        <f si="12" t="shared"/>
        <v>4.8772302214308859E-2</v>
      </c>
      <c r="H91" s="15">
        <f si="12" t="shared"/>
        <v>4.7032804668717065E-2</v>
      </c>
      <c r="I91" s="15">
        <f si="12" t="shared"/>
        <v>5.5873030063265321E-2</v>
      </c>
      <c r="K91" s="9">
        <v>0.60416666666666663</v>
      </c>
      <c r="L91" s="14">
        <f si="10" t="shared"/>
        <v>5.8687506152907465E-2</v>
      </c>
      <c r="M91" s="14">
        <f si="10" t="shared"/>
        <v>6.4962786509340523E-2</v>
      </c>
      <c r="N91" s="14">
        <f si="10" t="shared"/>
        <v>3.8883832208371737E-2</v>
      </c>
      <c r="O91" s="14">
        <f si="10" t="shared"/>
        <v>5.3617921677546768E-2</v>
      </c>
      <c r="P91" s="14">
        <f si="10" t="shared"/>
        <v>4.3576698328297837E-2</v>
      </c>
      <c r="Q91" s="14">
        <f si="10" t="shared"/>
        <v>3.8714760696737287E-2</v>
      </c>
      <c r="R91" s="14">
        <f si="10" t="shared"/>
        <v>5.636205623952812E-2</v>
      </c>
      <c r="S91" s="15">
        <f si="10" t="shared"/>
        <v>5.0363549930042564E-2</v>
      </c>
    </row>
    <row r="92" spans="1:19" x14ac:dyDescent="0.25">
      <c r="A92" s="9">
        <v>0.625</v>
      </c>
      <c r="B92" s="15">
        <f si="12" t="shared"/>
        <v>6.1194970631109041E-2</v>
      </c>
      <c r="C92" s="15">
        <f si="12" t="shared"/>
        <v>4.4810305144857829E-2</v>
      </c>
      <c r="D92" s="15">
        <f si="12" t="shared"/>
        <v>5.9901664814696276E-2</v>
      </c>
      <c r="E92" s="15">
        <f si="12" t="shared"/>
        <v>6.3378815327347751E-2</v>
      </c>
      <c r="F92" s="15">
        <f si="12" t="shared"/>
        <v>5.697605300649989E-2</v>
      </c>
      <c r="G92" s="15">
        <f si="12" t="shared"/>
        <v>5.296949548214118E-2</v>
      </c>
      <c r="H92" s="15">
        <f si="12" t="shared"/>
        <v>5.3516125270515656E-2</v>
      </c>
      <c r="I92" s="15">
        <f si="12" t="shared"/>
        <v>5.8000829169528326E-2</v>
      </c>
      <c r="K92" s="9">
        <v>0.625</v>
      </c>
      <c r="L92" s="14">
        <f si="10" t="shared"/>
        <v>5.8615046898707571E-2</v>
      </c>
      <c r="M92" s="14">
        <f si="10" t="shared"/>
        <v>7.104199684076265E-2</v>
      </c>
      <c r="N92" s="14">
        <f si="10" t="shared"/>
        <v>4.3003269474194611E-2</v>
      </c>
      <c r="O92" s="14">
        <f si="10" t="shared"/>
        <v>5.8192900590062997E-2</v>
      </c>
      <c r="P92" s="14">
        <f si="10" t="shared"/>
        <v>5.1647473568225008E-2</v>
      </c>
      <c r="Q92" s="14">
        <f si="10" t="shared"/>
        <v>4.6973654764552369E-2</v>
      </c>
      <c r="R92" s="14">
        <f si="10" t="shared"/>
        <v>6.2298086710440938E-2</v>
      </c>
      <c r="S92" s="15">
        <f si="10" t="shared"/>
        <v>5.4804084886926209E-2</v>
      </c>
    </row>
    <row r="93" spans="1:19" x14ac:dyDescent="0.25">
      <c r="A93" s="9">
        <v>0.64583333333333337</v>
      </c>
      <c r="B93" s="15">
        <f si="12" t="shared"/>
        <v>5.2448010382046502E-2</v>
      </c>
      <c r="C93" s="15">
        <f si="12" t="shared"/>
        <v>4.1003142332368708E-2</v>
      </c>
      <c r="D93" s="15">
        <f si="12" t="shared"/>
        <v>6.6302753123663002E-2</v>
      </c>
      <c r="E93" s="15">
        <f si="12" t="shared"/>
        <v>6.5199968531662045E-2</v>
      </c>
      <c r="F93" s="15">
        <f si="12" t="shared"/>
        <v>5.6270574231664552E-2</v>
      </c>
      <c r="G93" s="15">
        <f si="12" t="shared"/>
        <v>5.6155189776127101E-2</v>
      </c>
      <c r="H93" s="15">
        <f si="12" t="shared"/>
        <v>5.9006456812240544E-2</v>
      </c>
      <c r="I93" s="15">
        <f si="12" t="shared"/>
        <v>5.879906022677521E-2</v>
      </c>
      <c r="K93" s="9">
        <v>0.64583333333333337</v>
      </c>
      <c r="L93" s="14">
        <f si="10" t="shared"/>
        <v>5.9745425727215619E-2</v>
      </c>
      <c r="M93" s="14">
        <f si="10" t="shared"/>
        <v>7.7036356477636181E-2</v>
      </c>
      <c r="N93" s="14">
        <f si="10" t="shared"/>
        <v>4.8734319186156547E-2</v>
      </c>
      <c r="O93" s="14">
        <f si="10" t="shared"/>
        <v>6.3749888510566968E-2</v>
      </c>
      <c r="P93" s="14">
        <f si="10" t="shared"/>
        <v>6.1392096002167627E-2</v>
      </c>
      <c r="Q93" s="14">
        <f si="10" t="shared"/>
        <v>5.7036362815238023E-2</v>
      </c>
      <c r="R93" s="14">
        <f si="10" t="shared"/>
        <v>6.9030943515130061E-2</v>
      </c>
      <c r="S93" s="15">
        <f si="10" t="shared"/>
        <v>6.0433119587681536E-2</v>
      </c>
    </row>
    <row r="94" spans="1:19" x14ac:dyDescent="0.25">
      <c r="A94" s="9">
        <v>0.66666666666666663</v>
      </c>
      <c r="B94" s="15">
        <f si="12" t="shared"/>
        <v>4.3559507938005511E-2</v>
      </c>
      <c r="C94" s="15">
        <f si="12" t="shared"/>
        <v>4.2137352905951116E-2</v>
      </c>
      <c r="D94" s="15">
        <f si="12" t="shared"/>
        <v>6.846299262235328E-2</v>
      </c>
      <c r="E94" s="15">
        <f si="12" t="shared"/>
        <v>6.3864313067857961E-2</v>
      </c>
      <c r="F94" s="15">
        <f si="12" t="shared"/>
        <v>5.4477468736290328E-2</v>
      </c>
      <c r="G94" s="15">
        <f si="12" t="shared"/>
        <v>5.8009486236081188E-2</v>
      </c>
      <c r="H94" s="15">
        <f si="12" t="shared"/>
        <v>6.329530729692015E-2</v>
      </c>
      <c r="I94" s="15">
        <f si="12" t="shared"/>
        <v>5.7902512248990325E-2</v>
      </c>
      <c r="K94" s="9">
        <v>0.66666666666666663</v>
      </c>
      <c r="L94" s="14">
        <f si="10" t="shared"/>
        <v>6.2284603296647145E-2</v>
      </c>
      <c r="M94" s="14">
        <f si="10" t="shared"/>
        <v>8.0997431032011555E-2</v>
      </c>
      <c r="N94" s="14">
        <f si="10" t="shared"/>
        <v>5.564522529369207E-2</v>
      </c>
      <c r="O94" s="14">
        <f si="10" t="shared"/>
        <v>6.9380176851192535E-2</v>
      </c>
      <c r="P94" s="14">
        <f si="10" t="shared"/>
        <v>7.1518633511365545E-2</v>
      </c>
      <c r="Q94" s="14">
        <f si="10" t="shared"/>
        <v>6.7998057503876871E-2</v>
      </c>
      <c r="R94" s="14">
        <f si="10" t="shared"/>
        <v>7.5454433100882609E-2</v>
      </c>
      <c r="S94" s="15">
        <f si="10" t="shared"/>
        <v>6.6535977492282461E-2</v>
      </c>
    </row>
    <row r="95" spans="1:19" x14ac:dyDescent="0.25">
      <c r="A95" s="9">
        <v>0.6875</v>
      </c>
      <c r="B95" s="15">
        <f si="12" t="shared"/>
        <v>3.490995464290346E-2</v>
      </c>
      <c r="C95" s="15">
        <f si="12" t="shared"/>
        <v>4.4588137550898618E-2</v>
      </c>
      <c r="D95" s="15">
        <f si="12" t="shared"/>
        <v>6.6567409765739632E-2</v>
      </c>
      <c r="E95" s="15">
        <f si="12" t="shared"/>
        <v>5.9073592235801504E-2</v>
      </c>
      <c r="F95" s="15">
        <f si="12" t="shared"/>
        <v>5.203843852308606E-2</v>
      </c>
      <c r="G95" s="15">
        <f si="12" t="shared"/>
        <v>5.8510447083188172E-2</v>
      </c>
      <c r="H95" s="15">
        <f si="12" t="shared"/>
        <v>6.6334865031070195E-2</v>
      </c>
      <c r="I95" s="15">
        <f si="12" t="shared"/>
        <v>5.5413519960603168E-2</v>
      </c>
      <c r="K95" s="9">
        <v>0.6875</v>
      </c>
      <c r="L95" s="14">
        <f si="10" t="shared"/>
        <v>6.4848054747468645E-2</v>
      </c>
      <c r="M95" s="14">
        <f si="10" t="shared"/>
        <v>8.0518038236039105E-2</v>
      </c>
      <c r="N95" s="14">
        <f si="10" t="shared"/>
        <v>6.2131973199685393E-2</v>
      </c>
      <c r="O95" s="14">
        <f si="10" t="shared"/>
        <v>7.2981872464962946E-2</v>
      </c>
      <c r="P95" s="14">
        <f si="10" t="shared"/>
        <v>7.9516802017741431E-2</v>
      </c>
      <c r="Q95" s="14">
        <f si="10" t="shared"/>
        <v>7.768621387998971E-2</v>
      </c>
      <c r="R95" s="14">
        <f si="10" t="shared"/>
        <v>7.9312768961641092E-2</v>
      </c>
      <c r="S95" s="15">
        <f si="10" t="shared"/>
        <v>7.1169802908001872E-2</v>
      </c>
    </row>
    <row r="96" spans="1:19" x14ac:dyDescent="0.25">
      <c r="A96" s="9">
        <v>0.70833333333333337</v>
      </c>
      <c r="B96" s="15">
        <f si="12" t="shared"/>
        <v>2.715380708529383E-2</v>
      </c>
      <c r="C96" s="15">
        <f si="12" t="shared"/>
        <v>4.4688372071980356E-2</v>
      </c>
      <c r="D96" s="15">
        <f si="12" t="shared"/>
        <v>6.1681655735101391E-2</v>
      </c>
      <c r="E96" s="15">
        <f si="12" t="shared"/>
        <v>5.1880150145083521E-2</v>
      </c>
      <c r="F96" s="15">
        <f si="12" t="shared"/>
        <v>4.9280614863612716E-2</v>
      </c>
      <c r="G96" s="15">
        <f si="12" t="shared"/>
        <v>5.738649336734785E-2</v>
      </c>
      <c r="H96" s="15">
        <f si="12" t="shared"/>
        <v>6.7823870906765421E-2</v>
      </c>
      <c r="I96" s="15">
        <f si="12" t="shared"/>
        <v>5.1725930588219671E-2</v>
      </c>
      <c r="K96" s="9">
        <v>0.70833333333333337</v>
      </c>
      <c r="L96" s="14">
        <f si="10" t="shared"/>
        <v>6.5379369419683753E-2</v>
      </c>
      <c r="M96" s="14">
        <f si="10" t="shared"/>
        <v>7.4409214299497886E-2</v>
      </c>
      <c r="N96" s="14">
        <f si="10" t="shared"/>
        <v>6.6172791491982533E-2</v>
      </c>
      <c r="O96" s="14">
        <f si="10" t="shared"/>
        <v>7.2477382915156957E-2</v>
      </c>
      <c r="P96" s="14">
        <f si="10" t="shared"/>
        <v>8.2835313529475499E-2</v>
      </c>
      <c r="Q96" s="14">
        <f si="10" t="shared"/>
        <v>8.3519690659902973E-2</v>
      </c>
      <c r="R96" s="14">
        <f si="10" t="shared"/>
        <v>7.8500820176085256E-2</v>
      </c>
      <c r="S96" s="15">
        <f si="10" t="shared"/>
        <v>7.2235501417657E-2</v>
      </c>
    </row>
    <row r="97" spans="1:19" x14ac:dyDescent="0.25">
      <c r="A97" s="9">
        <v>0.72916666666666663</v>
      </c>
      <c r="B97" s="15">
        <f si="12" t="shared"/>
        <v>2.0768838588329799E-2</v>
      </c>
      <c r="C97" s="15">
        <f si="12" t="shared"/>
        <v>4.1094784359217387E-2</v>
      </c>
      <c r="D97" s="15">
        <f si="12" t="shared"/>
        <v>5.5078381090093491E-2</v>
      </c>
      <c r="E97" s="15">
        <f si="12" t="shared"/>
        <v>4.4033575618835669E-2</v>
      </c>
      <c r="F97" s="15">
        <f si="12" t="shared"/>
        <v>4.6151472827908747E-2</v>
      </c>
      <c r="G97" s="15">
        <f si="12" t="shared"/>
        <v>5.4210072532084652E-2</v>
      </c>
      <c r="H97" s="15">
        <f si="12" t="shared"/>
        <v>6.7044746168074765E-2</v>
      </c>
      <c r="I97" s="15">
        <f si="12" t="shared"/>
        <v>4.720046548029673E-2</v>
      </c>
      <c r="K97" s="9">
        <v>0.72916666666666663</v>
      </c>
      <c r="L97" s="14">
        <f si="10" t="shared"/>
        <v>6.245508171984189E-2</v>
      </c>
      <c r="M97" s="14">
        <f si="10" t="shared"/>
        <v>6.3561588477119277E-2</v>
      </c>
      <c r="N97" s="14">
        <f si="10" t="shared"/>
        <v>6.6412086654205005E-2</v>
      </c>
      <c r="O97" s="14">
        <f si="10" t="shared"/>
        <v>6.7114239536604683E-2</v>
      </c>
      <c r="P97" s="14">
        <f si="10" t="shared"/>
        <v>8.0293445512882824E-2</v>
      </c>
      <c r="Q97" s="14">
        <f si="10" t="shared"/>
        <v>8.3857937439236363E-2</v>
      </c>
      <c r="R97" s="14">
        <f si="10" t="shared"/>
        <v>7.2387452528884164E-2</v>
      </c>
      <c r="S97" s="15">
        <f si="10" t="shared"/>
        <v>6.8731343383966428E-2</v>
      </c>
    </row>
    <row r="98" spans="1:19" x14ac:dyDescent="0.25">
      <c r="A98" s="9">
        <v>0.75</v>
      </c>
      <c r="B98" s="15">
        <f si="12" t="shared"/>
        <v>1.5778039408294538E-2</v>
      </c>
      <c r="C98" s="15">
        <f si="12" t="shared"/>
        <v>3.5358698842586009E-2</v>
      </c>
      <c r="D98" s="15">
        <f si="12" t="shared"/>
        <v>4.7903636540788649E-2</v>
      </c>
      <c r="E98" s="15">
        <f si="12" t="shared"/>
        <v>3.6827916712286884E-2</v>
      </c>
      <c r="F98" s="15">
        <f si="12" t="shared"/>
        <v>4.2304579746842409E-2</v>
      </c>
      <c r="G98" s="15">
        <f si="12" t="shared"/>
        <v>4.8993049376010803E-2</v>
      </c>
      <c r="H98" s="15">
        <f si="12" t="shared"/>
        <v>6.3169434633129101E-2</v>
      </c>
      <c r="I98" s="15">
        <f si="12" t="shared"/>
        <v>4.2015272641393993E-2</v>
      </c>
      <c r="K98" s="9">
        <v>0.75</v>
      </c>
      <c r="L98" s="14">
        <f si="10" t="shared"/>
        <v>5.6102877389494786E-2</v>
      </c>
      <c r="M98" s="14">
        <f si="10" t="shared"/>
        <v>5.043612604572463E-2</v>
      </c>
      <c r="N98" s="14">
        <f si="10" t="shared"/>
        <v>6.2849773284082838E-2</v>
      </c>
      <c r="O98" s="14">
        <f si="10" t="shared"/>
        <v>5.7930728841899051E-2</v>
      </c>
      <c r="P98" s="14">
        <f si="10" t="shared"/>
        <v>7.2729630630228692E-2</v>
      </c>
      <c r="Q98" s="14">
        <f si="10" t="shared"/>
        <v>7.8897857274103741E-2</v>
      </c>
      <c r="R98" s="14">
        <f si="10" t="shared"/>
        <v>6.2223126889462785E-2</v>
      </c>
      <c r="S98" s="15">
        <f si="10" t="shared"/>
        <v>6.1321134907476232E-2</v>
      </c>
    </row>
    <row r="99" spans="1:19" x14ac:dyDescent="0.25">
      <c r="A99" s="9">
        <v>0.77083333333333337</v>
      </c>
      <c r="B99" s="15">
        <f si="12" t="shared"/>
        <v>1.1878405937292426E-2</v>
      </c>
      <c r="C99" s="15">
        <f si="12" t="shared"/>
        <v>3.0268634877080036E-2</v>
      </c>
      <c r="D99" s="15">
        <f si="12" t="shared"/>
        <v>4.1168593546144182E-2</v>
      </c>
      <c r="E99" s="15">
        <f si="12" t="shared"/>
        <v>3.0559137611310593E-2</v>
      </c>
      <c r="F99" s="15">
        <f si="12" t="shared"/>
        <v>3.7466901814539474E-2</v>
      </c>
      <c r="G99" s="15">
        <f si="12" t="shared"/>
        <v>4.2517547430510734E-2</v>
      </c>
      <c r="H99" s="15">
        <f si="12" t="shared"/>
        <v>5.5899913676753871E-2</v>
      </c>
      <c r="I99" s="15">
        <f si="12" t="shared"/>
        <v>3.6297865082160999E-2</v>
      </c>
      <c r="K99" s="9">
        <v>0.77083333333333337</v>
      </c>
      <c r="L99" s="14">
        <f si="10" t="shared"/>
        <v>4.7626986399087551E-2</v>
      </c>
      <c r="M99" s="14">
        <f si="10" t="shared"/>
        <v>3.7720339509758498E-2</v>
      </c>
      <c r="N99" s="14">
        <f si="10" t="shared"/>
        <v>5.6666463065906468E-2</v>
      </c>
      <c r="O99" s="14">
        <f si="10" t="shared"/>
        <v>4.7100818236237935E-2</v>
      </c>
      <c r="P99" s="14">
        <f si="10" t="shared"/>
        <v>6.2406629768712495E-2</v>
      </c>
      <c r="Q99" s="14">
        <f si="10" t="shared"/>
        <v>7.0411580744168145E-2</v>
      </c>
      <c r="R99" s="14">
        <f si="10" t="shared"/>
        <v>5.0384704342244901E-2</v>
      </c>
      <c r="S99" s="15">
        <f si="10" t="shared"/>
        <v>5.1850807806225183E-2</v>
      </c>
    </row>
    <row r="100" spans="1:19" x14ac:dyDescent="0.25">
      <c r="A100" s="9">
        <v>0.79166666666666663</v>
      </c>
      <c r="B100" s="15">
        <f si="12" t="shared"/>
        <v>8.7498559618456144E-3</v>
      </c>
      <c r="C100" s="15">
        <f si="12" t="shared"/>
        <v>2.7417136247498305E-2</v>
      </c>
      <c r="D100" s="15">
        <f si="12" t="shared"/>
        <v>3.5694781223636216E-2</v>
      </c>
      <c r="E100" s="15">
        <f si="12" t="shared"/>
        <v>2.4923075216637204E-2</v>
      </c>
      <c r="F100" s="15">
        <f si="12" t="shared"/>
        <v>3.1760754109388153E-2</v>
      </c>
      <c r="G100" s="15">
        <f si="12" t="shared"/>
        <v>3.5930814477905422E-2</v>
      </c>
      <c r="H100" s="15">
        <f si="12" t="shared"/>
        <v>4.5985531934719534E-2</v>
      </c>
      <c r="I100" s="15">
        <f si="12" t="shared"/>
        <v>3.0329440132149828E-2</v>
      </c>
      <c r="K100" s="9">
        <v>0.79166666666666663</v>
      </c>
      <c r="L100" s="14">
        <f ref="L100:S115" si="13" t="shared">L43/L$61</f>
        <v>3.8695254865903986E-2</v>
      </c>
      <c r="M100" s="14">
        <f si="13" t="shared"/>
        <v>2.715487760971361E-2</v>
      </c>
      <c r="N100" s="14">
        <f si="13" t="shared"/>
        <v>4.937809046467663E-2</v>
      </c>
      <c r="O100" s="14">
        <f si="13" t="shared"/>
        <v>3.6718093548827005E-2</v>
      </c>
      <c r="P100" s="14">
        <f si="13" t="shared"/>
        <v>5.1662714634173379E-2</v>
      </c>
      <c r="Q100" s="14">
        <f si="13" t="shared"/>
        <v>6.0552056889836461E-2</v>
      </c>
      <c r="R100" s="14">
        <f si="13" t="shared"/>
        <v>3.9083471421351303E-2</v>
      </c>
      <c r="S100" s="15">
        <f si="13" t="shared"/>
        <v>4.2244910120578683E-2</v>
      </c>
    </row>
    <row r="101" spans="1:19" x14ac:dyDescent="0.25">
      <c r="A101" s="9">
        <v>0.8125</v>
      </c>
      <c r="B101" s="15">
        <f si="12" t="shared"/>
        <v>6.2388690664202271E-3</v>
      </c>
      <c r="C101" s="15">
        <f si="12" t="shared"/>
        <v>2.6085306531510803E-2</v>
      </c>
      <c r="D101" s="15">
        <f si="12" t="shared"/>
        <v>3.1872170190349776E-2</v>
      </c>
      <c r="E101" s="15">
        <f si="12" t="shared"/>
        <v>1.9696446914948987E-2</v>
      </c>
      <c r="F101" s="15">
        <f si="12" t="shared"/>
        <v>2.5704813912468264E-2</v>
      </c>
      <c r="G101" s="15">
        <f si="12" t="shared"/>
        <v>2.9977433065534208E-2</v>
      </c>
      <c r="H101" s="15">
        <f si="12" t="shared"/>
        <v>3.5120734017079845E-2</v>
      </c>
      <c r="I101" s="15">
        <f si="12" t="shared"/>
        <v>2.4556347359655534E-2</v>
      </c>
      <c r="K101" s="9">
        <v>0.8125</v>
      </c>
      <c r="L101" s="14">
        <f si="13" t="shared"/>
        <v>3.0467481096692676E-2</v>
      </c>
      <c r="M101" s="14">
        <f si="13" t="shared"/>
        <v>1.9183393807601118E-2</v>
      </c>
      <c r="N101" s="14">
        <f si="13" t="shared"/>
        <v>4.202572995293441E-2</v>
      </c>
      <c r="O101" s="14">
        <f si="13" t="shared"/>
        <v>2.7925405444760486E-2</v>
      </c>
      <c r="P101" s="14">
        <f si="13" t="shared"/>
        <v>4.1854325070101173E-2</v>
      </c>
      <c r="Q101" s="14">
        <f si="13" t="shared"/>
        <v>5.0727290368641841E-2</v>
      </c>
      <c r="R101" s="14">
        <f si="13" t="shared"/>
        <v>2.9487726018774786E-2</v>
      </c>
      <c r="S101" s="15">
        <f si="13" t="shared"/>
        <v>3.3638368522696152E-2</v>
      </c>
    </row>
    <row r="102" spans="1:19" x14ac:dyDescent="0.25">
      <c r="A102" s="9">
        <v>0.83333333333333337</v>
      </c>
      <c r="B102" s="15">
        <f si="12" t="shared"/>
        <v>4.3307183993273567E-3</v>
      </c>
      <c r="C102" s="15">
        <f si="12" t="shared"/>
        <v>2.4231232491957085E-2</v>
      </c>
      <c r="D102" s="15">
        <f si="12" t="shared"/>
        <v>2.9475726974339016E-2</v>
      </c>
      <c r="E102" s="15">
        <f si="12" t="shared"/>
        <v>1.4998302570367337E-2</v>
      </c>
      <c r="F102" s="15">
        <f si="12" t="shared"/>
        <v>1.9919408627772944E-2</v>
      </c>
      <c r="G102" s="15">
        <f si="12" t="shared"/>
        <v>2.4662825623080552E-2</v>
      </c>
      <c r="H102" s="15">
        <f si="12" t="shared"/>
        <v>2.5172077448436591E-2</v>
      </c>
      <c r="I102" s="15">
        <f si="12" t="shared"/>
        <v>1.9393234218025412E-2</v>
      </c>
      <c r="K102" s="9">
        <v>0.83333333333333337</v>
      </c>
      <c r="L102" s="14">
        <f si="13" t="shared"/>
        <v>2.3352961650836321E-2</v>
      </c>
      <c r="M102" s="14">
        <f si="13" t="shared"/>
        <v>1.337183197688511E-2</v>
      </c>
      <c r="N102" s="14">
        <f si="13" t="shared"/>
        <v>3.4974413379876675E-2</v>
      </c>
      <c r="O102" s="14">
        <f si="13" t="shared"/>
        <v>2.086925710487671E-2</v>
      </c>
      <c r="P102" s="14">
        <f si="13" t="shared"/>
        <v>3.325153243414207E-2</v>
      </c>
      <c r="Q102" s="14">
        <f si="13" t="shared"/>
        <v>4.1363779142780617E-2</v>
      </c>
      <c r="R102" s="14">
        <f si="13" t="shared"/>
        <v>2.1728359615196629E-2</v>
      </c>
      <c r="S102" s="15">
        <f si="13" t="shared"/>
        <v>2.627299593497489E-2</v>
      </c>
    </row>
    <row r="103" spans="1:19" x14ac:dyDescent="0.25">
      <c r="A103" s="9">
        <v>0.85416666666666663</v>
      </c>
      <c r="B103" s="15">
        <f si="12" t="shared"/>
        <v>3.0266870029576911E-3</v>
      </c>
      <c r="C103" s="15">
        <f si="12" t="shared"/>
        <v>2.0439546475833455E-2</v>
      </c>
      <c r="D103" s="15">
        <f si="12" t="shared"/>
        <v>2.7781709333591757E-2</v>
      </c>
      <c r="E103" s="15">
        <f si="12" t="shared"/>
        <v>1.1084185460240247E-2</v>
      </c>
      <c r="F103" s="15">
        <f si="12" t="shared"/>
        <v>1.4821508110730259E-2</v>
      </c>
      <c r="G103" s="15">
        <f si="12" t="shared"/>
        <v>1.9639584037550381E-2</v>
      </c>
      <c r="H103" s="15">
        <f si="12" t="shared"/>
        <v>1.7299669774050824E-2</v>
      </c>
      <c r="I103" s="15">
        <f si="12" t="shared"/>
        <v>1.5035805078153769E-2</v>
      </c>
      <c r="K103" s="9">
        <v>0.85416666666666663</v>
      </c>
      <c r="L103" s="14">
        <f si="13" t="shared"/>
        <v>1.7331488121779676E-2</v>
      </c>
      <c r="M103" s="14">
        <f si="13" t="shared"/>
        <v>9.0738527497070797E-3</v>
      </c>
      <c r="N103" s="14">
        <f si="13" t="shared"/>
        <v>2.8275725039097234E-2</v>
      </c>
      <c r="O103" s="14">
        <f si="13" t="shared"/>
        <v>1.5226772117847946E-2</v>
      </c>
      <c r="P103" s="14">
        <f si="13" t="shared"/>
        <v>2.5655688729199193E-2</v>
      </c>
      <c r="Q103" s="14">
        <f si="13" t="shared"/>
        <v>3.2470913778946904E-2</v>
      </c>
      <c r="R103" s="14">
        <f si="13" t="shared"/>
        <v>1.5480985136120552E-2</v>
      </c>
      <c r="S103" s="15">
        <f si="13" t="shared"/>
        <v>1.9975312092978269E-2</v>
      </c>
    </row>
    <row r="104" spans="1:19" x14ac:dyDescent="0.25">
      <c r="A104" s="9">
        <v>0.875</v>
      </c>
      <c r="B104" s="15">
        <f si="12" t="shared"/>
        <v>2.2652115164784352E-3</v>
      </c>
      <c r="C104" s="15">
        <f si="12" t="shared"/>
        <v>1.5006644706589125E-2</v>
      </c>
      <c r="D104" s="15">
        <f si="12" t="shared"/>
        <v>2.5918100547946236E-2</v>
      </c>
      <c r="E104" s="15">
        <f si="12" t="shared"/>
        <v>8.0653392145588719E-3</v>
      </c>
      <c r="F104" s="15">
        <f si="12" t="shared"/>
        <v>1.0553199522669752E-2</v>
      </c>
      <c r="G104" s="15">
        <f si="12" t="shared"/>
        <v>1.4802041106423112E-2</v>
      </c>
      <c r="H104" s="15">
        <f si="12" t="shared"/>
        <v>1.1647244252020359E-2</v>
      </c>
      <c r="I104" s="15">
        <f si="12" t="shared"/>
        <v>1.1454034311821756E-2</v>
      </c>
      <c r="K104" s="9">
        <v>0.875</v>
      </c>
      <c r="L104" s="14">
        <f si="13" t="shared"/>
        <v>1.2349613909803285E-2</v>
      </c>
      <c r="M104" s="14">
        <f si="13" t="shared"/>
        <v>5.8505229398511669E-3</v>
      </c>
      <c r="N104" s="14">
        <f si="13" t="shared"/>
        <v>2.2086018197325221E-2</v>
      </c>
      <c r="O104" s="14">
        <f si="13" t="shared"/>
        <v>1.0715522130775873E-2</v>
      </c>
      <c r="P104" s="14">
        <f si="13" t="shared"/>
        <v>1.900622339595081E-2</v>
      </c>
      <c r="Q104" s="14">
        <f si="13" t="shared"/>
        <v>2.4256123944192225E-2</v>
      </c>
      <c r="R104" s="14">
        <f si="13" t="shared"/>
        <v>1.0489504450003725E-2</v>
      </c>
      <c r="S104" s="15">
        <f si="13" t="shared"/>
        <v>1.4638370664011536E-2</v>
      </c>
    </row>
    <row r="105" spans="1:19" x14ac:dyDescent="0.25">
      <c r="A105" s="9">
        <v>0.89583333333333337</v>
      </c>
      <c r="B105" s="15">
        <f si="12" t="shared"/>
        <v>1.9200168272802201E-3</v>
      </c>
      <c r="C105" s="15">
        <f si="12" t="shared"/>
        <v>9.4168508776611044E-3</v>
      </c>
      <c r="D105" s="15">
        <f si="12" t="shared"/>
        <v>2.3223448496727781E-2</v>
      </c>
      <c r="E105" s="15">
        <f si="12" t="shared"/>
        <v>5.8393092952646729E-3</v>
      </c>
      <c r="F105" s="15">
        <f si="12" t="shared"/>
        <v>7.1126851833426125E-3</v>
      </c>
      <c r="G105" s="15">
        <f si="12" t="shared"/>
        <v>1.0445038021696839E-2</v>
      </c>
      <c r="H105" s="15">
        <f si="12" t="shared"/>
        <v>7.7131296559392881E-3</v>
      </c>
      <c r="I105" s="15">
        <f si="12" t="shared"/>
        <v>8.5217367554572664E-3</v>
      </c>
      <c r="K105" s="9">
        <v>0.89583333333333337</v>
      </c>
      <c r="L105" s="14">
        <f si="13" t="shared"/>
        <v>8.4390209333875289E-3</v>
      </c>
      <c r="M105" s="14">
        <f si="13" t="shared"/>
        <v>3.5100692182417864E-3</v>
      </c>
      <c r="N105" s="14">
        <f si="13" t="shared"/>
        <v>1.673203759299783E-2</v>
      </c>
      <c r="O105" s="14">
        <f si="13" t="shared"/>
        <v>7.2384437089016273E-3</v>
      </c>
      <c r="P105" s="14">
        <f si="13" t="shared"/>
        <v>1.3498418478854721E-2</v>
      </c>
      <c r="Q105" s="14">
        <f si="13" t="shared"/>
        <v>1.7212970450355202E-2</v>
      </c>
      <c r="R105" s="14">
        <f si="13" t="shared"/>
        <v>6.6866004194265465E-3</v>
      </c>
      <c r="S105" s="15">
        <f si="13" t="shared"/>
        <v>1.0332404705983419E-2</v>
      </c>
    </row>
    <row r="106" spans="1:19" x14ac:dyDescent="0.25">
      <c r="A106" s="9">
        <v>0.91666666666666663</v>
      </c>
      <c r="B106" s="15">
        <f ref="B106:I117" si="14" t="shared">B49/B$61</f>
        <v>1.8253496991653645E-3</v>
      </c>
      <c r="C106" s="15">
        <f si="14" t="shared"/>
        <v>5.0403351758296069E-3</v>
      </c>
      <c r="D106" s="15">
        <f si="14" t="shared"/>
        <v>1.9479195906864168E-2</v>
      </c>
      <c r="E106" s="15">
        <f si="14" t="shared"/>
        <v>4.2058967139914664E-3</v>
      </c>
      <c r="F106" s="15">
        <f si="14" t="shared"/>
        <v>4.4798791123838817E-3</v>
      </c>
      <c r="G106" s="15">
        <f si="14" t="shared"/>
        <v>6.9473399201844064E-3</v>
      </c>
      <c r="H106" s="15">
        <f si="14" t="shared"/>
        <v>4.9255223381622967E-3</v>
      </c>
      <c r="I106" s="15">
        <f si="14" t="shared"/>
        <v>6.1324854725824758E-3</v>
      </c>
      <c r="K106" s="9">
        <v>0.91666666666666663</v>
      </c>
      <c r="L106" s="14">
        <f si="13" t="shared"/>
        <v>5.5977447531468721E-3</v>
      </c>
      <c r="M106" s="14">
        <f si="13" t="shared"/>
        <v>1.9472118223162272E-3</v>
      </c>
      <c r="N106" s="14">
        <f si="13" t="shared"/>
        <v>1.246689601749178E-2</v>
      </c>
      <c r="O106" s="14">
        <f si="13" t="shared"/>
        <v>4.746964511380701E-3</v>
      </c>
      <c r="P106" s="14">
        <f si="13" t="shared"/>
        <v>9.3171206009848521E-3</v>
      </c>
      <c r="Q106" s="14">
        <f si="13" t="shared"/>
        <v>1.1761621149734173E-2</v>
      </c>
      <c r="R106" s="14">
        <f si="13" t="shared"/>
        <v>4.0303006580858338E-3</v>
      </c>
      <c r="S106" s="15">
        <f si="13" t="shared"/>
        <v>7.1219750775994382E-3</v>
      </c>
    </row>
    <row r="107" spans="1:19" x14ac:dyDescent="0.25">
      <c r="A107" s="9">
        <v>0.9375</v>
      </c>
      <c r="B107" s="15">
        <f si="14" t="shared"/>
        <v>1.7990053237325772E-3</v>
      </c>
      <c r="C107" s="15">
        <f si="14" t="shared"/>
        <v>2.3330045795492632E-3</v>
      </c>
      <c r="D107" s="15">
        <f si="14" t="shared"/>
        <v>1.4973822487055814E-2</v>
      </c>
      <c r="E107" s="15">
        <f si="14" t="shared"/>
        <v>2.9937826803512818E-3</v>
      </c>
      <c r="F107" s="15">
        <f si="14" t="shared"/>
        <v>2.6199409244141375E-3</v>
      </c>
      <c r="G107" s="15">
        <f si="14" t="shared"/>
        <v>4.4364977507767014E-3</v>
      </c>
      <c r="H107" s="15">
        <f si="14" t="shared"/>
        <v>2.9395149754813609E-3</v>
      </c>
      <c r="I107" s="15">
        <f si="14" t="shared"/>
        <v>4.2266712873167654E-3</v>
      </c>
      <c r="K107" s="9">
        <v>0.9375</v>
      </c>
      <c r="L107" s="14">
        <f si="13" t="shared"/>
        <v>3.6776982277739604E-3</v>
      </c>
      <c r="M107" s="14">
        <f si="13" t="shared"/>
        <v>1.0144319465866997E-3</v>
      </c>
      <c r="N107" s="14">
        <f si="13" t="shared"/>
        <v>9.2541995452330543E-3</v>
      </c>
      <c r="O107" s="14">
        <f si="13" t="shared"/>
        <v>3.0949017575074306E-3</v>
      </c>
      <c r="P107" s="14">
        <f si="13" t="shared"/>
        <v>6.389008965893843E-3</v>
      </c>
      <c r="Q107" s="14">
        <f si="13" t="shared"/>
        <v>7.9223018929015163E-3</v>
      </c>
      <c r="R107" s="14">
        <f si="13" t="shared"/>
        <v>2.3533264496029636E-3</v>
      </c>
      <c r="S107" s="15">
        <f si="13" t="shared"/>
        <v>4.8940065439837038E-3</v>
      </c>
    </row>
    <row r="108" spans="1:19" x14ac:dyDescent="0.25">
      <c r="A108" s="9">
        <v>0.95833333333333337</v>
      </c>
      <c r="B108" s="15">
        <f si="14" t="shared"/>
        <v>1.6839408965373967E-3</v>
      </c>
      <c r="C108" s="15">
        <f si="14" t="shared"/>
        <v>9.6521110982545841E-4</v>
      </c>
      <c r="D108" s="15">
        <f si="14" t="shared"/>
        <v>1.036362260722096E-2</v>
      </c>
      <c r="E108" s="15">
        <f si="14" t="shared"/>
        <v>2.0943021142941351E-3</v>
      </c>
      <c r="F108" s="15">
        <f si="14" t="shared"/>
        <v>1.4307477393549618E-3</v>
      </c>
      <c r="G108" s="15">
        <f si="14" t="shared"/>
        <v>2.7579243871395272E-3</v>
      </c>
      <c r="H108" s="15">
        <f si="14" t="shared"/>
        <v>1.5957373942612871E-3</v>
      </c>
      <c r="I108" s="15">
        <f si="14" t="shared"/>
        <v>2.7633404570828828E-3</v>
      </c>
      <c r="K108" s="9">
        <v>0.95833333333333337</v>
      </c>
      <c r="L108" s="14">
        <f si="13" t="shared"/>
        <v>2.4178223244638811E-3</v>
      </c>
      <c r="M108" s="14">
        <f si="13" t="shared"/>
        <v>5.1495240376679663E-4</v>
      </c>
      <c r="N108" s="14">
        <f si="13" t="shared"/>
        <v>6.8113484650505129E-3</v>
      </c>
      <c r="O108" s="14">
        <f si="13" t="shared"/>
        <v>2.0385128455958803E-3</v>
      </c>
      <c r="P108" s="14">
        <f si="13" t="shared"/>
        <v>4.3974865631160225E-3</v>
      </c>
      <c r="Q108" s="14">
        <f si="13" t="shared"/>
        <v>5.3380506645764906E-3</v>
      </c>
      <c r="R108" s="14">
        <f si="13" t="shared"/>
        <v>1.3748066361296692E-3</v>
      </c>
      <c r="S108" s="15">
        <f si="13" t="shared"/>
        <v>3.377334931556487E-3</v>
      </c>
    </row>
    <row r="109" spans="1:19" x14ac:dyDescent="0.25">
      <c r="A109" s="9">
        <v>0.97916666666666663</v>
      </c>
      <c r="B109" s="15">
        <f si="14" t="shared"/>
        <v>1.4094080442645426E-3</v>
      </c>
      <c r="C109" s="15">
        <f si="14" t="shared"/>
        <v>3.7368155862763184E-4</v>
      </c>
      <c r="D109" s="15">
        <f si="14" t="shared"/>
        <v>6.3604354458880663E-3</v>
      </c>
      <c r="E109" s="15">
        <f si="14" t="shared"/>
        <v>1.4313652308271042E-3</v>
      </c>
      <c r="F109" s="15">
        <f si="14" t="shared"/>
        <v>7.4075775582628186E-4</v>
      </c>
      <c r="G109" s="15">
        <f si="14" t="shared"/>
        <v>1.6586604728476692E-3</v>
      </c>
      <c r="H109" s="15">
        <f si="14" t="shared"/>
        <v>7.7518705648729248E-4</v>
      </c>
      <c r="I109" s="15">
        <f si="14" t="shared"/>
        <v>1.6943881154113064E-3</v>
      </c>
      <c r="K109" s="9">
        <v>0.97916666666666663</v>
      </c>
      <c r="L109" s="14">
        <f si="13" t="shared"/>
        <v>1.5656111299903895E-3</v>
      </c>
      <c r="M109" s="14">
        <f si="13" t="shared"/>
        <v>2.6425525114870185E-4</v>
      </c>
      <c r="N109" s="14">
        <f si="13" t="shared"/>
        <v>4.8368705508934923E-3</v>
      </c>
      <c r="O109" s="14">
        <f si="13" t="shared"/>
        <v>1.3381071307608722E-3</v>
      </c>
      <c r="P109" s="14">
        <f si="13" t="shared"/>
        <v>2.9838255113516961E-3</v>
      </c>
      <c r="Q109" s="14">
        <f si="13" t="shared"/>
        <v>3.5517330309126358E-3</v>
      </c>
      <c r="R109" s="14">
        <f si="13" t="shared"/>
        <v>8.1316690551934737E-4</v>
      </c>
      <c r="S109" s="15">
        <f si="13" t="shared"/>
        <v>2.2923634287815436E-3</v>
      </c>
    </row>
    <row r="110" spans="1:19" x14ac:dyDescent="0.25">
      <c r="A110" s="9">
        <v>1</v>
      </c>
      <c r="B110" s="15">
        <f si="14" t="shared"/>
        <v>1.0183967111069771E-3</v>
      </c>
      <c r="C110" s="15">
        <f si="14" t="shared"/>
        <v>1.3899358586761206E-4</v>
      </c>
      <c r="D110" s="15">
        <f si="14" t="shared"/>
        <v>3.4137956706286458E-3</v>
      </c>
      <c r="E110" s="15">
        <f si="14" t="shared"/>
        <v>9.4017925855569169E-4</v>
      </c>
      <c r="F110" s="15">
        <f si="14" t="shared"/>
        <v>3.6728009275970388E-4</v>
      </c>
      <c r="G110" s="15">
        <f si="14" t="shared"/>
        <v>9.4135181225375557E-4</v>
      </c>
      <c r="H110" s="15">
        <f si="14" t="shared"/>
        <v>3.3461515120482207E-4</v>
      </c>
      <c r="I110" s="15">
        <f si="14" t="shared"/>
        <v>9.5984933270621125E-4</v>
      </c>
      <c r="K110" s="9">
        <v>1</v>
      </c>
      <c r="L110" s="14">
        <f si="13" t="shared"/>
        <v>9.6184284049720241E-4</v>
      </c>
      <c r="M110" s="14">
        <f si="13" t="shared"/>
        <v>1.3693650925226985E-4</v>
      </c>
      <c r="N110" s="14">
        <f si="13" t="shared"/>
        <v>3.1885332722449045E-3</v>
      </c>
      <c r="O110" s="14">
        <f si="13" t="shared"/>
        <v>8.4027291618672662E-4</v>
      </c>
      <c r="P110" s="14">
        <f si="13" t="shared"/>
        <v>1.9174204598613773E-3</v>
      </c>
      <c r="Q110" s="14">
        <f si="13" t="shared"/>
        <v>2.2472449445654348E-3</v>
      </c>
      <c r="R110" s="14">
        <f si="13" t="shared"/>
        <v>4.7394838398531357E-4</v>
      </c>
      <c r="S110" s="15">
        <f si="13" t="shared"/>
        <v>1.4690426410588087E-3</v>
      </c>
    </row>
    <row r="111" spans="1:19" x14ac:dyDescent="0.25">
      <c r="A111" s="9">
        <v>1.0208333333333333</v>
      </c>
      <c r="B111" s="15">
        <f si="14" t="shared"/>
        <v>6.2192137190372916E-4</v>
      </c>
      <c r="C111" s="15">
        <f si="14" t="shared"/>
        <v>4.8381135197121629E-5</v>
      </c>
      <c r="D111" s="15">
        <f si="14" t="shared"/>
        <v>1.5802933924219215E-3</v>
      </c>
      <c r="E111" s="15">
        <f si="14" t="shared"/>
        <v>5.7475732153589032E-4</v>
      </c>
      <c r="F111" s="15">
        <f si="14" t="shared"/>
        <v>1.7202336511377503E-4</v>
      </c>
      <c r="G111" s="15">
        <f si="14" t="shared"/>
        <v>4.899591984789853E-4</v>
      </c>
      <c r="H111" s="15">
        <f si="14" t="shared"/>
        <v>1.2817757474554295E-4</v>
      </c>
      <c r="I111" s="15">
        <f si="14" t="shared"/>
        <v>4.9286918765636522E-4</v>
      </c>
      <c r="K111" s="9">
        <v>1.0208333333333333</v>
      </c>
      <c r="L111" s="14">
        <f si="13" t="shared"/>
        <v>5.3769607533716982E-4</v>
      </c>
      <c r="M111" s="14">
        <f si="13" t="shared"/>
        <v>6.8386666570521387E-5</v>
      </c>
      <c r="N111" s="14">
        <f si="13" t="shared"/>
        <v>1.8808431343107545E-3</v>
      </c>
      <c r="O111" s="14">
        <f si="13" t="shared"/>
        <v>4.8161956834668062E-4</v>
      </c>
      <c r="P111" s="14">
        <f si="13" t="shared"/>
        <v>1.1171999820154043E-3</v>
      </c>
      <c r="Q111" s="14">
        <f si="13" t="shared"/>
        <v>1.2942126457078011E-3</v>
      </c>
      <c r="R111" s="14">
        <f si="13" t="shared"/>
        <v>2.5879558823701501E-4</v>
      </c>
      <c r="S111" s="15">
        <f si="13" t="shared"/>
        <v>8.5172698163442774E-4</v>
      </c>
    </row>
    <row r="112" spans="1:19" x14ac:dyDescent="0.25">
      <c r="A112" s="9">
        <v>4.1666666666666664E-2</v>
      </c>
      <c r="B112" s="15">
        <f si="14" t="shared"/>
        <v>3.1593880736606559E-4</v>
      </c>
      <c r="C112" s="15">
        <f si="14" t="shared"/>
        <v>1.4772279808705171E-5</v>
      </c>
      <c r="D112" s="15">
        <f si="14" t="shared"/>
        <v>6.2120893167266994E-4</v>
      </c>
      <c r="E112" s="15">
        <f si="14" t="shared"/>
        <v>3.1384629279801143E-4</v>
      </c>
      <c r="F112" s="15">
        <f si="14" t="shared"/>
        <v>7.3101961327591536E-5</v>
      </c>
      <c r="G112" s="15">
        <f si="14" t="shared"/>
        <v>2.2915545993932091E-4</v>
      </c>
      <c r="H112" s="15">
        <f si="14" t="shared"/>
        <v>4.3671026723135812E-5</v>
      </c>
      <c r="I112" s="15">
        <f si="14" t="shared"/>
        <v>2.2440491628850469E-4</v>
      </c>
      <c r="K112" s="9">
        <v>4.1666666666666664E-2</v>
      </c>
      <c r="L112" s="14">
        <f si="13" t="shared"/>
        <v>2.6389166615211788E-4</v>
      </c>
      <c r="M112" s="14">
        <f si="13" t="shared"/>
        <v>3.0988282500575574E-5</v>
      </c>
      <c r="N112" s="14">
        <f si="13" t="shared"/>
        <v>9.6287464381276304E-4</v>
      </c>
      <c r="O112" s="14">
        <f si="13" t="shared"/>
        <v>2.4222795514310249E-4</v>
      </c>
      <c r="P112" s="14">
        <f si="13" t="shared"/>
        <v>5.6902160678668932E-4</v>
      </c>
      <c r="Q112" s="14">
        <f si="13" t="shared"/>
        <v>6.5339307689957638E-4</v>
      </c>
      <c r="R112" s="14">
        <f si="13" t="shared"/>
        <v>1.2608667926147568E-4</v>
      </c>
      <c r="S112" s="15">
        <f si="13" t="shared"/>
        <v>4.3123690626313706E-4</v>
      </c>
    </row>
    <row r="113" spans="1:19" x14ac:dyDescent="0.25">
      <c r="A113" s="9">
        <v>6.25E-2</v>
      </c>
      <c r="B113" s="15">
        <f si="14" t="shared"/>
        <v>1.314392942054964E-4</v>
      </c>
      <c r="C113" s="15">
        <f si="14" t="shared"/>
        <v>3.7003919628174427E-6</v>
      </c>
      <c r="D113" s="15">
        <f si="14" t="shared"/>
        <v>2.0343538412324628E-4</v>
      </c>
      <c r="E113" s="15">
        <f si="14" t="shared"/>
        <v>1.4693838456951815E-4</v>
      </c>
      <c r="F113" s="15">
        <f si="14" t="shared"/>
        <v>2.6732167944031841E-5</v>
      </c>
      <c r="G113" s="15">
        <f si="14" t="shared"/>
        <v>9.5291676062167138E-5</v>
      </c>
      <c r="H113" s="15">
        <f si="14" t="shared"/>
        <v>1.3325279500542724E-5</v>
      </c>
      <c r="I113" s="15">
        <f si="14" t="shared"/>
        <v>8.8454120495814556E-5</v>
      </c>
      <c r="K113" s="9">
        <v>6.25E-2</v>
      </c>
      <c r="L113" s="14">
        <f si="13" t="shared"/>
        <v>1.103551195078232E-4</v>
      </c>
      <c r="M113" s="14">
        <f si="13" t="shared"/>
        <v>1.2124589420139134E-5</v>
      </c>
      <c r="N113" s="14">
        <f si="13" t="shared"/>
        <v>4.1663598085785425E-4</v>
      </c>
      <c r="O113" s="14">
        <f si="13" t="shared"/>
        <v>1.0357979351435539E-4</v>
      </c>
      <c r="P113" s="14">
        <f si="13" t="shared"/>
        <v>2.4583987930818586E-4</v>
      </c>
      <c r="Q113" s="14">
        <f si="13" t="shared"/>
        <v>2.8038195149046016E-4</v>
      </c>
      <c r="R113" s="14">
        <f si="13" t="shared"/>
        <v>5.2734707495429355E-5</v>
      </c>
      <c r="S113" s="15">
        <f si="13" t="shared"/>
        <v>1.8518176757898323E-4</v>
      </c>
    </row>
    <row r="114" spans="1:19" x14ac:dyDescent="0.25">
      <c r="A114" s="9">
        <v>8.3333333333333329E-2</v>
      </c>
      <c r="B114" s="15">
        <f si="14" t="shared"/>
        <v>4.3936023720497125E-5</v>
      </c>
      <c r="C114" s="15">
        <f si="14" t="shared"/>
        <v>7.1705302724289215E-7</v>
      </c>
      <c r="D114" s="15">
        <f si="14" t="shared"/>
        <v>5.4121541675132543E-5</v>
      </c>
      <c r="E114" s="15">
        <f si="14" t="shared"/>
        <v>5.6801163063829496E-5</v>
      </c>
      <c r="F114" s="15">
        <f si="14" t="shared"/>
        <v>7.9696866797457979E-6</v>
      </c>
      <c r="G114" s="15">
        <f si="14" t="shared"/>
        <v>3.4985070224391811E-5</v>
      </c>
      <c r="H114" s="15">
        <f si="14" t="shared"/>
        <v>3.6925576113083667E-6</v>
      </c>
      <c r="I114" s="15">
        <f si="14" t="shared"/>
        <v>2.9417264755337811E-5</v>
      </c>
      <c r="K114" s="9">
        <v>8.3333333333333329E-2</v>
      </c>
      <c r="L114" s="14">
        <f si="13" t="shared"/>
        <v>3.8221197220175635E-5</v>
      </c>
      <c r="M114" s="14">
        <f si="13" t="shared"/>
        <v>3.9417025979262626E-6</v>
      </c>
      <c r="N114" s="14">
        <f si="13" t="shared"/>
        <v>1.4840422299601186E-4</v>
      </c>
      <c r="O114" s="14">
        <f si="13" t="shared"/>
        <v>3.6585606807481483E-5</v>
      </c>
      <c r="P114" s="14">
        <f si="13" t="shared"/>
        <v>8.7585653927042028E-5</v>
      </c>
      <c r="Q114" s="14">
        <f si="13" t="shared"/>
        <v>9.9370214385058512E-5</v>
      </c>
      <c r="R114" s="14">
        <f si="13" t="shared"/>
        <v>1.8324661834760525E-5</v>
      </c>
      <c r="S114" s="15">
        <f si="13" t="shared"/>
        <v>6.5596930828969906E-5</v>
      </c>
    </row>
    <row r="115" spans="1:19" x14ac:dyDescent="0.25">
      <c r="A115" s="9">
        <v>0.10416666666666667</v>
      </c>
      <c r="B115" s="15">
        <f si="14" t="shared"/>
        <v>1.1493933291899016E-5</v>
      </c>
      <c r="C115" s="15">
        <f si="14" t="shared"/>
        <v>1.0057775710138192E-7</v>
      </c>
      <c r="D115" s="15">
        <f si="14" t="shared"/>
        <v>1.1295496769257182E-5</v>
      </c>
      <c r="E115" s="15">
        <f si="14" t="shared"/>
        <v>1.7453440132603917E-5</v>
      </c>
      <c r="F115" s="15">
        <f si="14" t="shared"/>
        <v>1.8307007019512697E-6</v>
      </c>
      <c r="G115" s="15">
        <f si="14" t="shared"/>
        <v>1.1176054069889263E-5</v>
      </c>
      <c r="H115" s="15">
        <f si="14" t="shared"/>
        <v>9.4290236029991869E-7</v>
      </c>
      <c r="I115" s="15">
        <f si="14" t="shared"/>
        <v>8.0158466850498303E-6</v>
      </c>
      <c r="K115" s="9">
        <v>0.10416666666666667</v>
      </c>
      <c r="L115" s="14">
        <f si="13" t="shared"/>
        <v>1.0613693216917295E-5</v>
      </c>
      <c r="M115" s="14">
        <f si="13" t="shared"/>
        <v>1.0266148331132432E-6</v>
      </c>
      <c r="N115" s="14">
        <f si="13" t="shared"/>
        <v>4.2177826484399771E-5</v>
      </c>
      <c r="O115" s="14">
        <f si="13" t="shared"/>
        <v>1.0333972509666766E-5</v>
      </c>
      <c r="P115" s="14">
        <f si="13" t="shared"/>
        <v>2.4919210680245124E-5</v>
      </c>
      <c r="Q115" s="14">
        <f si="13" t="shared"/>
        <v>2.8159556989047003E-5</v>
      </c>
      <c r="R115" s="14">
        <f si="13" t="shared"/>
        <v>5.1121141174382506E-6</v>
      </c>
      <c r="S115" s="15">
        <f si="13" t="shared"/>
        <v>1.8566113397918081E-5</v>
      </c>
    </row>
    <row r="116" spans="1:19" x14ac:dyDescent="0.25">
      <c r="A116" s="9">
        <v>0.125</v>
      </c>
      <c r="B116" s="15">
        <f si="14" t="shared"/>
        <v>2.2364623996223487E-6</v>
      </c>
      <c r="C116" s="15">
        <f si="14" t="shared"/>
        <v>9.1234356676235469E-9</v>
      </c>
      <c r="D116" s="15">
        <f si="14" t="shared"/>
        <v>1.7453190063251975E-6</v>
      </c>
      <c r="E116" s="15">
        <f si="14" t="shared"/>
        <v>4.0055589311163447E-6</v>
      </c>
      <c r="F116" s="15">
        <f si="14" t="shared"/>
        <v>2.9985789356719462E-7</v>
      </c>
      <c r="G116" s="15">
        <f si="14" t="shared"/>
        <v>2.9181233706488585E-6</v>
      </c>
      <c r="H116" s="15">
        <f si="14" t="shared"/>
        <v>2.1364557864068724E-7</v>
      </c>
      <c r="I116" s="15">
        <f si="14" t="shared"/>
        <v>1.696434492041207E-6</v>
      </c>
      <c r="K116" s="9">
        <v>0.125</v>
      </c>
      <c r="L116" s="14">
        <f ref="L116:S117" si="15" t="shared">L59/L$61</f>
        <v>2.2306463284925876E-6</v>
      </c>
      <c r="M116" s="14">
        <f si="15" t="shared"/>
        <v>2.022732934327637E-7</v>
      </c>
      <c r="N116" s="14">
        <f si="15" t="shared"/>
        <v>9.0331215527132477E-6</v>
      </c>
      <c r="O116" s="14">
        <f si="15" t="shared"/>
        <v>2.2033411492125068E-6</v>
      </c>
      <c r="P116" s="14">
        <f si="15" t="shared"/>
        <v>5.3446464902848965E-6</v>
      </c>
      <c r="Q116" s="14">
        <f si="15" t="shared"/>
        <v>6.0220242478028852E-6</v>
      </c>
      <c r="R116" s="14">
        <f si="15" t="shared"/>
        <v>1.0798154717315266E-6</v>
      </c>
      <c r="S116" s="15">
        <f si="15" t="shared"/>
        <v>3.9640383889754503E-6</v>
      </c>
    </row>
    <row ht="15.75" r="117" spans="1:19" thickBot="1" x14ac:dyDescent="0.3">
      <c r="A117" s="10" t="s">
        <v>7</v>
      </c>
      <c r="B117" s="17">
        <f si="14" t="shared"/>
        <v>0</v>
      </c>
      <c r="C117" s="17">
        <f si="14" t="shared"/>
        <v>0</v>
      </c>
      <c r="D117" s="17">
        <f si="14" t="shared"/>
        <v>0</v>
      </c>
      <c r="E117" s="17">
        <f si="14" t="shared"/>
        <v>0</v>
      </c>
      <c r="F117" s="17">
        <f si="14" t="shared"/>
        <v>0</v>
      </c>
      <c r="G117" s="17">
        <f si="14" t="shared"/>
        <v>0</v>
      </c>
      <c r="H117" s="17">
        <f si="14" t="shared"/>
        <v>0</v>
      </c>
      <c r="I117" s="17">
        <f si="14" t="shared"/>
        <v>0</v>
      </c>
      <c r="K117" s="10" t="s">
        <v>7</v>
      </c>
      <c r="L117" s="16">
        <f si="15" t="shared"/>
        <v>0</v>
      </c>
      <c r="M117" s="16">
        <f si="15" t="shared"/>
        <v>0</v>
      </c>
      <c r="N117" s="16">
        <f si="15" t="shared"/>
        <v>0</v>
      </c>
      <c r="O117" s="16">
        <f si="15" t="shared"/>
        <v>0</v>
      </c>
      <c r="P117" s="16">
        <f si="15" t="shared"/>
        <v>0</v>
      </c>
      <c r="Q117" s="16">
        <f si="15" t="shared"/>
        <v>0</v>
      </c>
      <c r="R117" s="16">
        <f si="15" t="shared"/>
        <v>0</v>
      </c>
      <c r="S117" s="17">
        <f si="15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1:X111"/>
  <sheetViews>
    <sheetView workbookViewId="0" zoomScale="70" zoomScaleNormal="70">
      <selection activeCell="A5" sqref="A5"/>
    </sheetView>
  </sheetViews>
  <sheetFormatPr defaultRowHeight="15" x14ac:dyDescent="0.25"/>
  <cols>
    <col min="1" max="1" customWidth="true" width="12.7109375" collapsed="true"/>
    <col min="2" max="9" customWidth="true" width="10.7109375" collapsed="true"/>
    <col min="10" max="10" customWidth="true" width="6.42578125" collapsed="true"/>
    <col min="11" max="11" customWidth="true" width="12.7109375" collapsed="true"/>
    <col min="12" max="19" customWidth="true" width="10.7109375" collapsed="true"/>
  </cols>
  <sheetData>
    <row r="1" spans="1:24" x14ac:dyDescent="0.25">
      <c r="A1" t="s">
        <v>22</v>
      </c>
    </row>
    <row r="2" spans="1:24" x14ac:dyDescent="0.25">
      <c r="A2" t="s">
        <v>23</v>
      </c>
    </row>
    <row r="3" spans="1:24" x14ac:dyDescent="0.25">
      <c r="A3" t="s">
        <v>21</v>
      </c>
    </row>
    <row r="4" spans="1:24" x14ac:dyDescent="0.25">
      <c r="A4" t="s">
        <v>34</v>
      </c>
    </row>
    <row r="5" spans="1:24" x14ac:dyDescent="0.25">
      <c r="A5" t="s">
        <v>5</v>
      </c>
    </row>
    <row r="6" spans="1:24" x14ac:dyDescent="0.25">
      <c r="A6" t="s">
        <v>6</v>
      </c>
    </row>
    <row r="7" spans="1:24" x14ac:dyDescent="0.25">
      <c r="U7" s="5"/>
      <c r="V7" s="5"/>
      <c r="W7" s="5"/>
      <c r="X7" s="5"/>
    </row>
    <row ht="15.75" r="8" spans="1:24" thickBot="1" x14ac:dyDescent="0.3">
      <c r="A8" s="3" t="s">
        <v>33</v>
      </c>
      <c r="B8" s="1"/>
      <c r="C8" s="1"/>
      <c r="D8" s="1"/>
      <c r="E8" s="1"/>
      <c r="F8" s="1"/>
      <c r="G8" s="1"/>
      <c r="H8" s="1"/>
      <c r="I8" s="1"/>
      <c r="K8" s="3" t="s">
        <v>24</v>
      </c>
      <c r="L8" s="1"/>
      <c r="M8" s="1"/>
      <c r="N8" s="1"/>
      <c r="O8" s="1"/>
      <c r="P8" s="1"/>
      <c r="Q8" s="1"/>
      <c r="R8" s="1"/>
      <c r="S8" s="1"/>
      <c r="U8" s="8"/>
      <c r="V8" s="5"/>
      <c r="W8" s="5"/>
      <c r="X8" s="5"/>
    </row>
    <row r="9" spans="1:24" x14ac:dyDescent="0.25">
      <c r="A9" s="2" t="s">
        <v>3</v>
      </c>
      <c r="B9" s="4" t="s">
        <v>1</v>
      </c>
      <c r="C9" s="4" t="s">
        <v>2</v>
      </c>
      <c r="D9" s="4" t="s">
        <v>9</v>
      </c>
      <c r="E9" s="4" t="s">
        <v>10</v>
      </c>
      <c r="F9" s="4" t="s">
        <v>11</v>
      </c>
      <c r="G9" s="4" t="s">
        <v>12</v>
      </c>
      <c r="H9" s="4" t="s">
        <v>13</v>
      </c>
      <c r="I9" s="4" t="s">
        <v>0</v>
      </c>
      <c r="K9" s="2" t="s">
        <v>3</v>
      </c>
      <c r="L9" s="4" t="s">
        <v>1</v>
      </c>
      <c r="M9" s="4" t="s">
        <v>2</v>
      </c>
      <c r="N9" s="4" t="s">
        <v>9</v>
      </c>
      <c r="O9" s="4" t="s">
        <v>10</v>
      </c>
      <c r="P9" s="4" t="s">
        <v>11</v>
      </c>
      <c r="Q9" s="4" t="s">
        <v>12</v>
      </c>
      <c r="R9" s="4" t="s">
        <v>13</v>
      </c>
      <c r="S9" s="4" t="s">
        <v>0</v>
      </c>
      <c r="U9" s="5"/>
      <c r="V9" s="11"/>
      <c r="W9" s="11"/>
      <c r="X9" s="5"/>
    </row>
    <row r="10" spans="1:24" x14ac:dyDescent="0.25">
      <c r="A10" s="12">
        <v>0</v>
      </c>
      <c r="B10" s="21" t="n">
        <v>103398.2835218672</v>
      </c>
      <c r="C10" s="21" t="n">
        <v>5005.7193066226</v>
      </c>
      <c r="D10" s="21" t="n">
        <v>555850.6810293751</v>
      </c>
      <c r="E10" s="21" t="n">
        <v>746947.3705117663</v>
      </c>
      <c r="F10" s="21" t="n">
        <v>900216.4796831413</v>
      </c>
      <c r="G10" s="21" t="n">
        <v>313349.7095009684</v>
      </c>
      <c r="H10" s="21" t="n">
        <v>191897.0242200423</v>
      </c>
      <c r="I10" s="21">
        <f>SUM(B10:H10)</f>
        <v>2102024.4864999996</v>
      </c>
      <c r="K10" s="12">
        <v>0</v>
      </c>
      <c r="L10" s="7" t="n">
        <v>155739.328649825</v>
      </c>
      <c r="M10" s="7" t="n">
        <v>29382.30870299259</v>
      </c>
      <c r="N10" s="7" t="n">
        <v>283352.2967181867</v>
      </c>
      <c r="O10" s="7" t="n">
        <v>438337.4350880802</v>
      </c>
      <c r="P10" s="7" t="n">
        <v>527971.2892431447</v>
      </c>
      <c r="Q10" s="7" t="n">
        <v>217064.0693406755</v>
      </c>
      <c r="R10" s="7" t="n">
        <v>216512.89939828703</v>
      </c>
      <c r="S10">
        <f>SUM(L10:R10)</f>
        <v>2741970</v>
      </c>
      <c r="U10" s="5"/>
      <c r="V10" s="13"/>
      <c r="W10" s="13"/>
      <c r="X10" s="5"/>
    </row>
    <row r="11" spans="1:24" x14ac:dyDescent="0.25">
      <c r="A11" s="9">
        <v>2.0833333333333332E-2</v>
      </c>
      <c r="B11" s="21" t="n">
        <v>80734.39879095895</v>
      </c>
      <c r="C11" s="21" t="n">
        <v>6647.364119425799</v>
      </c>
      <c r="D11" s="21" t="n">
        <v>370821.1650107017</v>
      </c>
      <c r="E11" s="21" t="n">
        <v>518371.03882467357</v>
      </c>
      <c r="F11" s="21" t="n">
        <v>622827.1523676175</v>
      </c>
      <c r="G11" s="21" t="n">
        <v>220940.61891371652</v>
      </c>
      <c r="H11" s="21" t="n">
        <v>151752.2320122981</v>
      </c>
      <c r="I11" s="21">
        <f ref="I11:I57" si="0" t="shared">SUM(B11:H11)</f>
        <v>1474151.4664422206</v>
      </c>
      <c r="K11" s="9">
        <v>2.0833333333333332E-2</v>
      </c>
      <c r="L11" s="7" t="n">
        <v>118281.6622799516</v>
      </c>
      <c r="M11" s="7" t="n">
        <v>22063.008125780434</v>
      </c>
      <c r="N11" s="7" t="n">
        <v>210544.10676974006</v>
      </c>
      <c r="O11" s="7" t="n">
        <v>329302.70736661734</v>
      </c>
      <c r="P11" s="7" t="n">
        <v>396461.9358673653</v>
      </c>
      <c r="Q11" s="7" t="n">
        <v>163362.3235770923</v>
      </c>
      <c r="R11" s="7" t="n">
        <v>166000.19356061675</v>
      </c>
      <c r="S11">
        <f ref="S11:S57" si="1" t="shared">SUM(L11:R11)</f>
        <v>2013492.1060638428</v>
      </c>
      <c r="U11" s="5"/>
      <c r="V11" s="13"/>
      <c r="W11" s="13"/>
      <c r="X11" s="5"/>
    </row>
    <row r="12" spans="1:24" x14ac:dyDescent="0.25">
      <c r="A12" s="9">
        <v>4.1666666666666664E-2</v>
      </c>
      <c r="B12" s="21" t="n">
        <v>60749.63293440855</v>
      </c>
      <c r="C12" s="21" t="n">
        <v>7632.592550453168</v>
      </c>
      <c r="D12" s="21" t="n">
        <v>216143.45246413938</v>
      </c>
      <c r="E12" s="21" t="n">
        <v>323319.20010607614</v>
      </c>
      <c r="F12" s="21" t="n">
        <v>384938.9955165364</v>
      </c>
      <c r="G12" s="21" t="n">
        <v>141152.10204458705</v>
      </c>
      <c r="H12" s="21" t="n">
        <v>115300.08701220073</v>
      </c>
      <c r="I12" s="21">
        <f si="0" t="shared"/>
        <v>936475.92341302522</v>
      </c>
      <c r="K12" s="9">
        <v>4.1666666666666664E-2</v>
      </c>
      <c r="L12" s="7" t="n">
        <v>84361.00471722682</v>
      </c>
      <c r="M12" s="7" t="n">
        <v>15487.961410238615</v>
      </c>
      <c r="N12" s="7" t="n">
        <v>145417.31281907207</v>
      </c>
      <c r="O12" s="7" t="n">
        <v>231305.12005628436</v>
      </c>
      <c r="P12" s="7" t="n">
        <v>278122.98961110995</v>
      </c>
      <c r="Q12" s="7" t="n">
        <v>115098.72860155946</v>
      </c>
      <c r="R12" s="7" t="n">
        <v>120189.7448226756</v>
      </c>
      <c r="S12">
        <f si="1" t="shared"/>
        <v>1368091.8690958023</v>
      </c>
      <c r="U12" s="5"/>
      <c r="V12" s="13"/>
      <c r="W12" s="13"/>
      <c r="X12" s="5"/>
    </row>
    <row r="13" spans="1:24" x14ac:dyDescent="0.25">
      <c r="A13" s="9">
        <v>6.25E-2</v>
      </c>
      <c r="B13" s="21" t="n">
        <v>45082.23966404602</v>
      </c>
      <c r="C13" s="21" t="n">
        <v>7665.481480737105</v>
      </c>
      <c r="D13" s="21" t="n">
        <v>108327.64216022118</v>
      </c>
      <c r="E13" s="21" t="n">
        <v>181058.76706536073</v>
      </c>
      <c r="F13" s="21" t="n">
        <v>210186.70520320715</v>
      </c>
      <c r="G13" s="21" t="n">
        <v>81569.97585186694</v>
      </c>
      <c r="H13" s="21" t="n">
        <v>84865.97588078078</v>
      </c>
      <c r="I13" s="21">
        <f si="0" t="shared"/>
        <v>541371.92663619155</v>
      </c>
      <c r="K13" s="9">
        <v>6.25E-2</v>
      </c>
      <c r="L13" s="7" t="n">
        <v>56561.12421096171</v>
      </c>
      <c r="M13" s="7" t="n">
        <v>10177.672575484015</v>
      </c>
      <c r="N13" s="7" t="n">
        <v>93299.80261085214</v>
      </c>
      <c r="O13" s="7" t="n">
        <v>152102.69604320376</v>
      </c>
      <c r="P13" s="7" t="n">
        <v>182311.1700864902</v>
      </c>
      <c r="Q13" s="7" t="n">
        <v>76080.49788594461</v>
      </c>
      <c r="R13" s="7" t="n">
        <v>82522.77853483649</v>
      </c>
      <c r="S13">
        <f si="1" t="shared"/>
        <v>860928.8373298645</v>
      </c>
      <c r="U13" s="5"/>
      <c r="V13" s="13"/>
      <c r="W13" s="13"/>
      <c r="X13" s="5"/>
    </row>
    <row r="14" spans="1:24" x14ac:dyDescent="0.25">
      <c r="A14" s="9">
        <v>8.3333333333333329E-2</v>
      </c>
      <c r="B14" s="21" t="n">
        <v>33905.028004714244</v>
      </c>
      <c r="C14" s="21" t="n">
        <v>6889.878448267211</v>
      </c>
      <c r="D14" s="21" t="n">
        <v>45994.58627843187</v>
      </c>
      <c r="E14" s="21" t="n">
        <v>91964.16451955317</v>
      </c>
      <c r="F14" s="21" t="n">
        <v>100477.35441468218</v>
      </c>
      <c r="G14" s="21" t="n">
        <v>42916.31839507185</v>
      </c>
      <c r="H14" s="21" t="n">
        <v>60989.11542817554</v>
      </c>
      <c r="I14" s="21">
        <f si="0" t="shared"/>
        <v>290724.37002961396</v>
      </c>
      <c r="K14" s="9">
        <v>8.3333333333333329E-2</v>
      </c>
      <c r="L14" s="7" t="n">
        <v>35930.27397235111</v>
      </c>
      <c r="M14" s="7" t="n">
        <v>6310.779745772942</v>
      </c>
      <c r="N14" s="7" t="n">
        <v>55932.1298653541</v>
      </c>
      <c r="O14" s="7" t="n">
        <v>94406.78314741226</v>
      </c>
      <c r="P14" s="7" t="n">
        <v>112435.96128000173</v>
      </c>
      <c r="Q14" s="7" t="n">
        <v>47618.63953849071</v>
      </c>
      <c r="R14" s="7" t="n">
        <v>54407.54134700392</v>
      </c>
      <c r="S14">
        <f si="1" t="shared"/>
        <v>506264.2739982605</v>
      </c>
      <c r="U14" s="5"/>
      <c r="V14" s="5"/>
      <c r="W14" s="5"/>
      <c r="X14" s="5"/>
    </row>
    <row r="15" spans="1:24" x14ac:dyDescent="0.25">
      <c r="A15" s="9">
        <v>0.10416666666666667</v>
      </c>
      <c r="B15" s="21" t="n">
        <v>26255.209829989944</v>
      </c>
      <c r="C15" s="21" t="n">
        <v>5683.982789266651</v>
      </c>
      <c r="D15" s="21" t="n">
        <v>16343.845112492414</v>
      </c>
      <c r="E15" s="21" t="n">
        <v>43509.96029512897</v>
      </c>
      <c r="F15" s="21" t="n">
        <v>41801.1300626984</v>
      </c>
      <c r="G15" s="21" t="n">
        <v>20914.73230449433</v>
      </c>
      <c r="H15" s="21" t="n">
        <v>42975.2914295216</v>
      </c>
      <c r="I15" s="21">
        <f si="0" t="shared"/>
        <v>151375.12802739648</v>
      </c>
      <c r="K15" s="9">
        <v>0.10416666666666667</v>
      </c>
      <c r="L15" s="7" t="n">
        <v>21995.867194143146</v>
      </c>
      <c r="M15" s="7" t="n">
        <v>3753.523220154892</v>
      </c>
      <c r="N15" s="7" t="n">
        <v>31801.053533196402</v>
      </c>
      <c r="O15" s="7" t="n">
        <v>56267.361036895956</v>
      </c>
      <c r="P15" s="7" t="n">
        <v>66299.46333897852</v>
      </c>
      <c r="Q15" s="7" t="n">
        <v>28737.601388528743</v>
      </c>
      <c r="R15" s="7" t="n">
        <v>35231.62092808221</v>
      </c>
      <c r="S15">
        <f si="1" t="shared"/>
        <v>283805.35968971252</v>
      </c>
    </row>
    <row r="16" spans="1:24" x14ac:dyDescent="0.25">
      <c r="A16" s="9">
        <v>0.125</v>
      </c>
      <c r="B16" s="21" t="n">
        <v>20769.244600094153</v>
      </c>
      <c r="C16" s="21" t="n">
        <v>4399.910774688087</v>
      </c>
      <c r="D16" s="21" t="n">
        <v>4858.482021477411</v>
      </c>
      <c r="E16" s="21" t="n">
        <v>20059.356526923126</v>
      </c>
      <c r="F16" s="21" t="n">
        <v>15157.288663084451</v>
      </c>
      <c r="G16" s="21" t="n">
        <v>9713.206323630016</v>
      </c>
      <c r="H16" s="21" t="n">
        <v>29703.878893376575</v>
      </c>
      <c r="I16" s="21">
        <f si="0" t="shared"/>
        <v>81110.958139935217</v>
      </c>
      <c r="K16" s="9">
        <v>0.125</v>
      </c>
      <c r="L16" s="7" t="n">
        <v>13308.727622466113</v>
      </c>
      <c r="M16" s="7" t="n">
        <v>2194.2921362480465</v>
      </c>
      <c r="N16" s="7" t="n">
        <v>17585.737423891427</v>
      </c>
      <c r="O16" s="7" t="n">
        <v>33042.47428863774</v>
      </c>
      <c r="P16" s="7" t="n">
        <v>38360.98010006737</v>
      </c>
      <c r="Q16" s="7" t="n">
        <v>17156.937933025114</v>
      </c>
      <c r="R16" s="7" t="n">
        <v>23071.591561853427</v>
      </c>
      <c r="S16">
        <f si="1" t="shared"/>
        <v>156606.17652416229</v>
      </c>
    </row>
    <row r="17" spans="1:19" x14ac:dyDescent="0.25">
      <c r="A17" s="9">
        <v>0.14583333333333334</v>
      </c>
      <c r="B17" s="21" t="n">
        <v>16345.648947809806</v>
      </c>
      <c r="C17" s="21" t="n">
        <v>3243.3939704640175</v>
      </c>
      <c r="D17" s="21" t="n">
        <v>1266.4007794866639</v>
      </c>
      <c r="E17" s="21" t="n">
        <v>9482.907062137725</v>
      </c>
      <c r="F17" s="21" t="n">
        <v>4905.268381197334</v>
      </c>
      <c r="G17" s="21" t="n">
        <v>4445.805379912001</v>
      </c>
      <c r="H17" s="21" t="n">
        <v>20106.668668377642</v>
      </c>
      <c r="I17" s="21">
        <f si="0" t="shared"/>
        <v>46751.209632630635</v>
      </c>
      <c r="K17" s="9">
        <v>0.14583333333333334</v>
      </c>
      <c r="L17" s="7" t="n">
        <v>8170.937882146797</v>
      </c>
      <c r="M17" s="7" t="n">
        <v>1294.3068655741638</v>
      </c>
      <c r="N17" s="7" t="n">
        <v>9757.619549292209</v>
      </c>
      <c r="O17" s="7" t="n">
        <v>19655.37862219422</v>
      </c>
      <c r="P17" s="7" t="n">
        <v>22450.23328141424</v>
      </c>
      <c r="Q17" s="7" t="n">
        <v>10397.311500462125</v>
      </c>
      <c r="R17" s="7" t="n">
        <v>15654.568214281702</v>
      </c>
      <c r="S17">
        <f si="1" t="shared"/>
        <v>88333.002108573914</v>
      </c>
    </row>
    <row r="18" spans="1:19" x14ac:dyDescent="0.25">
      <c r="A18" s="9">
        <v>0.16666666666666666</v>
      </c>
      <c r="B18" s="21" t="n">
        <v>12445.3959034858</v>
      </c>
      <c r="C18" s="21" t="n">
        <v>2298.710865879413</v>
      </c>
      <c r="D18" s="21" t="n">
        <v>345.586328460766</v>
      </c>
      <c r="E18" s="21" t="n">
        <v>4735.546234707759</v>
      </c>
      <c r="F18" s="21" t="n">
        <v>1544.3943631950578</v>
      </c>
      <c r="G18" s="21" t="n">
        <v>2062.782170797326</v>
      </c>
      <c r="H18" s="21" t="n">
        <v>13289.800868388424</v>
      </c>
      <c r="I18" s="21">
        <f si="0" t="shared"/>
        <v>28880.286317413811</v>
      </c>
      <c r="K18" s="9">
        <v>0.16666666666666666</v>
      </c>
      <c r="L18" s="7" t="n">
        <v>5170.89462377095</v>
      </c>
      <c r="M18" s="7" t="n">
        <v>783.9133600438814</v>
      </c>
      <c r="N18" s="7" t="n">
        <v>5574.948482406518</v>
      </c>
      <c r="O18" s="7" t="n">
        <v>12060.989456830157</v>
      </c>
      <c r="P18" s="7" t="n">
        <v>13598.042564736876</v>
      </c>
      <c r="Q18" s="7" t="n">
        <v>6489.8314482135</v>
      </c>
      <c r="R18" s="7" t="n">
        <v>11082.40164506918</v>
      </c>
      <c r="S18">
        <f si="1" t="shared"/>
        <v>52378.616026878357</v>
      </c>
    </row>
    <row r="19" spans="1:19" x14ac:dyDescent="0.25">
      <c r="A19" s="9">
        <v>0.1875</v>
      </c>
      <c r="B19" s="21" t="n">
        <v>9010.020109428093</v>
      </c>
      <c r="C19" s="21" t="n">
        <v>1591.2614808364656</v>
      </c>
      <c r="D19" s="21" t="n">
        <v>125.7212065407854</v>
      </c>
      <c r="E19" s="21" t="n">
        <v>2502.728143515045</v>
      </c>
      <c r="F19" s="21" t="n">
        <v>571.1288175479806</v>
      </c>
      <c r="G19" s="21" t="n">
        <v>993.431870218484</v>
      </c>
      <c r="H19" s="21" t="n">
        <v>8530.598190729295</v>
      </c>
      <c r="I19" s="21">
        <f si="0" t="shared"/>
        <v>18430.694820624638</v>
      </c>
      <c r="K19" s="9">
        <v>0.1875</v>
      </c>
      <c r="L19" s="7" t="n">
        <v>3372.293396387171</v>
      </c>
      <c r="M19" s="7" t="n">
        <v>488.7734163755094</v>
      </c>
      <c r="N19" s="7" t="n">
        <v>3316.6866503357087</v>
      </c>
      <c r="O19" s="7" t="n">
        <v>7652.0629022528165</v>
      </c>
      <c r="P19" s="7" t="n">
        <v>8584.563222391222</v>
      </c>
      <c r="Q19" s="7" t="n">
        <v>4167.763568151863</v>
      </c>
      <c r="R19" s="7" t="n">
        <v>8105.383145087637</v>
      </c>
      <c r="S19">
        <f si="1" t="shared"/>
        <v>32855.140417098999</v>
      </c>
    </row>
    <row r="20" spans="1:19" x14ac:dyDescent="0.25">
      <c r="A20" s="9">
        <v>0.20833333333333334</v>
      </c>
      <c r="B20" s="21" t="n">
        <v>6178.277285900051</v>
      </c>
      <c r="C20" s="21" t="n">
        <v>1113.9138515911618</v>
      </c>
      <c r="D20" s="21" t="n">
        <v>56.332241957963355</v>
      </c>
      <c r="E20" s="21" t="n">
        <v>1410.4586816510202</v>
      </c>
      <c r="F20" s="21" t="n">
        <v>282.63709706395576</v>
      </c>
      <c r="G20" s="21" t="n">
        <v>517.4670189992546</v>
      </c>
      <c r="H20" s="21" t="n">
        <v>5273.568184205552</v>
      </c>
      <c r="I20" s="21">
        <f si="0" t="shared"/>
        <v>11773.993076268005</v>
      </c>
      <c r="K20" s="9">
        <v>0.20833333333333334</v>
      </c>
      <c r="L20" s="7" t="n">
        <v>2246.835040890551</v>
      </c>
      <c r="M20" s="7" t="n">
        <v>311.70863147108</v>
      </c>
      <c r="N20" s="7" t="n">
        <v>2055.2519333018167</v>
      </c>
      <c r="O20" s="7" t="n">
        <v>4983.710055980452</v>
      </c>
      <c r="P20" s="7" t="n">
        <v>5626.528649401022</v>
      </c>
      <c r="Q20" s="7" t="n">
        <v>2728.9901389582146</v>
      </c>
      <c r="R20" s="7" t="n">
        <v>6042.5374205889775</v>
      </c>
      <c r="S20">
        <f si="1" t="shared"/>
        <v>21566.316214561462</v>
      </c>
    </row>
    <row r="21" spans="1:19" x14ac:dyDescent="0.25">
      <c r="A21" s="9">
        <v>0.22916666666666666</v>
      </c>
      <c r="B21" s="21" t="n">
        <v>4037.57029748333</v>
      </c>
      <c r="C21" s="21" t="n">
        <v>824.4607264374326</v>
      </c>
      <c r="D21" s="21" t="n">
        <v>24.171982247756276</v>
      </c>
      <c r="E21" s="21" t="n">
        <v>879.5579064959312</v>
      </c>
      <c r="F21" s="21" t="n">
        <v>163.1331209687243</v>
      </c>
      <c r="G21" s="21" t="n">
        <v>309.91972551828457</v>
      </c>
      <c r="H21" s="21" t="n">
        <v>3113.5339558714477</v>
      </c>
      <c r="I21" s="21">
        <f si="0" t="shared"/>
        <v>7448.0799127275477</v>
      </c>
      <c r="K21" s="9">
        <v>0.22916666666666666</v>
      </c>
      <c r="L21" s="7" t="n">
        <v>1520.9931550631454</v>
      </c>
      <c r="M21" s="7" t="n">
        <v>202.70930708913886</v>
      </c>
      <c r="N21" s="7" t="n">
        <v>1329.3869673074687</v>
      </c>
      <c r="O21" s="7" t="n">
        <v>3316.5086264546385</v>
      </c>
      <c r="P21" s="7" t="n">
        <v>3818.451758068303</v>
      </c>
      <c r="Q21" s="7" t="n">
        <v>1811.9913428694933</v>
      </c>
      <c r="R21" s="7" t="n">
        <v>4565.001017318211</v>
      </c>
      <c r="S21">
        <f si="1" t="shared"/>
        <v>14619.169930458069</v>
      </c>
    </row>
    <row r="22" spans="1:19" x14ac:dyDescent="0.25">
      <c r="A22" s="9">
        <v>0.25</v>
      </c>
      <c r="B22" s="21" t="n">
        <v>2541.391326953622</v>
      </c>
      <c r="C22" s="21" t="n">
        <v>652.2251585391634</v>
      </c>
      <c r="D22" s="21" t="n">
        <v>8.738149301823752</v>
      </c>
      <c r="E22" s="21" t="n">
        <v>619.2803455575354</v>
      </c>
      <c r="F22" s="21" t="n">
        <v>90.95269713125133</v>
      </c>
      <c r="G22" s="21" t="n">
        <v>215.30768456476565</v>
      </c>
      <c r="H22" s="21" t="n">
        <v>1751.7299293348983</v>
      </c>
      <c r="I22" s="21">
        <f si="0" t="shared"/>
        <v>4681.4348950438498</v>
      </c>
      <c r="K22" s="9">
        <v>0.25</v>
      </c>
      <c r="L22" s="7" t="n">
        <v>1049.1716156521252</v>
      </c>
      <c r="M22" s="7" t="n">
        <v>135.486015140735</v>
      </c>
      <c r="N22" s="7" t="n">
        <v>906.2058902984827</v>
      </c>
      <c r="O22" s="7" t="n">
        <v>2263.4800817681758</v>
      </c>
      <c r="P22" s="7" t="n">
        <v>2693.97103864677</v>
      </c>
      <c r="Q22" s="7" t="n">
        <v>1223.6920031449451</v>
      </c>
      <c r="R22" s="7" t="n">
        <v>3504.93796710858</v>
      </c>
      <c r="S22">
        <f si="1" t="shared"/>
        <v>10162.043012619019</v>
      </c>
    </row>
    <row r="23" spans="1:19" x14ac:dyDescent="0.25">
      <c r="A23" s="9">
        <v>0.27083333333333331</v>
      </c>
      <c r="B23" s="21" t="n">
        <v>1559.3279760153214</v>
      </c>
      <c r="C23" s="21" t="n">
        <v>526.1888417641806</v>
      </c>
      <c r="D23" s="21" t="n">
        <v>2.5195872194359903</v>
      </c>
      <c r="E23" s="21" t="n">
        <v>464.8722861217253</v>
      </c>
      <c r="F23" s="21" t="n">
        <v>45.270312045399834</v>
      </c>
      <c r="G23" s="21" t="n">
        <v>158.67304298139663</v>
      </c>
      <c r="H23" s="21" t="n">
        <v>952.3731222248044</v>
      </c>
      <c r="I23" s="21">
        <f si="0" t="shared"/>
        <v>2939.1106588767052</v>
      </c>
      <c r="K23" s="9">
        <v>0.27083333333333331</v>
      </c>
      <c r="L23" s="7" t="n">
        <v>743.2010427257062</v>
      </c>
      <c r="M23" s="7" t="n">
        <v>94.50716530216306</v>
      </c>
      <c r="N23" s="7" t="n">
        <v>656.9361280702558</v>
      </c>
      <c r="O23" s="7" t="n">
        <v>1598.255896286315</v>
      </c>
      <c r="P23" s="7" t="n">
        <v>1986.649301857717</v>
      </c>
      <c r="Q23" s="7" t="n">
        <v>847.2812501885745</v>
      </c>
      <c r="R23" s="7" t="n">
        <v>2749.8366200665405</v>
      </c>
      <c r="S23">
        <f si="1" t="shared"/>
        <v>7232.4712648391724</v>
      </c>
    </row>
    <row r="24" spans="1:19" x14ac:dyDescent="0.25">
      <c r="A24" s="9">
        <v>0.29166666666666669</v>
      </c>
      <c r="B24" s="21" t="n">
        <v>950.0404431948677</v>
      </c>
      <c r="C24" s="21" t="n">
        <v>404.51000959661474</v>
      </c>
      <c r="D24" s="21" t="n">
        <v>0.5532813894563989</v>
      </c>
      <c r="E24" s="21" t="n">
        <v>338.13725419713455</v>
      </c>
      <c r="F24" s="21" t="n">
        <v>20.69892742818592</v>
      </c>
      <c r="G24" s="21" t="n">
        <v>111.04050478380526</v>
      </c>
      <c r="H24" s="21" t="n">
        <v>523.9050795612291</v>
      </c>
      <c r="I24" s="21">
        <f si="0" t="shared"/>
        <v>1846.383941106224</v>
      </c>
      <c r="K24" s="9">
        <v>0.29166666666666669</v>
      </c>
      <c r="L24" s="7" t="n">
        <v>543.8224755846102</v>
      </c>
      <c r="M24" s="7" t="n">
        <v>69.60701508707194</v>
      </c>
      <c r="N24" s="7" t="n">
        <v>504.9427962683253</v>
      </c>
      <c r="O24" s="7" t="n">
        <v>1175.3527688037357</v>
      </c>
      <c r="P24" s="7" t="n">
        <v>1530.6701887855138</v>
      </c>
      <c r="Q24" s="7" t="n">
        <v>605.396947600741</v>
      </c>
      <c r="R24" s="7" t="n">
        <v>2209.0852263585757</v>
      </c>
      <c r="S24">
        <f si="1" t="shared"/>
        <v>5269.7597942352295</v>
      </c>
    </row>
    <row r="25" spans="1:19" x14ac:dyDescent="0.25">
      <c r="A25" s="9">
        <v>0.3125</v>
      </c>
      <c r="B25" s="21" t="n">
        <v>593.6718970469767</v>
      </c>
      <c r="C25" s="21" t="n">
        <v>282.2035273601277</v>
      </c>
      <c r="D25" s="21" t="n">
        <v>0.08670044581758783</v>
      </c>
      <c r="E25" s="21" t="n">
        <v>224.35842852325297</v>
      </c>
      <c r="F25" s="21" t="n">
        <v>10.2778599264712</v>
      </c>
      <c r="G25" s="21" t="n">
        <v>68.72632746072206</v>
      </c>
      <c r="H25" s="21" t="n">
        <v>318.58716977252163</v>
      </c>
      <c r="I25" s="21">
        <f si="0" t="shared"/>
        <v>1168.7490008599282</v>
      </c>
      <c r="K25" s="9">
        <v>0.3125</v>
      </c>
      <c r="L25" s="7" t="n">
        <v>411.4788829811872</v>
      </c>
      <c r="M25" s="7" t="n">
        <v>54.13004629371339</v>
      </c>
      <c r="N25" s="7" t="n">
        <v>405.29890670012844</v>
      </c>
      <c r="O25" s="7" t="n">
        <v>901.250167852893</v>
      </c>
      <c r="P25" s="7" t="n">
        <v>1224.4467748697568</v>
      </c>
      <c r="Q25" s="7" t="n">
        <v>447.4002396858092</v>
      </c>
      <c r="R25" s="7" t="n">
        <v>1812.8666838179684</v>
      </c>
      <c r="S25">
        <f si="1" t="shared"/>
        <v>3929.9941864013672</v>
      </c>
    </row>
    <row r="26" spans="1:19" x14ac:dyDescent="0.25">
      <c r="A26" s="9">
        <v>0.33333333333333331</v>
      </c>
      <c r="B26" s="21" t="n">
        <v>393.4887532056508</v>
      </c>
      <c r="C26" s="21" t="n">
        <v>175.28965131159404</v>
      </c>
      <c r="D26" s="21" t="n">
        <v>0.008629979223259638</v>
      </c>
      <c r="E26" s="21" t="n">
        <v>138.31604385496894</v>
      </c>
      <c r="F26" s="21" t="n">
        <v>6.689124080321462</v>
      </c>
      <c r="G26" s="21" t="n">
        <v>36.29867232105009</v>
      </c>
      <c r="H26" s="21" t="n">
        <v>231.99815824781973</v>
      </c>
      <c r="I26" s="21">
        <f si="0" t="shared"/>
        <v>764.34696614799498</v>
      </c>
      <c r="K26" s="9">
        <v>0.33333333333333331</v>
      </c>
      <c r="L26" s="7" t="n">
        <v>321.5233115976605</v>
      </c>
      <c r="M26" s="7" t="n">
        <v>43.9669350615007</v>
      </c>
      <c r="N26" s="7" t="n">
        <v>334.0061705213026</v>
      </c>
      <c r="O26" s="7" t="n">
        <v>719.1197808145332</v>
      </c>
      <c r="P26" s="7" t="n">
        <v>1010.4272205184278</v>
      </c>
      <c r="Q26" s="7" t="n">
        <v>342.01894177992614</v>
      </c>
      <c r="R26" s="7" t="n">
        <v>1512.4686088409787</v>
      </c>
      <c r="S26">
        <f si="1" t="shared"/>
        <v>3005.3330612182617</v>
      </c>
    </row>
    <row r="27" spans="1:19" x14ac:dyDescent="0.25">
      <c r="A27" s="9">
        <v>0.35416666666666669</v>
      </c>
      <c r="B27" s="21" t="n">
        <v>275.7760323702312</v>
      </c>
      <c r="C27" s="21" t="n">
        <v>98.65427565106634</v>
      </c>
      <c r="D27" s="21" t="n">
        <v>4.1010916233062743E-4</v>
      </c>
      <c r="E27" s="21" t="n">
        <v>92.2154008556592</v>
      </c>
      <c r="F27" s="21" t="n">
        <v>5.120762511681444</v>
      </c>
      <c r="G27" s="21" t="n">
        <v>16.06661981427397</v>
      </c>
      <c r="H27" s="21" t="n">
        <v>195.80979273470555</v>
      </c>
      <c r="I27" s="21">
        <f si="0" t="shared"/>
        <v>534.3366488282204</v>
      </c>
      <c r="K27" s="9">
        <v>0.35416666666666669</v>
      </c>
      <c r="L27" s="7" t="n">
        <v>259.0865947985903</v>
      </c>
      <c r="M27" s="7" t="n">
        <v>36.653447162091325</v>
      </c>
      <c r="N27" s="7" t="n">
        <v>279.6528911861333</v>
      </c>
      <c r="O27" s="7" t="n">
        <v>595.4121395115866</v>
      </c>
      <c r="P27" s="7" t="n">
        <v>856.7155791509219</v>
      </c>
      <c r="Q27" s="7" t="n">
        <v>270.2286392477781</v>
      </c>
      <c r="R27" s="7" t="n">
        <v>1274.1221591756062</v>
      </c>
      <c r="S27">
        <f si="1" t="shared"/>
        <v>2369.7701997756958</v>
      </c>
    </row>
    <row r="28" spans="1:19" x14ac:dyDescent="0.25">
      <c r="A28" s="9">
        <v>0.375</v>
      </c>
      <c r="B28" s="21" t="n">
        <v>194.2276668658133</v>
      </c>
      <c r="C28" s="21" t="n">
        <v>54.389221080800276</v>
      </c>
      <c r="D28" s="21" t="n">
        <v>0.0</v>
      </c>
      <c r="E28" s="21" t="n">
        <v>81.20402789268232</v>
      </c>
      <c r="F28" s="21" t="n">
        <v>3.6931090283582333</v>
      </c>
      <c r="G28" s="21" t="n">
        <v>5.8946454682588465</v>
      </c>
      <c r="H28" s="21" t="n">
        <v>169.59287353967972</v>
      </c>
      <c r="I28" s="21">
        <f si="0" t="shared"/>
        <v>401.05681098022461</v>
      </c>
      <c r="K28" s="9">
        <v>0.375</v>
      </c>
      <c r="L28" s="7" t="n">
        <v>214.62199674550507</v>
      </c>
      <c r="M28" s="7" t="n">
        <v>30.70503631674787</v>
      </c>
      <c r="N28" s="7" t="n">
        <v>237.02241374217223</v>
      </c>
      <c r="O28" s="7" t="n">
        <v>509.2607105197159</v>
      </c>
      <c r="P28" s="7" t="n">
        <v>742.847384892968</v>
      </c>
      <c r="Q28" s="7" t="n">
        <v>219.7106683417851</v>
      </c>
      <c r="R28" s="7" t="n">
        <v>1072.9250941352616</v>
      </c>
      <c r="S28">
        <f si="1" t="shared"/>
        <v>1938.5871849060059</v>
      </c>
    </row>
    <row r="29" spans="1:19" x14ac:dyDescent="0.25">
      <c r="A29" s="9">
        <v>0.39583333333333331</v>
      </c>
      <c r="B29" s="21" t="n">
        <v>129.13512389591614</v>
      </c>
      <c r="C29" s="21" t="n">
        <v>33.806845858001424</v>
      </c>
      <c r="D29" s="21" t="n">
        <v>0.0</v>
      </c>
      <c r="E29" s="21" t="n">
        <v>87.12087719093195</v>
      </c>
      <c r="F29" s="21" t="n">
        <v>2.2573751949167464</v>
      </c>
      <c r="G29" s="21" t="n">
        <v>1.7762345536758501</v>
      </c>
      <c r="H29" s="21" t="n">
        <v>135.84971038158972</v>
      </c>
      <c r="I29" s="21">
        <f si="0" t="shared"/>
        <v>309.54111452550887</v>
      </c>
      <c r="K29" s="9">
        <v>0.39583333333333331</v>
      </c>
      <c r="L29" s="7" t="n">
        <v>181.54519597300916</v>
      </c>
      <c r="M29" s="7" t="n">
        <v>25.335118909905333</v>
      </c>
      <c r="N29" s="7" t="n">
        <v>203.35174757021713</v>
      </c>
      <c r="O29" s="7" t="n">
        <v>446.7032052376557</v>
      </c>
      <c r="P29" s="7" t="n">
        <v>653.3281210582838</v>
      </c>
      <c r="Q29" s="7" t="n">
        <v>182.05384280379062</v>
      </c>
      <c r="R29" s="7" t="n">
        <v>891.9293200769383</v>
      </c>
      <c r="S29">
        <f si="1" t="shared"/>
        <v>1647.3785915374756</v>
      </c>
    </row>
    <row r="30" spans="1:19" x14ac:dyDescent="0.25">
      <c r="A30" s="9">
        <v>0.41666666666666669</v>
      </c>
      <c r="B30" s="21" t="n">
        <v>77.61777356207322</v>
      </c>
      <c r="C30" s="21" t="n">
        <v>25.497582501070543</v>
      </c>
      <c r="D30" s="21" t="n">
        <v>0.0</v>
      </c>
      <c r="E30" s="21" t="n">
        <v>90.60756311751206</v>
      </c>
      <c r="F30" s="21" t="n">
        <v>1.1277802102056738</v>
      </c>
      <c r="G30" s="21" t="n">
        <v>0.43439676482122996</v>
      </c>
      <c r="H30" s="21" t="n">
        <v>94.90853655783445</v>
      </c>
      <c r="I30" s="21">
        <f si="0" t="shared"/>
        <v>231.56017459135057</v>
      </c>
      <c r="K30" s="9">
        <v>0.41666666666666669</v>
      </c>
      <c r="L30" s="7" t="n">
        <v>155.52616261386825</v>
      </c>
      <c r="M30" s="7" t="n">
        <v>20.349993205827698</v>
      </c>
      <c r="N30" s="7" t="n">
        <v>176.90191110865703</v>
      </c>
      <c r="O30" s="7" t="n">
        <v>398.7340240811156</v>
      </c>
      <c r="P30" s="7" t="n">
        <v>577.4132567355387</v>
      </c>
      <c r="Q30" s="7" t="n">
        <v>151.85779232924708</v>
      </c>
      <c r="R30" s="7" t="n">
        <v>723.7387552079977</v>
      </c>
      <c r="S30">
        <f si="1" t="shared"/>
        <v>1449.220495223999</v>
      </c>
    </row>
    <row r="31" spans="1:19" x14ac:dyDescent="0.25">
      <c r="A31" s="9">
        <v>0.4375</v>
      </c>
      <c r="B31" s="21" t="n">
        <v>41.525100893308</v>
      </c>
      <c r="C31" s="21" t="n">
        <v>21.25303210458248</v>
      </c>
      <c r="D31" s="21" t="n">
        <v>0.0</v>
      </c>
      <c r="E31" s="21" t="n">
        <v>81.3780343665239</v>
      </c>
      <c r="F31" s="21" t="n">
        <v>0.4510924236795455</v>
      </c>
      <c r="G31" s="21" t="n">
        <v>0.08430704587516023</v>
      </c>
      <c r="H31" s="21" t="n">
        <v>55.99236135641685</v>
      </c>
      <c r="I31" s="21">
        <f si="0" t="shared"/>
        <v>160.70112977495194</v>
      </c>
      <c r="K31" s="9">
        <v>0.4375</v>
      </c>
      <c r="L31" s="7" t="n">
        <v>134.14798246382395</v>
      </c>
      <c r="M31" s="7" t="n">
        <v>15.964295292148629</v>
      </c>
      <c r="N31" s="7" t="n">
        <v>156.6161367314122</v>
      </c>
      <c r="O31" s="7" t="n">
        <v>360.7407866223607</v>
      </c>
      <c r="P31" s="7" t="n">
        <v>510.36515504163657</v>
      </c>
      <c r="Q31" s="7" t="n">
        <v>126.32035493806553</v>
      </c>
      <c r="R31" s="7" t="n">
        <v>569.6322971416193</v>
      </c>
      <c r="S31">
        <f si="1" t="shared"/>
        <v>1317.9682188034058</v>
      </c>
    </row>
    <row r="32" spans="1:19" x14ac:dyDescent="0.25">
      <c r="A32" s="9">
        <v>0.45833333333333331</v>
      </c>
      <c r="B32" s="21" t="n">
        <v>20.34488713811119</v>
      </c>
      <c r="C32" s="21" t="n">
        <v>17.311166815019636</v>
      </c>
      <c r="D32" s="21" t="n">
        <v>0.0</v>
      </c>
      <c r="E32" s="21" t="n">
        <v>60.89767458394385</v>
      </c>
      <c r="F32" s="21" t="n">
        <v>0.14096638239985798</v>
      </c>
      <c r="G32" s="21" t="n">
        <v>0.012361074440723421</v>
      </c>
      <c r="H32" s="21" t="n">
        <v>27.27358088948193</v>
      </c>
      <c r="I32" s="21">
        <f si="0" t="shared"/>
        <v>101.12798480672838</v>
      </c>
      <c r="K32" s="9">
        <v>0.45833333333333331</v>
      </c>
      <c r="L32" s="7" t="n">
        <v>116.33064844829144</v>
      </c>
      <c r="M32" s="7" t="n">
        <v>12.508978241325833</v>
      </c>
      <c r="N32" s="7" t="n">
        <v>141.81592710272687</v>
      </c>
      <c r="O32" s="7" t="n">
        <v>331.5082174334059</v>
      </c>
      <c r="P32" s="7" t="n">
        <v>452.54587131809905</v>
      </c>
      <c r="Q32" s="7" t="n">
        <v>104.6057866784326</v>
      </c>
      <c r="R32" s="7" t="n">
        <v>435.30030071259216</v>
      </c>
      <c r="S32">
        <f si="1" t="shared"/>
        <v>1245.0307655334473</v>
      </c>
    </row>
    <row r="33" spans="1:19" x14ac:dyDescent="0.25">
      <c r="A33" s="9">
        <v>0.47916666666666669</v>
      </c>
      <c r="B33" s="21" t="n">
        <v>10.332425952546362</v>
      </c>
      <c r="C33" s="21" t="n">
        <v>12.891617051612437</v>
      </c>
      <c r="D33" s="21" t="n">
        <v>0.0</v>
      </c>
      <c r="E33" s="21" t="n">
        <v>37.46357501334769</v>
      </c>
      <c r="F33" s="21" t="n">
        <v>0.03316856056467247</v>
      </c>
      <c r="G33" s="21" t="n">
        <v>0.0012249206236038211</v>
      </c>
      <c r="H33" s="21" t="n">
        <v>10.730801220048896</v>
      </c>
      <c r="I33" s="21">
        <f si="0" t="shared"/>
        <v>57.434319516563427</v>
      </c>
      <c r="K33" s="9">
        <v>0.47916666666666669</v>
      </c>
      <c r="L33" s="7" t="n">
        <v>101.71168365582756</v>
      </c>
      <c r="M33" s="7" t="n">
        <v>10.173004659176033</v>
      </c>
      <c r="N33" s="7" t="n">
        <v>131.7487273875464</v>
      </c>
      <c r="O33" s="7" t="n">
        <v>311.3005153160469</v>
      </c>
      <c r="P33" s="7" t="n">
        <v>406.0840772532469</v>
      </c>
      <c r="Q33" s="7" t="n">
        <v>86.97480905254876</v>
      </c>
      <c r="R33" s="7" t="n">
        <v>326.05902118296586</v>
      </c>
      <c r="S33">
        <f si="1" t="shared"/>
        <v>1226.6029558181763</v>
      </c>
    </row>
    <row r="34" spans="1:19" x14ac:dyDescent="0.25">
      <c r="A34" s="9">
        <v>0.5</v>
      </c>
      <c r="B34" s="21" t="n">
        <v>6.65471639752388</v>
      </c>
      <c r="C34" s="21" t="n">
        <v>8.4883021288146</v>
      </c>
      <c r="D34" s="21" t="n">
        <v>0.0</v>
      </c>
      <c r="E34" s="21" t="n">
        <v>18.731284728206063</v>
      </c>
      <c r="F34" s="21" t="n">
        <v>0.005528093427445411</v>
      </c>
      <c r="G34" s="21" t="n">
        <v>6.124603118019104E-5</v>
      </c>
      <c r="H34" s="21" t="n">
        <v>3.3188750393757536</v>
      </c>
      <c r="I34" s="21">
        <f si="0" t="shared"/>
        <v>29.894642152118685</v>
      </c>
      <c r="K34" s="9">
        <v>0.5</v>
      </c>
      <c r="L34" s="7" t="n">
        <v>90.23107117205522</v>
      </c>
      <c r="M34" s="7" t="n">
        <v>8.904764829551043</v>
      </c>
      <c r="N34" s="7" t="n">
        <v>125.42187355241795</v>
      </c>
      <c r="O34" s="7" t="n">
        <v>299.715115896305</v>
      </c>
      <c r="P34" s="7" t="n">
        <v>371.35829121456675</v>
      </c>
      <c r="Q34" s="7" t="n">
        <v>73.87511443453242</v>
      </c>
      <c r="R34" s="7" t="n">
        <v>244.03969194495278</v>
      </c>
      <c r="S34">
        <f si="1" t="shared"/>
        <v>1249.6694755554199</v>
      </c>
    </row>
    <row r="35" spans="1:19" x14ac:dyDescent="0.25">
      <c r="A35" s="9">
        <v>0.52083333333333337</v>
      </c>
      <c r="B35" s="21" t="n">
        <v>5.427308199405671</v>
      </c>
      <c r="C35" s="21" t="n">
        <v>4.817896386258099</v>
      </c>
      <c r="D35" s="21" t="n">
        <v>0.0</v>
      </c>
      <c r="E35" s="21" t="n">
        <v>7.492513891282426</v>
      </c>
      <c r="F35" s="21" t="n">
        <v>5.819045713100433E-4</v>
      </c>
      <c r="G35" s="21" t="n">
        <v>0.0</v>
      </c>
      <c r="H35" s="21" t="n">
        <v>0.7760780363686179</v>
      </c>
      <c r="I35" s="21">
        <f si="0" t="shared"/>
        <v>14.849924115753176</v>
      </c>
      <c r="K35" s="9">
        <v>0.52083333333333337</v>
      </c>
      <c r="L35" s="7" t="n">
        <v>81.88904644452401</v>
      </c>
      <c r="M35" s="7" t="n">
        <v>8.490055682680026</v>
      </c>
      <c r="N35" s="7" t="n">
        <v>122.01056599469293</v>
      </c>
      <c r="O35" s="7" t="n">
        <v>294.5292807767265</v>
      </c>
      <c r="P35" s="7" t="n">
        <v>345.5847093341208</v>
      </c>
      <c r="Q35" s="7" t="n">
        <v>65.23438520443322</v>
      </c>
      <c r="R35" s="7" t="n">
        <v>187.59841147853496</v>
      </c>
      <c r="S35">
        <f si="1" t="shared"/>
        <v>1288.7221803665161</v>
      </c>
    </row>
    <row r="36" spans="1:19" x14ac:dyDescent="0.25">
      <c r="A36" s="9">
        <v>0.54166666666666663</v>
      </c>
      <c r="B36" s="21" t="n">
        <v>4.516450226306915</v>
      </c>
      <c r="C36" s="21" t="n">
        <v>2.2982688182538418</v>
      </c>
      <c r="D36" s="21" t="n">
        <v>0.0</v>
      </c>
      <c r="E36" s="21" t="n">
        <v>2.341410591025758</v>
      </c>
      <c r="F36" s="21" t="n">
        <v>2.9095228565502166E-5</v>
      </c>
      <c r="G36" s="21" t="n">
        <v>0.0</v>
      </c>
      <c r="H36" s="21" t="n">
        <v>0.12891235898438738</v>
      </c>
      <c r="I36" s="21">
        <f si="0" t="shared"/>
        <v>7.4269815273284898</v>
      </c>
      <c r="K36" s="9">
        <v>0.54166666666666663</v>
      </c>
      <c r="L36" s="7" t="n">
        <v>76.56427097817425</v>
      </c>
      <c r="M36" s="7" t="n">
        <v>8.709724233810263</v>
      </c>
      <c r="N36" s="7" t="n">
        <v>121.537920318425</v>
      </c>
      <c r="O36" s="7" t="n">
        <v>292.1822573703157</v>
      </c>
      <c r="P36" s="7" t="n">
        <v>323.99171957726344</v>
      </c>
      <c r="Q36" s="7" t="n">
        <v>60.196319351947366</v>
      </c>
      <c r="R36" s="7" t="n">
        <v>152.12229501841455</v>
      </c>
      <c r="S36">
        <f si="1" t="shared"/>
        <v>1317.6227684020996</v>
      </c>
    </row>
    <row r="37" spans="1:19" x14ac:dyDescent="0.25">
      <c r="A37" s="9">
        <v>0.5625</v>
      </c>
      <c r="B37" s="21" t="n">
        <v>3.312970705032349</v>
      </c>
      <c r="C37" s="21" t="n">
        <v>0.8963518051051973</v>
      </c>
      <c r="D37" s="21" t="n">
        <v>0.0</v>
      </c>
      <c r="E37" s="21" t="n">
        <v>0.5509201390648841</v>
      </c>
      <c r="F37" s="21" t="n">
        <v>0.0</v>
      </c>
      <c r="G37" s="21" t="n">
        <v>0.0</v>
      </c>
      <c r="H37" s="21" t="n">
        <v>0.013551068305969236</v>
      </c>
      <c r="I37" s="21">
        <f si="0" t="shared"/>
        <v>3.811923056602478</v>
      </c>
      <c r="K37" s="9">
        <v>0.5625</v>
      </c>
      <c r="L37" s="7" t="n">
        <v>73.8623609935309</v>
      </c>
      <c r="M37" s="7" t="n">
        <v>9.424712797231876</v>
      </c>
      <c r="N37" s="7" t="n">
        <v>125.164086885073</v>
      </c>
      <c r="O37" s="7" t="n">
        <v>289.2403179037741</v>
      </c>
      <c r="P37" s="7" t="n">
        <v>302.2106711468086</v>
      </c>
      <c r="Q37" s="7" t="n">
        <v>57.37146158687711</v>
      </c>
      <c r="R37" s="7" t="n">
        <v>131.52296001367856</v>
      </c>
      <c r="S37">
        <f si="1" t="shared"/>
        <v>1327.3485412597656</v>
      </c>
    </row>
    <row r="38" spans="1:19" x14ac:dyDescent="0.25">
      <c r="A38" s="9">
        <v>0.58333333333333337</v>
      </c>
      <c r="B38" s="21" t="n">
        <v>2.0284078514575956</v>
      </c>
      <c r="C38" s="21" t="n">
        <v>0.27671188811236336</v>
      </c>
      <c r="D38" s="21" t="n">
        <v>0.0</v>
      </c>
      <c r="E38" s="21" t="n">
        <v>0.0918200231774807</v>
      </c>
      <c r="F38" s="21" t="n">
        <v>0.0</v>
      </c>
      <c r="G38" s="21" t="n">
        <v>0.0</v>
      </c>
      <c r="H38" s="21" t="n">
        <v>6.775534152984619E-4</v>
      </c>
      <c r="I38" s="21">
        <f si="0" t="shared"/>
        <v>1.9142722687721252</v>
      </c>
      <c r="K38" s="9">
        <v>0.58333333333333337</v>
      </c>
      <c r="L38" s="7" t="n">
        <v>73.02495087653969</v>
      </c>
      <c r="M38" s="7" t="n">
        <v>10.508307339461957</v>
      </c>
      <c r="N38" s="7" t="n">
        <v>134.6052818212214</v>
      </c>
      <c r="O38" s="7" t="n">
        <v>283.46272337303066</v>
      </c>
      <c r="P38" s="7" t="n">
        <v>278.00678452952724</v>
      </c>
      <c r="Q38" s="7" t="n">
        <v>55.381965844726956</v>
      </c>
      <c r="R38" s="7" t="n">
        <v>119.79923476820552</v>
      </c>
      <c r="S38">
        <f si="1" t="shared"/>
        <v>1332.3448238372803</v>
      </c>
    </row>
    <row r="39" spans="1:19" x14ac:dyDescent="0.25">
      <c r="A39" s="9">
        <v>0.60416666666666663</v>
      </c>
      <c r="B39" s="21" t="n">
        <v>1.013131492137909</v>
      </c>
      <c r="C39" s="21" t="n">
        <v>0.0647888629927433</v>
      </c>
      <c r="D39" s="21" t="n">
        <v>0.0</v>
      </c>
      <c r="E39" s="21" t="n">
        <v>0.009665265597629548</v>
      </c>
      <c r="F39" s="21" t="n">
        <v>0.0</v>
      </c>
      <c r="G39" s="21" t="n">
        <v>0.0</v>
      </c>
      <c r="H39" s="21" t="n">
        <v>0.0</v>
      </c>
      <c r="I39" s="21">
        <f si="0" t="shared"/>
        <v>0.86890398149490355</v>
      </c>
      <c r="K39" s="9">
        <v>0.60416666666666663</v>
      </c>
      <c r="L39" s="7" t="n">
        <v>72.97032202621335</v>
      </c>
      <c r="M39" s="7" t="n">
        <v>11.713475246956348</v>
      </c>
      <c r="N39" s="7" t="n">
        <v>150.7777541767661</v>
      </c>
      <c r="O39" s="7" t="n">
        <v>273.7084103687565</v>
      </c>
      <c r="P39" s="7" t="n">
        <v>251.38896440487244</v>
      </c>
      <c r="Q39" s="7" t="n">
        <v>53.32030315009513</v>
      </c>
      <c r="R39" s="7" t="n">
        <v>112.08475731942825</v>
      </c>
      <c r="S39">
        <f si="1" t="shared"/>
        <v>1356.2786684036255</v>
      </c>
    </row>
    <row r="40" spans="1:19" x14ac:dyDescent="0.25">
      <c r="A40" s="9">
        <v>0.625</v>
      </c>
      <c r="B40" s="21" t="n">
        <v>0.4051763105392457</v>
      </c>
      <c r="C40" s="21" t="n">
        <v>0.010783760547539711</v>
      </c>
      <c r="D40" s="21" t="n">
        <v>0.0</v>
      </c>
      <c r="E40" s="21" t="n">
        <v>4.8326327988147737E-4</v>
      </c>
      <c r="F40" s="21" t="n">
        <v>0.0</v>
      </c>
      <c r="G40" s="21" t="n">
        <v>0.0</v>
      </c>
      <c r="H40" s="21" t="n">
        <v>0.0</v>
      </c>
      <c r="I40" s="21">
        <f si="0" t="shared"/>
        <v>0.33293315849304206</v>
      </c>
      <c r="K40" s="9">
        <v>0.625</v>
      </c>
      <c r="L40" s="7" t="n">
        <v>72.52510929162295</v>
      </c>
      <c r="M40" s="7" t="n">
        <v>12.649713768332035</v>
      </c>
      <c r="N40" s="7" t="n">
        <v>172.35409720552843</v>
      </c>
      <c r="O40" s="7" t="n">
        <v>259.1952701700822</v>
      </c>
      <c r="P40" s="7" t="n">
        <v>223.50769281544422</v>
      </c>
      <c r="Q40" s="7" t="n">
        <v>50.86008986920726</v>
      </c>
      <c r="R40" s="7" t="n">
        <v>105.01359797283726</v>
      </c>
      <c r="S40">
        <f si="1" t="shared"/>
        <v>1407.5067052841187</v>
      </c>
    </row>
    <row r="41" spans="1:19" x14ac:dyDescent="0.25">
      <c r="A41" s="9">
        <v>0.64583333333333337</v>
      </c>
      <c r="B41" s="21" t="n">
        <v>0.12661467790603642</v>
      </c>
      <c r="C41" s="21" t="n">
        <v>0.0011351326892147064</v>
      </c>
      <c r="D41" s="21" t="n">
        <v>0.0</v>
      </c>
      <c r="E41" s="21" t="n">
        <v>0.0</v>
      </c>
      <c r="F41" s="21" t="n">
        <v>0.0</v>
      </c>
      <c r="G41" s="21" t="n">
        <v>0.0</v>
      </c>
      <c r="H41" s="21" t="n">
        <v>0.0</v>
      </c>
      <c r="I41" s="21">
        <f si="0" t="shared"/>
        <v>0.10217519760131835</v>
      </c>
      <c r="K41" s="9">
        <v>0.64583333333333337</v>
      </c>
      <c r="L41" s="7" t="n">
        <v>70.74781450860192</v>
      </c>
      <c r="M41" s="7" t="n">
        <v>12.929021027162479</v>
      </c>
      <c r="N41" s="7" t="n">
        <v>195.14770501305728</v>
      </c>
      <c r="O41" s="7" t="n">
        <v>239.17037720885463</v>
      </c>
      <c r="P41" s="7" t="n">
        <v>195.46907511231444</v>
      </c>
      <c r="Q41" s="7" t="n">
        <v>48.02520675439178</v>
      </c>
      <c r="R41" s="7" t="n">
        <v>96.69000498966659</v>
      </c>
      <c r="S41">
        <f si="1" t="shared"/>
        <v>1465.663010597229</v>
      </c>
    </row>
    <row r="42" spans="1:19" x14ac:dyDescent="0.25">
      <c r="A42" s="9">
        <v>0.66666666666666663</v>
      </c>
      <c r="B42" s="21" t="n">
        <v>0.02979168891906739</v>
      </c>
      <c r="C42" s="21" t="n">
        <v>8.05710742342949E-5</v>
      </c>
      <c r="D42" s="21" t="n">
        <v>0.0</v>
      </c>
      <c r="E42" s="21" t="n">
        <v>8.426945079135895E-4</v>
      </c>
      <c r="F42" s="21" t="n">
        <v>2.381443977355957E-5</v>
      </c>
      <c r="G42" s="21" t="n">
        <v>0.0</v>
      </c>
      <c r="H42" s="21" t="n">
        <v>0.0</v>
      </c>
      <c r="I42" s="21">
        <f si="0" t="shared"/>
        <v>2.4518420696258546E-2</v>
      </c>
      <c r="K42" s="9">
        <v>0.66666666666666663</v>
      </c>
      <c r="L42" s="7" t="n">
        <v>67.10627246415046</v>
      </c>
      <c r="M42" s="7" t="n">
        <v>12.353409057954774</v>
      </c>
      <c r="N42" s="7" t="n">
        <v>212.92921099514194</v>
      </c>
      <c r="O42" s="7" t="n">
        <v>213.4034735369733</v>
      </c>
      <c r="P42" s="7" t="n">
        <v>167.8670720188983</v>
      </c>
      <c r="Q42" s="7" t="n">
        <v>44.832128156987714</v>
      </c>
      <c r="R42" s="7" t="n">
        <v>86.52514739083131</v>
      </c>
      <c r="S42">
        <f si="1" t="shared"/>
        <v>1490.7417821884155</v>
      </c>
    </row>
    <row r="43" spans="1:19" x14ac:dyDescent="0.25">
      <c r="A43" s="9">
        <v>0.6875</v>
      </c>
      <c r="B43" s="21" t="n">
        <v>0.004965281486511231</v>
      </c>
      <c r="C43" s="21" t="n">
        <v>4.762887954711914E-4</v>
      </c>
      <c r="D43" s="21" t="n">
        <v>0.0</v>
      </c>
      <c r="E43" s="21" t="n">
        <v>0.01685389015827179</v>
      </c>
      <c r="F43" s="21" t="n">
        <v>4.762887954711914E-4</v>
      </c>
      <c r="G43" s="21" t="n">
        <v>0.0</v>
      </c>
      <c r="H43" s="21" t="n">
        <v>0.0</v>
      </c>
      <c r="I43" s="21">
        <f si="0" t="shared"/>
        <v>1.6790161132812498E-2</v>
      </c>
      <c r="K43" s="9">
        <v>0.6875</v>
      </c>
      <c r="L43" s="7" t="n">
        <v>61.437592214890614</v>
      </c>
      <c r="M43" s="7" t="n">
        <v>10.983644727761941</v>
      </c>
      <c r="N43" s="7" t="n">
        <v>219.58901155728515</v>
      </c>
      <c r="O43" s="7" t="n">
        <v>182.94333300294176</v>
      </c>
      <c r="P43" s="7" t="n">
        <v>141.03711830761333</v>
      </c>
      <c r="Q43" s="7" t="n">
        <v>41.07929680262812</v>
      </c>
      <c r="R43" s="7" t="n">
        <v>74.94538913324223</v>
      </c>
      <c r="S43">
        <f si="1" t="shared"/>
        <v>1446.3622789382935</v>
      </c>
    </row>
    <row r="44" spans="1:19" x14ac:dyDescent="0.25">
      <c r="A44" s="9">
        <v>0.70833333333333337</v>
      </c>
      <c r="B44" s="21" t="n">
        <v>6.688615769863129E-4</v>
      </c>
      <c r="C44" s="21" t="n">
        <v>0.004524743556976319</v>
      </c>
      <c r="D44" s="21" t="n">
        <v>0.0</v>
      </c>
      <c r="E44" s="21" t="n">
        <v>0.160111956503582</v>
      </c>
      <c r="F44" s="21" t="n">
        <v>0.004524743556976319</v>
      </c>
      <c r="G44" s="21" t="n">
        <v>2.191424369812012E-5</v>
      </c>
      <c r="H44" s="21" t="n">
        <v>1.3433694839477539E-5</v>
      </c>
      <c r="I44" s="21">
        <f si="0" t="shared"/>
        <v>0.12233934164047239</v>
      </c>
      <c r="K44" s="9">
        <v>0.70833333333333337</v>
      </c>
      <c r="L44" s="7" t="n">
        <v>53.92357774642431</v>
      </c>
      <c r="M44" s="7" t="n">
        <v>9.069300686390662</v>
      </c>
      <c r="N44" s="7" t="n">
        <v>211.80345244189184</v>
      </c>
      <c r="O44" s="7" t="n">
        <v>150.3369420950437</v>
      </c>
      <c r="P44" s="7" t="n">
        <v>115.59332942059517</v>
      </c>
      <c r="Q44" s="7" t="n">
        <v>36.461238103943586</v>
      </c>
      <c r="R44" s="7" t="n">
        <v>62.96259432940406</v>
      </c>
      <c r="S44">
        <f si="1" t="shared"/>
        <v>1319.9986763000488</v>
      </c>
    </row>
    <row r="45" spans="1:19" x14ac:dyDescent="0.25">
      <c r="A45" s="9">
        <v>0.72916666666666663</v>
      </c>
      <c r="B45" s="21" t="n">
        <v>0.003304687499184609</v>
      </c>
      <c r="C45" s="21" t="n">
        <v>0.02715336084365845</v>
      </c>
      <c r="D45" s="21" t="n">
        <v>4.960298538208008E-6</v>
      </c>
      <c r="E45" s="21" t="n">
        <v>0.9606717390214922</v>
      </c>
      <c r="F45" s="21" t="n">
        <v>0.027148461341857916</v>
      </c>
      <c r="G45" s="21" t="n">
        <v>4.382848739624023E-4</v>
      </c>
      <c r="H45" s="21" t="n">
        <v>2.7357339859008796E-4</v>
      </c>
      <c r="I45" s="21">
        <f si="0" t="shared"/>
        <v>0.73396613798141475</v>
      </c>
      <c r="K45" s="9">
        <v>0.72916666666666663</v>
      </c>
      <c r="L45" s="7" t="n">
        <v>45.27047449842111</v>
      </c>
      <c r="M45" s="7" t="n">
        <v>6.937371189254508</v>
      </c>
      <c r="N45" s="7" t="n">
        <v>190.827436507918</v>
      </c>
      <c r="O45" s="7" t="n">
        <v>119.08006464906342</v>
      </c>
      <c r="P45" s="7" t="n">
        <v>92.89933969437332</v>
      </c>
      <c r="Q45" s="7" t="n">
        <v>30.94998658603463</v>
      </c>
      <c r="R45" s="7" t="n">
        <v>51.766986327737925</v>
      </c>
      <c r="S45">
        <f si="1" t="shared"/>
        <v>1129.1596612930298</v>
      </c>
    </row>
    <row r="46" spans="1:19" x14ac:dyDescent="0.25">
      <c r="A46" s="9">
        <v>0.75</v>
      </c>
      <c r="B46" s="21" t="n">
        <v>0.03493455335560923</v>
      </c>
      <c r="C46" s="21" t="n">
        <v>0.11547895073890689</v>
      </c>
      <c r="D46" s="21" t="n">
        <v>9.920597076416018E-5</v>
      </c>
      <c r="E46" s="21" t="n">
        <v>4.082854890841341</v>
      </c>
      <c r="F46" s="21" t="n">
        <v>0.11538096070289613</v>
      </c>
      <c r="G46" s="21" t="n">
        <v>0.004232353305823135</v>
      </c>
      <c r="H46" s="21" t="n">
        <v>0.0026547729969024656</v>
      </c>
      <c r="I46" s="21">
        <f si="0" t="shared"/>
        <v>3.140048589801788</v>
      </c>
      <c r="K46" s="9">
        <v>0.75</v>
      </c>
      <c r="L46" s="7" t="n">
        <v>36.89473522905327</v>
      </c>
      <c r="M46" s="7" t="n">
        <v>4.91004704375449</v>
      </c>
      <c r="N46" s="7" t="n">
        <v>162.14985270891634</v>
      </c>
      <c r="O46" s="7" t="n">
        <v>92.69529459621077</v>
      </c>
      <c r="P46" s="7" t="n">
        <v>75.29601843849788</v>
      </c>
      <c r="Q46" s="7" t="n">
        <v>25.138500341456613</v>
      </c>
      <c r="R46" s="7" t="n">
        <v>42.52725633713817</v>
      </c>
      <c r="S46">
        <f si="1" t="shared"/>
        <v>912.88647937774658</v>
      </c>
    </row>
    <row r="47" spans="1:19" x14ac:dyDescent="0.25">
      <c r="A47" s="9">
        <v>0.77083333333333337</v>
      </c>
      <c r="B47" s="21" t="n">
        <v>0.2353432015140305</v>
      </c>
      <c r="C47" s="21" t="n">
        <v>0.37014997959136964</v>
      </c>
      <c r="D47" s="21" t="n">
        <v>9.424567222595214E-4</v>
      </c>
      <c r="E47" s="21" t="n">
        <v>13.06513565069229</v>
      </c>
      <c r="F47" s="21" t="n">
        <v>0.3692190742492676</v>
      </c>
      <c r="G47" s="21" t="n">
        <v>0.026463326485413552</v>
      </c>
      <c r="H47" s="21" t="n">
        <v>0.01674503194388208</v>
      </c>
      <c r="I47" s="21">
        <f si="0" t="shared"/>
        <v>10.169366569995878</v>
      </c>
      <c r="K47" s="9">
        <v>0.77083333333333337</v>
      </c>
      <c r="L47" s="7" t="n">
        <v>30.736016103789723</v>
      </c>
      <c r="M47" s="7" t="n">
        <v>3.2442508886394483</v>
      </c>
      <c r="N47" s="7" t="n">
        <v>132.88324731155222</v>
      </c>
      <c r="O47" s="7" t="n">
        <v>73.91845034915977</v>
      </c>
      <c r="P47" s="7" t="n">
        <v>65.83710619616633</v>
      </c>
      <c r="Q47" s="7" t="n">
        <v>20.203687555508246</v>
      </c>
      <c r="R47" s="7" t="n">
        <v>36.381572876411845</v>
      </c>
      <c r="S47">
        <f si="1" t="shared"/>
        <v>714.46981620788574</v>
      </c>
    </row>
    <row r="48" spans="1:19" x14ac:dyDescent="0.25">
      <c r="A48" s="9">
        <v>0.79166666666666663</v>
      </c>
      <c r="B48" s="21" t="n">
        <v>1.1249118618337492</v>
      </c>
      <c r="C48" s="21" t="n">
        <v>0.9286331176757813</v>
      </c>
      <c r="D48" s="21" t="n">
        <v>0.005654740333557129</v>
      </c>
      <c r="E48" s="21" t="n">
        <v>32.66283912673073</v>
      </c>
      <c r="F48" s="21" t="n">
        <v>0.923047685623169</v>
      </c>
      <c r="G48" s="21" t="n">
        <v>0.12152806364937897</v>
      </c>
      <c r="H48" s="21" t="n">
        <v>0.08056578592580622</v>
      </c>
      <c r="I48" s="21">
        <f si="0" t="shared"/>
        <v>25.951796426200865</v>
      </c>
      <c r="K48" s="9">
        <v>0.79166666666666663</v>
      </c>
      <c r="L48" s="7" t="n">
        <v>28.567487824022006</v>
      </c>
      <c r="M48" s="7" t="n">
        <v>2.076875646810801</v>
      </c>
      <c r="N48" s="7" t="n">
        <v>108.38598508193718</v>
      </c>
      <c r="O48" s="7" t="n">
        <v>64.07992990563469</v>
      </c>
      <c r="P48" s="7" t="n">
        <v>67.11903385669746</v>
      </c>
      <c r="Q48" s="7" t="n">
        <v>17.388948586212535</v>
      </c>
      <c r="R48" s="7" t="n">
        <v>34.314650071886405</v>
      </c>
      <c r="S48">
        <f si="1" t="shared"/>
        <v>563.93302631378174</v>
      </c>
    </row>
    <row r="49" spans="1:19" x14ac:dyDescent="0.25">
      <c r="A49" s="9">
        <v>0.8125</v>
      </c>
      <c r="B49" s="21" t="n">
        <v>4.05752342070373</v>
      </c>
      <c r="C49" s="21" t="n">
        <v>1.8698285579681397</v>
      </c>
      <c r="D49" s="21" t="n">
        <v>0.024027686119079586</v>
      </c>
      <c r="E49" s="21" t="n">
        <v>65.32567825346146</v>
      </c>
      <c r="F49" s="21" t="n">
        <v>1.8460953712463382</v>
      </c>
      <c r="G49" s="21" t="n">
        <v>0.44173355443808743</v>
      </c>
      <c r="H49" s="21" t="n">
        <v>0.3325220382847206</v>
      </c>
      <c r="I49" s="21">
        <f si="0" t="shared"/>
        <v>53.723868854904183</v>
      </c>
      <c r="K49" s="9">
        <v>0.8125</v>
      </c>
      <c r="L49" s="7" t="n">
        <v>31.028908220399753</v>
      </c>
      <c r="M49" s="7" t="n">
        <v>1.3981730440169466</v>
      </c>
      <c r="N49" s="7" t="n">
        <v>90.2852654611654</v>
      </c>
      <c r="O49" s="7" t="n">
        <v>62.513302106462326</v>
      </c>
      <c r="P49" s="7" t="n">
        <v>79.16897381984631</v>
      </c>
      <c r="Q49" s="7" t="n">
        <v>17.267295502408917</v>
      </c>
      <c r="R49" s="7" t="n">
        <v>36.56034390445079</v>
      </c>
      <c r="S49">
        <f si="1" t="shared"/>
        <v>468.26794242858887</v>
      </c>
    </row>
    <row r="50" spans="1:19" x14ac:dyDescent="0.25">
      <c r="A50" s="9">
        <v>0.83333333333333337</v>
      </c>
      <c r="B50" s="21" t="n">
        <v>11.461484308531599</v>
      </c>
      <c r="C50" s="21" t="n">
        <v>3.0757688641548158</v>
      </c>
      <c r="D50" s="21" t="n">
        <v>0.07680526256561278</v>
      </c>
      <c r="E50" s="21" t="n">
        <v>106.15422716187489</v>
      </c>
      <c r="F50" s="21" t="n">
        <v>2.9999049782753</v>
      </c>
      <c r="G50" s="21" t="n">
        <v>1.3378540937942505</v>
      </c>
      <c r="H50" s="21" t="n">
        <v>1.2606271625028724</v>
      </c>
      <c r="I50" s="21">
        <f si="0" t="shared"/>
        <v>92.455637620353713</v>
      </c>
      <c r="K50" s="9">
        <v>0.83333333333333337</v>
      </c>
      <c r="L50" s="7" t="n">
        <v>36.8881102517388</v>
      </c>
      <c r="M50" s="7" t="n">
        <v>1.0793161588516942</v>
      </c>
      <c r="N50" s="7" t="n">
        <v>77.05662613679273</v>
      </c>
      <c r="O50" s="7" t="n">
        <v>66.36743555232087</v>
      </c>
      <c r="P50" s="7" t="n">
        <v>97.89918609526077</v>
      </c>
      <c r="Q50" s="7" t="n">
        <v>19.380427623674883</v>
      </c>
      <c r="R50" s="7" t="n">
        <v>41.77864567363908</v>
      </c>
      <c r="S50">
        <f si="1" t="shared"/>
        <v>413.77596855163574</v>
      </c>
    </row>
    <row r="51" spans="1:19" x14ac:dyDescent="0.25">
      <c r="A51" s="9">
        <v>0.85416666666666663</v>
      </c>
      <c r="B51" s="21" t="n">
        <v>25.946852359317738</v>
      </c>
      <c r="C51" s="21" t="n">
        <v>4.188847088813782</v>
      </c>
      <c r="D51" s="21" t="n">
        <v>0.19131871461868286</v>
      </c>
      <c r="E51" s="21" t="n">
        <v>141.5389695491665</v>
      </c>
      <c r="F51" s="21" t="n">
        <v>3.999873304367066</v>
      </c>
      <c r="G51" s="21" t="n">
        <v>3.500596969393659</v>
      </c>
      <c r="H51" s="21" t="n">
        <v>4.403098899691955</v>
      </c>
      <c r="I51" s="21">
        <f si="0" t="shared"/>
        <v>135.65595560064315</v>
      </c>
      <c r="K51" s="9">
        <v>0.85416666666666663</v>
      </c>
      <c r="L51" s="7" t="n">
        <v>43.23179405165601</v>
      </c>
      <c r="M51" s="7" t="n">
        <v>0.94468124205593</v>
      </c>
      <c r="N51" s="7" t="n">
        <v>66.65904303463981</v>
      </c>
      <c r="O51" s="7" t="n">
        <v>72.17799799670094</v>
      </c>
      <c r="P51" s="7" t="n">
        <v>117.35070572156343</v>
      </c>
      <c r="Q51" s="7" t="n">
        <v>23.005077776649685</v>
      </c>
      <c r="R51" s="7" t="n">
        <v>47.22186068353845</v>
      </c>
      <c r="S51">
        <f si="1" t="shared"/>
        <v>380.38988876342773</v>
      </c>
    </row>
    <row r="52" spans="1:19" x14ac:dyDescent="0.25">
      <c r="A52" s="9">
        <v>0.875</v>
      </c>
      <c r="B52" s="21" t="n">
        <v>47.69223968979772</v>
      </c>
      <c r="C52" s="21" t="n">
        <v>4.774060767889024</v>
      </c>
      <c r="D52" s="21" t="n">
        <v>0.3788676023483276</v>
      </c>
      <c r="E52" s="21" t="n">
        <v>155.69202380957523</v>
      </c>
      <c r="F52" s="21" t="n">
        <v>4.3998368203639995</v>
      </c>
      <c r="G52" s="21" t="n">
        <v>8.101450196800984</v>
      </c>
      <c r="H52" s="21" t="n">
        <v>13.708314158149376</v>
      </c>
      <c r="I52" s="21">
        <f si="0" t="shared"/>
        <v>175.15702238130569</v>
      </c>
      <c r="K52" s="9">
        <v>0.875</v>
      </c>
      <c r="L52" s="7" t="n">
        <v>46.96256038781518</v>
      </c>
      <c r="M52" s="7" t="n">
        <v>0.8533734912110922</v>
      </c>
      <c r="N52" s="7" t="n">
        <v>59.76824497321332</v>
      </c>
      <c r="O52" s="7" t="n">
        <v>80.14084163122972</v>
      </c>
      <c r="P52" s="7" t="n">
        <v>137.61350402869022</v>
      </c>
      <c r="Q52" s="7" t="n">
        <v>29.32213845228813</v>
      </c>
      <c r="R52" s="7" t="n">
        <v>50.935403591613074</v>
      </c>
      <c r="S52">
        <f si="1" t="shared"/>
        <v>363.36193561553955</v>
      </c>
    </row>
    <row r="53" spans="1:19" x14ac:dyDescent="0.25">
      <c r="A53" s="9">
        <v>0.89583333333333337</v>
      </c>
      <c r="B53" s="21" t="n">
        <v>71.39830306053057</v>
      </c>
      <c r="C53" s="21" t="n">
        <v>4.592849171161652</v>
      </c>
      <c r="D53" s="21" t="n">
        <v>0.600816160440445</v>
      </c>
      <c r="E53" s="21" t="n">
        <v>141.52211565900822</v>
      </c>
      <c r="F53" s="21" t="n">
        <v>3.9993970155715948</v>
      </c>
      <c r="G53" s="21" t="n">
        <v>16.798436147831904</v>
      </c>
      <c r="H53" s="21" t="n">
        <v>36.963928765505116</v>
      </c>
      <c r="I53" s="21">
        <f si="0" t="shared"/>
        <v>207.75225919446947</v>
      </c>
      <c r="K53" s="9">
        <v>0.89583333333333337</v>
      </c>
      <c r="L53" s="7" t="n">
        <v>46.84514308830488</v>
      </c>
      <c r="M53" s="7" t="n">
        <v>0.7530994415283203</v>
      </c>
      <c r="N53" s="7" t="n">
        <v>61.874912950982356</v>
      </c>
      <c r="O53" s="7" t="n">
        <v>99.02718468712851</v>
      </c>
      <c r="P53" s="7" t="n">
        <v>174.26515380278175</v>
      </c>
      <c r="Q53" s="7" t="n">
        <v>43.82492353037402</v>
      </c>
      <c r="R53" s="7" t="n">
        <v>54.91399505059238</v>
      </c>
      <c r="S53">
        <f si="1" t="shared"/>
        <v>391.2730016708374</v>
      </c>
    </row>
    <row r="54" spans="1:19" x14ac:dyDescent="0.25">
      <c r="A54" s="9">
        <v>0.91666666666666663</v>
      </c>
      <c r="B54" s="21" t="n">
        <v>86.07178768642714</v>
      </c>
      <c r="C54" s="21" t="n">
        <v>3.7423386812210087</v>
      </c>
      <c r="D54" s="21" t="n">
        <v>0.7562272739410401</v>
      </c>
      <c r="E54" s="21" t="n">
        <v>105.99411520537129</v>
      </c>
      <c r="F54" s="21" t="n">
        <v>2.995380234718323</v>
      </c>
      <c r="G54" s="21" t="n">
        <v>31.390328010116143</v>
      </c>
      <c r="H54" s="21" t="n">
        <v>85.32215198378809</v>
      </c>
      <c r="I54" s="21">
        <f si="0" t="shared"/>
        <v>238.4534934035301</v>
      </c>
      <c r="K54" s="9">
        <v>0.91666666666666663</v>
      </c>
      <c r="L54" s="7" t="n">
        <v>44.41122555898852</v>
      </c>
      <c r="M54" s="7" t="n">
        <v>0.6809370994567872</v>
      </c>
      <c r="N54" s="7" t="n">
        <v>82.45387712943301</v>
      </c>
      <c r="O54" s="7" t="n">
        <v>146.46003303631275</v>
      </c>
      <c r="P54" s="7" t="n">
        <v>259.23435435086355</v>
      </c>
      <c r="Q54" s="7" t="n">
        <v>76.32393591573644</v>
      </c>
      <c r="R54" s="7" t="n">
        <v>66.02116123799043</v>
      </c>
      <c r="S54">
        <f si="1" t="shared"/>
        <v>524.20838928222656</v>
      </c>
    </row>
    <row r="55" spans="1:19" x14ac:dyDescent="0.25">
      <c r="A55" s="9">
        <v>0.9375</v>
      </c>
      <c r="B55" s="21" t="n">
        <v>79.97918257179316</v>
      </c>
      <c r="C55" s="21" t="n">
        <v>2.534254574775696</v>
      </c>
      <c r="D55" s="21" t="n">
        <v>0.7241837453842164</v>
      </c>
      <c r="E55" s="21" t="n">
        <v>64.36500651443997</v>
      </c>
      <c r="F55" s="21" t="n">
        <v>1.8189469099044802</v>
      </c>
      <c r="G55" s="21" t="n">
        <v>53.01756209449452</v>
      </c>
      <c r="H55" s="21" t="n">
        <v>168.79317478497032</v>
      </c>
      <c r="I55" s="21">
        <f si="0" t="shared"/>
        <v>276.58907834873202</v>
      </c>
      <c r="K55" s="9">
        <v>0.9375</v>
      </c>
      <c r="L55" s="7" t="n">
        <v>42.72326121689515</v>
      </c>
      <c r="M55" s="7" t="n">
        <v>0.7105815887451172</v>
      </c>
      <c r="N55" s="7" t="n">
        <v>130.30177927527367</v>
      </c>
      <c r="O55" s="7" t="n">
        <v>240.58901877364872</v>
      </c>
      <c r="P55" s="7" t="n">
        <v>425.7757062627762</v>
      </c>
      <c r="Q55" s="7" t="n">
        <v>136.50027014197894</v>
      </c>
      <c r="R55" s="7" t="n">
        <v>92.43888003936237</v>
      </c>
      <c r="S55">
        <f si="1" t="shared"/>
        <v>822.83467483520508</v>
      </c>
    </row>
    <row r="56" spans="1:19" x14ac:dyDescent="0.25">
      <c r="A56" s="9">
        <v>0.95833333333333337</v>
      </c>
      <c r="B56" s="21" t="n">
        <v>48.66831445946082</v>
      </c>
      <c r="C56" s="21" t="n">
        <v>1.250777667760849</v>
      </c>
      <c r="D56" s="21" t="n">
        <v>0.4486093997955322</v>
      </c>
      <c r="E56" s="21" t="n">
        <v>28.57998423588939</v>
      </c>
      <c r="F56" s="21" t="n">
        <v>0.8076667249202729</v>
      </c>
      <c r="G56" s="21" t="n">
        <v>81.20291285848535</v>
      </c>
      <c r="H56" s="21" t="n">
        <v>288.6330853396752</v>
      </c>
      <c r="I56" s="21">
        <f si="0" t="shared"/>
        <v>327.86386550006864</v>
      </c>
      <c r="K56" s="9">
        <v>0.95833333333333337</v>
      </c>
      <c r="L56" s="7" t="n">
        <v>43.92392547305751</v>
      </c>
      <c r="M56" s="7" t="n">
        <v>0.880089282989502</v>
      </c>
      <c r="N56" s="7" t="n">
        <v>206.84259638328552</v>
      </c>
      <c r="O56" s="7" t="n">
        <v>386.33887584446416</v>
      </c>
      <c r="P56" s="7" t="n">
        <v>683.518849304904</v>
      </c>
      <c r="Q56" s="7" t="n">
        <v>226.54195751600253</v>
      </c>
      <c r="R56" s="7" t="n">
        <v>137.40536882591167</v>
      </c>
      <c r="S56">
        <f si="1" t="shared"/>
        <v>1301.45299243927</v>
      </c>
    </row>
    <row r="57" spans="1:19" x14ac:dyDescent="0.25">
      <c r="A57" s="9">
        <v>0.97916666666666663</v>
      </c>
      <c r="B57" s="21" t="n">
        <v>0.0</v>
      </c>
      <c r="C57" s="21" t="n">
        <v>0.0</v>
      </c>
      <c r="D57" s="21" t="n">
        <v>0.0</v>
      </c>
      <c r="E57" s="21" t="n">
        <v>0.0</v>
      </c>
      <c r="F57" s="21" t="n">
        <v>0.0</v>
      </c>
      <c r="G57" s="21" t="n">
        <v>113.402032633</v>
      </c>
      <c r="H57" s="21" t="n">
        <v>432.1136155881</v>
      </c>
      <c r="I57" s="21">
        <f si="0" t="shared"/>
        <v>389.2235</v>
      </c>
      <c r="K57" s="18">
        <v>0.97916666666666663</v>
      </c>
      <c r="L57" s="7" t="n">
        <v>47.61192016218547</v>
      </c>
      <c r="M57" s="7" t="n">
        <v>1.15</v>
      </c>
      <c r="N57" s="7" t="n">
        <v>302.0765347131208</v>
      </c>
      <c r="O57" s="7" t="n">
        <v>566.4960029189655</v>
      </c>
      <c r="P57" s="7" t="n">
        <v>1002.3158165300503</v>
      </c>
      <c r="Q57" s="7" t="n">
        <v>336.3072102543896</v>
      </c>
      <c r="R57" s="7" t="n">
        <v>195.16562512043978</v>
      </c>
      <c r="S57">
        <f si="1" t="shared"/>
        <v>1899</v>
      </c>
    </row>
    <row ht="15.75" r="58" spans="1:19" thickBot="1" x14ac:dyDescent="0.3">
      <c r="A58" s="19" t="s">
        <v>0</v>
      </c>
      <c r="B58" s="20">
        <f>SUM(B10:B57)</f>
        <v>348661.59996532672</v>
      </c>
      <c r="C58" s="20">
        <f ref="C58:I58" si="2" t="shared">SUM(C10:C57)</f>
        <v>42186.378926282217</v>
      </c>
      <c r="D58" s="20">
        <f si="2" t="shared"/>
        <v>987413.28280208807</v>
      </c>
      <c r="E58" s="20">
        <f si="2" t="shared"/>
        <v>1428864.2230161836</v>
      </c>
      <c r="F58" s="20">
        <f si="2" t="shared"/>
        <v>1721430.2641866163</v>
      </c>
      <c r="G58" s="20">
        <f si="2" t="shared"/>
        <v>635145.03833577828</v>
      </c>
      <c r="H58" s="20">
        <f si="2" t="shared"/>
        <v>542009.75462284079</v>
      </c>
      <c r="I58" s="20">
        <f si="2" t="shared"/>
        <v>5705710.5418551192</v>
      </c>
      <c r="J58" s="5"/>
      <c r="K58" s="10" t="s">
        <v>0</v>
      </c>
      <c r="L58" s="20">
        <f>SUM(L10:L57)</f>
        <v>726312.87656879425</v>
      </c>
      <c r="M58" s="20">
        <f ref="M58:S58" si="3" t="shared">SUM(M10:M57)</f>
        <v>361225.15790653229</v>
      </c>
      <c r="N58" s="20">
        <f si="3" t="shared"/>
        <v>1992370.6210823059</v>
      </c>
      <c r="O58" s="20">
        <f si="3" t="shared"/>
        <v>2371840.9776964188</v>
      </c>
      <c r="P58" s="20">
        <f si="3" t="shared"/>
        <v>789315.47997379303</v>
      </c>
      <c r="Q58" s="20">
        <f si="3" t="shared"/>
        <v>389772.50963878632</v>
      </c>
      <c r="R58" s="20">
        <f si="3" t="shared"/>
        <v>1575754.6769514084</v>
      </c>
      <c r="S58" s="20">
        <f si="3" t="shared"/>
        <v>8206592.2998180389</v>
      </c>
    </row>
    <row r="59" spans="1:19" x14ac:dyDescent="0.25">
      <c r="J59" s="5"/>
    </row>
    <row r="60" spans="1:19" x14ac:dyDescent="0.25">
      <c r="J60" s="5"/>
    </row>
    <row ht="15.75" r="62" spans="1:19" thickBot="1" x14ac:dyDescent="0.3">
      <c r="A62" s="3" t="s">
        <v>33</v>
      </c>
      <c r="B62" s="1"/>
      <c r="C62" s="1"/>
      <c r="D62" s="1"/>
      <c r="E62" s="1"/>
      <c r="F62" s="1"/>
      <c r="G62" s="1"/>
      <c r="H62" s="1"/>
      <c r="I62" s="1"/>
      <c r="K62" s="3" t="s">
        <v>24</v>
      </c>
      <c r="L62" s="1"/>
      <c r="M62" s="1"/>
      <c r="N62" s="1"/>
      <c r="O62" s="1"/>
      <c r="P62" s="1"/>
      <c r="Q62" s="1"/>
      <c r="R62" s="1"/>
      <c r="S62" s="1"/>
    </row>
    <row r="63" spans="1:19" x14ac:dyDescent="0.25">
      <c r="A63" s="2" t="s">
        <v>3</v>
      </c>
      <c r="B63" s="4" t="s">
        <v>31</v>
      </c>
      <c r="C63" s="4" t="s">
        <v>31</v>
      </c>
      <c r="D63" s="4" t="s">
        <v>31</v>
      </c>
      <c r="E63" s="4" t="s">
        <v>31</v>
      </c>
      <c r="F63" s="4" t="s">
        <v>31</v>
      </c>
      <c r="G63" s="4" t="s">
        <v>31</v>
      </c>
      <c r="H63" s="4" t="s">
        <v>31</v>
      </c>
      <c r="I63" s="4" t="s">
        <v>31</v>
      </c>
      <c r="K63" s="2" t="s">
        <v>3</v>
      </c>
      <c r="L63" s="4" t="s">
        <v>8</v>
      </c>
      <c r="M63" s="4" t="s">
        <v>8</v>
      </c>
      <c r="N63" s="4" t="s">
        <v>8</v>
      </c>
      <c r="O63" s="4" t="s">
        <v>8</v>
      </c>
      <c r="P63" s="4" t="s">
        <v>8</v>
      </c>
      <c r="Q63" s="4" t="s">
        <v>8</v>
      </c>
      <c r="R63" s="4" t="s">
        <v>8</v>
      </c>
      <c r="S63" s="4" t="s">
        <v>8</v>
      </c>
    </row>
    <row r="64" spans="1:19" x14ac:dyDescent="0.25">
      <c r="A64" s="12">
        <v>0</v>
      </c>
      <c r="B64" s="15">
        <f ref="B64:I73" si="4" t="shared">B10/B$58</f>
        <v>0.24508167348654911</v>
      </c>
      <c r="C64" s="15">
        <f si="4" t="shared"/>
        <v>9.3173661737324165E-2</v>
      </c>
      <c r="D64" s="15">
        <f si="4" t="shared"/>
        <v>0.42090489032169731</v>
      </c>
      <c r="E64" s="15">
        <f si="4" t="shared"/>
        <v>0.38122830442919581</v>
      </c>
      <c r="F64" s="15">
        <f si="4" t="shared"/>
        <v>0.39480530547145237</v>
      </c>
      <c r="G64" s="15">
        <f si="4" t="shared"/>
        <v>0.37224339816854363</v>
      </c>
      <c r="H64" s="15">
        <f si="4" t="shared"/>
        <v>0.25138725703343295</v>
      </c>
      <c r="I64" s="15">
        <f si="4" t="shared"/>
        <v>0.36840713721459845</v>
      </c>
      <c r="K64" s="12">
        <v>0</v>
      </c>
      <c r="L64" s="14">
        <f ref="L64:S73" si="5" t="shared">L10/L$58</f>
        <v>0.34094672969293671</v>
      </c>
      <c r="M64" s="14">
        <f si="5" t="shared"/>
        <v>0.33374198159031354</v>
      </c>
      <c r="N64" s="14">
        <f si="5" t="shared"/>
        <v>0.35298603209575591</v>
      </c>
      <c r="O64" s="14">
        <f si="5" t="shared"/>
        <v>0.32564114005237432</v>
      </c>
      <c r="P64" s="14">
        <f si="5" t="shared"/>
        <v>0.33001759956443366</v>
      </c>
      <c r="Q64" s="14">
        <f si="5" t="shared"/>
        <v>0.33551365672554007</v>
      </c>
      <c r="R64" s="14">
        <f si="5" t="shared"/>
        <v>0.32166809174930366</v>
      </c>
      <c r="S64" s="15">
        <f si="5" t="shared"/>
        <v>0.33411797489449996</v>
      </c>
    </row>
    <row r="65" spans="1:19" x14ac:dyDescent="0.25">
      <c r="A65" s="9">
        <v>2.0833333333333332E-2</v>
      </c>
      <c r="B65" s="15">
        <f si="4" t="shared"/>
        <v>0.19084455309570664</v>
      </c>
      <c r="C65" s="15">
        <f si="4" t="shared"/>
        <v>0.12218734742167052</v>
      </c>
      <c r="D65" s="15">
        <f si="4" t="shared"/>
        <v>0.2808812298279062</v>
      </c>
      <c r="E65" s="15">
        <f si="4" t="shared"/>
        <v>0.26524667348276643</v>
      </c>
      <c r="F65" s="15">
        <f si="4" t="shared"/>
        <v>0.2729203024432863</v>
      </c>
      <c r="G65" s="15">
        <f si="4" t="shared"/>
        <v>0.26263138895839305</v>
      </c>
      <c r="H65" s="15">
        <f si="4" t="shared"/>
        <v>0.20200194805096619</v>
      </c>
      <c r="I65" s="15">
        <f si="4" t="shared"/>
        <v>0.25836422223461131</v>
      </c>
      <c r="K65" s="9">
        <v>2.0833333333333332E-2</v>
      </c>
      <c r="L65" s="14">
        <f si="5" t="shared"/>
        <v>0.25034649257061969</v>
      </c>
      <c r="M65" s="14">
        <f si="5" t="shared"/>
        <v>0.24622053585952064</v>
      </c>
      <c r="N65" s="14">
        <f si="5" t="shared"/>
        <v>0.25430682304949026</v>
      </c>
      <c r="O65" s="14">
        <f si="5" t="shared"/>
        <v>0.24092242149962181</v>
      </c>
      <c r="P65" s="14">
        <f si="5" t="shared"/>
        <v>0.24334958153306296</v>
      </c>
      <c r="Q65" s="14">
        <f si="5" t="shared"/>
        <v>0.24702812017113823</v>
      </c>
      <c r="R65" s="14">
        <f si="5" t="shared"/>
        <v>0.23877682333479355</v>
      </c>
      <c r="S65" s="15">
        <f si="5" t="shared"/>
        <v>0.24535057091948956</v>
      </c>
    </row>
    <row r="66" spans="1:19" x14ac:dyDescent="0.25">
      <c r="A66" s="9">
        <v>4.1666666666666664E-2</v>
      </c>
      <c r="B66" s="15">
        <f si="4" t="shared"/>
        <v>0.14304754503902897</v>
      </c>
      <c r="C66" s="15">
        <f si="4" t="shared"/>
        <v>0.1393169662006532</v>
      </c>
      <c r="D66" s="15">
        <f si="4" t="shared"/>
        <v>0.16380493122541098</v>
      </c>
      <c r="E66" s="15">
        <f si="4" t="shared"/>
        <v>0.1661365287881994</v>
      </c>
      <c r="F66" s="15">
        <f si="4" t="shared"/>
        <v>0.16846394644485677</v>
      </c>
      <c r="G66" s="15">
        <f si="4" t="shared"/>
        <v>0.1679895972548093</v>
      </c>
      <c r="H66" s="15">
        <f si="4" t="shared"/>
        <v>0.15663381777282434</v>
      </c>
      <c r="I66" s="15">
        <f si="4" t="shared"/>
        <v>0.16412958851371126</v>
      </c>
      <c r="K66" s="9">
        <v>4.1666666666666664E-2</v>
      </c>
      <c r="L66" s="14">
        <f si="5" t="shared"/>
        <v>0.16973551340343984</v>
      </c>
      <c r="M66" s="14">
        <f si="5" t="shared"/>
        <v>0.16825861638188969</v>
      </c>
      <c r="N66" s="14">
        <f si="5" t="shared"/>
        <v>0.16784109521380233</v>
      </c>
      <c r="O66" s="14">
        <f si="5" t="shared"/>
        <v>0.16563489425399805</v>
      </c>
      <c r="P66" s="14">
        <f si="5" t="shared"/>
        <v>0.16634595722505491</v>
      </c>
      <c r="Q66" s="14">
        <f si="5" t="shared"/>
        <v>0.16838133207480824</v>
      </c>
      <c r="R66" s="14">
        <f si="5" t="shared"/>
        <v>0.16489900905176316</v>
      </c>
      <c r="S66" s="15">
        <f si="5" t="shared"/>
        <v>0.16670645002385903</v>
      </c>
    </row>
    <row r="67" spans="1:19" x14ac:dyDescent="0.25">
      <c r="A67" s="9">
        <v>6.25E-2</v>
      </c>
      <c r="B67" s="15">
        <f si="4" t="shared"/>
        <v>0.10561866958565241</v>
      </c>
      <c r="C67" s="15">
        <f si="4" t="shared"/>
        <v>0.13922091635678638</v>
      </c>
      <c r="D67" s="15">
        <f si="4" t="shared"/>
        <v>8.2163222028291835E-2</v>
      </c>
      <c r="E67" s="15">
        <f si="4" t="shared"/>
        <v>9.3629096015792779E-2</v>
      </c>
      <c r="F67" s="15">
        <f si="4" t="shared"/>
        <v>9.183431122567802E-2</v>
      </c>
      <c r="G67" s="15">
        <f si="4" t="shared"/>
        <v>9.7300654554442562E-2</v>
      </c>
      <c r="H67" s="15">
        <f si="4" t="shared"/>
        <v>0.1178480876312754</v>
      </c>
      <c r="I67" s="15">
        <f si="4" t="shared"/>
        <v>9.4882473035544715E-2</v>
      </c>
      <c r="K67" s="9">
        <v>6.25E-2</v>
      </c>
      <c r="L67" s="14">
        <f si="5" t="shared"/>
        <v>0.10594722964069048</v>
      </c>
      <c r="M67" s="14">
        <f si="5" t="shared"/>
        <v>0.10640205017451998</v>
      </c>
      <c r="N67" s="14">
        <f si="5" t="shared"/>
        <v>0.10137087046914543</v>
      </c>
      <c r="O67" s="14">
        <f si="5" t="shared"/>
        <v>0.10608326015034328</v>
      </c>
      <c r="P67" s="14">
        <f si="5" t="shared"/>
        <v>0.10550986241334295</v>
      </c>
      <c r="Q67" s="14">
        <f si="5" t="shared"/>
        <v>0.10620518121234167</v>
      </c>
      <c r="R67" s="14">
        <f si="5" t="shared"/>
        <v>0.10616215197520665</v>
      </c>
      <c r="S67" s="15">
        <f si="5" t="shared"/>
        <v>0.10490698281050875</v>
      </c>
    </row>
    <row r="68" spans="1:19" x14ac:dyDescent="0.25">
      <c r="A68" s="9">
        <v>8.3333333333333329E-2</v>
      </c>
      <c r="B68" s="15">
        <f si="4" t="shared"/>
        <v>7.8970749674286175E-2</v>
      </c>
      <c r="C68" s="15">
        <f si="4" t="shared"/>
        <v>0.12453982499439052</v>
      </c>
      <c r="D68" s="15">
        <f si="4" t="shared"/>
        <v>3.4922807425965957E-2</v>
      </c>
      <c r="E68" s="15">
        <f si="4" t="shared"/>
        <v>4.7981989041482605E-2</v>
      </c>
      <c r="F68" s="15">
        <f si="4" t="shared"/>
        <v>4.3820410160642864E-2</v>
      </c>
      <c r="G68" s="15">
        <f si="4" t="shared"/>
        <v>5.1399149209786089E-2</v>
      </c>
      <c r="H68" s="15">
        <f si="4" t="shared"/>
        <v>8.6370644069165781E-2</v>
      </c>
      <c r="I68" s="15">
        <f si="4" t="shared"/>
        <v>5.0953227980452306E-2</v>
      </c>
      <c r="K68" s="9">
        <v>8.3333333333333329E-2</v>
      </c>
      <c r="L68" s="14">
        <f si="5" t="shared"/>
        <v>6.1043570586885976E-2</v>
      </c>
      <c r="M68" s="14">
        <f si="5" t="shared"/>
        <v>6.2642673296836551E-2</v>
      </c>
      <c r="N68" s="14">
        <f si="5" t="shared"/>
        <v>5.6385740573138124E-2</v>
      </c>
      <c r="O68" s="14">
        <f si="5" t="shared"/>
        <v>6.3976795920607635E-2</v>
      </c>
      <c r="P68" s="14">
        <f si="5" t="shared"/>
        <v>6.2655019531979134E-2</v>
      </c>
      <c r="Q68" s="14">
        <f si="5" t="shared"/>
        <v>6.2372939447671451E-2</v>
      </c>
      <c r="R68" s="14">
        <f si="5" t="shared"/>
        <v>6.4381544583690761E-2</v>
      </c>
      <c r="S68" s="15">
        <f si="5" t="shared"/>
        <v>6.1689950652170901E-2</v>
      </c>
    </row>
    <row r="69" spans="1:19" x14ac:dyDescent="0.25">
      <c r="A69" s="9">
        <v>0.10416666666666667</v>
      </c>
      <c r="B69" s="15">
        <f si="4" t="shared"/>
        <v>6.0818156305163039E-2</v>
      </c>
      <c r="C69" s="15">
        <f si="4" t="shared"/>
        <v>0.10218102137152761</v>
      </c>
      <c r="D69" s="15">
        <f si="4" t="shared"/>
        <v>1.241547355605167E-2</v>
      </c>
      <c r="E69" s="15">
        <f si="4" t="shared"/>
        <v>2.2958386494541669E-2</v>
      </c>
      <c r="F69" s="15">
        <f si="4" t="shared"/>
        <v>1.8202509116191621E-2</v>
      </c>
      <c r="G69" s="15">
        <f si="4" t="shared"/>
        <v>2.5207421748683574E-2</v>
      </c>
      <c r="H69" s="15">
        <f si="4" t="shared"/>
        <v>6.1716943762957777E-2</v>
      </c>
      <c r="I69" s="15">
        <f si="4" t="shared"/>
        <v>2.6530460477614645E-2</v>
      </c>
      <c r="K69" s="9">
        <v>0.10416666666666667</v>
      </c>
      <c r="L69" s="14">
        <f si="5" t="shared"/>
        <v>3.2834726123167686E-2</v>
      </c>
      <c r="M69" s="14">
        <f si="5" t="shared"/>
        <v>3.4912210307367013E-2</v>
      </c>
      <c r="N69" s="14">
        <f si="5" t="shared"/>
        <v>2.9376935782097619E-2</v>
      </c>
      <c r="O69" s="14">
        <f si="5" t="shared"/>
        <v>3.7111474436391512E-2</v>
      </c>
      <c r="P69" s="14">
        <f si="5" t="shared"/>
        <v>3.5543794437009127E-2</v>
      </c>
      <c r="Q69" s="14">
        <f si="5" t="shared"/>
        <v>3.4640642738925892E-2</v>
      </c>
      <c r="R69" s="14">
        <f si="5" t="shared"/>
        <v>3.7592406020127742E-2</v>
      </c>
      <c r="S69" s="15">
        <f si="5" t="shared"/>
        <v>3.4582607411361863E-2</v>
      </c>
    </row>
    <row r="70" spans="1:19" x14ac:dyDescent="0.25">
      <c r="A70" s="9">
        <v>0.125</v>
      </c>
      <c r="B70" s="15">
        <f si="4" t="shared"/>
        <v>4.793105589516107E-2</v>
      </c>
      <c r="C70" s="15">
        <f si="4" t="shared"/>
        <v>7.8599742923570012E-2</v>
      </c>
      <c r="D70" s="15">
        <f si="4" t="shared"/>
        <v>3.6712180113941582E-3</v>
      </c>
      <c r="E70" s="15">
        <f si="4" t="shared"/>
        <v>1.0714368387428761E-2</v>
      </c>
      <c r="F70" s="15">
        <f si="4" t="shared"/>
        <v>6.5983470296474365E-3</v>
      </c>
      <c r="G70" s="15">
        <f si="4" t="shared"/>
        <v>1.18041582174612E-2</v>
      </c>
      <c r="H70" s="15">
        <f si="4" t="shared"/>
        <v>4.2975365079379324E-2</v>
      </c>
      <c r="I70" s="15">
        <f si="4" t="shared"/>
        <v>1.4215750614219435E-2</v>
      </c>
      <c r="K70" s="9">
        <v>0.125</v>
      </c>
      <c r="L70" s="14">
        <f si="5" t="shared"/>
        <v>1.6871575002665229E-2</v>
      </c>
      <c r="M70" s="14">
        <f si="5" t="shared"/>
        <v>1.8974162946158959E-2</v>
      </c>
      <c r="N70" s="14">
        <f si="5" t="shared"/>
        <v>1.4768925175000745E-2</v>
      </c>
      <c r="O70" s="14">
        <f si="5" t="shared"/>
        <v>2.135369191219836E-2</v>
      </c>
      <c r="P70" s="14">
        <f si="5" t="shared"/>
        <v>1.9896099847329249E-2</v>
      </c>
      <c r="Q70" s="14">
        <f si="5" t="shared"/>
        <v>1.867602339535605E-2</v>
      </c>
      <c r="R70" s="14">
        <f si="5" t="shared"/>
        <v>2.1857307875119872E-2</v>
      </c>
      <c r="S70" s="15">
        <f si="5" t="shared"/>
        <v>1.908297266426098E-2</v>
      </c>
    </row>
    <row r="71" spans="1:19" x14ac:dyDescent="0.25">
      <c r="A71" s="9">
        <v>0.14583333333333334</v>
      </c>
      <c r="B71" s="15">
        <f si="4" t="shared"/>
        <v>3.7681618480908757E-2</v>
      </c>
      <c r="C71" s="15">
        <f si="4" t="shared"/>
        <v>5.7580762398068967E-2</v>
      </c>
      <c r="D71" s="15">
        <f si="4" t="shared"/>
        <v>9.2376440242141443E-4</v>
      </c>
      <c r="E71" s="15">
        <f si="4" t="shared"/>
        <v>5.12108110162518E-3</v>
      </c>
      <c r="F71" s="15">
        <f si="4" t="shared"/>
        <v>2.1405764680491766E-3</v>
      </c>
      <c r="G71" s="15">
        <f si="4" t="shared"/>
        <v>5.4481455026340929E-3</v>
      </c>
      <c r="H71" s="15">
        <f si="4" t="shared"/>
        <v>2.9167869652020558E-2</v>
      </c>
      <c r="I71" s="15">
        <f si="4" t="shared"/>
        <v>8.1937576905943485E-3</v>
      </c>
      <c r="K71" s="9">
        <v>0.14583333333333334</v>
      </c>
      <c r="L71" s="14">
        <f si="5" t="shared"/>
        <v>8.5734066684698528E-3</v>
      </c>
      <c r="M71" s="14">
        <f si="5" t="shared"/>
        <v>1.0449168473979795E-2</v>
      </c>
      <c r="N71" s="14">
        <f si="5" t="shared"/>
        <v>7.456308822874215E-3</v>
      </c>
      <c r="O71" s="14">
        <f si="5" t="shared"/>
        <v>1.2579520408429641E-2</v>
      </c>
      <c r="P71" s="14">
        <f si="5" t="shared"/>
        <v>1.1410100427804177E-2</v>
      </c>
      <c r="Q71" s="14">
        <f si="5" t="shared"/>
        <v>1.0103236236078492E-2</v>
      </c>
      <c r="R71" s="14">
        <f si="5" t="shared"/>
        <v>1.3133414075224028E-2</v>
      </c>
      <c r="S71" s="15">
        <f si="5" t="shared"/>
        <v>1.0763664001016899E-2</v>
      </c>
    </row>
    <row r="72" spans="1:19" x14ac:dyDescent="0.25">
      <c r="A72" s="9">
        <v>0.16666666666666666</v>
      </c>
      <c r="B72" s="15">
        <f si="4" t="shared"/>
        <v>2.8734770978330632E-2</v>
      </c>
      <c r="C72" s="15">
        <f si="4" t="shared"/>
        <v>4.0627238980397558E-2</v>
      </c>
      <c r="D72" s="15">
        <f si="4" t="shared"/>
        <v>2.1970392207135007E-4</v>
      </c>
      <c r="E72" s="15">
        <f si="4" t="shared"/>
        <v>2.5809633884862366E-3</v>
      </c>
      <c r="F72" s="15">
        <f si="4" t="shared"/>
        <v>6.777575064850777E-4</v>
      </c>
      <c r="G72" s="15">
        <f si="4" t="shared"/>
        <v>2.5427664177714942E-3</v>
      </c>
      <c r="H72" s="15">
        <f si="4" t="shared"/>
        <v>1.9300642342495313E-2</v>
      </c>
      <c r="I72" s="15">
        <f si="4" t="shared"/>
        <v>5.0616458906490294E-3</v>
      </c>
      <c r="K72" s="9">
        <v>0.16666666666666666</v>
      </c>
      <c r="L72" s="14">
        <f si="5" t="shared"/>
        <v>4.480285658856371E-3</v>
      </c>
      <c r="M72" s="14">
        <f si="5" t="shared"/>
        <v>6.0193515580208579E-3</v>
      </c>
      <c r="N72" s="14">
        <f si="5" t="shared"/>
        <v>3.9292272331887248E-3</v>
      </c>
      <c r="O72" s="14">
        <f si="5" t="shared"/>
        <v>7.7259098639448145E-3</v>
      </c>
      <c r="P72" s="14">
        <f si="5" t="shared"/>
        <v>6.8854136178268096E-3</v>
      </c>
      <c r="Q72" s="14">
        <f si="5" t="shared"/>
        <v>5.6455995427211495E-3</v>
      </c>
      <c r="R72" s="14">
        <f si="5" t="shared"/>
        <v>8.3527063397694466E-3</v>
      </c>
      <c r="S72" s="15">
        <f si="5" t="shared"/>
        <v>6.382504956172823E-3</v>
      </c>
    </row>
    <row r="73" spans="1:19" x14ac:dyDescent="0.25">
      <c r="A73" s="9">
        <v>0.1875</v>
      </c>
      <c r="B73" s="15">
        <f si="4" t="shared"/>
        <v>2.0872592697617466E-2</v>
      </c>
      <c r="C73" s="15">
        <f si="4" t="shared"/>
        <v>2.8079880644335146E-2</v>
      </c>
      <c r="D73" s="15">
        <f si="4" t="shared"/>
        <v>6.0456457867074101E-5</v>
      </c>
      <c r="E73" s="15">
        <f si="4" t="shared"/>
        <v>1.3761126574024789E-3</v>
      </c>
      <c r="F73" s="15">
        <f si="4" t="shared"/>
        <v>2.513731380650172E-4</v>
      </c>
      <c r="G73" s="15">
        <f si="4" t="shared"/>
        <v>1.2285746005258633E-3</v>
      </c>
      <c r="H73" s="15">
        <f si="4" t="shared"/>
        <v>1.241604356939217E-2</v>
      </c>
      <c r="I73" s="15">
        <f si="4" t="shared"/>
        <v>3.2302190385270048E-3</v>
      </c>
      <c r="K73" s="9">
        <v>0.1875</v>
      </c>
      <c r="L73" s="14">
        <f si="5" t="shared"/>
        <v>2.482058475182747E-3</v>
      </c>
      <c r="M73" s="14">
        <f si="5" t="shared"/>
        <v>3.6616677205289342E-3</v>
      </c>
      <c r="N73" s="14">
        <f si="5" t="shared"/>
        <v>2.2127228496410514E-3</v>
      </c>
      <c r="O73" s="14">
        <f si="5" t="shared"/>
        <v>4.9355181014130636E-3</v>
      </c>
      <c r="P73" s="14">
        <f si="5" t="shared"/>
        <v>4.3896758069669082E-3</v>
      </c>
      <c r="Q73" s="14">
        <f si="5" t="shared"/>
        <v>3.3034979587585399E-3</v>
      </c>
      <c r="R73" s="14">
        <f si="5" t="shared"/>
        <v>5.6242403601683214E-3</v>
      </c>
      <c r="S73" s="15">
        <f si="5" t="shared"/>
        <v>4.0035058665979402E-3</v>
      </c>
    </row>
    <row r="74" spans="1:19" x14ac:dyDescent="0.25">
      <c r="A74" s="9">
        <v>0.20833333333333334</v>
      </c>
      <c r="B74" s="15">
        <f ref="B74:I83" si="6" t="shared">B20/B$58</f>
        <v>1.436564163196858E-2</v>
      </c>
      <c r="C74" s="15">
        <f si="6" t="shared"/>
        <v>1.9662911229345163E-2</v>
      </c>
      <c r="D74" s="15">
        <f si="6" t="shared"/>
        <v>2.0323397166883723E-5</v>
      </c>
      <c r="E74" s="15">
        <f si="6" t="shared"/>
        <v>7.8246053819234259E-4</v>
      </c>
      <c r="F74" s="15">
        <f si="6" t="shared"/>
        <v>1.235272462967392E-4</v>
      </c>
      <c r="G74" s="15">
        <f si="6" t="shared"/>
        <v>6.4308002890181017E-4</v>
      </c>
      <c r="H74" s="15">
        <f si="6" t="shared"/>
        <v>7.7056701096323774E-3</v>
      </c>
      <c r="I74" s="15">
        <f si="6" t="shared"/>
        <v>2.0635454585188058E-3</v>
      </c>
      <c r="K74" s="9">
        <v>0.20833333333333334</v>
      </c>
      <c r="L74" s="14">
        <f ref="L74:S83" si="7" t="shared">L20/L$58</f>
        <v>1.4764547457242127E-3</v>
      </c>
      <c r="M74" s="14">
        <f si="7" t="shared"/>
        <v>2.3263951334047367E-3</v>
      </c>
      <c r="N74" s="14">
        <f si="7" t="shared"/>
        <v>1.3391960365137063E-3</v>
      </c>
      <c r="O74" s="14">
        <f si="7" t="shared"/>
        <v>3.2343325458751887E-3</v>
      </c>
      <c r="P74" s="14">
        <f si="7" t="shared"/>
        <v>2.920638096626797E-3</v>
      </c>
      <c r="Q74" s="14">
        <f si="7" t="shared"/>
        <v>2.020846904133435E-3</v>
      </c>
      <c r="R74" s="14">
        <f si="7" t="shared"/>
        <v>3.948027586614786E-3</v>
      </c>
      <c r="S74" s="15">
        <f si="7" t="shared"/>
        <v>2.6279258706490929E-3</v>
      </c>
    </row>
    <row r="75" spans="1:19" x14ac:dyDescent="0.25">
      <c r="A75" s="9">
        <v>0.22916666666666666</v>
      </c>
      <c r="B75" s="15">
        <f si="6" t="shared"/>
        <v>9.4089835701343227E-3</v>
      </c>
      <c r="C75" s="15">
        <f si="6" t="shared"/>
        <v>1.453009673802064E-2</v>
      </c>
      <c r="D75" s="15">
        <f si="6" t="shared"/>
        <v>6.8777820939517184E-6</v>
      </c>
      <c r="E75" s="15">
        <f si="6" t="shared"/>
        <v>4.9131673444489151E-4</v>
      </c>
      <c r="F75" s="15">
        <f si="6" t="shared"/>
        <v>7.056676484214253E-5</v>
      </c>
      <c r="G75" s="15">
        <f si="6" t="shared"/>
        <v>3.8959404415845895E-4</v>
      </c>
      <c r="H75" s="15">
        <f si="6" t="shared"/>
        <v>4.5696887426762501E-3</v>
      </c>
      <c r="I75" s="15">
        <f si="6" t="shared"/>
        <v>1.305372899324459E-3</v>
      </c>
      <c r="K75" s="9">
        <v>0.22916666666666666</v>
      </c>
      <c r="L75" s="14">
        <f si="7" t="shared"/>
        <v>9.4008309042589082E-4</v>
      </c>
      <c r="M75" s="14">
        <f si="7" t="shared"/>
        <v>1.5201305286739529E-3</v>
      </c>
      <c r="N75" s="14">
        <f si="7" t="shared"/>
        <v>8.675829412105639E-4</v>
      </c>
      <c r="O75" s="14">
        <f si="7" t="shared"/>
        <v>2.1496114739688659E-3</v>
      </c>
      <c r="P75" s="14">
        <f si="7" t="shared"/>
        <v>2.002317560196077E-3</v>
      </c>
      <c r="Q75" s="14">
        <f si="7" t="shared"/>
        <v>1.2828665297555247E-3</v>
      </c>
      <c r="R75" s="14">
        <f si="7" t="shared"/>
        <v>2.842889477452662E-3</v>
      </c>
      <c r="S75" s="15">
        <f si="7" t="shared"/>
        <v>1.7813934695869091E-3</v>
      </c>
    </row>
    <row r="76" spans="1:19" x14ac:dyDescent="0.25">
      <c r="A76" s="9">
        <v>0.25</v>
      </c>
      <c r="B76" s="15">
        <f si="6" t="shared"/>
        <v>5.916487606758042E-3</v>
      </c>
      <c r="C76" s="15">
        <f si="6" t="shared"/>
        <v>1.1417193668437357E-2</v>
      </c>
      <c r="D76" s="15">
        <f si="6" t="shared"/>
        <v>1.9800394053753231E-6</v>
      </c>
      <c r="E76" s="15">
        <f si="6" t="shared"/>
        <v>3.4694778152254238E-4</v>
      </c>
      <c r="F76" s="15">
        <f si="6" t="shared"/>
        <v>3.9051888348469556E-5</v>
      </c>
      <c r="G76" s="15">
        <f si="6" t="shared"/>
        <v>2.7478450422775772E-4</v>
      </c>
      <c r="H76" s="15">
        <f si="6" t="shared"/>
        <v>2.5783360597768476E-3</v>
      </c>
      <c r="I76" s="15">
        <f si="6" t="shared"/>
        <v>8.2048236774411574E-4</v>
      </c>
      <c r="K76" s="9">
        <v>0.25</v>
      </c>
      <c r="L76" s="14">
        <f si="7" t="shared"/>
        <v>6.3260585338627013E-4</v>
      </c>
      <c r="M76" s="14">
        <f si="7" t="shared"/>
        <v>1.0136805450151585E-3</v>
      </c>
      <c r="N76" s="14">
        <f si="7" t="shared"/>
        <v>5.9769335319525077E-4</v>
      </c>
      <c r="O76" s="14">
        <f si="7" t="shared"/>
        <v>1.4462401666557321E-3</v>
      </c>
      <c r="P76" s="14">
        <f si="7" t="shared"/>
        <v>1.4078527224069218E-3</v>
      </c>
      <c r="Q76" s="14">
        <f si="7" t="shared"/>
        <v>8.4009546171150628E-4</v>
      </c>
      <c r="R76" s="14">
        <f si="7" t="shared"/>
        <v>2.0794111777334176E-3</v>
      </c>
      <c r="S76" s="15">
        <f si="7" t="shared"/>
        <v>1.2382780381138632E-3</v>
      </c>
    </row>
    <row r="77" spans="1:19" x14ac:dyDescent="0.25">
      <c r="A77" s="9">
        <v>0.27083333333333331</v>
      </c>
      <c r="B77" s="15">
        <f si="6" t="shared"/>
        <v>3.6120704392893113E-3</v>
      </c>
      <c r="C77" s="15">
        <f si="6" t="shared"/>
        <v>9.1104068539164459E-3</v>
      </c>
      <c r="D77" s="15">
        <f si="6" t="shared"/>
        <v>4.436442239299068E-7</v>
      </c>
      <c r="E77" s="15">
        <f si="6" t="shared"/>
        <v>2.6045155423687648E-4</v>
      </c>
      <c r="F77" s="15">
        <f si="6" t="shared"/>
        <v>1.9343272460241713E-5</v>
      </c>
      <c r="G77" s="15">
        <f si="6" t="shared"/>
        <v>2.0489735343029995E-4</v>
      </c>
      <c r="H77" s="15">
        <f si="6" t="shared"/>
        <v>1.4010074878535808E-3</v>
      </c>
      <c r="I77" s="15">
        <f si="6" t="shared"/>
        <v>5.151173788639304E-4</v>
      </c>
      <c r="K77" s="9">
        <v>0.27083333333333331</v>
      </c>
      <c r="L77" s="14">
        <f si="7" t="shared"/>
        <v>4.4230318915771354E-4</v>
      </c>
      <c r="M77" s="14">
        <f si="7" t="shared"/>
        <v>6.9093157482291799E-4</v>
      </c>
      <c r="N77" s="14">
        <f si="7" t="shared"/>
        <v>4.3456990390609276E-4</v>
      </c>
      <c r="O77" s="14">
        <f si="7" t="shared"/>
        <v>9.9090006362896306E-4</v>
      </c>
      <c r="P77" s="14">
        <f si="7" t="shared"/>
        <v>1.0167190125596913E-3</v>
      </c>
      <c r="Q77" s="14">
        <f si="7" t="shared"/>
        <v>5.648903882937953E-4</v>
      </c>
      <c r="R77" s="14">
        <f si="7" t="shared"/>
        <v>1.5375911280153037E-3</v>
      </c>
      <c r="S77" s="15">
        <f si="7" t="shared"/>
        <v>8.8130017924730277E-4</v>
      </c>
    </row>
    <row r="78" spans="1:19" x14ac:dyDescent="0.25">
      <c r="A78" s="9">
        <v>0.29166666666666669</v>
      </c>
      <c r="B78" s="15">
        <f si="6" t="shared"/>
        <v>2.1830524419764047E-3</v>
      </c>
      <c r="C78" s="15">
        <f si="6" t="shared"/>
        <v>6.9162633404930779E-3</v>
      </c>
      <c r="D78" s="15">
        <f si="6" t="shared"/>
        <v>7.1515090398279972E-8</v>
      </c>
      <c r="E78" s="15">
        <f si="6" t="shared"/>
        <v>1.8930188635089631E-4</v>
      </c>
      <c r="F78" s="15">
        <f si="6" t="shared"/>
        <v>8.8071722785728795E-6</v>
      </c>
      <c r="G78" s="15">
        <f si="6" t="shared"/>
        <v>1.4434692261542693E-4</v>
      </c>
      <c r="H78" s="15">
        <f si="6" t="shared"/>
        <v>7.6763527221963617E-4</v>
      </c>
      <c r="I78" s="15">
        <f si="6" t="shared"/>
        <v>3.2360280591905077E-4</v>
      </c>
      <c r="K78" s="9">
        <v>0.29166666666666669</v>
      </c>
      <c r="L78" s="14">
        <f si="7" t="shared"/>
        <v>3.1601589393290497E-4</v>
      </c>
      <c r="M78" s="14">
        <f si="7" t="shared"/>
        <v>4.8434537373291659E-4</v>
      </c>
      <c r="N78" s="14">
        <f si="7" t="shared"/>
        <v>3.306811704395314E-4</v>
      </c>
      <c r="O78" s="14">
        <f si="7" t="shared"/>
        <v>6.9703168930246783E-4</v>
      </c>
      <c r="P78" s="14">
        <f si="7" t="shared"/>
        <v>7.5518753669600864E-4</v>
      </c>
      <c r="Q78" s="14">
        <f si="7" t="shared"/>
        <v>3.8775132634862063E-4</v>
      </c>
      <c r="R78" s="14">
        <f si="7" t="shared"/>
        <v>1.1460996312597908E-3</v>
      </c>
      <c r="S78" s="15">
        <f si="7" t="shared"/>
        <v>6.4213739414739461E-4</v>
      </c>
    </row>
    <row r="79" spans="1:19" x14ac:dyDescent="0.25">
      <c r="A79" s="9">
        <v>0.3125</v>
      </c>
      <c r="B79" s="15">
        <f si="6" t="shared"/>
        <v>1.3534111504993915E-3</v>
      </c>
      <c r="C79" s="15">
        <f si="6" t="shared"/>
        <v>4.7633456338756659E-3</v>
      </c>
      <c r="D79" s="15">
        <f si="6" t="shared"/>
        <v>7.3298413234065197E-9</v>
      </c>
      <c r="E79" s="15">
        <f si="6" t="shared"/>
        <v>1.2558975907011951E-4</v>
      </c>
      <c r="F79" s="15">
        <f si="6" t="shared"/>
        <v>4.3511081844522688E-6</v>
      </c>
      <c r="G79" s="15">
        <f si="6" t="shared"/>
        <v>8.9634382423734948E-5</v>
      </c>
      <c r="H79" s="15">
        <f si="6" t="shared"/>
        <v>4.6500876419900485E-4</v>
      </c>
      <c r="I79" s="15">
        <f si="6" t="shared"/>
        <v>2.048384670561869E-4</v>
      </c>
      <c r="K79" s="9">
        <v>0.3125</v>
      </c>
      <c r="L79" s="14">
        <f si="7" t="shared"/>
        <v>2.2823621213459612E-4</v>
      </c>
      <c r="M79" s="14">
        <f si="7" t="shared"/>
        <v>3.5033821158244428E-4</v>
      </c>
      <c r="N79" s="14">
        <f si="7" t="shared"/>
        <v>2.6171921799616923E-4</v>
      </c>
      <c r="O79" s="14">
        <f si="7" t="shared"/>
        <v>5.0663408529462071E-4</v>
      </c>
      <c r="P79" s="14">
        <f si="7" t="shared"/>
        <v>5.7535833247895039E-4</v>
      </c>
      <c r="Q79" s="14">
        <f si="7" t="shared"/>
        <v>2.701299766556733E-4</v>
      </c>
      <c r="R79" s="14">
        <f si="7" t="shared"/>
        <v>8.5999850627505503E-4</v>
      </c>
      <c r="S79" s="15">
        <f si="7" t="shared"/>
        <v>4.7888259131485128E-4</v>
      </c>
    </row>
    <row r="80" spans="1:19" x14ac:dyDescent="0.25">
      <c r="A80" s="9">
        <v>0.33333333333333331</v>
      </c>
      <c r="B80" s="15">
        <f si="6" t="shared"/>
        <v>8.9363973007540443E-4</v>
      </c>
      <c r="C80" s="15">
        <f si="6" t="shared"/>
        <v>2.9194922067911299E-3</v>
      </c>
      <c r="D80" s="15">
        <f si="6" t="shared"/>
        <v>3.5753207652309717E-10</v>
      </c>
      <c r="E80" s="15">
        <f si="6" t="shared"/>
        <v>7.7632950982701866E-5</v>
      </c>
      <c r="F80" s="15">
        <f si="6" t="shared"/>
        <v>2.8196785554277208E-6</v>
      </c>
      <c r="G80" s="15">
        <f si="6" t="shared"/>
        <v>4.7414375385233149E-5</v>
      </c>
      <c r="H80" s="15">
        <f si="6" t="shared"/>
        <v>3.3894245906432671E-4</v>
      </c>
      <c r="I80" s="15">
        <f si="6" t="shared"/>
        <v>1.3396174946853857E-4</v>
      </c>
      <c r="K80" s="9">
        <v>0.33333333333333331</v>
      </c>
      <c r="L80" s="14">
        <f si="7" t="shared"/>
        <v>1.6649204593738773E-4</v>
      </c>
      <c r="M80" s="14">
        <f si="7" t="shared"/>
        <v>2.601541372888557E-4</v>
      </c>
      <c r="N80" s="14">
        <f si="7" t="shared"/>
        <v>2.1541011782450753E-4</v>
      </c>
      <c r="O80" s="14">
        <f si="7" t="shared"/>
        <v>3.8281355619870945E-4</v>
      </c>
      <c r="P80" s="14">
        <f si="7" t="shared"/>
        <v>4.4723644313356603E-4</v>
      </c>
      <c r="Q80" s="14">
        <f si="7" t="shared"/>
        <v>1.9108303296251381E-4</v>
      </c>
      <c r="R80" s="14">
        <f si="7" t="shared"/>
        <v>6.5098603822131141E-4</v>
      </c>
      <c r="S80" s="15">
        <f si="7" t="shared"/>
        <v>3.662096216580538E-4</v>
      </c>
    </row>
    <row r="81" spans="1:19" x14ac:dyDescent="0.25">
      <c r="A81" s="9">
        <v>0.35416666666666669</v>
      </c>
      <c r="B81" s="15">
        <f si="6" t="shared"/>
        <v>6.2704181872811444E-4</v>
      </c>
      <c r="C81" s="15">
        <f si="6" t="shared"/>
        <v>1.6195973948440344E-3</v>
      </c>
      <c r="D81" s="15">
        <f si="6" t="shared"/>
        <v>0</v>
      </c>
      <c r="E81" s="15">
        <f si="6" t="shared"/>
        <v>5.2222652304006975E-5</v>
      </c>
      <c r="F81" s="15">
        <f si="6" t="shared"/>
        <v>2.1548372487560062E-6</v>
      </c>
      <c r="G81" s="15">
        <f si="6" t="shared"/>
        <v>2.1001710621187787E-5</v>
      </c>
      <c r="H81" s="15">
        <f si="6" t="shared"/>
        <v>2.8729867030996391E-4</v>
      </c>
      <c r="I81" s="15">
        <f si="6" t="shared"/>
        <v>9.3649449075362573E-5</v>
      </c>
      <c r="K81" s="9">
        <v>0.35416666666666669</v>
      </c>
      <c r="L81" s="14">
        <f si="7" t="shared"/>
        <v>1.2384754335181399E-4</v>
      </c>
      <c r="M81" s="14">
        <f si="7" t="shared"/>
        <v>1.9604851173739228E-4</v>
      </c>
      <c r="N81" s="14">
        <f si="7" t="shared"/>
        <v>1.8509436315291327E-4</v>
      </c>
      <c r="O81" s="14">
        <f si="7" t="shared"/>
        <v>3.0305255528672263E-4</v>
      </c>
      <c r="P81" s="14">
        <f si="7" t="shared"/>
        <v>3.5332201993353154E-4</v>
      </c>
      <c r="Q81" s="14">
        <f si="7" t="shared"/>
        <v>1.3901018391870466E-4</v>
      </c>
      <c r="R81" s="14">
        <f si="7" t="shared"/>
        <v>5.003104626187582E-4</v>
      </c>
      <c r="S81" s="15">
        <f si="7" t="shared"/>
        <v>2.8876421700981046E-4</v>
      </c>
    </row>
    <row r="82" spans="1:19" x14ac:dyDescent="0.25">
      <c r="A82" s="9">
        <v>0.375</v>
      </c>
      <c r="B82" s="15">
        <f si="6" t="shared"/>
        <v>4.4309206939985161E-4</v>
      </c>
      <c r="C82" s="15">
        <f si="6" t="shared"/>
        <v>8.8070656128065366E-4</v>
      </c>
      <c r="D82" s="15">
        <f si="6" t="shared"/>
        <v>0</v>
      </c>
      <c r="E82" s="15">
        <f si="6" t="shared"/>
        <v>4.6538732365947462E-5</v>
      </c>
      <c r="F82" s="15">
        <f si="6" t="shared"/>
        <v>1.5534694619633889E-6</v>
      </c>
      <c r="G82" s="15">
        <f si="6" t="shared"/>
        <v>7.7079433442937943E-6</v>
      </c>
      <c r="H82" s="15">
        <f si="6" t="shared"/>
        <v>2.4971214683952461E-4</v>
      </c>
      <c r="I82" s="15">
        <f si="6" t="shared"/>
        <v>7.0290423609506745E-5</v>
      </c>
      <c r="K82" s="9">
        <v>0.375</v>
      </c>
      <c r="L82" s="14">
        <f si="7" t="shared"/>
        <v>9.5355767087131605E-5</v>
      </c>
      <c r="M82" s="14">
        <f si="7" t="shared"/>
        <v>1.4863952025457447E-4</v>
      </c>
      <c r="N82" s="14">
        <f si="7" t="shared"/>
        <v>1.6589208410111605E-4</v>
      </c>
      <c r="O82" s="14">
        <f si="7" t="shared"/>
        <v>2.5274884644671146E-4</v>
      </c>
      <c r="P82" s="14">
        <f si="7" t="shared"/>
        <v>2.83730533002654E-4</v>
      </c>
      <c r="Q82" s="14">
        <f si="7" t="shared"/>
        <v>1.063960413100453E-4</v>
      </c>
      <c r="R82" s="14">
        <f si="7" t="shared"/>
        <v>3.9359869828347401E-4</v>
      </c>
      <c r="S82" s="15">
        <f si="7" t="shared"/>
        <v>2.3622316231659141E-4</v>
      </c>
    </row>
    <row r="83" spans="1:19" x14ac:dyDescent="0.25">
      <c r="A83" s="9">
        <v>0.39583333333333331</v>
      </c>
      <c r="B83" s="15">
        <f si="6" t="shared"/>
        <v>2.9544509952060419E-4</v>
      </c>
      <c r="C83" s="15">
        <f si="6" t="shared"/>
        <v>5.4535382506249179E-4</v>
      </c>
      <c r="D83" s="15">
        <f si="6" t="shared"/>
        <v>0</v>
      </c>
      <c r="E83" s="15">
        <f si="6" t="shared"/>
        <v>5.0252686050987998E-5</v>
      </c>
      <c r="F83" s="15">
        <f si="6" t="shared"/>
        <v>9.4948612252956174E-7</v>
      </c>
      <c r="G83" s="15">
        <f si="6" t="shared"/>
        <v>2.3230828865193187E-6</v>
      </c>
      <c r="H83" s="15">
        <f si="6" t="shared"/>
        <v>2.0038387770871118E-4</v>
      </c>
      <c r="I83" s="15">
        <f si="6" t="shared"/>
        <v>5.4251107246822689E-5</v>
      </c>
      <c r="K83" s="9">
        <v>0.39583333333333331</v>
      </c>
      <c r="L83" s="14">
        <f si="7" t="shared"/>
        <v>7.6978581355782871E-5</v>
      </c>
      <c r="M83" s="14">
        <f si="7" t="shared"/>
        <v>1.138886809196366E-4</v>
      </c>
      <c r="N83" s="14">
        <f si="7" t="shared"/>
        <v>1.5339535346811111E-4</v>
      </c>
      <c r="O83" s="14">
        <f si="7" t="shared"/>
        <v>2.2125922580421017E-4</v>
      </c>
      <c r="P83" s="14">
        <f si="7" t="shared"/>
        <v>2.3266030309346676E-4</v>
      </c>
      <c r="Q83" s="14">
        <f si="7" t="shared"/>
        <v>8.7339354811410001E-5</v>
      </c>
      <c r="R83" s="14">
        <f si="7" t="shared"/>
        <v>3.1872451647303116E-4</v>
      </c>
      <c r="S83" s="15">
        <f si="7" t="shared"/>
        <v>2.0073844676967836E-4</v>
      </c>
    </row>
    <row r="84" spans="1:19" x14ac:dyDescent="0.25">
      <c r="A84" s="9">
        <v>0.41666666666666669</v>
      </c>
      <c r="B84" s="15">
        <f ref="B84:I93" si="8" t="shared">B30/B$58</f>
        <v>1.7788399685038069E-4</v>
      </c>
      <c r="C84" s="15">
        <f si="8" t="shared"/>
        <v>4.1744906705315553E-4</v>
      </c>
      <c r="D84" s="15">
        <f si="8" t="shared"/>
        <v>0</v>
      </c>
      <c r="E84" s="15">
        <f si="8" t="shared"/>
        <v>5.2364980483659963E-5</v>
      </c>
      <c r="F84" s="15">
        <f si="8" t="shared"/>
        <v>4.7435894975926029E-7</v>
      </c>
      <c r="G84" s="15">
        <f si="8" t="shared"/>
        <v>5.682108028869962E-7</v>
      </c>
      <c r="H84" s="15">
        <f si="8" t="shared"/>
        <v>1.4008654123309826E-4</v>
      </c>
      <c r="I84" s="15">
        <f si="8" t="shared"/>
        <v>4.058393304264302E-5</v>
      </c>
      <c r="K84" s="9">
        <v>0.41666666666666669</v>
      </c>
      <c r="L84" s="14">
        <f ref="L84:S93" si="9" t="shared">L30/L$58</f>
        <v>6.565029862485844E-5</v>
      </c>
      <c r="M84" s="14">
        <f si="9" t="shared"/>
        <v>9.0018850901023E-5</v>
      </c>
      <c r="N84" s="14">
        <f si="9" t="shared"/>
        <v>1.4438363778037744E-4</v>
      </c>
      <c r="O84" s="14">
        <f si="9" t="shared"/>
        <v>2.0104081632603269E-4</v>
      </c>
      <c r="P84" s="14">
        <f si="9" t="shared"/>
        <v>1.9651003156145085E-4</v>
      </c>
      <c r="Q84" s="14">
        <f si="9" t="shared"/>
        <v>7.7162442821363715E-5</v>
      </c>
      <c r="R84" s="14">
        <f si="9" t="shared"/>
        <v>2.6611629156766975E-4</v>
      </c>
      <c r="S84" s="15">
        <f si="9" t="shared"/>
        <v>1.7659223734754461E-4</v>
      </c>
    </row>
    <row r="85" spans="1:19" x14ac:dyDescent="0.25">
      <c r="A85" s="9">
        <v>0.4375</v>
      </c>
      <c r="B85" s="15">
        <f si="8" t="shared"/>
        <v>9.5243124719277436E-5</v>
      </c>
      <c r="C85" s="15">
        <f si="8" t="shared"/>
        <v>3.570953202111583E-4</v>
      </c>
      <c r="D85" s="15">
        <f si="8" t="shared"/>
        <v>0</v>
      </c>
      <c r="E85" s="15">
        <f si="8" t="shared"/>
        <v>4.7051569265958232E-5</v>
      </c>
      <c r="F85" s="15">
        <f si="8" t="shared"/>
        <v>1.8973531048391502E-7</v>
      </c>
      <c r="G85" s="15">
        <f si="8" t="shared"/>
        <v>1.1028964837175089E-7</v>
      </c>
      <c r="H85" s="15">
        <f si="8" t="shared"/>
        <v>8.2658993978967379E-5</v>
      </c>
      <c r="I85" s="15">
        <f si="8" t="shared"/>
        <v>2.8164963609020126E-5</v>
      </c>
      <c r="K85" s="9">
        <v>0.4375</v>
      </c>
      <c r="L85" s="14">
        <f si="9" t="shared"/>
        <v>5.943551300292252E-5</v>
      </c>
      <c r="M85" s="14">
        <f si="9" t="shared"/>
        <v>7.549011977243444E-5</v>
      </c>
      <c r="N85" s="14">
        <f si="9" t="shared"/>
        <v>1.3793880614798056E-4</v>
      </c>
      <c r="O85" s="14">
        <f si="9" t="shared"/>
        <v>1.8814268772489261E-4</v>
      </c>
      <c r="P85" s="14">
        <f si="9" t="shared"/>
        <v>1.729236803777317E-4</v>
      </c>
      <c r="Q85" s="14">
        <f si="9" t="shared"/>
        <v>7.2725261668109848E-5</v>
      </c>
      <c r="R85" s="14">
        <f si="9" t="shared"/>
        <v>2.2949200686582258E-4</v>
      </c>
      <c r="S85" s="15">
        <f si="9" t="shared"/>
        <v>1.6059871998669027E-4</v>
      </c>
    </row>
    <row r="86" spans="1:19" x14ac:dyDescent="0.25">
      <c r="A86" s="9">
        <v>0.45833333333333331</v>
      </c>
      <c r="B86" s="15">
        <f si="8" t="shared"/>
        <v>4.6677284212847979E-5</v>
      </c>
      <c r="C86" s="15">
        <f si="8" t="shared"/>
        <v>2.987680197384853E-4</v>
      </c>
      <c r="D86" s="15">
        <f si="8" t="shared"/>
        <v>0</v>
      </c>
      <c r="E86" s="15">
        <f si="8" t="shared"/>
        <v>3.5213021746386589E-5</v>
      </c>
      <c r="F86" s="15">
        <f si="8" t="shared"/>
        <v>5.9292284526223444E-8</v>
      </c>
      <c r="G86" s="15">
        <f si="8" t="shared"/>
        <v>1.6171990647706769E-8</v>
      </c>
      <c r="H86" s="15">
        <f si="8" t="shared"/>
        <v>4.0262192853234354E-5</v>
      </c>
      <c r="I86" s="15">
        <f si="8" t="shared"/>
        <v>1.7723994945921013E-5</v>
      </c>
      <c r="K86" s="9">
        <v>0.45833333333333331</v>
      </c>
      <c r="L86" s="14">
        <f si="9" t="shared"/>
        <v>5.7292669883827262E-5</v>
      </c>
      <c r="M86" s="14">
        <f si="9" t="shared"/>
        <v>6.8380935940585782E-5</v>
      </c>
      <c r="N86" s="14">
        <f si="9" t="shared"/>
        <v>1.3526748067416866E-4</v>
      </c>
      <c r="O86" s="14">
        <f si="9" t="shared"/>
        <v>1.8176137904871623E-4</v>
      </c>
      <c r="P86" s="14">
        <f si="9" t="shared"/>
        <v>1.5994302835434235E-4</v>
      </c>
      <c r="Q86" s="14">
        <f si="9" t="shared"/>
        <v>7.2277974484440894E-5</v>
      </c>
      <c r="R86" s="14">
        <f si="9" t="shared"/>
        <v>2.054177181522643E-4</v>
      </c>
      <c r="S86" s="15">
        <f si="9" t="shared"/>
        <v>1.5171105375382822E-4</v>
      </c>
    </row>
    <row r="87" spans="1:19" x14ac:dyDescent="0.25">
      <c r="A87" s="9">
        <v>0.47916666666666669</v>
      </c>
      <c r="B87" s="15">
        <f si="8" t="shared"/>
        <v>2.3707438395410707E-5</v>
      </c>
      <c r="C87" s="15">
        <f si="8" t="shared"/>
        <v>2.2766694080370603E-4</v>
      </c>
      <c r="D87" s="15">
        <f si="8" t="shared"/>
        <v>0</v>
      </c>
      <c r="E87" s="15">
        <f si="8" t="shared"/>
        <v>2.1662917547271225E-5</v>
      </c>
      <c r="F87" s="15">
        <f si="8" t="shared"/>
        <v>1.3951125770876103E-8</v>
      </c>
      <c r="G87" s="15">
        <f si="8" t="shared"/>
        <v>1.6026328164089058E-9</v>
      </c>
      <c r="H87" s="15">
        <f si="8" t="shared"/>
        <v>1.5840306495836768E-5</v>
      </c>
      <c r="I87" s="15">
        <f si="8" t="shared"/>
        <v>1.0066111677983858E-5</v>
      </c>
      <c r="K87" s="9">
        <v>0.47916666666666669</v>
      </c>
      <c r="L87" s="14">
        <f si="9" t="shared"/>
        <v>5.8473869714292088E-5</v>
      </c>
      <c r="M87" s="14">
        <f si="9" t="shared"/>
        <v>6.6448926869783952E-5</v>
      </c>
      <c r="N87" s="14">
        <f si="9" t="shared"/>
        <v>1.379134954000859E-4</v>
      </c>
      <c r="O87" s="14">
        <f si="9" t="shared"/>
        <v>1.8210094605536364E-4</v>
      </c>
      <c r="P87" s="14">
        <f si="9" t="shared"/>
        <v>1.5509918036137236E-4</v>
      </c>
      <c r="Q87" s="14">
        <f si="9" t="shared"/>
        <v>7.4609716051732194E-5</v>
      </c>
      <c r="R87" s="14">
        <f si="9" t="shared"/>
        <v>1.9161442383155728E-4</v>
      </c>
      <c r="S87" s="15">
        <f si="9" t="shared"/>
        <v>1.4946556512200236E-4</v>
      </c>
    </row>
    <row r="88" spans="1:19" x14ac:dyDescent="0.25">
      <c r="A88" s="9">
        <v>0.5</v>
      </c>
      <c r="B88" s="15">
        <f si="8" t="shared"/>
        <v>1.5269169643426567E-5</v>
      </c>
      <c r="C88" s="15">
        <f si="8" t="shared"/>
        <v>1.5254371011599589E-4</v>
      </c>
      <c r="D88" s="15">
        <f si="8" t="shared"/>
        <v>0</v>
      </c>
      <c r="E88" s="15">
        <f si="8" t="shared"/>
        <v>1.0831178940037108E-5</v>
      </c>
      <c r="F88" s="15">
        <f si="8" t="shared"/>
        <v>2.3251876284793499E-9</v>
      </c>
      <c r="G88" s="15">
        <f si="8" t="shared"/>
        <v>8.0131640820445296E-11</v>
      </c>
      <c r="H88" s="15">
        <f si="8" t="shared"/>
        <v>4.8989241053417425E-6</v>
      </c>
      <c r="I88" s="15">
        <f si="8" t="shared"/>
        <v>5.2394249467830394E-6</v>
      </c>
      <c r="K88" s="9">
        <v>0.5</v>
      </c>
      <c r="L88" s="14">
        <f si="9" t="shared"/>
        <v>6.1953202701646302E-5</v>
      </c>
      <c r="M88" s="14">
        <f si="9" t="shared"/>
        <v>6.7266281306007693E-5</v>
      </c>
      <c r="N88" s="14">
        <f si="9" t="shared"/>
        <v>1.4570521992392804E-4</v>
      </c>
      <c r="O88" s="14">
        <f si="9" t="shared"/>
        <v>1.8782466024539323E-4</v>
      </c>
      <c r="P88" s="14">
        <f si="9" t="shared"/>
        <v>1.5490502149142517E-4</v>
      </c>
      <c r="Q88" s="14">
        <f si="9" t="shared"/>
        <v>7.8154583630922627E-5</v>
      </c>
      <c r="R88" s="14">
        <f si="9" t="shared"/>
        <v>1.8521495317372545E-4</v>
      </c>
      <c r="S88" s="15">
        <f si="9" t="shared"/>
        <v>1.5227629567794276E-4</v>
      </c>
    </row>
    <row r="89" spans="1:19" x14ac:dyDescent="0.25">
      <c r="A89" s="9">
        <v>0.52083333333333337</v>
      </c>
      <c r="B89" s="15">
        <f si="8" t="shared"/>
        <v>1.2452895758971791E-5</v>
      </c>
      <c r="C89" s="15">
        <f si="8" t="shared"/>
        <v>8.7617447363395458E-5</v>
      </c>
      <c r="D89" s="15">
        <f si="8" t="shared"/>
        <v>0</v>
      </c>
      <c r="E89" s="15">
        <f si="8" t="shared"/>
        <v>4.3324715760148424E-6</v>
      </c>
      <c r="F89" s="15">
        <f si="8" t="shared"/>
        <v>2.4475659247151057E-10</v>
      </c>
      <c r="G89" s="15">
        <f si="8" t="shared"/>
        <v>0</v>
      </c>
      <c r="H89" s="15">
        <f si="8" t="shared"/>
        <v>1.1455139917677377E-6</v>
      </c>
      <c r="I89" s="15">
        <f si="8" t="shared"/>
        <v>2.6026423890274957E-6</v>
      </c>
      <c r="K89" s="9">
        <v>0.52083333333333337</v>
      </c>
      <c r="L89" s="14">
        <f si="9" t="shared"/>
        <v>6.6418927063608091E-5</v>
      </c>
      <c r="M89" s="14">
        <f si="9" t="shared"/>
        <v>6.8644936425756966E-5</v>
      </c>
      <c r="N89" s="14">
        <f si="9" t="shared"/>
        <v>1.5625428376767457E-4</v>
      </c>
      <c r="O89" s="14">
        <f si="9" t="shared"/>
        <v>1.9516954531778702E-4</v>
      </c>
      <c r="P89" s="14">
        <f si="9" t="shared"/>
        <v>1.5533877349671027E-4</v>
      </c>
      <c r="Q89" s="14">
        <f si="9" t="shared"/>
        <v>8.0924314747204374E-5</v>
      </c>
      <c r="R89" s="14">
        <f si="9" t="shared"/>
        <v>1.8232789862779157E-4</v>
      </c>
      <c r="S89" s="15">
        <f si="9" t="shared"/>
        <v>1.5703499495096039E-4</v>
      </c>
    </row>
    <row r="90" spans="1:19" x14ac:dyDescent="0.25">
      <c r="A90" s="9">
        <v>0.54166666666666663</v>
      </c>
      <c r="B90" s="15">
        <f si="8" t="shared"/>
        <v>1.0362942696886751E-5</v>
      </c>
      <c r="C90" s="15">
        <f si="8" t="shared"/>
        <v>4.2102073257831839E-5</v>
      </c>
      <c r="D90" s="15">
        <f si="8" t="shared"/>
        <v>0</v>
      </c>
      <c r="E90" s="15">
        <f si="8" t="shared"/>
        <v>1.3538973675046382E-6</v>
      </c>
      <c r="F90" s="15">
        <f si="8" t="shared"/>
        <v>1.2237829623575528E-11</v>
      </c>
      <c r="G90" s="15">
        <f si="8" t="shared"/>
        <v>0</v>
      </c>
      <c r="H90" s="15">
        <f si="8" t="shared"/>
        <v>1.9027471873505708E-7</v>
      </c>
      <c r="I90" s="15">
        <f si="8" t="shared"/>
        <v>1.3016751328071626E-6</v>
      </c>
      <c r="K90" s="9">
        <v>0.54166666666666663</v>
      </c>
      <c r="L90" s="14">
        <f si="9" t="shared"/>
        <v>7.1061550082364726E-5</v>
      </c>
      <c r="M90" s="14">
        <f si="9" t="shared"/>
        <v>6.959067679335186E-5</v>
      </c>
      <c r="N90" s="14">
        <f si="9" t="shared"/>
        <v>1.6667384578585752E-4</v>
      </c>
      <c r="O90" s="14">
        <f si="9" t="shared"/>
        <v>1.9964467861818659E-4</v>
      </c>
      <c r="P90" s="14">
        <f si="9" t="shared"/>
        <v>1.5335935996178677E-4</v>
      </c>
      <c r="Q90" s="14">
        <f si="9" t="shared"/>
        <v>8.1451037985471271E-5</v>
      </c>
      <c r="R90" s="14">
        <f si="9" t="shared"/>
        <v>1.7926277154014405E-4</v>
      </c>
      <c r="S90" s="15">
        <f si="9" t="shared"/>
        <v>1.6055662573018458E-4</v>
      </c>
    </row>
    <row r="91" spans="1:19" x14ac:dyDescent="0.25">
      <c r="A91" s="9">
        <v>0.5625</v>
      </c>
      <c r="B91" s="15">
        <f si="8" t="shared"/>
        <v>7.6015728841072561E-6</v>
      </c>
      <c r="C91" s="15">
        <f si="8" t="shared"/>
        <v>1.6486857363367961E-5</v>
      </c>
      <c r="D91" s="15">
        <f si="8" t="shared"/>
        <v>0</v>
      </c>
      <c r="E91" s="15">
        <f si="8" t="shared"/>
        <v>3.1856408647167957E-7</v>
      </c>
      <c r="F91" s="15">
        <f si="8" t="shared"/>
        <v>0</v>
      </c>
      <c r="G91" s="15">
        <f si="8" t="shared"/>
        <v>0</v>
      </c>
      <c r="H91" s="15">
        <f si="8" t="shared"/>
        <v>2.0001216864296165E-8</v>
      </c>
      <c r="I91" s="15">
        <f si="8" t="shared"/>
        <v>6.6808910628037106E-7</v>
      </c>
      <c r="K91" s="9">
        <v>0.5625</v>
      </c>
      <c r="L91" s="14">
        <f si="9" t="shared"/>
        <v>7.6604986098625485E-5</v>
      </c>
      <c r="M91" s="14">
        <f si="9" t="shared"/>
        <v>7.1107979953815247E-5</v>
      </c>
      <c r="N91" s="14">
        <f si="9" t="shared"/>
        <v>1.7624268177449741E-4</v>
      </c>
      <c r="O91" s="14">
        <f si="9" t="shared"/>
        <v>1.9896158811903892E-4</v>
      </c>
      <c r="P91" s="14">
        <f si="9" t="shared"/>
        <v>1.4845054183923334E-4</v>
      </c>
      <c r="Q91" s="14">
        <f si="9" t="shared"/>
        <v>7.9865974778734532E-5</v>
      </c>
      <c r="R91" s="14">
        <f si="9" t="shared"/>
        <v>1.7431235015980827E-4</v>
      </c>
      <c r="S91" s="15">
        <f si="9" t="shared"/>
        <v>1.6174174282901764E-4</v>
      </c>
    </row>
    <row r="92" spans="1:19" x14ac:dyDescent="0.25">
      <c r="A92" s="9">
        <v>0.58333333333333337</v>
      </c>
      <c r="B92" s="15">
        <f si="8" t="shared"/>
        <v>4.654158305151619E-6</v>
      </c>
      <c r="C92" s="15">
        <f si="8" t="shared"/>
        <v>5.0997457639162548E-6</v>
      </c>
      <c r="D92" s="15">
        <f si="8" t="shared"/>
        <v>0</v>
      </c>
      <c r="E92" s="15">
        <f si="8" t="shared"/>
        <v>5.3094014411946609E-8</v>
      </c>
      <c r="F92" s="15">
        <f si="8" t="shared"/>
        <v>0</v>
      </c>
      <c r="G92" s="15">
        <f si="8" t="shared"/>
        <v>0</v>
      </c>
      <c r="H92" s="15">
        <f si="8" t="shared"/>
        <v>1.0000608432148085E-9</v>
      </c>
      <c r="I92" s="15">
        <f si="8" t="shared"/>
        <v>3.3550111852497354E-7</v>
      </c>
      <c r="K92" s="9">
        <v>0.58333333333333337</v>
      </c>
      <c r="L92" s="14">
        <f si="9" t="shared"/>
        <v>8.5406334050533005E-5</v>
      </c>
      <c r="M92" s="14">
        <f si="9" t="shared"/>
        <v>7.5692217587740732E-5</v>
      </c>
      <c r="N92" s="14">
        <f si="9" t="shared"/>
        <v>1.8756618567206522E-4</v>
      </c>
      <c r="O92" s="14">
        <f si="9" t="shared"/>
        <v>1.9442176667702735E-4</v>
      </c>
      <c r="P92" s="14">
        <f si="9" t="shared"/>
        <v>1.4262942459417047E-4</v>
      </c>
      <c r="Q92" s="14">
        <f si="9" t="shared"/>
        <v>7.7861590694743395E-5</v>
      </c>
      <c r="R92" s="14">
        <f si="9" t="shared"/>
        <v>1.6830308864753838E-4</v>
      </c>
      <c r="S92" s="15">
        <f si="9" t="shared"/>
        <v>1.6235055613361246E-4</v>
      </c>
    </row>
    <row r="93" spans="1:19" x14ac:dyDescent="0.25">
      <c r="A93" s="9">
        <v>0.60416666666666663</v>
      </c>
      <c r="B93" s="15">
        <f si="8" t="shared"/>
        <v>2.3246184661314273E-6</v>
      </c>
      <c r="C93" s="15">
        <f si="8" t="shared"/>
        <v>1.195008682132179E-6</v>
      </c>
      <c r="D93" s="15">
        <f si="8" t="shared"/>
        <v>0</v>
      </c>
      <c r="E93" s="15">
        <f si="8" t="shared"/>
        <v>5.5888436223101689E-9</v>
      </c>
      <c r="F93" s="15">
        <f si="8" t="shared"/>
        <v>0</v>
      </c>
      <c r="G93" s="15">
        <f si="8" t="shared"/>
        <v>0</v>
      </c>
      <c r="H93" s="15">
        <f si="8" t="shared"/>
        <v>0</v>
      </c>
      <c r="I93" s="15">
        <f si="8" t="shared"/>
        <v>1.5228672662605725E-7</v>
      </c>
      <c r="K93" s="9">
        <v>0.60416666666666663</v>
      </c>
      <c r="L93" s="14">
        <f si="9" t="shared"/>
        <v>9.9911658883947794E-5</v>
      </c>
      <c r="M93" s="14">
        <f si="9" t="shared"/>
        <v>8.527943549481757E-5</v>
      </c>
      <c r="N93" s="14">
        <f si="9" t="shared"/>
        <v>2.0471119269850559E-4</v>
      </c>
      <c r="O93" s="14">
        <f si="9" t="shared"/>
        <v>1.8916069113274596E-4</v>
      </c>
      <c r="P93" s="14">
        <f si="9" t="shared"/>
        <v>1.3840196096617249E-4</v>
      </c>
      <c r="Q93" s="14">
        <f si="9" t="shared"/>
        <v>7.7236062960795666E-5</v>
      </c>
      <c r="R93" s="14">
        <f si="9" t="shared"/>
        <v>1.6312153228060846E-4</v>
      </c>
      <c r="S93" s="15">
        <f si="9" t="shared"/>
        <v>1.65266973044792E-4</v>
      </c>
    </row>
    <row r="94" spans="1:19" x14ac:dyDescent="0.25">
      <c r="A94" s="9">
        <v>0.625</v>
      </c>
      <c r="B94" s="15">
        <f ref="B94:I103" si="10" t="shared">B40/B$58</f>
        <v>9.2967234838488471E-7</v>
      </c>
      <c r="C94" s="15">
        <f si="10" t="shared"/>
        <v>1.9894632675901937E-7</v>
      </c>
      <c r="D94" s="15">
        <f si="10" t="shared"/>
        <v>0</v>
      </c>
      <c r="E94" s="15">
        <f si="10" t="shared"/>
        <v>2.7944218111550844E-10</v>
      </c>
      <c r="F94" s="15">
        <f si="10" t="shared"/>
        <v>0</v>
      </c>
      <c r="G94" s="15">
        <f si="10" t="shared"/>
        <v>0</v>
      </c>
      <c r="H94" s="15">
        <f si="10" t="shared"/>
        <v>0</v>
      </c>
      <c r="I94" s="15">
        <f si="10" t="shared"/>
        <v>5.8350867267233334E-8</v>
      </c>
      <c r="K94" s="9">
        <v>0.625</v>
      </c>
      <c r="L94" s="14">
        <f ref="L94:S103" si="11" t="shared">L40/L$58</f>
        <v>1.2024116371213722E-4</v>
      </c>
      <c r="M94" s="14">
        <f si="11" t="shared"/>
        <v>9.9025022738472924E-5</v>
      </c>
      <c r="N94" s="14">
        <f si="11" t="shared"/>
        <v>2.2940343126982003E-4</v>
      </c>
      <c r="O94" s="14">
        <f si="11" t="shared"/>
        <v>1.8473241122939657E-4</v>
      </c>
      <c r="P94" s="14">
        <f si="11" t="shared"/>
        <v>1.3622320646460302E-4</v>
      </c>
      <c r="Q94" s="14">
        <f si="11" t="shared"/>
        <v>7.8233628206165684E-5</v>
      </c>
      <c r="R94" s="14">
        <f si="11" t="shared"/>
        <v>1.5939962678623558E-4</v>
      </c>
      <c r="S94" s="15">
        <f si="11" t="shared"/>
        <v>1.7150927618462619E-4</v>
      </c>
    </row>
    <row r="95" spans="1:19" x14ac:dyDescent="0.25">
      <c r="A95" s="9">
        <v>0.64583333333333337</v>
      </c>
      <c r="B95" s="15">
        <f si="10" t="shared"/>
        <v>2.9051591094316735E-7</v>
      </c>
      <c r="C95" s="15">
        <f si="10" t="shared"/>
        <v>2.0941718606212559E-8</v>
      </c>
      <c r="D95" s="15">
        <f si="10" t="shared"/>
        <v>0</v>
      </c>
      <c r="E95" s="15">
        <f si="10" t="shared"/>
        <v>0</v>
      </c>
      <c r="F95" s="15">
        <f si="10" t="shared"/>
        <v>0</v>
      </c>
      <c r="G95" s="15">
        <f si="10" t="shared"/>
        <v>0</v>
      </c>
      <c r="H95" s="15">
        <f si="10" t="shared"/>
        <v>0</v>
      </c>
      <c r="I95" s="15">
        <f si="10" t="shared"/>
        <v>1.7907532611722314E-8</v>
      </c>
      <c r="K95" s="9">
        <v>0.64583333333333337</v>
      </c>
      <c r="L95" s="14">
        <f si="11" t="shared"/>
        <v>1.4277806834422409E-4</v>
      </c>
      <c r="M95" s="14">
        <f si="11" t="shared"/>
        <v>1.1280002609283048E-4</v>
      </c>
      <c r="N95" s="14">
        <f si="11" t="shared"/>
        <v>2.5825346062511217E-4</v>
      </c>
      <c r="O95" s="14">
        <f si="11" t="shared"/>
        <v>1.7930449381293976E-4</v>
      </c>
      <c r="P95" s="14">
        <f si="11" t="shared"/>
        <v>1.3377847350997405E-4</v>
      </c>
      <c r="Q95" s="14">
        <f si="11" t="shared"/>
        <v>7.9253378097227811E-5</v>
      </c>
      <c r="R95" s="14">
        <f si="11" t="shared"/>
        <v>1.5542564820041446E-4</v>
      </c>
      <c r="S95" s="15">
        <f si="11" t="shared"/>
        <v>1.7859581139783519E-4</v>
      </c>
    </row>
    <row r="96" spans="1:19" x14ac:dyDescent="0.25">
      <c r="A96" s="9">
        <v>0.66666666666666663</v>
      </c>
      <c r="B96" s="15">
        <f si="10" t="shared"/>
        <v>6.835668492780409E-8</v>
      </c>
      <c r="C96" s="15">
        <f si="10" t="shared"/>
        <v>1.4986902704730992E-9</v>
      </c>
      <c r="D96" s="15">
        <f si="10" t="shared"/>
        <v>0</v>
      </c>
      <c r="E96" s="15">
        <f si="10" t="shared"/>
        <v>4.2186912082524245E-10</v>
      </c>
      <c r="F96" s="15">
        <f si="10" t="shared"/>
        <v>1.1067280630069323E-11</v>
      </c>
      <c r="G96" s="15">
        <f si="10" t="shared"/>
        <v>0</v>
      </c>
      <c r="H96" s="15">
        <f si="10" t="shared"/>
        <v>0</v>
      </c>
      <c r="I96" s="15">
        <f si="10" t="shared"/>
        <v>4.2971721955398701E-9</v>
      </c>
      <c r="K96" s="9">
        <v>0.66666666666666663</v>
      </c>
      <c r="L96" s="14">
        <f si="11" t="shared"/>
        <v>1.6109966673368817E-4</v>
      </c>
      <c r="M96" s="14">
        <f si="11" t="shared"/>
        <v>1.209995702628399E-4</v>
      </c>
      <c r="N96" s="14">
        <f si="11" t="shared"/>
        <v>2.8323087040241408E-4</v>
      </c>
      <c r="O96" s="14">
        <f si="11" t="shared"/>
        <v>1.6909865492250968E-4</v>
      </c>
      <c r="P96" s="14">
        <f si="11" t="shared"/>
        <v>1.2768690736237966E-4</v>
      </c>
      <c r="Q96" s="14">
        <f si="11" t="shared"/>
        <v>7.8126118188330613E-5</v>
      </c>
      <c r="R96" s="14">
        <f si="11" t="shared"/>
        <v>1.4812729700282824E-4</v>
      </c>
      <c r="S96" s="15">
        <f si="11" t="shared"/>
        <v>1.816517413959347E-4</v>
      </c>
    </row>
    <row r="97" spans="1:19" x14ac:dyDescent="0.25">
      <c r="A97" s="9">
        <v>0.6875</v>
      </c>
      <c r="B97" s="15">
        <f si="10" t="shared"/>
        <v>1.1392780821300681E-8</v>
      </c>
      <c r="C97" s="15">
        <f si="10" t="shared"/>
        <v>9.0320868032494225E-9</v>
      </c>
      <c r="D97" s="15">
        <f si="10" t="shared"/>
        <v>0</v>
      </c>
      <c r="E97" s="15">
        <f si="10" t="shared"/>
        <v>8.4373824165048464E-9</v>
      </c>
      <c r="F97" s="15">
        <f si="10" t="shared"/>
        <v>2.2134561260138648E-10</v>
      </c>
      <c r="G97" s="15">
        <f si="10" t="shared"/>
        <v>0</v>
      </c>
      <c r="H97" s="15">
        <f si="10" t="shared"/>
        <v>0</v>
      </c>
      <c r="I97" s="15">
        <f si="10" t="shared"/>
        <v>2.9426941674740916E-9</v>
      </c>
      <c r="K97" s="9">
        <v>0.6875</v>
      </c>
      <c r="L97" s="14">
        <f si="11" t="shared"/>
        <v>1.6885974369503415E-4</v>
      </c>
      <c r="M97" s="14">
        <f si="11" t="shared"/>
        <v>1.1940350204702833E-4</v>
      </c>
      <c r="N97" s="14">
        <f si="11" t="shared"/>
        <v>2.9517191337319901E-4</v>
      </c>
      <c r="O97" s="14">
        <f si="11" t="shared"/>
        <v>1.515229886134552E-4</v>
      </c>
      <c r="P97" s="14">
        <f si="11" t="shared"/>
        <v>1.1595109669896797E-4</v>
      </c>
      <c r="Q97" s="14">
        <f si="11" t="shared"/>
        <v>7.3633075377880727E-5</v>
      </c>
      <c r="R97" s="14">
        <f si="11" t="shared"/>
        <v>1.3509926452008985E-4</v>
      </c>
      <c r="S97" s="15">
        <f si="11" t="shared"/>
        <v>1.7624395438413127E-4</v>
      </c>
    </row>
    <row r="98" spans="1:19" x14ac:dyDescent="0.25">
      <c r="A98" s="9">
        <v>0.70833333333333337</v>
      </c>
      <c r="B98" s="15">
        <f si="10" t="shared"/>
        <v>1.5507065460110998E-9</v>
      </c>
      <c r="C98" s="15">
        <f si="10" t="shared"/>
        <v>8.5804824630869494E-8</v>
      </c>
      <c r="D98" s="15">
        <f si="10" t="shared"/>
        <v>0</v>
      </c>
      <c r="E98" s="15">
        <f si="10" t="shared"/>
        <v>8.0155132956796037E-8</v>
      </c>
      <c r="F98" s="15">
        <f si="10" t="shared"/>
        <v>2.1027833197131714E-9</v>
      </c>
      <c r="G98" s="15">
        <f si="10" t="shared"/>
        <v>2.7602191468632518E-11</v>
      </c>
      <c r="H98" s="15">
        <f si="10" t="shared"/>
        <v>1.982797501321786E-11</v>
      </c>
      <c r="I98" s="15">
        <f si="10" t="shared"/>
        <v>2.144156117683035E-8</v>
      </c>
      <c r="K98" s="9">
        <v>0.70833333333333337</v>
      </c>
      <c r="L98" s="14">
        <f si="11" t="shared"/>
        <v>1.6287416148397306E-4</v>
      </c>
      <c r="M98" s="14">
        <f si="11" t="shared"/>
        <v>1.0720070823029031E-4</v>
      </c>
      <c r="N98" s="14">
        <f si="11" t="shared"/>
        <v>2.882582522863994E-4</v>
      </c>
      <c r="O98" s="14">
        <f si="11" t="shared"/>
        <v>1.2721189005071001E-4</v>
      </c>
      <c r="P98" s="14">
        <f si="11" t="shared"/>
        <v>9.9163011189445826E-5</v>
      </c>
      <c r="Q98" s="14">
        <f si="11" t="shared"/>
        <v>6.6019846685910774E-5</v>
      </c>
      <c r="R98" s="14">
        <f si="11" t="shared"/>
        <v>1.1609054223834488E-4</v>
      </c>
      <c r="S98" s="15">
        <f si="11" t="shared"/>
        <v>1.6084613784570688E-4</v>
      </c>
    </row>
    <row r="99" spans="1:19" x14ac:dyDescent="0.25">
      <c r="A99" s="9">
        <v>0.72916666666666663</v>
      </c>
      <c r="B99" s="15">
        <f si="10" t="shared"/>
        <v>7.9343831898222438E-9</v>
      </c>
      <c r="C99" s="15">
        <f si="10" t="shared"/>
        <v>5.1492185932539155E-7</v>
      </c>
      <c r="D99" s="15">
        <f si="10" t="shared"/>
        <v>4.0188226142809331E-12</v>
      </c>
      <c r="E99" s="15">
        <f si="10" t="shared"/>
        <v>4.809307977407763E-7</v>
      </c>
      <c r="F99" s="15">
        <f si="10" t="shared"/>
        <v>1.2616699918279026E-8</v>
      </c>
      <c r="G99" s="15">
        <f si="10" t="shared"/>
        <v>5.5204382937265039E-10</v>
      </c>
      <c r="H99" s="15">
        <f si="10" t="shared"/>
        <v>4.0379110708877164E-10</v>
      </c>
      <c r="I99" s="15">
        <f si="10" t="shared"/>
        <v>1.28637114097761E-7</v>
      </c>
      <c r="K99" s="9">
        <v>0.72916666666666663</v>
      </c>
      <c r="L99" s="14">
        <f si="11" t="shared"/>
        <v>1.4463169972130449E-4</v>
      </c>
      <c r="M99" s="14">
        <f si="11" t="shared"/>
        <v>8.7168944067496625E-5</v>
      </c>
      <c r="N99" s="14">
        <f si="11" t="shared"/>
        <v>2.6301143463662618E-4</v>
      </c>
      <c r="O99" s="14">
        <f si="11" t="shared"/>
        <v>9.9719899497261179E-5</v>
      </c>
      <c r="P99" s="14">
        <f si="11" t="shared"/>
        <v>8.0027379088586746E-5</v>
      </c>
      <c r="Q99" s="14">
        <f si="11" t="shared"/>
        <v>5.6558338749455735E-5</v>
      </c>
      <c r="R99" s="14">
        <f si="11" t="shared"/>
        <v>9.3210223595479707E-5</v>
      </c>
      <c r="S99" s="15">
        <f si="11" t="shared"/>
        <v>1.3759178231847417E-4</v>
      </c>
    </row>
    <row r="100" spans="1:19" x14ac:dyDescent="0.25">
      <c r="A100" s="9">
        <v>0.75</v>
      </c>
      <c r="B100" s="15">
        <f si="10" t="shared"/>
        <v>8.3842073584509502E-8</v>
      </c>
      <c r="C100" s="15">
        <f si="10" t="shared"/>
        <v>2.189881258890664E-6</v>
      </c>
      <c r="D100" s="15">
        <f si="10" t="shared"/>
        <v>8.0376452285618685E-11</v>
      </c>
      <c r="E100" s="15">
        <f si="10" t="shared"/>
        <v>2.0439558903982992E-6</v>
      </c>
      <c r="F100" s="15">
        <f si="10" t="shared"/>
        <v>5.3620974652685862E-8</v>
      </c>
      <c r="G100" s="15">
        <f si="10" t="shared"/>
        <v>5.3366090198710095E-9</v>
      </c>
      <c r="H100" s="15">
        <f si="10" t="shared"/>
        <v>3.9184136067806346E-9</v>
      </c>
      <c r="I100" s="15">
        <f si="10" t="shared"/>
        <v>5.5033436532881881E-7</v>
      </c>
      <c r="K100" s="9">
        <v>0.75</v>
      </c>
      <c r="L100" s="14">
        <f si="11" t="shared"/>
        <v>1.1950542155105009E-4</v>
      </c>
      <c r="M100" s="14">
        <f si="11" t="shared"/>
        <v>6.4237850203437805E-5</v>
      </c>
      <c r="N100" s="14">
        <f si="11" t="shared"/>
        <v>2.2604821061327212E-4</v>
      </c>
      <c r="O100" s="14">
        <f si="11" t="shared"/>
        <v>7.3685403142683404E-5</v>
      </c>
      <c r="P100" s="14">
        <f si="11" t="shared"/>
        <v>6.2103047894369336E-5</v>
      </c>
      <c r="Q100" s="14">
        <f si="11" t="shared"/>
        <v>4.6969210990054404E-5</v>
      </c>
      <c r="R100" s="14">
        <f si="11" t="shared"/>
        <v>7.0071661668687723E-5</v>
      </c>
      <c r="S100" s="15">
        <f si="11" t="shared"/>
        <v>1.1123819071625961E-4</v>
      </c>
    </row>
    <row r="101" spans="1:19" x14ac:dyDescent="0.25">
      <c r="A101" s="9">
        <v>0.77083333333333337</v>
      </c>
      <c r="B101" s="15">
        <f si="10" t="shared"/>
        <v>5.6447137045520299E-7</v>
      </c>
      <c r="C101" s="15">
        <f si="10" t="shared"/>
        <v>7.0193268825121227E-6</v>
      </c>
      <c r="D101" s="15">
        <f si="10" t="shared"/>
        <v>7.6357629671337725E-10</v>
      </c>
      <c r="E101" s="15">
        <f si="10" t="shared"/>
        <v>6.5406588492745564E-6</v>
      </c>
      <c r="F101" s="15">
        <f si="10" t="shared"/>
        <v>1.7158711888859478E-7</v>
      </c>
      <c r="G101" s="15">
        <f si="10" t="shared"/>
        <v>3.3441540854944991E-8</v>
      </c>
      <c r="H101" s="15">
        <f si="10" t="shared"/>
        <v>2.4638333246206718E-8</v>
      </c>
      <c r="I101" s="15">
        <f si="10" t="shared"/>
        <v>1.7823137881595854E-6</v>
      </c>
      <c r="K101" s="9">
        <v>0.77083333333333337</v>
      </c>
      <c r="L101" s="14">
        <f si="11" t="shared"/>
        <v>9.4265597355596269E-5</v>
      </c>
      <c r="M101" s="14">
        <f si="11" t="shared"/>
        <v>4.3346838331702507E-5</v>
      </c>
      <c r="N101" s="14">
        <f si="11" t="shared"/>
        <v>1.8654313900851434E-4</v>
      </c>
      <c r="O101" s="14">
        <f si="11" t="shared"/>
        <v>5.2930650592718475E-5</v>
      </c>
      <c r="P101" s="14">
        <f si="11" t="shared"/>
        <v>4.8655232692924697E-5</v>
      </c>
      <c r="Q101" s="14">
        <f si="11" t="shared"/>
        <v>3.9085462723621541E-5</v>
      </c>
      <c r="R101" s="14">
        <f si="11" t="shared"/>
        <v>5.045240141336488E-5</v>
      </c>
      <c r="S101" s="15">
        <f si="11" t="shared"/>
        <v>8.7060474080542222E-5</v>
      </c>
    </row>
    <row r="102" spans="1:19" x14ac:dyDescent="0.25">
      <c r="A102" s="9">
        <v>0.79166666666666663</v>
      </c>
      <c r="B102" s="15">
        <f si="10" t="shared"/>
        <v>2.6968034762550781E-6</v>
      </c>
      <c r="C102" s="15">
        <f si="10" t="shared"/>
        <v>1.761010338049641E-5</v>
      </c>
      <c r="D102" s="15">
        <f si="10" t="shared"/>
        <v>4.5814577802802641E-9</v>
      </c>
      <c r="E102" s="15">
        <f si="10" t="shared"/>
        <v>1.6351647123186397E-5</v>
      </c>
      <c r="F102" s="15">
        <f si="10" t="shared"/>
        <v>4.289677972214869E-7</v>
      </c>
      <c r="G102" s="15">
        <f si="10" t="shared"/>
        <v>1.5404320159247203E-7</v>
      </c>
      <c r="H102" s="15">
        <f si="10" t="shared"/>
        <v>1.172171516148452E-7</v>
      </c>
      <c r="I102" s="15">
        <f si="10" t="shared"/>
        <v>4.5483899394873721E-6</v>
      </c>
      <c r="K102" s="9">
        <v>0.79166666666666663</v>
      </c>
      <c r="L102" s="14">
        <f si="11" t="shared"/>
        <v>7.4289235949505885E-5</v>
      </c>
      <c r="M102" s="14">
        <f si="11" t="shared"/>
        <v>2.7640430491837568E-5</v>
      </c>
      <c r="N102" s="14">
        <f si="11" t="shared"/>
        <v>1.5156875206711449E-4</v>
      </c>
      <c r="O102" s="14">
        <f si="11" t="shared"/>
        <v>3.9336509786551403E-5</v>
      </c>
      <c r="P102" s="14">
        <f si="11" t="shared"/>
        <v>4.1793785068933064E-5</v>
      </c>
      <c r="Q102" s="14">
        <f si="11" t="shared"/>
        <v>3.4459302252035212E-5</v>
      </c>
      <c r="R102" s="14">
        <f si="11" t="shared"/>
        <v>3.6992137717937248E-5</v>
      </c>
      <c r="S102" s="15">
        <f si="11" t="shared"/>
        <v>6.8717075944699436E-5</v>
      </c>
    </row>
    <row r="103" spans="1:19" x14ac:dyDescent="0.25">
      <c r="A103" s="9">
        <v>0.8125</v>
      </c>
      <c r="B103" s="15">
        <f si="10" t="shared"/>
        <v>9.7237607571303023E-6</v>
      </c>
      <c r="C103" s="15">
        <f si="10" t="shared"/>
        <v>3.5458431950000472E-5</v>
      </c>
      <c r="D103" s="15">
        <f si="10" t="shared"/>
        <v>1.9467176743576844E-8</v>
      </c>
      <c r="E103" s="15">
        <f si="10" t="shared"/>
        <v>3.2703294246372793E-5</v>
      </c>
      <c r="F103" s="15">
        <f si="10" t="shared"/>
        <v>8.579355944429738E-7</v>
      </c>
      <c r="G103" s="15">
        <f si="10" t="shared"/>
        <v>5.6163615952845997E-7</v>
      </c>
      <c r="H103" s="15">
        <f si="10" t="shared"/>
        <v>4.7290299427734761E-7</v>
      </c>
      <c r="I103" s="15">
        <f si="10" t="shared"/>
        <v>9.4158069290063804E-6</v>
      </c>
      <c r="K103" s="9">
        <v>0.8125</v>
      </c>
      <c r="L103" s="14">
        <f si="11" t="shared"/>
        <v>6.1724345932043652E-5</v>
      </c>
      <c r="M103" s="14">
        <f si="11" t="shared"/>
        <v>1.7778115715342441E-5</v>
      </c>
      <c r="N103" s="14">
        <f si="11" t="shared"/>
        <v>1.2343571026862121E-4</v>
      </c>
      <c r="O103" s="14">
        <f si="11" t="shared"/>
        <v>3.25826159426236E-5</v>
      </c>
      <c r="P103" s="14">
        <f si="11" t="shared"/>
        <v>4.1734783593509555E-5</v>
      </c>
      <c r="Q103" s="14">
        <f si="11" t="shared"/>
        <v>3.3658653568917921E-5</v>
      </c>
      <c r="R103" s="14">
        <f si="11" t="shared"/>
        <v>3.0298661473720803E-5</v>
      </c>
      <c r="S103" s="15">
        <f si="11" t="shared"/>
        <v>5.7059973899150754E-5</v>
      </c>
    </row>
    <row r="104" spans="1:19" x14ac:dyDescent="0.25">
      <c r="A104" s="9">
        <v>0.83333333333333337</v>
      </c>
      <c r="B104" s="15">
        <f ref="B104:I111" si="12" t="shared">B50/B$58</f>
        <v>2.7460170653444295E-5</v>
      </c>
      <c r="C104" s="15">
        <f si="12" t="shared"/>
        <v>5.8327241018329825E-5</v>
      </c>
      <c r="D104" s="15">
        <f si="12" t="shared"/>
        <v>6.2227449359525973E-8</v>
      </c>
      <c r="E104" s="15">
        <f si="12" t="shared"/>
        <v>5.3142853150355796E-5</v>
      </c>
      <c r="F104" s="15">
        <f si="12" t="shared"/>
        <v>1.3941453409698327E-6</v>
      </c>
      <c r="G104" s="15">
        <f si="12" t="shared"/>
        <v>1.7039084937045854E-6</v>
      </c>
      <c r="H104" s="15">
        <f si="12" t="shared"/>
        <v>1.7401839945882926E-6</v>
      </c>
      <c r="I104" s="15">
        <f si="12" t="shared"/>
        <v>1.6204053279978214E-5</v>
      </c>
      <c r="K104" s="9">
        <v>0.83333333333333337</v>
      </c>
      <c r="L104" s="14">
        <f ref="L104:S111" si="13" t="shared">L50/L$58</f>
        <v>5.5184188893871524E-5</v>
      </c>
      <c r="M104" s="14">
        <f si="13" t="shared"/>
        <v>1.248749012777481E-5</v>
      </c>
      <c r="N104" s="14">
        <f si="13" t="shared"/>
        <v>1.0060430995586068E-4</v>
      </c>
      <c r="O104" s="14">
        <f si="13" t="shared"/>
        <v>3.0670188193369975E-5</v>
      </c>
      <c r="P104" s="14">
        <f si="13" t="shared"/>
        <v>4.6556870163387539E-5</v>
      </c>
      <c r="Q104" s="14">
        <f si="13" t="shared"/>
        <v>3.5732525238401007E-5</v>
      </c>
      <c r="R104" s="14">
        <f si="13" t="shared"/>
        <v>2.8762529870087599E-5</v>
      </c>
      <c r="S104" s="15">
        <f si="13" t="shared"/>
        <v>5.0419949405895331E-5</v>
      </c>
    </row>
    <row r="105" spans="1:19" x14ac:dyDescent="0.25">
      <c r="A105" s="9">
        <v>0.85416666666666663</v>
      </c>
      <c r="B105" s="15">
        <f si="12" t="shared"/>
        <v>6.2155162905045102E-5</v>
      </c>
      <c r="C105" s="15">
        <f si="12" t="shared"/>
        <v>7.9435063078222537E-5</v>
      </c>
      <c r="D105" s="15">
        <f si="12" t="shared"/>
        <v>1.5500598823281562E-7</v>
      </c>
      <c r="E105" s="15">
        <f si="12" t="shared"/>
        <v>7.085713753380771E-5</v>
      </c>
      <c r="F105" s="15">
        <f si="12" t="shared"/>
        <v>1.8588604546264436E-6</v>
      </c>
      <c r="G105" s="15">
        <f si="12" t="shared"/>
        <v>4.4535140812798092E-6</v>
      </c>
      <c r="H105" s="15">
        <f si="12" t="shared"/>
        <v>5.9167747502591276E-6</v>
      </c>
      <c r="I105" s="15">
        <f si="12" t="shared"/>
        <v>2.3775471013735798E-5</v>
      </c>
      <c r="K105" s="9">
        <v>0.85416666666666663</v>
      </c>
      <c r="L105" s="14">
        <f si="13" t="shared"/>
        <v>5.0999381831059694E-5</v>
      </c>
      <c r="M105" s="14">
        <f si="13" t="shared"/>
        <v>9.7940547206518851E-6</v>
      </c>
      <c r="N105" s="14">
        <f si="13" t="shared"/>
        <v>8.1076691247267984E-5</v>
      </c>
      <c r="O105" s="14">
        <f si="13" t="shared"/>
        <v>3.1375353390668715E-5</v>
      </c>
      <c r="P105" s="14">
        <f si="13" t="shared"/>
        <v>5.3671493839734495E-5</v>
      </c>
      <c r="Q105" s="14">
        <f si="13" t="shared"/>
        <v>3.8924858318280283E-5</v>
      </c>
      <c r="R105" s="14">
        <f si="13" t="shared"/>
        <v>2.9397199681301289E-5</v>
      </c>
      <c r="S105" s="15">
        <f si="13" t="shared"/>
        <v>4.6351746847697304E-5</v>
      </c>
    </row>
    <row r="106" spans="1:19" x14ac:dyDescent="0.25">
      <c r="A106" s="9">
        <v>0.875</v>
      </c>
      <c r="B106" s="15">
        <f si="12" t="shared"/>
        <v>1.1423645824839775E-4</v>
      </c>
      <c r="C106" s="15">
        <f si="12" t="shared"/>
        <v>9.0532743305252438E-5</v>
      </c>
      <c r="D106" s="15">
        <f si="12" t="shared"/>
        <v>3.0695767127877767E-7</v>
      </c>
      <c r="E106" s="15">
        <f si="12" t="shared"/>
        <v>7.7942429418067667E-5</v>
      </c>
      <c r="F106" s="15">
        <f si="12" t="shared"/>
        <v>2.0447354328084581E-6</v>
      </c>
      <c r="G106" s="15">
        <f si="12" t="shared"/>
        <v>1.0258186715681088E-5</v>
      </c>
      <c r="H106" s="15">
        <f si="12" t="shared"/>
        <v>1.8081517154903989E-5</v>
      </c>
      <c r="I106" s="15">
        <f si="12" t="shared"/>
        <v>3.0698546849934703E-5</v>
      </c>
      <c r="K106" s="9">
        <v>0.875</v>
      </c>
      <c r="L106" s="14">
        <f si="13" t="shared"/>
        <v>4.5593198689123844E-5</v>
      </c>
      <c r="M106" s="14">
        <f si="13" t="shared"/>
        <v>8.1479168100398073E-6</v>
      </c>
      <c r="N106" s="14">
        <f si="13" t="shared"/>
        <v>6.5825162995469187E-5</v>
      </c>
      <c r="O106" s="14">
        <f si="13" t="shared"/>
        <v>3.4641204481751731E-5</v>
      </c>
      <c r="P106" s="14">
        <f si="13" t="shared"/>
        <v>6.3781110846843401E-5</v>
      </c>
      <c r="Q106" s="14">
        <f si="13" t="shared"/>
        <v>4.3172032519895122E-5</v>
      </c>
      <c r="R106" s="14">
        <f si="13" t="shared"/>
        <v>2.9713722385014442E-5</v>
      </c>
      <c r="S106" s="15">
        <f si="13" t="shared"/>
        <v>4.4276835297836861E-5</v>
      </c>
    </row>
    <row r="107" spans="1:19" x14ac:dyDescent="0.25">
      <c r="A107" s="9">
        <v>0.89583333333333337</v>
      </c>
      <c r="B107" s="15">
        <f si="12" t="shared"/>
        <v>1.7101558396946193E-4</v>
      </c>
      <c r="C107" s="15">
        <f si="12" t="shared"/>
        <v>8.7096343190532451E-5</v>
      </c>
      <c r="D107" s="15">
        <f si="12" t="shared"/>
        <v>4.8677988915477806E-7</v>
      </c>
      <c r="E107" s="15">
        <f si="12" t="shared"/>
        <v>7.0848700151391206E-5</v>
      </c>
      <c r="F107" s="15">
        <f si="12" t="shared"/>
        <v>1.8586391090138422E-6</v>
      </c>
      <c r="G107" s="15">
        <f si="12" t="shared"/>
        <v>2.1100567411973253E-5</v>
      </c>
      <c r="H107" s="15">
        <f si="12" t="shared"/>
        <v>4.8220808531041214E-5</v>
      </c>
      <c r="I107" s="15">
        <f si="12" t="shared"/>
        <v>3.6411286144025488E-5</v>
      </c>
      <c r="K107" s="9">
        <v>0.89583333333333337</v>
      </c>
      <c r="L107" s="14">
        <f si="13" t="shared"/>
        <v>3.7778368163195591E-5</v>
      </c>
      <c r="M107" s="14">
        <f si="13" t="shared"/>
        <v>6.9736352808100198E-6</v>
      </c>
      <c r="N107" s="14">
        <f si="13" t="shared"/>
        <v>6.0256823349126962E-5</v>
      </c>
      <c r="O107" s="14">
        <f si="13" t="shared"/>
        <v>4.484628303531722E-5</v>
      </c>
      <c r="P107" s="14">
        <f si="13" t="shared"/>
        <v>8.539011577646244E-5</v>
      </c>
      <c r="Q107" s="14">
        <f si="13" t="shared"/>
        <v>5.301692352882619E-5</v>
      </c>
      <c r="R107" s="14">
        <f si="13" t="shared"/>
        <v>2.9718190705864775E-5</v>
      </c>
      <c r="S107" s="15">
        <f si="13" t="shared"/>
        <v>4.7677889600962988E-5</v>
      </c>
    </row>
    <row r="108" spans="1:19" x14ac:dyDescent="0.25">
      <c r="A108" s="9">
        <v>0.91666666666666663</v>
      </c>
      <c r="B108" s="15">
        <f si="12" t="shared"/>
        <v>2.0616571984852708E-4</v>
      </c>
      <c r="C108" s="15">
        <f si="12" t="shared"/>
        <v>7.0967715674492691E-5</v>
      </c>
      <c r="D108" s="15">
        <f si="12" t="shared"/>
        <v>6.1269362048281399E-7</v>
      </c>
      <c r="E108" s="15">
        <f si="12" t="shared"/>
        <v>5.3062698017398989E-5</v>
      </c>
      <c r="F108" s="15">
        <f si="12" t="shared"/>
        <v>1.3920425576501193E-6</v>
      </c>
      <c r="G108" s="15">
        <f si="12" t="shared"/>
        <v>3.9039354861650268E-5</v>
      </c>
      <c r="H108" s="15">
        <f si="12" t="shared"/>
        <v>1.106275724483578E-4</v>
      </c>
      <c r="I108" s="15">
        <f si="12" t="shared"/>
        <v>4.1792076842019546E-5</v>
      </c>
      <c r="K108" s="9">
        <v>0.91666666666666663</v>
      </c>
      <c r="L108" s="14">
        <f si="13" t="shared"/>
        <v>2.9356595030390488E-5</v>
      </c>
      <c r="M108" s="14">
        <f si="13" t="shared"/>
        <v>6.5708521092914571E-6</v>
      </c>
      <c r="N108" s="14">
        <f si="13" t="shared"/>
        <v>7.2736549953836393E-5</v>
      </c>
      <c r="O108" s="14">
        <f si="13" t="shared"/>
        <v>7.0670416575420263E-5</v>
      </c>
      <c r="P108" s="14">
        <f si="13" t="shared"/>
        <v>1.3503664647521502E-4</v>
      </c>
      <c r="Q108" s="14">
        <f si="13" t="shared"/>
        <v>7.7874502173216672E-5</v>
      </c>
      <c r="R108" s="14">
        <f si="13" t="shared"/>
        <v>3.2388130733959596E-5</v>
      </c>
      <c r="S108" s="15">
        <f si="13" t="shared"/>
        <v>6.3876499542185079E-5</v>
      </c>
    </row>
    <row r="109" spans="1:19" x14ac:dyDescent="0.25">
      <c r="A109" s="9">
        <v>0.9375</v>
      </c>
      <c r="B109" s="15">
        <f si="12" t="shared"/>
        <v>1.9157890253111999E-4</v>
      </c>
      <c r="C109" s="15">
        <f si="12" t="shared"/>
        <v>4.805825272093878E-5</v>
      </c>
      <c r="D109" s="15">
        <f si="12" t="shared"/>
        <v>5.8673202639455923E-7</v>
      </c>
      <c r="E109" s="15">
        <f si="12" t="shared"/>
        <v>3.2222363448632014E-5</v>
      </c>
      <c r="F109" s="15">
        <f si="12" t="shared"/>
        <v>8.4531889452469478E-7</v>
      </c>
      <c r="G109" s="15">
        <f si="12" t="shared"/>
        <v>6.5275124018883597E-5</v>
      </c>
      <c r="H109" s="15">
        <f si="12" t="shared"/>
        <v>2.1813336202911821E-4</v>
      </c>
      <c r="I109" s="15">
        <f si="12" t="shared"/>
        <v>4.8475834222533757E-5</v>
      </c>
      <c r="K109" s="9">
        <v>0.9375</v>
      </c>
      <c r="L109" s="14">
        <f si="13" t="shared"/>
        <v>2.3438417477310945E-5</v>
      </c>
      <c r="M109" s="14">
        <f si="13" t="shared"/>
        <v>7.5485246128532423E-6</v>
      </c>
      <c r="N109" s="14">
        <f si="13" t="shared"/>
        <v>1.1028486878619465E-4</v>
      </c>
      <c r="O109" s="14">
        <f si="13" t="shared"/>
        <v>1.2087770135188057E-4</v>
      </c>
      <c r="P109" s="14">
        <f si="13" t="shared"/>
        <v>2.2957140978388949E-4</v>
      </c>
      <c r="Q109" s="14">
        <f si="13" t="shared"/>
        <v>1.2752451240385297E-4</v>
      </c>
      <c r="R109" s="14">
        <f si="13" t="shared"/>
        <v>4.1721912531066148E-5</v>
      </c>
      <c r="S109" s="15">
        <f si="13" t="shared"/>
        <v>1.0026508504065073E-4</v>
      </c>
    </row>
    <row r="110" spans="1:19" x14ac:dyDescent="0.25">
      <c r="A110" s="9">
        <v>0.95833333333333337</v>
      </c>
      <c r="B110" s="15">
        <f si="12" t="shared"/>
        <v>1.1658170266479904E-4</v>
      </c>
      <c r="C110" s="15">
        <f si="12" t="shared"/>
        <v>2.3719080889999998E-5</v>
      </c>
      <c r="D110" s="15">
        <f si="12" t="shared"/>
        <v>3.6346231723556758E-7</v>
      </c>
      <c r="E110" s="15">
        <f si="12" t="shared"/>
        <v>1.4307691232788097E-5</v>
      </c>
      <c r="F110" s="15">
        <f si="12" t="shared"/>
        <v>3.7534682256880099E-7</v>
      </c>
      <c r="G110" s="15">
        <f si="12" t="shared"/>
        <v>9.9116532939636884E-5</v>
      </c>
      <c r="H110" s="15">
        <f si="12" t="shared"/>
        <v>3.7234299851038804E-4</v>
      </c>
      <c r="I110" s="15">
        <f si="12" t="shared"/>
        <v>5.7462407722048411E-5</v>
      </c>
      <c r="K110" s="9">
        <v>0.95833333333333337</v>
      </c>
      <c r="L110" s="14">
        <f si="13" t="shared"/>
        <v>2.1805098950295134E-5</v>
      </c>
      <c r="M110" s="14">
        <f si="13" t="shared"/>
        <v>1.0143848235205463E-5</v>
      </c>
      <c r="N110" s="14">
        <f si="13" t="shared"/>
        <v>1.7325471538857574E-4</v>
      </c>
      <c r="O110" s="14">
        <f si="13" t="shared"/>
        <v>1.9755727769458256E-4</v>
      </c>
      <c r="P110" s="14">
        <f si="13" t="shared"/>
        <v>3.7334394401503915E-4</v>
      </c>
      <c r="Q110" s="14">
        <f si="13" t="shared"/>
        <v>2.0467487319362655E-4</v>
      </c>
      <c r="R110" s="14">
        <f si="13" t="shared"/>
        <v>5.9480458192291359E-5</v>
      </c>
      <c r="S110" s="15">
        <f si="13" t="shared"/>
        <v>1.5858628586534347E-4</v>
      </c>
    </row>
    <row ht="15.75" r="111" spans="1:19" thickBot="1" x14ac:dyDescent="0.3">
      <c r="A111" s="10">
        <v>0.97916666666666663</v>
      </c>
      <c r="B111" s="17">
        <f si="12" t="shared"/>
        <v>0</v>
      </c>
      <c r="C111" s="17">
        <f si="12" t="shared"/>
        <v>0</v>
      </c>
      <c r="D111" s="17">
        <f si="12" t="shared"/>
        <v>0</v>
      </c>
      <c r="E111" s="17">
        <f si="12" t="shared"/>
        <v>0</v>
      </c>
      <c r="F111" s="17">
        <f si="12" t="shared"/>
        <v>0</v>
      </c>
      <c r="G111" s="17">
        <f si="12" t="shared"/>
        <v>1.3756243806758596E-4</v>
      </c>
      <c r="H111" s="17">
        <f si="12" t="shared"/>
        <v>5.5691137922424347E-4</v>
      </c>
      <c r="I111" s="17">
        <f si="12" t="shared"/>
        <v>6.8216481916632643E-5</v>
      </c>
      <c r="K111" s="10">
        <v>0.97916666666666663</v>
      </c>
      <c r="L111" s="16">
        <f si="13" t="shared"/>
        <v>2.3405890971271811E-5</v>
      </c>
      <c r="M111" s="16">
        <f si="13" t="shared"/>
        <v>1.3841782308234909E-5</v>
      </c>
      <c r="N111" s="16">
        <f si="13" t="shared"/>
        <v>2.5246306820502992E-4</v>
      </c>
      <c r="O111" s="16">
        <f si="13" t="shared"/>
        <v>2.9175649063626719E-4</v>
      </c>
      <c r="P111" s="16">
        <f si="13" t="shared"/>
        <v>5.4984351759376326E-4</v>
      </c>
      <c r="Q111" s="16">
        <f si="13" t="shared"/>
        <v>3.0017509471980808E-4</v>
      </c>
      <c r="R111" s="16">
        <f si="13" t="shared"/>
        <v>8.3134768321579069E-5</v>
      </c>
      <c r="S111" s="17">
        <f si="13" t="shared"/>
        <v>2.3139933490324671E-4</v>
      </c>
    </row>
  </sheetData>
  <pageMargins bottom="0.75" footer="0.3" header="0.3" left="0.7" right="0.7" top="0.75"/>
  <pageSetup orientation="portrait" r:id="rId1"/>
  <drawing r:id="rId2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X117"/>
  <sheetViews>
    <sheetView workbookViewId="0" zoomScale="70" zoomScaleNormal="70">
      <selection activeCell="A5" sqref="A5"/>
    </sheetView>
  </sheetViews>
  <sheetFormatPr defaultRowHeight="15" x14ac:dyDescent="0.25"/>
  <cols>
    <col min="1" max="1" customWidth="true" width="12.7109375" collapsed="true"/>
    <col min="2" max="9" customWidth="true" width="10.7109375" collapsed="true"/>
    <col min="10" max="10" customWidth="true" width="6.42578125" collapsed="true"/>
    <col min="11" max="11" customWidth="true" width="12.7109375" collapsed="true"/>
    <col min="12" max="19" customWidth="true" width="10.7109375" collapsed="true"/>
  </cols>
  <sheetData>
    <row r="1" spans="1:24" x14ac:dyDescent="0.25">
      <c r="A1" t="s">
        <v>14</v>
      </c>
    </row>
    <row r="2" spans="1:24" x14ac:dyDescent="0.25">
      <c r="A2" t="s">
        <v>18</v>
      </c>
    </row>
    <row r="3" spans="1:24" x14ac:dyDescent="0.25">
      <c r="A3" t="s">
        <v>20</v>
      </c>
    </row>
    <row r="4" spans="1:24" x14ac:dyDescent="0.25">
      <c r="A4" t="s">
        <v>34</v>
      </c>
    </row>
    <row r="5" spans="1:24" x14ac:dyDescent="0.25">
      <c r="A5" t="s">
        <v>5</v>
      </c>
    </row>
    <row r="6" spans="1:24" x14ac:dyDescent="0.25">
      <c r="A6" t="s">
        <v>6</v>
      </c>
    </row>
    <row r="7" spans="1:24" x14ac:dyDescent="0.25">
      <c r="U7" s="5"/>
      <c r="V7" s="5"/>
      <c r="W7" s="5"/>
      <c r="X7" s="5"/>
    </row>
    <row ht="15.75" r="8" spans="1:24" thickBot="1" x14ac:dyDescent="0.3">
      <c r="A8" s="3" t="s">
        <v>30</v>
      </c>
      <c r="B8" s="1"/>
      <c r="C8" s="1"/>
      <c r="D8" s="1"/>
      <c r="E8" s="1"/>
      <c r="F8" s="1"/>
      <c r="G8" s="1"/>
      <c r="H8" s="1"/>
      <c r="I8" s="1"/>
      <c r="K8" s="3" t="s">
        <v>15</v>
      </c>
      <c r="L8" s="1"/>
      <c r="M8" s="1"/>
      <c r="N8" s="1"/>
      <c r="O8" s="1"/>
      <c r="P8" s="1"/>
      <c r="Q8" s="1"/>
      <c r="R8" s="1"/>
      <c r="S8" s="1"/>
      <c r="U8" s="8"/>
      <c r="V8" s="5"/>
      <c r="W8" s="5"/>
      <c r="X8" s="5"/>
    </row>
    <row r="9" spans="1:24" x14ac:dyDescent="0.25">
      <c r="A9" s="2" t="s">
        <v>3</v>
      </c>
      <c r="B9" s="4" t="s">
        <v>1</v>
      </c>
      <c r="C9" s="4" t="s">
        <v>2</v>
      </c>
      <c r="D9" s="4" t="s">
        <v>9</v>
      </c>
      <c r="E9" s="4" t="s">
        <v>10</v>
      </c>
      <c r="F9" s="4" t="s">
        <v>11</v>
      </c>
      <c r="G9" s="4" t="s">
        <v>12</v>
      </c>
      <c r="H9" s="4" t="s">
        <v>13</v>
      </c>
      <c r="I9" s="4" t="s">
        <v>0</v>
      </c>
      <c r="K9" s="2" t="s">
        <v>3</v>
      </c>
      <c r="L9" s="4" t="s">
        <v>1</v>
      </c>
      <c r="M9" s="4" t="s">
        <v>2</v>
      </c>
      <c r="N9" s="4" t="s">
        <v>9</v>
      </c>
      <c r="O9" s="4" t="s">
        <v>10</v>
      </c>
      <c r="P9" s="4" t="s">
        <v>11</v>
      </c>
      <c r="Q9" s="4" t="s">
        <v>12</v>
      </c>
      <c r="R9" s="4" t="s">
        <v>13</v>
      </c>
      <c r="S9" s="4" t="s">
        <v>0</v>
      </c>
      <c r="U9" s="5"/>
      <c r="V9" s="11"/>
      <c r="W9" s="11"/>
      <c r="X9" s="5"/>
    </row>
    <row r="10" spans="1:24" x14ac:dyDescent="0.25">
      <c r="A10" t="s">
        <v>4</v>
      </c>
      <c r="B10" s="21" t="n">
        <v>398.838384007</v>
      </c>
      <c r="C10" s="21" t="n">
        <v>49.9425</v>
      </c>
      <c r="D10" s="21" t="n">
        <v>472.428214631</v>
      </c>
      <c r="E10" s="21" t="n">
        <v>0.0</v>
      </c>
      <c r="F10" s="21" t="n">
        <v>0.0</v>
      </c>
      <c r="G10" s="21" t="n">
        <v>24.97125</v>
      </c>
      <c r="H10" s="21" t="n">
        <v>375.68346632000004</v>
      </c>
      <c r="I10" s="21">
        <f>SUM(B10:H10)</f>
        <v>1036.0351000000001</v>
      </c>
      <c r="K10" t="s">
        <v>4</v>
      </c>
      <c r="L10" s="7" t="n">
        <v>6689.955230389654</v>
      </c>
      <c r="M10" s="7" t="n">
        <v>56.4285097886497</v>
      </c>
      <c r="N10" s="7" t="n">
        <v>4887.1546205389795</v>
      </c>
      <c r="O10" s="7" t="n">
        <v>4159.10145859115</v>
      </c>
      <c r="P10" s="7" t="n">
        <v>5361.526203110102</v>
      </c>
      <c r="Q10" s="7" t="n">
        <v>2800.8702532131383</v>
      </c>
      <c r="R10" s="7" t="n">
        <v>4898.263805146578</v>
      </c>
      <c r="S10">
        <f>SUM(L10:R10)</f>
        <v>14446</v>
      </c>
      <c r="U10" s="5"/>
      <c r="V10" s="13"/>
      <c r="W10" s="13"/>
      <c r="X10" s="5"/>
    </row>
    <row r="11" spans="1:24" x14ac:dyDescent="0.25">
      <c r="A11" s="9">
        <v>0.125</v>
      </c>
      <c r="B11" s="21" t="n">
        <v>4275.318095803634</v>
      </c>
      <c r="C11" s="21" t="n">
        <v>153.23166297231253</v>
      </c>
      <c r="D11" s="21" t="n">
        <v>841.342576444547</v>
      </c>
      <c r="E11" s="21" t="n">
        <v>527.5935444654589</v>
      </c>
      <c r="F11" s="21" t="n">
        <v>391.9412894209613</v>
      </c>
      <c r="G11" s="21" t="n">
        <v>388.4694720641431</v>
      </c>
      <c r="H11" s="21" t="n">
        <v>1245.588222344246</v>
      </c>
      <c r="I11" s="21">
        <f ref="I11:I60" si="0" t="shared">SUM(B11:H11)</f>
        <v>6269.4913009775164</v>
      </c>
      <c r="K11" s="9">
        <v>0.125</v>
      </c>
      <c r="L11" s="7" t="n">
        <v>9765.001416220211</v>
      </c>
      <c r="M11" s="7" t="n">
        <v>205.8191696226916</v>
      </c>
      <c r="N11" s="7" t="n">
        <v>6980.169799855398</v>
      </c>
      <c r="O11" s="7" t="n">
        <v>4978.7692789614875</v>
      </c>
      <c r="P11" s="7" t="n">
        <v>5391.994695745453</v>
      </c>
      <c r="Q11" s="7" t="n">
        <v>2732.8819270224276</v>
      </c>
      <c r="R11" s="7" t="n">
        <v>5214.636452396415</v>
      </c>
      <c r="S11">
        <f ref="S11:S60" si="1" t="shared">SUM(L11:R11)</f>
        <v>22489.398951530457</v>
      </c>
      <c r="U11" s="5"/>
      <c r="V11" s="13"/>
      <c r="W11" s="13"/>
      <c r="X11" s="5"/>
    </row>
    <row r="12" spans="1:24" x14ac:dyDescent="0.25">
      <c r="A12" s="9">
        <v>0.14583333333333334</v>
      </c>
      <c r="B12" s="21" t="n">
        <v>9615.3529782072</v>
      </c>
      <c r="C12" s="21" t="n">
        <v>411.1037982878309</v>
      </c>
      <c r="D12" s="21" t="n">
        <v>1334.9525454989675</v>
      </c>
      <c r="E12" s="21" t="n">
        <v>1066.8552604478828</v>
      </c>
      <c r="F12" s="21" t="n">
        <v>697.1199726569291</v>
      </c>
      <c r="G12" s="21" t="n">
        <v>859.8722710154625</v>
      </c>
      <c r="H12" s="21" t="n">
        <v>2421.0299731091645</v>
      </c>
      <c r="I12" s="21">
        <f si="0" t="shared"/>
        <v>13187.029583225631</v>
      </c>
      <c r="K12" s="9">
        <v>0.14583333333333334</v>
      </c>
      <c r="L12" s="7" t="n">
        <v>13733.864927747181</v>
      </c>
      <c r="M12" s="7" t="n">
        <v>521.0498436071944</v>
      </c>
      <c r="N12" s="7" t="n">
        <v>9032.907260206586</v>
      </c>
      <c r="O12" s="7" t="n">
        <v>5890.4698301256885</v>
      </c>
      <c r="P12" s="7" t="n">
        <v>5552.1212296857375</v>
      </c>
      <c r="Q12" s="7" t="n">
        <v>2807.2333755178074</v>
      </c>
      <c r="R12" s="7" t="n">
        <v>5615.5655094710655</v>
      </c>
      <c r="S12">
        <f si="1" t="shared"/>
        <v>32635.915349960327</v>
      </c>
      <c r="U12" s="5"/>
      <c r="V12" s="13"/>
      <c r="W12" s="13"/>
      <c r="X12" s="5"/>
    </row>
    <row r="13" spans="1:24" x14ac:dyDescent="0.25">
      <c r="A13" s="9">
        <v>0.16666666666666666</v>
      </c>
      <c r="B13" s="21" t="n">
        <v>17988.99235186439</v>
      </c>
      <c r="C13" s="21" t="n">
        <v>1237.751912384124</v>
      </c>
      <c r="D13" s="21" t="n">
        <v>2173.8403367084625</v>
      </c>
      <c r="E13" s="21" t="n">
        <v>1716.4555689176607</v>
      </c>
      <c r="F13" s="21" t="n">
        <v>903.2376000226791</v>
      </c>
      <c r="G13" s="21" t="n">
        <v>1523.7198987235915</v>
      </c>
      <c r="H13" s="21" t="n">
        <v>4095.4322355483705</v>
      </c>
      <c r="I13" s="21">
        <f si="0" t="shared"/>
        <v>23838.170355590148</v>
      </c>
      <c r="K13" s="9">
        <v>0.16666666666666666</v>
      </c>
      <c r="L13" s="7" t="n">
        <v>19865.356169869825</v>
      </c>
      <c r="M13" s="7" t="n">
        <v>1370.2877613610892</v>
      </c>
      <c r="N13" s="7" t="n">
        <v>11243.995277813472</v>
      </c>
      <c r="O13" s="7" t="n">
        <v>7102.443719307495</v>
      </c>
      <c r="P13" s="7" t="n">
        <v>6011.684720825649</v>
      </c>
      <c r="Q13" s="7" t="n">
        <v>3170.8679222103774</v>
      </c>
      <c r="R13" s="7" t="n">
        <v>6282.953382766187</v>
      </c>
      <c r="S13">
        <f si="1" t="shared"/>
        <v>48451.356637001038</v>
      </c>
      <c r="U13" s="5"/>
      <c r="V13" s="13"/>
      <c r="W13" s="13"/>
      <c r="X13" s="5"/>
    </row>
    <row r="14" spans="1:24" x14ac:dyDescent="0.25">
      <c r="A14" s="9">
        <v>0.1875</v>
      </c>
      <c r="B14" s="21" t="n">
        <v>30968.191962566096</v>
      </c>
      <c r="C14" s="21" t="n">
        <v>3607.5645975882553</v>
      </c>
      <c r="D14" s="21" t="n">
        <v>3817.715793200803</v>
      </c>
      <c r="E14" s="21" t="n">
        <v>2712.5975698090388</v>
      </c>
      <c r="F14" s="21" t="n">
        <v>1113.880298397379</v>
      </c>
      <c r="G14" s="21" t="n">
        <v>2410.1331006625096</v>
      </c>
      <c r="H14" s="21" t="n">
        <v>6289.303847792646</v>
      </c>
      <c r="I14" s="21">
        <f si="0" t="shared"/>
        <v>40869.289488001727</v>
      </c>
      <c r="K14" s="9">
        <v>0.1875</v>
      </c>
      <c r="L14" s="7" t="n">
        <v>29948.876192532585</v>
      </c>
      <c r="M14" s="7" t="n">
        <v>3530.203516106231</v>
      </c>
      <c r="N14" s="7" t="n">
        <v>14073.798005978811</v>
      </c>
      <c r="O14" s="7" t="n">
        <v>8964.33086919834</v>
      </c>
      <c r="P14" s="7" t="n">
        <v>7000.4031123197</v>
      </c>
      <c r="Q14" s="7" t="n">
        <v>3965.2087914790463</v>
      </c>
      <c r="R14" s="7" t="n">
        <v>7515.713313206619</v>
      </c>
      <c r="S14">
        <f si="1" t="shared"/>
        <v>75453.457494735718</v>
      </c>
      <c r="U14" s="5"/>
      <c r="V14" s="5"/>
      <c r="W14" s="5"/>
      <c r="X14" s="5"/>
    </row>
    <row r="15" spans="1:24" x14ac:dyDescent="0.25">
      <c r="A15" s="9">
        <v>0.20833333333333334</v>
      </c>
      <c r="B15" s="21" t="n">
        <v>49734.71644385586</v>
      </c>
      <c r="C15" s="21" t="n">
        <v>9215.31244122837</v>
      </c>
      <c r="D15" s="21" t="n">
        <v>7075.093951462247</v>
      </c>
      <c r="E15" s="21" t="n">
        <v>4423.2268498472395</v>
      </c>
      <c r="F15" s="21" t="n">
        <v>1542.7433041187005</v>
      </c>
      <c r="G15" s="21" t="n">
        <v>3485.18572007942</v>
      </c>
      <c r="H15" s="21" t="n">
        <v>8884.582803981668</v>
      </c>
      <c r="I15" s="21">
        <f si="0" t="shared"/>
        <v>67390.953501883312</v>
      </c>
      <c r="K15" s="9">
        <v>0.20833333333333334</v>
      </c>
      <c r="L15" s="7" t="n">
        <v>45931.366782533005</v>
      </c>
      <c r="M15" s="7" t="n">
        <v>8272.8337249436</v>
      </c>
      <c r="N15" s="7" t="n">
        <v>17985.674955834416</v>
      </c>
      <c r="O15" s="7" t="n">
        <v>11864.339723842382</v>
      </c>
      <c r="P15" s="7" t="n">
        <v>8782.440558477778</v>
      </c>
      <c r="Q15" s="7" t="n">
        <v>5285.820538008147</v>
      </c>
      <c r="R15" s="7" t="n">
        <v>9637.496798989947</v>
      </c>
      <c r="S15">
        <f si="1" t="shared"/>
        <v>119743.44701194763</v>
      </c>
    </row>
    <row r="16" spans="1:24" x14ac:dyDescent="0.25">
      <c r="A16" s="9">
        <v>0.22916666666666666</v>
      </c>
      <c r="B16" s="21" t="n">
        <v>74458.36955171339</v>
      </c>
      <c r="C16" s="21" t="n">
        <v>20075.790900615742</v>
      </c>
      <c r="D16" s="21" t="n">
        <v>12974.259562977508</v>
      </c>
      <c r="E16" s="21" t="n">
        <v>7294.146253656278</v>
      </c>
      <c r="F16" s="21" t="n">
        <v>2480.721591190957</v>
      </c>
      <c r="G16" s="21" t="n">
        <v>4691.630954102085</v>
      </c>
      <c r="H16" s="21" t="n">
        <v>11751.946164526064</v>
      </c>
      <c r="I16" s="21">
        <f si="0" t="shared"/>
        <v>106106.02271716784</v>
      </c>
      <c r="K16" s="9">
        <v>0.22916666666666666</v>
      </c>
      <c r="L16" s="7" t="n">
        <v>68953.83830657492</v>
      </c>
      <c r="M16" s="7" t="n">
        <v>17080.36132858441</v>
      </c>
      <c r="N16" s="7" t="n">
        <v>23066.309992137536</v>
      </c>
      <c r="O16" s="7" t="n">
        <v>16051.65748385209</v>
      </c>
      <c r="P16" s="7" t="n">
        <v>11577.8454161164</v>
      </c>
      <c r="Q16" s="7" t="n">
        <v>7121.15330684616</v>
      </c>
      <c r="R16" s="7" t="n">
        <v>12836.864257852954</v>
      </c>
      <c r="S16">
        <f si="1" t="shared"/>
        <v>184652.42964172363</v>
      </c>
    </row>
    <row r="17" spans="1:19" x14ac:dyDescent="0.25">
      <c r="A17" s="9">
        <v>0.25</v>
      </c>
      <c r="B17" s="21" t="n">
        <v>103596.45051966977</v>
      </c>
      <c r="C17" s="21" t="n">
        <v>37294.65110663747</v>
      </c>
      <c r="D17" s="21" t="n">
        <v>22245.60993813473</v>
      </c>
      <c r="E17" s="21" t="n">
        <v>11767.995875324787</v>
      </c>
      <c r="F17" s="21" t="n">
        <v>4275.881758432898</v>
      </c>
      <c r="G17" s="21" t="n">
        <v>6008.972347931489</v>
      </c>
      <c r="H17" s="21" t="n">
        <v>14896.381371864649</v>
      </c>
      <c r="I17" s="21">
        <f si="0" t="shared"/>
        <v>157486.70486540109</v>
      </c>
      <c r="K17" s="9">
        <v>0.25</v>
      </c>
      <c r="L17" s="7" t="n">
        <v>98174.01516533046</v>
      </c>
      <c r="M17" s="7" t="n">
        <v>30832.200948317448</v>
      </c>
      <c r="N17" s="7" t="n">
        <v>28821.29980956362</v>
      </c>
      <c r="O17" s="7" t="n">
        <v>21499.996266424987</v>
      </c>
      <c r="P17" s="7" t="n">
        <v>15464.508053101668</v>
      </c>
      <c r="Q17" s="7" t="n">
        <v>9318.003626939626</v>
      </c>
      <c r="R17" s="7" t="n">
        <v>17046.442892289353</v>
      </c>
      <c r="S17">
        <f si="1" t="shared"/>
        <v>266856.96798992157</v>
      </c>
    </row>
    <row r="18" spans="1:19" x14ac:dyDescent="0.25">
      <c r="A18" s="9">
        <v>0.27083333333333331</v>
      </c>
      <c r="B18" s="21" t="n">
        <v>133452.53144892206</v>
      </c>
      <c r="C18" s="21" t="n">
        <v>59489.038854893544</v>
      </c>
      <c r="D18" s="21" t="n">
        <v>34554.42297885162</v>
      </c>
      <c r="E18" s="21" t="n">
        <v>18175.128218621445</v>
      </c>
      <c r="F18" s="21" t="n">
        <v>7338.383199189149</v>
      </c>
      <c r="G18" s="21" t="n">
        <v>7463.207512794172</v>
      </c>
      <c r="H18" s="21" t="n">
        <v>18514.20258965355</v>
      </c>
      <c r="I18" s="21">
        <f si="0" t="shared"/>
        <v>217652.26441694764</v>
      </c>
      <c r="K18" s="9">
        <v>0.27083333333333331</v>
      </c>
      <c r="L18" s="7" t="n">
        <v>130133.04573849014</v>
      </c>
      <c r="M18" s="7" t="n">
        <v>48743.09524537549</v>
      </c>
      <c r="N18" s="7" t="n">
        <v>34337.91789477768</v>
      </c>
      <c r="O18" s="7" t="n">
        <v>27895.92607515304</v>
      </c>
      <c r="P18" s="7" t="n">
        <v>20320.983876554055</v>
      </c>
      <c r="Q18" s="7" t="n">
        <v>11619.995950044951</v>
      </c>
      <c r="R18" s="7" t="n">
        <v>21946.258996170833</v>
      </c>
      <c r="S18">
        <f si="1" t="shared"/>
        <v>354781.06463623047</v>
      </c>
    </row>
    <row r="19" spans="1:19" x14ac:dyDescent="0.25">
      <c r="A19" s="9">
        <v>0.29166666666666669</v>
      </c>
      <c r="B19" s="21" t="n">
        <v>158576.85187170526</v>
      </c>
      <c r="C19" s="21" t="n">
        <v>82122.1230502974</v>
      </c>
      <c r="D19" s="21" t="n">
        <v>47968.74097209833</v>
      </c>
      <c r="E19" s="21" t="n">
        <v>26576.657430420455</v>
      </c>
      <c r="F19" s="21" t="n">
        <v>12127.295026753924</v>
      </c>
      <c r="G19" s="21" t="n">
        <v>9069.995394400547</v>
      </c>
      <c r="H19" s="21" t="n">
        <v>22901.577894839415</v>
      </c>
      <c r="I19" s="21">
        <f si="0" t="shared"/>
        <v>277683.46809184481</v>
      </c>
      <c r="K19" s="9">
        <v>0.29166666666666669</v>
      </c>
      <c r="L19" s="7" t="n">
        <v>159278.91341257378</v>
      </c>
      <c r="M19" s="7" t="n">
        <v>67808.85193140266</v>
      </c>
      <c r="N19" s="7" t="n">
        <v>38719.69470317647</v>
      </c>
      <c r="O19" s="7" t="n">
        <v>34734.97905303511</v>
      </c>
      <c r="P19" s="7" t="n">
        <v>25850.84840413818</v>
      </c>
      <c r="Q19" s="7" t="n">
        <v>13771.054624302664</v>
      </c>
      <c r="R19" s="7" t="n">
        <v>27079.781999928757</v>
      </c>
      <c r="S19">
        <f si="1" t="shared"/>
        <v>431596.10792255402</v>
      </c>
    </row>
    <row r="20" spans="1:19" x14ac:dyDescent="0.25">
      <c r="A20" s="9">
        <v>0.3125</v>
      </c>
      <c r="B20" s="21" t="n">
        <v>173415.47946021106</v>
      </c>
      <c r="C20" s="21" t="n">
        <v>98815.3893735478</v>
      </c>
      <c r="D20" s="21" t="n">
        <v>59228.70391347503</v>
      </c>
      <c r="E20" s="21" t="n">
        <v>36588.04865203879</v>
      </c>
      <c r="F20" s="21" t="n">
        <v>19062.08407642348</v>
      </c>
      <c r="G20" s="21" t="n">
        <v>10784.994726908008</v>
      </c>
      <c r="H20" s="21" t="n">
        <v>28242.81497044176</v>
      </c>
      <c r="I20" s="21">
        <f si="0" t="shared"/>
        <v>325974.1478295867</v>
      </c>
      <c r="K20" s="9">
        <v>0.3125</v>
      </c>
      <c r="L20" s="7" t="n">
        <v>179645.0176536719</v>
      </c>
      <c r="M20" s="7" t="n">
        <v>83477.0438702481</v>
      </c>
      <c r="N20" s="7" t="n">
        <v>41485.79714931933</v>
      </c>
      <c r="O20" s="7" t="n">
        <v>41448.06954701674</v>
      </c>
      <c r="P20" s="7" t="n">
        <v>31677.11533074377</v>
      </c>
      <c r="Q20" s="7" t="n">
        <v>15624.86346408527</v>
      </c>
      <c r="R20" s="7" t="n">
        <v>31994.646433794605</v>
      </c>
      <c r="S20">
        <f si="1" t="shared"/>
        <v>482266.86872673035</v>
      </c>
    </row>
    <row r="21" spans="1:19" x14ac:dyDescent="0.25">
      <c r="A21" s="9">
        <v>0.33333333333333331</v>
      </c>
      <c r="B21" s="21" t="n">
        <v>174701.20352324084</v>
      </c>
      <c r="C21" s="21" t="n">
        <v>104281.86876286374</v>
      </c>
      <c r="D21" s="21" t="n">
        <v>64990.34172562707</v>
      </c>
      <c r="E21" s="21" t="n">
        <v>47311.218264738614</v>
      </c>
      <c r="F21" s="21" t="n">
        <v>28349.605409814292</v>
      </c>
      <c r="G21" s="21" t="n">
        <v>12545.36682284351</v>
      </c>
      <c r="H21" s="21" t="n">
        <v>34380.86046181001</v>
      </c>
      <c r="I21" s="21">
        <f si="0" t="shared"/>
        <v>353146.21280802373</v>
      </c>
      <c r="K21" s="9">
        <v>0.33333333333333331</v>
      </c>
      <c r="L21" s="7" t="n">
        <v>187016.1542727146</v>
      </c>
      <c r="M21" s="7" t="n">
        <v>91490.1369627158</v>
      </c>
      <c r="N21" s="7" t="n">
        <v>42682.99228811855</v>
      </c>
      <c r="O21" s="7" t="n">
        <v>47508.037227835885</v>
      </c>
      <c r="P21" s="7" t="n">
        <v>37450.499693439226</v>
      </c>
      <c r="Q21" s="7" t="n">
        <v>17201.089024693476</v>
      </c>
      <c r="R21" s="7" t="n">
        <v>36332.391683581656</v>
      </c>
      <c r="S21">
        <f si="1" t="shared"/>
        <v>500707.28242874146</v>
      </c>
    </row>
    <row r="22" spans="1:19" x14ac:dyDescent="0.25">
      <c r="A22" s="9">
        <v>0.35416666666666669</v>
      </c>
      <c r="B22" s="21" t="n">
        <v>163118.5974800917</v>
      </c>
      <c r="C22" s="21" t="n">
        <v>97062.28556779757</v>
      </c>
      <c r="D22" s="21" t="n">
        <v>63495.59574724559</v>
      </c>
      <c r="E22" s="21" t="n">
        <v>57527.440052949496</v>
      </c>
      <c r="F22" s="21" t="n">
        <v>39770.30080378618</v>
      </c>
      <c r="G22" s="21" t="n">
        <v>14398.468280752368</v>
      </c>
      <c r="H22" s="21" t="n">
        <v>40711.897931342886</v>
      </c>
      <c r="I22" s="21">
        <f si="0" t="shared"/>
        <v>356602.86572515912</v>
      </c>
      <c r="K22" s="9">
        <v>0.35416666666666669</v>
      </c>
      <c r="L22" s="7" t="n">
        <v>180584.921265496</v>
      </c>
      <c r="M22" s="7" t="n">
        <v>89885.08521872295</v>
      </c>
      <c r="N22" s="7" t="n">
        <v>42699.426911294155</v>
      </c>
      <c r="O22" s="7" t="n">
        <v>52509.736902136814</v>
      </c>
      <c r="P22" s="7" t="n">
        <v>42907.56499646205</v>
      </c>
      <c r="Q22" s="7" t="n">
        <v>18661.57338329205</v>
      </c>
      <c r="R22" s="7" t="n">
        <v>39855.64948880841</v>
      </c>
      <c r="S22">
        <f si="1" t="shared"/>
        <v>492229.7773399353</v>
      </c>
    </row>
    <row r="23" spans="1:19" x14ac:dyDescent="0.25">
      <c r="A23" s="9">
        <v>0.375</v>
      </c>
      <c r="B23" s="21" t="n">
        <v>142982.33276733925</v>
      </c>
      <c r="C23" s="21" t="n">
        <v>80197.34879344577</v>
      </c>
      <c r="D23" s="21" t="n">
        <v>55611.01230403822</v>
      </c>
      <c r="E23" s="21" t="n">
        <v>66139.95147549291</v>
      </c>
      <c r="F23" s="21" t="n">
        <v>52501.747222558864</v>
      </c>
      <c r="G23" s="21" t="n">
        <v>16620.853559162944</v>
      </c>
      <c r="H23" s="21" t="n">
        <v>46320.70721333948</v>
      </c>
      <c r="I23" s="21">
        <f si="0" t="shared"/>
        <v>341554.4070580086</v>
      </c>
      <c r="K23" s="9">
        <v>0.375</v>
      </c>
      <c r="L23" s="7" t="n">
        <v>163272.47806850745</v>
      </c>
      <c r="M23" s="7" t="n">
        <v>79858.41115997238</v>
      </c>
      <c r="N23" s="7" t="n">
        <v>41967.8729035804</v>
      </c>
      <c r="O23" s="7" t="n">
        <v>56215.658775436415</v>
      </c>
      <c r="P23" s="7" t="n">
        <v>47853.079038612326</v>
      </c>
      <c r="Q23" s="7" t="n">
        <v>20213.10579078834</v>
      </c>
      <c r="R23" s="7" t="n">
        <v>42441.936565440235</v>
      </c>
      <c r="S23">
        <f si="1" t="shared"/>
        <v>469469.21640300751</v>
      </c>
    </row>
    <row r="24" spans="1:19" x14ac:dyDescent="0.25">
      <c r="A24" s="9">
        <v>0.39583333333333331</v>
      </c>
      <c r="B24" s="21" t="n">
        <v>120139.05940938482</v>
      </c>
      <c r="C24" s="21" t="n">
        <v>59452.872960076405</v>
      </c>
      <c r="D24" s="21" t="n">
        <v>44440.53178885086</v>
      </c>
      <c r="E24" s="21" t="n">
        <v>72590.39968963987</v>
      </c>
      <c r="F24" s="21" t="n">
        <v>65121.35079874596</v>
      </c>
      <c r="G24" s="21" t="n">
        <v>19701.170163272385</v>
      </c>
      <c r="H24" s="21" t="n">
        <v>50337.139038843095</v>
      </c>
      <c r="I24" s="21">
        <f si="0" t="shared"/>
        <v>317884.6099791404</v>
      </c>
      <c r="K24" s="9">
        <v>0.39583333333333331</v>
      </c>
      <c r="L24" s="7" t="n">
        <v>140505.19297334392</v>
      </c>
      <c r="M24" s="7" t="n">
        <v>64962.782696589755</v>
      </c>
      <c r="N24" s="7" t="n">
        <v>40768.79764654104</v>
      </c>
      <c r="O24" s="7" t="n">
        <v>58555.3230918744</v>
      </c>
      <c r="P24" s="7" t="n">
        <v>52107.29728457965</v>
      </c>
      <c r="Q24" s="7" t="n">
        <v>21980.415937469912</v>
      </c>
      <c r="R24" s="7" t="n">
        <v>44073.91848529716</v>
      </c>
      <c r="S24">
        <f si="1" t="shared"/>
        <v>444778.22491836548</v>
      </c>
    </row>
    <row r="25" spans="1:19" x14ac:dyDescent="0.25">
      <c r="A25" s="9">
        <v>0.41666666666666669</v>
      </c>
      <c r="B25" s="21" t="n">
        <v>99601.06644175483</v>
      </c>
      <c r="C25" s="21" t="n">
        <v>40419.45360460415</v>
      </c>
      <c r="D25" s="21" t="n">
        <v>33708.41752853655</v>
      </c>
      <c r="E25" s="21" t="n">
        <v>76906.7189705536</v>
      </c>
      <c r="F25" s="21" t="n">
        <v>75957.02969586119</v>
      </c>
      <c r="G25" s="21" t="n">
        <v>24093.474984303844</v>
      </c>
      <c r="H25" s="21" t="n">
        <v>52309.17475204618</v>
      </c>
      <c r="I25" s="21">
        <f si="0" t="shared"/>
        <v>295199.82941960124</v>
      </c>
      <c r="K25" s="9">
        <v>0.41666666666666669</v>
      </c>
      <c r="L25" s="7" t="n">
        <v>118028.51152446592</v>
      </c>
      <c r="M25" s="7" t="n">
        <v>49275.38003071088</v>
      </c>
      <c r="N25" s="7" t="n">
        <v>39225.91312623139</v>
      </c>
      <c r="O25" s="7" t="n">
        <v>59604.85777233726</v>
      </c>
      <c r="P25" s="7" t="n">
        <v>55499.83612974328</v>
      </c>
      <c r="Q25" s="7" t="n">
        <v>23925.60815338998</v>
      </c>
      <c r="R25" s="7" t="n">
        <v>44843.81143483893</v>
      </c>
      <c r="S25">
        <f si="1" t="shared"/>
        <v>424616.03304576874</v>
      </c>
    </row>
    <row r="26" spans="1:19" x14ac:dyDescent="0.25">
      <c r="A26" s="9">
        <v>0.4375</v>
      </c>
      <c r="B26" s="21" t="n">
        <v>84262.05297383956</v>
      </c>
      <c r="C26" s="21" t="n">
        <v>26351.526779666747</v>
      </c>
      <c r="D26" s="21" t="n">
        <v>26014.973661914548</v>
      </c>
      <c r="E26" s="21" t="n">
        <v>79365.94135160312</v>
      </c>
      <c r="F26" s="21" t="n">
        <v>83747.56005188468</v>
      </c>
      <c r="G26" s="21" t="n">
        <v>29772.083100241794</v>
      </c>
      <c r="H26" s="21" t="n">
        <v>52350.03089639635</v>
      </c>
      <c r="I26" s="21">
        <f si="0" t="shared"/>
        <v>279185.10419783666</v>
      </c>
      <c r="K26" s="9">
        <v>0.4375</v>
      </c>
      <c r="L26" s="7" t="n">
        <v>99851.56166144156</v>
      </c>
      <c r="M26" s="7" t="n">
        <v>35763.18816606953</v>
      </c>
      <c r="N26" s="7" t="n">
        <v>37437.97560132494</v>
      </c>
      <c r="O26" s="7" t="n">
        <v>59594.485076188415</v>
      </c>
      <c r="P26" s="7" t="n">
        <v>57952.57850122095</v>
      </c>
      <c r="Q26" s="7" t="n">
        <v>25871.992905434938</v>
      </c>
      <c r="R26" s="7" t="n">
        <v>44972.167895715174</v>
      </c>
      <c r="S26">
        <f si="1" t="shared"/>
        <v>409304.76874923706</v>
      </c>
    </row>
    <row r="27" spans="1:19" x14ac:dyDescent="0.25">
      <c r="A27" s="9">
        <v>0.45833333333333331</v>
      </c>
      <c r="B27" s="21" t="n">
        <v>74843.77352430506</v>
      </c>
      <c r="C27" s="21" t="n">
        <v>17747.7608926253</v>
      </c>
      <c r="D27" s="21" t="n">
        <v>22067.35793418082</v>
      </c>
      <c r="E27" s="21" t="n">
        <v>80181.58882260142</v>
      </c>
      <c r="F27" s="21" t="n">
        <v>88202.97064128268</v>
      </c>
      <c r="G27" s="21" t="n">
        <v>35858.492330880596</v>
      </c>
      <c r="H27" s="21" t="n">
        <v>51004.95626611509</v>
      </c>
      <c r="I27" s="21">
        <f si="0" t="shared"/>
        <v>270791.00091039774</v>
      </c>
      <c r="K27" s="9">
        <v>0.45833333333333331</v>
      </c>
      <c r="L27" s="7" t="n">
        <v>87290.35496854523</v>
      </c>
      <c r="M27" s="7" t="n">
        <v>25665.928220317437</v>
      </c>
      <c r="N27" s="7" t="n">
        <v>35606.08397818661</v>
      </c>
      <c r="O27" s="7" t="n">
        <v>58931.386190186364</v>
      </c>
      <c r="P27" s="7" t="n">
        <v>59591.50966869258</v>
      </c>
      <c r="Q27" s="7" t="n">
        <v>27611.8627826407</v>
      </c>
      <c r="R27" s="7" t="n">
        <v>44812.546452139286</v>
      </c>
      <c r="S27">
        <f si="1" t="shared"/>
        <v>396737.71460056305</v>
      </c>
    </row>
    <row r="28" spans="1:19" x14ac:dyDescent="0.25">
      <c r="A28" s="9">
        <v>0.47916666666666669</v>
      </c>
      <c r="B28" s="21" t="n">
        <v>70405.12825662157</v>
      </c>
      <c r="C28" s="21" t="n">
        <v>13327.139487159118</v>
      </c>
      <c r="D28" s="21" t="n">
        <v>21143.733360979873</v>
      </c>
      <c r="E28" s="21" t="n">
        <v>79587.59701901597</v>
      </c>
      <c r="F28" s="21" t="n">
        <v>89994.32617505085</v>
      </c>
      <c r="G28" s="21" t="n">
        <v>40746.048437821075</v>
      </c>
      <c r="H28" s="21" t="n">
        <v>48998.50850528324</v>
      </c>
      <c r="I28" s="21">
        <f si="0" t="shared"/>
        <v>267717.69657071761</v>
      </c>
      <c r="K28" s="9">
        <v>0.47916666666666669</v>
      </c>
      <c r="L28" s="7" t="n">
        <v>79373.67238606996</v>
      </c>
      <c r="M28" s="7" t="n">
        <v>18851.389717037535</v>
      </c>
      <c r="N28" s="7" t="n">
        <v>34041.43097826798</v>
      </c>
      <c r="O28" s="7" t="n">
        <v>58150.63105006468</v>
      </c>
      <c r="P28" s="7" t="n">
        <v>60763.79128069272</v>
      </c>
      <c r="Q28" s="7" t="n">
        <v>29013.425002568067</v>
      </c>
      <c r="R28" s="7" t="n">
        <v>44796.831119663315</v>
      </c>
      <c r="S28">
        <f si="1" t="shared"/>
        <v>385851.51763248444</v>
      </c>
    </row>
    <row r="29" spans="1:19" x14ac:dyDescent="0.25">
      <c r="A29" s="9">
        <v>0.5</v>
      </c>
      <c r="B29" s="21" t="n">
        <v>68941.20019282778</v>
      </c>
      <c r="C29" s="21" t="n">
        <v>11345.201418425106</v>
      </c>
      <c r="D29" s="21" t="n">
        <v>22188.76971332204</v>
      </c>
      <c r="E29" s="21" t="n">
        <v>78151.163264035</v>
      </c>
      <c r="F29" s="21" t="n">
        <v>90184.47676816219</v>
      </c>
      <c r="G29" s="21" t="n">
        <v>42879.45704600469</v>
      </c>
      <c r="H29" s="21" t="n">
        <v>47042.269287459465</v>
      </c>
      <c r="I29" s="21">
        <f si="0" t="shared"/>
        <v>266759.77076929988</v>
      </c>
      <c r="K29" s="9">
        <v>0.5</v>
      </c>
      <c r="L29" s="7" t="n">
        <v>74092.45885948646</v>
      </c>
      <c r="M29" s="7" t="n">
        <v>14555.706308517707</v>
      </c>
      <c r="N29" s="7" t="n">
        <v>33049.76915033861</v>
      </c>
      <c r="O29" s="7" t="n">
        <v>57744.79098027274</v>
      </c>
      <c r="P29" s="7" t="n">
        <v>61900.883378907834</v>
      </c>
      <c r="Q29" s="7" t="n">
        <v>30058.81328806549</v>
      </c>
      <c r="R29" s="7" t="n">
        <v>45309.461298651</v>
      </c>
      <c r="S29">
        <f si="1" t="shared"/>
        <v>377207.13573455811</v>
      </c>
    </row>
    <row r="30" spans="1:19" x14ac:dyDescent="0.25">
      <c r="A30" s="9">
        <v>0.52083333333333337</v>
      </c>
      <c r="B30" s="21" t="n">
        <v>68105.87279388735</v>
      </c>
      <c r="C30" s="21" t="n">
        <v>10447.092829025198</v>
      </c>
      <c r="D30" s="21" t="n">
        <v>24698.82049789246</v>
      </c>
      <c r="E30" s="21" t="n">
        <v>76802.22631792186</v>
      </c>
      <c r="F30" s="21" t="n">
        <v>89636.09701706053</v>
      </c>
      <c r="G30" s="21" t="n">
        <v>41718.37348708626</v>
      </c>
      <c r="H30" s="21" t="n">
        <v>45751.09857850149</v>
      </c>
      <c r="I30" s="21">
        <f si="0" t="shared"/>
        <v>265783.05484676512</v>
      </c>
      <c r="K30" s="9">
        <v>0.52083333333333337</v>
      </c>
      <c r="L30" s="7" t="n">
        <v>69645.58417318959</v>
      </c>
      <c r="M30" s="7" t="n">
        <v>11971.33680958067</v>
      </c>
      <c r="N30" s="7" t="n">
        <v>32797.40767645292</v>
      </c>
      <c r="O30" s="7" t="n">
        <v>57966.52745982757</v>
      </c>
      <c r="P30" s="7" t="n">
        <v>63321.059677776124</v>
      </c>
      <c r="Q30" s="7" t="n">
        <v>30812.649977362897</v>
      </c>
      <c r="R30" s="7" t="n">
        <v>46553.642308841794</v>
      </c>
      <c r="S30">
        <f si="1" t="shared"/>
        <v>371493.12768363953</v>
      </c>
    </row>
    <row r="31" spans="1:19" x14ac:dyDescent="0.25">
      <c r="A31" s="9">
        <v>0.54166666666666663</v>
      </c>
      <c r="B31" s="21" t="n">
        <v>66068.09158694421</v>
      </c>
      <c r="C31" s="21" t="n">
        <v>9904.321407772226</v>
      </c>
      <c r="D31" s="21" t="n">
        <v>28875.282818081905</v>
      </c>
      <c r="E31" s="21" t="n">
        <v>76401.96097440063</v>
      </c>
      <c r="F31" s="21" t="n">
        <v>88872.25335395688</v>
      </c>
      <c r="G31" s="21" t="n">
        <v>38090.797126325786</v>
      </c>
      <c r="H31" s="21" t="n">
        <v>45617.80598550488</v>
      </c>
      <c r="I31" s="21">
        <f si="0" t="shared"/>
        <v>264596.20694613643</v>
      </c>
      <c r="K31" s="9">
        <v>0.54166666666666663</v>
      </c>
      <c r="L31" s="7" t="n">
        <v>65086.67090714483</v>
      </c>
      <c r="M31" s="7" t="n">
        <v>10496.625693985563</v>
      </c>
      <c r="N31" s="7" t="n">
        <v>33277.010031330654</v>
      </c>
      <c r="O31" s="7" t="n">
        <v>58778.907658887685</v>
      </c>
      <c r="P31" s="7" t="n">
        <v>65147.14845577537</v>
      </c>
      <c r="Q31" s="7" t="n">
        <v>31365.476612473707</v>
      </c>
      <c r="R31" s="7" t="n">
        <v>48514.89601441571</v>
      </c>
      <c r="S31">
        <f si="1" t="shared"/>
        <v>368385.75783443451</v>
      </c>
    </row>
    <row r="32" spans="1:19" x14ac:dyDescent="0.25">
      <c r="A32" s="9">
        <v>0.5625</v>
      </c>
      <c r="B32" s="21" t="n">
        <v>62114.24319266045</v>
      </c>
      <c r="C32" s="21" t="n">
        <v>9470.839738159173</v>
      </c>
      <c r="D32" s="21" t="n">
        <v>35042.59159245021</v>
      </c>
      <c r="E32" s="21" t="n">
        <v>77230.24930561072</v>
      </c>
      <c r="F32" s="21" t="n">
        <v>88310.27091289476</v>
      </c>
      <c r="G32" s="21" t="n">
        <v>33622.44005949462</v>
      </c>
      <c r="H32" s="21" t="n">
        <v>46989.39738409857</v>
      </c>
      <c r="I32" s="21">
        <f si="0" t="shared"/>
        <v>264452.91260547919</v>
      </c>
      <c r="K32" s="9">
        <v>0.5625</v>
      </c>
      <c r="L32" s="7" t="n">
        <v>60293.242238962695</v>
      </c>
      <c r="M32" s="7" t="n">
        <v>9736.82300982898</v>
      </c>
      <c r="N32" s="7" t="n">
        <v>34394.442045857475</v>
      </c>
      <c r="O32" s="7" t="n">
        <v>60014.93836193442</v>
      </c>
      <c r="P32" s="7" t="n">
        <v>67412.06505267392</v>
      </c>
      <c r="Q32" s="7" t="n">
        <v>31795.51646639584</v>
      </c>
      <c r="R32" s="7" t="n">
        <v>51067.36283472073</v>
      </c>
      <c r="S32">
        <f si="1" t="shared"/>
        <v>366991.80909729004</v>
      </c>
    </row>
    <row r="33" spans="1:19" x14ac:dyDescent="0.25">
      <c r="A33" s="9">
        <v>0.58333333333333337</v>
      </c>
      <c r="B33" s="21" t="n">
        <v>56591.771898883926</v>
      </c>
      <c r="C33" s="21" t="n">
        <v>9114.477218892782</v>
      </c>
      <c r="D33" s="21" t="n">
        <v>42817.67138206172</v>
      </c>
      <c r="E33" s="21" t="n">
        <v>78840.75281467258</v>
      </c>
      <c r="F33" s="21" t="n">
        <v>88398.78579318618</v>
      </c>
      <c r="G33" s="21" t="n">
        <v>29768.08851044474</v>
      </c>
      <c r="H33" s="21" t="n">
        <v>50025.21985588733</v>
      </c>
      <c r="I33" s="21">
        <f si="0" t="shared"/>
        <v>266588.44649737701</v>
      </c>
      <c r="K33" s="9">
        <v>0.58333333333333337</v>
      </c>
      <c r="L33" s="7" t="n">
        <v>55562.03167562961</v>
      </c>
      <c r="M33" s="7" t="n">
        <v>9416.793771821058</v>
      </c>
      <c r="N33" s="7" t="n">
        <v>36079.36278762622</v>
      </c>
      <c r="O33" s="7" t="n">
        <v>61592.327445982635</v>
      </c>
      <c r="P33" s="7" t="n">
        <v>70217.57620825348</v>
      </c>
      <c r="Q33" s="7" t="n">
        <v>32166.02789445409</v>
      </c>
      <c r="R33" s="7" t="n">
        <v>54135.25931477964</v>
      </c>
      <c r="S33">
        <f si="1" t="shared"/>
        <v>367042.52005958557</v>
      </c>
    </row>
    <row r="34" spans="1:19" x14ac:dyDescent="0.25">
      <c r="A34" s="9">
        <v>0.60416666666666663</v>
      </c>
      <c r="B34" s="21" t="n">
        <v>50314.14489242264</v>
      </c>
      <c r="C34" s="21" t="n">
        <v>8795.959042531436</v>
      </c>
      <c r="D34" s="21" t="n">
        <v>50761.60370270206</v>
      </c>
      <c r="E34" s="21" t="n">
        <v>80335.86964970487</v>
      </c>
      <c r="F34" s="21" t="n">
        <v>89376.19792081711</v>
      </c>
      <c r="G34" s="21" t="n">
        <v>27248.80642629954</v>
      </c>
      <c r="H34" s="21" t="n">
        <v>54672.0407782749</v>
      </c>
      <c r="I34" s="21">
        <f si="0" t="shared"/>
        <v>270884.21596913296</v>
      </c>
      <c r="K34" s="9">
        <v>0.60416666666666663</v>
      </c>
      <c r="L34" s="7" t="n">
        <v>51205.850143368654</v>
      </c>
      <c r="M34" s="7" t="n">
        <v>9310.51622180595</v>
      </c>
      <c r="N34" s="7" t="n">
        <v>38300.0497633861</v>
      </c>
      <c r="O34" s="7" t="n">
        <v>63551.54142192307</v>
      </c>
      <c r="P34" s="7" t="n">
        <v>73728.90176351514</v>
      </c>
      <c r="Q34" s="7" t="n">
        <v>32541.101874826352</v>
      </c>
      <c r="R34" s="7" t="n">
        <v>57748.32897739719</v>
      </c>
      <c r="S34">
        <f si="1" t="shared"/>
        <v>369249.94431114197</v>
      </c>
    </row>
    <row r="35" spans="1:19" x14ac:dyDescent="0.25">
      <c r="A35" s="9">
        <v>0.625</v>
      </c>
      <c r="B35" s="21" t="n">
        <v>43968.980507003245</v>
      </c>
      <c r="C35" s="21" t="n">
        <v>8404.951842171016</v>
      </c>
      <c r="D35" s="21" t="n">
        <v>56922.81114447527</v>
      </c>
      <c r="E35" s="21" t="n">
        <v>80806.26806169038</v>
      </c>
      <c r="F35" s="21" t="n">
        <v>90901.6222899255</v>
      </c>
      <c r="G35" s="21" t="n">
        <v>26172.556409612695</v>
      </c>
      <c r="H35" s="21" t="n">
        <v>60719.12614811702</v>
      </c>
      <c r="I35" s="21">
        <f si="0" t="shared"/>
        <v>275730.70272248302</v>
      </c>
      <c r="K35" s="9">
        <v>0.625</v>
      </c>
      <c r="L35" s="7" t="n">
        <v>47357.237328395284</v>
      </c>
      <c r="M35" s="7" t="n">
        <v>9222.3944507058</v>
      </c>
      <c r="N35" s="7" t="n">
        <v>40962.22092167936</v>
      </c>
      <c r="O35" s="7" t="n">
        <v>65859.05027065455</v>
      </c>
      <c r="P35" s="7" t="n">
        <v>77949.44743424878</v>
      </c>
      <c r="Q35" s="7" t="n">
        <v>32981.34645614382</v>
      </c>
      <c r="R35" s="7" t="n">
        <v>61918.95267871305</v>
      </c>
      <c r="S35">
        <f si="1" t="shared"/>
        <v>374190.96605014801</v>
      </c>
    </row>
    <row r="36" spans="1:19" x14ac:dyDescent="0.25">
      <c r="A36" s="9">
        <v>0.64583333333333337</v>
      </c>
      <c r="B36" s="21" t="n">
        <v>37906.83451249273</v>
      </c>
      <c r="C36" s="21" t="n">
        <v>7847.703990450604</v>
      </c>
      <c r="D36" s="21" t="n">
        <v>59872.538621114785</v>
      </c>
      <c r="E36" s="21" t="n">
        <v>79697.74529063818</v>
      </c>
      <c r="F36" s="21" t="n">
        <v>92063.72016068973</v>
      </c>
      <c r="G36" s="21" t="n">
        <v>26449.137660136654</v>
      </c>
      <c r="H36" s="21" t="n">
        <v>67917.6292403178</v>
      </c>
      <c r="I36" s="21">
        <f si="0" t="shared"/>
        <v>279115.45292065915</v>
      </c>
      <c r="K36" s="9">
        <v>0.64583333333333337</v>
      </c>
      <c r="L36" s="7" t="n">
        <v>43962.94175884823</v>
      </c>
      <c r="M36" s="7" t="n">
        <v>9010.604026654877</v>
      </c>
      <c r="N36" s="7" t="n">
        <v>43792.54688513257</v>
      </c>
      <c r="O36" s="7" t="n">
        <v>68173.83606157493</v>
      </c>
      <c r="P36" s="7" t="n">
        <v>82469.99010258747</v>
      </c>
      <c r="Q36" s="7" t="n">
        <v>33500.328462785095</v>
      </c>
      <c r="R36" s="7" t="n">
        <v>66449.50115001357</v>
      </c>
      <c r="S36">
        <f si="1" t="shared"/>
        <v>380607.41806125641</v>
      </c>
    </row>
    <row r="37" spans="1:19" x14ac:dyDescent="0.25">
      <c r="A37" s="9">
        <v>0.66666666666666663</v>
      </c>
      <c r="B37" s="21" t="n">
        <v>32240.17872515313</v>
      </c>
      <c r="C37" s="21" t="n">
        <v>7143.542730374982</v>
      </c>
      <c r="D37" s="21" t="n">
        <v>59327.928979111966</v>
      </c>
      <c r="E37" s="21" t="n">
        <v>76987.85821067417</v>
      </c>
      <c r="F37" s="21" t="n">
        <v>91900.82848432062</v>
      </c>
      <c r="G37" s="21" t="n">
        <v>27980.95764436345</v>
      </c>
      <c r="H37" s="21" t="n">
        <v>75998.82529809196</v>
      </c>
      <c r="I37" s="21">
        <f si="0" t="shared"/>
        <v>279792.03544688062</v>
      </c>
      <c r="K37" s="9">
        <v>0.66666666666666663</v>
      </c>
      <c r="L37" s="7" t="n">
        <v>40849.944495684926</v>
      </c>
      <c r="M37" s="7" t="n">
        <v>8616.682071194771</v>
      </c>
      <c r="N37" s="7" t="n">
        <v>46329.329880424586</v>
      </c>
      <c r="O37" s="7" t="n">
        <v>69832.52243527501</v>
      </c>
      <c r="P37" s="7" t="n">
        <v>86450.13024528697</v>
      </c>
      <c r="Q37" s="7" t="n">
        <v>34010.85589853911</v>
      </c>
      <c r="R37" s="7" t="n">
        <v>70853.82952222947</v>
      </c>
      <c r="S37">
        <f si="1" t="shared"/>
        <v>384663.85620212555</v>
      </c>
    </row>
    <row r="38" spans="1:19" x14ac:dyDescent="0.25">
      <c r="A38" s="9">
        <v>0.6875</v>
      </c>
      <c r="B38" s="21" t="n">
        <v>26992.324263173068</v>
      </c>
      <c r="C38" s="21" t="n">
        <v>6396.256298616092</v>
      </c>
      <c r="D38" s="21" t="n">
        <v>55913.117596236894</v>
      </c>
      <c r="E38" s="21" t="n">
        <v>73098.97639542278</v>
      </c>
      <c r="F38" s="21" t="n">
        <v>89976.13448395868</v>
      </c>
      <c r="G38" s="21" t="n">
        <v>30501.94785183287</v>
      </c>
      <c r="H38" s="21" t="n">
        <v>84417.26586639733</v>
      </c>
      <c r="I38" s="21">
        <f si="0" t="shared"/>
        <v>277371.49231825554</v>
      </c>
      <c r="K38" s="9">
        <v>0.6875</v>
      </c>
      <c r="L38" s="7" t="n">
        <v>37786.682255690175</v>
      </c>
      <c r="M38" s="7" t="n">
        <v>8061.887504493112</v>
      </c>
      <c r="N38" s="7" t="n">
        <v>48047.40542669612</v>
      </c>
      <c r="O38" s="7" t="n">
        <v>70098.1950675048</v>
      </c>
      <c r="P38" s="7" t="n">
        <v>88891.26463676554</v>
      </c>
      <c r="Q38" s="7" t="n">
        <v>34311.754566564705</v>
      </c>
      <c r="R38" s="7" t="n">
        <v>74456.10971823914</v>
      </c>
      <c r="S38">
        <f si="1" t="shared"/>
        <v>380981.92804908752</v>
      </c>
    </row>
    <row r="39" spans="1:19" x14ac:dyDescent="0.25">
      <c r="A39" s="9">
        <v>0.70833333333333337</v>
      </c>
      <c r="B39" s="21" t="n">
        <v>22169.344406377324</v>
      </c>
      <c r="C39" s="21" t="n">
        <v>5676.036136710978</v>
      </c>
      <c r="D39" s="21" t="n">
        <v>50514.92861136976</v>
      </c>
      <c r="E39" s="21" t="n">
        <v>68547.47518771769</v>
      </c>
      <c r="F39" s="21" t="n">
        <v>86475.21737642272</v>
      </c>
      <c r="G39" s="21" t="n">
        <v>33348.676963282036</v>
      </c>
      <c r="H39" s="21" t="n">
        <v>91929.64029102925</v>
      </c>
      <c r="I39" s="21">
        <f si="0" t="shared"/>
        <v>271396.9504380885</v>
      </c>
      <c r="K39" s="9">
        <v>0.70833333333333337</v>
      </c>
      <c r="L39" s="7" t="n">
        <v>34543.15421464062</v>
      </c>
      <c r="M39" s="7" t="n">
        <v>7401.454805519956</v>
      </c>
      <c r="N39" s="7" t="n">
        <v>48530.224031282225</v>
      </c>
      <c r="O39" s="7" t="n">
        <v>68472.71737134719</v>
      </c>
      <c r="P39" s="7" t="n">
        <v>89011.63861089695</v>
      </c>
      <c r="Q39" s="7" t="n">
        <v>34136.63666746501</v>
      </c>
      <c r="R39" s="7" t="n">
        <v>76566.05601544418</v>
      </c>
      <c r="S39">
        <f si="1" t="shared"/>
        <v>364934.35134792328</v>
      </c>
    </row>
    <row r="40" spans="1:19" x14ac:dyDescent="0.25">
      <c r="A40" s="9">
        <v>0.72916666666666663</v>
      </c>
      <c r="B40" s="21" t="n">
        <v>17781.93294290301</v>
      </c>
      <c r="C40" s="21" t="n">
        <v>4960.06879124908</v>
      </c>
      <c r="D40" s="21" t="n">
        <v>43932.7201555298</v>
      </c>
      <c r="E40" s="21" t="n">
        <v>63527.83945716774</v>
      </c>
      <c r="F40" s="21" t="n">
        <v>81811.99734429257</v>
      </c>
      <c r="G40" s="21" t="n">
        <v>35502.978864596036</v>
      </c>
      <c r="H40" s="21" t="n">
        <v>96486.00328590232</v>
      </c>
      <c r="I40" s="21">
        <f si="0" t="shared"/>
        <v>260572.63039813878</v>
      </c>
      <c r="K40" s="9">
        <v>0.72916666666666663</v>
      </c>
      <c r="L40" s="7" t="n">
        <v>30968.172329572128</v>
      </c>
      <c r="M40" s="7" t="n">
        <v>6672.892282230452</v>
      </c>
      <c r="N40" s="7" t="n">
        <v>47580.64577544347</v>
      </c>
      <c r="O40" s="7" t="n">
        <v>64853.19279622566</v>
      </c>
      <c r="P40" s="7" t="n">
        <v>86483.91138612755</v>
      </c>
      <c r="Q40" s="7" t="n">
        <v>33245.202486254115</v>
      </c>
      <c r="R40" s="7" t="n">
        <v>76625.55798582517</v>
      </c>
      <c r="S40">
        <f si="1" t="shared"/>
        <v>334880.43567657471</v>
      </c>
    </row>
    <row r="41" spans="1:19" x14ac:dyDescent="0.25">
      <c r="A41" s="9">
        <v>0.75</v>
      </c>
      <c r="B41" s="21" t="n">
        <v>13858.224565435454</v>
      </c>
      <c r="C41" s="21" t="n">
        <v>4192.271249879872</v>
      </c>
      <c r="D41" s="21" t="n">
        <v>36930.099795940834</v>
      </c>
      <c r="E41" s="21" t="n">
        <v>57774.06064623715</v>
      </c>
      <c r="F41" s="21" t="n">
        <v>76185.89954872197</v>
      </c>
      <c r="G41" s="21" t="n">
        <v>35969.51918620988</v>
      </c>
      <c r="H41" s="21" t="n">
        <v>95867.60276295285</v>
      </c>
      <c r="I41" s="21">
        <f si="0" t="shared"/>
        <v>243135.52732421845</v>
      </c>
      <c r="K41" s="9">
        <v>0.75</v>
      </c>
      <c r="L41" s="7" t="n">
        <v>27062.00285176556</v>
      </c>
      <c r="M41" s="7" t="n">
        <v>5885.22808371324</v>
      </c>
      <c r="N41" s="7" t="n">
        <v>45237.651805436486</v>
      </c>
      <c r="O41" s="7" t="n">
        <v>59499.887478481425</v>
      </c>
      <c r="P41" s="7" t="n">
        <v>81451.02081604475</v>
      </c>
      <c r="Q41" s="7" t="n">
        <v>31520.23029930137</v>
      </c>
      <c r="R41" s="7" t="n">
        <v>74338.41077000601</v>
      </c>
      <c r="S41">
        <f si="1" t="shared"/>
        <v>293164.42273807526</v>
      </c>
    </row>
    <row r="42" spans="1:19" x14ac:dyDescent="0.25">
      <c r="A42" s="9">
        <v>0.77083333333333337</v>
      </c>
      <c r="B42" s="21" t="n">
        <v>10448.543319540757</v>
      </c>
      <c r="C42" s="21" t="n">
        <v>3371.9807548111016</v>
      </c>
      <c r="D42" s="21" t="n">
        <v>30289.28990024953</v>
      </c>
      <c r="E42" s="21" t="n">
        <v>50865.931389472345</v>
      </c>
      <c r="F42" s="21" t="n">
        <v>69469.90239258792</v>
      </c>
      <c r="G42" s="21" t="n">
        <v>34235.13225065059</v>
      </c>
      <c r="H42" s="21" t="n">
        <v>88876.65334471148</v>
      </c>
      <c r="I42" s="21">
        <f si="0" t="shared"/>
        <v>218171.16919252416</v>
      </c>
      <c r="K42" s="9">
        <v>0.77083333333333337</v>
      </c>
      <c r="L42" s="7" t="n">
        <v>22997.755502342156</v>
      </c>
      <c r="M42" s="7" t="n">
        <v>5053.146726060542</v>
      </c>
      <c r="N42" s="7" t="n">
        <v>41735.92852592291</v>
      </c>
      <c r="O42" s="7" t="n">
        <v>52924.3721373156</v>
      </c>
      <c r="P42" s="7" t="n">
        <v>74394.39585742822</v>
      </c>
      <c r="Q42" s="7" t="n">
        <v>29028.537975937073</v>
      </c>
      <c r="R42" s="7" t="n">
        <v>69806.91884345045</v>
      </c>
      <c r="S42">
        <f si="1" t="shared"/>
        <v>245378.35569190979</v>
      </c>
    </row>
    <row r="43" spans="1:19" x14ac:dyDescent="0.25">
      <c r="A43" s="9">
        <v>0.79166666666666663</v>
      </c>
      <c r="B43" s="21" t="n">
        <v>7616.261348530524</v>
      </c>
      <c r="C43" s="21" t="n">
        <v>2567.7397740872243</v>
      </c>
      <c r="D43" s="21" t="n">
        <v>24638.39558743569</v>
      </c>
      <c r="E43" s="21" t="n">
        <v>42736.323364355456</v>
      </c>
      <c r="F43" s="21" t="n">
        <v>61451.37855655333</v>
      </c>
      <c r="G43" s="21" t="n">
        <v>30479.223527571587</v>
      </c>
      <c r="H43" s="21" t="n">
        <v>76227.21587246697</v>
      </c>
      <c r="I43" s="21">
        <f si="0" t="shared"/>
        <v>186754.7407102393</v>
      </c>
      <c r="K43" s="9">
        <v>0.79166666666666663</v>
      </c>
      <c r="L43" s="7" t="n">
        <v>19064.912560245513</v>
      </c>
      <c r="M43" s="7" t="n">
        <v>4228.405387818214</v>
      </c>
      <c r="N43" s="7" t="n">
        <v>37437.88210063703</v>
      </c>
      <c r="O43" s="7" t="n">
        <v>45766.9097670722</v>
      </c>
      <c r="P43" s="7" t="n">
        <v>65954.96766683753</v>
      </c>
      <c r="Q43" s="7" t="n">
        <v>26004.753691543938</v>
      </c>
      <c r="R43" s="7" t="n">
        <v>63567.58607972465</v>
      </c>
      <c r="S43">
        <f si="1" t="shared"/>
        <v>198192.04316616058</v>
      </c>
    </row>
    <row r="44" spans="1:19" x14ac:dyDescent="0.25">
      <c r="A44" s="9">
        <v>0.8125</v>
      </c>
      <c r="B44" s="21" t="n">
        <v>5416.8652306586155</v>
      </c>
      <c r="C44" s="21" t="n">
        <v>1861.6909660570284</v>
      </c>
      <c r="D44" s="21" t="n">
        <v>20233.5353646975</v>
      </c>
      <c r="E44" s="21" t="n">
        <v>33923.65173731258</v>
      </c>
      <c r="F44" s="21" t="n">
        <v>52190.2603224829</v>
      </c>
      <c r="G44" s="21" t="n">
        <v>25418.784152888926</v>
      </c>
      <c r="H44" s="21" t="n">
        <v>60379.72667886737</v>
      </c>
      <c r="I44" s="21">
        <f si="0" t="shared"/>
        <v>151965.41844481867</v>
      </c>
      <c r="K44" s="9">
        <v>0.8125</v>
      </c>
      <c r="L44" s="7" t="n">
        <v>15553.945639831372</v>
      </c>
      <c r="M44" s="7" t="n">
        <v>3483.675266477144</v>
      </c>
      <c r="N44" s="7" t="n">
        <v>32736.951879283824</v>
      </c>
      <c r="O44" s="7" t="n">
        <v>38646.77864843905</v>
      </c>
      <c r="P44" s="7" t="n">
        <v>56767.99326015373</v>
      </c>
      <c r="Q44" s="7" t="n">
        <v>22750.033494569878</v>
      </c>
      <c r="R44" s="7" t="n">
        <v>56389.197350990726</v>
      </c>
      <c r="S44">
        <f si="1" t="shared"/>
        <v>156795.944688797</v>
      </c>
    </row>
    <row r="45" spans="1:19" x14ac:dyDescent="0.25">
      <c r="A45" s="9">
        <v>0.83333333333333337</v>
      </c>
      <c r="B45" s="21" t="n">
        <v>3863.8107658897366</v>
      </c>
      <c r="C45" s="21" t="n">
        <v>1301.2775846073012</v>
      </c>
      <c r="D45" s="21" t="n">
        <v>16937.62776855936</v>
      </c>
      <c r="E45" s="21" t="n">
        <v>25361.912177316102</v>
      </c>
      <c r="F45" s="21" t="n">
        <v>42213.796856793735</v>
      </c>
      <c r="G45" s="21" t="n">
        <v>19954.81784663676</v>
      </c>
      <c r="H45" s="21" t="n">
        <v>44404.984862059166</v>
      </c>
      <c r="I45" s="21">
        <f si="0" t="shared"/>
        <v>117764.40232453594</v>
      </c>
      <c r="K45" s="9">
        <v>0.83333333333333337</v>
      </c>
      <c r="L45" s="7" t="n">
        <v>12640.979614268685</v>
      </c>
      <c r="M45" s="7" t="n">
        <v>2861.3799699146384</v>
      </c>
      <c r="N45" s="7" t="n">
        <v>27953.932698468496</v>
      </c>
      <c r="O45" s="7" t="n">
        <v>32000.07779444025</v>
      </c>
      <c r="P45" s="7" t="n">
        <v>47363.98763768863</v>
      </c>
      <c r="Q45" s="7" t="n">
        <v>19503.66957416403</v>
      </c>
      <c r="R45" s="7" t="n">
        <v>48911.40076159868</v>
      </c>
      <c r="S45">
        <f si="1" t="shared"/>
        <v>123323.01852607727</v>
      </c>
    </row>
    <row r="46" spans="1:19" x14ac:dyDescent="0.25">
      <c r="A46" s="9">
        <v>0.85416666666666663</v>
      </c>
      <c r="B46" s="21" t="n">
        <v>2887.7224131569233</v>
      </c>
      <c r="C46" s="21" t="n">
        <v>901.4471341394346</v>
      </c>
      <c r="D46" s="21" t="n">
        <v>14394.74458880589</v>
      </c>
      <c r="E46" s="21" t="n">
        <v>17929.14452083843</v>
      </c>
      <c r="F46" s="21" t="n">
        <v>32394.896898225856</v>
      </c>
      <c r="G46" s="21" t="n">
        <v>14864.059452648627</v>
      </c>
      <c r="H46" s="21" t="n">
        <v>30701.75235288515</v>
      </c>
      <c r="I46" s="21">
        <f si="0" t="shared"/>
        <v>87526.868442142382</v>
      </c>
      <c r="K46" s="9">
        <v>0.85416666666666663</v>
      </c>
      <c r="L46" s="7" t="n">
        <v>10336.726712361598</v>
      </c>
      <c r="M46" s="7" t="n">
        <v>2343.481981100638</v>
      </c>
      <c r="N46" s="7" t="n">
        <v>23288.4732545347</v>
      </c>
      <c r="O46" s="7" t="n">
        <v>26002.629904847086</v>
      </c>
      <c r="P46" s="7" t="n">
        <v>38173.93332379704</v>
      </c>
      <c r="Q46" s="7" t="n">
        <v>16378.478151226836</v>
      </c>
      <c r="R46" s="7" t="n">
        <v>41417.79367110066</v>
      </c>
      <c r="S46">
        <f si="1" t="shared"/>
        <v>97048.73810005188</v>
      </c>
    </row>
    <row r="47" spans="1:19" x14ac:dyDescent="0.25">
      <c r="A47" s="9">
        <v>0.875</v>
      </c>
      <c r="B47" s="21" t="n">
        <v>2322.6804457396674</v>
      </c>
      <c r="C47" s="21" t="n">
        <v>675.2358297636567</v>
      </c>
      <c r="D47" s="21" t="n">
        <v>12236.432199306684</v>
      </c>
      <c r="E47" s="21" t="n">
        <v>12118.023202303459</v>
      </c>
      <c r="F47" s="21" t="n">
        <v>23599.06387132409</v>
      </c>
      <c r="G47" s="21" t="n">
        <v>10638.854947853386</v>
      </c>
      <c r="H47" s="21" t="n">
        <v>20343.835053755152</v>
      </c>
      <c r="I47" s="21">
        <f si="0" t="shared"/>
        <v>63084.846702353854</v>
      </c>
      <c r="K47" s="9">
        <v>0.875</v>
      </c>
      <c r="L47" s="7" t="n">
        <v>8521.958221940899</v>
      </c>
      <c r="M47" s="7" t="n">
        <v>1875.5447610055803</v>
      </c>
      <c r="N47" s="7" t="n">
        <v>18857.96872805997</v>
      </c>
      <c r="O47" s="7" t="n">
        <v>20644.99264446739</v>
      </c>
      <c r="P47" s="7" t="n">
        <v>29597.718824433523</v>
      </c>
      <c r="Q47" s="7" t="n">
        <v>13398.903770160614</v>
      </c>
      <c r="R47" s="7" t="n">
        <v>33942.35879997371</v>
      </c>
      <c r="S47">
        <f si="1" t="shared"/>
        <v>75941.77668094635</v>
      </c>
    </row>
    <row r="48" spans="1:19" x14ac:dyDescent="0.25">
      <c r="A48" s="9">
        <v>0.89583333333333337</v>
      </c>
      <c r="B48" s="21" t="n">
        <v>1954.0513671885783</v>
      </c>
      <c r="C48" s="21" t="n">
        <v>646.5399785697596</v>
      </c>
      <c r="D48" s="21" t="n">
        <v>10204.055154706632</v>
      </c>
      <c r="E48" s="21" t="n">
        <v>7980.222616843258</v>
      </c>
      <c r="F48" s="21" t="n">
        <v>16362.32256238418</v>
      </c>
      <c r="G48" s="21" t="n">
        <v>7446.69935748244</v>
      </c>
      <c r="H48" s="21" t="n">
        <v>13212.666217216622</v>
      </c>
      <c r="I48" s="21">
        <f si="0" t="shared"/>
        <v>44624.281472364048</v>
      </c>
      <c r="K48" s="9">
        <v>0.89583333333333337</v>
      </c>
      <c r="L48" s="7" t="n">
        <v>7032.2585338351055</v>
      </c>
      <c r="M48" s="7" t="n">
        <v>1419.6542978287418</v>
      </c>
      <c r="N48" s="7" t="n">
        <v>14771.09199733302</v>
      </c>
      <c r="O48" s="7" t="n">
        <v>15888.904371068671</v>
      </c>
      <c r="P48" s="7" t="n">
        <v>22025.271270327594</v>
      </c>
      <c r="Q48" s="7" t="n">
        <v>10588.707058432232</v>
      </c>
      <c r="R48" s="7" t="n">
        <v>26575.23124518679</v>
      </c>
      <c r="S48">
        <f si="1" t="shared"/>
        <v>58279.078671455383</v>
      </c>
    </row>
    <row r="49" spans="1:19" x14ac:dyDescent="0.25">
      <c r="A49" s="9">
        <v>0.91666666666666663</v>
      </c>
      <c r="B49" s="21" t="n">
        <v>1609.7178232073443</v>
      </c>
      <c r="C49" s="21" t="n">
        <v>820.4298620101424</v>
      </c>
      <c r="D49" s="21" t="n">
        <v>8183.583351647896</v>
      </c>
      <c r="E49" s="21" t="n">
        <v>5253.163266417323</v>
      </c>
      <c r="F49" s="21" t="n">
        <v>10805.649054535814</v>
      </c>
      <c r="G49" s="21" t="n">
        <v>5179.85377219709</v>
      </c>
      <c r="H49" s="21" t="n">
        <v>8554.272373393356</v>
      </c>
      <c r="I49" s="21">
        <f si="0" t="shared"/>
        <v>31223.524490383814</v>
      </c>
      <c r="K49" s="9">
        <v>0.91666666666666663</v>
      </c>
      <c r="L49" s="7" t="n">
        <v>5730.943874039336</v>
      </c>
      <c r="M49" s="7" t="n">
        <v>984.7235703036836</v>
      </c>
      <c r="N49" s="7" t="n">
        <v>11152.023009749126</v>
      </c>
      <c r="O49" s="7" t="n">
        <v>11762.240656336036</v>
      </c>
      <c r="P49" s="7" t="n">
        <v>15753.22196518789</v>
      </c>
      <c r="Q49" s="7" t="n">
        <v>8019.894427801044</v>
      </c>
      <c r="R49" s="7" t="n">
        <v>19644.835705272144</v>
      </c>
      <c r="S49">
        <f si="1" t="shared"/>
        <v>43304.819931983948</v>
      </c>
    </row>
    <row r="50" spans="1:19" x14ac:dyDescent="0.25">
      <c r="A50" s="9">
        <v>0.9375</v>
      </c>
      <c r="B50" s="21" t="n">
        <v>1225.374334418399</v>
      </c>
      <c r="C50" s="21" t="n">
        <v>1131.5241806513181</v>
      </c>
      <c r="D50" s="21" t="n">
        <v>6193.608375292064</v>
      </c>
      <c r="E50" s="21" t="n">
        <v>3532.353816338201</v>
      </c>
      <c r="F50" s="21" t="n">
        <v>6765.960707162863</v>
      </c>
      <c r="G50" s="21" t="n">
        <v>3585.5703381501344</v>
      </c>
      <c r="H50" s="21" t="n">
        <v>5523.387435859006</v>
      </c>
      <c r="I50" s="21">
        <f si="0" t="shared"/>
        <v>21580.167958764363</v>
      </c>
      <c r="K50" s="9">
        <v>0.9375</v>
      </c>
      <c r="L50" s="7" t="n">
        <v>4538.2903041616555</v>
      </c>
      <c r="M50" s="7" t="n">
        <v>611.782724270626</v>
      </c>
      <c r="N50" s="7" t="n">
        <v>8097.98503224892</v>
      </c>
      <c r="O50" s="7" t="n">
        <v>8331.967471340873</v>
      </c>
      <c r="P50" s="7" t="n">
        <v>10872.254237361976</v>
      </c>
      <c r="Q50" s="7" t="n">
        <v>5788.827291702273</v>
      </c>
      <c r="R50" s="7" t="n">
        <v>13612.865767432308</v>
      </c>
      <c r="S50">
        <f si="1" t="shared"/>
        <v>30919.973825454712</v>
      </c>
    </row>
    <row r="51" spans="1:19" x14ac:dyDescent="0.25">
      <c r="A51" s="9">
        <v>0.95833333333333337</v>
      </c>
      <c r="B51" s="21" t="n">
        <v>833.9549604420423</v>
      </c>
      <c r="C51" s="21" t="n">
        <v>1429.3920255573446</v>
      </c>
      <c r="D51" s="21" t="n">
        <v>4346.45217634021</v>
      </c>
      <c r="E51" s="21" t="n">
        <v>2422.787440906176</v>
      </c>
      <c r="F51" s="21" t="n">
        <v>3974.681875132339</v>
      </c>
      <c r="G51" s="21" t="n">
        <v>2420.936502800495</v>
      </c>
      <c r="H51" s="21" t="n">
        <v>3487.5285201817196</v>
      </c>
      <c r="I51" s="21">
        <f si="0" t="shared"/>
        <v>14553.954585738182</v>
      </c>
      <c r="K51" s="9">
        <v>0.95833333333333337</v>
      </c>
      <c r="L51" s="7" t="n">
        <v>3428.8632891024918</v>
      </c>
      <c r="M51" s="7" t="n">
        <v>336.3095670979906</v>
      </c>
      <c r="N51" s="7" t="n">
        <v>5632.499449098948</v>
      </c>
      <c r="O51" s="7" t="n">
        <v>5624.433272542776</v>
      </c>
      <c r="P51" s="7" t="n">
        <v>7248.899572910568</v>
      </c>
      <c r="Q51" s="7" t="n">
        <v>3961.9378448527773</v>
      </c>
      <c r="R51" s="7" t="n">
        <v>8820.988100687377</v>
      </c>
      <c r="S51">
        <f si="1" t="shared"/>
        <v>21102.226955413818</v>
      </c>
    </row>
    <row r="52" spans="1:19" x14ac:dyDescent="0.25">
      <c r="A52" s="9">
        <v>0.97916666666666663</v>
      </c>
      <c r="B52" s="21" t="n">
        <v>500.48535072047645</v>
      </c>
      <c r="C52" s="21" t="n">
        <v>1544.0139407067643</v>
      </c>
      <c r="D52" s="21" t="n">
        <v>2783.7999997694315</v>
      </c>
      <c r="E52" s="21" t="n">
        <v>1641.586861407417</v>
      </c>
      <c r="F52" s="21" t="n">
        <v>2159.3268158917817</v>
      </c>
      <c r="G52" s="21" t="n">
        <v>1542.733002982814</v>
      </c>
      <c r="H52" s="21" t="n">
        <v>2084.830476290764</v>
      </c>
      <c r="I52" s="21">
        <f si="0" t="shared"/>
        <v>9384.0280082461359</v>
      </c>
      <c r="K52" s="9">
        <v>0.97916666666666663</v>
      </c>
      <c r="L52" s="7" t="n">
        <v>2420.6117081274806</v>
      </c>
      <c r="M52" s="7" t="n">
        <v>163.52379438825145</v>
      </c>
      <c r="N52" s="7" t="n">
        <v>3712.3782617549737</v>
      </c>
      <c r="O52" s="7" t="n">
        <v>3590.7413307233446</v>
      </c>
      <c r="P52" s="7" t="n">
        <v>4629.825557856191</v>
      </c>
      <c r="Q52" s="7" t="n">
        <v>2549.6038935173524</v>
      </c>
      <c r="R52" s="7" t="n">
        <v>5337.483664604485</v>
      </c>
      <c r="S52">
        <f si="1" t="shared"/>
        <v>13640.128274917603</v>
      </c>
    </row>
    <row r="53" spans="1:19" x14ac:dyDescent="0.25">
      <c r="A53" s="9">
        <v>1</v>
      </c>
      <c r="B53" s="21" t="n">
        <v>263.9840277431155</v>
      </c>
      <c r="C53" s="21" t="n">
        <v>1394.5308330033315</v>
      </c>
      <c r="D53" s="21" t="n">
        <v>1604.5108627129293</v>
      </c>
      <c r="E53" s="21" t="n">
        <v>1048.0210009218993</v>
      </c>
      <c r="F53" s="21" t="n">
        <v>1068.0613116837862</v>
      </c>
      <c r="G53" s="21" t="n">
        <v>898.2356071786326</v>
      </c>
      <c r="H53" s="21" t="n">
        <v>1139.742583483539</v>
      </c>
      <c r="I53" s="21">
        <f si="0" t="shared"/>
        <v>5644.2244880819317</v>
      </c>
      <c r="K53" s="9">
        <v>1</v>
      </c>
      <c r="L53" s="7" t="n">
        <v>1560.075466698201</v>
      </c>
      <c r="M53" s="7" t="n">
        <v>71.29583206091658</v>
      </c>
      <c r="N53" s="7" t="n">
        <v>2273.794745795249</v>
      </c>
      <c r="O53" s="7" t="n">
        <v>2135.4786750528187</v>
      </c>
      <c r="P53" s="7" t="n">
        <v>2775.028478660939</v>
      </c>
      <c r="Q53" s="7" t="n">
        <v>1519.8495946544208</v>
      </c>
      <c r="R53" s="7" t="n">
        <v>2997.8013976088223</v>
      </c>
      <c r="S53">
        <f si="1" t="shared"/>
        <v>8207.5078973770142</v>
      </c>
    </row>
    <row r="54" spans="1:19" x14ac:dyDescent="0.25">
      <c r="A54" s="9">
        <v>1.0208333333333333</v>
      </c>
      <c r="B54" s="21" t="n">
        <v>122.40623896869317</v>
      </c>
      <c r="C54" s="21" t="n">
        <v>1043.234147499316</v>
      </c>
      <c r="D54" s="21" t="n">
        <v>821.4092778075753</v>
      </c>
      <c r="E54" s="21" t="n">
        <v>603.2735764042769</v>
      </c>
      <c r="F54" s="21" t="n">
        <v>473.457039425713</v>
      </c>
      <c r="G54" s="21" t="n">
        <v>465.63871727220146</v>
      </c>
      <c r="H54" s="21" t="n">
        <v>552.0306943853171</v>
      </c>
      <c r="I54" s="21">
        <f si="0" t="shared"/>
        <v>3085.435186663914</v>
      </c>
      <c r="K54" s="9">
        <v>1.0208333333333333</v>
      </c>
      <c r="L54" s="7" t="n">
        <v>895.9537980286015</v>
      </c>
      <c r="M54" s="7" t="n">
        <v>28.62629816103229</v>
      </c>
      <c r="N54" s="7" t="n">
        <v>1260.8897883210739</v>
      </c>
      <c r="O54" s="7" t="n">
        <v>1156.2675977315314</v>
      </c>
      <c r="P54" s="7" t="n">
        <v>1516.4616275070766</v>
      </c>
      <c r="Q54" s="7" t="n">
        <v>821.3106996480924</v>
      </c>
      <c r="R54" s="7" t="n">
        <v>1540.0353305247327</v>
      </c>
      <c r="S54">
        <f si="1" t="shared"/>
        <v>4485.680513381958</v>
      </c>
    </row>
    <row r="55" spans="1:19" x14ac:dyDescent="0.25">
      <c r="A55" s="9">
        <v>4.1666666666666664E-2</v>
      </c>
      <c r="B55" s="21" t="n">
        <v>49.790162628348256</v>
      </c>
      <c r="C55" s="21" t="n">
        <v>641.26829495934</v>
      </c>
      <c r="D55" s="21" t="n">
        <v>368.38394342704896</v>
      </c>
      <c r="E55" s="21" t="n">
        <v>302.4419745255469</v>
      </c>
      <c r="F55" s="21" t="n">
        <v>184.9457768302537</v>
      </c>
      <c r="G55" s="21" t="n">
        <v>210.54246315258374</v>
      </c>
      <c r="H55" s="21" t="n">
        <v>230.15387369529464</v>
      </c>
      <c r="I55" s="21">
        <f si="0" t="shared"/>
        <v>1492.655369225979</v>
      </c>
      <c r="K55" s="9">
        <v>4.1666666666666664E-2</v>
      </c>
      <c r="L55" s="7" t="n">
        <v>447.48815877449977</v>
      </c>
      <c r="M55" s="7" t="n">
        <v>10.85234099732676</v>
      </c>
      <c r="N55" s="7" t="n">
        <v>615.160585230167</v>
      </c>
      <c r="O55" s="7" t="n">
        <v>554.4035236105985</v>
      </c>
      <c r="P55" s="7" t="n">
        <v>732.2044276788356</v>
      </c>
      <c r="Q55" s="7" t="n">
        <v>392.03073542291025</v>
      </c>
      <c r="R55" s="7" t="n">
        <v>706.868530897764</v>
      </c>
      <c r="S55">
        <f si="1" t="shared"/>
        <v>2164.7260303497314</v>
      </c>
    </row>
    <row r="56" spans="1:19" x14ac:dyDescent="0.25">
      <c r="A56" s="9">
        <v>6.25E-2</v>
      </c>
      <c r="B56" s="21" t="n">
        <v>17.593128594035797</v>
      </c>
      <c r="C56" s="21" t="n">
        <v>320.44776108366136</v>
      </c>
      <c r="D56" s="21" t="n">
        <v>142.33120293763497</v>
      </c>
      <c r="E56" s="21" t="n">
        <v>128.38517618663997</v>
      </c>
      <c r="F56" s="21" t="n">
        <v>62.39663487023503</v>
      </c>
      <c r="G56" s="21" t="n">
        <v>81.44989692406145</v>
      </c>
      <c r="H56" s="21" t="n">
        <v>80.2518319798919</v>
      </c>
      <c r="I56" s="21">
        <f si="0" t="shared"/>
        <v>621.65946801805501</v>
      </c>
      <c r="K56" s="9">
        <v>6.25E-2</v>
      </c>
      <c r="L56" s="7" t="n">
        <v>189.63892226082754</v>
      </c>
      <c r="M56" s="7" t="n">
        <v>3.868828727264186</v>
      </c>
      <c r="N56" s="7" t="n">
        <v>256.52220014904105</v>
      </c>
      <c r="O56" s="7" t="n">
        <v>228.51909393077946</v>
      </c>
      <c r="P56" s="7" t="n">
        <v>302.9192718919642</v>
      </c>
      <c r="Q56" s="7" t="n">
        <v>160.70625177053535</v>
      </c>
      <c r="R56" s="7" t="n">
        <v>281.5186694830179</v>
      </c>
      <c r="S56">
        <f si="1" t="shared"/>
        <v>895.87994956970215</v>
      </c>
    </row>
    <row r="57" spans="1:19" x14ac:dyDescent="0.25">
      <c r="A57" s="9">
        <v>8.3333333333333329E-2</v>
      </c>
      <c r="B57" s="21" t="n">
        <v>5.28718815943125</v>
      </c>
      <c r="C57" s="21" t="n">
        <v>128.1333673352193</v>
      </c>
      <c r="D57" s="21" t="n">
        <v>46.33264819074613</v>
      </c>
      <c r="E57" s="21" t="n">
        <v>44.92222142125325</v>
      </c>
      <c r="F57" s="21" t="n">
        <v>17.7162706874443</v>
      </c>
      <c r="G57" s="21" t="n">
        <v>26.366314560102573</v>
      </c>
      <c r="H57" s="21" t="n">
        <v>22.64550149876083</v>
      </c>
      <c r="I57" s="21">
        <f si="0" t="shared"/>
        <v>216.32602197103503</v>
      </c>
      <c r="K57" s="9">
        <v>8.3333333333333329E-2</v>
      </c>
      <c r="L57" s="7" t="n">
        <v>66.3981547173932</v>
      </c>
      <c r="M57" s="7" t="n">
        <v>1.2406223901290678</v>
      </c>
      <c r="N57" s="7" t="n">
        <v>88.74916276579073</v>
      </c>
      <c r="O57" s="7" t="n">
        <v>78.49539729615663</v>
      </c>
      <c r="P57" s="7" t="n">
        <v>104.1285807735005</v>
      </c>
      <c r="Q57" s="7" t="n">
        <v>54.90084376023876</v>
      </c>
      <c r="R57" s="7" t="n">
        <v>94.14073648930355</v>
      </c>
      <c r="S57">
        <f si="1" t="shared"/>
        <v>308.4675178527832</v>
      </c>
    </row>
    <row r="58" spans="1:19" x14ac:dyDescent="0.25">
      <c r="A58" s="9">
        <v>0.10416666666666667</v>
      </c>
      <c r="B58" s="21" t="n">
        <v>1.3058960355992468</v>
      </c>
      <c r="C58" s="21" t="n">
        <v>40.02332256932688</v>
      </c>
      <c r="D58" s="21" t="n">
        <v>12.318744288260289</v>
      </c>
      <c r="E58" s="21" t="n">
        <v>12.56011766318909</v>
      </c>
      <c r="F58" s="21" t="n">
        <v>4.08791221208183</v>
      </c>
      <c r="G58" s="21" t="n">
        <v>6.933837802191979</v>
      </c>
      <c r="H58" s="21" t="n">
        <v>4.954324512399852</v>
      </c>
      <c r="I58" s="21">
        <f si="0" t="shared"/>
        <v>60.724961165332786</v>
      </c>
      <c r="J58" s="5"/>
      <c r="K58" s="9">
        <v>0.10416666666666667</v>
      </c>
      <c r="L58" s="7" t="n">
        <v>18.6026613364305</v>
      </c>
      <c r="M58" s="7" t="n">
        <v>0.33465704811374536</v>
      </c>
      <c r="N58" s="7" t="n">
        <v>24.625764514794536</v>
      </c>
      <c r="O58" s="7" t="n">
        <v>21.692651687591052</v>
      </c>
      <c r="P58" s="7" t="n">
        <v>28.73643626331723</v>
      </c>
      <c r="Q58" s="7" t="n">
        <v>15.09760157819273</v>
      </c>
      <c r="R58" s="7" t="n">
        <v>25.46540795379206</v>
      </c>
      <c r="S58">
        <f si="1" t="shared"/>
        <v>85.372310638427734</v>
      </c>
    </row>
    <row r="59" spans="1:19" x14ac:dyDescent="0.25">
      <c r="A59" s="9">
        <v>0.125</v>
      </c>
      <c r="B59" s="21" t="n">
        <v>0.24921592493357153</v>
      </c>
      <c r="C59" s="21" t="n">
        <v>9.252194577652208</v>
      </c>
      <c r="D59" s="21" t="n">
        <v>2.521799291801545</v>
      </c>
      <c r="E59" s="21" t="n">
        <v>2.652310148123748</v>
      </c>
      <c r="F59" s="21" t="n">
        <v>0.7225636589847414</v>
      </c>
      <c r="G59" s="21" t="n">
        <v>1.4000394091582873</v>
      </c>
      <c r="H59" s="21" t="n">
        <v>0.7843706617637263</v>
      </c>
      <c r="I59" s="21">
        <f si="0" t="shared"/>
        <v>12.941682727813721</v>
      </c>
      <c r="J59" s="5"/>
      <c r="K59" s="9">
        <v>0.125</v>
      </c>
      <c r="L59" s="7" t="n">
        <v>3.936960487015008</v>
      </c>
      <c r="M59" s="7" t="n">
        <v>0.069668838382338</v>
      </c>
      <c r="N59" s="7" t="n">
        <v>5.169297077678419</v>
      </c>
      <c r="O59" s="7" t="n">
        <v>4.544859729692808</v>
      </c>
      <c r="P59" s="7" t="n">
        <v>6.004522157513628</v>
      </c>
      <c r="Q59" s="7" t="n">
        <v>3.150198831048808</v>
      </c>
      <c r="R59" s="7" t="n">
        <v>5.243945314028403</v>
      </c>
      <c r="S59">
        <f si="1" t="shared"/>
        <v>17.904777526855469</v>
      </c>
    </row>
    <row r="60" spans="1:19" x14ac:dyDescent="0.25">
      <c r="A60" s="18" t="s">
        <v>7</v>
      </c>
      <c r="B60" s="22" t="n">
        <v>0.0</v>
      </c>
      <c r="C60" s="22" t="n">
        <v>0.0</v>
      </c>
      <c r="D60" s="22" t="n">
        <v>0.0</v>
      </c>
      <c r="E60" s="22" t="n">
        <v>0.0</v>
      </c>
      <c r="F60" s="22" t="n">
        <v>0.0</v>
      </c>
      <c r="G60" s="22" t="n">
        <v>0.0</v>
      </c>
      <c r="H60" s="22" t="n">
        <v>0.0</v>
      </c>
      <c r="I60" s="21">
        <f si="0" t="shared"/>
        <v>0</v>
      </c>
      <c r="J60" s="5"/>
      <c r="K60" s="18" t="s">
        <v>7</v>
      </c>
      <c r="L60" s="7" t="n">
        <v>0.0</v>
      </c>
      <c r="M60" s="7" t="n">
        <v>0.0</v>
      </c>
      <c r="N60" s="7" t="n">
        <v>0.0</v>
      </c>
      <c r="O60" s="7" t="n">
        <v>0.0</v>
      </c>
      <c r="P60" s="7" t="n">
        <v>0.0</v>
      </c>
      <c r="Q60" s="7" t="n">
        <v>0.0</v>
      </c>
      <c r="R60" s="7" t="n">
        <v>0.0</v>
      </c>
      <c r="S60">
        <f si="1" t="shared"/>
        <v>0</v>
      </c>
    </row>
    <row ht="15.75" r="61" spans="1:19" thickBot="1" x14ac:dyDescent="0.3">
      <c r="A61" s="19"/>
      <c r="B61" s="20">
        <f>SUM(B10:B60)</f>
        <v>1851861.7795734226</v>
      </c>
      <c r="C61" s="20">
        <f ref="C61:I61" si="2" t="shared">SUM(C10:C60)</f>
        <v>630882.6130058933</v>
      </c>
      <c r="D61" s="20">
        <f si="2" t="shared"/>
        <v>936812.09327752783</v>
      </c>
      <c r="E61" s="20">
        <f si="2" t="shared"/>
        <v>1357940.1719267312</v>
      </c>
      <c r="F61" s="20">
        <f si="2" t="shared"/>
        <v>1504066.4587898087</v>
      </c>
      <c r="G61" s="20">
        <f si="2" t="shared"/>
        <v>631296.81466178794</v>
      </c>
      <c r="H61" s="20">
        <f si="2" t="shared"/>
        <v>1250662.1413972189</v>
      </c>
      <c r="I61" s="20">
        <f si="2" t="shared"/>
        <v>8163522.0726323919</v>
      </c>
      <c r="J61" s="5"/>
      <c r="K61" s="19"/>
      <c r="L61" s="20">
        <f>SUM(L10:L60)</f>
        <v>2548650.165643692</v>
      </c>
      <c r="M61" s="20">
        <f ref="M61:S61" si="3" t="shared">SUM(M10:M60)</f>
        <v>854660.74642944336</v>
      </c>
      <c r="N61" s="20">
        <f si="3" t="shared"/>
        <v>1859173.4161052704</v>
      </c>
      <c r="O61" s="20">
        <f si="3" t="shared"/>
        <v>2374249.1341085434</v>
      </c>
      <c r="P61" s="20">
        <f si="3" t="shared"/>
        <v>1215893.3437490463</v>
      </c>
      <c r="Q61" s="20">
        <f si="3" t="shared"/>
        <v>555319.64692783356</v>
      </c>
      <c r="R61" s="20">
        <f si="3" t="shared"/>
        <v>1963006.4128723145</v>
      </c>
      <c r="S61" s="20">
        <f si="3" t="shared"/>
        <v>11370952.865836143</v>
      </c>
    </row>
    <row r="62" spans="1:19" x14ac:dyDescent="0.25">
      <c r="J62" s="5"/>
    </row>
    <row r="63" spans="1:19" x14ac:dyDescent="0.25">
      <c r="J63" s="5"/>
    </row>
    <row ht="15.75" r="65" spans="1:19" thickBot="1" x14ac:dyDescent="0.3">
      <c r="A65" s="3" t="s">
        <v>30</v>
      </c>
      <c r="B65" s="1"/>
      <c r="C65" s="1"/>
      <c r="D65" s="1"/>
      <c r="E65" s="1"/>
      <c r="F65" s="1"/>
      <c r="G65" s="1"/>
      <c r="H65" s="1"/>
      <c r="I65" s="1"/>
      <c r="K65" s="3" t="s">
        <v>15</v>
      </c>
      <c r="L65" s="1"/>
      <c r="M65" s="1"/>
      <c r="N65" s="1"/>
      <c r="O65" s="1"/>
      <c r="P65" s="1"/>
      <c r="Q65" s="1"/>
      <c r="R65" s="1"/>
      <c r="S65" s="1"/>
    </row>
    <row r="66" spans="1:19" x14ac:dyDescent="0.25">
      <c r="A66" s="2" t="s">
        <v>3</v>
      </c>
      <c r="B66" s="4" t="s">
        <v>31</v>
      </c>
      <c r="C66" s="4" t="s">
        <v>31</v>
      </c>
      <c r="D66" s="4" t="s">
        <v>31</v>
      </c>
      <c r="E66" s="4" t="s">
        <v>31</v>
      </c>
      <c r="F66" s="4" t="s">
        <v>31</v>
      </c>
      <c r="G66" s="4" t="s">
        <v>31</v>
      </c>
      <c r="H66" s="4" t="s">
        <v>31</v>
      </c>
      <c r="I66" s="4" t="s">
        <v>31</v>
      </c>
      <c r="K66" s="2" t="s">
        <v>3</v>
      </c>
      <c r="L66" s="4" t="s">
        <v>8</v>
      </c>
      <c r="M66" s="4" t="s">
        <v>8</v>
      </c>
      <c r="N66" s="4" t="s">
        <v>8</v>
      </c>
      <c r="O66" s="4" t="s">
        <v>8</v>
      </c>
      <c r="P66" s="4" t="s">
        <v>8</v>
      </c>
      <c r="Q66" s="4" t="s">
        <v>8</v>
      </c>
      <c r="R66" s="4" t="s">
        <v>8</v>
      </c>
      <c r="S66" s="4" t="s">
        <v>8</v>
      </c>
    </row>
    <row r="67" spans="1:19" x14ac:dyDescent="0.25">
      <c r="A67" t="s">
        <v>4</v>
      </c>
      <c r="B67" s="15">
        <f>B10/B$61</f>
        <v>1.6631759637641388E-4</v>
      </c>
      <c r="C67" s="15">
        <f ref="C67:I67" si="4" t="shared">C10/C$61</f>
        <v>6.333032354408343E-5</v>
      </c>
      <c r="D67" s="15">
        <f si="4" t="shared"/>
        <v>4.0677997512475239E-4</v>
      </c>
      <c r="E67" s="15">
        <f si="4" t="shared"/>
        <v>0</v>
      </c>
      <c r="F67" s="15">
        <f si="4" t="shared"/>
        <v>0</v>
      </c>
      <c r="G67" s="15">
        <f si="4" t="shared"/>
        <v>3.1644385867371296E-5</v>
      </c>
      <c r="H67" s="15">
        <f si="4" t="shared"/>
        <v>2.2950282934073167E-4</v>
      </c>
      <c r="I67" s="15">
        <f si="4" t="shared"/>
        <v>1.2691030792618687E-4</v>
      </c>
      <c r="K67" t="s">
        <v>4</v>
      </c>
      <c r="L67" s="14">
        <f>L10/L$61</f>
        <v>1.1480587015994029E-3</v>
      </c>
      <c r="M67" s="14">
        <f ref="M67:S67" si="5" t="shared">M10/M$61</f>
        <v>5.1482415898730439E-5</v>
      </c>
      <c r="N67" s="14">
        <f si="5" t="shared"/>
        <v>3.3579438829747705E-3</v>
      </c>
      <c r="O67" s="14">
        <f si="5" t="shared"/>
        <v>8.0235893219153184E-4</v>
      </c>
      <c r="P67" s="14">
        <f si="5" t="shared"/>
        <v>1.6662645703389551E-3</v>
      </c>
      <c r="Q67" s="14">
        <f si="5" t="shared"/>
        <v>1.54505608570968E-3</v>
      </c>
      <c r="R67" s="14">
        <f>R10/R$61</f>
        <v>2.2618367270147089E-4</v>
      </c>
      <c r="S67" s="15">
        <f si="5" t="shared"/>
        <v>1.2704300308378543E-3</v>
      </c>
    </row>
    <row r="68" spans="1:19" x14ac:dyDescent="0.25">
      <c r="A68" s="9">
        <v>0.125</v>
      </c>
      <c r="B68" s="15">
        <f ref="B68:I83" si="6" t="shared">B11/B$61</f>
        <v>1.8660785316786273E-3</v>
      </c>
      <c r="C68" s="15">
        <f si="6" t="shared"/>
        <v>1.8034149613801054E-4</v>
      </c>
      <c r="D68" s="15">
        <f si="6" t="shared"/>
        <v>6.5829916897172517E-4</v>
      </c>
      <c r="E68" s="15">
        <f si="6" t="shared"/>
        <v>3.1651865388206845E-4</v>
      </c>
      <c r="F68" s="15">
        <f si="6" t="shared"/>
        <v>2.1824210823008944E-4</v>
      </c>
      <c r="G68" s="15">
        <f si="6" t="shared"/>
        <v>5.059308666819696E-4</v>
      </c>
      <c r="H68" s="15">
        <f si="6" t="shared"/>
        <v>8.0424460423898119E-4</v>
      </c>
      <c r="I68" s="15">
        <f si="6" t="shared"/>
        <v>7.6798852813732515E-4</v>
      </c>
      <c r="K68" s="9">
        <v>0.125</v>
      </c>
      <c r="L68" s="14">
        <f ref="L68:S83" si="7" t="shared">L11/L$61</f>
        <v>1.6186474111499611E-3</v>
      </c>
      <c r="M68" s="14">
        <f si="7" t="shared"/>
        <v>4.4386553143569519E-4</v>
      </c>
      <c r="N68" s="14">
        <f>N11/N$61</f>
        <v>5.5039305897019138E-3</v>
      </c>
      <c r="O68" s="14">
        <f si="7" t="shared"/>
        <v>1.3119446533370559E-3</v>
      </c>
      <c r="P68" s="14">
        <f si="7" t="shared"/>
        <v>1.7254920673806069E-3</v>
      </c>
      <c r="Q68" s="14">
        <f si="7" t="shared"/>
        <v>2.062836565613724E-3</v>
      </c>
      <c r="R68" s="14">
        <f si="7" t="shared"/>
        <v>7.0987319098042274E-4</v>
      </c>
      <c r="S68" s="15">
        <f si="7" t="shared"/>
        <v>1.9777937009218915E-3</v>
      </c>
    </row>
    <row r="69" spans="1:19" x14ac:dyDescent="0.25">
      <c r="A69" s="9">
        <v>0.14583333333333334</v>
      </c>
      <c r="B69" s="15">
        <f si="6" t="shared"/>
        <v>4.2230089703657213E-3</v>
      </c>
      <c r="C69" s="15">
        <f si="6" t="shared"/>
        <v>4.6510746010717998E-4</v>
      </c>
      <c r="D69" s="15">
        <f si="6" t="shared"/>
        <v>1.0137673631797964E-3</v>
      </c>
      <c r="E69" s="15">
        <f si="6" t="shared"/>
        <v>6.3750314389690165E-4</v>
      </c>
      <c r="F69" s="15">
        <f si="6" t="shared"/>
        <v>3.8777418180452008E-4</v>
      </c>
      <c r="G69" s="15">
        <f si="6" t="shared"/>
        <v>1.1160948867298677E-3</v>
      </c>
      <c r="H69" s="15">
        <f si="6" t="shared"/>
        <v>1.5751228565486816E-3</v>
      </c>
      <c r="I69" s="15">
        <f si="6" t="shared"/>
        <v>1.6153603145674315E-3</v>
      </c>
      <c r="K69" s="9">
        <v>0.14583333333333334</v>
      </c>
      <c r="L69" s="14">
        <f si="7" t="shared"/>
        <v>2.4536841916846541E-3</v>
      </c>
      <c r="M69" s="14">
        <f si="7" t="shared"/>
        <v>1.1156844088140395E-3</v>
      </c>
      <c r="N69" s="14">
        <f si="7" t="shared"/>
        <v>7.7773931102646295E-3</v>
      </c>
      <c r="O69" s="14">
        <f si="7" t="shared"/>
        <v>1.9341607613987065E-3</v>
      </c>
      <c r="P69" s="14">
        <f si="7" t="shared"/>
        <v>1.8812837463290878E-3</v>
      </c>
      <c r="Q69" s="14">
        <f si="7" t="shared"/>
        <v>2.708028224713319E-3</v>
      </c>
      <c r="R69" s="14">
        <f si="7" t="shared"/>
        <v>1.3172842172840748E-3</v>
      </c>
      <c r="S69" s="15">
        <f si="7" t="shared"/>
        <v>2.8701126224886962E-3</v>
      </c>
    </row>
    <row r="70" spans="1:19" x14ac:dyDescent="0.25">
      <c r="A70" s="9">
        <v>0.16666666666666666</v>
      </c>
      <c r="B70" s="15">
        <f si="6" t="shared"/>
        <v>7.9352882046284726E-3</v>
      </c>
      <c r="C70" s="15">
        <f si="6" t="shared"/>
        <v>1.3824308700412535E-3</v>
      </c>
      <c r="D70" s="15">
        <f si="6" t="shared"/>
        <v>1.669878572722485E-3</v>
      </c>
      <c r="E70" s="15">
        <f si="6" t="shared"/>
        <v>1.0141307167433296E-3</v>
      </c>
      <c r="F70" s="15">
        <f si="6" t="shared"/>
        <v>5.0091143286443954E-4</v>
      </c>
      <c r="G70" s="15">
        <f si="6" t="shared"/>
        <v>1.9683182681150676E-3</v>
      </c>
      <c r="H70" s="15">
        <f si="6" t="shared"/>
        <v>2.6653668409948729E-3</v>
      </c>
      <c r="I70" s="15">
        <f si="6" t="shared"/>
        <v>2.9200840205364132E-3</v>
      </c>
      <c r="K70" s="9">
        <v>0.16666666666666666</v>
      </c>
      <c r="L70" s="14">
        <f si="7" t="shared"/>
        <v>4.2136818361268695E-3</v>
      </c>
      <c r="M70" s="14">
        <f si="7" t="shared"/>
        <v>2.6327512516905087E-3</v>
      </c>
      <c r="N70" s="14">
        <f si="7" t="shared"/>
        <v>1.0489751259693265E-2</v>
      </c>
      <c r="O70" s="14">
        <f si="7" t="shared"/>
        <v>2.8581186021366619E-3</v>
      </c>
      <c r="P70" s="14">
        <f si="7" t="shared"/>
        <v>2.2702797280282922E-3</v>
      </c>
      <c r="Q70" s="14">
        <f si="7" t="shared"/>
        <v>3.6422582598449357E-3</v>
      </c>
      <c r="R70" s="14">
        <f si="7" t="shared"/>
        <v>2.2368030324020995E-3</v>
      </c>
      <c r="S70" s="15">
        <f si="7" t="shared"/>
        <v>4.2609759453468852E-3</v>
      </c>
    </row>
    <row r="71" spans="1:19" x14ac:dyDescent="0.25">
      <c r="A71" s="9">
        <v>0.1875</v>
      </c>
      <c r="B71" s="15">
        <f si="6" t="shared"/>
        <v>1.3692282887083055E-2</v>
      </c>
      <c r="C71" s="15">
        <f si="6" t="shared"/>
        <v>4.0479938815963061E-3</v>
      </c>
      <c r="D71" s="15">
        <f si="6" t="shared"/>
        <v>3.0349419546575307E-3</v>
      </c>
      <c r="E71" s="15">
        <f si="6" t="shared"/>
        <v>1.5678735946563587E-3</v>
      </c>
      <c r="F71" s="15">
        <f si="6" t="shared"/>
        <v>6.1327700333789167E-4</v>
      </c>
      <c r="G71" s="15">
        <f si="6" t="shared"/>
        <v>3.098561915393597E-3</v>
      </c>
      <c r="H71" s="15">
        <f si="6" t="shared"/>
        <v>4.084632056625145E-3</v>
      </c>
      <c r="I71" s="15">
        <f si="6" t="shared"/>
        <v>5.0063304936741725E-3</v>
      </c>
      <c r="K71" s="9">
        <v>0.1875</v>
      </c>
      <c r="L71" s="14">
        <f si="7" t="shared"/>
        <v>7.7182594114375931E-3</v>
      </c>
      <c r="M71" s="14">
        <f si="7" t="shared"/>
        <v>6.0790658462867011E-3</v>
      </c>
      <c r="N71" s="14">
        <f si="7" t="shared"/>
        <v>1.4135727687832543E-2</v>
      </c>
      <c r="O71" s="14">
        <f si="7" t="shared"/>
        <v>4.3746398354469829E-3</v>
      </c>
      <c r="P71" s="14">
        <f si="7" t="shared"/>
        <v>3.0892534808211001E-3</v>
      </c>
      <c r="Q71" s="14">
        <f si="7" t="shared"/>
        <v>5.0594620221549001E-3</v>
      </c>
      <c r="R71" s="14">
        <f si="7" t="shared"/>
        <v>3.7461416229471571E-3</v>
      </c>
      <c r="S71" s="15">
        <f si="7" t="shared"/>
        <v>6.635631893386393E-3</v>
      </c>
    </row>
    <row r="72" spans="1:19" x14ac:dyDescent="0.25">
      <c r="A72" s="9">
        <v>0.20833333333333334</v>
      </c>
      <c r="B72" s="15">
        <f si="6" t="shared"/>
        <v>2.2000893826728117E-2</v>
      </c>
      <c r="C72" s="15">
        <f si="6" t="shared"/>
        <v>1.0432767035085843E-2</v>
      </c>
      <c r="D72" s="15">
        <f si="6" t="shared"/>
        <v>5.8008511470198903E-3</v>
      </c>
      <c r="E72" s="15">
        <f si="6" t="shared"/>
        <v>2.4806724034157693E-3</v>
      </c>
      <c r="F72" s="15">
        <f si="6" t="shared"/>
        <v>8.3867640437094797E-4</v>
      </c>
      <c r="G72" s="15">
        <f si="6" t="shared"/>
        <v>4.4586674781810515E-3</v>
      </c>
      <c r="H72" s="15">
        <f si="6" t="shared"/>
        <v>5.7468821513077459E-3</v>
      </c>
      <c r="I72" s="15">
        <f si="6" t="shared"/>
        <v>8.2551321479005409E-3</v>
      </c>
      <c r="K72" s="9">
        <v>0.20833333333333334</v>
      </c>
      <c r="L72" s="14">
        <f si="7" t="shared"/>
        <v>1.3845753991121753E-2</v>
      </c>
      <c r="M72" s="14">
        <f si="7" t="shared"/>
        <v>1.3000726284160227E-2</v>
      </c>
      <c r="N72" s="14">
        <f si="7" t="shared"/>
        <v>1.9133548586352196E-2</v>
      </c>
      <c r="O72" s="14">
        <f si="7" t="shared"/>
        <v>6.8106487149044211E-3</v>
      </c>
      <c r="P72" s="14">
        <f si="7" t="shared"/>
        <v>4.5693221846148258E-3</v>
      </c>
      <c r="Q72" s="14">
        <f si="7" t="shared"/>
        <v>7.1272665777476632E-3</v>
      </c>
      <c r="R72" s="14">
        <f si="7" t="shared"/>
        <v>6.1577853280487998E-3</v>
      </c>
      <c r="S72" s="15">
        <f si="7" t="shared"/>
        <v>1.0530643159353427E-2</v>
      </c>
    </row>
    <row r="73" spans="1:19" x14ac:dyDescent="0.25">
      <c r="A73" s="9">
        <v>0.22916666666666666</v>
      </c>
      <c r="B73" s="15">
        <f si="6" t="shared"/>
        <v>3.2913285870325847E-2</v>
      </c>
      <c r="C73" s="15">
        <f si="6" t="shared"/>
        <v>2.2916163727018463E-2</v>
      </c>
      <c r="D73" s="15">
        <f si="6" t="shared"/>
        <v>1.0802371130545586E-2</v>
      </c>
      <c r="E73" s="15">
        <f si="6" t="shared"/>
        <v>3.9627718839471233E-3</v>
      </c>
      <c r="F73" s="15">
        <f si="6" t="shared"/>
        <v>1.3261099758534569E-3</v>
      </c>
      <c r="G73" s="15">
        <f si="6" t="shared"/>
        <v>5.9669511206919545E-3</v>
      </c>
      <c r="H73" s="15">
        <f si="6" t="shared"/>
        <v>7.5442305268634156E-3</v>
      </c>
      <c r="I73" s="15">
        <f si="6" t="shared"/>
        <v>1.2997578958337173E-2</v>
      </c>
      <c r="K73" s="9">
        <v>0.22916666666666666</v>
      </c>
      <c r="L73" s="14">
        <f si="7" t="shared"/>
        <v>2.304492058836485E-2</v>
      </c>
      <c r="M73" s="14">
        <f si="7" t="shared"/>
        <v>2.4740631517144882E-2</v>
      </c>
      <c r="N73" s="14">
        <f si="7" t="shared"/>
        <v>2.5434201532263414E-2</v>
      </c>
      <c r="O73" s="14">
        <f si="7" t="shared"/>
        <v>1.037379733963407E-2</v>
      </c>
      <c r="P73" s="14">
        <f si="7" t="shared"/>
        <v>6.8896021550507846E-3</v>
      </c>
      <c r="Q73" s="14">
        <f si="7" t="shared"/>
        <v>9.8890843744958781E-3</v>
      </c>
      <c r="R73" s="14">
        <f si="7" t="shared"/>
        <v>9.6734006055518764E-3</v>
      </c>
      <c r="S73" s="15">
        <f si="7" t="shared"/>
        <v>1.6238958319536183E-2</v>
      </c>
    </row>
    <row r="74" spans="1:19" x14ac:dyDescent="0.25">
      <c r="A74" s="9">
        <v>0.25</v>
      </c>
      <c r="B74" s="15">
        <f si="6" t="shared"/>
        <v>4.5723417815644186E-2</v>
      </c>
      <c r="C74" s="15">
        <f si="6" t="shared"/>
        <v>4.2841728525055606E-2</v>
      </c>
      <c r="D74" s="15">
        <f si="6" t="shared"/>
        <v>1.8557683542911603E-2</v>
      </c>
      <c r="E74" s="15">
        <f si="6" t="shared"/>
        <v>6.2193218274239773E-3</v>
      </c>
      <c r="F74" s="15">
        <f si="6" t="shared"/>
        <v>2.240119156191584E-3</v>
      </c>
      <c r="G74" s="15">
        <f si="6" t="shared"/>
        <v>7.5851105053888002E-3</v>
      </c>
      <c r="H74" s="15">
        <f si="6" t="shared"/>
        <v>9.4325073477805749E-3</v>
      </c>
      <c r="I74" s="15">
        <f si="6" t="shared"/>
        <v>1.9291514552690889E-2</v>
      </c>
      <c r="K74" s="9">
        <v>0.25</v>
      </c>
      <c r="L74" s="14">
        <f si="7" t="shared"/>
        <v>3.4768600042921316E-2</v>
      </c>
      <c r="M74" s="14">
        <f si="7" t="shared"/>
        <v>4.1217851360145941E-2</v>
      </c>
      <c r="N74" s="14">
        <f si="7" t="shared"/>
        <v>3.229349907049997E-2</v>
      </c>
      <c r="O74" s="14">
        <f si="7" t="shared"/>
        <v>1.4974158427667177E-2</v>
      </c>
      <c r="P74" s="14">
        <f si="7" t="shared"/>
        <v>1.0055685544927332E-2</v>
      </c>
      <c r="Q74" s="14">
        <f si="7" t="shared"/>
        <v>1.3184430119866919E-2</v>
      </c>
      <c r="R74" s="14">
        <f si="7" t="shared"/>
        <v>1.4201114205762604E-2</v>
      </c>
      <c r="S74" s="15">
        <f si="7" t="shared"/>
        <v>2.3468303064705272E-2</v>
      </c>
    </row>
    <row r="75" spans="1:19" x14ac:dyDescent="0.25">
      <c r="A75" s="9">
        <v>0.27083333333333331</v>
      </c>
      <c r="B75" s="15">
        <f si="6" t="shared"/>
        <v>5.8783019921449575E-2</v>
      </c>
      <c r="C75" s="15">
        <f si="6" t="shared"/>
        <v>6.8614233685110396E-2</v>
      </c>
      <c r="D75" s="15">
        <f si="6" t="shared"/>
        <v>2.8640477632430508E-2</v>
      </c>
      <c r="E75" s="15">
        <f si="6" t="shared"/>
        <v>9.4180857011006928E-3</v>
      </c>
      <c r="F75" s="15">
        <f si="6" t="shared"/>
        <v>3.7549940438830918E-3</v>
      </c>
      <c r="G75" s="15">
        <f si="6" t="shared"/>
        <v>9.3351850703983445E-3</v>
      </c>
      <c r="H75" s="15">
        <f si="6" t="shared"/>
        <v>1.1470510789401705E-2</v>
      </c>
      <c r="I75" s="15">
        <f si="6" t="shared"/>
        <v>2.6661563780982583E-2</v>
      </c>
      <c r="K75" s="9">
        <v>0.27083333333333331</v>
      </c>
      <c r="L75" s="14">
        <f si="7" t="shared"/>
        <v>4.723540859035763E-2</v>
      </c>
      <c r="M75" s="14">
        <f si="7" t="shared"/>
        <v>5.9970569028963576E-2</v>
      </c>
      <c r="N75" s="14">
        <f si="7" t="shared"/>
        <v>3.8446790874667187E-2</v>
      </c>
      <c r="O75" s="14">
        <f si="7" t="shared"/>
        <v>2.0139812090705037E-2</v>
      </c>
      <c r="P75" s="14">
        <f si="7" t="shared"/>
        <v>1.3815676539644649E-2</v>
      </c>
      <c r="Q75" s="14">
        <f si="7" t="shared"/>
        <v>1.6650111842453168E-2</v>
      </c>
      <c r="R75" s="14">
        <f si="7" t="shared"/>
        <v>1.9255838824773771E-2</v>
      </c>
      <c r="S75" s="15">
        <f si="7" t="shared"/>
        <v>3.1200645084209683E-2</v>
      </c>
    </row>
    <row r="76" spans="1:19" x14ac:dyDescent="0.25">
      <c r="A76" s="9">
        <v>0.29166666666666669</v>
      </c>
      <c r="B76" s="15">
        <f si="6" t="shared"/>
        <v>6.9691231381667162E-2</v>
      </c>
      <c r="C76" s="15">
        <f si="6" t="shared"/>
        <v>9.4859761200474055E-2</v>
      </c>
      <c r="D76" s="15">
        <f si="6" t="shared"/>
        <v>3.9316381804636605E-2</v>
      </c>
      <c r="E76" s="15">
        <f si="6" t="shared"/>
        <v>1.363360213494995E-2</v>
      </c>
      <c r="F76" s="15">
        <f si="6" t="shared"/>
        <v>6.0499645187813474E-3</v>
      </c>
      <c r="G76" s="15">
        <f si="6" t="shared"/>
        <v>1.1236410381096348E-2</v>
      </c>
      <c r="H76" s="15">
        <f si="6" t="shared"/>
        <v>1.3785361355222047E-2</v>
      </c>
      <c r="I76" s="15">
        <f si="6" t="shared"/>
        <v>3.4015154932055397E-2</v>
      </c>
      <c r="K76" s="9">
        <v>0.29166666666666669</v>
      </c>
      <c r="L76" s="14">
        <f si="7" t="shared"/>
        <v>5.784657833628834E-2</v>
      </c>
      <c r="M76" s="14">
        <f si="7" t="shared"/>
        <v>7.6582346555394962E-2</v>
      </c>
      <c r="N76" s="14">
        <f si="7" t="shared"/>
        <v>4.26467363758238E-2</v>
      </c>
      <c r="O76" s="14">
        <f si="7" t="shared"/>
        <v>2.5129819886943891E-2</v>
      </c>
      <c r="P76" s="14">
        <f si="7" t="shared"/>
        <v>1.7698516937708374E-2</v>
      </c>
      <c r="Q76" s="14">
        <f si="7" t="shared"/>
        <v>1.9831541326099957E-2</v>
      </c>
      <c r="R76" s="14">
        <f si="7" t="shared"/>
        <v>2.4059527038374707E-2</v>
      </c>
      <c r="S76" s="15">
        <f si="7" t="shared"/>
        <v>3.7956019430814635E-2</v>
      </c>
    </row>
    <row r="77" spans="1:19" x14ac:dyDescent="0.25">
      <c r="A77" s="9">
        <v>0.3125</v>
      </c>
      <c r="B77" s="15">
        <f si="6" t="shared"/>
        <v>7.6028538066276088E-2</v>
      </c>
      <c r="C77" s="15">
        <f si="6" t="shared"/>
        <v>0.11398516710214553</v>
      </c>
      <c r="D77" s="15">
        <f si="6" t="shared"/>
        <v>4.7888759851251017E-2</v>
      </c>
      <c r="E77" s="15">
        <f si="6" t="shared"/>
        <v>1.875591741246696E-2</v>
      </c>
      <c r="F77" s="15">
        <f si="6" t="shared"/>
        <v>9.2836072777147689E-3</v>
      </c>
      <c r="G77" s="15">
        <f si="6" t="shared"/>
        <v>1.3247990201617498E-2</v>
      </c>
      <c r="H77" s="15">
        <f si="6" t="shared"/>
        <v>1.6479098443871805E-2</v>
      </c>
      <c r="I77" s="15">
        <f si="6" t="shared"/>
        <v>3.9930577136845273E-2</v>
      </c>
      <c r="K77" s="9">
        <v>0.3125</v>
      </c>
      <c r="L77" s="14">
        <f si="7" t="shared"/>
        <v>6.4186888251062016E-2</v>
      </c>
      <c r="M77" s="14">
        <f si="7" t="shared"/>
        <v>8.6679269726884861E-2</v>
      </c>
      <c r="N77" s="14">
        <f si="7" t="shared"/>
        <v>4.4250572200719505E-2</v>
      </c>
      <c r="O77" s="14">
        <f si="7" t="shared"/>
        <v>2.9249789316175546E-2</v>
      </c>
      <c r="P77" s="14">
        <f si="7" t="shared"/>
        <v>2.120321237067211E-2</v>
      </c>
      <c r="Q77" s="14">
        <f si="7" t="shared"/>
        <v>2.2384597253934678E-2</v>
      </c>
      <c r="R77" s="14">
        <f si="7" t="shared"/>
        <v>2.7849297770602528E-2</v>
      </c>
      <c r="S77" s="15">
        <f si="7" t="shared"/>
        <v>4.24121772745795E-2</v>
      </c>
    </row>
    <row r="78" spans="1:19" x14ac:dyDescent="0.25">
      <c r="A78" s="9">
        <v>0.33333333333333331</v>
      </c>
      <c r="B78" s="15">
        <f si="6" t="shared"/>
        <v>7.6403047611357813E-2</v>
      </c>
      <c r="C78" s="15">
        <f si="6" t="shared"/>
        <v>0.11974699231720452</v>
      </c>
      <c r="D78" s="15">
        <f si="6" t="shared"/>
        <v>5.1796673621828472E-2</v>
      </c>
      <c r="E78" s="15">
        <f si="6" t="shared"/>
        <v>2.4414471467179542E-2</v>
      </c>
      <c r="F78" s="15">
        <f si="6" t="shared"/>
        <v>1.3536513288821201E-2</v>
      </c>
      <c r="G78" s="15">
        <f si="6" t="shared"/>
        <v>1.5312034935459051E-2</v>
      </c>
      <c r="H78" s="15">
        <f si="6" t="shared"/>
        <v>1.951657171307216E-2</v>
      </c>
      <c r="I78" s="15">
        <f si="6" t="shared"/>
        <v>4.3259050403246957E-2</v>
      </c>
      <c r="K78" s="9">
        <v>0.33333333333333331</v>
      </c>
      <c r="L78" s="14">
        <f si="7" t="shared"/>
        <v>6.5090992749024468E-2</v>
      </c>
      <c r="M78" s="14">
        <f si="7" t="shared"/>
        <v>8.8179901854118684E-2</v>
      </c>
      <c r="N78" s="14">
        <f si="7" t="shared"/>
        <v>4.3500128347500631E-2</v>
      </c>
      <c r="O78" s="14">
        <f si="7" t="shared"/>
        <v>3.2215292731060129E-2</v>
      </c>
      <c r="P78" s="14">
        <f si="7" t="shared"/>
        <v>2.4052200970249401E-2</v>
      </c>
      <c r="Q78" s="14">
        <f si="7" t="shared"/>
        <v>2.4283727945575283E-2</v>
      </c>
      <c r="R78" s="14">
        <f si="7" t="shared"/>
        <v>3.0238137005256176E-2</v>
      </c>
      <c r="S78" s="15">
        <f si="7" t="shared"/>
        <v>4.4033889537358734E-2</v>
      </c>
    </row>
    <row r="79" spans="1:19" x14ac:dyDescent="0.25">
      <c r="A79" s="9">
        <v>0.35416666666666669</v>
      </c>
      <c r="B79" s="15">
        <f si="6" t="shared"/>
        <v>7.1163764150344616E-2</v>
      </c>
      <c r="C79" s="15">
        <f si="6" t="shared"/>
        <v>0.11058467244533338</v>
      </c>
      <c r="D79" s="15">
        <f si="6" t="shared"/>
        <v>4.9914294338397037E-2</v>
      </c>
      <c r="E79" s="15">
        <f si="6" t="shared"/>
        <v>3.0012848056152088E-2</v>
      </c>
      <c r="F79" s="15">
        <f si="6" t="shared"/>
        <v>1.8724151599068036E-2</v>
      </c>
      <c r="G79" s="15">
        <f si="6" t="shared"/>
        <v>1.7492211124928249E-2</v>
      </c>
      <c r="H79" s="15">
        <f si="6" t="shared"/>
        <v>2.2652282010533042E-2</v>
      </c>
      <c r="I79" s="15">
        <f si="6" t="shared"/>
        <v>4.3682477067177171E-2</v>
      </c>
      <c r="K79" s="9">
        <v>0.35416666666666669</v>
      </c>
      <c r="L79" s="14">
        <f si="7" t="shared"/>
        <v>6.1140951013050823E-2</v>
      </c>
      <c r="M79" s="14">
        <f si="7" t="shared"/>
        <v>8.2092538834282053E-2</v>
      </c>
      <c r="N79" s="14">
        <f si="7" t="shared"/>
        <v>4.132952419449562E-2</v>
      </c>
      <c r="O79" s="14">
        <f si="7" t="shared"/>
        <v>3.4291280034039272E-2</v>
      </c>
      <c r="P79" s="14">
        <f si="7" t="shared"/>
        <v>2.6325872487513384E-2</v>
      </c>
      <c r="Q79" s="14">
        <f si="7" t="shared"/>
        <v>2.5883699165387578E-2</v>
      </c>
      <c r="R79" s="14">
        <f si="7" t="shared"/>
        <v>3.138229048764795E-2</v>
      </c>
      <c r="S79" s="15">
        <f si="7" t="shared"/>
        <v>4.3288349107385035E-2</v>
      </c>
    </row>
    <row r="80" spans="1:19" x14ac:dyDescent="0.25">
      <c r="A80" s="9">
        <v>0.375</v>
      </c>
      <c r="B80" s="15">
        <f si="6" t="shared"/>
        <v>6.2237359522991927E-2</v>
      </c>
      <c r="C80" s="15">
        <f si="6" t="shared"/>
        <v>9.0370411459516825E-2</v>
      </c>
      <c r="D80" s="15">
        <f si="6" t="shared"/>
        <v>4.3206824511345235E-2</v>
      </c>
      <c r="E80" s="15">
        <f si="6" t="shared"/>
        <v>3.4913665264179168E-2</v>
      </c>
      <c r="F80" s="15">
        <f si="6" t="shared"/>
        <v>2.4504676942681696E-2</v>
      </c>
      <c r="G80" s="15">
        <f si="6" t="shared"/>
        <v>2.0107982526802636E-2</v>
      </c>
      <c r="H80" s="15">
        <f si="6" t="shared"/>
        <v>2.5465059670742928E-2</v>
      </c>
      <c r="I80" s="15">
        <f si="6" t="shared"/>
        <v>4.1839098861880294E-2</v>
      </c>
      <c r="K80" s="9">
        <v>0.375</v>
      </c>
      <c r="L80" s="14">
        <f si="7" t="shared"/>
        <v>5.4306331713525016E-2</v>
      </c>
      <c r="M80" s="14">
        <f si="7" t="shared"/>
        <v>7.1445624182056286E-2</v>
      </c>
      <c r="N80" s="14">
        <f si="7" t="shared"/>
        <v>3.8816750414811051E-2</v>
      </c>
      <c r="O80" s="14">
        <f si="7" t="shared"/>
        <v>3.6029758334203403E-2</v>
      </c>
      <c r="P80" s="14">
        <f si="7" t="shared"/>
        <v>2.8339785727120721E-2</v>
      </c>
      <c r="Q80" s="14">
        <f si="7" t="shared"/>
        <v>2.7712792002987301E-2</v>
      </c>
      <c r="R80" s="14">
        <f si="7" t="shared"/>
        <v>3.1809013198594367E-2</v>
      </c>
      <c r="S80" s="15">
        <f si="7" t="shared"/>
        <v>4.1286708505627587E-2</v>
      </c>
    </row>
    <row r="81" spans="1:19" x14ac:dyDescent="0.25">
      <c r="A81" s="9">
        <v>0.39583333333333331</v>
      </c>
      <c r="B81" s="15">
        <f si="6" t="shared"/>
        <v>5.2194640382155225E-2</v>
      </c>
      <c r="C81" s="15">
        <f si="6" t="shared"/>
        <v>6.6118938789752321E-2</v>
      </c>
      <c r="D81" s="15">
        <f si="6" t="shared"/>
        <v>3.4247763360673436E-2</v>
      </c>
      <c r="E81" s="15">
        <f si="6" t="shared"/>
        <v>3.8672815001960584E-2</v>
      </c>
      <c r="F81" s="15">
        <f si="6" t="shared"/>
        <v>3.0259120533000481E-2</v>
      </c>
      <c r="G81" s="15">
        <f si="6" t="shared"/>
        <v>2.3728600649025947E-2</v>
      </c>
      <c r="H81" s="15">
        <f si="6" t="shared"/>
        <v>2.752418429858278E-2</v>
      </c>
      <c r="I81" s="15">
        <f si="6" t="shared"/>
        <v>3.8939639919003247E-2</v>
      </c>
      <c r="K81" s="9">
        <v>0.39583333333333331</v>
      </c>
      <c r="L81" s="14">
        <f si="7" t="shared"/>
        <v>4.6981717851730741E-2</v>
      </c>
      <c r="M81" s="14">
        <f si="7" t="shared"/>
        <v>5.9473941611921828E-2</v>
      </c>
      <c r="N81" s="14">
        <f si="7" t="shared"/>
        <v>3.6619847448586533E-2</v>
      </c>
      <c r="O81" s="14">
        <f si="7" t="shared"/>
        <v>3.7766843705809058E-2</v>
      </c>
      <c r="P81" s="14">
        <f si="7" t="shared"/>
        <v>3.033879462306981E-2</v>
      </c>
      <c r="Q81" s="14">
        <f si="7" t="shared"/>
        <v>3.0083500501074154E-2</v>
      </c>
      <c r="R81" s="14">
        <f si="7" t="shared"/>
        <v>3.2023827344127676E-2</v>
      </c>
      <c r="S81" s="15">
        <f si="7" t="shared"/>
        <v>3.9115299321545421E-2</v>
      </c>
    </row>
    <row r="82" spans="1:19" x14ac:dyDescent="0.25">
      <c r="A82" s="9">
        <v>0.41666666666666669</v>
      </c>
      <c r="B82" s="15">
        <f si="6" t="shared"/>
        <v>4.3215856271583947E-2</v>
      </c>
      <c r="C82" s="15">
        <f si="6" t="shared"/>
        <v>4.4391857131503044E-2</v>
      </c>
      <c r="D82" s="15">
        <f si="6" t="shared"/>
        <v>2.589844112324698E-2</v>
      </c>
      <c r="E82" s="15">
        <f si="6" t="shared"/>
        <v>4.1150250385389907E-2</v>
      </c>
      <c r="F82" s="15">
        <f si="6" t="shared"/>
        <v>3.5243972665095435E-2</v>
      </c>
      <c r="G82" s="15">
        <f si="6" t="shared"/>
        <v>2.8904399065274648E-2</v>
      </c>
      <c r="H82" s="15">
        <f si="6" t="shared"/>
        <v>2.8597573850998911E-2</v>
      </c>
      <c r="I82" s="15">
        <f si="6" t="shared"/>
        <v>3.6160841704493824E-2</v>
      </c>
      <c r="K82" s="9">
        <v>0.41666666666666669</v>
      </c>
      <c r="L82" s="14">
        <f si="7" t="shared"/>
        <v>4.1005599886356069E-2</v>
      </c>
      <c r="M82" s="14">
        <f si="7" t="shared"/>
        <v>4.8403056990227025E-2</v>
      </c>
      <c r="N82" s="14">
        <f si="7" t="shared"/>
        <v>3.4766284913864527E-2</v>
      </c>
      <c r="O82" s="14">
        <f si="7" t="shared"/>
        <v>3.9327437193037808E-2</v>
      </c>
      <c r="P82" s="14">
        <f si="7" t="shared"/>
        <v>3.2277108273168306E-2</v>
      </c>
      <c r="Q82" s="14">
        <f si="7" t="shared"/>
        <v>3.282709101155095E-2</v>
      </c>
      <c r="R82" s="14">
        <f si="7" t="shared"/>
        <v>3.222311184806953E-2</v>
      </c>
      <c r="S82" s="15">
        <f si="7" t="shared"/>
        <v>3.7342168071201949E-2</v>
      </c>
    </row>
    <row r="83" spans="1:19" x14ac:dyDescent="0.25">
      <c r="A83" s="9">
        <v>0.4375</v>
      </c>
      <c r="B83" s="15">
        <f si="6" t="shared"/>
        <v>3.6542563005206731E-2</v>
      </c>
      <c r="C83" s="15">
        <f si="6" t="shared"/>
        <v>2.8764666408712395E-2</v>
      </c>
      <c r="D83" s="15">
        <f si="6" t="shared"/>
        <v>2.0035398760403222E-2</v>
      </c>
      <c r="E83" s="15">
        <f si="6" t="shared"/>
        <v>4.2440517036549039E-2</v>
      </c>
      <c r="F83" s="15">
        <f si="6" t="shared"/>
        <v>3.8902650281273043E-2</v>
      </c>
      <c r="G83" s="15">
        <f si="6" t="shared"/>
        <v>3.5641399171393029E-2</v>
      </c>
      <c r="H83" s="15">
        <f si="6" t="shared"/>
        <v>2.8746884772387134E-2</v>
      </c>
      <c r="I83" s="15">
        <f si="6" t="shared"/>
        <v>3.419909956926364E-2</v>
      </c>
      <c r="K83" s="9">
        <v>0.4375</v>
      </c>
      <c r="L83" s="14">
        <f si="7" t="shared"/>
        <v>3.7154563507926591E-2</v>
      </c>
      <c r="M83" s="14">
        <f si="7" t="shared"/>
        <v>3.9240993216670274E-2</v>
      </c>
      <c r="N83" s="14">
        <f si="7" t="shared"/>
        <v>3.2911640383432438E-2</v>
      </c>
      <c r="O83" s="14">
        <f si="7" t="shared"/>
        <v>4.0237661192350692E-2</v>
      </c>
      <c r="P83" s="14">
        <f si="7" t="shared"/>
        <v>3.3886889528548465E-2</v>
      </c>
      <c r="Q83" s="14">
        <f si="7" t="shared"/>
        <v>3.5392994263979669E-2</v>
      </c>
      <c r="R83" s="14">
        <f si="7" t="shared"/>
        <v>3.2344825629960647E-2</v>
      </c>
      <c r="S83" s="15">
        <f si="7" t="shared"/>
        <v>3.599564377572851E-2</v>
      </c>
    </row>
    <row r="84" spans="1:19" x14ac:dyDescent="0.25">
      <c r="A84" s="9">
        <v>0.45833333333333331</v>
      </c>
      <c r="B84" s="15">
        <f ref="B84:I99" si="8" t="shared">B27/B$61</f>
        <v>3.2468901907190588E-2</v>
      </c>
      <c r="C84" s="15">
        <f si="8" t="shared"/>
        <v>1.9513241903276132E-2</v>
      </c>
      <c r="D84" s="15">
        <f si="8" t="shared"/>
        <v>1.7084349398551323E-2</v>
      </c>
      <c r="E84" s="15">
        <f si="8" t="shared"/>
        <v>4.2754477824573187E-2</v>
      </c>
      <c r="F84" s="15">
        <f si="8" t="shared"/>
        <v>4.1130293948680063E-2</v>
      </c>
      <c r="G84" s="15">
        <f si="8" t="shared"/>
        <v>4.2928141706746414E-2</v>
      </c>
      <c r="H84" s="15">
        <f si="8" t="shared"/>
        <v>2.8246297266868278E-2</v>
      </c>
      <c r="I84" s="15">
        <f si="8" t="shared"/>
        <v>3.3170854258874935E-2</v>
      </c>
      <c r="K84" s="9">
        <v>0.45833333333333331</v>
      </c>
      <c r="L84" s="14">
        <f ref="L84:S99" si="9" t="shared">L27/L$61</f>
        <v>3.5228101828358123E-2</v>
      </c>
      <c r="M84" s="14">
        <f si="9" t="shared"/>
        <v>3.2152196107903624E-2</v>
      </c>
      <c r="N84" s="14">
        <f si="9" t="shared"/>
        <v>3.0806380036905289E-2</v>
      </c>
      <c r="O84" s="14">
        <f si="9" t="shared"/>
        <v>4.0236595353817087E-2</v>
      </c>
      <c r="P84" s="14">
        <f si="9" t="shared"/>
        <v>3.4947039892458329E-2</v>
      </c>
      <c r="Q84" s="14">
        <f si="9" t="shared"/>
        <v>3.7213608239083422E-2</v>
      </c>
      <c r="R84" s="14">
        <f si="9" t="shared"/>
        <v>3.2353924690449884E-2</v>
      </c>
      <c r="S84" s="15">
        <f si="9" t="shared"/>
        <v>3.4890454589127311E-2</v>
      </c>
    </row>
    <row r="85" spans="1:19" x14ac:dyDescent="0.25">
      <c r="A85" s="9">
        <v>0.47916666666666669</v>
      </c>
      <c r="B85" s="15">
        <f si="8" t="shared"/>
        <v>3.0570231352437593E-2</v>
      </c>
      <c r="C85" s="15">
        <f si="8" t="shared"/>
        <v>1.4938721151528439E-2</v>
      </c>
      <c r="D85" s="15">
        <f si="8" t="shared"/>
        <v>1.6452849378966683E-2</v>
      </c>
      <c r="E85" s="15">
        <f si="8" t="shared"/>
        <v>4.2393732988658027E-2</v>
      </c>
      <c r="F85" s="15">
        <f si="8" t="shared"/>
        <v>4.2260676106735499E-2</v>
      </c>
      <c r="G85" s="15">
        <f si="8" t="shared"/>
        <v>4.8845734028591339E-2</v>
      </c>
      <c r="H85" s="15">
        <f si="8" t="shared"/>
        <v>2.7426168807466286E-2</v>
      </c>
      <c r="I85" s="15">
        <f si="8" t="shared"/>
        <v>3.2794386318648117E-2</v>
      </c>
      <c r="K85" s="9">
        <v>0.47916666666666669</v>
      </c>
      <c r="L85" s="14">
        <f si="9" t="shared"/>
        <v>3.4485099089786461E-2</v>
      </c>
      <c r="M85" s="14">
        <f si="9" t="shared"/>
        <v>2.6893312368087792E-2</v>
      </c>
      <c r="N85" s="14">
        <f si="9" t="shared"/>
        <v>2.8561739375365856E-2</v>
      </c>
      <c r="O85" s="14">
        <f si="9" t="shared"/>
        <v>3.9572120490420304E-2</v>
      </c>
      <c r="P85" s="14">
        <f si="9" t="shared"/>
        <v>3.548084606539683E-2</v>
      </c>
      <c r="Q85" s="14">
        <f si="9" t="shared"/>
        <v>3.8011623524175732E-2</v>
      </c>
      <c r="R85" s="14">
        <f si="9" t="shared"/>
        <v>3.2435747532632363E-2</v>
      </c>
      <c r="S85" s="15">
        <f si="9" t="shared"/>
        <v>3.3933085660021463E-2</v>
      </c>
    </row>
    <row r="86" spans="1:19" x14ac:dyDescent="0.25">
      <c r="A86" s="9">
        <v>0.5</v>
      </c>
      <c r="B86" s="15">
        <f si="8" t="shared"/>
        <v>2.9963142304625684E-2</v>
      </c>
      <c r="C86" s="15">
        <f si="8" t="shared"/>
        <v>1.2961981519810321E-2</v>
      </c>
      <c r="D86" s="15">
        <f si="8" t="shared"/>
        <v>1.7365534654740868E-2</v>
      </c>
      <c r="E86" s="15">
        <f si="8" t="shared"/>
        <v>4.1772093508498052E-2</v>
      </c>
      <c r="F86" s="15">
        <f si="8" t="shared"/>
        <v>4.278386218431237E-2</v>
      </c>
      <c r="G86" s="15">
        <f si="8" t="shared"/>
        <v>5.1484792826123414E-2</v>
      </c>
      <c r="H86" s="15">
        <f si="8" t="shared"/>
        <v>2.6586300450672368E-2</v>
      </c>
      <c r="I86" s="15">
        <f si="8" t="shared"/>
        <v>3.2677044098844595E-2</v>
      </c>
      <c r="K86" s="9">
        <v>0.5</v>
      </c>
      <c r="L86" s="14">
        <f si="9" t="shared"/>
        <v>3.4095209637074408E-2</v>
      </c>
      <c r="M86" s="14">
        <f si="9" t="shared"/>
        <v>2.3097037027351872E-2</v>
      </c>
      <c r="N86" s="14">
        <f si="9" t="shared"/>
        <v>2.6542783829056994E-2</v>
      </c>
      <c r="O86" s="14">
        <f si="9" t="shared"/>
        <v>3.8815587608708235E-2</v>
      </c>
      <c r="P86" s="14">
        <f si="9" t="shared"/>
        <v>3.5736842887110834E-2</v>
      </c>
      <c r="Q86" s="14">
        <f si="9" t="shared"/>
        <v>3.7863911914851306E-2</v>
      </c>
      <c r="R86" s="14">
        <f si="9" t="shared"/>
        <v>3.2901556394589949E-2</v>
      </c>
      <c r="S86" s="15">
        <f si="9" t="shared"/>
        <v>3.3172869519833406E-2</v>
      </c>
    </row>
    <row r="87" spans="1:19" x14ac:dyDescent="0.25">
      <c r="A87" s="9">
        <v>0.52083333333333337</v>
      </c>
      <c r="B87" s="15">
        <f si="8" t="shared"/>
        <v>2.9618121578194892E-2</v>
      </c>
      <c r="C87" s="15">
        <f si="8" t="shared"/>
        <v>1.2063963837916575E-2</v>
      </c>
      <c r="D87" s="15">
        <f si="8" t="shared"/>
        <v>1.9489320256255299E-2</v>
      </c>
      <c r="E87" s="15">
        <f si="8" t="shared"/>
        <v>4.133541545287675E-2</v>
      </c>
      <c r="F87" s="15">
        <f si="8" t="shared"/>
        <v>4.3057679621205366E-2</v>
      </c>
      <c r="G87" s="15">
        <f si="8" t="shared"/>
        <v>5.012285179321916E-2</v>
      </c>
      <c r="H87" s="15">
        <f si="8" t="shared"/>
        <v>2.6010687414567083E-2</v>
      </c>
      <c r="I87" s="15">
        <f si="8" t="shared"/>
        <v>3.2557400161602218E-2</v>
      </c>
      <c r="K87" s="9">
        <v>0.52083333333333337</v>
      </c>
      <c r="L87" s="14">
        <f si="9" t="shared"/>
        <v>3.3414818891005525E-2</v>
      </c>
      <c r="M87" s="14">
        <f si="9" t="shared"/>
        <v>2.0417828088440136E-2</v>
      </c>
      <c r="N87" s="14">
        <f si="9" t="shared"/>
        <v>2.507418677073522E-2</v>
      </c>
      <c r="O87" s="14">
        <f si="9" t="shared"/>
        <v>3.8424924589185241E-2</v>
      </c>
      <c r="P87" s="14">
        <f si="9" t="shared"/>
        <v>3.6046962758304796E-2</v>
      </c>
      <c r="Q87" s="14">
        <f si="9" t="shared"/>
        <v>3.7097072304543469E-2</v>
      </c>
      <c r="R87" s="14">
        <f si="9" t="shared"/>
        <v>3.3928838320532666E-2</v>
      </c>
      <c r="S87" s="15">
        <f si="9" t="shared"/>
        <v>3.2670360352981945E-2</v>
      </c>
    </row>
    <row r="88" spans="1:19" x14ac:dyDescent="0.25">
      <c r="A88" s="9">
        <v>0.54166666666666663</v>
      </c>
      <c r="B88" s="15">
        <f si="8" t="shared"/>
        <v>2.8732820327768697E-2</v>
      </c>
      <c r="C88" s="15">
        <f si="8" t="shared"/>
        <v>1.1483695473774463E-2</v>
      </c>
      <c r="D88" s="15">
        <f si="8" t="shared"/>
        <v>2.299672897693681E-2</v>
      </c>
      <c r="E88" s="15">
        <f si="8" t="shared"/>
        <v>4.1373425567752073E-2</v>
      </c>
      <c r="F88" s="15">
        <f si="8" t="shared"/>
        <v>4.324889082946342E-2</v>
      </c>
      <c r="G88" s="15">
        <f si="8" t="shared"/>
        <v>4.569913412906397E-2</v>
      </c>
      <c r="H88" s="15">
        <f si="8" t="shared"/>
        <v>2.5999793191929483E-2</v>
      </c>
      <c r="I88" s="15">
        <f si="8" t="shared"/>
        <v>3.2412015866677912E-2</v>
      </c>
      <c r="K88" s="9">
        <v>0.54166666666666663</v>
      </c>
      <c r="L88" s="14">
        <f si="9" t="shared"/>
        <v>3.2091343603026776E-2</v>
      </c>
      <c r="M88" s="14">
        <f si="9" t="shared"/>
        <v>1.859571430369477E-2</v>
      </c>
      <c r="N88" s="14">
        <f si="9" t="shared"/>
        <v>2.425799304679449E-2</v>
      </c>
      <c r="O88" s="14">
        <f si="9" t="shared"/>
        <v>3.8480052188464314E-2</v>
      </c>
      <c r="P88" s="14">
        <f si="9" t="shared"/>
        <v>3.6718268806072714E-2</v>
      </c>
      <c r="Q88" s="14">
        <f si="9" t="shared"/>
        <v>3.6153445207147777E-2</v>
      </c>
      <c r="R88" s="14">
        <f si="9" t="shared"/>
        <v>3.5414993384262218E-2</v>
      </c>
      <c r="S88" s="15">
        <f si="9" t="shared"/>
        <v>3.2397087753414579E-2</v>
      </c>
    </row>
    <row r="89" spans="1:19" x14ac:dyDescent="0.25">
      <c r="A89" s="9">
        <v>0.5625</v>
      </c>
      <c r="B89" s="15">
        <f si="8" t="shared"/>
        <v>2.6995678640466012E-2</v>
      </c>
      <c r="C89" s="15">
        <f si="8" t="shared"/>
        <v>1.1004606466419009E-2</v>
      </c>
      <c r="D89" s="15">
        <f si="8" t="shared"/>
        <v>2.8097451730935696E-2</v>
      </c>
      <c r="E89" s="15">
        <f si="8" t="shared"/>
        <v>4.1889052027008461E-2</v>
      </c>
      <c r="F89" s="15">
        <f si="8" t="shared"/>
        <v>4.3471949546964414E-2</v>
      </c>
      <c r="G89" s="15">
        <f si="8" t="shared"/>
        <v>4.0175603426360965E-2</v>
      </c>
      <c r="H89" s="15">
        <f si="8" t="shared"/>
        <v>2.6838376535667546E-2</v>
      </c>
      <c r="I89" s="15">
        <f si="8" t="shared"/>
        <v>3.2394462862057806E-2</v>
      </c>
      <c r="K89" s="9">
        <v>0.5625</v>
      </c>
      <c r="L89" s="14">
        <f si="9" t="shared"/>
        <v>3.0075089556507738E-2</v>
      </c>
      <c r="M89" s="14">
        <f si="9" t="shared"/>
        <v>1.7462725770382364E-2</v>
      </c>
      <c r="N89" s="14">
        <f si="9" t="shared"/>
        <v>2.4021772874889186E-2</v>
      </c>
      <c r="O89" s="14">
        <f si="9" t="shared"/>
        <v>3.8777333456702492E-2</v>
      </c>
      <c r="P89" s="14">
        <f si="9" t="shared"/>
        <v>3.7992255598242271E-2</v>
      </c>
      <c r="Q89" s="14">
        <f si="9" t="shared"/>
        <v>3.5470108581037538E-2</v>
      </c>
      <c r="R89" s="14">
        <f si="9" t="shared"/>
        <v>3.7084315980540558E-2</v>
      </c>
      <c r="S89" s="15">
        <f si="9" t="shared"/>
        <v>3.2274499193459101E-2</v>
      </c>
    </row>
    <row r="90" spans="1:19" x14ac:dyDescent="0.25">
      <c r="A90" s="9">
        <v>0.58333333333333337</v>
      </c>
      <c r="B90" s="15">
        <f si="8" t="shared"/>
        <v>2.456170099986215E-2</v>
      </c>
      <c r="C90" s="15">
        <f si="8" t="shared"/>
        <v>1.0628122441390574E-2</v>
      </c>
      <c r="D90" s="15">
        <f si="8" t="shared"/>
        <v>3.442415881538774E-2</v>
      </c>
      <c r="E90" s="15">
        <f si="8" t="shared"/>
        <v>4.264104834987429E-2</v>
      </c>
      <c r="F90" s="15">
        <f si="8" t="shared"/>
        <v>4.38900496081783E-2</v>
      </c>
      <c r="G90" s="15">
        <f si="8" t="shared"/>
        <v>3.5375355416530557E-2</v>
      </c>
      <c r="H90" s="15">
        <f si="8" t="shared"/>
        <v>2.8704484480798726E-2</v>
      </c>
      <c r="I90" s="15">
        <f si="8" t="shared"/>
        <v>3.2656057535643247E-2</v>
      </c>
      <c r="K90" s="9">
        <v>0.58333333333333337</v>
      </c>
      <c r="L90" s="14">
        <f si="9" t="shared"/>
        <v>2.7579029563933277E-2</v>
      </c>
      <c r="M90" s="14">
        <f si="9" t="shared"/>
        <v>1.6896102654143298E-2</v>
      </c>
      <c r="N90" s="14">
        <f si="9" t="shared"/>
        <v>2.428048578793281E-2</v>
      </c>
      <c r="O90" s="14">
        <f si="9" t="shared"/>
        <v>3.911515154490379E-2</v>
      </c>
      <c r="P90" s="14">
        <f si="9" t="shared"/>
        <v>4.0002171939378967E-2</v>
      </c>
      <c r="Q90" s="14">
        <f si="9" t="shared"/>
        <v>3.5370153905857966E-2</v>
      </c>
      <c r="R90" s="14">
        <f si="9" t="shared"/>
        <v>3.8727291576883059E-2</v>
      </c>
      <c r="S90" s="15">
        <f si="9" t="shared"/>
        <v>3.2278958886757796E-2</v>
      </c>
    </row>
    <row r="91" spans="1:19" x14ac:dyDescent="0.25">
      <c r="A91" s="9">
        <v>0.60416666666666663</v>
      </c>
      <c r="B91" s="15">
        <f si="8" t="shared"/>
        <v>2.1792231683862205E-2</v>
      </c>
      <c r="C91" s="15">
        <f si="8" t="shared"/>
        <v>1.0319608243239806E-2</v>
      </c>
      <c r="D91" s="15">
        <f si="8" t="shared"/>
        <v>4.0816868156429931E-2</v>
      </c>
      <c r="E91" s="15">
        <f si="8" t="shared"/>
        <v>4.3292791323763492E-2</v>
      </c>
      <c r="F91" s="15">
        <f si="8" t="shared"/>
        <v>4.4617515679717314E-2</v>
      </c>
      <c r="G91" s="15">
        <f si="8" t="shared"/>
        <v>3.2255320587900635E-2</v>
      </c>
      <c r="H91" s="15">
        <f si="8" t="shared"/>
        <v>3.1599587256131885E-2</v>
      </c>
      <c r="I91" s="15">
        <f si="8" t="shared"/>
        <v>3.3182272744414126E-2</v>
      </c>
      <c r="K91" s="9">
        <v>0.60416666666666663</v>
      </c>
      <c r="L91" s="14">
        <f si="9" t="shared"/>
        <v>2.498130735775483E-2</v>
      </c>
      <c r="M91" s="14">
        <f si="9" t="shared"/>
        <v>1.673852821528771E-2</v>
      </c>
      <c r="N91" s="14">
        <f si="9" t="shared"/>
        <v>2.5024807382554068E-2</v>
      </c>
      <c r="O91" s="14">
        <f si="9" t="shared"/>
        <v>3.9466688376806829E-2</v>
      </c>
      <c r="P91" s="14">
        <f si="9" t="shared"/>
        <v>4.2681444214812014E-2</v>
      </c>
      <c r="Q91" s="14">
        <f si="9" t="shared"/>
        <v>3.5992860854835398E-2</v>
      </c>
      <c r="R91" s="14">
        <f si="9" t="shared"/>
        <v>4.0327292667160786E-2</v>
      </c>
      <c r="S91" s="15">
        <f si="9" t="shared"/>
        <v>3.2473087230934519E-2</v>
      </c>
    </row>
    <row r="92" spans="1:19" x14ac:dyDescent="0.25">
      <c r="A92" s="9">
        <v>0.625</v>
      </c>
      <c r="B92" s="15">
        <f si="8" t="shared"/>
        <v>1.8994562993410884E-2</v>
      </c>
      <c r="C92" s="15">
        <f si="8" t="shared"/>
        <v>9.9442582862326861E-3</v>
      </c>
      <c r="D92" s="15">
        <f si="8" t="shared"/>
        <v>4.5773440464100631E-2</v>
      </c>
      <c r="E92" s="15">
        <f si="8" t="shared"/>
        <v>4.3537456755281312E-2</v>
      </c>
      <c r="F92" s="15">
        <f si="8" t="shared"/>
        <v>4.552629391127868E-2</v>
      </c>
      <c r="G92" s="15">
        <f si="8" t="shared"/>
        <v>3.0990541404573312E-2</v>
      </c>
      <c r="H92" s="15">
        <f si="8" t="shared"/>
        <v>3.5373711693484869E-2</v>
      </c>
      <c r="I92" s="15">
        <f si="8" t="shared"/>
        <v>3.3775948698276929E-2</v>
      </c>
      <c r="K92" s="9">
        <v>0.625</v>
      </c>
      <c r="L92" s="14">
        <f si="9" t="shared"/>
        <v>2.2674796776122816E-2</v>
      </c>
      <c r="M92" s="14">
        <f si="9" t="shared"/>
        <v>1.674285776636527E-2</v>
      </c>
      <c r="N92" s="14">
        <f si="9" t="shared"/>
        <v>2.6256895057148569E-2</v>
      </c>
      <c r="O92" s="14">
        <f si="9" t="shared"/>
        <v>3.9889665839999408E-2</v>
      </c>
      <c r="P92" s="14">
        <f si="9" t="shared"/>
        <v>4.566353025772163E-2</v>
      </c>
      <c r="Q92" s="14">
        <f si="9" t="shared"/>
        <v>3.7275451723954751E-2</v>
      </c>
      <c r="R92" s="14">
        <f si="9" t="shared"/>
        <v>4.1948655181013331E-2</v>
      </c>
      <c r="S92" s="15">
        <f si="9" t="shared"/>
        <v>3.2907617370783335E-2</v>
      </c>
    </row>
    <row r="93" spans="1:19" x14ac:dyDescent="0.25">
      <c r="A93" s="9">
        <v>0.64583333333333337</v>
      </c>
      <c r="B93" s="15">
        <f si="8" t="shared"/>
        <v>1.6326905656735887E-2</v>
      </c>
      <c r="C93" s="15">
        <f si="8" t="shared"/>
        <v>9.3797549037313542E-3</v>
      </c>
      <c r="D93" s="15">
        <f si="8" t="shared"/>
        <v>4.8222358599283914E-2</v>
      </c>
      <c r="E93" s="15">
        <f si="8" t="shared"/>
        <v>4.3164524773658397E-2</v>
      </c>
      <c r="F93" s="15">
        <f si="8" t="shared"/>
        <v>4.6211163029464597E-2</v>
      </c>
      <c r="G93" s="15">
        <f si="8" t="shared"/>
        <v>3.14568982755382E-2</v>
      </c>
      <c r="H93" s="15">
        <f si="8" t="shared"/>
        <v>3.982636358397898E-2</v>
      </c>
      <c r="I93" s="15">
        <f si="8" t="shared"/>
        <v>3.4190567556174459E-2</v>
      </c>
      <c r="K93" s="9">
        <v>0.64583333333333337</v>
      </c>
      <c r="L93" s="14">
        <f si="9" t="shared"/>
        <v>2.0907142870946572E-2</v>
      </c>
      <c r="M93" s="14">
        <f si="9" t="shared"/>
        <v>1.6601711355855409E-2</v>
      </c>
      <c r="N93" s="14">
        <f si="9" t="shared"/>
        <v>2.7846803201022216E-2</v>
      </c>
      <c r="O93" s="14">
        <f si="9" t="shared"/>
        <v>4.0288528985080743E-2</v>
      </c>
      <c r="P93" s="14">
        <f si="9" t="shared"/>
        <v>4.8270625351179167E-2</v>
      </c>
      <c r="Q93" s="14">
        <f si="9" t="shared"/>
        <v>3.895516194999956E-2</v>
      </c>
      <c r="R93" s="14">
        <f si="9" t="shared"/>
        <v>4.3495555187903857E-2</v>
      </c>
      <c r="S93" s="15">
        <f si="9" t="shared"/>
        <v>3.3471901831972732E-2</v>
      </c>
    </row>
    <row r="94" spans="1:19" x14ac:dyDescent="0.25">
      <c r="A94" s="9">
        <v>0.66666666666666663</v>
      </c>
      <c r="B94" s="15">
        <f si="8" t="shared"/>
        <v>1.3840783067158377E-2</v>
      </c>
      <c r="C94" s="15">
        <f si="8" t="shared"/>
        <v>8.6349482344407983E-3</v>
      </c>
      <c r="D94" s="15">
        <f si="8" t="shared"/>
        <v>4.7945236164218544E-2</v>
      </c>
      <c r="E94" s="15">
        <f si="8" t="shared"/>
        <v>4.2103908813684254E-2</v>
      </c>
      <c r="F94" s="15">
        <f si="8" t="shared"/>
        <v>4.6211124365302829E-2</v>
      </c>
      <c r="G94" s="15">
        <f si="8" t="shared"/>
        <v>3.3493292007310743E-2</v>
      </c>
      <c r="H94" s="15">
        <f si="8" t="shared"/>
        <v>4.4755574477610222E-2</v>
      </c>
      <c r="I94" s="15">
        <f si="8" t="shared"/>
        <v>3.4273446308776802E-2</v>
      </c>
      <c r="K94" s="9">
        <v>0.66666666666666663</v>
      </c>
      <c r="L94" s="14">
        <f si="9" t="shared"/>
        <v>1.9677190771572598E-2</v>
      </c>
      <c r="M94" s="14">
        <f si="9" t="shared"/>
        <v>1.6054833219679973E-2</v>
      </c>
      <c r="N94" s="14">
        <f si="9" t="shared"/>
        <v>2.9445648652626229E-2</v>
      </c>
      <c r="O94" s="14">
        <f si="9" t="shared"/>
        <v>4.0278389660251823E-2</v>
      </c>
      <c r="P94" s="14">
        <f si="9" t="shared"/>
        <v>4.9665556746139296E-2</v>
      </c>
      <c r="Q94" s="14">
        <f si="9" t="shared"/>
        <v>4.0575286590226668E-2</v>
      </c>
      <c r="R94" s="14">
        <f si="9" t="shared"/>
        <v>4.4572637008259322E-2</v>
      </c>
      <c r="S94" s="15">
        <f si="9" t="shared"/>
        <v>3.3828638702552566E-2</v>
      </c>
    </row>
    <row r="95" spans="1:19" x14ac:dyDescent="0.25">
      <c r="A95" s="9">
        <v>0.6875</v>
      </c>
      <c r="B95" s="15">
        <f si="8" t="shared"/>
        <v>1.1548237086892732E-2</v>
      </c>
      <c r="C95" s="15">
        <f si="8" t="shared"/>
        <v>7.8190242781663328E-3</v>
      </c>
      <c r="D95" s="15">
        <f si="8" t="shared"/>
        <v>4.5370567648947618E-2</v>
      </c>
      <c r="E95" s="15">
        <f si="8" t="shared"/>
        <v>4.0435480033742185E-2</v>
      </c>
      <c r="F95" s="15">
        <f si="8" t="shared"/>
        <v>4.5290948427740917E-2</v>
      </c>
      <c r="G95" s="15">
        <f si="8" t="shared"/>
        <v>3.6745889361233061E-2</v>
      </c>
      <c r="H95" s="15">
        <f si="8" t="shared"/>
        <v>4.9831242524244146E-2</v>
      </c>
      <c r="I95" s="15">
        <f si="8" t="shared"/>
        <v>3.3976939101827516E-2</v>
      </c>
      <c r="K95" s="9">
        <v>0.6875</v>
      </c>
      <c r="L95" s="14">
        <f si="9" t="shared"/>
        <v>1.874058121996652E-2</v>
      </c>
      <c r="M95" s="14">
        <f si="9" t="shared"/>
        <v>1.4987988666568442E-2</v>
      </c>
      <c r="N95" s="14">
        <f si="9" t="shared"/>
        <v>3.0538320102204766E-2</v>
      </c>
      <c r="O95" s="14">
        <f si="9" t="shared"/>
        <v>3.9299059479018024E-2</v>
      </c>
      <c r="P95" s="14">
        <f si="9" t="shared"/>
        <v>4.9138074437192689E-2</v>
      </c>
      <c r="Q95" s="14">
        <f si="9" t="shared"/>
        <v>4.1535551310180482E-2</v>
      </c>
      <c r="R95" s="14">
        <f si="9" t="shared"/>
        <v>4.4582198150866052E-2</v>
      </c>
      <c r="S95" s="15">
        <f si="9" t="shared"/>
        <v>3.3504837505196422E-2</v>
      </c>
    </row>
    <row r="96" spans="1:19" x14ac:dyDescent="0.25">
      <c r="A96" s="9">
        <v>0.70833333333333337</v>
      </c>
      <c r="B96" s="15">
        <f si="8" t="shared"/>
        <v>9.45505632762925E-3</v>
      </c>
      <c r="C96" s="15">
        <f si="8" t="shared"/>
        <v>7.0052628930589757E-3</v>
      </c>
      <c r="D96" s="15">
        <f si="8" t="shared"/>
        <v>4.1121869182993251E-2</v>
      </c>
      <c r="E96" s="15">
        <f si="8" t="shared"/>
        <v>3.8302655323439995E-2</v>
      </c>
      <c r="F96" s="15">
        <f si="8" t="shared"/>
        <v>4.3518298810672741E-2</v>
      </c>
      <c r="G96" s="15">
        <f si="8" t="shared"/>
        <v>4.0400536288038379E-2</v>
      </c>
      <c r="H96" s="15">
        <f si="8" t="shared"/>
        <v>5.4349348264891878E-2</v>
      </c>
      <c r="I96" s="15">
        <f si="8" t="shared"/>
        <v>3.3245080741304889E-2</v>
      </c>
      <c r="K96" s="9">
        <v>0.70833333333333337</v>
      </c>
      <c r="L96" s="14">
        <f si="9" t="shared"/>
        <v>1.7730460766996387E-2</v>
      </c>
      <c r="M96" s="14">
        <f si="9" t="shared"/>
        <v>1.3444803194657773E-2</v>
      </c>
      <c r="N96" s="14">
        <f si="9" t="shared"/>
        <v>3.0618939469019911E-2</v>
      </c>
      <c r="O96" s="14">
        <f si="9" t="shared"/>
        <v>3.6907885144506755E-2</v>
      </c>
      <c r="P96" s="14">
        <f si="9" t="shared"/>
        <v>4.638569172211892E-2</v>
      </c>
      <c r="Q96" s="14">
        <f si="9" t="shared"/>
        <v>4.1234937398227825E-2</v>
      </c>
      <c r="R96" s="14">
        <f si="9" t="shared"/>
        <v>4.2996195104773691E-2</v>
      </c>
      <c r="S96" s="15">
        <f si="9" t="shared"/>
        <v>3.2093559409991312E-2</v>
      </c>
    </row>
    <row r="97" spans="1:19" x14ac:dyDescent="0.25">
      <c r="A97" s="9">
        <v>0.72916666666666663</v>
      </c>
      <c r="B97" s="15">
        <f si="8" t="shared"/>
        <v>7.5683327312774957E-3</v>
      </c>
      <c r="C97" s="15">
        <f si="8" t="shared"/>
        <v>6.1627883610650466E-3</v>
      </c>
      <c r="D97" s="15">
        <f si="8" t="shared"/>
        <v>3.5812820520543721E-2</v>
      </c>
      <c r="E97" s="15">
        <f si="8" t="shared"/>
        <v>3.5751452290373291E-2</v>
      </c>
      <c r="F97" s="15">
        <f si="8" t="shared"/>
        <v>4.1100799989711133E-2</v>
      </c>
      <c r="G97" s="15">
        <f si="8" t="shared"/>
        <v>4.3216055717863584E-2</v>
      </c>
      <c r="H97" s="15">
        <f si="8" t="shared"/>
        <v>5.7146063872042546E-2</v>
      </c>
      <c r="I97" s="15">
        <f si="8" t="shared"/>
        <v>3.1919143242313187E-2</v>
      </c>
      <c r="K97" s="9">
        <v>0.72916666666666663</v>
      </c>
      <c r="L97" s="14">
        <f si="9" t="shared"/>
        <v>1.6337362508502144E-2</v>
      </c>
      <c r="M97" s="14">
        <f si="9" t="shared"/>
        <v>1.1564364328187355E-2</v>
      </c>
      <c r="N97" s="14">
        <f si="9" t="shared"/>
        <v>2.9401073900442127E-2</v>
      </c>
      <c r="O97" s="14">
        <f si="9" t="shared"/>
        <v>3.3044925683768323E-2</v>
      </c>
      <c r="P97" s="14">
        <f si="9" t="shared"/>
        <v>4.1637295598992236E-2</v>
      </c>
      <c r="Q97" s="14">
        <f si="9" t="shared"/>
        <v>3.929178453840277E-2</v>
      </c>
      <c r="R97" s="14">
        <f si="9" t="shared"/>
        <v>3.9630035630391067E-2</v>
      </c>
      <c r="S97" s="15">
        <f si="9" t="shared"/>
        <v>2.9450516559849434E-2</v>
      </c>
    </row>
    <row r="98" spans="1:19" x14ac:dyDescent="0.25">
      <c r="A98" s="9">
        <v>0.75</v>
      </c>
      <c r="B98" s="15">
        <f si="8" t="shared"/>
        <v>5.8979734010904785E-3</v>
      </c>
      <c r="C98" s="15">
        <f si="8" t="shared"/>
        <v>5.2269295230158788E-3</v>
      </c>
      <c r="D98" s="15">
        <f si="8" t="shared"/>
        <v>3.0102721319089417E-2</v>
      </c>
      <c r="E98" s="15">
        <f si="8" t="shared"/>
        <v>3.2648293230274225E-2</v>
      </c>
      <c r="F98" s="15">
        <f si="8" t="shared"/>
        <v>3.8175676323341595E-2</v>
      </c>
      <c r="G98" s="15">
        <f si="8" t="shared"/>
        <v>4.396176347734012E-2</v>
      </c>
      <c r="H98" s="15">
        <f si="8" t="shared"/>
        <v>5.6937054900001755E-2</v>
      </c>
      <c r="I98" s="15">
        <f si="8" t="shared"/>
        <v>2.9783165300589123E-2</v>
      </c>
      <c r="K98" s="9">
        <v>0.75</v>
      </c>
      <c r="L98" s="14">
        <f si="9" t="shared"/>
        <v>1.4454000165733533E-2</v>
      </c>
      <c r="M98" s="14">
        <f si="9" t="shared"/>
        <v>9.5193122952641571E-3</v>
      </c>
      <c r="N98" s="14">
        <f si="9" t="shared"/>
        <v>2.6953450326836954E-2</v>
      </c>
      <c r="O98" s="14">
        <f si="9" t="shared"/>
        <v>2.810260812344163E-2</v>
      </c>
      <c r="P98" s="14">
        <f si="9" t="shared"/>
        <v>3.5570119460970655E-2</v>
      </c>
      <c r="Q98" s="14">
        <f si="9" t="shared"/>
        <v>3.5744291021216554E-2</v>
      </c>
      <c r="R98" s="14">
        <f si="9" t="shared"/>
        <v>3.4772041466762368E-2</v>
      </c>
      <c r="S98" s="15">
        <f si="9" t="shared"/>
        <v>2.5781869487726341E-2</v>
      </c>
    </row>
    <row r="99" spans="1:19" x14ac:dyDescent="0.25">
      <c r="A99" s="9">
        <v>0.77083333333333337</v>
      </c>
      <c r="B99" s="15">
        <f si="8" t="shared"/>
        <v>4.4576466140416474E-3</v>
      </c>
      <c r="C99" s="15">
        <f si="8" t="shared"/>
        <v>4.2035530667265137E-3</v>
      </c>
      <c r="D99" s="15">
        <f si="8" t="shared"/>
        <v>2.4690768883960816E-2</v>
      </c>
      <c r="E99" s="15">
        <f si="8" t="shared"/>
        <v>2.8803645434392976E-2</v>
      </c>
      <c r="F99" s="15">
        <f si="8" t="shared"/>
        <v>3.4735884829682165E-2</v>
      </c>
      <c r="G99" s="15">
        <f si="8" t="shared"/>
        <v>4.1975480343292952E-2</v>
      </c>
      <c r="H99" s="15">
        <f si="8" t="shared"/>
        <v>5.2992705723870846E-2</v>
      </c>
      <c r="I99" s="15">
        <f si="8" t="shared"/>
        <v>2.6725127616660335E-2</v>
      </c>
      <c r="K99" s="9">
        <v>0.77083333333333337</v>
      </c>
      <c r="L99" s="14">
        <f si="9" t="shared"/>
        <v>1.2209065676781285E-2</v>
      </c>
      <c r="M99" s="14">
        <f si="9" t="shared"/>
        <v>7.492971405046879E-3</v>
      </c>
      <c r="N99" s="14">
        <f si="9" t="shared"/>
        <v>2.3678409735846711E-2</v>
      </c>
      <c r="O99" s="14">
        <f si="9" t="shared"/>
        <v>2.2772138265618479E-2</v>
      </c>
      <c r="P99" s="14">
        <f si="9" t="shared"/>
        <v>2.9081042463784165E-2</v>
      </c>
      <c r="Q99" s="14">
        <f si="9" t="shared"/>
        <v>3.1095815263694062E-2</v>
      </c>
      <c r="R99" s="14">
        <f si="9" t="shared"/>
        <v>2.9109027323634133E-2</v>
      </c>
      <c r="S99" s="15">
        <f si="9" t="shared"/>
        <v>2.1579401355988851E-2</v>
      </c>
    </row>
    <row r="100" spans="1:19" x14ac:dyDescent="0.25">
      <c r="A100" s="9">
        <v>0.79166666666666663</v>
      </c>
      <c r="B100" s="15">
        <f ref="B100:I115" si="10" t="shared">B43/B$61</f>
        <v>3.2646194135386979E-3</v>
      </c>
      <c r="C100" s="15">
        <f si="10" t="shared"/>
        <v>3.1855429246848508E-3</v>
      </c>
      <c r="D100" s="15">
        <f si="10" t="shared"/>
        <v>2.0121272882933826E-2</v>
      </c>
      <c r="E100" s="15">
        <f si="10" t="shared"/>
        <v>2.4219935317564095E-2</v>
      </c>
      <c r="F100" s="15">
        <f si="10" t="shared"/>
        <v>3.0717624772397319E-2</v>
      </c>
      <c r="G100" s="15">
        <f si="10" t="shared"/>
        <v>3.7443301861628607E-2</v>
      </c>
      <c r="H100" s="15">
        <f si="10" t="shared"/>
        <v>4.5672728110163006E-2</v>
      </c>
      <c r="I100" s="15">
        <f si="10" t="shared"/>
        <v>2.2876736174490278E-2</v>
      </c>
      <c r="K100" s="9">
        <v>0.79166666666666663</v>
      </c>
      <c r="L100" s="14">
        <f ref="L100:S115" si="11" t="shared">L43/L$61</f>
        <v>9.8814159564527253E-3</v>
      </c>
      <c r="M100" s="14">
        <f si="11" t="shared"/>
        <v>5.6653108461662948E-3</v>
      </c>
      <c r="N100" s="14">
        <f si="11" t="shared"/>
        <v>2.0129331140436017E-2</v>
      </c>
      <c r="O100" s="14">
        <f si="11" t="shared"/>
        <v>1.7764544414947802E-2</v>
      </c>
      <c r="P100" s="14">
        <f si="11" t="shared"/>
        <v>2.3009256146798322E-2</v>
      </c>
      <c r="Q100" s="14">
        <f si="11" t="shared"/>
        <v>2.6125870584227748E-2</v>
      </c>
      <c r="R100" s="14">
        <f si="11" t="shared"/>
        <v>2.3473927286189338E-2</v>
      </c>
      <c r="S100" s="15">
        <f si="11" t="shared"/>
        <v>1.7429677662425775E-2</v>
      </c>
    </row>
    <row r="101" spans="1:19" x14ac:dyDescent="0.25">
      <c r="A101" s="9">
        <v>0.8125</v>
      </c>
      <c r="B101" s="15">
        <f si="10" t="shared"/>
        <v>2.3360494586137153E-3</v>
      </c>
      <c r="C101" s="15">
        <f si="10" t="shared"/>
        <v>2.2854908706580143E-3</v>
      </c>
      <c r="D101" s="15">
        <f si="10" t="shared"/>
        <v>1.6591755997554053E-2</v>
      </c>
      <c r="E101" s="15">
        <f si="10" t="shared"/>
        <v>1.9228253412398356E-2</v>
      </c>
      <c r="F101" s="15">
        <f si="10" t="shared"/>
        <v>2.6153145243450544E-2</v>
      </c>
      <c r="G101" s="15">
        <f si="10" t="shared"/>
        <v>3.1238305296027471E-2</v>
      </c>
      <c r="H101" s="15">
        <f si="10" t="shared"/>
        <v>3.6370026073286002E-2</v>
      </c>
      <c r="I101" s="15">
        <f si="10" t="shared"/>
        <v>1.8615178239582589E-2</v>
      </c>
      <c r="K101" s="9">
        <v>0.8125</v>
      </c>
      <c r="L101" s="14">
        <f si="11" t="shared"/>
        <v>7.7558730544470727E-3</v>
      </c>
      <c r="M101" s="14">
        <f si="11" t="shared"/>
        <v>4.1723816391703392E-3</v>
      </c>
      <c r="N101" s="14">
        <f si="11" t="shared"/>
        <v>1.6768658441888861E-2</v>
      </c>
      <c r="O101" s="14">
        <f si="11" t="shared"/>
        <v>1.3556871954236192E-2</v>
      </c>
      <c r="P101" s="14">
        <f si="11" t="shared"/>
        <v>1.7901837429015566E-2</v>
      </c>
      <c r="Q101" s="14">
        <f si="11" t="shared"/>
        <v>2.1542452890903244E-2</v>
      </c>
      <c r="R101" s="14">
        <f si="11" t="shared"/>
        <v>1.8527733122838657E-2</v>
      </c>
      <c r="S101" s="15">
        <f si="11" t="shared"/>
        <v>1.378916494851439E-2</v>
      </c>
    </row>
    <row r="102" spans="1:19" x14ac:dyDescent="0.25">
      <c r="A102" s="9">
        <v>0.83333333333333337</v>
      </c>
      <c r="B102" s="15">
        <f si="10" t="shared"/>
        <v>1.6765587864288258E-3</v>
      </c>
      <c r="C102" s="15">
        <f si="10" t="shared"/>
        <v>1.5730727176341895E-3</v>
      </c>
      <c r="D102" s="15">
        <f si="10" t="shared"/>
        <v>1.3957215807992618E-2</v>
      </c>
      <c r="E102" s="15">
        <f si="10" t="shared"/>
        <v>1.437727457509067E-2</v>
      </c>
      <c r="F102" s="15">
        <f si="10" t="shared"/>
        <v>2.1267251954929563E-2</v>
      </c>
      <c r="G102" s="15">
        <f si="10" t="shared"/>
        <v>2.4493976879487848E-2</v>
      </c>
      <c r="H102" s="15">
        <f si="10" t="shared"/>
        <v>2.6880261793503665E-2</v>
      </c>
      <c r="I102" s="15">
        <f si="10" t="shared"/>
        <v>1.4425685540721749E-2</v>
      </c>
      <c r="K102" s="9">
        <v>0.83333333333333337</v>
      </c>
      <c r="L102" s="14">
        <f si="11" t="shared"/>
        <v>6.0068204461438575E-3</v>
      </c>
      <c r="M102" s="14">
        <f si="11" t="shared"/>
        <v>3.0576701969090097E-3</v>
      </c>
      <c r="N102" s="14">
        <f si="11" t="shared"/>
        <v>1.3817160911585514E-2</v>
      </c>
      <c r="O102" s="14">
        <f si="11" t="shared"/>
        <v>1.0285972202449773E-2</v>
      </c>
      <c r="P102" s="14">
        <f si="11" t="shared"/>
        <v>1.3909776594496328E-2</v>
      </c>
      <c r="Q102" s="14">
        <f si="11" t="shared"/>
        <v>1.769288395477352E-2</v>
      </c>
      <c r="R102" s="14">
        <f si="11" t="shared"/>
        <v>1.4545288302564919E-2</v>
      </c>
      <c r="S102" s="15">
        <f si="11" t="shared"/>
        <v>1.0845442768178155E-2</v>
      </c>
    </row>
    <row r="103" spans="1:19" x14ac:dyDescent="0.25">
      <c r="A103" s="9">
        <v>0.85416666666666663</v>
      </c>
      <c r="B103" s="15">
        <f si="10" t="shared"/>
        <v>1.25889513590577E-3</v>
      </c>
      <c r="C103" s="15">
        <f si="10" t="shared"/>
        <v>1.070643637138364E-3</v>
      </c>
      <c r="D103" s="15">
        <f si="10" t="shared"/>
        <v>1.1901399452534081E-2</v>
      </c>
      <c r="E103" s="15">
        <f si="10" t="shared"/>
        <v>1.017700303243549E-2</v>
      </c>
      <c r="F103" s="15">
        <f si="10" t="shared"/>
        <v>1.6443016007277451E-2</v>
      </c>
      <c r="G103" s="15">
        <f si="10" t="shared"/>
        <v>1.8204677636743841E-2</v>
      </c>
      <c r="H103" s="15">
        <f si="10" t="shared"/>
        <v>1.8651750448346695E-2</v>
      </c>
      <c r="I103" s="15">
        <f si="10" t="shared"/>
        <v>1.072170414477959E-2</v>
      </c>
      <c r="K103" s="9">
        <v>0.85416666666666663</v>
      </c>
      <c r="L103" s="14">
        <f si="11" t="shared"/>
        <v>4.6635067777923882E-3</v>
      </c>
      <c r="M103" s="14">
        <f si="11" t="shared"/>
        <v>2.2641946838463972E-3</v>
      </c>
      <c r="N103" s="14">
        <f si="11" t="shared"/>
        <v>1.1275029500506259E-2</v>
      </c>
      <c r="O103" s="14">
        <f si="11" t="shared"/>
        <v>7.8190216197423813E-3</v>
      </c>
      <c r="P103" s="14">
        <f si="11" t="shared"/>
        <v>1.0862321032824388E-2</v>
      </c>
      <c r="Q103" s="14">
        <f si="11" t="shared"/>
        <v>1.4524401642043591E-2</v>
      </c>
      <c r="R103" s="14">
        <f si="11" t="shared"/>
        <v>1.1425496348943706E-2</v>
      </c>
      <c r="S103" s="15">
        <f si="11" t="shared"/>
        <v>8.5347938070901123E-3</v>
      </c>
    </row>
    <row r="104" spans="1:19" x14ac:dyDescent="0.25">
      <c r="A104" s="9">
        <v>0.875</v>
      </c>
      <c r="B104" s="15">
        <f si="10" t="shared"/>
        <v>1.0148453760454434E-3</v>
      </c>
      <c r="C104" s="15">
        <f si="10" t="shared"/>
        <v>7.8670068207994037E-4</v>
      </c>
      <c r="D104" s="15">
        <f si="10" t="shared"/>
        <v>1.0120825712519085E-2</v>
      </c>
      <c r="E104" s="15">
        <f si="10" t="shared"/>
        <v>6.9057553329677016E-3</v>
      </c>
      <c r="F104" s="15">
        <f si="10" t="shared"/>
        <v>1.2078445648304325E-2</v>
      </c>
      <c r="G104" s="15">
        <f si="10" t="shared"/>
        <v>1.3001108242970795E-2</v>
      </c>
      <c r="H104" s="15">
        <f si="10" t="shared"/>
        <v>1.2374181118697619E-2</v>
      </c>
      <c r="I104" s="15">
        <f si="10" t="shared"/>
        <v>7.727650656306935E-3</v>
      </c>
      <c r="K104" s="9">
        <v>0.875</v>
      </c>
      <c r="L104" s="14">
        <f si="11" t="shared"/>
        <v>3.6514505541152455E-3</v>
      </c>
      <c r="M104" s="14">
        <f si="11" t="shared"/>
        <v>1.6828117737982186E-3</v>
      </c>
      <c r="N104" s="14">
        <f si="11" t="shared"/>
        <v>9.0579330577515594E-3</v>
      </c>
      <c r="O104" s="14">
        <f si="11" t="shared"/>
        <v>5.922998263780543E-3</v>
      </c>
      <c r="P104" s="14">
        <f si="11" t="shared"/>
        <v>8.4660161078052003E-3</v>
      </c>
      <c r="Q104" s="14">
        <f si="11" t="shared"/>
        <v>1.1786945884389811E-2</v>
      </c>
      <c r="R104" s="14">
        <f si="11" t="shared"/>
        <v>8.8919915059044435E-3</v>
      </c>
      <c r="S104" s="15">
        <f si="11" t="shared"/>
        <v>6.678576331901988E-3</v>
      </c>
    </row>
    <row r="105" spans="1:19" x14ac:dyDescent="0.25">
      <c r="A105" s="9">
        <v>0.89583333333333337</v>
      </c>
      <c r="B105" s="15">
        <f si="10" t="shared"/>
        <v>8.5402203352843964E-4</v>
      </c>
      <c r="C105" s="15">
        <f si="10" t="shared"/>
        <v>7.3594194245467999E-4</v>
      </c>
      <c r="D105" s="15">
        <f si="10" t="shared"/>
        <v>8.4222705525418412E-3</v>
      </c>
      <c r="E105" s="15">
        <f si="10" t="shared"/>
        <v>4.5807748818290752E-3</v>
      </c>
      <c r="F105" s="15">
        <f si="10" t="shared"/>
        <v>8.4396882417247625E-3</v>
      </c>
      <c r="G105" s="15">
        <f si="10" t="shared"/>
        <v>9.0902527259976804E-3</v>
      </c>
      <c r="H105" s="15">
        <f si="10" t="shared"/>
        <v>8.0241135213322441E-3</v>
      </c>
      <c r="I105" s="15">
        <f si="10" t="shared"/>
        <v>5.466302543844853E-3</v>
      </c>
      <c r="K105" s="9">
        <v>0.89583333333333337</v>
      </c>
      <c r="L105" s="14">
        <f si="11" t="shared"/>
        <v>2.8632817890090925E-3</v>
      </c>
      <c r="M105" s="14">
        <f si="11" t="shared"/>
        <v>1.219475216070698E-3</v>
      </c>
      <c r="N105" s="14">
        <f si="11" t="shared"/>
        <v>7.1152577673482169E-3</v>
      </c>
      <c r="O105" s="14">
        <f si="11" t="shared"/>
        <v>4.410489213791011E-3</v>
      </c>
      <c r="P105" s="14">
        <f si="11" t="shared"/>
        <v>6.4909380927245077E-3</v>
      </c>
      <c r="Q105" s="14">
        <f si="11" t="shared"/>
        <v>9.2854749152554063E-3</v>
      </c>
      <c r="R105" s="14">
        <f si="11" t="shared"/>
        <v>6.7195624125019728E-3</v>
      </c>
      <c r="S105" s="15">
        <f si="11" t="shared"/>
        <v>5.1252590138293509E-3</v>
      </c>
    </row>
    <row r="106" spans="1:19" x14ac:dyDescent="0.25">
      <c r="A106" s="9">
        <v>0.91666666666666663</v>
      </c>
      <c r="B106" s="15">
        <f si="10" t="shared"/>
        <v>7.0318133367503778E-4</v>
      </c>
      <c r="C106" s="15">
        <f si="10" t="shared"/>
        <v>9.1410249214326513E-4</v>
      </c>
      <c r="D106" s="15">
        <f si="10" t="shared"/>
        <v>6.7364499066677715E-3</v>
      </c>
      <c r="E106" s="15">
        <f si="10" t="shared"/>
        <v>3.0418880766800273E-3</v>
      </c>
      <c r="F106" s="15">
        <f si="10" t="shared"/>
        <v>5.6080079310416361E-3</v>
      </c>
      <c r="G106" s="15">
        <f si="10" t="shared"/>
        <v>6.3263927708597364E-3</v>
      </c>
      <c r="H106" s="15">
        <f si="10" t="shared"/>
        <v>5.17685814652256E-3</v>
      </c>
      <c r="I106" s="15">
        <f si="10" t="shared"/>
        <v>3.8247614464176419E-3</v>
      </c>
      <c r="K106" s="9">
        <v>0.91666666666666663</v>
      </c>
      <c r="L106" s="14">
        <f si="11" t="shared"/>
        <v>2.2127417457126924E-3</v>
      </c>
      <c r="M106" s="14">
        <f si="11" t="shared"/>
        <v>8.3198170184888899E-4</v>
      </c>
      <c r="N106" s="14">
        <f si="11" t="shared"/>
        <v>5.4493879851115357E-3</v>
      </c>
      <c r="O106" s="14">
        <f si="11" t="shared"/>
        <v>3.187707468714903E-3</v>
      </c>
      <c r="P106" s="14">
        <f si="11" t="shared"/>
        <v>4.8357515294602154E-3</v>
      </c>
      <c r="Q106" s="14">
        <f si="11" t="shared"/>
        <v>6.9923758613909016E-3</v>
      </c>
      <c r="R106" s="14">
        <f si="11" t="shared"/>
        <v>4.8352987469157073E-3</v>
      </c>
      <c r="S106" s="15">
        <f si="11" t="shared"/>
        <v>3.8083721252677623E-3</v>
      </c>
    </row>
    <row r="107" spans="1:19" x14ac:dyDescent="0.25">
      <c r="A107" s="9">
        <v>0.9375</v>
      </c>
      <c r="B107" s="15">
        <f si="10" t="shared"/>
        <v>5.350348664506908E-4</v>
      </c>
      <c r="C107" s="15">
        <f si="10" t="shared"/>
        <v>1.2450492495968825E-3</v>
      </c>
      <c r="D107" s="15">
        <f si="10" t="shared"/>
        <v>5.092383373399326E-3</v>
      </c>
      <c r="E107" s="15">
        <f si="10" t="shared"/>
        <v>2.0582836929178201E-3</v>
      </c>
      <c r="F107" s="15">
        <f si="10" t="shared"/>
        <v>3.5262492850048894E-3</v>
      </c>
      <c r="G107" s="15">
        <f si="10" t="shared"/>
        <v>4.3864708899548606E-3</v>
      </c>
      <c r="H107" s="15">
        <f si="10" t="shared"/>
        <v>3.3305290550345585E-3</v>
      </c>
      <c r="I107" s="15">
        <f si="10" t="shared"/>
        <v>2.6434874269661486E-3</v>
      </c>
      <c r="K107" s="9">
        <v>0.9375</v>
      </c>
      <c r="L107" s="14">
        <f si="11" t="shared"/>
        <v>1.6538085118589501E-3</v>
      </c>
      <c r="M107" s="14">
        <f si="11" t="shared"/>
        <v>5.2051863836087553E-4</v>
      </c>
      <c r="N107" s="14">
        <f si="11" t="shared"/>
        <v>4.0661342487912071E-3</v>
      </c>
      <c r="O107" s="14">
        <f si="11" t="shared"/>
        <v>2.2206192374966596E-3</v>
      </c>
      <c r="P107" s="14">
        <f si="11" t="shared"/>
        <v>3.4791273881050648E-3</v>
      </c>
      <c r="Q107" s="14">
        <f si="11" t="shared"/>
        <v>4.991485556758545E-3</v>
      </c>
      <c r="R107" s="14">
        <f si="11" t="shared"/>
        <v>3.2735796296316038E-3</v>
      </c>
      <c r="S107" s="15">
        <f si="11" t="shared"/>
        <v>2.7192069292937891E-3</v>
      </c>
    </row>
    <row r="108" spans="1:19" x14ac:dyDescent="0.25">
      <c r="A108" s="9">
        <v>0.95833333333333337</v>
      </c>
      <c r="B108" s="15">
        <f si="10" t="shared"/>
        <v>3.6407910968966296E-4</v>
      </c>
      <c r="C108" s="15">
        <f si="10" t="shared"/>
        <v>1.5637410675833855E-3</v>
      </c>
      <c r="D108" s="15">
        <f si="10" t="shared"/>
        <v>3.5799423449403315E-3</v>
      </c>
      <c r="E108" s="15">
        <f si="10" t="shared"/>
        <v>1.4129922829125838E-3</v>
      </c>
      <c r="F108" s="15">
        <f si="10" t="shared"/>
        <v>2.0764209498417975E-3</v>
      </c>
      <c r="G108" s="15">
        <f si="10" t="shared"/>
        <v>2.9674891801558189E-3</v>
      </c>
      <c r="H108" s="15">
        <f si="10" t="shared"/>
        <v>2.0982961125874332E-3</v>
      </c>
      <c r="I108" s="15">
        <f si="10" t="shared"/>
        <v>1.782803360638816E-3</v>
      </c>
      <c r="K108" s="9">
        <v>0.95833333333333337</v>
      </c>
      <c r="L108" s="14">
        <f si="11" t="shared"/>
        <v>1.1736920043541772E-3</v>
      </c>
      <c r="M108" s="14">
        <f si="11" t="shared"/>
        <v>2.9512505309944067E-4</v>
      </c>
      <c r="N108" s="14">
        <f si="11" t="shared"/>
        <v>2.9385995070561337E-3</v>
      </c>
      <c r="O108" s="14">
        <f si="11" t="shared"/>
        <v>1.4847880650431366E-3</v>
      </c>
      <c r="P108" s="14">
        <f si="11" t="shared"/>
        <v>2.4070541326610189E-3</v>
      </c>
      <c r="Q108" s="14">
        <f si="11" t="shared"/>
        <v>3.3643746895857946E-3</v>
      </c>
      <c r="R108" s="14">
        <f si="11" t="shared"/>
        <v>2.0759063672161631E-3</v>
      </c>
      <c r="S108" s="15">
        <f si="11" t="shared"/>
        <v>1.8558011104605966E-3</v>
      </c>
    </row>
    <row r="109" spans="1:19" x14ac:dyDescent="0.25">
      <c r="A109" s="9">
        <v>0.97916666666666663</v>
      </c>
      <c r="B109" s="15">
        <f si="10" t="shared"/>
        <v>2.1854709093370797E-4</v>
      </c>
      <c r="C109" s="15">
        <f si="10" t="shared"/>
        <v>1.6849272284897507E-3</v>
      </c>
      <c r="D109" s="15">
        <f si="10" t="shared"/>
        <v>2.3043051409996061E-3</v>
      </c>
      <c r="E109" s="15">
        <f si="10" t="shared"/>
        <v>9.5389472019517341E-4</v>
      </c>
      <c r="F109" s="15">
        <f si="10" t="shared"/>
        <v>1.1289614767493882E-3</v>
      </c>
      <c r="G109" s="15">
        <f si="10" t="shared"/>
        <v>1.8947520642459792E-3</v>
      </c>
      <c r="H109" s="15">
        <f si="10" t="shared"/>
        <v>1.2538164726998552E-3</v>
      </c>
      <c r="I109" s="15">
        <f si="10" t="shared"/>
        <v>1.1495072745261999E-3</v>
      </c>
      <c r="K109" s="9">
        <v>0.97916666666666663</v>
      </c>
      <c r="L109" s="14">
        <f si="11" t="shared"/>
        <v>7.7679403092202268E-4</v>
      </c>
      <c r="M109" s="14">
        <f si="11" t="shared"/>
        <v>1.5213172008704664E-4</v>
      </c>
      <c r="N109" s="14">
        <f si="11" t="shared"/>
        <v>2.0224916136957257E-3</v>
      </c>
      <c r="O109" s="14">
        <f si="11" t="shared"/>
        <v>9.4499375366917631E-4</v>
      </c>
      <c r="P109" s="14">
        <f si="11" t="shared"/>
        <v>1.585421604615527E-3</v>
      </c>
      <c r="Q109" s="14">
        <f si="11" t="shared"/>
        <v>2.1291299695969396E-3</v>
      </c>
      <c r="R109" s="14">
        <f si="11" t="shared"/>
        <v>1.2310028592429204E-3</v>
      </c>
      <c r="S109" s="15">
        <f si="11" t="shared"/>
        <v>1.1995589495317636E-3</v>
      </c>
    </row>
    <row r="110" spans="1:19" x14ac:dyDescent="0.25">
      <c r="A110" s="9">
        <v>1</v>
      </c>
      <c r="B110" s="15">
        <f si="10" t="shared"/>
        <v>1.1532819567527331E-4</v>
      </c>
      <c r="C110" s="15">
        <f si="10" t="shared"/>
        <v>1.5201832474218409E-3</v>
      </c>
      <c r="D110" s="15">
        <f si="10" t="shared"/>
        <v>1.3380849722386208E-3</v>
      </c>
      <c r="E110" s="15">
        <f si="10" t="shared"/>
        <v>6.0571836313060695E-4</v>
      </c>
      <c r="F110" s="15">
        <f si="10" t="shared"/>
        <v>5.5809774112173811E-4</v>
      </c>
      <c r="G110" s="15">
        <f si="10" t="shared"/>
        <v>1.1058394822534975E-3</v>
      </c>
      <c r="H110" s="15">
        <f si="10" t="shared"/>
        <v>6.8603892674615479E-4</v>
      </c>
      <c r="I110" s="15">
        <f si="10" t="shared"/>
        <v>6.9139575269892145E-4</v>
      </c>
      <c r="K110" s="9">
        <v>1</v>
      </c>
      <c r="L110" s="14">
        <f si="11" t="shared"/>
        <v>4.7045772242071263E-4</v>
      </c>
      <c r="M110" s="14">
        <f si="11" t="shared"/>
        <v>7.2394763899184277E-5</v>
      </c>
      <c r="N110" s="14">
        <f si="11" t="shared"/>
        <v>1.2907306582808343E-3</v>
      </c>
      <c r="O110" s="14">
        <f si="11" t="shared"/>
        <v>5.6258908236118705E-4</v>
      </c>
      <c r="P110" s="14">
        <f si="11" t="shared"/>
        <v>9.7442944539703378E-4</v>
      </c>
      <c r="Q110" s="14">
        <f si="11" t="shared"/>
        <v>1.2493890490037015E-3</v>
      </c>
      <c r="R110" s="14">
        <f si="11" t="shared"/>
        <v>6.7884212830323146E-4</v>
      </c>
      <c r="S110" s="15">
        <f si="11" t="shared"/>
        <v>7.2179596505375979E-4</v>
      </c>
    </row>
    <row r="111" spans="1:19" x14ac:dyDescent="0.25">
      <c r="A111" s="9">
        <v>1.0208333333333333</v>
      </c>
      <c r="B111" s="15">
        <f si="10" t="shared"/>
        <v>5.3498549079529093E-5</v>
      </c>
      <c r="C111" s="15">
        <f si="10" t="shared"/>
        <v>1.1367118539165949E-3</v>
      </c>
      <c r="D111" s="15">
        <f si="10" t="shared"/>
        <v>6.9093552365737511E-4</v>
      </c>
      <c r="E111" s="15">
        <f si="10" t="shared"/>
        <v>3.469276948784584E-4</v>
      </c>
      <c r="F111" s="15">
        <f si="10" t="shared"/>
        <v>2.4696737974272843E-4</v>
      </c>
      <c r="G111" s="15">
        <f si="10" t="shared"/>
        <v>5.7527366694886978E-4</v>
      </c>
      <c r="H111" s="15">
        <f si="10" t="shared"/>
        <v>3.3280285401914212E-4</v>
      </c>
      <c r="I111" s="15">
        <f si="10" t="shared"/>
        <v>3.7795392224241161E-4</v>
      </c>
      <c r="K111" s="9">
        <v>1.0208333333333333</v>
      </c>
      <c r="L111" s="14">
        <f si="11" t="shared"/>
        <v>2.5543661041900945E-4</v>
      </c>
      <c r="M111" s="14">
        <f si="11" t="shared"/>
        <v>3.2341478510729427E-5</v>
      </c>
      <c r="N111" s="14">
        <f si="11" t="shared"/>
        <v>7.4092876252672185E-4</v>
      </c>
      <c r="O111" s="14">
        <f si="11" t="shared"/>
        <v>3.0534227759692223E-4</v>
      </c>
      <c r="P111" s="14">
        <f si="11" t="shared"/>
        <v>5.4361033820004938E-4</v>
      </c>
      <c r="Q111" s="14">
        <f si="11" t="shared"/>
        <v>6.6607068098079253E-4</v>
      </c>
      <c r="R111" s="14">
        <f si="11" t="shared"/>
        <v>3.4319446611750479E-4</v>
      </c>
      <c r="S111" s="15">
        <f si="11" t="shared"/>
        <v>3.9448589456905742E-4</v>
      </c>
    </row>
    <row r="112" spans="1:19" x14ac:dyDescent="0.25">
      <c r="A112" s="9">
        <v>4.1666666666666664E-2</v>
      </c>
      <c r="B112" s="15">
        <f si="10" t="shared"/>
        <v>2.1759952334897719E-5</v>
      </c>
      <c r="C112" s="15">
        <f si="10" t="shared"/>
        <v>6.9858377814424253E-4</v>
      </c>
      <c r="D112" s="15">
        <f si="10" t="shared"/>
        <v>3.1245067629783591E-4</v>
      </c>
      <c r="E112" s="15">
        <f si="10" t="shared"/>
        <v>1.732543973872034E-4</v>
      </c>
      <c r="F112" s="15">
        <f si="10" t="shared"/>
        <v>9.6225692841215302E-5</v>
      </c>
      <c r="G112" s="15">
        <f si="10" t="shared"/>
        <v>2.6147122538939393E-4</v>
      </c>
      <c r="H112" s="15">
        <f si="10" t="shared"/>
        <v>1.3901605636220827E-4</v>
      </c>
      <c r="I112" s="15">
        <f si="10" t="shared"/>
        <v>1.8284453155703424E-4</v>
      </c>
      <c r="K112" s="9">
        <v>4.1666666666666664E-2</v>
      </c>
      <c r="L112" s="14">
        <f si="11" t="shared"/>
        <v>1.2159816911136742E-4</v>
      </c>
      <c r="M112" s="14">
        <f si="11" t="shared"/>
        <v>1.3566698804406871E-5</v>
      </c>
      <c r="N112" s="14">
        <f si="11" t="shared"/>
        <v>3.7147237023431383E-4</v>
      </c>
      <c r="O112" s="14">
        <f si="11" t="shared"/>
        <v>1.4667488379071288E-4</v>
      </c>
      <c r="P112" s="14">
        <f si="11" t="shared"/>
        <v>2.6706575083245023E-4</v>
      </c>
      <c r="Q112" s="14">
        <f si="11" t="shared"/>
        <v>3.1437028459383582E-4</v>
      </c>
      <c r="R112" s="14">
        <f si="11" t="shared"/>
        <v>1.5539744239061133E-4</v>
      </c>
      <c r="S112" s="15">
        <f si="11" t="shared"/>
        <v>1.9037331839213037E-4</v>
      </c>
    </row>
    <row r="113" spans="1:19" x14ac:dyDescent="0.25">
      <c r="A113" s="9">
        <v>6.25E-2</v>
      </c>
      <c r="B113" s="15">
        <f si="10" t="shared"/>
        <v>7.6815314470340578E-6</v>
      </c>
      <c r="C113" s="15">
        <f si="10" t="shared"/>
        <v>3.4905273097605711E-4</v>
      </c>
      <c r="D113" s="15">
        <f si="10" t="shared"/>
        <v>1.2154802733250373E-4</v>
      </c>
      <c r="E113" s="15">
        <f si="10" t="shared"/>
        <v>7.3345258883935743E-5</v>
      </c>
      <c r="F113" s="15">
        <f si="10" t="shared"/>
        <v>3.2372847519337623E-5</v>
      </c>
      <c r="G113" s="15">
        <f si="10" t="shared"/>
        <v>1.0187869374844155E-4</v>
      </c>
      <c r="H113" s="15">
        <f si="10" t="shared"/>
        <v>4.8574501589363881E-5</v>
      </c>
      <c r="I113" s="15">
        <f si="10" t="shared"/>
        <v>7.6150889589938478E-5</v>
      </c>
      <c r="K113" s="9">
        <v>6.25E-2</v>
      </c>
      <c r="L113" s="14">
        <f si="11" t="shared"/>
        <v>4.9536325757331085E-5</v>
      </c>
      <c r="M113" s="14">
        <f si="11" t="shared"/>
        <v>5.1982480201420955E-6</v>
      </c>
      <c r="N113" s="14">
        <f si="11" t="shared"/>
        <v>1.582312777478874E-4</v>
      </c>
      <c r="O113" s="14">
        <f si="11" t="shared"/>
        <v>6.0499370603705017E-5</v>
      </c>
      <c r="P113" s="14">
        <f si="11" t="shared"/>
        <v>1.1213796797133553E-4</v>
      </c>
      <c r="Q113" s="14">
        <f si="11" t="shared"/>
        <v>1.2767363729375439E-4</v>
      </c>
      <c r="R113" s="14">
        <f si="11" t="shared"/>
        <v>6.1191340958009823E-5</v>
      </c>
      <c r="S113" s="15">
        <f si="11" t="shared"/>
        <v>7.8786708566997923E-5</v>
      </c>
    </row>
    <row r="114" spans="1:19" x14ac:dyDescent="0.25">
      <c r="A114" s="9">
        <v>8.3333333333333329E-2</v>
      </c>
      <c r="B114" s="15">
        <f si="10" t="shared"/>
        <v>2.3036483598343999E-6</v>
      </c>
      <c r="C114" s="15">
        <f si="10" t="shared"/>
        <v>1.3956281247706764E-4</v>
      </c>
      <c r="D114" s="15">
        <f si="10" t="shared"/>
        <v>3.9756406253796327E-5</v>
      </c>
      <c r="E114" s="15">
        <f si="10" t="shared"/>
        <v>2.5616910878130013E-5</v>
      </c>
      <c r="F114" s="15">
        <f si="10" t="shared"/>
        <v>9.16957186955194E-6</v>
      </c>
      <c r="G114" s="15">
        <f si="10" t="shared"/>
        <v>3.3277711076187854E-5</v>
      </c>
      <c r="H114" s="15">
        <f si="10" t="shared"/>
        <v>1.3738289678076199E-5</v>
      </c>
      <c r="I114" s="15">
        <f si="10" t="shared"/>
        <v>2.6499104191345562E-5</v>
      </c>
      <c r="K114" s="9">
        <v>8.3333333333333329E-2</v>
      </c>
      <c r="L114" s="14">
        <f si="11" t="shared"/>
        <v>1.6803545785195679E-5</v>
      </c>
      <c r="M114" s="14">
        <f si="11" t="shared"/>
        <v>1.7337071124246917E-6</v>
      </c>
      <c r="N114" s="14">
        <f si="11" t="shared"/>
        <v>5.5685593856673221E-5</v>
      </c>
      <c r="O114" s="14">
        <f si="11" t="shared"/>
        <v>2.0774920383187576E-5</v>
      </c>
      <c r="P114" s="14">
        <f si="11" t="shared"/>
        <v>3.90477776476683E-5</v>
      </c>
      <c r="Q114" s="14">
        <f si="11" t="shared"/>
        <v>4.3278629070285366E-5</v>
      </c>
      <c r="R114" s="14">
        <f si="11" t="shared"/>
        <v>2.0271970582499225E-5</v>
      </c>
      <c r="S114" s="15">
        <f si="11" t="shared"/>
        <v>2.7127675357759086E-5</v>
      </c>
    </row>
    <row r="115" spans="1:19" x14ac:dyDescent="0.25">
      <c r="A115" s="9">
        <v>0.10416666666666667</v>
      </c>
      <c r="B115" s="15">
        <f si="10" t="shared"/>
        <v>5.670842234761784E-7</v>
      </c>
      <c r="C115" s="15">
        <f si="10" t="shared"/>
        <v>4.3591569558879968E-5</v>
      </c>
      <c r="D115" s="15">
        <f si="10" t="shared"/>
        <v>1.0599033367948868E-5</v>
      </c>
      <c r="E115" s="15">
        <f si="10" t="shared"/>
        <v>7.1540290024713361E-6</v>
      </c>
      <c r="F115" s="15">
        <f si="10" t="shared"/>
        <v>2.1130427002900349E-6</v>
      </c>
      <c r="G115" s="15">
        <f si="10" t="shared"/>
        <v>8.8431350989339234E-6</v>
      </c>
      <c r="H115" s="15">
        <f si="10" t="shared"/>
        <v>3.0134362048605578E-6</v>
      </c>
      <c r="I115" s="15">
        <f si="10" t="shared"/>
        <v>7.438573770616577E-6</v>
      </c>
      <c r="K115" s="9">
        <v>0.10416666666666667</v>
      </c>
      <c r="L115" s="14">
        <f si="11" t="shared"/>
        <v>4.5913447987351836E-6</v>
      </c>
      <c r="M115" s="14">
        <f si="11" t="shared"/>
        <v>4.7619289554316157E-7</v>
      </c>
      <c r="N115" s="14">
        <f si="11" t="shared"/>
        <v>1.5675300858660662E-5</v>
      </c>
      <c r="O115" s="14">
        <f si="11" t="shared"/>
        <v>5.7362025778792801E-6</v>
      </c>
      <c r="P115" s="14">
        <f si="11" t="shared"/>
        <v>1.0899368834125905E-5</v>
      </c>
      <c r="Q115" s="14">
        <f si="11" t="shared"/>
        <v>1.1825139706374532E-5</v>
      </c>
      <c r="R115" s="14">
        <f si="11" t="shared"/>
        <v>5.4417124867430144E-6</v>
      </c>
      <c r="S115" s="15">
        <f si="11" t="shared"/>
        <v>7.5079293394072149E-6</v>
      </c>
    </row>
    <row r="116" spans="1:19" x14ac:dyDescent="0.25">
      <c r="A116" s="9">
        <v>0.125</v>
      </c>
      <c r="B116" s="15">
        <f ref="B116:I117" si="12" t="shared">B59/B$61</f>
        <v>1.0774556177598108E-7</v>
      </c>
      <c r="C116" s="15">
        <f si="12" t="shared"/>
        <v>1.007675290946594E-5</v>
      </c>
      <c r="D116" s="15">
        <f si="12" t="shared"/>
        <v>2.1721780812370876E-6</v>
      </c>
      <c r="E116" s="15">
        <f si="12" t="shared"/>
        <v>1.509639103826886E-6</v>
      </c>
      <c r="F116" s="15">
        <f si="12" t="shared"/>
        <v>3.7358806014979699E-7</v>
      </c>
      <c r="G116" s="15">
        <f si="12" t="shared"/>
        <v>1.8051946400350067E-6</v>
      </c>
      <c r="H116" s="15">
        <f si="12" t="shared"/>
        <v>4.785204875613615E-7</v>
      </c>
      <c r="I116" s="15">
        <f si="12" t="shared"/>
        <v>1.5853062700963057E-6</v>
      </c>
      <c r="K116" s="9">
        <v>0.125</v>
      </c>
      <c r="L116" s="14">
        <f ref="L116:S117" si="13" t="shared">L59/L$61</f>
        <v>9.5305310233901091E-7</v>
      </c>
      <c r="M116" s="14">
        <f si="13" t="shared"/>
        <v>1.0005838727168947E-7</v>
      </c>
      <c r="N116" s="14">
        <f si="13" t="shared"/>
        <v>3.3314394584900655E-6</v>
      </c>
      <c r="O116" s="14">
        <f si="13" t="shared"/>
        <v>1.2005270799073348E-6</v>
      </c>
      <c r="P116" s="14">
        <f si="13" t="shared"/>
        <v>2.3001575494639094E-6</v>
      </c>
      <c r="Q116" s="14">
        <f si="13" t="shared"/>
        <v>2.4547598007141039E-6</v>
      </c>
      <c r="R116" s="14">
        <f si="13" t="shared"/>
        <v>1.1137334708120375E-6</v>
      </c>
      <c r="S116" s="15">
        <f si="13" t="shared"/>
        <v>1.5746066084444077E-6</v>
      </c>
    </row>
    <row ht="15.75" r="117" spans="1:19" thickBot="1" x14ac:dyDescent="0.3">
      <c r="A117" s="10" t="s">
        <v>7</v>
      </c>
      <c r="B117" s="17">
        <f si="12" t="shared"/>
        <v>0</v>
      </c>
      <c r="C117" s="17">
        <f si="12" t="shared"/>
        <v>0</v>
      </c>
      <c r="D117" s="17">
        <f si="12" t="shared"/>
        <v>0</v>
      </c>
      <c r="E117" s="17">
        <f si="12" t="shared"/>
        <v>0</v>
      </c>
      <c r="F117" s="17">
        <f si="12" t="shared"/>
        <v>0</v>
      </c>
      <c r="G117" s="17">
        <f si="12" t="shared"/>
        <v>0</v>
      </c>
      <c r="H117" s="17">
        <f si="12" t="shared"/>
        <v>0</v>
      </c>
      <c r="I117" s="17">
        <f si="12" t="shared"/>
        <v>0</v>
      </c>
      <c r="K117" s="10" t="s">
        <v>7</v>
      </c>
      <c r="L117" s="16">
        <f si="13" t="shared"/>
        <v>0</v>
      </c>
      <c r="M117" s="16">
        <f si="13" t="shared"/>
        <v>0</v>
      </c>
      <c r="N117" s="16">
        <f si="13" t="shared"/>
        <v>0</v>
      </c>
      <c r="O117" s="16">
        <f si="13" t="shared"/>
        <v>0</v>
      </c>
      <c r="P117" s="16">
        <f si="13" t="shared"/>
        <v>0</v>
      </c>
      <c r="Q117" s="16">
        <f si="13" t="shared"/>
        <v>0</v>
      </c>
      <c r="R117" s="16">
        <f si="13" t="shared"/>
        <v>0</v>
      </c>
      <c r="S117" s="17">
        <f si="13" t="shared"/>
        <v>0</v>
      </c>
    </row>
  </sheetData>
  <pageMargins bottom="0.75" footer="0.3" header="0.3" left="0.7" right="0.7" top="0.75"/>
  <drawing r:id="rId1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X117"/>
  <sheetViews>
    <sheetView workbookViewId="0" zoomScale="70" zoomScaleNormal="70">
      <selection activeCell="A5" sqref="A5"/>
    </sheetView>
  </sheetViews>
  <sheetFormatPr defaultRowHeight="15" x14ac:dyDescent="0.25"/>
  <cols>
    <col min="1" max="1" customWidth="true" width="12.7109375" collapsed="true"/>
    <col min="2" max="9" customWidth="true" width="10.7109375" collapsed="true"/>
    <col min="10" max="10" customWidth="true" width="6.42578125" collapsed="true"/>
    <col min="11" max="11" customWidth="true" width="12.7109375" collapsed="true"/>
    <col min="12" max="19" customWidth="true" width="10.7109375" collapsed="true"/>
  </cols>
  <sheetData>
    <row r="1" spans="1:24" x14ac:dyDescent="0.25">
      <c r="A1" t="s">
        <v>17</v>
      </c>
    </row>
    <row r="2" spans="1:24" x14ac:dyDescent="0.25">
      <c r="A2" t="s">
        <v>19</v>
      </c>
    </row>
    <row r="3" spans="1:24" x14ac:dyDescent="0.25">
      <c r="A3" t="s">
        <v>21</v>
      </c>
    </row>
    <row r="4" spans="1:24" x14ac:dyDescent="0.25">
      <c r="A4" t="s">
        <v>34</v>
      </c>
    </row>
    <row r="5" spans="1:24" x14ac:dyDescent="0.25">
      <c r="A5" t="s">
        <v>5</v>
      </c>
    </row>
    <row r="6" spans="1:24" x14ac:dyDescent="0.25">
      <c r="A6" t="s">
        <v>6</v>
      </c>
    </row>
    <row r="7" spans="1:24" x14ac:dyDescent="0.25">
      <c r="U7" s="5"/>
      <c r="V7" s="5"/>
      <c r="W7" s="5"/>
      <c r="X7" s="5"/>
    </row>
    <row ht="15.75" r="8" spans="1:24" thickBot="1" x14ac:dyDescent="0.3">
      <c r="A8" s="3" t="s">
        <v>32</v>
      </c>
      <c r="B8" s="1"/>
      <c r="C8" s="1"/>
      <c r="D8" s="1"/>
      <c r="E8" s="1"/>
      <c r="F8" s="1"/>
      <c r="G8" s="1"/>
      <c r="H8" s="1"/>
      <c r="I8" s="1"/>
      <c r="K8" s="3" t="s">
        <v>16</v>
      </c>
      <c r="L8" s="1"/>
      <c r="M8" s="1"/>
      <c r="N8" s="1"/>
      <c r="O8" s="1"/>
      <c r="P8" s="1"/>
      <c r="Q8" s="1"/>
      <c r="R8" s="1"/>
      <c r="S8" s="1"/>
      <c r="U8" s="8"/>
      <c r="V8" s="5"/>
      <c r="W8" s="5"/>
      <c r="X8" s="5"/>
    </row>
    <row r="9" spans="1:24" x14ac:dyDescent="0.25">
      <c r="A9" s="2" t="s">
        <v>3</v>
      </c>
      <c r="B9" s="4" t="s">
        <v>1</v>
      </c>
      <c r="C9" s="4" t="s">
        <v>2</v>
      </c>
      <c r="D9" s="4" t="s">
        <v>9</v>
      </c>
      <c r="E9" s="4" t="s">
        <v>10</v>
      </c>
      <c r="F9" s="4" t="s">
        <v>11</v>
      </c>
      <c r="G9" s="4" t="s">
        <v>12</v>
      </c>
      <c r="H9" s="4" t="s">
        <v>13</v>
      </c>
      <c r="I9" s="4" t="s">
        <v>0</v>
      </c>
      <c r="K9" s="2" t="s">
        <v>3</v>
      </c>
      <c r="L9" s="4" t="s">
        <v>1</v>
      </c>
      <c r="M9" s="4" t="s">
        <v>2</v>
      </c>
      <c r="N9" s="4" t="s">
        <v>9</v>
      </c>
      <c r="O9" s="4" t="s">
        <v>10</v>
      </c>
      <c r="P9" s="4" t="s">
        <v>11</v>
      </c>
      <c r="Q9" s="4" t="s">
        <v>12</v>
      </c>
      <c r="R9" s="4" t="s">
        <v>13</v>
      </c>
      <c r="S9" s="4" t="s">
        <v>0</v>
      </c>
      <c r="U9" s="5"/>
      <c r="V9" s="11"/>
      <c r="W9" s="11"/>
      <c r="X9" s="5"/>
    </row>
    <row r="10" spans="1:24" x14ac:dyDescent="0.25">
      <c r="A10" t="s">
        <v>4</v>
      </c>
      <c r="B10" s="21" t="n">
        <v>283.785219953</v>
      </c>
      <c r="C10" s="21" t="n">
        <v>233.60368147600002</v>
      </c>
      <c r="D10" s="21" t="n">
        <v>109.34441777</v>
      </c>
      <c r="E10" s="21" t="n">
        <v>0.0</v>
      </c>
      <c r="F10" s="21" t="n">
        <v>0.0</v>
      </c>
      <c r="G10" s="21" t="n">
        <v>710.90187397</v>
      </c>
      <c r="H10" s="21" t="n">
        <v>18.97</v>
      </c>
      <c r="I10" s="21">
        <f>SUM(B10:H10)</f>
        <v>1099.1378999999999</v>
      </c>
      <c r="K10" t="s">
        <v>4</v>
      </c>
      <c r="L10" s="7" t="n">
        <v>5019.961527931559</v>
      </c>
      <c r="M10" s="7" t="n">
        <v>38.47065747892288</v>
      </c>
      <c r="N10" s="7" t="n">
        <v>3157.111882461507</v>
      </c>
      <c r="O10" s="7" t="n">
        <v>2518.307800397639</v>
      </c>
      <c r="P10" s="7" t="n">
        <v>3364.0220834356305</v>
      </c>
      <c r="Q10" s="7" t="n">
        <v>1711.5994485589847</v>
      </c>
      <c r="R10" s="7" t="n">
        <v>3235.4857572690603</v>
      </c>
      <c r="S10">
        <f>SUM(L10:R10)</f>
        <v>7946</v>
      </c>
      <c r="U10" s="5"/>
      <c r="V10" s="13"/>
      <c r="W10" s="13"/>
      <c r="X10" s="5"/>
    </row>
    <row r="11" spans="1:24" x14ac:dyDescent="0.25">
      <c r="A11" s="9">
        <v>0.125</v>
      </c>
      <c r="B11" s="21" t="n">
        <v>8402.223052143088</v>
      </c>
      <c r="C11" s="21" t="n">
        <v>393.31717282441105</v>
      </c>
      <c r="D11" s="21" t="n">
        <v>761.2617285041918</v>
      </c>
      <c r="E11" s="21" t="n">
        <v>619.3897777801179</v>
      </c>
      <c r="F11" s="21" t="n">
        <v>405.6857408304363</v>
      </c>
      <c r="G11" s="21" t="n">
        <v>916.2690961084855</v>
      </c>
      <c r="H11" s="21" t="n">
        <v>1437.770590230234</v>
      </c>
      <c r="I11" s="21">
        <f ref="I11:I60" si="0" t="shared">SUM(B11:H11)</f>
        <v>10439.478135415362</v>
      </c>
      <c r="K11" s="9">
        <v>0.125</v>
      </c>
      <c r="L11" s="7" t="n">
        <v>12374.045277986796</v>
      </c>
      <c r="M11" s="7" t="n">
        <v>586.549223782262</v>
      </c>
      <c r="N11" s="7" t="n">
        <v>6587.100078240748</v>
      </c>
      <c r="O11" s="7" t="n">
        <v>4472.609513852791</v>
      </c>
      <c r="P11" s="7" t="n">
        <v>4487.203423956481</v>
      </c>
      <c r="Q11" s="7" t="n">
        <v>2260.1922813112765</v>
      </c>
      <c r="R11" s="7" t="n">
        <v>4616.579909722785</v>
      </c>
      <c r="S11">
        <f ref="S11:S60" si="1" t="shared">SUM(L11:R11)</f>
        <v>24662.066138267517</v>
      </c>
      <c r="U11" s="5"/>
      <c r="V11" s="13"/>
      <c r="W11" s="13"/>
      <c r="X11" s="5"/>
    </row>
    <row r="12" spans="1:24" x14ac:dyDescent="0.25">
      <c r="A12" s="9">
        <v>0.14583333333333334</v>
      </c>
      <c r="B12" s="21" t="n">
        <v>18557.407528026823</v>
      </c>
      <c r="C12" s="21" t="n">
        <v>966.9131906411218</v>
      </c>
      <c r="D12" s="21" t="n">
        <v>1560.388382081443</v>
      </c>
      <c r="E12" s="21" t="n">
        <v>1313.479699710318</v>
      </c>
      <c r="F12" s="21" t="n">
        <v>727.9934860109361</v>
      </c>
      <c r="G12" s="21" t="n">
        <v>1268.8406788594107</v>
      </c>
      <c r="H12" s="21" t="n">
        <v>3130.592370784248</v>
      </c>
      <c r="I12" s="21">
        <f si="0" t="shared"/>
        <v>22211.216262148188</v>
      </c>
      <c r="K12" s="9">
        <v>0.14583333333333334</v>
      </c>
      <c r="L12" s="7" t="n">
        <v>21222.61209982062</v>
      </c>
      <c r="M12" s="7" t="n">
        <v>1518.7838363378696</v>
      </c>
      <c r="N12" s="7" t="n">
        <v>9875.586706626804</v>
      </c>
      <c r="O12" s="7" t="n">
        <v>6439.463021919845</v>
      </c>
      <c r="P12" s="7" t="n">
        <v>5617.3423863939925</v>
      </c>
      <c r="Q12" s="7" t="n">
        <v>2899.008946445176</v>
      </c>
      <c r="R12" s="7" t="n">
        <v>6002.76308457151</v>
      </c>
      <c r="S12">
        <f si="1" t="shared"/>
        <v>44797.447601318359</v>
      </c>
      <c r="U12" s="5"/>
      <c r="V12" s="13"/>
      <c r="W12" s="13"/>
      <c r="X12" s="5"/>
    </row>
    <row r="13" spans="1:24" x14ac:dyDescent="0.25">
      <c r="A13" s="9">
        <v>0.16666666666666666</v>
      </c>
      <c r="B13" s="21" t="n">
        <v>32523.584694154968</v>
      </c>
      <c r="C13" s="21" t="n">
        <v>2743.280224478388</v>
      </c>
      <c r="D13" s="21" t="n">
        <v>2827.4342095323423</v>
      </c>
      <c r="E13" s="21" t="n">
        <v>2242.9494479970185</v>
      </c>
      <c r="F13" s="21" t="n">
        <v>970.5045312585545</v>
      </c>
      <c r="G13" s="21" t="n">
        <v>1861.8781428492816</v>
      </c>
      <c r="H13" s="21" t="n">
        <v>5229.910622650634</v>
      </c>
      <c r="I13" s="21">
        <f si="0" t="shared"/>
        <v>38992.922966712766</v>
      </c>
      <c r="K13" s="9">
        <v>0.16666666666666666</v>
      </c>
      <c r="L13" s="7" t="n">
        <v>33346.48492684942</v>
      </c>
      <c r="M13" s="7" t="n">
        <v>3464.6355415817084</v>
      </c>
      <c r="N13" s="7" t="n">
        <v>13206.625599192494</v>
      </c>
      <c r="O13" s="7" t="n">
        <v>8626.598898094762</v>
      </c>
      <c r="P13" s="7" t="n">
        <v>6903.863355986139</v>
      </c>
      <c r="Q13" s="7" t="n">
        <v>3753.8354972988154</v>
      </c>
      <c r="R13" s="7" t="n">
        <v>7576.368991937956</v>
      </c>
      <c r="S13">
        <f si="1" t="shared"/>
        <v>73138.063229560852</v>
      </c>
      <c r="U13" s="5"/>
      <c r="V13" s="13"/>
      <c r="W13" s="13"/>
      <c r="X13" s="5"/>
    </row>
    <row r="14" spans="1:24" x14ac:dyDescent="0.25">
      <c r="A14" s="9">
        <v>0.1875</v>
      </c>
      <c r="B14" s="21" t="n">
        <v>51468.98323743272</v>
      </c>
      <c r="C14" s="21" t="n">
        <v>7122.8812797417595</v>
      </c>
      <c r="D14" s="21" t="n">
        <v>5197.242296319091</v>
      </c>
      <c r="E14" s="21" t="n">
        <v>3707.52169651853</v>
      </c>
      <c r="F14" s="21" t="n">
        <v>1269.0538297154267</v>
      </c>
      <c r="G14" s="21" t="n">
        <v>2713.169628028474</v>
      </c>
      <c r="H14" s="21" t="n">
        <v>7691.299258177765</v>
      </c>
      <c r="I14" s="21">
        <f si="0" t="shared"/>
        <v>63522.207329345416</v>
      </c>
      <c r="K14" s="9">
        <v>0.1875</v>
      </c>
      <c r="L14" s="7" t="n">
        <v>50528.36528622713</v>
      </c>
      <c r="M14" s="7" t="n">
        <v>7448.34271653237</v>
      </c>
      <c r="N14" s="7" t="n">
        <v>17047.618755843163</v>
      </c>
      <c r="O14" s="7" t="n">
        <v>11432.582637864612</v>
      </c>
      <c r="P14" s="7" t="n">
        <v>8649.664635147672</v>
      </c>
      <c r="Q14" s="7" t="n">
        <v>4962.647287766304</v>
      </c>
      <c r="R14" s="7" t="n">
        <v>9685.556242688213</v>
      </c>
      <c r="S14">
        <f si="1" t="shared"/>
        <v>115376.0458946228</v>
      </c>
      <c r="U14" s="5"/>
      <c r="V14" s="5"/>
      <c r="W14" s="5"/>
      <c r="X14" s="5"/>
    </row>
    <row r="15" spans="1:24" x14ac:dyDescent="0.25">
      <c r="A15" s="9">
        <v>0.20833333333333334</v>
      </c>
      <c r="B15" s="21" t="n">
        <v>75494.43601742487</v>
      </c>
      <c r="C15" s="21" t="n">
        <v>15919.899533713486</v>
      </c>
      <c r="D15" s="21" t="n">
        <v>9609.540911615513</v>
      </c>
      <c r="E15" s="21" t="n">
        <v>6134.700813238347</v>
      </c>
      <c r="F15" s="21" t="n">
        <v>1880.5850116744334</v>
      </c>
      <c r="G15" s="21" t="n">
        <v>3787.9649347942554</v>
      </c>
      <c r="H15" s="21" t="n">
        <v>10401.175057255115</v>
      </c>
      <c r="I15" s="21">
        <f si="0" t="shared"/>
        <v>98240.033849866013</v>
      </c>
      <c r="K15" s="9">
        <v>0.20833333333333334</v>
      </c>
      <c r="L15" s="7" t="n">
        <v>73636.88610339674</v>
      </c>
      <c r="M15" s="7" t="n">
        <v>14766.294361030523</v>
      </c>
      <c r="N15" s="7" t="n">
        <v>21754.36453691774</v>
      </c>
      <c r="O15" s="7" t="n">
        <v>15242.788155665581</v>
      </c>
      <c r="P15" s="7" t="n">
        <v>11182.18799452257</v>
      </c>
      <c r="Q15" s="7" t="n">
        <v>6598.062107998734</v>
      </c>
      <c r="R15" s="7" t="n">
        <v>12648.254832191382</v>
      </c>
      <c r="S15">
        <f si="1" t="shared"/>
        <v>175359.86497116089</v>
      </c>
    </row>
    <row r="16" spans="1:24" x14ac:dyDescent="0.25">
      <c r="A16" s="9">
        <v>0.22916666666666666</v>
      </c>
      <c r="B16" s="21" t="n">
        <v>103120.04287724593</v>
      </c>
      <c r="C16" s="21" t="n">
        <v>30472.773372637854</v>
      </c>
      <c r="D16" s="21" t="n">
        <v>16994.32364153603</v>
      </c>
      <c r="E16" s="21" t="n">
        <v>9986.71869835476</v>
      </c>
      <c r="F16" s="21" t="n">
        <v>3135.516855581761</v>
      </c>
      <c r="G16" s="21" t="n">
        <v>5046.833528096929</v>
      </c>
      <c r="H16" s="21" t="n">
        <v>13352.634691882473</v>
      </c>
      <c r="I16" s="21">
        <f si="0" t="shared"/>
        <v>144035.63976165181</v>
      </c>
      <c r="K16" s="9">
        <v>0.22916666666666666</v>
      </c>
      <c r="L16" s="7" t="n">
        <v>101606.35330522136</v>
      </c>
      <c r="M16" s="7" t="n">
        <v>26428.060523104494</v>
      </c>
      <c r="N16" s="7" t="n">
        <v>27188.83703062232</v>
      </c>
      <c r="O16" s="7" t="n">
        <v>20203.337920577873</v>
      </c>
      <c r="P16" s="7" t="n">
        <v>14689.278661370494</v>
      </c>
      <c r="Q16" s="7" t="n">
        <v>8600.707002994342</v>
      </c>
      <c r="R16" s="7" t="n">
        <v>16545.607011729175</v>
      </c>
      <c r="S16">
        <f si="1" t="shared"/>
        <v>251458.9935836792</v>
      </c>
    </row>
    <row r="17" spans="1:19" x14ac:dyDescent="0.25">
      <c r="A17" s="9">
        <v>0.25</v>
      </c>
      <c r="B17" s="21" t="n">
        <v>130992.70052219639</v>
      </c>
      <c r="C17" s="21" t="n">
        <v>50308.32847297706</v>
      </c>
      <c r="D17" s="21" t="n">
        <v>27637.511541167958</v>
      </c>
      <c r="E17" s="21" t="n">
        <v>15606.23502046659</v>
      </c>
      <c r="F17" s="21" t="n">
        <v>5393.5036761360625</v>
      </c>
      <c r="G17" s="21" t="n">
        <v>6477.204739913966</v>
      </c>
      <c r="H17" s="21" t="n">
        <v>16742.433966662764</v>
      </c>
      <c r="I17" s="21">
        <f si="0" t="shared"/>
        <v>198484.74718811511</v>
      </c>
      <c r="K17" s="9">
        <v>0.25</v>
      </c>
      <c r="L17" s="7" t="n">
        <v>131049.60522943738</v>
      </c>
      <c r="M17" s="7" t="n">
        <v>42265.9517071392</v>
      </c>
      <c r="N17" s="7" t="n">
        <v>32688.514901215967</v>
      </c>
      <c r="O17" s="7" t="n">
        <v>26137.240647126415</v>
      </c>
      <c r="P17" s="7" t="n">
        <v>19130.31330214465</v>
      </c>
      <c r="Q17" s="7" t="n">
        <v>10785.059804324734</v>
      </c>
      <c r="R17" s="7" t="n">
        <v>21162.756538422364</v>
      </c>
      <c r="S17">
        <f si="1" t="shared"/>
        <v>334626.77320098877</v>
      </c>
    </row>
    <row r="18" spans="1:19" x14ac:dyDescent="0.25">
      <c r="A18" s="9">
        <v>0.27083333333333331</v>
      </c>
      <c r="B18" s="21" t="n">
        <v>154290.92697897303</v>
      </c>
      <c r="C18" s="21" t="n">
        <v>72260.70680516772</v>
      </c>
      <c r="D18" s="21" t="n">
        <v>40513.017277405306</v>
      </c>
      <c r="E18" s="21" t="n">
        <v>23066.21010495555</v>
      </c>
      <c r="F18" s="21" t="n">
        <v>9034.501198870621</v>
      </c>
      <c r="G18" s="21" t="n">
        <v>8079.139063524839</v>
      </c>
      <c r="H18" s="21" t="n">
        <v>20888.044569830534</v>
      </c>
      <c r="I18" s="21">
        <f si="0" t="shared"/>
        <v>254860.59605972393</v>
      </c>
      <c r="K18" s="9">
        <v>0.27083333333333331</v>
      </c>
      <c r="L18" s="7" t="n">
        <v>156945.92968291274</v>
      </c>
      <c r="M18" s="7" t="n">
        <v>60237.24028494321</v>
      </c>
      <c r="N18" s="7" t="n">
        <v>37399.56793676015</v>
      </c>
      <c r="O18" s="7" t="n">
        <v>32620.79234969213</v>
      </c>
      <c r="P18" s="7" t="n">
        <v>24261.15474627196</v>
      </c>
      <c r="Q18" s="7" t="n">
        <v>12920.53398887169</v>
      </c>
      <c r="R18" s="7" t="n">
        <v>26089.00566274364</v>
      </c>
      <c r="S18">
        <f si="1" t="shared"/>
        <v>410300.30341720581</v>
      </c>
    </row>
    <row r="19" spans="1:19" x14ac:dyDescent="0.25">
      <c r="A19" s="9">
        <v>0.29166666666666669</v>
      </c>
      <c r="B19" s="21" t="n">
        <v>168135.38336013313</v>
      </c>
      <c r="C19" s="21" t="n">
        <v>91010.69923161989</v>
      </c>
      <c r="D19" s="21" t="n">
        <v>53099.01582628438</v>
      </c>
      <c r="E19" s="21" t="n">
        <v>32091.51214895885</v>
      </c>
      <c r="F19" s="21" t="n">
        <v>14474.630416517986</v>
      </c>
      <c r="G19" s="21" t="n">
        <v>9821.779021533306</v>
      </c>
      <c r="H19" s="21" t="n">
        <v>26000.83132872029</v>
      </c>
      <c r="I19" s="21">
        <f si="0" t="shared"/>
        <v>303415.63542968361</v>
      </c>
      <c r="K19" s="9">
        <v>0.29166666666666669</v>
      </c>
      <c r="L19" s="7" t="n">
        <v>174249.7416013639</v>
      </c>
      <c r="M19" s="7" t="n">
        <v>76599.0025993104</v>
      </c>
      <c r="N19" s="7" t="n">
        <v>40702.16638988562</v>
      </c>
      <c r="O19" s="7" t="n">
        <v>39129.799054963565</v>
      </c>
      <c r="P19" s="7" t="n">
        <v>29740.7395561162</v>
      </c>
      <c r="Q19" s="7" t="n">
        <v>14836.909870401834</v>
      </c>
      <c r="R19" s="7" t="n">
        <v>30877.77870264102</v>
      </c>
      <c r="S19">
        <f si="1" t="shared"/>
        <v>464073.82162952423</v>
      </c>
    </row>
    <row r="20" spans="1:19" x14ac:dyDescent="0.25">
      <c r="A20" s="9">
        <v>0.3125</v>
      </c>
      <c r="B20" s="21" t="n">
        <v>169588.68174409575</v>
      </c>
      <c r="C20" s="21" t="n">
        <v>101150.23989258615</v>
      </c>
      <c r="D20" s="21" t="n">
        <v>62072.40616028003</v>
      </c>
      <c r="E20" s="21" t="n">
        <v>42067.83467712465</v>
      </c>
      <c r="F20" s="21" t="n">
        <v>22130.15714647457</v>
      </c>
      <c r="G20" s="21" t="n">
        <v>11628.777459307714</v>
      </c>
      <c r="H20" s="21" t="n">
        <v>31965.78990413459</v>
      </c>
      <c r="I20" s="21">
        <f si="0" t="shared"/>
        <v>335067.1067453677</v>
      </c>
      <c r="K20" s="9">
        <v>0.3125</v>
      </c>
      <c r="L20" s="7" t="n">
        <v>179723.4741694756</v>
      </c>
      <c r="M20" s="7" t="n">
        <v>87196.93298888738</v>
      </c>
      <c r="N20" s="7" t="n">
        <v>42438.93489234909</v>
      </c>
      <c r="O20" s="7" t="n">
        <v>45168.64475453987</v>
      </c>
      <c r="P20" s="7" t="n">
        <v>35252.21213547859</v>
      </c>
      <c r="Q20" s="7" t="n">
        <v>16496.12564389832</v>
      </c>
      <c r="R20" s="7" t="n">
        <v>35166.853411962235</v>
      </c>
      <c r="S20">
        <f si="1" t="shared"/>
        <v>488295.60640048981</v>
      </c>
    </row>
    <row r="21" spans="1:19" x14ac:dyDescent="0.25">
      <c r="A21" s="9">
        <v>0.33333333333333331</v>
      </c>
      <c r="B21" s="21" t="n">
        <v>159089.8065583047</v>
      </c>
      <c r="C21" s="21" t="n">
        <v>99704.39965082376</v>
      </c>
      <c r="D21" s="21" t="n">
        <v>64737.64868863331</v>
      </c>
      <c r="E21" s="21" t="n">
        <v>52121.39984651074</v>
      </c>
      <c r="F21" s="21" t="n">
        <v>32226.793699758473</v>
      </c>
      <c r="G21" s="21" t="n">
        <v>13440.499229766718</v>
      </c>
      <c r="H21" s="21" t="n">
        <v>38279.98908159534</v>
      </c>
      <c r="I21" s="21">
        <f si="0" t="shared"/>
        <v>345545.63891034666</v>
      </c>
      <c r="K21" s="9">
        <v>0.33333333333333331</v>
      </c>
      <c r="L21" s="7" t="n">
        <v>173130.71132324566</v>
      </c>
      <c r="M21" s="7" t="n">
        <v>89286.76749960051</v>
      </c>
      <c r="N21" s="7" t="n">
        <v>42851.97259627099</v>
      </c>
      <c r="O21" s="7" t="n">
        <v>50349.90197262516</v>
      </c>
      <c r="P21" s="7" t="n">
        <v>40570.75572854848</v>
      </c>
      <c r="Q21" s="7" t="n">
        <v>17998.574578322226</v>
      </c>
      <c r="R21" s="7" t="n">
        <v>38723.56768559168</v>
      </c>
      <c r="S21">
        <f si="1" t="shared"/>
        <v>485490.81507015228</v>
      </c>
    </row>
    <row r="22" spans="1:19" x14ac:dyDescent="0.25">
      <c r="A22" s="9">
        <v>0.35416666666666669</v>
      </c>
      <c r="B22" s="21" t="n">
        <v>140300.89950009898</v>
      </c>
      <c r="C22" s="21" t="n">
        <v>87568.37148365272</v>
      </c>
      <c r="D22" s="21" t="n">
        <v>60429.385342867885</v>
      </c>
      <c r="E22" s="21" t="n">
        <v>61285.78748459211</v>
      </c>
      <c r="F22" s="21" t="n">
        <v>44457.2533320504</v>
      </c>
      <c r="G22" s="21" t="n">
        <v>15336.133356935256</v>
      </c>
      <c r="H22" s="21" t="n">
        <v>44193.42471280833</v>
      </c>
      <c r="I22" s="21">
        <f si="0" t="shared"/>
        <v>337298.22996477986</v>
      </c>
      <c r="K22" s="9">
        <v>0.35416666666666669</v>
      </c>
      <c r="L22" s="7" t="n">
        <v>157240.74588722392</v>
      </c>
      <c r="M22" s="7" t="n">
        <v>82787.22029567536</v>
      </c>
      <c r="N22" s="7" t="n">
        <v>42342.029685040354</v>
      </c>
      <c r="O22" s="7" t="n">
        <v>54424.293915328424</v>
      </c>
      <c r="P22" s="7" t="n">
        <v>45545.487964823515</v>
      </c>
      <c r="Q22" s="7" t="n">
        <v>19520.80509438849</v>
      </c>
      <c r="R22" s="7" t="n">
        <v>41433.930900704174</v>
      </c>
      <c r="S22">
        <f si="1" t="shared"/>
        <v>466224.65664196014</v>
      </c>
    </row>
    <row r="23" spans="1:19" x14ac:dyDescent="0.25">
      <c r="A23" s="9">
        <v>0.375</v>
      </c>
      <c r="B23" s="21" t="n">
        <v>118442.2451700813</v>
      </c>
      <c r="C23" s="21" t="n">
        <v>68966.31739845686</v>
      </c>
      <c r="D23" s="21" t="n">
        <v>50965.43438677468</v>
      </c>
      <c r="E23" s="21" t="n">
        <v>68765.72162426956</v>
      </c>
      <c r="F23" s="21" t="n">
        <v>57709.82120271484</v>
      </c>
      <c r="G23" s="21" t="n">
        <v>17629.993743270195</v>
      </c>
      <c r="H23" s="21" t="n">
        <v>48961.490873512346</v>
      </c>
      <c r="I23" s="21">
        <f si="0" t="shared"/>
        <v>317920.6336765064</v>
      </c>
      <c r="K23" s="9">
        <v>0.375</v>
      </c>
      <c r="L23" s="7" t="n">
        <v>136692.03183491714</v>
      </c>
      <c r="M23" s="7" t="n">
        <v>70171.98711047944</v>
      </c>
      <c r="N23" s="7" t="n">
        <v>41243.61962818771</v>
      </c>
      <c r="O23" s="7" t="n">
        <v>57271.56285101714</v>
      </c>
      <c r="P23" s="7" t="n">
        <v>50028.004725075356</v>
      </c>
      <c r="Q23" s="7" t="n">
        <v>21209.35601079759</v>
      </c>
      <c r="R23" s="7" t="n">
        <v>43273.98529842151</v>
      </c>
      <c r="S23">
        <f si="1" t="shared"/>
        <v>442804.104845047</v>
      </c>
    </row>
    <row r="24" spans="1:19" x14ac:dyDescent="0.25">
      <c r="A24" s="9">
        <v>0.39583333333333331</v>
      </c>
      <c r="B24" s="21" t="n">
        <v>98248.13722304304</v>
      </c>
      <c r="C24" s="21" t="n">
        <v>49326.48815346656</v>
      </c>
      <c r="D24" s="21" t="n">
        <v>39772.33578677207</v>
      </c>
      <c r="E24" s="21" t="n">
        <v>74176.79313096154</v>
      </c>
      <c r="F24" s="21" t="n">
        <v>70206.7823441431</v>
      </c>
      <c r="G24" s="21" t="n">
        <v>20825.61607630102</v>
      </c>
      <c r="H24" s="21" t="n">
        <v>52063.371002551066</v>
      </c>
      <c r="I24" s="21">
        <f si="0" t="shared"/>
        <v>296336.2815740775</v>
      </c>
      <c r="K24" s="9">
        <v>0.39583333333333331</v>
      </c>
      <c r="L24" s="7" t="n">
        <v>116278.30869044704</v>
      </c>
      <c r="M24" s="7" t="n">
        <v>55142.53436889622</v>
      </c>
      <c r="N24" s="7" t="n">
        <v>39748.53049882708</v>
      </c>
      <c r="O24" s="7" t="n">
        <v>58882.36917582473</v>
      </c>
      <c r="P24" s="7" t="n">
        <v>53832.004302186084</v>
      </c>
      <c r="Q24" s="7" t="n">
        <v>23086.128675387747</v>
      </c>
      <c r="R24" s="7" t="n">
        <v>44297.710615343436</v>
      </c>
      <c r="S24">
        <f si="1" t="shared"/>
        <v>423172.30159568787</v>
      </c>
    </row>
    <row r="25" spans="1:19" x14ac:dyDescent="0.25">
      <c r="A25" s="9">
        <v>0.41666666666666669</v>
      </c>
      <c r="B25" s="21" t="n">
        <v>82700.73150019285</v>
      </c>
      <c r="C25" s="21" t="n">
        <v>32933.37370138485</v>
      </c>
      <c r="D25" s="21" t="n">
        <v>30209.448899144707</v>
      </c>
      <c r="E25" s="21" t="n">
        <v>77563.13076944923</v>
      </c>
      <c r="F25" s="21" t="n">
        <v>80164.06917407436</v>
      </c>
      <c r="G25" s="21" t="n">
        <v>25341.199024047884</v>
      </c>
      <c r="H25" s="21" t="n">
        <v>53303.43791413303</v>
      </c>
      <c r="I25" s="21">
        <f si="0" t="shared"/>
        <v>279186.42916790169</v>
      </c>
      <c r="K25" s="9">
        <v>0.41666666666666669</v>
      </c>
      <c r="L25" s="7" t="n">
        <v>99415.04933324404</v>
      </c>
      <c r="M25" s="7" t="n">
        <v>41000.42650656171</v>
      </c>
      <c r="N25" s="7" t="n">
        <v>37979.99694534068</v>
      </c>
      <c r="O25" s="7" t="n">
        <v>59371.67112841641</v>
      </c>
      <c r="P25" s="7" t="n">
        <v>56789.91499419355</v>
      </c>
      <c r="Q25" s="7" t="n">
        <v>25027.5258170631</v>
      </c>
      <c r="R25" s="7" t="n">
        <v>44654.98124931678</v>
      </c>
      <c r="S25">
        <f si="1" t="shared"/>
        <v>408921.70209121704</v>
      </c>
    </row>
    <row r="26" spans="1:19" x14ac:dyDescent="0.25">
      <c r="A26" s="9">
        <v>0.4375</v>
      </c>
      <c r="B26" s="21" t="n">
        <v>72833.20823230453</v>
      </c>
      <c r="C26" s="21" t="n">
        <v>21664.69684442388</v>
      </c>
      <c r="D26" s="21" t="n">
        <v>24157.07802541718</v>
      </c>
      <c r="E26" s="21" t="n">
        <v>79190.42141206814</v>
      </c>
      <c r="F26" s="21" t="n">
        <v>86607.15073173905</v>
      </c>
      <c r="G26" s="21" t="n">
        <v>31058.90804978053</v>
      </c>
      <c r="H26" s="21" t="n">
        <v>52816.040510114195</v>
      </c>
      <c r="I26" s="21">
        <f si="0" t="shared"/>
        <v>269162.80429979402</v>
      </c>
      <c r="K26" s="9">
        <v>0.4375</v>
      </c>
      <c r="L26" s="7" t="n">
        <v>87386.94873118638</v>
      </c>
      <c r="M26" s="7" t="n">
        <v>29651.14893092545</v>
      </c>
      <c r="N26" s="7" t="n">
        <v>36114.0681230474</v>
      </c>
      <c r="O26" s="7" t="n">
        <v>59023.047815413454</v>
      </c>
      <c r="P26" s="7" t="n">
        <v>58880.659027335234</v>
      </c>
      <c r="Q26" s="7" t="n">
        <v>26834.925917057044</v>
      </c>
      <c r="R26" s="7" t="n">
        <v>44618.056883246616</v>
      </c>
      <c r="S26">
        <f si="1" t="shared"/>
        <v>397819.31467056274</v>
      </c>
    </row>
    <row r="27" spans="1:19" x14ac:dyDescent="0.25">
      <c r="A27" s="9">
        <v>0.45833333333333331</v>
      </c>
      <c r="B27" s="21" t="n">
        <v>68122.58667293261</v>
      </c>
      <c r="C27" s="21" t="n">
        <v>15184.316060981771</v>
      </c>
      <c r="D27" s="21" t="n">
        <v>21674.381235252058</v>
      </c>
      <c r="E27" s="21" t="n">
        <v>79382.33830726489</v>
      </c>
      <c r="F27" s="21" t="n">
        <v>89736.11202545647</v>
      </c>
      <c r="G27" s="21" t="n">
        <v>36993.713121708446</v>
      </c>
      <c r="H27" s="21" t="n">
        <v>51028.552715567304</v>
      </c>
      <c r="I27" s="21">
        <f si="0" t="shared"/>
        <v>265407.96965350158</v>
      </c>
      <c r="K27" s="9">
        <v>0.45833333333333331</v>
      </c>
      <c r="L27" s="7" t="n">
        <v>79566.6056925215</v>
      </c>
      <c r="M27" s="7" t="n">
        <v>21545.43290999606</v>
      </c>
      <c r="N27" s="7" t="n">
        <v>34427.987638447565</v>
      </c>
      <c r="O27" s="7" t="n">
        <v>58293.973392283966</v>
      </c>
      <c r="P27" s="7" t="n">
        <v>60315.7487774076</v>
      </c>
      <c r="Q27" s="7" t="n">
        <v>28346.153138414986</v>
      </c>
      <c r="R27" s="7" t="n">
        <v>44567.88149632977</v>
      </c>
      <c r="S27">
        <f si="1" t="shared"/>
        <v>387767.50804901123</v>
      </c>
    </row>
    <row r="28" spans="1:19" x14ac:dyDescent="0.25">
      <c r="A28" s="9">
        <v>0.47916666666666669</v>
      </c>
      <c r="B28" s="21" t="n">
        <v>66967.49740196051</v>
      </c>
      <c r="C28" s="21" t="n">
        <v>11999.887325434887</v>
      </c>
      <c r="D28" s="21" t="n">
        <v>21735.16920647547</v>
      </c>
      <c r="E28" s="21" t="n">
        <v>78589.68367616701</v>
      </c>
      <c r="F28" s="21" t="n">
        <v>90575.30727246156</v>
      </c>
      <c r="G28" s="21" t="n">
        <v>41494.56358218865</v>
      </c>
      <c r="H28" s="21" t="n">
        <v>48599.67243007453</v>
      </c>
      <c r="I28" s="21">
        <f si="0" t="shared"/>
        <v>265125.28706434107</v>
      </c>
      <c r="K28" s="9">
        <v>0.47916666666666669</v>
      </c>
      <c r="L28" s="7" t="n">
        <v>74317.36909107985</v>
      </c>
      <c r="M28" s="7" t="n">
        <v>16224.433085938279</v>
      </c>
      <c r="N28" s="7" t="n">
        <v>33230.92107714018</v>
      </c>
      <c r="O28" s="7" t="n">
        <v>57706.166563358514</v>
      </c>
      <c r="P28" s="7" t="n">
        <v>61483.55684239944</v>
      </c>
      <c r="Q28" s="7" t="n">
        <v>29510.06707426055</v>
      </c>
      <c r="R28" s="7" t="n">
        <v>44906.5891745851</v>
      </c>
      <c r="S28">
        <f si="1" t="shared"/>
        <v>378765.66529560089</v>
      </c>
    </row>
    <row r="29" spans="1:19" x14ac:dyDescent="0.25">
      <c r="A29" s="9">
        <v>0.5</v>
      </c>
      <c r="B29" s="21" t="n">
        <v>67187.49189577621</v>
      </c>
      <c r="C29" s="21" t="n">
        <v>10533.939674189616</v>
      </c>
      <c r="D29" s="21" t="n">
        <v>23367.44051788161</v>
      </c>
      <c r="E29" s="21" t="n">
        <v>77505.95679230537</v>
      </c>
      <c r="F29" s="21" t="n">
        <v>90267.58941795936</v>
      </c>
      <c r="G29" s="21" t="n">
        <v>43075.803207146564</v>
      </c>
      <c r="H29" s="21" t="n">
        <v>46326.95739332882</v>
      </c>
      <c r="I29" s="21">
        <f si="0" t="shared"/>
        <v>265495.65705721534</v>
      </c>
      <c r="K29" s="9">
        <v>0.5</v>
      </c>
      <c r="L29" s="7" t="n">
        <v>70010.16447636974</v>
      </c>
      <c r="M29" s="7" t="n">
        <v>12939.695489504094</v>
      </c>
      <c r="N29" s="7" t="n">
        <v>32738.84720346899</v>
      </c>
      <c r="O29" s="7" t="n">
        <v>57648.559599179636</v>
      </c>
      <c r="P29" s="7" t="n">
        <v>62773.998417699135</v>
      </c>
      <c r="Q29" s="7" t="n">
        <v>30382.385100549283</v>
      </c>
      <c r="R29" s="7" t="n">
        <v>45926.121994866175</v>
      </c>
      <c r="S29">
        <f si="1" t="shared"/>
        <v>372049.26226234436</v>
      </c>
    </row>
    <row r="30" spans="1:19" x14ac:dyDescent="0.25">
      <c r="A30" s="9">
        <v>0.52083333333333337</v>
      </c>
      <c r="B30" s="21" t="n">
        <v>66687.56279014233</v>
      </c>
      <c r="C30" s="21" t="n">
        <v>9728.90070720538</v>
      </c>
      <c r="D30" s="21" t="n">
        <v>26378.946985774324</v>
      </c>
      <c r="E30" s="21" t="n">
        <v>76918.14887459684</v>
      </c>
      <c r="F30" s="21" t="n">
        <v>89614.62150631784</v>
      </c>
      <c r="G30" s="21" t="n">
        <v>41359.64816032708</v>
      </c>
      <c r="H30" s="21" t="n">
        <v>45031.099456839656</v>
      </c>
      <c r="I30" s="21">
        <f si="0" t="shared"/>
        <v>265191.51909488108</v>
      </c>
      <c r="K30" s="9">
        <v>0.52083333333333337</v>
      </c>
      <c r="L30" s="7" t="n">
        <v>65659.335806307</v>
      </c>
      <c r="M30" s="7" t="n">
        <v>11027.235032741011</v>
      </c>
      <c r="N30" s="7" t="n">
        <v>33005.4577458867</v>
      </c>
      <c r="O30" s="7" t="n">
        <v>58241.15265287966</v>
      </c>
      <c r="P30" s="7" t="n">
        <v>64430.22767806765</v>
      </c>
      <c r="Q30" s="7" t="n">
        <v>31063.31526054988</v>
      </c>
      <c r="R30" s="7" t="n">
        <v>47724.957131850126</v>
      </c>
      <c r="S30">
        <f si="1" t="shared"/>
        <v>368259.79696846008</v>
      </c>
    </row>
    <row r="31" spans="1:19" x14ac:dyDescent="0.25">
      <c r="A31" s="9">
        <v>0.54166666666666663</v>
      </c>
      <c r="B31" s="21" t="n">
        <v>64168.9206140795</v>
      </c>
      <c r="C31" s="21" t="n">
        <v>9152.367220120303</v>
      </c>
      <c r="D31" s="21" t="n">
        <v>31218.68103124368</v>
      </c>
      <c r="E31" s="21" t="n">
        <v>77316.8305517577</v>
      </c>
      <c r="F31" s="21" t="n">
        <v>89099.60496674909</v>
      </c>
      <c r="G31" s="21" t="n">
        <v>37351.77964086697</v>
      </c>
      <c r="H31" s="21" t="n">
        <v>45413.799028341986</v>
      </c>
      <c r="I31" s="21">
        <f si="0" t="shared"/>
        <v>264834.76974094572</v>
      </c>
      <c r="K31" s="9">
        <v>0.54166666666666663</v>
      </c>
      <c r="L31" s="7" t="n">
        <v>61017.939991793886</v>
      </c>
      <c r="M31" s="7" t="n">
        <v>10010.493623106138</v>
      </c>
      <c r="N31" s="7" t="n">
        <v>33967.4714174915</v>
      </c>
      <c r="O31" s="7" t="n">
        <v>59390.87344405372</v>
      </c>
      <c r="P31" s="7" t="n">
        <v>66560.16192037778</v>
      </c>
      <c r="Q31" s="7" t="n">
        <v>31635.70368654564</v>
      </c>
      <c r="R31" s="7" t="n">
        <v>50249.12695650724</v>
      </c>
      <c r="S31">
        <f si="1" t="shared"/>
        <v>366823.50327777863</v>
      </c>
    </row>
    <row r="32" spans="1:19" x14ac:dyDescent="0.25">
      <c r="A32" s="9">
        <v>0.5625</v>
      </c>
      <c r="B32" s="21" t="n">
        <v>59482.879795284534</v>
      </c>
      <c r="C32" s="21" t="n">
        <v>8772.749369775753</v>
      </c>
      <c r="D32" s="21" t="n">
        <v>38147.44306644389</v>
      </c>
      <c r="E32" s="21" t="n">
        <v>78616.70492786983</v>
      </c>
      <c r="F32" s="21" t="n">
        <v>89105.08473465993</v>
      </c>
      <c r="G32" s="21" t="n">
        <v>32795.67279660719</v>
      </c>
      <c r="H32" s="21" t="n">
        <v>47872.78753281462</v>
      </c>
      <c r="I32" s="21">
        <f si="0" t="shared"/>
        <v>266094.10620901542</v>
      </c>
      <c r="K32" s="9">
        <v>0.5625</v>
      </c>
      <c r="L32" s="7" t="n">
        <v>56301.73194412797</v>
      </c>
      <c r="M32" s="7" t="n">
        <v>9558.314402658136</v>
      </c>
      <c r="N32" s="7" t="n">
        <v>35549.42424806299</v>
      </c>
      <c r="O32" s="7" t="n">
        <v>60987.80063014833</v>
      </c>
      <c r="P32" s="7" t="n">
        <v>69269.61172856756</v>
      </c>
      <c r="Q32" s="7" t="n">
        <v>32149.618834221903</v>
      </c>
      <c r="R32" s="7" t="n">
        <v>53422.08101865641</v>
      </c>
      <c r="S32">
        <f si="1" t="shared"/>
        <v>366921.11648273468</v>
      </c>
    </row>
    <row r="33" spans="1:19" x14ac:dyDescent="0.25">
      <c r="A33" s="9">
        <v>0.58333333333333337</v>
      </c>
      <c r="B33" s="21" t="n">
        <v>53383.19568234462</v>
      </c>
      <c r="C33" s="21" t="n">
        <v>8625.02278038346</v>
      </c>
      <c r="D33" s="21" t="n">
        <v>46428.77781479111</v>
      </c>
      <c r="E33" s="21" t="n">
        <v>80225.34438760811</v>
      </c>
      <c r="F33" s="21" t="n">
        <v>89910.99173590838</v>
      </c>
      <c r="G33" s="21" t="n">
        <v>29171.794319105873</v>
      </c>
      <c r="H33" s="21" t="n">
        <v>52338.964195981345</v>
      </c>
      <c r="I33" s="21">
        <f si="0" t="shared"/>
        <v>270007.50069949316</v>
      </c>
      <c r="K33" s="9">
        <v>0.58333333333333337</v>
      </c>
      <c r="L33" s="7" t="n">
        <v>51836.81443410651</v>
      </c>
      <c r="M33" s="7" t="n">
        <v>9416.90396254716</v>
      </c>
      <c r="N33" s="7" t="n">
        <v>37709.629940520404</v>
      </c>
      <c r="O33" s="7" t="n">
        <v>63023.72580576492</v>
      </c>
      <c r="P33" s="7" t="n">
        <v>72719.99987928526</v>
      </c>
      <c r="Q33" s="7" t="n">
        <v>32646.51398403431</v>
      </c>
      <c r="R33" s="7" t="n">
        <v>57221.4977620399</v>
      </c>
      <c r="S33">
        <f si="1" t="shared"/>
        <v>368617.71135234833</v>
      </c>
    </row>
    <row r="34" spans="1:19" x14ac:dyDescent="0.25">
      <c r="A34" s="9">
        <v>0.60416666666666663</v>
      </c>
      <c r="B34" s="21" t="n">
        <v>46886.18436735026</v>
      </c>
      <c r="C34" s="21" t="n">
        <v>8591.45284331699</v>
      </c>
      <c r="D34" s="21" t="n">
        <v>54283.573986201634</v>
      </c>
      <c r="E34" s="21" t="n">
        <v>81348.00357184814</v>
      </c>
      <c r="F34" s="21" t="n">
        <v>91417.65189842613</v>
      </c>
      <c r="G34" s="21" t="n">
        <v>27142.278446868837</v>
      </c>
      <c r="H34" s="21" t="n">
        <v>58309.40114232361</v>
      </c>
      <c r="I34" s="21">
        <f si="0" t="shared"/>
        <v>275828.66787258821</v>
      </c>
      <c r="K34" s="9">
        <v>0.60416666666666663</v>
      </c>
      <c r="L34" s="7" t="n">
        <v>47836.399159860324</v>
      </c>
      <c r="M34" s="7" t="n">
        <v>9371.494033105353</v>
      </c>
      <c r="N34" s="7" t="n">
        <v>40367.117754071834</v>
      </c>
      <c r="O34" s="7" t="n">
        <v>65476.933237060475</v>
      </c>
      <c r="P34" s="7" t="n">
        <v>76969.37304761275</v>
      </c>
      <c r="Q34" s="7" t="n">
        <v>33172.738500257066</v>
      </c>
      <c r="R34" s="7" t="n">
        <v>61598.17436645206</v>
      </c>
      <c r="S34">
        <f si="1" t="shared"/>
        <v>372634.87617015839</v>
      </c>
    </row>
    <row r="35" spans="1:19" x14ac:dyDescent="0.25">
      <c r="A35" s="9">
        <v>0.625</v>
      </c>
      <c r="B35" s="21" t="n">
        <v>40696.46361282608</v>
      </c>
      <c r="C35" s="21" t="n">
        <v>8425.22811848294</v>
      </c>
      <c r="D35" s="21" t="n">
        <v>59708.914963480536</v>
      </c>
      <c r="E35" s="21" t="n">
        <v>81284.689506315</v>
      </c>
      <c r="F35" s="21" t="n">
        <v>92959.55332649572</v>
      </c>
      <c r="G35" s="21" t="n">
        <v>26696.0389690102</v>
      </c>
      <c r="H35" s="21" t="n">
        <v>65154.420729303296</v>
      </c>
      <c r="I35" s="21">
        <f si="0" t="shared"/>
        <v>281312.25180153921</v>
      </c>
      <c r="K35" s="9">
        <v>0.625</v>
      </c>
      <c r="L35" s="7" t="n">
        <v>44335.900741903315</v>
      </c>
      <c r="M35" s="7" t="n">
        <v>9248.155384732727</v>
      </c>
      <c r="N35" s="7" t="n">
        <v>43276.51308547158</v>
      </c>
      <c r="O35" s="7" t="n">
        <v>68065.26800187516</v>
      </c>
      <c r="P35" s="7" t="n">
        <v>81701.32502450155</v>
      </c>
      <c r="Q35" s="7" t="n">
        <v>33746.33077928969</v>
      </c>
      <c r="R35" s="7" t="n">
        <v>66304.2094236729</v>
      </c>
      <c r="S35">
        <f si="1" t="shared"/>
        <v>378760.45539665222</v>
      </c>
    </row>
    <row r="36" spans="1:19" x14ac:dyDescent="0.25">
      <c r="A36" s="9">
        <v>0.64583333333333337</v>
      </c>
      <c r="B36" s="21" t="n">
        <v>35008.12161838872</v>
      </c>
      <c r="C36" s="21" t="n">
        <v>7936.924123478168</v>
      </c>
      <c r="D36" s="21" t="n">
        <v>61472.803404187274</v>
      </c>
      <c r="E36" s="21" t="n">
        <v>79618.10975585763</v>
      </c>
      <c r="F36" s="21" t="n">
        <v>93545.80842644924</v>
      </c>
      <c r="G36" s="21" t="n">
        <v>27589.543483817426</v>
      </c>
      <c r="H36" s="21" t="n">
        <v>72464.76050924548</v>
      </c>
      <c r="I36" s="21">
        <f si="0" t="shared"/>
        <v>284061.95745481865</v>
      </c>
      <c r="K36" s="9">
        <v>0.64583333333333337</v>
      </c>
      <c r="L36" s="7" t="n">
        <v>41210.35681995304</v>
      </c>
      <c r="M36" s="7" t="n">
        <v>8940.521427950096</v>
      </c>
      <c r="N36" s="7" t="n">
        <v>45983.37290365338</v>
      </c>
      <c r="O36" s="7" t="n">
        <v>70142.1068766983</v>
      </c>
      <c r="P36" s="7" t="n">
        <v>86114.05062489827</v>
      </c>
      <c r="Q36" s="7" t="n">
        <v>34298.623038231686</v>
      </c>
      <c r="R36" s="7" t="n">
        <v>70813.17844885997</v>
      </c>
      <c r="S36">
        <f si="1" t="shared"/>
        <v>384351.03431606293</v>
      </c>
    </row>
    <row r="37" spans="1:19" x14ac:dyDescent="0.25">
      <c r="A37" s="9">
        <v>0.66666666666666663</v>
      </c>
      <c r="B37" s="21" t="n">
        <v>29676.07197703013</v>
      </c>
      <c r="C37" s="21" t="n">
        <v>7128.176512150056</v>
      </c>
      <c r="D37" s="21" t="n">
        <v>59501.17174506826</v>
      </c>
      <c r="E37" s="21" t="n">
        <v>76308.75830605457</v>
      </c>
      <c r="F37" s="21" t="n">
        <v>92388.35662570535</v>
      </c>
      <c r="G37" s="21" t="n">
        <v>29560.114564977837</v>
      </c>
      <c r="H37" s="21" t="n">
        <v>80038.45307433778</v>
      </c>
      <c r="I37" s="21">
        <f si="0" t="shared"/>
        <v>282653.19675980543</v>
      </c>
      <c r="K37" s="9">
        <v>0.66666666666666663</v>
      </c>
      <c r="L37" s="7" t="n">
        <v>38219.73168937769</v>
      </c>
      <c r="M37" s="7" t="n">
        <v>8427.455019249763</v>
      </c>
      <c r="N37" s="7" t="n">
        <v>47927.79095843855</v>
      </c>
      <c r="O37" s="7" t="n">
        <v>70890.16785328304</v>
      </c>
      <c r="P37" s="7" t="n">
        <v>89130.16422987937</v>
      </c>
      <c r="Q37" s="7" t="n">
        <v>34647.32329723522</v>
      </c>
      <c r="R37" s="7" t="n">
        <v>74427.50147589951</v>
      </c>
      <c r="S37">
        <f si="1" t="shared"/>
        <v>384400.18699836731</v>
      </c>
    </row>
    <row r="38" spans="1:19" x14ac:dyDescent="0.25">
      <c r="A38" s="9">
        <v>0.6875</v>
      </c>
      <c r="B38" s="21" t="n">
        <v>24534.839484409327</v>
      </c>
      <c r="C38" s="21" t="n">
        <v>6148.270952071655</v>
      </c>
      <c r="D38" s="21" t="n">
        <v>54557.84412359374</v>
      </c>
      <c r="E38" s="21" t="n">
        <v>71665.73622652513</v>
      </c>
      <c r="F38" s="21" t="n">
        <v>89253.64872898815</v>
      </c>
      <c r="G38" s="21" t="n">
        <v>32186.299782568032</v>
      </c>
      <c r="H38" s="21" t="n">
        <v>87389.63835377997</v>
      </c>
      <c r="I38" s="21">
        <f si="0" t="shared"/>
        <v>276635.5615470059</v>
      </c>
      <c r="K38" s="9">
        <v>0.6875</v>
      </c>
      <c r="L38" s="7" t="n">
        <v>35087.923618723595</v>
      </c>
      <c r="M38" s="7" t="n">
        <v>7752.892965344394</v>
      </c>
      <c r="N38" s="7" t="n">
        <v>48636.15861881573</v>
      </c>
      <c r="O38" s="7" t="n">
        <v>69683.05311964956</v>
      </c>
      <c r="P38" s="7" t="n">
        <v>89812.6230299486</v>
      </c>
      <c r="Q38" s="7" t="n">
        <v>34535.87256889763</v>
      </c>
      <c r="R38" s="7" t="n">
        <v>76484.85074543967</v>
      </c>
      <c r="S38">
        <f si="1" t="shared"/>
        <v>373412.49240493774</v>
      </c>
    </row>
    <row r="39" spans="1:19" x14ac:dyDescent="0.25">
      <c r="A39" s="9">
        <v>0.70833333333333337</v>
      </c>
      <c r="B39" s="21" t="n">
        <v>19612.050783417726</v>
      </c>
      <c r="C39" s="21" t="n">
        <v>5153.0159303908995</v>
      </c>
      <c r="D39" s="21" t="n">
        <v>47731.18780327846</v>
      </c>
      <c r="E39" s="21" t="n">
        <v>66133.11183341092</v>
      </c>
      <c r="F39" s="21" t="n">
        <v>84401.14085260389</v>
      </c>
      <c r="G39" s="21" t="n">
        <v>34691.47317214258</v>
      </c>
      <c r="H39" s="21" t="n">
        <v>93194.28808275479</v>
      </c>
      <c r="I39" s="21">
        <f si="0" t="shared"/>
        <v>265730.52218118432</v>
      </c>
      <c r="K39" s="9">
        <v>0.70833333333333337</v>
      </c>
      <c r="L39" s="7" t="n">
        <v>31616.236347074984</v>
      </c>
      <c r="M39" s="7" t="n">
        <v>6977.281496703986</v>
      </c>
      <c r="N39" s="7" t="n">
        <v>47875.91504490548</v>
      </c>
      <c r="O39" s="7" t="n">
        <v>66343.09730093651</v>
      </c>
      <c r="P39" s="7" t="n">
        <v>87715.537586957</v>
      </c>
      <c r="Q39" s="7" t="n">
        <v>33726.375127602</v>
      </c>
      <c r="R39" s="7" t="n">
        <v>76520.98897976495</v>
      </c>
      <c r="S39">
        <f si="1" t="shared"/>
        <v>348056.73003768921</v>
      </c>
    </row>
    <row r="40" spans="1:19" x14ac:dyDescent="0.25">
      <c r="A40" s="9">
        <v>0.72916666666666663</v>
      </c>
      <c r="B40" s="21" t="n">
        <v>15117.622312944894</v>
      </c>
      <c r="C40" s="21" t="n">
        <v>4219.472033133014</v>
      </c>
      <c r="D40" s="21" t="n">
        <v>40141.89404265933</v>
      </c>
      <c r="E40" s="21" t="n">
        <v>59981.41680180952</v>
      </c>
      <c r="F40" s="21" t="n">
        <v>78292.4741967138</v>
      </c>
      <c r="G40" s="21" t="n">
        <v>36042.85397689814</v>
      </c>
      <c r="H40" s="21" t="n">
        <v>95333.1935221002</v>
      </c>
      <c r="I40" s="21">
        <f si="0" t="shared"/>
        <v>249280.12818024427</v>
      </c>
      <c r="K40" s="9">
        <v>0.72916666666666663</v>
      </c>
      <c r="L40" s="7" t="n">
        <v>27779.86799476394</v>
      </c>
      <c r="M40" s="7" t="n">
        <v>6143.033276426886</v>
      </c>
      <c r="N40" s="7" t="n">
        <v>45695.42438971947</v>
      </c>
      <c r="O40" s="7" t="n">
        <v>61150.96093500942</v>
      </c>
      <c r="P40" s="7" t="n">
        <v>82980.24659030167</v>
      </c>
      <c r="Q40" s="7" t="n">
        <v>32101.788524387455</v>
      </c>
      <c r="R40" s="7" t="n">
        <v>74352.53106817303</v>
      </c>
      <c r="S40">
        <f si="1" t="shared"/>
        <v>309102.81834506989</v>
      </c>
    </row>
    <row r="41" spans="1:19" x14ac:dyDescent="0.25">
      <c r="A41" s="9">
        <v>0.75</v>
      </c>
      <c r="B41" s="21" t="n">
        <v>11283.377190197605</v>
      </c>
      <c r="C41" s="21" t="n">
        <v>3364.6804821503865</v>
      </c>
      <c r="D41" s="21" t="n">
        <v>32824.224023680916</v>
      </c>
      <c r="E41" s="21" t="n">
        <v>53166.5721732192</v>
      </c>
      <c r="F41" s="21" t="n">
        <v>71335.84672572589</v>
      </c>
      <c r="G41" s="21" t="n">
        <v>35386.15982270614</v>
      </c>
      <c r="H41" s="21" t="n">
        <v>91813.09967173546</v>
      </c>
      <c r="I41" s="21">
        <f si="0" t="shared"/>
        <v>226619.54955688573</v>
      </c>
      <c r="K41" s="9">
        <v>0.75</v>
      </c>
      <c r="L41" s="7" t="n">
        <v>23745.77481421632</v>
      </c>
      <c r="M41" s="7" t="n">
        <v>5280.600774121147</v>
      </c>
      <c r="N41" s="7" t="n">
        <v>42361.87168854322</v>
      </c>
      <c r="O41" s="7" t="n">
        <v>54678.452131239486</v>
      </c>
      <c r="P41" s="7" t="n">
        <v>76179.10435290111</v>
      </c>
      <c r="Q41" s="7" t="n">
        <v>29725.218718874734</v>
      </c>
      <c r="R41" s="7" t="n">
        <v>70121.36909001533</v>
      </c>
      <c r="S41">
        <f si="1" t="shared"/>
        <v>261501.38041782379</v>
      </c>
    </row>
    <row r="42" spans="1:19" x14ac:dyDescent="0.25">
      <c r="A42" s="9">
        <v>0.77083333333333337</v>
      </c>
      <c r="B42" s="21" t="n">
        <v>8224.474879111567</v>
      </c>
      <c r="C42" s="21" t="n">
        <v>2599.122433966885</v>
      </c>
      <c r="D42" s="21" t="n">
        <v>26573.2278594077</v>
      </c>
      <c r="E42" s="21" t="n">
        <v>45533.43973378142</v>
      </c>
      <c r="F42" s="21" t="n">
        <v>63747.90809458706</v>
      </c>
      <c r="G42" s="21" t="n">
        <v>32495.941027039935</v>
      </c>
      <c r="H42" s="21" t="n">
        <v>82061.33916799024</v>
      </c>
      <c r="I42" s="21">
        <f si="0" t="shared"/>
        <v>198051.02983718127</v>
      </c>
      <c r="K42" s="9">
        <v>0.77083333333333337</v>
      </c>
      <c r="L42" s="7" t="n">
        <v>19801.277254994347</v>
      </c>
      <c r="M42" s="7" t="n">
        <v>4433.186083848497</v>
      </c>
      <c r="N42" s="7" t="n">
        <v>38252.45273799805</v>
      </c>
      <c r="O42" s="7" t="n">
        <v>47590.654317454086</v>
      </c>
      <c r="P42" s="7" t="n">
        <v>68038.5522285589</v>
      </c>
      <c r="Q42" s="7" t="n">
        <v>26818.165548601897</v>
      </c>
      <c r="R42" s="7" t="n">
        <v>64284.33323309936</v>
      </c>
      <c r="S42">
        <f si="1" t="shared"/>
        <v>212409.69923591614</v>
      </c>
    </row>
    <row r="43" spans="1:19" x14ac:dyDescent="0.25">
      <c r="A43" s="9">
        <v>0.79166666666666663</v>
      </c>
      <c r="B43" s="21" t="n">
        <v>5921.458592661236</v>
      </c>
      <c r="C43" s="21" t="n">
        <v>1944.9554868186851</v>
      </c>
      <c r="D43" s="21" t="n">
        <v>21756.6533921757</v>
      </c>
      <c r="E43" s="21" t="n">
        <v>37203.866027292155</v>
      </c>
      <c r="F43" s="21" t="n">
        <v>55550.07975563522</v>
      </c>
      <c r="G43" s="21" t="n">
        <v>27874.833795645085</v>
      </c>
      <c r="H43" s="21" t="n">
        <v>67589.83773048106</v>
      </c>
      <c r="I43" s="21">
        <f si="0" t="shared"/>
        <v>165479.2459225294</v>
      </c>
      <c r="K43" s="9">
        <v>0.79166666666666663</v>
      </c>
      <c r="L43" s="7" t="n">
        <v>16236.164460214306</v>
      </c>
      <c r="M43" s="7" t="n">
        <v>3657.8420172254973</v>
      </c>
      <c r="N43" s="7" t="n">
        <v>33741.455902350666</v>
      </c>
      <c r="O43" s="7" t="n">
        <v>40487.24943813744</v>
      </c>
      <c r="P43" s="7" t="n">
        <v>59194.02298274765</v>
      </c>
      <c r="Q43" s="7" t="n">
        <v>23661.808906912815</v>
      </c>
      <c r="R43" s="7" t="n">
        <v>57473.27423364039</v>
      </c>
      <c r="S43">
        <f si="1" t="shared"/>
        <v>168176.63249015808</v>
      </c>
    </row>
    <row r="44" spans="1:19" x14ac:dyDescent="0.25">
      <c r="A44" s="9">
        <v>0.8125</v>
      </c>
      <c r="B44" s="21" t="n">
        <v>4281.404638528898</v>
      </c>
      <c r="C44" s="21" t="n">
        <v>1419.1244637402028</v>
      </c>
      <c r="D44" s="21" t="n">
        <v>18259.081444403517</v>
      </c>
      <c r="E44" s="21" t="n">
        <v>28763.35324635677</v>
      </c>
      <c r="F44" s="21" t="n">
        <v>46742.82776441551</v>
      </c>
      <c r="G44" s="21" t="n">
        <v>22448.563773726328</v>
      </c>
      <c r="H44" s="21" t="n">
        <v>51399.86282367056</v>
      </c>
      <c r="I44" s="21">
        <f si="0" t="shared"/>
        <v>132055.84897529296</v>
      </c>
      <c r="K44" s="9">
        <v>0.8125</v>
      </c>
      <c r="L44" s="7" t="n">
        <v>13237.013631575192</v>
      </c>
      <c r="M44" s="7" t="n">
        <v>2994.43199168995</v>
      </c>
      <c r="N44" s="7" t="n">
        <v>29114.295387102913</v>
      </c>
      <c r="O44" s="7" t="n">
        <v>33787.56512933117</v>
      </c>
      <c r="P44" s="7" t="n">
        <v>50086.38359134311</v>
      </c>
      <c r="Q44" s="7" t="n">
        <v>20480.225408485596</v>
      </c>
      <c r="R44" s="7" t="n">
        <v>50245.98529372526</v>
      </c>
      <c r="S44">
        <f si="1" t="shared"/>
        <v>132043.03049945831</v>
      </c>
    </row>
    <row r="45" spans="1:19" x14ac:dyDescent="0.25">
      <c r="A45" s="9">
        <v>0.83333333333333337</v>
      </c>
      <c r="B45" s="21" t="n">
        <v>3184.4528632449137</v>
      </c>
      <c r="C45" s="21" t="n">
        <v>1020.3401743167401</v>
      </c>
      <c r="D45" s="21" t="n">
        <v>15642.725756923133</v>
      </c>
      <c r="E45" s="21" t="n">
        <v>21042.934558243505</v>
      </c>
      <c r="F45" s="21" t="n">
        <v>37570.350958296614</v>
      </c>
      <c r="G45" s="21" t="n">
        <v>17131.778850019895</v>
      </c>
      <c r="H45" s="21" t="n">
        <v>36520.73987015656</v>
      </c>
      <c r="I45" s="21">
        <f si="0" t="shared"/>
        <v>101040.81575948153</v>
      </c>
      <c r="K45" s="9">
        <v>0.83333333333333337</v>
      </c>
      <c r="L45" s="7" t="n">
        <v>10839.035382598977</v>
      </c>
      <c r="M45" s="7" t="n">
        <v>2437.744865498901</v>
      </c>
      <c r="N45" s="7" t="n">
        <v>24543.14397616513</v>
      </c>
      <c r="O45" s="7" t="n">
        <v>27683.4237480569</v>
      </c>
      <c r="P45" s="7" t="n">
        <v>41026.01914594265</v>
      </c>
      <c r="Q45" s="7" t="n">
        <v>17383.197101020567</v>
      </c>
      <c r="R45" s="7" t="n">
        <v>42903.454405926735</v>
      </c>
      <c r="S45">
        <f si="1" t="shared"/>
        <v>103842.0528345108</v>
      </c>
    </row>
    <row r="46" spans="1:19" x14ac:dyDescent="0.25">
      <c r="A46" s="9">
        <v>0.85416666666666663</v>
      </c>
      <c r="B46" s="21" t="n">
        <v>2487.1118697348174</v>
      </c>
      <c r="C46" s="21" t="n">
        <v>741.4351087170493</v>
      </c>
      <c r="D46" s="21" t="n">
        <v>13421.289574326094</v>
      </c>
      <c r="E46" s="21" t="n">
        <v>14698.574662455852</v>
      </c>
      <c r="F46" s="21" t="n">
        <v>28619.144811870185</v>
      </c>
      <c r="G46" s="21" t="n">
        <v>12549.588018362174</v>
      </c>
      <c r="H46" s="21" t="n">
        <v>24759.50891594893</v>
      </c>
      <c r="I46" s="21">
        <f si="0" t="shared"/>
        <v>74688.213125422088</v>
      </c>
      <c r="K46" s="9">
        <v>0.85416666666666663</v>
      </c>
      <c r="L46" s="7" t="n">
        <v>8950.493059927263</v>
      </c>
      <c r="M46" s="7" t="n">
        <v>1947.117082146977</v>
      </c>
      <c r="N46" s="7" t="n">
        <v>20134.782015357476</v>
      </c>
      <c r="O46" s="7" t="n">
        <v>22195.99910416919</v>
      </c>
      <c r="P46" s="7" t="n">
        <v>32337.831872552615</v>
      </c>
      <c r="Q46" s="7" t="n">
        <v>14399.611799911474</v>
      </c>
      <c r="R46" s="7" t="n">
        <v>35535.69877609096</v>
      </c>
      <c r="S46">
        <f si="1" t="shared"/>
        <v>81513.926441192627</v>
      </c>
    </row>
    <row r="47" spans="1:19" x14ac:dyDescent="0.25">
      <c r="A47" s="9">
        <v>0.875</v>
      </c>
      <c r="B47" s="21" t="n">
        <v>2026.969593090144</v>
      </c>
      <c r="C47" s="21" t="n">
        <v>593.2906961996915</v>
      </c>
      <c r="D47" s="21" t="n">
        <v>11269.457371359536</v>
      </c>
      <c r="E47" s="21" t="n">
        <v>9953.907098113235</v>
      </c>
      <c r="F47" s="21" t="n">
        <v>20609.25655943148</v>
      </c>
      <c r="G47" s="21" t="n">
        <v>8972.477475935539</v>
      </c>
      <c r="H47" s="21" t="n">
        <v>16416.953659051207</v>
      </c>
      <c r="I47" s="21">
        <f si="0" t="shared"/>
        <v>53808.438474934199</v>
      </c>
      <c r="K47" s="9">
        <v>0.875</v>
      </c>
      <c r="L47" s="7" t="n">
        <v>7425.121893031597</v>
      </c>
      <c r="M47" s="7" t="n">
        <v>1485.9590232989501</v>
      </c>
      <c r="N47" s="7" t="n">
        <v>16003.467725406848</v>
      </c>
      <c r="O47" s="7" t="n">
        <v>17303.987299731605</v>
      </c>
      <c r="P47" s="7" t="n">
        <v>24432.825978127217</v>
      </c>
      <c r="Q47" s="7" t="n">
        <v>11556.938542987373</v>
      </c>
      <c r="R47" s="7" t="n">
        <v>28245.58616399579</v>
      </c>
      <c r="S47">
        <f si="1" t="shared"/>
        <v>63034.109259605408</v>
      </c>
    </row>
    <row r="48" spans="1:19" x14ac:dyDescent="0.25">
      <c r="A48" s="9">
        <v>0.89583333333333337</v>
      </c>
      <c r="B48" s="21" t="n">
        <v>1661.9485628497978</v>
      </c>
      <c r="C48" s="21" t="n">
        <v>608.3246713580332</v>
      </c>
      <c r="D48" s="21" t="n">
        <v>9080.053507175184</v>
      </c>
      <c r="E48" s="21" t="n">
        <v>6647.881769992975</v>
      </c>
      <c r="F48" s="21" t="n">
        <v>14057.082091947566</v>
      </c>
      <c r="G48" s="21" t="n">
        <v>6373.433589763175</v>
      </c>
      <c r="H48" s="21" t="n">
        <v>10835.460252002978</v>
      </c>
      <c r="I48" s="21">
        <f si="0" t="shared"/>
        <v>38044.867144967182</v>
      </c>
      <c r="K48" s="9">
        <v>0.89583333333333337</v>
      </c>
      <c r="L48" s="7" t="n">
        <v>6132.3595378412</v>
      </c>
      <c r="M48" s="7" t="n">
        <v>1052.614717693526</v>
      </c>
      <c r="N48" s="7" t="n">
        <v>12295.024939881554</v>
      </c>
      <c r="O48" s="7" t="n">
        <v>13038.024043652762</v>
      </c>
      <c r="P48" s="7" t="n">
        <v>17718.45124626145</v>
      </c>
      <c r="Q48" s="7" t="n">
        <v>8929.686157383261</v>
      </c>
      <c r="R48" s="7" t="n">
        <v>21320.66276714117</v>
      </c>
      <c r="S48">
        <f si="1" t="shared"/>
        <v>47412.742188453674</v>
      </c>
    </row>
    <row r="49" spans="1:19" x14ac:dyDescent="0.25">
      <c r="A49" s="9">
        <v>0.91666666666666663</v>
      </c>
      <c r="B49" s="21" t="n">
        <v>1315.4365244566293</v>
      </c>
      <c r="C49" s="21" t="n">
        <v>803.5737688650827</v>
      </c>
      <c r="D49" s="21" t="n">
        <v>6910.437708493886</v>
      </c>
      <c r="E49" s="21" t="n">
        <v>4440.591502519677</v>
      </c>
      <c r="F49" s="21" t="n">
        <v>9103.345900047794</v>
      </c>
      <c r="G49" s="21" t="n">
        <v>4539.694151077672</v>
      </c>
      <c r="H49" s="21" t="n">
        <v>7125.660411457774</v>
      </c>
      <c r="I49" s="21">
        <f si="0" t="shared"/>
        <v>26463.59073745241</v>
      </c>
      <c r="K49" s="9">
        <v>0.91666666666666663</v>
      </c>
      <c r="L49" s="7" t="n">
        <v>4987.750132135111</v>
      </c>
      <c r="M49" s="7" t="n">
        <v>676.4986305150023</v>
      </c>
      <c r="N49" s="7" t="n">
        <v>9138.631460559605</v>
      </c>
      <c r="O49" s="7" t="n">
        <v>9469.331826985606</v>
      </c>
      <c r="P49" s="7" t="n">
        <v>12421.754147222437</v>
      </c>
      <c r="Q49" s="7" t="n">
        <v>6620.05376256568</v>
      </c>
      <c r="R49" s="7" t="n">
        <v>15184.628462547564</v>
      </c>
      <c r="S49">
        <f si="1" t="shared"/>
        <v>34499.211440086365</v>
      </c>
    </row>
    <row r="50" spans="1:19" x14ac:dyDescent="0.25">
      <c r="A50" s="9">
        <v>0.9375</v>
      </c>
      <c r="B50" s="21" t="n">
        <v>980.7973557927511</v>
      </c>
      <c r="C50" s="21" t="n">
        <v>1124.0282705631048</v>
      </c>
      <c r="D50" s="21" t="n">
        <v>4899.598451684296</v>
      </c>
      <c r="E50" s="21" t="n">
        <v>2984.9592197139045</v>
      </c>
      <c r="F50" s="21" t="n">
        <v>5589.102547767515</v>
      </c>
      <c r="G50" s="21" t="n">
        <v>3211.6852644277897</v>
      </c>
      <c r="H50" s="21" t="n">
        <v>4595.127429474705</v>
      </c>
      <c r="I50" s="21">
        <f si="0" t="shared"/>
        <v>18053.69844238081</v>
      </c>
      <c r="K50" s="9">
        <v>0.9375</v>
      </c>
      <c r="L50" s="7" t="n">
        <v>3946.2757828988133</v>
      </c>
      <c r="M50" s="7" t="n">
        <v>389.3014634659354</v>
      </c>
      <c r="N50" s="7" t="n">
        <v>6580.79935429304</v>
      </c>
      <c r="O50" s="7" t="n">
        <v>6631.117987490811</v>
      </c>
      <c r="P50" s="7" t="n">
        <v>8491.314355312757</v>
      </c>
      <c r="Q50" s="7" t="n">
        <v>4702.389122798545</v>
      </c>
      <c r="R50" s="7" t="n">
        <v>10189.3985206053</v>
      </c>
      <c r="S50">
        <f si="1" t="shared"/>
        <v>24289.943766593933</v>
      </c>
    </row>
    <row r="51" spans="1:19" x14ac:dyDescent="0.25">
      <c r="A51" s="9">
        <v>0.95833333333333337</v>
      </c>
      <c r="B51" s="21" t="n">
        <v>684.3128491548944</v>
      </c>
      <c r="C51" s="21" t="n">
        <v>1425.841476262593</v>
      </c>
      <c r="D51" s="21" t="n">
        <v>3194.676433763248</v>
      </c>
      <c r="E51" s="21" t="n">
        <v>2005.2363615863924</v>
      </c>
      <c r="F51" s="21" t="n">
        <v>3230.70285393247</v>
      </c>
      <c r="G51" s="21" t="n">
        <v>2198.00902072996</v>
      </c>
      <c r="H51" s="21" t="n">
        <v>2833.075936413183</v>
      </c>
      <c r="I51" s="21">
        <f si="0" t="shared"/>
        <v>11977.963712234212</v>
      </c>
      <c r="K51" s="9">
        <v>0.95833333333333337</v>
      </c>
      <c r="L51" s="7" t="n">
        <v>2988.9792655118968</v>
      </c>
      <c r="M51" s="7" t="n">
        <v>200.26371974781728</v>
      </c>
      <c r="N51" s="7" t="n">
        <v>4573.1131179469785</v>
      </c>
      <c r="O51" s="7" t="n">
        <v>4469.996111817409</v>
      </c>
      <c r="P51" s="7" t="n">
        <v>5665.90671672868</v>
      </c>
      <c r="Q51" s="7" t="n">
        <v>3189.679378107608</v>
      </c>
      <c r="R51" s="7" t="n">
        <v>6449.844515020852</v>
      </c>
      <c r="S51">
        <f si="1" t="shared"/>
        <v>16518.800446510315</v>
      </c>
    </row>
    <row r="52" spans="1:19" x14ac:dyDescent="0.25">
      <c r="A52" s="9">
        <v>0.97916666666666663</v>
      </c>
      <c r="B52" s="21" t="n">
        <v>446.5776057095318</v>
      </c>
      <c r="C52" s="21" t="n">
        <v>1542.2277770732162</v>
      </c>
      <c r="D52" s="21" t="n">
        <v>1892.32059805457</v>
      </c>
      <c r="E52" s="21" t="n">
        <v>1316.8760159363371</v>
      </c>
      <c r="F52" s="21" t="n">
        <v>1739.4865690109054</v>
      </c>
      <c r="G52" s="21" t="n">
        <v>1411.1398899786964</v>
      </c>
      <c r="H52" s="21" t="n">
        <v>1624.9249862764302</v>
      </c>
      <c r="I52" s="21">
        <f si="0" t="shared"/>
        <v>7623.9628870180131</v>
      </c>
      <c r="K52" s="9">
        <v>0.97916666666666663</v>
      </c>
      <c r="L52" s="7" t="n">
        <v>2122.0932878453887</v>
      </c>
      <c r="M52" s="7" t="n">
        <v>93.22037177315724</v>
      </c>
      <c r="N52" s="7" t="n">
        <v>3023.9003420456256</v>
      </c>
      <c r="O52" s="7" t="n">
        <v>2872.5095826013567</v>
      </c>
      <c r="P52" s="7" t="n">
        <v>3640.8457450597843</v>
      </c>
      <c r="Q52" s="7" t="n">
        <v>2045.8074643760763</v>
      </c>
      <c r="R52" s="7" t="n">
        <v>3845.364429939187</v>
      </c>
      <c r="S52">
        <f si="1" t="shared"/>
        <v>10726.793756484985</v>
      </c>
    </row>
    <row r="53" spans="1:19" x14ac:dyDescent="0.25">
      <c r="A53" s="9">
        <v>1</v>
      </c>
      <c r="B53" s="21" t="n">
        <v>270.58598540923435</v>
      </c>
      <c r="C53" s="21" t="n">
        <v>1393.632323459544</v>
      </c>
      <c r="D53" s="21" t="n">
        <v>1006.3148356246152</v>
      </c>
      <c r="E53" s="21" t="n">
        <v>818.5885215786037</v>
      </c>
      <c r="F53" s="21" t="n">
        <v>861.940469431133</v>
      </c>
      <c r="G53" s="21" t="n">
        <v>828.5362335872364</v>
      </c>
      <c r="H53" s="21" t="n">
        <v>845.1946757657581</v>
      </c>
      <c r="I53" s="21">
        <f si="0" t="shared"/>
        <v>4567.3222848584173</v>
      </c>
      <c r="K53" s="9">
        <v>1</v>
      </c>
      <c r="L53" s="7" t="n">
        <v>1377.7150867768146</v>
      </c>
      <c r="M53" s="7" t="n">
        <v>40.30182647756486</v>
      </c>
      <c r="N53" s="7" t="n">
        <v>1857.9663095007363</v>
      </c>
      <c r="O53" s="7" t="n">
        <v>1724.6190478665117</v>
      </c>
      <c r="P53" s="7" t="n">
        <v>2193.8181344339687</v>
      </c>
      <c r="Q53" s="7" t="n">
        <v>1218.509145759513</v>
      </c>
      <c r="R53" s="7" t="n">
        <v>2138.7675990606685</v>
      </c>
      <c r="S53">
        <f si="1" t="shared"/>
        <v>6502.6447076797485</v>
      </c>
    </row>
    <row r="54" spans="1:19" x14ac:dyDescent="0.25">
      <c r="A54" s="9">
        <v>1.0208333333333333</v>
      </c>
      <c r="B54" s="21" t="n">
        <v>149.2015286276888</v>
      </c>
      <c r="C54" s="21" t="n">
        <v>1042.8166163952278</v>
      </c>
      <c r="D54" s="21" t="n">
        <v>474.4397830148621</v>
      </c>
      <c r="E54" s="21" t="n">
        <v>465.3658916712237</v>
      </c>
      <c r="F54" s="21" t="n">
        <v>387.90501379980975</v>
      </c>
      <c r="G54" s="21" t="n">
        <v>436.56029847059284</v>
      </c>
      <c r="H54" s="21" t="n">
        <v>389.9259261937707</v>
      </c>
      <c r="I54" s="21">
        <f si="0" t="shared"/>
        <v>2513.3000454027174</v>
      </c>
      <c r="K54" s="9">
        <v>1.0208333333333333</v>
      </c>
      <c r="L54" s="7" t="n">
        <v>797.0588528061098</v>
      </c>
      <c r="M54" s="7" t="n">
        <v>16.645519905394053</v>
      </c>
      <c r="N54" s="7" t="n">
        <v>1030.8657923149665</v>
      </c>
      <c r="O54" s="7" t="n">
        <v>941.1967151530453</v>
      </c>
      <c r="P54" s="7" t="n">
        <v>1200.3256333365975</v>
      </c>
      <c r="Q54" s="7" t="n">
        <v>657.8437904291727</v>
      </c>
      <c r="R54" s="7" t="n">
        <v>1088.6903834660152</v>
      </c>
      <c r="S54">
        <f si="1" t="shared"/>
        <v>3575.2010354995728</v>
      </c>
    </row>
    <row r="55" spans="1:19" x14ac:dyDescent="0.25">
      <c r="A55" s="9">
        <v>4.1666666666666664E-2</v>
      </c>
      <c r="B55" s="21" t="n">
        <v>72.71095662976006</v>
      </c>
      <c r="C55" s="21" t="n">
        <v>641.1016460039946</v>
      </c>
      <c r="D55" s="21" t="n">
        <v>195.32361288248865</v>
      </c>
      <c r="E55" s="21" t="n">
        <v>234.38389166242902</v>
      </c>
      <c r="F55" s="21" t="n">
        <v>155.95835124536845</v>
      </c>
      <c r="G55" s="21" t="n">
        <v>203.16530889542517</v>
      </c>
      <c r="H55" s="21" t="n">
        <v>156.5909567967</v>
      </c>
      <c r="I55" s="21">
        <f si="0" t="shared"/>
        <v>1234.9847635482788</v>
      </c>
      <c r="K55" s="9">
        <v>4.1666666666666664E-2</v>
      </c>
      <c r="L55" s="7" t="n">
        <v>400.67096097863794</v>
      </c>
      <c r="M55" s="7" t="n">
        <v>6.599029315370875</v>
      </c>
      <c r="N55" s="7" t="n">
        <v>501.7263725115872</v>
      </c>
      <c r="O55" s="7" t="n">
        <v>453.19283344495614</v>
      </c>
      <c r="P55" s="7" t="n">
        <v>577.8954250221661</v>
      </c>
      <c r="Q55" s="7" t="n">
        <v>313.344875235868</v>
      </c>
      <c r="R55" s="7" t="n">
        <v>494.0844547512938</v>
      </c>
      <c r="S55">
        <f si="1" t="shared"/>
        <v>1730.385082244873</v>
      </c>
    </row>
    <row r="56" spans="1:19" x14ac:dyDescent="0.25">
      <c r="A56" s="9">
        <v>6.25E-2</v>
      </c>
      <c r="B56" s="21" t="n">
        <v>30.324007770757472</v>
      </c>
      <c r="C56" s="21" t="n">
        <v>320.39406411391377</v>
      </c>
      <c r="D56" s="21" t="n">
        <v>68.8577017443844</v>
      </c>
      <c r="E56" s="21" t="n">
        <v>101.566185156806</v>
      </c>
      <c r="F56" s="21" t="n">
        <v>54.781632625270326</v>
      </c>
      <c r="G56" s="21" t="n">
        <v>82.09255226876734</v>
      </c>
      <c r="H56" s="21" t="n">
        <v>53.87074569122909</v>
      </c>
      <c r="I56" s="21">
        <f si="0" t="shared"/>
        <v>525.60552410697937</v>
      </c>
      <c r="K56" s="9">
        <v>6.25E-2</v>
      </c>
      <c r="L56" s="7" t="n">
        <v>170.6958791878194</v>
      </c>
      <c r="M56" s="7" t="n">
        <v>2.427474754711927</v>
      </c>
      <c r="N56" s="7" t="n">
        <v>208.2858509637153</v>
      </c>
      <c r="O56" s="7" t="n">
        <v>186.9267360160711</v>
      </c>
      <c r="P56" s="7" t="n">
        <v>237.77003836570765</v>
      </c>
      <c r="Q56" s="7" t="n">
        <v>128.06057480616744</v>
      </c>
      <c r="R56" s="7" t="n">
        <v>194.09593787770405</v>
      </c>
      <c r="S56">
        <f si="1" t="shared"/>
        <v>716.2792854309082</v>
      </c>
    </row>
    <row r="57" spans="1:19" x14ac:dyDescent="0.25">
      <c r="A57" s="9">
        <v>8.3333333333333329E-2</v>
      </c>
      <c r="B57" s="21" t="n">
        <v>10.475277396064072</v>
      </c>
      <c r="C57" s="21" t="n">
        <v>128.12019777359478</v>
      </c>
      <c r="D57" s="21" t="n">
        <v>20.259169068088912</v>
      </c>
      <c r="E57" s="21" t="n">
        <v>36.76095183974819</v>
      </c>
      <c r="F57" s="21" t="n">
        <v>16.317887012248185</v>
      </c>
      <c r="G57" s="21" t="n">
        <v>28.195036900163633</v>
      </c>
      <c r="H57" s="21" t="n">
        <v>15.635737612277833</v>
      </c>
      <c r="I57" s="21">
        <f si="0" t="shared"/>
        <v>187.55678539934158</v>
      </c>
      <c r="K57" s="9">
        <v>8.3333333333333329E-2</v>
      </c>
      <c r="L57" s="7" t="n">
        <v>60.01685539479191</v>
      </c>
      <c r="M57" s="7" t="n">
        <v>0.7820015392896358</v>
      </c>
      <c r="N57" s="7" t="n">
        <v>71.67286746659923</v>
      </c>
      <c r="O57" s="7" t="n">
        <v>64.09273325972728</v>
      </c>
      <c r="P57" s="7" t="n">
        <v>81.20426103380615</v>
      </c>
      <c r="Q57" s="7" t="n">
        <v>43.60508153194597</v>
      </c>
      <c r="R57" s="7" t="n">
        <v>63.94539106718545</v>
      </c>
      <c r="S57">
        <f si="1" t="shared"/>
        <v>246.26366519927979</v>
      </c>
    </row>
    <row r="58" spans="1:19" x14ac:dyDescent="0.25">
      <c r="A58" s="9">
        <v>0.10416666666666667</v>
      </c>
      <c r="B58" s="21" t="n">
        <v>2.8932322638588834</v>
      </c>
      <c r="C58" s="21" t="n">
        <v>40.02103507776689</v>
      </c>
      <c r="D58" s="21" t="n">
        <v>4.808327613246161</v>
      </c>
      <c r="E58" s="21" t="n">
        <v>10.737618256643717</v>
      </c>
      <c r="F58" s="21" t="n">
        <v>3.965474591014144</v>
      </c>
      <c r="G58" s="21" t="n">
        <v>8.005162757392137</v>
      </c>
      <c r="H58" s="21" t="n">
        <v>3.7579079635809753</v>
      </c>
      <c r="I58" s="21">
        <f si="0" t="shared"/>
        <v>54.096577735042587</v>
      </c>
      <c r="J58" s="5"/>
      <c r="K58" s="9">
        <v>0.10416666666666667</v>
      </c>
      <c r="L58" s="7" t="n">
        <v>16.871497862768635</v>
      </c>
      <c r="M58" s="7" t="n">
        <v>0.20758272011717988</v>
      </c>
      <c r="N58" s="7" t="n">
        <v>19.779816300373064</v>
      </c>
      <c r="O58" s="7" t="n">
        <v>17.65700039265901</v>
      </c>
      <c r="P58" s="7" t="n">
        <v>22.26812377960592</v>
      </c>
      <c r="Q58" s="7" t="n">
        <v>11.956755956358945</v>
      </c>
      <c r="R58" s="7" t="n">
        <v>17.045872072714147</v>
      </c>
      <c r="S58">
        <f si="1" t="shared"/>
        <v>68.003379821777344</v>
      </c>
    </row>
    <row r="59" spans="1:19" x14ac:dyDescent="0.25">
      <c r="A59" s="9">
        <v>0.125</v>
      </c>
      <c r="B59" s="21" t="n">
        <v>0.6026601599570539</v>
      </c>
      <c r="C59" s="21" t="n">
        <v>9.2519448675692</v>
      </c>
      <c r="D59" s="21" t="n">
        <v>0.8693470291981181</v>
      </c>
      <c r="E59" s="21" t="n">
        <v>2.380370224662152</v>
      </c>
      <c r="F59" s="21" t="n">
        <v>0.7386335322702486</v>
      </c>
      <c r="G59" s="21" t="n">
        <v>1.7763333575091649</v>
      </c>
      <c r="H59" s="21" t="n">
        <v>0.7156967815189386</v>
      </c>
      <c r="I59" s="21">
        <f si="0" t="shared"/>
        <v>11.854591789054869</v>
      </c>
      <c r="J59" s="5"/>
      <c r="K59" s="9">
        <v>0.125</v>
      </c>
      <c r="L59" s="7" t="n">
        <v>3.5803227091568823</v>
      </c>
      <c r="M59" s="7" t="n">
        <v>0.04216801308246569</v>
      </c>
      <c r="N59" s="7" t="n">
        <v>4.132058084749173</v>
      </c>
      <c r="O59" s="7" t="n">
        <v>3.686381140864368</v>
      </c>
      <c r="P59" s="7" t="n">
        <v>4.627573925581195</v>
      </c>
      <c r="Q59" s="7" t="n">
        <v>2.489635324569411</v>
      </c>
      <c r="R59" s="7" t="n">
        <v>3.464752238341907</v>
      </c>
      <c r="S59">
        <f si="1" t="shared"/>
        <v>14.228224754333496</v>
      </c>
    </row>
    <row r="60" spans="1:19" x14ac:dyDescent="0.25">
      <c r="A60" s="18" t="s">
        <v>7</v>
      </c>
      <c r="B60" s="22" t="n">
        <v>0.0</v>
      </c>
      <c r="C60" s="22" t="n">
        <v>0.0</v>
      </c>
      <c r="D60" s="22" t="n">
        <v>0.0</v>
      </c>
      <c r="E60" s="22" t="n">
        <v>0.0</v>
      </c>
      <c r="F60" s="22" t="n">
        <v>0.0</v>
      </c>
      <c r="G60" s="22" t="n">
        <v>0.0</v>
      </c>
      <c r="H60" s="22" t="n">
        <v>0.0</v>
      </c>
      <c r="I60" s="21">
        <f si="0" t="shared"/>
        <v>0</v>
      </c>
      <c r="J60" s="5"/>
      <c r="K60" s="18" t="s">
        <v>7</v>
      </c>
      <c r="L60" s="7" t="n">
        <v>0.0</v>
      </c>
      <c r="M60" s="7" t="n">
        <v>0.0</v>
      </c>
      <c r="N60" s="7" t="n">
        <v>0.0</v>
      </c>
      <c r="O60" s="7" t="n">
        <v>0.0</v>
      </c>
      <c r="P60" s="7" t="n">
        <v>0.0</v>
      </c>
      <c r="Q60" s="7" t="n">
        <v>0.0</v>
      </c>
      <c r="R60" s="7" t="n">
        <v>0.0</v>
      </c>
      <c r="S60">
        <f si="1" t="shared"/>
        <v>0</v>
      </c>
    </row>
    <row ht="15.75" r="61" spans="1:19" thickBot="1" x14ac:dyDescent="0.3">
      <c r="A61" s="19"/>
      <c r="B61" s="20">
        <f>SUM(B10:B60)</f>
        <v>1845663.0263650513</v>
      </c>
      <c r="C61" s="20">
        <f ref="C61:I61" si="2" t="shared">SUM(C10:C60)</f>
        <v>631076.60871333501</v>
      </c>
      <c r="D61" s="20">
        <f si="2" t="shared"/>
        <v>936165.99881122529</v>
      </c>
      <c r="E61" s="20">
        <f si="2" t="shared"/>
        <v>1357698.9245575562</v>
      </c>
      <c r="F61" s="20">
        <f si="2" t="shared"/>
        <v>1503955.1515050379</v>
      </c>
      <c r="G61" s="20">
        <f si="2" t="shared"/>
        <v>632275.38308860676</v>
      </c>
      <c r="H61" s="20">
        <f si="2" t="shared"/>
        <v>1249644.6866458235</v>
      </c>
      <c r="I61" s="20">
        <f si="2" t="shared"/>
        <v>8156479.7796866335</v>
      </c>
      <c r="J61" s="5"/>
      <c r="K61" s="19"/>
      <c r="L61" s="20">
        <f>SUM(L10:L60)</f>
        <v>2542677.241484642</v>
      </c>
      <c r="M61" s="20">
        <f ref="M61:S61" si="3" t="shared">SUM(M10:M60)</f>
        <v>853591.23032093048</v>
      </c>
      <c r="N61" s="20">
        <f si="3" t="shared"/>
        <v>1849200.7524805069</v>
      </c>
      <c r="O61" s="20">
        <f si="3" t="shared"/>
        <v>2369912.2306985855</v>
      </c>
      <c r="P61" s="20">
        <f si="3" t="shared"/>
        <v>1213351.7025499344</v>
      </c>
      <c r="Q61" s="20">
        <f si="3" t="shared"/>
        <v>553923.60363483429</v>
      </c>
      <c r="R61" s="20">
        <f si="3" t="shared"/>
        <v>1960555.6053266525</v>
      </c>
      <c r="S61" s="20">
        <f si="3" t="shared"/>
        <v>11343212.366496086</v>
      </c>
    </row>
    <row r="62" spans="1:19" x14ac:dyDescent="0.25">
      <c r="J62" s="5"/>
    </row>
    <row r="63" spans="1:19" x14ac:dyDescent="0.25">
      <c r="J63" s="5"/>
    </row>
    <row ht="15.75" r="65" spans="1:19" thickBot="1" x14ac:dyDescent="0.3">
      <c r="A65" s="3" t="s">
        <v>32</v>
      </c>
      <c r="B65" s="1"/>
      <c r="C65" s="1"/>
      <c r="D65" s="1"/>
      <c r="E65" s="1"/>
      <c r="F65" s="1"/>
      <c r="G65" s="1"/>
      <c r="H65" s="1"/>
      <c r="I65" s="1"/>
      <c r="K65" s="3" t="s">
        <v>16</v>
      </c>
      <c r="L65" s="1"/>
      <c r="M65" s="1"/>
      <c r="N65" s="1"/>
      <c r="O65" s="1"/>
      <c r="P65" s="1"/>
      <c r="Q65" s="1"/>
      <c r="R65" s="1"/>
      <c r="S65" s="1"/>
    </row>
    <row r="66" spans="1:19" x14ac:dyDescent="0.25">
      <c r="A66" s="2" t="s">
        <v>3</v>
      </c>
      <c r="B66" s="4" t="s">
        <v>31</v>
      </c>
      <c r="C66" s="4" t="s">
        <v>31</v>
      </c>
      <c r="D66" s="4" t="s">
        <v>31</v>
      </c>
      <c r="E66" s="4" t="s">
        <v>31</v>
      </c>
      <c r="F66" s="4" t="s">
        <v>31</v>
      </c>
      <c r="G66" s="4" t="s">
        <v>31</v>
      </c>
      <c r="H66" s="4" t="s">
        <v>31</v>
      </c>
      <c r="I66" s="4" t="s">
        <v>31</v>
      </c>
      <c r="K66" s="2" t="s">
        <v>3</v>
      </c>
      <c r="L66" s="4" t="s">
        <v>8</v>
      </c>
      <c r="M66" s="4" t="s">
        <v>8</v>
      </c>
      <c r="N66" s="4" t="s">
        <v>8</v>
      </c>
      <c r="O66" s="4" t="s">
        <v>8</v>
      </c>
      <c r="P66" s="4" t="s">
        <v>8</v>
      </c>
      <c r="Q66" s="4" t="s">
        <v>8</v>
      </c>
      <c r="R66" s="4" t="s">
        <v>8</v>
      </c>
      <c r="S66" s="4" t="s">
        <v>8</v>
      </c>
    </row>
    <row r="67" spans="1:19" x14ac:dyDescent="0.25">
      <c r="A67" t="s">
        <v>4</v>
      </c>
      <c r="B67" s="15">
        <f>B10/B$61</f>
        <v>1.1888237281977271E-4</v>
      </c>
      <c r="C67" s="15">
        <f ref="C67:I67" si="4" t="shared">C10/C$61</f>
        <v>2.7026496885653942E-4</v>
      </c>
      <c r="D67" s="15">
        <f si="4" t="shared"/>
        <v>8.9031218935357685E-5</v>
      </c>
      <c r="E67" s="15">
        <f si="4" t="shared"/>
        <v>0</v>
      </c>
      <c r="F67" s="15">
        <f si="4" t="shared"/>
        <v>0</v>
      </c>
      <c r="G67" s="15">
        <f si="4" t="shared"/>
        <v>9.6578044366852299E-4</v>
      </c>
      <c r="H67" s="15">
        <f si="4" t="shared"/>
        <v>1.214425201193306E-5</v>
      </c>
      <c r="I67" s="15">
        <f si="4" t="shared"/>
        <v>1.3475640591145168E-4</v>
      </c>
      <c r="K67" t="s">
        <v>4</v>
      </c>
      <c r="L67" s="14">
        <f>L10/L$61</f>
        <v>7.2718627823969853E-4</v>
      </c>
      <c r="M67" s="14">
        <f ref="M67:S67" si="5" t="shared">M10/M$61</f>
        <v>3.1631065363509685E-5</v>
      </c>
      <c r="N67" s="14">
        <f si="5" t="shared"/>
        <v>1.9630102330051185E-3</v>
      </c>
      <c r="O67" s="14">
        <f si="5" t="shared"/>
        <v>3.5992894122857829E-4</v>
      </c>
      <c r="P67" s="14">
        <f si="5" t="shared"/>
        <v>8.357016336392949E-4</v>
      </c>
      <c r="Q67" s="14">
        <f si="5" t="shared"/>
        <v>7.8711215254049073E-4</v>
      </c>
      <c r="R67" s="14">
        <f si="5" t="shared"/>
        <v>6.9878150677177113E-5</v>
      </c>
      <c r="S67" s="15">
        <f si="5" t="shared"/>
        <v>7.0050702951394322E-4</v>
      </c>
    </row>
    <row r="68" spans="1:19" x14ac:dyDescent="0.25">
      <c r="A68" s="9">
        <v>0.125</v>
      </c>
      <c r="B68" s="15">
        <f ref="B68:I83" si="6" t="shared">B11/B$61</f>
        <v>3.7062503803957903E-3</v>
      </c>
      <c r="C68" s="15">
        <f si="6" t="shared"/>
        <v>4.51873329632081E-4</v>
      </c>
      <c r="D68" s="15">
        <f si="6" t="shared"/>
        <v>5.6493495360946354E-4</v>
      </c>
      <c r="E68" s="15">
        <f si="6" t="shared"/>
        <v>3.7244972796360195E-4</v>
      </c>
      <c r="F68" s="15">
        <f si="6" t="shared"/>
        <v>2.2565028245090545E-4</v>
      </c>
      <c r="G68" s="15">
        <f si="6" t="shared"/>
        <v>1.2129881226241163E-3</v>
      </c>
      <c r="H68" s="15">
        <f si="6" t="shared"/>
        <v>9.3863819140605159E-4</v>
      </c>
      <c r="I68" s="15">
        <f si="6" t="shared"/>
        <v>1.2798999589767191E-3</v>
      </c>
      <c r="K68" s="9">
        <v>0.125</v>
      </c>
      <c r="L68" s="14">
        <f ref="L68:S83" si="7" t="shared">L11/L$61</f>
        <v>2.3425768235631598E-3</v>
      </c>
      <c r="M68" s="14">
        <f si="7" t="shared"/>
        <v>1.0958206528582546E-3</v>
      </c>
      <c r="N68" s="14">
        <f si="7" t="shared"/>
        <v>5.3390303016657356E-3</v>
      </c>
      <c r="O68" s="14">
        <f si="7" t="shared"/>
        <v>1.3600784972988421E-3</v>
      </c>
      <c r="P68" s="14">
        <f si="7" t="shared"/>
        <v>1.4086289717590605E-3</v>
      </c>
      <c r="Q68" s="14">
        <f si="7" t="shared"/>
        <v>1.93132082577692E-3</v>
      </c>
      <c r="R68" s="14">
        <f si="7" t="shared"/>
        <v>9.6661088753686108E-4</v>
      </c>
      <c r="S68" s="15">
        <f si="7" t="shared"/>
        <v>2.174169480517768E-3</v>
      </c>
    </row>
    <row r="69" spans="1:19" x14ac:dyDescent="0.25">
      <c r="A69" s="9">
        <v>0.14583333333333334</v>
      </c>
      <c r="B69" s="15">
        <f si="6" t="shared"/>
        <v>8.2065714779236392E-3</v>
      </c>
      <c r="C69" s="15">
        <f si="6" t="shared"/>
        <v>1.0997980725417327E-3</v>
      </c>
      <c r="D69" s="15">
        <f si="6" t="shared"/>
        <v>1.1770042867570451E-3</v>
      </c>
      <c r="E69" s="15">
        <f si="6" t="shared"/>
        <v>7.8416982667291017E-4</v>
      </c>
      <c r="F69" s="15">
        <f si="6" t="shared"/>
        <v>4.0411620225947793E-4</v>
      </c>
      <c r="G69" s="15">
        <f si="6" t="shared"/>
        <v>1.651655185923463E-3</v>
      </c>
      <c r="H69" s="15">
        <f si="6" t="shared"/>
        <v>2.0421663996484387E-3</v>
      </c>
      <c r="I69" s="15">
        <f si="6" t="shared"/>
        <v>2.7231375375274367E-3</v>
      </c>
      <c r="K69" s="9">
        <v>0.14583333333333334</v>
      </c>
      <c r="L69" s="14">
        <f si="7" t="shared"/>
        <v>4.7068190369991859E-3</v>
      </c>
      <c r="M69" s="14">
        <f si="7" t="shared"/>
        <v>2.7518721745433809E-3</v>
      </c>
      <c r="N69" s="14">
        <f si="7" t="shared"/>
        <v>8.7934790753270414E-3</v>
      </c>
      <c r="O69" s="14">
        <f si="7" t="shared"/>
        <v>2.5040511392018425E-3</v>
      </c>
      <c r="P69" s="14">
        <f si="7" t="shared"/>
        <v>2.0664419631545253E-3</v>
      </c>
      <c r="Q69" s="14">
        <f si="7" t="shared"/>
        <v>3.1765996663135334E-3</v>
      </c>
      <c r="R69" s="14">
        <f si="7" t="shared"/>
        <v>2.0495965721618174E-3</v>
      </c>
      <c r="S69" s="15">
        <f si="7" t="shared"/>
        <v>3.9492734645112061E-3</v>
      </c>
    </row>
    <row r="70" spans="1:19" x14ac:dyDescent="0.25">
      <c r="A70" s="9">
        <v>0.16666666666666666</v>
      </c>
      <c r="B70" s="15">
        <f si="6" t="shared"/>
        <v>1.4407542834300379E-2</v>
      </c>
      <c r="C70" s="15">
        <f si="6" t="shared"/>
        <v>3.1155836102393182E-3</v>
      </c>
      <c r="D70" s="15">
        <f si="6" t="shared"/>
        <v>2.2063774608559058E-3</v>
      </c>
      <c r="E70" s="15">
        <f si="6" t="shared"/>
        <v>1.3176218964176356E-3</v>
      </c>
      <c r="F70" s="15">
        <f si="6" t="shared"/>
        <v>5.3623443285385976E-4</v>
      </c>
      <c r="G70" s="15">
        <f si="6" t="shared"/>
        <v>2.4010807797404648E-3</v>
      </c>
      <c r="H70" s="15">
        <f si="6" t="shared"/>
        <v>3.4059247116928213E-3</v>
      </c>
      <c r="I70" s="15">
        <f si="6" t="shared"/>
        <v>4.7806068328426418E-3</v>
      </c>
      <c r="K70" s="9">
        <v>0.16666666666666666</v>
      </c>
      <c r="L70" s="14">
        <f si="7" t="shared"/>
        <v>8.6560902772827714E-3</v>
      </c>
      <c r="M70" s="14">
        <f si="7" t="shared"/>
        <v>5.9026674299357635E-3</v>
      </c>
      <c r="N70" s="14">
        <f si="7" t="shared"/>
        <v>1.2637269186337986E-2</v>
      </c>
      <c r="O70" s="14">
        <f si="7" t="shared"/>
        <v>4.023030758594886E-3</v>
      </c>
      <c r="P70" s="14">
        <f si="7" t="shared"/>
        <v>2.9651277443605239E-3</v>
      </c>
      <c r="Q70" s="14">
        <f si="7" t="shared"/>
        <v>4.679716633388435E-3</v>
      </c>
      <c r="R70" s="14">
        <f si="7" t="shared"/>
        <v>3.5688498312281725E-3</v>
      </c>
      <c r="S70" s="15">
        <f si="7" t="shared"/>
        <v>6.4477381597461154E-3</v>
      </c>
    </row>
    <row r="71" spans="1:19" x14ac:dyDescent="0.25">
      <c r="A71" s="9">
        <v>0.1875</v>
      </c>
      <c r="B71" s="15">
        <f si="6" t="shared"/>
        <v>2.2815715435384371E-2</v>
      </c>
      <c r="C71" s="15">
        <f si="6" t="shared"/>
        <v>8.1207577156460192E-3</v>
      </c>
      <c r="D71" s="15">
        <f si="6" t="shared"/>
        <v>4.1888307698184175E-3</v>
      </c>
      <c r="E71" s="15">
        <f si="6" t="shared"/>
        <v>2.1224838885445384E-3</v>
      </c>
      <c r="F71" s="15">
        <f si="6" t="shared"/>
        <v>6.9524932640393166E-4</v>
      </c>
      <c r="G71" s="15">
        <f si="6" t="shared"/>
        <v>3.4782448993026195E-3</v>
      </c>
      <c r="H71" s="15">
        <f si="6" t="shared"/>
        <v>4.9928570024255457E-3</v>
      </c>
      <c r="I71" s="15">
        <f si="6" t="shared"/>
        <v>7.7879439470376396E-3</v>
      </c>
      <c r="K71" s="9">
        <v>0.1875</v>
      </c>
      <c r="L71" s="14">
        <f si="7" t="shared"/>
        <v>1.4975371482771728E-2</v>
      </c>
      <c r="M71" s="14">
        <f si="7" t="shared"/>
        <v>1.1843384115420248E-2</v>
      </c>
      <c r="N71" s="14">
        <f si="7" t="shared"/>
        <v>1.7347469052001019E-2</v>
      </c>
      <c r="O71" s="14">
        <f si="7" t="shared"/>
        <v>6.2269518392326952E-3</v>
      </c>
      <c r="P71" s="14">
        <f si="7" t="shared"/>
        <v>4.3355115985802863E-3</v>
      </c>
      <c r="Q71" s="14">
        <f si="7" t="shared"/>
        <v>6.6314257133549869E-3</v>
      </c>
      <c r="R71" s="14">
        <f si="7" t="shared"/>
        <v>5.8243770475215123E-3</v>
      </c>
      <c r="S71" s="15">
        <f si="7" t="shared"/>
        <v>1.0171373167217041E-2</v>
      </c>
    </row>
    <row r="72" spans="1:19" x14ac:dyDescent="0.25">
      <c r="A72" s="9">
        <v>0.20833333333333334</v>
      </c>
      <c r="B72" s="15">
        <f si="6" t="shared"/>
        <v>3.345529666258721E-2</v>
      </c>
      <c r="C72" s="15">
        <f si="6" t="shared"/>
        <v>1.8244862252652858E-2</v>
      </c>
      <c r="D72" s="15">
        <f si="6" t="shared"/>
        <v>7.8908647645966959E-3</v>
      </c>
      <c r="E72" s="15">
        <f si="6" t="shared"/>
        <v>3.4059099755943878E-3</v>
      </c>
      <c r="F72" s="15">
        <f si="6" t="shared"/>
        <v>1.0183044465109227E-3</v>
      </c>
      <c r="G72" s="15">
        <f si="6" t="shared"/>
        <v>4.8264458124375508E-3</v>
      </c>
      <c r="H72" s="15">
        <f si="6" t="shared"/>
        <v>6.7094569827924793E-3</v>
      </c>
      <c r="I72" s="15">
        <f si="6" t="shared"/>
        <v>1.2044415790072654E-2</v>
      </c>
      <c r="K72" s="9">
        <v>0.20833333333333334</v>
      </c>
      <c r="L72" s="14">
        <f si="7" t="shared"/>
        <v>2.3992407687564023E-2</v>
      </c>
      <c r="M72" s="14">
        <f si="7" t="shared"/>
        <v>2.1858544964235595E-2</v>
      </c>
      <c r="N72" s="14">
        <f si="7" t="shared"/>
        <v>2.3192919298047246E-2</v>
      </c>
      <c r="O72" s="14">
        <f si="7" t="shared"/>
        <v>9.3787144074210151E-3</v>
      </c>
      <c r="P72" s="14">
        <f si="7" t="shared"/>
        <v>6.4014424272873576E-3</v>
      </c>
      <c r="Q72" s="14">
        <f si="7" t="shared"/>
        <v>9.1564120649311395E-3</v>
      </c>
      <c r="R72" s="14">
        <f si="7" t="shared"/>
        <v>9.0496826524468638E-3</v>
      </c>
      <c r="S72" s="15">
        <f si="7" t="shared"/>
        <v>1.5459453574995483E-2</v>
      </c>
    </row>
    <row r="73" spans="1:19" x14ac:dyDescent="0.25">
      <c r="A73" s="9">
        <v>0.22916666666666666</v>
      </c>
      <c r="B73" s="15">
        <f si="6" t="shared"/>
        <v>4.5648928070732529E-2</v>
      </c>
      <c r="C73" s="15">
        <f si="6" t="shared"/>
        <v>3.5092812947673808E-2</v>
      </c>
      <c r="D73" s="15">
        <f si="6" t="shared"/>
        <v>1.4031512963492844E-2</v>
      </c>
      <c r="E73" s="15">
        <f si="6" t="shared"/>
        <v>5.3857805269964219E-3</v>
      </c>
      <c r="F73" s="15">
        <f si="6" t="shared"/>
        <v>1.6741829285143017E-3</v>
      </c>
      <c r="G73" s="15">
        <f si="6" t="shared"/>
        <v>6.37921948890277E-3</v>
      </c>
      <c r="H73" s="15">
        <f si="6" t="shared"/>
        <v>8.5123671496299073E-3</v>
      </c>
      <c r="I73" s="15">
        <f si="6" t="shared"/>
        <v>1.7659044545217467E-2</v>
      </c>
      <c r="K73" s="9">
        <v>0.22916666666666666</v>
      </c>
      <c r="L73" s="14">
        <f si="7" t="shared"/>
        <v>3.5118924243122664E-2</v>
      </c>
      <c r="M73" s="14">
        <f si="7" t="shared"/>
        <v>3.6292094967928797E-2</v>
      </c>
      <c r="N73" s="14">
        <f si="7" t="shared"/>
        <v>2.9848614684569487E-2</v>
      </c>
      <c r="O73" s="14">
        <f si="7" t="shared"/>
        <v>1.3518310284400059E-2</v>
      </c>
      <c r="P73" s="14">
        <f si="7" t="shared"/>
        <v>9.2525548906630256E-3</v>
      </c>
      <c r="Q73" s="14">
        <f si="7" t="shared"/>
        <v>1.2207108645101817E-2</v>
      </c>
      <c r="R73" s="14">
        <f si="7" t="shared"/>
        <v>1.3242466392367203E-2</v>
      </c>
      <c r="S73" s="15">
        <f si="7" t="shared"/>
        <v>2.2168234663965371E-2</v>
      </c>
    </row>
    <row r="74" spans="1:19" x14ac:dyDescent="0.25">
      <c r="A74" s="9">
        <v>0.25</v>
      </c>
      <c r="B74" s="15">
        <f si="6" t="shared"/>
        <v>5.7897996469034443E-2</v>
      </c>
      <c r="C74" s="15">
        <f si="6" t="shared"/>
        <v>5.8146317190847077E-2</v>
      </c>
      <c r="D74" s="15">
        <f si="6" t="shared"/>
        <v>2.2755752076655734E-2</v>
      </c>
      <c r="E74" s="15">
        <f si="6" t="shared"/>
        <v>8.2227888001676769E-3</v>
      </c>
      <c r="F74" s="15">
        <f si="6" t="shared"/>
        <v>2.8283816639346985E-3</v>
      </c>
      <c r="G74" s="15">
        <f si="6" t="shared"/>
        <v>8.1071308446452606E-3</v>
      </c>
      <c r="H74" s="15">
        <f si="6" t="shared"/>
        <v>1.0469250952373423E-2</v>
      </c>
      <c r="I74" s="15">
        <f si="6" t="shared"/>
        <v>2.4334609114391843E-2</v>
      </c>
      <c r="K74" s="9">
        <v>0.25</v>
      </c>
      <c r="L74" s="14">
        <f si="7" t="shared"/>
        <v>4.6700439817250625E-2</v>
      </c>
      <c r="M74" s="14">
        <f si="7" t="shared"/>
        <v>5.3595427563100359E-2</v>
      </c>
      <c r="N74" s="14">
        <f si="7" t="shared"/>
        <v>3.6340388381290008E-2</v>
      </c>
      <c r="O74" s="14">
        <f si="7" t="shared"/>
        <v>1.8347287694692429E-2</v>
      </c>
      <c r="P74" s="14">
        <f si="7" t="shared"/>
        <v>1.2744927689524529E-2</v>
      </c>
      <c r="Q74" s="14">
        <f si="7" t="shared"/>
        <v>1.5529598152858553E-2</v>
      </c>
      <c r="R74" s="14">
        <f si="7" t="shared"/>
        <v>1.8048768895069581E-2</v>
      </c>
      <c r="S74" s="15">
        <f si="7" t="shared"/>
        <v>2.9500177056488879E-2</v>
      </c>
    </row>
    <row r="75" spans="1:19" x14ac:dyDescent="0.25">
      <c r="A75" s="9">
        <v>0.27083333333333331</v>
      </c>
      <c r="B75" s="15">
        <f si="6" t="shared"/>
        <v>6.806992936848108E-2</v>
      </c>
      <c r="C75" s="15">
        <f si="6" t="shared"/>
        <v>8.3663669723063577E-2</v>
      </c>
      <c r="D75" s="15">
        <f si="6" t="shared"/>
        <v>3.3116864396657085E-2</v>
      </c>
      <c r="E75" s="15">
        <f si="6" t="shared"/>
        <v>1.1963007415974143E-2</v>
      </c>
      <c r="F75" s="15">
        <f si="6" t="shared"/>
        <v>4.6279429937231414E-3</v>
      </c>
      <c r="G75" s="15">
        <f si="6" t="shared"/>
        <v>1.0008216917157793E-2</v>
      </c>
      <c r="H75" s="15">
        <f si="6" t="shared"/>
        <v>1.2719652870459059E-2</v>
      </c>
      <c r="I75" s="15">
        <f si="6" t="shared"/>
        <v>3.124639586484888E-2</v>
      </c>
      <c r="K75" s="9">
        <v>0.27083333333333331</v>
      </c>
      <c r="L75" s="14">
        <f si="7" t="shared"/>
        <v>5.6424950164061273E-2</v>
      </c>
      <c r="M75" s="14">
        <f si="7" t="shared"/>
        <v>7.0267877334689144E-2</v>
      </c>
      <c r="N75" s="14">
        <f si="7" t="shared"/>
        <v>4.1418330523232016E-2</v>
      </c>
      <c r="O75" s="14">
        <f si="7" t="shared"/>
        <v>2.3268370087883166E-2</v>
      </c>
      <c r="P75" s="14">
        <f si="7" t="shared"/>
        <v>1.6502675513428159E-2</v>
      </c>
      <c r="Q75" s="14">
        <f si="7" t="shared"/>
        <v>1.8734862148550708E-2</v>
      </c>
      <c r="R75" s="14">
        <f si="7" t="shared"/>
        <v>2.2806692235601261E-2</v>
      </c>
      <c r="S75" s="15">
        <f si="7" t="shared"/>
        <v>3.6171438051278183E-2</v>
      </c>
    </row>
    <row r="76" spans="1:19" x14ac:dyDescent="0.25">
      <c r="A76" s="9">
        <v>0.29166666666666669</v>
      </c>
      <c r="B76" s="15">
        <f si="6" t="shared"/>
        <v>7.4025393284719299E-2</v>
      </c>
      <c r="C76" s="15">
        <f si="6" t="shared"/>
        <v>0.10528745246134105</v>
      </c>
      <c r="D76" s="15">
        <f si="6" t="shared"/>
        <v>4.2996291344843049E-2</v>
      </c>
      <c r="E76" s="15">
        <f si="6" t="shared"/>
        <v>1.6513794412317737E-2</v>
      </c>
      <c r="F76" s="15">
        <f si="6" t="shared"/>
        <v>7.213668969888236E-3</v>
      </c>
      <c r="G76" s="15">
        <f si="6" t="shared"/>
        <v>1.2058304691257415E-2</v>
      </c>
      <c r="H76" s="15">
        <f si="6" t="shared"/>
        <v>1.5364067102576533E-2</v>
      </c>
      <c r="I76" s="15">
        <f si="6" t="shared"/>
        <v>3.7199336432529061E-2</v>
      </c>
      <c r="K76" s="9">
        <v>0.29166666666666669</v>
      </c>
      <c r="L76" s="14">
        <f si="7" t="shared"/>
        <v>6.2195015629442484E-2</v>
      </c>
      <c r="M76" s="14">
        <f si="7" t="shared"/>
        <v>8.2174124522801886E-2</v>
      </c>
      <c r="N76" s="14">
        <f si="7" t="shared"/>
        <v>4.4145515437836576E-2</v>
      </c>
      <c r="O76" s="14">
        <f si="7" t="shared"/>
        <v>2.760841094829615E-2</v>
      </c>
      <c r="P76" s="14">
        <f si="7" t="shared"/>
        <v>2.00547454811391E-2</v>
      </c>
      <c r="Q76" s="14">
        <f si="7" t="shared"/>
        <v>2.1461470869946153E-2</v>
      </c>
      <c r="R76" s="14">
        <f si="7" t="shared"/>
        <v>2.6780139599208299E-2</v>
      </c>
      <c r="S76" s="15">
        <f si="7" t="shared"/>
        <v>4.0912027971920659E-2</v>
      </c>
    </row>
    <row r="77" spans="1:19" x14ac:dyDescent="0.25">
      <c r="A77" s="9">
        <v>0.3125</v>
      </c>
      <c r="B77" s="15">
        <f si="6" t="shared"/>
        <v>7.449850611351648E-2</v>
      </c>
      <c r="C77" s="15">
        <f si="6" t="shared"/>
        <v>0.11655865622877651</v>
      </c>
      <c r="D77" s="15">
        <f si="6" t="shared"/>
        <v>4.9743288951478566E-2</v>
      </c>
      <c r="E77" s="15">
        <f si="6" t="shared"/>
        <v>2.1644406050972016E-2</v>
      </c>
      <c r="F77" s="15">
        <f si="6" t="shared"/>
        <v>1.0730974899654614E-2</v>
      </c>
      <c r="G77" s="15">
        <f si="6" t="shared"/>
        <v>1.4187491861710613E-2</v>
      </c>
      <c r="H77" s="15">
        <f si="6" t="shared"/>
        <v>1.8362545619528603E-2</v>
      </c>
      <c r="I77" s="15">
        <f si="6" t="shared"/>
        <v>4.107986727066229E-2</v>
      </c>
      <c r="K77" s="9">
        <v>0.3125</v>
      </c>
      <c r="L77" s="14">
        <f si="7" t="shared"/>
        <v>6.302131937837091E-2</v>
      </c>
      <c r="M77" s="14">
        <f si="7" t="shared"/>
        <v>8.6552090103971663E-2</v>
      </c>
      <c r="N77" s="14">
        <f si="7" t="shared"/>
        <v>4.4345644071055942E-2</v>
      </c>
      <c r="O77" s="14">
        <f si="7" t="shared"/>
        <v>3.094055207615266E-2</v>
      </c>
      <c r="P77" s="14">
        <f si="7" t="shared"/>
        <v>2.305855779501282E-2</v>
      </c>
      <c r="Q77" s="14">
        <f si="7" t="shared"/>
        <v>2.3571202795691405E-2</v>
      </c>
      <c r="R77" s="14">
        <f si="7" t="shared"/>
        <v>2.9485238533517959E-2</v>
      </c>
      <c r="S77" s="15">
        <f si="7" t="shared"/>
        <v>4.3047382930319247E-2</v>
      </c>
    </row>
    <row r="78" spans="1:19" x14ac:dyDescent="0.25">
      <c r="A78" s="9">
        <v>0.33333333333333331</v>
      </c>
      <c r="B78" s="15">
        <f si="6" t="shared"/>
        <v>6.9719798304002947E-2</v>
      </c>
      <c r="C78" s="15">
        <f si="6" t="shared"/>
        <v>0.11403724208853364</v>
      </c>
      <c r="D78" s="15">
        <f si="6" t="shared"/>
        <v>5.1347189974824667E-2</v>
      </c>
      <c r="E78" s="15">
        <f si="6" t="shared"/>
        <v>2.699187876519582E-2</v>
      </c>
      <c r="F78" s="15">
        <f si="6" t="shared"/>
        <v>1.5277809395118616E-2</v>
      </c>
      <c r="G78" s="15">
        <f si="6" t="shared"/>
        <v>1.6339359827025557E-2</v>
      </c>
      <c r="H78" s="15">
        <f si="6" t="shared"/>
        <v>2.1506669823981542E-2</v>
      </c>
      <c r="I78" s="15">
        <f si="6" t="shared"/>
        <v>4.2364555328257343E-2</v>
      </c>
      <c r="K78" s="9">
        <v>0.33333333333333331</v>
      </c>
      <c r="L78" s="14">
        <f si="7" t="shared"/>
        <v>5.9429853782286185E-2</v>
      </c>
      <c r="M78" s="14">
        <f si="7" t="shared"/>
        <v>8.3275227523149295E-2</v>
      </c>
      <c r="N78" s="14">
        <f si="7" t="shared"/>
        <v>4.2646757763855382E-2</v>
      </c>
      <c r="O78" s="14">
        <f si="7" t="shared"/>
        <v>3.3305106896459116E-2</v>
      </c>
      <c r="P78" s="14">
        <f si="7" t="shared"/>
        <v>2.5471421369654544E-2</v>
      </c>
      <c r="Q78" s="14">
        <f si="7" t="shared"/>
        <v>2.5263016532808925E-2</v>
      </c>
      <c r="R78" s="14">
        <f si="7" t="shared"/>
        <v>3.0912004711103686E-2</v>
      </c>
      <c r="S78" s="15">
        <f si="7" t="shared"/>
        <v>4.280011687907067E-2</v>
      </c>
    </row>
    <row r="79" spans="1:19" x14ac:dyDescent="0.25">
      <c r="A79" s="9">
        <v>0.35416666666666669</v>
      </c>
      <c r="B79" s="15">
        <f si="6" t="shared"/>
        <v>6.1334637269144801E-2</v>
      </c>
      <c r="C79" s="15">
        <f si="6" t="shared"/>
        <v>9.9050349497902118E-2</v>
      </c>
      <c r="D79" s="15">
        <f si="6" t="shared"/>
        <v>4.7488330075664206E-2</v>
      </c>
      <c r="E79" s="15">
        <f si="6" t="shared"/>
        <v>3.2087688027370061E-2</v>
      </c>
      <c r="F79" s="15">
        <f si="6" t="shared"/>
        <v>2.0759936301253414E-2</v>
      </c>
      <c r="G79" s="15">
        <f si="6" t="shared"/>
        <v>1.8602135536195972E-2</v>
      </c>
      <c r="H79" s="15">
        <f si="6" t="shared"/>
        <v>2.4471543306939163E-2</v>
      </c>
      <c r="I79" s="15">
        <f si="6" t="shared"/>
        <v>4.1353407238844238E-2</v>
      </c>
      <c r="K79" s="9">
        <v>0.35416666666666669</v>
      </c>
      <c r="L79" s="14">
        <f si="7" t="shared"/>
        <v>5.3160725666183566E-2</v>
      </c>
      <c r="M79" s="14">
        <f si="7" t="shared"/>
        <v>7.4518652744695504E-2</v>
      </c>
      <c r="N79" s="14">
        <f si="7" t="shared"/>
        <v>4.0099814305295793E-2</v>
      </c>
      <c r="O79" s="14">
        <f si="7" t="shared"/>
        <v>3.5126693335000056E-2</v>
      </c>
      <c r="P79" s="14">
        <f si="7" t="shared"/>
        <v>2.7524383221263101E-2</v>
      </c>
      <c r="Q79" s="14">
        <f si="7" t="shared"/>
        <v>2.6980064525821312E-2</v>
      </c>
      <c r="R79" s="14">
        <f si="7" t="shared"/>
        <v>3.1472803906200247E-2</v>
      </c>
      <c r="S79" s="15">
        <f si="7" t="shared"/>
        <v>4.1101642248982842E-2</v>
      </c>
    </row>
    <row r="80" spans="1:19" x14ac:dyDescent="0.25">
      <c r="A80" s="9">
        <v>0.375</v>
      </c>
      <c r="B80" s="15">
        <f si="6" t="shared"/>
        <v>5.1657550529190674E-2</v>
      </c>
      <c r="C80" s="15">
        <f si="6" t="shared"/>
        <v>7.6910180710822451E-2</v>
      </c>
      <c r="D80" s="15">
        <f si="6" t="shared"/>
        <v>3.9770068599181363E-2</v>
      </c>
      <c r="E80" s="15">
        <f si="6" t="shared"/>
        <v>3.6444547337413424E-2</v>
      </c>
      <c r="F80" s="15">
        <f si="6" t="shared"/>
        <v>2.6739243026894649E-2</v>
      </c>
      <c r="G80" s="15">
        <f si="6" t="shared"/>
        <v>2.1326245866011846E-2</v>
      </c>
      <c r="H80" s="15">
        <f si="6" t="shared"/>
        <v>2.6912606184558176E-2</v>
      </c>
      <c r="I80" s="15">
        <f si="6" t="shared"/>
        <v>3.8977676922374555E-2</v>
      </c>
      <c r="K80" s="9">
        <v>0.375</v>
      </c>
      <c r="L80" s="14">
        <f si="7" t="shared"/>
        <v>4.6359920938914355E-2</v>
      </c>
      <c r="M80" s="14">
        <f si="7" t="shared"/>
        <v>6.3313088470216786E-2</v>
      </c>
      <c r="N80" s="14">
        <f si="7" t="shared"/>
        <v>3.7606027984785677E-2</v>
      </c>
      <c r="O80" s="14">
        <f si="7" t="shared"/>
        <v>3.6833047890523815E-2</v>
      </c>
      <c r="P80" s="14">
        <f si="7" t="shared"/>
        <v>2.9492289710056706E-2</v>
      </c>
      <c r="Q80" s="14">
        <f si="7" t="shared"/>
        <v>2.9109420707273688E-2</v>
      </c>
      <c r="R80" s="14">
        <f si="7" t="shared"/>
        <v>3.1695704329162286E-2</v>
      </c>
      <c r="S80" s="15">
        <f si="7" t="shared"/>
        <v>3.9036922746235159E-2</v>
      </c>
    </row>
    <row r="81" spans="1:19" x14ac:dyDescent="0.25">
      <c r="A81" s="9">
        <v>0.39583333333333331</v>
      </c>
      <c r="B81" s="15">
        <f si="6" t="shared"/>
        <v>4.27678014673862E-2</v>
      </c>
      <c r="C81" s="15">
        <f si="6" t="shared"/>
        <v>5.4168234273399909E-2</v>
      </c>
      <c r="D81" s="15">
        <f si="6" t="shared"/>
        <v>3.0931313300803228E-2</v>
      </c>
      <c r="E81" s="15">
        <f si="6" t="shared"/>
        <v>3.9692123192444008E-2</v>
      </c>
      <c r="F81" s="15">
        <f si="6" t="shared"/>
        <v>3.2453354384230727E-2</v>
      </c>
      <c r="G81" s="15">
        <f si="6" t="shared"/>
        <v>2.5093639934183828E-2</v>
      </c>
      <c r="H81" s="15">
        <f si="6" t="shared"/>
        <v>2.8564718746201017E-2</v>
      </c>
      <c r="I81" s="15">
        <f si="6" t="shared"/>
        <v>3.6331394128149549E-2</v>
      </c>
      <c r="K81" s="9">
        <v>0.39583333333333331</v>
      </c>
      <c r="L81" s="14">
        <f si="7" t="shared"/>
        <v>4.0725592218869545E-2</v>
      </c>
      <c r="M81" s="14">
        <f si="7" t="shared"/>
        <v>5.2164675975367357E-2</v>
      </c>
      <c r="N81" s="14">
        <f si="7" t="shared"/>
        <v>3.5516093227287465E-2</v>
      </c>
      <c r="O81" s="14">
        <f si="7" t="shared"/>
        <v>3.8474484616651317E-2</v>
      </c>
      <c r="P81" s="14">
        <f si="7" t="shared"/>
        <v>3.1444560999375044E-2</v>
      </c>
      <c r="Q81" s="14">
        <f si="7" t="shared"/>
        <v>3.1677938024221503E-2</v>
      </c>
      <c r="R81" s="14">
        <f si="7" t="shared"/>
        <v>3.1896543921150149E-2</v>
      </c>
      <c r="S81" s="15">
        <f si="7" t="shared"/>
        <v>3.730621343611551E-2</v>
      </c>
    </row>
    <row r="82" spans="1:19" x14ac:dyDescent="0.25">
      <c r="A82" s="9">
        <v>0.41666666666666669</v>
      </c>
      <c r="B82" s="15">
        <f si="6" t="shared"/>
        <v>3.5957533300063384E-2</v>
      </c>
      <c r="C82" s="15">
        <f si="6" t="shared"/>
        <v>3.5730699978346499E-2</v>
      </c>
      <c r="D82" s="15">
        <f si="6" t="shared"/>
        <v>2.3526888141414987E-2</v>
      </c>
      <c r="E82" s="15">
        <f si="6" t="shared"/>
        <v>4.1682457066026912E-2</v>
      </c>
      <c r="F82" s="15">
        <f si="6" t="shared"/>
        <v>3.7099898650406804E-2</v>
      </c>
      <c r="G82" s="15">
        <f si="6" t="shared"/>
        <v>3.0413837244598663E-2</v>
      </c>
      <c r="H82" s="15">
        <f si="6" t="shared"/>
        <v>2.9310992717301164E-2</v>
      </c>
      <c r="I82" s="15">
        <f si="6" t="shared"/>
        <v>3.4228789466652469E-2</v>
      </c>
      <c r="K82" s="9">
        <v>0.41666666666666669</v>
      </c>
      <c r="L82" s="14">
        <f si="7" t="shared"/>
        <v>3.702492636667537E-2</v>
      </c>
      <c r="M82" s="14">
        <f si="7" t="shared"/>
        <v>4.2480036473441146E-2</v>
      </c>
      <c r="N82" s="14">
        <f si="7" t="shared"/>
        <v>3.3651877779921395E-2</v>
      </c>
      <c r="O82" s="14">
        <f si="7" t="shared"/>
        <v>3.9701076972978297E-2</v>
      </c>
      <c r="P82" s="14">
        <f si="7" t="shared"/>
        <v>3.3198083080671521E-2</v>
      </c>
      <c r="Q82" s="14">
        <f si="7" t="shared"/>
        <v>3.4300863763214139E-2</v>
      </c>
      <c r="R82" s="14">
        <f si="7" t="shared"/>
        <v>3.2093210408631577E-2</v>
      </c>
      <c r="S82" s="15">
        <f si="7" t="shared"/>
        <v>3.6049902697672297E-2</v>
      </c>
    </row>
    <row r="83" spans="1:19" x14ac:dyDescent="0.25">
      <c r="A83" s="9">
        <v>0.4375</v>
      </c>
      <c r="B83" s="15">
        <f si="6" t="shared"/>
        <v>3.1657227293477364E-2</v>
      </c>
      <c r="C83" s="15">
        <f si="6" t="shared"/>
        <v>2.3477458240531386E-2</v>
      </c>
      <c r="D83" s="15">
        <f si="6" t="shared"/>
        <v>1.8900338830386491E-2</v>
      </c>
      <c r="E83" s="15">
        <f si="6" t="shared"/>
        <v>4.2509031907989984E-2</v>
      </c>
      <c r="F83" s="15">
        <f si="6" t="shared"/>
        <v>4.0231348858512234E-2</v>
      </c>
      <c r="G83" s="15">
        <f si="6" t="shared"/>
        <v>3.7181982238564677E-2</v>
      </c>
      <c r="H83" s="15">
        <f si="6" t="shared"/>
        <v>2.9203851393295982E-2</v>
      </c>
      <c r="I83" s="15">
        <f si="6" t="shared"/>
        <v>3.2999873912534249E-2</v>
      </c>
      <c r="K83" s="9">
        <v>0.4375</v>
      </c>
      <c r="L83" s="14">
        <f si="7" t="shared"/>
        <v>3.512320575516123E-2</v>
      </c>
      <c r="M83" s="14">
        <f si="7" t="shared"/>
        <v>3.471467429032199E-2</v>
      </c>
      <c r="N83" s="14">
        <f si="7" t="shared"/>
        <v>3.168254566090821E-2</v>
      </c>
      <c r="O83" s="14">
        <f si="7" t="shared"/>
        <v>4.0134550580046585E-2</v>
      </c>
      <c r="P83" s="14">
        <f si="7" t="shared"/>
        <v>3.45038401770884E-2</v>
      </c>
      <c r="Q83" s="14">
        <f si="7" t="shared"/>
        <v>3.6427894975772132E-2</v>
      </c>
      <c r="R83" s="14">
        <f si="7" t="shared"/>
        <v>3.2202036702581455E-2</v>
      </c>
      <c r="S83" s="15">
        <f si="7" t="shared"/>
        <v>3.5071133451189097E-2</v>
      </c>
    </row>
    <row r="84" spans="1:19" x14ac:dyDescent="0.25">
      <c r="A84" s="9">
        <v>0.45833333333333331</v>
      </c>
      <c r="B84" s="15">
        <f ref="B84:I99" si="8" t="shared">B27/B$61</f>
        <v>2.9620475809597979E-2</v>
      </c>
      <c r="C84" s="15">
        <f si="8" t="shared"/>
        <v>1.6706519650812244E-2</v>
      </c>
      <c r="D84" s="15">
        <f si="8" t="shared"/>
        <v>1.7009839097633123E-2</v>
      </c>
      <c r="E84" s="15">
        <f si="8" t="shared"/>
        <v>4.2466440377216211E-2</v>
      </c>
      <c r="F84" s="15">
        <f si="8" t="shared"/>
        <v>4.1949908218875703E-2</v>
      </c>
      <c r="G84" s="15">
        <f si="8" t="shared"/>
        <v>4.4253072714488195E-2</v>
      </c>
      <c r="H84" s="15">
        <f si="8" t="shared"/>
        <v>2.8443186075893072E-2</v>
      </c>
      <c r="I84" s="15">
        <f si="8" t="shared"/>
        <v>3.2539524013102915E-2</v>
      </c>
      <c r="K84" s="9">
        <v>0.45833333333333331</v>
      </c>
      <c r="L84" s="14">
        <f ref="L84:S99" si="9" t="shared">L27/L$61</f>
        <v>3.4363614968139826E-2</v>
      </c>
      <c r="M84" s="14">
        <f si="9" t="shared"/>
        <v>2.8783738409683766E-2</v>
      </c>
      <c r="N84" s="14">
        <f si="9" t="shared"/>
        <v>2.951584912678084E-2</v>
      </c>
      <c r="O84" s="14">
        <f si="9" t="shared"/>
        <v>3.9776797395763785E-2</v>
      </c>
      <c r="P84" s="14">
        <f si="9" t="shared"/>
        <v>3.5277922757586545E-2</v>
      </c>
      <c r="Q84" s="14">
        <f si="9" t="shared"/>
        <v>3.7668333559820313E-2</v>
      </c>
      <c r="R84" s="14">
        <f si="9" t="shared"/>
        <v>3.2288920400793342E-2</v>
      </c>
      <c r="S84" s="15">
        <f si="9" t="shared"/>
        <v>3.4184981777678952E-2</v>
      </c>
    </row>
    <row r="85" spans="1:19" x14ac:dyDescent="0.25">
      <c r="A85" s="9">
        <v>0.47916666666666669</v>
      </c>
      <c r="B85" s="15">
        <f si="8" t="shared"/>
        <v>2.9139057060037429E-2</v>
      </c>
      <c r="C85" s="15">
        <f si="8" t="shared"/>
        <v>1.3521765576474687E-2</v>
      </c>
      <c r="D85" s="15">
        <f si="8" t="shared"/>
        <v>1.7052148363302683E-2</v>
      </c>
      <c r="E85" s="15">
        <f si="8" t="shared"/>
        <v>4.1988250760789769E-2</v>
      </c>
      <c r="F85" s="15">
        <f si="8" t="shared"/>
        <v>4.274262671075435E-2</v>
      </c>
      <c r="G85" s="15">
        <f si="8" t="shared"/>
        <v>4.9653909403942979E-2</v>
      </c>
      <c r="H85" s="15">
        <f si="8" t="shared"/>
        <v>2.7337494089026478E-2</v>
      </c>
      <c r="I85" s="15">
        <f si="8" t="shared"/>
        <v>3.2504866587743445E-2</v>
      </c>
      <c r="K85" s="9">
        <v>0.47916666666666669</v>
      </c>
      <c r="L85" s="14">
        <f si="9" t="shared"/>
        <v>3.3995745051077039E-2</v>
      </c>
      <c r="M85" s="14">
        <f si="9" t="shared"/>
        <v>2.4400433665539518E-2</v>
      </c>
      <c r="N85" s="14">
        <f si="9" t="shared"/>
        <v>2.7396677300094822E-2</v>
      </c>
      <c r="O85" s="14">
        <f si="9" t="shared"/>
        <v>3.9064291848409927E-2</v>
      </c>
      <c r="P85" s="14">
        <f si="9" t="shared"/>
        <v>3.5677683505852792E-2</v>
      </c>
      <c r="Q85" s="14">
        <f si="9" t="shared"/>
        <v>3.795506211765115E-2</v>
      </c>
      <c r="R85" s="14">
        <f si="9" t="shared"/>
        <v>3.2614621874059606E-2</v>
      </c>
      <c r="S85" s="15">
        <f si="9" t="shared"/>
        <v>3.3391393289465623E-2</v>
      </c>
    </row>
    <row r="86" spans="1:19" x14ac:dyDescent="0.25">
      <c r="A86" s="9">
        <v>0.5</v>
      </c>
      <c r="B86" s="15">
        <f si="8" t="shared"/>
        <v>2.925810899987134E-2</v>
      </c>
      <c r="C86" s="15">
        <f si="8" t="shared"/>
        <v>1.2090157866170004E-2</v>
      </c>
      <c r="D86" s="15">
        <f si="8" t="shared"/>
        <v>1.8339626967603582E-2</v>
      </c>
      <c r="E86" s="15">
        <f si="8" t="shared"/>
        <v>4.1541807211141209E-2</v>
      </c>
      <c r="F86" s="15">
        <f si="8" t="shared"/>
        <v>4.312375904781502E-2</v>
      </c>
      <c r="G86" s="15">
        <f si="8" t="shared"/>
        <v>5.1571926828746083E-2</v>
      </c>
      <c r="H86" s="15">
        <f si="8" t="shared"/>
        <v>2.6272403702802143E-2</v>
      </c>
      <c r="I86" s="15">
        <f si="8" t="shared"/>
        <v>3.2550274656282602E-2</v>
      </c>
      <c r="K86" s="9">
        <v>0.5</v>
      </c>
      <c r="L86" s="14">
        <f si="9" t="shared"/>
        <v>3.3435132968913435E-2</v>
      </c>
      <c r="M86" s="14">
        <f si="9" t="shared"/>
        <v>2.1256865923530439E-2</v>
      </c>
      <c r="N86" s="14">
        <f si="9" t="shared"/>
        <v>2.5699184467695754E-2</v>
      </c>
      <c r="O86" s="14">
        <f si="9" t="shared"/>
        <v>3.8540471038258139E-2</v>
      </c>
      <c r="P86" s="14">
        <f si="9" t="shared"/>
        <v>3.6007726283234849E-2</v>
      </c>
      <c r="Q86" s="14">
        <f si="9" t="shared"/>
        <v>3.7506987620041322E-2</v>
      </c>
      <c r="R86" s="14">
        <f si="9" t="shared"/>
        <v>3.344118850838302E-2</v>
      </c>
      <c r="S86" s="15">
        <f si="9" t="shared"/>
        <v>3.2799285620469278E-2</v>
      </c>
    </row>
    <row r="87" spans="1:19" x14ac:dyDescent="0.25">
      <c r="A87" s="9">
        <v>0.52083333333333337</v>
      </c>
      <c r="B87" s="15">
        <f si="8" t="shared"/>
        <v>2.9059617087388807E-2</v>
      </c>
      <c r="C87" s="15">
        <f si="8" t="shared"/>
        <v>1.1267198980752478E-2</v>
      </c>
      <c r="D87" s="15">
        <f si="8" t="shared"/>
        <v>2.0808188756862977E-2</v>
      </c>
      <c r="E87" s="15">
        <f si="8" t="shared"/>
        <v>4.1469542477941594E-2</v>
      </c>
      <c r="F87" s="15">
        <f si="8" t="shared"/>
        <v>4.3400219379164592E-2</v>
      </c>
      <c r="G87" s="15">
        <f si="8" t="shared"/>
        <v>4.9501073948405458E-2</v>
      </c>
      <c r="H87" s="15">
        <f si="8" t="shared"/>
        <v>2.568204134812652E-2</v>
      </c>
      <c r="I87" s="15">
        <f si="8" t="shared"/>
        <v>3.2512986761191916E-2</v>
      </c>
      <c r="K87" s="9">
        <v>0.52083333333333337</v>
      </c>
      <c r="L87" s="14">
        <f si="9" t="shared"/>
        <v>3.2334177236426336E-2</v>
      </c>
      <c r="M87" s="14">
        <f si="9" t="shared"/>
        <v>1.9093690962439111E-2</v>
      </c>
      <c r="N87" s="14">
        <f si="9" t="shared"/>
        <v>2.4656368354175871E-2</v>
      </c>
      <c r="O87" s="14">
        <f si="9" t="shared"/>
        <v>3.8476230260611678E-2</v>
      </c>
      <c r="P87" s="14">
        <f si="9" t="shared"/>
        <v>3.6585460876705209E-2</v>
      </c>
      <c r="Q87" s="14">
        <f si="9" t="shared"/>
        <v>3.6703000653557895E-2</v>
      </c>
      <c r="R87" s="14">
        <f si="9" t="shared"/>
        <v>3.4808836746341436E-2</v>
      </c>
      <c r="S87" s="15">
        <f si="9" t="shared"/>
        <v>3.2465212240597008E-2</v>
      </c>
    </row>
    <row r="88" spans="1:19" x14ac:dyDescent="0.25">
      <c r="A88" s="9">
        <v>0.54166666666666663</v>
      </c>
      <c r="B88" s="15">
        <f si="8" t="shared"/>
        <v>2.7970283722827054E-2</v>
      </c>
      <c r="C88" s="15">
        <f si="8" t="shared"/>
        <v>1.0641605856190386E-2</v>
      </c>
      <c r="D88" s="15">
        <f si="8" t="shared"/>
        <v>2.4842393398730751E-2</v>
      </c>
      <c r="E88" s="15">
        <f si="8" t="shared"/>
        <v>4.1861597207738188E-2</v>
      </c>
      <c r="F88" s="15">
        <f si="8" t="shared"/>
        <v>4.3700894549140605E-2</v>
      </c>
      <c r="G88" s="15">
        <f si="8" t="shared"/>
        <v>4.4606458131473098E-2</v>
      </c>
      <c r="H88" s="15">
        <f si="8" t="shared"/>
        <v>2.5987852887135041E-2</v>
      </c>
      <c r="I88" s="15">
        <f si="8" t="shared"/>
        <v>3.2469248609002313E-2</v>
      </c>
      <c r="K88" s="9">
        <v>0.54166666666666663</v>
      </c>
      <c r="L88" s="14">
        <f si="9" t="shared"/>
        <v>3.0572165256229956E-2</v>
      </c>
      <c r="M88" s="14">
        <f si="9" t="shared"/>
        <v>1.7717781989693863E-2</v>
      </c>
      <c r="N88" s="14">
        <f si="9" t="shared"/>
        <v>2.4266640120307704E-2</v>
      </c>
      <c r="O88" s="14">
        <f si="9" t="shared"/>
        <v>3.8773247503881711E-2</v>
      </c>
      <c r="P88" s="14">
        <f si="9" t="shared"/>
        <v>3.766571496011703E-2</v>
      </c>
      <c r="Q88" s="14">
        <f si="9" t="shared"/>
        <v>3.5960153392440693E-2</v>
      </c>
      <c r="R88" s="14">
        <f si="9" t="shared"/>
        <v>3.6510360202595835E-2</v>
      </c>
      <c r="S88" s="15">
        <f si="9" t="shared"/>
        <v>3.2338590817645979E-2</v>
      </c>
    </row>
    <row r="89" spans="1:19" x14ac:dyDescent="0.25">
      <c r="A89" s="9">
        <v>0.5625</v>
      </c>
      <c r="B89" s="15">
        <f si="8" t="shared"/>
        <v>2.5919887774222133E-2</v>
      </c>
      <c r="C89" s="15">
        <f si="8" t="shared"/>
        <v>1.0237864113209183E-2</v>
      </c>
      <c r="D89" s="15">
        <f si="8" t="shared"/>
        <v>3.0599820400480274E-2</v>
      </c>
      <c r="E89" s="15">
        <f si="8" t="shared"/>
        <v>4.2564246138604142E-2</v>
      </c>
      <c r="F89" s="15">
        <f si="8" t="shared"/>
        <v>4.4127172013891644E-2</v>
      </c>
      <c r="G89" s="15">
        <f si="8" t="shared"/>
        <v>3.8988160709981831E-2</v>
      </c>
      <c r="H89" s="15">
        <f si="8" t="shared"/>
        <v>2.7480904726314648E-2</v>
      </c>
      <c r="I89" s="15">
        <f si="8" t="shared"/>
        <v>3.2623645665341004E-2</v>
      </c>
      <c r="K89" s="9">
        <v>0.5625</v>
      </c>
      <c r="L89" s="14">
        <f si="9" t="shared"/>
        <v>2.8246999461600985E-2</v>
      </c>
      <c r="M89" s="14">
        <f si="9" t="shared"/>
        <v>1.6988309980419024E-2</v>
      </c>
      <c r="N89" s="14">
        <f si="9" t="shared"/>
        <v>2.4407018240286255E-2</v>
      </c>
      <c r="O89" s="14">
        <f si="9" t="shared"/>
        <v>3.918143794859566E-2</v>
      </c>
      <c r="P89" s="14">
        <f si="9" t="shared"/>
        <v>3.940826889828293E-2</v>
      </c>
      <c r="Q89" s="14">
        <f si="9" t="shared"/>
        <v>3.56345392910834E-2</v>
      </c>
      <c r="R89" s="14">
        <f si="9" t="shared"/>
        <v>3.8281032735610947E-2</v>
      </c>
      <c r="S89" s="15">
        <f si="9" t="shared"/>
        <v>3.2347196246320167E-2</v>
      </c>
    </row>
    <row r="90" spans="1:19" x14ac:dyDescent="0.25">
      <c r="A90" s="9">
        <v>0.58333333333333337</v>
      </c>
      <c r="B90" s="15">
        <f si="8" t="shared"/>
        <v>2.3237658506930808E-2</v>
      </c>
      <c r="C90" s="15">
        <f si="8" t="shared"/>
        <v>1.0124487152597377E-2</v>
      </c>
      <c r="D90" s="15">
        <f si="8" t="shared"/>
        <v>3.741484022287081E-2</v>
      </c>
      <c r="E90" s="15">
        <f si="8" t="shared"/>
        <v>4.330676064936842E-2</v>
      </c>
      <c r="F90" s="15">
        <f si="8" t="shared"/>
        <v>4.479078033248618E-2</v>
      </c>
      <c r="G90" s="15">
        <f si="8" t="shared"/>
        <v>3.4491872235254295E-2</v>
      </c>
      <c r="H90" s="15">
        <f si="8" t="shared"/>
        <v>3.0195428173046931E-2</v>
      </c>
      <c r="I90" s="15">
        <f si="8" t="shared"/>
        <v>3.3103435304521367E-2</v>
      </c>
      <c r="K90" s="9">
        <v>0.58333333333333337</v>
      </c>
      <c r="L90" s="14">
        <f si="9" t="shared"/>
        <v>2.5654114436406965E-2</v>
      </c>
      <c r="M90" s="14">
        <f si="9" t="shared"/>
        <v>1.6763523980087926E-2</v>
      </c>
      <c r="N90" s="14">
        <f si="9" t="shared"/>
        <v>2.4993007060690183E-2</v>
      </c>
      <c r="O90" s="14">
        <f si="9" t="shared"/>
        <v>3.9570916990938683E-2</v>
      </c>
      <c r="P90" s="14">
        <f si="9" t="shared"/>
        <v>4.1821983501184608E-2</v>
      </c>
      <c r="Q90" s="14">
        <f si="9" t="shared"/>
        <v>3.5947083447750459E-2</v>
      </c>
      <c r="R90" s="14">
        <f si="9" t="shared"/>
        <v>4.0001406052356719E-2</v>
      </c>
      <c r="S90" s="15">
        <f si="9" t="shared"/>
        <v>3.2496765417274309E-2</v>
      </c>
    </row>
    <row r="91" spans="1:19" x14ac:dyDescent="0.25">
      <c r="A91" s="9">
        <v>0.60416666666666663</v>
      </c>
      <c r="B91" s="15">
        <f si="8" t="shared"/>
        <v>2.0372237852759541E-2</v>
      </c>
      <c r="C91" s="15">
        <f si="8" t="shared"/>
        <v>1.0168084283832602E-2</v>
      </c>
      <c r="D91" s="15">
        <f si="8" t="shared"/>
        <v>4.3830944172569324E-2</v>
      </c>
      <c r="E91" s="15">
        <f si="8" t="shared"/>
        <v>4.3820396997344253E-2</v>
      </c>
      <c r="F91" s="15">
        <f si="8" t="shared"/>
        <v>4.5680133631492183E-2</v>
      </c>
      <c r="G91" s="15">
        <f si="8" t="shared"/>
        <v>3.2004296187229629E-2</v>
      </c>
      <c r="H91" s="15">
        <f si="8" t="shared"/>
        <v>3.3887388609823384E-2</v>
      </c>
      <c r="I91" s="15">
        <f si="8" t="shared"/>
        <v>3.3817121518467781E-2</v>
      </c>
      <c r="K91" s="9">
        <v>0.60416666666666663</v>
      </c>
      <c r="L91" s="14">
        <f si="9" t="shared"/>
        <v>2.3196580037078446E-2</v>
      </c>
      <c r="M91" s="14">
        <f si="9" t="shared"/>
        <v>1.6827900231947565E-2</v>
      </c>
      <c r="N91" s="14">
        <f si="9" t="shared"/>
        <v>2.6016593491569106E-2</v>
      </c>
      <c r="O91" s="14">
        <f si="9" t="shared"/>
        <v>3.9983437344198063E-2</v>
      </c>
      <c r="P91" s="14">
        <f si="9" t="shared"/>
        <v>4.467250070866572E-2</v>
      </c>
      <c r="Q91" s="14">
        <f si="9" t="shared"/>
        <v>3.6942445526185072E-2</v>
      </c>
      <c r="R91" s="14">
        <f si="9" t="shared"/>
        <v>4.1700129774860067E-2</v>
      </c>
      <c r="S91" s="15">
        <f si="9" t="shared"/>
        <v>3.2850912433835103E-2</v>
      </c>
    </row>
    <row r="92" spans="1:19" x14ac:dyDescent="0.25">
      <c r="A92" s="9">
        <v>0.625</v>
      </c>
      <c r="B92" s="15">
        <f si="8" t="shared"/>
        <v>1.763685980758457E-2</v>
      </c>
      <c r="C92" s="15">
        <f si="8" t="shared"/>
        <v>1.0069151654710503E-2</v>
      </c>
      <c r="D92" s="15">
        <f si="8" t="shared"/>
        <v>4.8272318411389119E-2</v>
      </c>
      <c r="E92" s="15">
        <f si="8" t="shared"/>
        <v>4.3872750266484579E-2</v>
      </c>
      <c r="F92" s="15">
        <f si="8" t="shared"/>
        <v>4.6531983919410339E-2</v>
      </c>
      <c r="G92" s="15">
        <f si="8" t="shared"/>
        <v>3.1563462567117069E-2</v>
      </c>
      <c r="H92" s="15">
        <f si="8" t="shared"/>
        <v>3.8179203927468236E-2</v>
      </c>
      <c r="I92" s="15">
        <f si="8" t="shared"/>
        <v>3.4489419381892594E-2</v>
      </c>
      <c r="K92" s="9">
        <v>0.625</v>
      </c>
      <c r="L92" s="14">
        <f si="9" t="shared"/>
        <v>2.1220547960368465E-2</v>
      </c>
      <c r="M92" s="14">
        <f si="9" t="shared"/>
        <v>1.6870340001799617E-2</v>
      </c>
      <c r="N92" s="14">
        <f si="9" t="shared"/>
        <v>2.7437109880787187E-2</v>
      </c>
      <c r="O92" s="14">
        <f si="9" t="shared"/>
        <v>4.0432712128402375E-2</v>
      </c>
      <c r="P92" s="14">
        <f si="9" t="shared"/>
        <v>4.7424309772233109E-2</v>
      </c>
      <c r="Q92" s="14">
        <f si="9" t="shared"/>
        <v>3.846997040895811E-2</v>
      </c>
      <c r="R92" s="14">
        <f si="9" t="shared"/>
        <v>4.3351273313083485E-2</v>
      </c>
      <c r="S92" s="15">
        <f si="9" t="shared"/>
        <v>3.3390933992858952E-2</v>
      </c>
    </row>
    <row r="93" spans="1:19" x14ac:dyDescent="0.25">
      <c r="A93" s="9">
        <v>0.64583333333333337</v>
      </c>
      <c r="B93" s="15">
        <f si="8" t="shared"/>
        <v>1.5121216491937591E-2</v>
      </c>
      <c r="C93" s="15">
        <f si="8" t="shared"/>
        <v>9.5858992002438876E-3</v>
      </c>
      <c r="D93" s="15">
        <f si="8" t="shared"/>
        <v>4.9787182183754247E-2</v>
      </c>
      <c r="E93" s="15">
        <f si="8" t="shared"/>
        <v>4.3268955871066779E-2</v>
      </c>
      <c r="F93" s="15">
        <f si="8" t="shared"/>
        <v>4.6903074679938601E-2</v>
      </c>
      <c r="G93" s="15">
        <f si="8" t="shared"/>
        <v>3.28544446216852E-2</v>
      </c>
      <c r="H93" s="15">
        <f si="8" t="shared"/>
        <v>4.2760467626258888E-2</v>
      </c>
      <c r="I93" s="15">
        <f si="8" t="shared"/>
        <v>3.4826538546967635E-2</v>
      </c>
      <c r="K93" s="9">
        <v>0.64583333333333337</v>
      </c>
      <c r="L93" s="14">
        <f si="9" t="shared"/>
        <v>1.9848152818046267E-2</v>
      </c>
      <c r="M93" s="14">
        <f si="9" t="shared"/>
        <v>1.6564627200871439E-2</v>
      </c>
      <c r="N93" s="14">
        <f si="9" t="shared"/>
        <v>2.9038398313669559E-2</v>
      </c>
      <c r="O93" s="14">
        <f si="9" t="shared"/>
        <v>4.0673241460214775E-2</v>
      </c>
      <c r="P93" s="14">
        <f si="9" t="shared"/>
        <v>4.9311101211496157E-2</v>
      </c>
      <c r="Q93" s="14">
        <f si="9" t="shared"/>
        <v>4.0168900644720097E-2</v>
      </c>
      <c r="R93" s="14">
        <f si="9" t="shared"/>
        <v>4.4666989240214512E-2</v>
      </c>
      <c r="S93" s="15">
        <f si="9" t="shared"/>
        <v>3.388379075501597E-2</v>
      </c>
    </row>
    <row r="94" spans="1:19" x14ac:dyDescent="0.25">
      <c r="A94" s="9">
        <v>0.66666666666666663</v>
      </c>
      <c r="B94" s="15">
        <f si="8" t="shared"/>
        <v>1.2768668376018208E-2</v>
      </c>
      <c r="C94" s="15">
        <f si="8" t="shared"/>
        <v>8.6991350283343715E-3</v>
      </c>
      <c r="D94" s="15">
        <f si="8" t="shared"/>
        <v>4.8300465021563807E-2</v>
      </c>
      <c r="E94" s="15">
        <f si="8" t="shared"/>
        <v>4.1894456029279714E-2</v>
      </c>
      <c r="F94" s="15">
        <f si="8" t="shared"/>
        <v>4.6407872431937711E-2</v>
      </c>
      <c r="G94" s="15">
        <f si="8" t="shared"/>
        <v>3.5490839395504702E-2</v>
      </c>
      <c r="H94" s="15">
        <f si="8" t="shared"/>
        <v>4.7424731027950105E-2</v>
      </c>
      <c r="I94" s="15">
        <f si="8" t="shared"/>
        <v>3.465382179500294E-2</v>
      </c>
      <c r="K94" s="9">
        <v>0.66666666666666663</v>
      </c>
      <c r="L94" s="14">
        <f si="9" t="shared"/>
        <v>1.8909010014275005E-2</v>
      </c>
      <c r="M94" s="14">
        <f si="9" t="shared"/>
        <v>1.5701414212740506E-2</v>
      </c>
      <c r="N94" s="14">
        <f si="9" t="shared"/>
        <v>3.0384928384018441E-2</v>
      </c>
      <c r="O94" s="14">
        <f si="9" t="shared"/>
        <v>4.0180052963729784E-2</v>
      </c>
      <c r="P94" s="14">
        <f si="9" t="shared"/>
        <v>4.9557586132757014E-2</v>
      </c>
      <c r="Q94" s="14">
        <f si="9" t="shared"/>
        <v>4.1479783244737049E-2</v>
      </c>
      <c r="R94" s="14">
        <f si="9" t="shared"/>
        <v>4.5089077789093976E-2</v>
      </c>
      <c r="S94" s="15">
        <f si="9" t="shared"/>
        <v>3.3888123979213515E-2</v>
      </c>
    </row>
    <row r="95" spans="1:19" x14ac:dyDescent="0.25">
      <c r="A95" s="9">
        <v>0.6875</v>
      </c>
      <c r="B95" s="15">
        <f si="8" t="shared"/>
        <v>1.0515770779593807E-2</v>
      </c>
      <c r="C95" s="15">
        <f si="8" t="shared"/>
        <v>7.5718684896889082E-3</v>
      </c>
      <c r="D95" s="15">
        <f si="8" t="shared"/>
        <v>4.4367921882807401E-2</v>
      </c>
      <c r="E95" s="15">
        <f si="8" t="shared"/>
        <v>3.976977692008854E-2</v>
      </c>
      <c r="F95" s="15">
        <f si="8" t="shared"/>
        <v>4.4903322007268591E-2</v>
      </c>
      <c r="G95" s="15">
        <f si="8" t="shared"/>
        <v>3.8901946781436277E-2</v>
      </c>
      <c r="H95" s="15">
        <f si="8" t="shared"/>
        <v>5.1845228338976972E-2</v>
      </c>
      <c r="I95" s="15">
        <f si="8" t="shared"/>
        <v>3.3916048224131572E-2</v>
      </c>
      <c r="K95" s="9">
        <v>0.6875</v>
      </c>
      <c r="L95" s="14">
        <f si="9" t="shared"/>
        <v>1.8024766964766951E-2</v>
      </c>
      <c r="M95" s="14">
        <f si="9" t="shared"/>
        <v>1.4259564979705607E-2</v>
      </c>
      <c r="N95" s="14">
        <f si="9" t="shared"/>
        <v>3.0929944182202102E-2</v>
      </c>
      <c r="O95" s="14">
        <f si="9" t="shared"/>
        <v>3.8386433613577936E-2</v>
      </c>
      <c r="P95" s="14">
        <f si="9" t="shared"/>
        <v>4.7665091366745793E-2</v>
      </c>
      <c r="Q95" s="14">
        <f si="9" t="shared"/>
        <v>4.1743615152634028E-2</v>
      </c>
      <c r="R95" s="14">
        <f si="9" t="shared"/>
        <v>4.4009993771922995E-2</v>
      </c>
      <c r="S95" s="15">
        <f si="9" t="shared"/>
        <v>3.2919465874399804E-2</v>
      </c>
    </row>
    <row r="96" spans="1:19" x14ac:dyDescent="0.25">
      <c r="A96" s="9">
        <v>0.70833333333333337</v>
      </c>
      <c r="B96" s="15">
        <f si="8" t="shared"/>
        <v>8.3805916685717186E-3</v>
      </c>
      <c r="C96" s="15">
        <f si="8" t="shared"/>
        <v>6.3887972065718645E-3</v>
      </c>
      <c r="D96" s="15">
        <f si="8" t="shared"/>
        <v>3.8830960983413175E-2</v>
      </c>
      <c r="E96" s="15">
        <f si="8" t="shared"/>
        <v>3.7021476587733436E-2</v>
      </c>
      <c r="F96" s="15">
        <f si="8" t="shared"/>
        <v>4.2487774241910317E-2</v>
      </c>
      <c r="G96" s="15">
        <f si="8" t="shared"/>
        <v>4.2127990719432892E-2</v>
      </c>
      <c r="H96" s="15">
        <f si="8" t="shared"/>
        <v>5.5278521584763332E-2</v>
      </c>
      <c r="I96" s="15">
        <f si="8" t="shared"/>
        <v>3.2579069569077447E-2</v>
      </c>
      <c r="K96" s="9">
        <v>0.70833333333333337</v>
      </c>
      <c r="L96" s="14">
        <f si="9" t="shared"/>
        <v>1.680800583482165E-2</v>
      </c>
      <c r="M96" s="14">
        <f si="9" t="shared"/>
        <v>1.2371017193116677E-2</v>
      </c>
      <c r="N96" s="14">
        <f si="9" t="shared"/>
        <v>3.0233644098092226E-2</v>
      </c>
      <c r="O96" s="14">
        <f si="9" t="shared"/>
        <v>3.5015250858268225E-2</v>
      </c>
      <c r="P96" s="14">
        <f si="9" t="shared"/>
        <v>4.3618768657875319E-2</v>
      </c>
      <c r="Q96" s="14">
        <f si="9" t="shared"/>
        <v>4.0420342893590498E-2</v>
      </c>
      <c r="R96" s="14">
        <f si="9" t="shared"/>
        <v>4.1087213351842164E-2</v>
      </c>
      <c r="S96" s="15">
        <f si="9" t="shared"/>
        <v>3.0684141210802686E-2</v>
      </c>
    </row>
    <row r="97" spans="1:19" x14ac:dyDescent="0.25">
      <c r="A97" s="9">
        <v>0.72916666666666663</v>
      </c>
      <c r="B97" s="15">
        <f si="8" t="shared"/>
        <v>6.452655418525655E-3</v>
      </c>
      <c r="C97" s="15">
        <f si="8" t="shared"/>
        <v>5.2514556305244455E-3</v>
      </c>
      <c r="D97" s="15">
        <f si="8" t="shared"/>
        <v>3.2623893092253296E-2</v>
      </c>
      <c r="E97" s="15">
        <f si="8" t="shared"/>
        <v>3.3760448146196005E-2</v>
      </c>
      <c r="F97" s="15">
        <f si="8" t="shared"/>
        <v>3.9383621851789237E-2</v>
      </c>
      <c r="G97" s="15">
        <f si="8" t="shared"/>
        <v>4.3924716491824209E-2</v>
      </c>
      <c r="H97" s="15">
        <f si="8" t="shared"/>
        <v>5.6556082764320587E-2</v>
      </c>
      <c r="I97" s="15">
        <f si="8" t="shared"/>
        <v>3.0562219844039316E-2</v>
      </c>
      <c r="K97" s="9">
        <v>0.72916666666666663</v>
      </c>
      <c r="L97" s="14">
        <f si="9" t="shared"/>
        <v>1.5061184294905007E-2</v>
      </c>
      <c r="M97" s="14">
        <f si="9" t="shared"/>
        <v>1.0239502130244924E-2</v>
      </c>
      <c r="N97" s="14">
        <f si="9" t="shared"/>
        <v>2.818138178512427E-2</v>
      </c>
      <c r="O97" s="14">
        <f si="9" t="shared"/>
        <v>3.027954545678423E-2</v>
      </c>
      <c r="P97" s="14">
        <f si="9" t="shared"/>
        <v>3.7917393930957416E-2</v>
      </c>
      <c r="Q97" s="14">
        <f si="9" t="shared"/>
        <v>3.7353774398777038E-2</v>
      </c>
      <c r="R97" s="14">
        <f si="9" t="shared"/>
        <v>3.646699387938631E-2</v>
      </c>
      <c r="S97" s="15">
        <f si="9" t="shared"/>
        <v>2.7250024804089217E-2</v>
      </c>
    </row>
    <row r="98" spans="1:19" x14ac:dyDescent="0.25">
      <c r="A98" s="9">
        <v>0.75</v>
      </c>
      <c r="B98" s="15">
        <f si="8" t="shared"/>
        <v>4.8232731642024046E-3</v>
      </c>
      <c r="C98" s="15">
        <f si="8" t="shared"/>
        <v>4.1912922636496899E-3</v>
      </c>
      <c r="D98" s="15">
        <f si="8" t="shared"/>
        <v>2.6649264905016699E-2</v>
      </c>
      <c r="E98" s="15">
        <f si="8" t="shared"/>
        <v>2.9995974020049474E-2</v>
      </c>
      <c r="F98" s="15">
        <f si="8" t="shared"/>
        <v>3.5820650722197388E-2</v>
      </c>
      <c r="G98" s="15">
        <f si="8" t="shared"/>
        <v>4.3254372002076887E-2</v>
      </c>
      <c r="H98" s="15">
        <f si="8" t="shared"/>
        <v>5.4557445532405102E-2</v>
      </c>
      <c r="I98" s="15">
        <f si="8" t="shared"/>
        <v>2.7783989622737999E-2</v>
      </c>
      <c r="K98" s="9">
        <v>0.75</v>
      </c>
      <c r="L98" s="14">
        <f si="9" t="shared"/>
        <v>1.2860340225595216E-2</v>
      </c>
      <c r="M98" s="14">
        <f si="9" t="shared"/>
        <v>8.0848765651392162E-3</v>
      </c>
      <c r="N98" s="14">
        <f si="9" t="shared"/>
        <v>2.5067010599531512E-2</v>
      </c>
      <c r="O98" s="14">
        <f si="9" t="shared"/>
        <v>2.4826970285169708E-2</v>
      </c>
      <c r="P98" s="14">
        <f si="9" t="shared"/>
        <v>3.1416384280668237E-2</v>
      </c>
      <c r="Q98" s="14">
        <f si="9" t="shared"/>
        <v>3.2912998744453428E-2</v>
      </c>
      <c r="R98" s="14">
        <f si="9" t="shared"/>
        <v>3.0786385497693702E-2</v>
      </c>
      <c r="S98" s="15">
        <f si="9" t="shared"/>
        <v>2.3053555903635212E-2</v>
      </c>
    </row>
    <row r="99" spans="1:19" x14ac:dyDescent="0.25">
      <c r="A99" s="9">
        <v>0.77083333333333337</v>
      </c>
      <c r="B99" s="15">
        <f si="8" t="shared"/>
        <v>3.5306632328150952E-3</v>
      </c>
      <c r="C99" s="15">
        <f si="8" t="shared"/>
        <v>3.2284382842196189E-3</v>
      </c>
      <c r="D99" s="15">
        <f si="8" t="shared"/>
        <v>2.1593564357817348E-2</v>
      </c>
      <c r="E99" s="15">
        <f si="8" t="shared"/>
        <v>2.5707274200695476E-2</v>
      </c>
      <c r="F99" s="15">
        <f si="8" t="shared"/>
        <v>3.1954830858172044E-2</v>
      </c>
      <c r="G99" s="15">
        <f si="8" t="shared"/>
        <v>3.9821026909388074E-2</v>
      </c>
      <c r="H99" s="15">
        <f si="8" t="shared"/>
        <v>4.8928177113160068E-2</v>
      </c>
      <c r="I99" s="15">
        <f si="8" t="shared"/>
        <v>2.4281434538760086E-2</v>
      </c>
      <c r="K99" s="9">
        <v>0.77083333333333337</v>
      </c>
      <c r="L99" s="14">
        <f si="9" t="shared"/>
        <v>1.0485621597676142E-2</v>
      </c>
      <c r="M99" s="14">
        <f si="9" t="shared"/>
        <v>6.1138617691705735E-3</v>
      </c>
      <c r="N99" s="14">
        <f si="9" t="shared"/>
        <v>2.1463292837789485E-2</v>
      </c>
      <c r="O99" s="14">
        <f si="9" t="shared"/>
        <v>1.9465288164501625E-2</v>
      </c>
      <c r="P99" s="14">
        <f si="9" t="shared"/>
        <v>2.5046396174022795E-2</v>
      </c>
      <c r="Q99" s="14">
        <f si="9" t="shared"/>
        <v>2.7866878724806445E-2</v>
      </c>
      <c r="R99" s="14">
        <f si="9" t="shared"/>
        <v>2.4932849559101068E-2</v>
      </c>
      <c r="S99" s="15">
        <f si="9" t="shared"/>
        <v>1.8725709470387833E-2</v>
      </c>
    </row>
    <row r="100" spans="1:19" x14ac:dyDescent="0.25">
      <c r="A100" s="9">
        <v>0.79166666666666663</v>
      </c>
      <c r="B100" s="15">
        <f ref="B100:I115" si="10" t="shared">B43/B$61</f>
        <v>2.5577563256241193E-3</v>
      </c>
      <c r="C100" s="15">
        <f si="10" t="shared"/>
        <v>2.3957978204616256E-3</v>
      </c>
      <c r="D100" s="15">
        <f si="10" t="shared"/>
        <v>1.7746852792432519E-2</v>
      </c>
      <c r="E100" s="15">
        <f si="10" t="shared"/>
        <v>2.1018753394183957E-2</v>
      </c>
      <c r="F100" s="15">
        <f si="10" t="shared"/>
        <v>2.7836700484832826E-2</v>
      </c>
      <c r="G100" s="15">
        <f si="10" t="shared"/>
        <v>3.421486016835832E-2</v>
      </c>
      <c r="H100" s="15">
        <f si="10" t="shared"/>
        <v>4.0489153640652274E-2</v>
      </c>
      <c r="I100" s="15">
        <f si="10" t="shared"/>
        <v>2.0288071618181219E-2</v>
      </c>
      <c r="K100" s="9">
        <v>0.79166666666666663</v>
      </c>
      <c r="L100" s="14">
        <f ref="L100:S115" si="11" t="shared">L43/L$61</f>
        <v>8.2592253863442242E-3</v>
      </c>
      <c r="M100" s="14">
        <f si="11" t="shared"/>
        <v>4.4819381237547942E-3</v>
      </c>
      <c r="N100" s="14">
        <f si="11" t="shared"/>
        <v>1.7943325285178315E-2</v>
      </c>
      <c r="O100" s="14">
        <f si="11" t="shared"/>
        <v>1.4832587585495327E-2</v>
      </c>
      <c r="P100" s="14">
        <f si="11" t="shared"/>
        <v>1.9515371631228417E-2</v>
      </c>
      <c r="Q100" s="14">
        <f si="11" t="shared"/>
        <v>2.3026897519547541E-2</v>
      </c>
      <c r="R100" s="14">
        <f si="11" t="shared"/>
        <v>1.9679856100776442E-2</v>
      </c>
      <c r="S100" s="15">
        <f si="11" t="shared"/>
        <v>1.4826190946304902E-2</v>
      </c>
    </row>
    <row r="101" spans="1:19" x14ac:dyDescent="0.25">
      <c r="A101" s="9">
        <v>0.8125</v>
      </c>
      <c r="B101" s="15">
        <f si="10" t="shared"/>
        <v>1.861095221219767E-3</v>
      </c>
      <c r="C101" s="15">
        <f si="10" t="shared"/>
        <v>1.7221733057080017E-3</v>
      </c>
      <c r="D101" s="15">
        <f si="10" t="shared"/>
        <v>1.4976565114553973E-2</v>
      </c>
      <c r="E101" s="15">
        <f si="10" t="shared"/>
        <v>1.6284313524707595E-2</v>
      </c>
      <c r="F101" s="15">
        <f si="10" t="shared"/>
        <v>2.3472014974566347E-2</v>
      </c>
      <c r="G101" s="15">
        <f si="10" t="shared"/>
        <v>2.7567559644193267E-2</v>
      </c>
      <c r="H101" s="15">
        <f si="10" t="shared"/>
        <v>3.09473391035886E-2</v>
      </c>
      <c r="I101" s="15">
        <f si="10" t="shared"/>
        <v>1.61902993132126E-2</v>
      </c>
      <c r="K101" s="9">
        <v>0.8125</v>
      </c>
      <c r="L101" s="14">
        <f si="11" t="shared"/>
        <v>6.3986978628538943E-3</v>
      </c>
      <c r="M101" s="14">
        <f si="11" t="shared"/>
        <v>3.2490956689757459E-3</v>
      </c>
      <c r="N101" s="14">
        <f si="11" t="shared"/>
        <v>1.4838759873213397E-2</v>
      </c>
      <c r="O101" s="14">
        <f si="11" t="shared"/>
        <v>1.1198005353789493E-2</v>
      </c>
      <c r="P101" s="14">
        <f si="11" t="shared"/>
        <v>1.512356586467198E-2</v>
      </c>
      <c r="Q101" s="14">
        <f si="11" t="shared"/>
        <v>1.8886664241612835E-2</v>
      </c>
      <c r="R101" s="14">
        <f si="11" t="shared"/>
        <v>1.5408743387933486E-2</v>
      </c>
      <c r="S101" s="15">
        <f si="11" t="shared"/>
        <v>1.1640708666397503E-2</v>
      </c>
    </row>
    <row r="102" spans="1:19" x14ac:dyDescent="0.25">
      <c r="A102" s="9">
        <v>0.83333333333333337</v>
      </c>
      <c r="B102" s="15">
        <f si="10" t="shared"/>
        <v>1.3902647412666939E-3</v>
      </c>
      <c r="C102" s="15">
        <f si="10" t="shared"/>
        <v>1.2144529498953618E-3</v>
      </c>
      <c r="D102" s="15">
        <f si="10" t="shared"/>
        <v>1.2891930267117923E-2</v>
      </c>
      <c r="E102" s="15">
        <f si="10" t="shared"/>
        <v>1.19672996689463E-2</v>
      </c>
      <c r="F102" s="15">
        <f si="10" t="shared"/>
        <v>1.8952837686825555E-2</v>
      </c>
      <c r="G102" s="15">
        <f si="10" t="shared"/>
        <v>2.1022893077631343E-2</v>
      </c>
      <c r="H102" s="15">
        <f si="10" t="shared"/>
        <v>2.2082269192961371E-2</v>
      </c>
      <c r="I102" s="15">
        <f si="10" t="shared"/>
        <v>1.2387797001730991E-2</v>
      </c>
      <c r="K102" s="9">
        <v>0.83333333333333337</v>
      </c>
      <c r="L102" s="14">
        <f si="11" t="shared"/>
        <v>4.9616039456604763E-3</v>
      </c>
      <c r="M102" s="14">
        <f si="11" t="shared"/>
        <v>2.3700798457028439E-3</v>
      </c>
      <c r="N102" s="14">
        <f si="11" t="shared"/>
        <v>1.2192522082213133E-2</v>
      </c>
      <c r="O102" s="14">
        <f si="11" t="shared"/>
        <v>8.4817599505706137E-3</v>
      </c>
      <c r="P102" s="14">
        <f si="11" t="shared"/>
        <v>1.1780580096028503E-2</v>
      </c>
      <c r="Q102" s="14">
        <f si="11" t="shared"/>
        <v>1.549969469023083E-2</v>
      </c>
      <c r="R102" s="14">
        <f si="11" t="shared"/>
        <v>1.2076237295426045E-2</v>
      </c>
      <c r="S102" s="15">
        <f si="11" t="shared"/>
        <v>9.1545542373185403E-3</v>
      </c>
    </row>
    <row r="103" spans="1:19" x14ac:dyDescent="0.25">
      <c r="A103" s="9">
        <v>0.85416666666666663</v>
      </c>
      <c r="B103" s="15">
        <f si="10" t="shared"/>
        <v>1.0870511755396172E-3</v>
      </c>
      <c r="C103" s="15">
        <f si="10" t="shared"/>
        <v>8.6597955468970813E-4</v>
      </c>
      <c r="D103" s="15">
        <f si="10" t="shared"/>
        <v>1.1085902221694947E-2</v>
      </c>
      <c r="E103" s="15">
        <f si="10" t="shared"/>
        <v>8.4193224537753453E-3</v>
      </c>
      <c r="F103" s="15">
        <f si="10" t="shared"/>
        <v>1.4531116095535186E-2</v>
      </c>
      <c r="G103" s="15">
        <f si="10" t="shared"/>
        <v>1.5375393149721164E-2</v>
      </c>
      <c r="H103" s="15">
        <f si="10" t="shared"/>
        <v>1.5004748511943311E-2</v>
      </c>
      <c r="I103" s="15">
        <f si="10" t="shared"/>
        <v>9.1569175848912072E-3</v>
      </c>
      <c r="K103" s="9">
        <v>0.85416666666666663</v>
      </c>
      <c r="L103" s="14">
        <f si="11" t="shared"/>
        <v>3.8830025557359724E-3</v>
      </c>
      <c r="M103" s="14">
        <f si="11" t="shared"/>
        <v>1.7382995937490829E-3</v>
      </c>
      <c r="N103" s="14">
        <f si="11" t="shared"/>
        <v>9.8975471036705526E-3</v>
      </c>
      <c r="O103" s="14">
        <f si="11" t="shared"/>
        <v>6.4339342374332888E-3</v>
      </c>
      <c r="P103" s="14">
        <f si="11" t="shared"/>
        <v>9.1956852578547431E-3</v>
      </c>
      <c r="Q103" s="14">
        <f si="11" t="shared"/>
        <v>1.2641013397901009E-2</v>
      </c>
      <c r="R103" s="14">
        <f si="11" t="shared"/>
        <v>9.408934805913172E-3</v>
      </c>
      <c r="S103" s="15">
        <f si="11" t="shared"/>
        <v>7.1861412629420996E-3</v>
      </c>
    </row>
    <row r="104" spans="1:19" x14ac:dyDescent="0.25">
      <c r="A104" s="9">
        <v>0.875</v>
      </c>
      <c r="B104" s="15">
        <f si="10" t="shared"/>
        <v>8.8505932620193645E-4</v>
      </c>
      <c r="C104" s="15">
        <f si="10" t="shared"/>
        <v>6.8176021899124203E-4</v>
      </c>
      <c r="D104" s="15">
        <f si="10" t="shared"/>
        <v>9.3056545678180218E-3</v>
      </c>
      <c r="E104" s="15">
        <f si="10" t="shared"/>
        <v>5.751985833120212E-3</v>
      </c>
      <c r="F104" s="15">
        <f si="10" t="shared"/>
        <v>1.0541601989855058E-2</v>
      </c>
      <c r="G104" s="15">
        <f si="10" t="shared"/>
        <v>1.0972891412361517E-2</v>
      </c>
      <c r="H104" s="15">
        <f si="10" t="shared"/>
        <v>9.948096674555304E-3</v>
      </c>
      <c r="I104" s="15">
        <f si="10" t="shared"/>
        <v>6.5970173320286808E-3</v>
      </c>
      <c r="K104" s="9">
        <v>0.875</v>
      </c>
      <c r="L104" s="14">
        <f si="11" t="shared"/>
        <v>3.0529943694744236E-3</v>
      </c>
      <c r="M104" s="14">
        <f si="11" t="shared"/>
        <v>1.2524958610365708E-3</v>
      </c>
      <c r="N104" s="14">
        <f si="11" t="shared"/>
        <v>7.8691130996498652E-3</v>
      </c>
      <c r="O104" s="14">
        <f si="11" t="shared"/>
        <v>4.823883202466679E-3</v>
      </c>
      <c r="P104" s="14">
        <f si="11" t="shared"/>
        <v>7.0994889713016625E-3</v>
      </c>
      <c r="Q104" s="14">
        <f si="11" t="shared"/>
        <v>1.007811799338398E-2</v>
      </c>
      <c r="R104" s="14">
        <f si="11" t="shared"/>
        <v>7.151940145610965E-3</v>
      </c>
      <c r="S104" s="15">
        <f si="11" t="shared"/>
        <v>5.5569892569221659E-3</v>
      </c>
    </row>
    <row r="105" spans="1:19" x14ac:dyDescent="0.25">
      <c r="A105" s="9">
        <v>0.89583333333333337</v>
      </c>
      <c r="B105" s="15">
        <f si="10" t="shared"/>
        <v>7.2512812201223637E-4</v>
      </c>
      <c r="C105" s="15">
        <f si="10" t="shared"/>
        <v>6.8692608826263193E-4</v>
      </c>
      <c r="D105" s="15">
        <f si="10" t="shared"/>
        <v>7.4868056882823296E-3</v>
      </c>
      <c r="E105" s="15">
        <f si="10" t="shared"/>
        <v>3.8725791482348716E-3</v>
      </c>
      <c r="F105" s="15">
        <f si="10" t="shared"/>
        <v>7.2423804722418694E-3</v>
      </c>
      <c r="G105" s="15">
        <f si="10" t="shared"/>
        <v>7.7839786166398958E-3</v>
      </c>
      <c r="H105" s="15">
        <f si="10" t="shared"/>
        <v>6.5558627424629253E-3</v>
      </c>
      <c r="I105" s="15">
        <f si="10" t="shared"/>
        <v>4.6643733782944334E-3</v>
      </c>
      <c r="K105" s="9">
        <v>0.89583333333333337</v>
      </c>
      <c r="L105" s="14">
        <f si="11" t="shared"/>
        <v>2.378985854030805E-3</v>
      </c>
      <c r="M105" s="14">
        <f si="11" t="shared"/>
        <v>8.581724625776275E-4</v>
      </c>
      <c r="N105" s="14">
        <f si="11" t="shared"/>
        <v>6.109066704068261E-3</v>
      </c>
      <c r="O105" s="14">
        <f si="11" t="shared"/>
        <v>3.5266233150298182E-3</v>
      </c>
      <c r="P105" s="14">
        <f si="11" t="shared"/>
        <v>5.3549280433457074E-3</v>
      </c>
      <c r="Q105" s="14">
        <f si="11" t="shared"/>
        <v>7.7338673680579714E-3</v>
      </c>
      <c r="R105" s="14">
        <f si="11" t="shared"/>
        <v>5.2001377922105928E-3</v>
      </c>
      <c r="S105" s="15">
        <f si="11" t="shared"/>
        <v>4.17983377693734E-3</v>
      </c>
    </row>
    <row r="106" spans="1:19" x14ac:dyDescent="0.25">
      <c r="A106" s="9">
        <v>0.91666666666666663</v>
      </c>
      <c r="B106" s="15">
        <f si="10" t="shared"/>
        <v>5.74567774388914E-4</v>
      </c>
      <c r="C106" s="15">
        <f si="10" t="shared"/>
        <v>8.9234195955998881E-4</v>
      </c>
      <c r="D106" s="15">
        <f si="10" t="shared"/>
        <v>5.6938205685758631E-3</v>
      </c>
      <c r="E106" s="15">
        <f si="10" t="shared"/>
        <v>2.598440534205675E-3</v>
      </c>
      <c r="F106" s="15">
        <f si="10" t="shared"/>
        <v>4.7194733050711151E-3</v>
      </c>
      <c r="G106" s="15">
        <f si="10" t="shared"/>
        <v>5.5419201108733935E-3</v>
      </c>
      <c r="H106" s="15">
        <f si="10" t="shared"/>
        <v>4.3050950168552196E-3</v>
      </c>
      <c r="I106" s="15">
        <f si="10" t="shared"/>
        <v>3.2444867703048637E-3</v>
      </c>
      <c r="K106" s="9">
        <v>0.91666666666666663</v>
      </c>
      <c r="L106" s="14">
        <f si="11" t="shared"/>
        <v>1.8090284454256736E-3</v>
      </c>
      <c r="M106" s="14">
        <f si="11" t="shared"/>
        <v>5.4458785509875973E-4</v>
      </c>
      <c r="N106" s="14">
        <f si="11" t="shared"/>
        <v>4.6518841871316186E-3</v>
      </c>
      <c r="O106" s="14">
        <f si="11" t="shared"/>
        <v>2.4993670023749012E-3</v>
      </c>
      <c r="P106" s="14">
        <f si="11" t="shared"/>
        <v>3.9289830709410044E-3</v>
      </c>
      <c r="Q106" s="14">
        <f si="11" t="shared"/>
        <v>5.6668725433715351E-3</v>
      </c>
      <c r="R106" s="14">
        <f si="11" t="shared"/>
        <v>3.5718342393442756E-3</v>
      </c>
      <c r="S106" s="15">
        <f si="11" t="shared"/>
        <v>3.0413969451885663E-3</v>
      </c>
    </row>
    <row r="107" spans="1:19" x14ac:dyDescent="0.25">
      <c r="A107" s="9">
        <v>0.9375</v>
      </c>
      <c r="B107" s="15">
        <f si="10" t="shared"/>
        <v>4.2979636609953565E-4</v>
      </c>
      <c r="C107" s="15">
        <f si="10" t="shared"/>
        <v>1.2351372408772616E-3</v>
      </c>
      <c r="D107" s="15">
        <f si="10" t="shared"/>
        <v>4.0433349660475137E-3</v>
      </c>
      <c r="E107" s="15">
        <f si="10" t="shared"/>
        <v>1.74593604569537E-3</v>
      </c>
      <c r="F107" s="15">
        <f si="10" t="shared"/>
        <v>2.9110448039902808E-3</v>
      </c>
      <c r="G107" s="15">
        <f si="10" t="shared"/>
        <v>3.9220417943281417E-3</v>
      </c>
      <c r="H107" s="15">
        <f si="10" t="shared"/>
        <v>2.7747034661642178E-3</v>
      </c>
      <c r="I107" s="15">
        <f si="10" t="shared"/>
        <v>2.2134179118965978E-3</v>
      </c>
      <c r="K107" s="9">
        <v>0.9375</v>
      </c>
      <c r="L107" s="14">
        <f si="11" t="shared"/>
        <v>1.3243778726984023E-3</v>
      </c>
      <c r="M107" s="14">
        <f si="11" t="shared"/>
        <v>3.1609149175220759E-4</v>
      </c>
      <c r="N107" s="14">
        <f si="11" t="shared"/>
        <v>3.4894420674707201E-3</v>
      </c>
      <c r="O107" s="14">
        <f si="11" t="shared"/>
        <v>1.7189341063397242E-3</v>
      </c>
      <c r="P107" s="14">
        <f si="11" t="shared"/>
        <v>2.8079327313049597E-3</v>
      </c>
      <c r="Q107" s="14">
        <f si="11" t="shared"/>
        <v>3.9585558078671715E-3</v>
      </c>
      <c r="R107" s="14">
        <f si="11" t="shared"/>
        <v>2.3087924847321785E-3</v>
      </c>
      <c r="S107" s="15">
        <f si="11" t="shared"/>
        <v>2.1413637496850539E-3</v>
      </c>
    </row>
    <row r="108" spans="1:19" x14ac:dyDescent="0.25">
      <c r="A108" s="9">
        <v>0.95833333333333337</v>
      </c>
      <c r="B108" s="15">
        <f si="10" t="shared"/>
        <v>3.0128189838757091E-4</v>
      </c>
      <c r="C108" s="15">
        <f si="10" t="shared"/>
        <v>1.5587548438962097E-3</v>
      </c>
      <c r="D108" s="15">
        <f si="10" t="shared"/>
        <v>2.6478936784329601E-3</v>
      </c>
      <c r="E108" s="15">
        <f si="10" t="shared"/>
        <v>1.1678653970596819E-3</v>
      </c>
      <c r="F108" s="15">
        <f si="10" t="shared"/>
        <v>1.6872596924007055E-3</v>
      </c>
      <c r="G108" s="15">
        <f si="10" t="shared"/>
        <v>2.6860192787854279E-3</v>
      </c>
      <c r="H108" s="15">
        <f si="10" t="shared"/>
        <v>1.710774874961949E-3</v>
      </c>
      <c r="I108" s="15">
        <f si="10" t="shared"/>
        <v>1.4685212292274447E-3</v>
      </c>
      <c r="K108" s="9">
        <v>0.95833333333333337</v>
      </c>
      <c r="L108" s="14">
        <f si="11" t="shared"/>
        <v>9.2197228692373896E-4</v>
      </c>
      <c r="M108" s="14">
        <f si="11" t="shared"/>
        <v>1.6828023219882181E-4</v>
      </c>
      <c r="N108" s="14">
        <f si="11" t="shared"/>
        <v>2.5594636077820782E-3</v>
      </c>
      <c r="O108" s="14">
        <f si="11" t="shared"/>
        <v>1.1467367600289653E-3</v>
      </c>
      <c r="P108" s="14">
        <f si="11" t="shared"/>
        <v>1.9498735282232646E-3</v>
      </c>
      <c r="Q108" s="14">
        <f si="11" t="shared"/>
        <v>2.6330552018387836E-3</v>
      </c>
      <c r="R108" s="14">
        <f si="11" t="shared"/>
        <v>1.4056518793452914E-3</v>
      </c>
      <c r="S108" s="15">
        <f si="11" t="shared"/>
        <v>1.456271813732512E-3</v>
      </c>
    </row>
    <row r="109" spans="1:19" x14ac:dyDescent="0.25">
      <c r="A109" s="9">
        <v>0.97916666666666663</v>
      </c>
      <c r="B109" s="15">
        <f si="10" t="shared"/>
        <v>1.9752533915995188E-4</v>
      </c>
      <c r="C109" s="15">
        <f si="10" t="shared"/>
        <v>1.6821445076714353E-3</v>
      </c>
      <c r="D109" s="15">
        <f si="10" t="shared"/>
        <v>1.5787299603832355E-3</v>
      </c>
      <c r="E109" s="15">
        <f si="10" t="shared"/>
        <v>7.626690756754698E-4</v>
      </c>
      <c r="F109" s="15">
        <f si="10" t="shared"/>
        <v>9.0904523443734967E-4</v>
      </c>
      <c r="G109" s="15">
        <f si="10" t="shared"/>
        <v>1.7256560598365529E-3</v>
      </c>
      <c r="H109" s="15">
        <f si="10" t="shared"/>
        <v>9.8120228089441084E-4</v>
      </c>
      <c r="I109" s="15">
        <f si="10" t="shared"/>
        <v>9.3471241184281103E-4</v>
      </c>
      <c r="K109" s="9">
        <v>0.97916666666666663</v>
      </c>
      <c r="L109" s="14">
        <f si="11" t="shared"/>
        <v>6.0179558272484789E-4</v>
      </c>
      <c r="M109" s="14">
        <f si="11" t="shared"/>
        <v>8.3466486196464819E-5</v>
      </c>
      <c r="N109" s="14">
        <f si="11" t="shared"/>
        <v>1.7937016459840932E-3</v>
      </c>
      <c r="O109" s="14">
        <f si="11" t="shared"/>
        <v>7.3410114633242309E-4</v>
      </c>
      <c r="P109" s="14">
        <f si="11" t="shared"/>
        <v>1.296632666811357E-3</v>
      </c>
      <c r="Q109" s="14">
        <f si="11" t="shared"/>
        <v>1.6551713348965649E-3</v>
      </c>
      <c r="R109" s="14">
        <f si="11" t="shared"/>
        <v>8.0517783646321566E-4</v>
      </c>
      <c r="S109" s="15">
        <f si="11" t="shared"/>
        <v>9.4565749189076394E-4</v>
      </c>
    </row>
    <row r="110" spans="1:19" x14ac:dyDescent="0.25">
      <c r="A110" s="9">
        <v>1</v>
      </c>
      <c r="B110" s="15">
        <f si="10" t="shared"/>
        <v>1.2003110739227054E-4</v>
      </c>
      <c r="C110" s="15">
        <f si="10" t="shared"/>
        <v>1.5185768933365521E-3</v>
      </c>
      <c r="D110" s="15">
        <f si="10" t="shared"/>
        <v>8.4575547298791219E-4</v>
      </c>
      <c r="E110" s="15">
        <f si="10" t="shared"/>
        <v>4.7182721672133648E-4</v>
      </c>
      <c r="F110" s="15">
        <f si="10" t="shared"/>
        <v>4.4983095157882281E-4</v>
      </c>
      <c r="G110" s="15">
        <f si="10" t="shared"/>
        <v>1.0137890482437241E-3</v>
      </c>
      <c r="H110" s="15">
        <f si="10" t="shared"/>
        <v>5.1019357838652209E-4</v>
      </c>
      <c r="I110" s="15">
        <f si="10" t="shared"/>
        <v>5.5996243578426317E-4</v>
      </c>
      <c r="K110" s="9">
        <v>1</v>
      </c>
      <c r="L110" s="14">
        <f si="11" t="shared"/>
        <v>3.617984536677024E-4</v>
      </c>
      <c r="M110" s="14">
        <f si="11" t="shared"/>
        <v>3.9291558708563769E-5</v>
      </c>
      <c r="N110" s="14">
        <f si="11" t="shared"/>
        <v>1.1628496265108496E-3</v>
      </c>
      <c r="O110" s="14">
        <f si="11" t="shared"/>
        <v>4.4066381032631136E-4</v>
      </c>
      <c r="P110" s="14">
        <f si="11" t="shared"/>
        <v>8.041646440476324E-4</v>
      </c>
      <c r="Q110" s="14">
        <f si="11" t="shared"/>
        <v>9.6702896416180149E-4</v>
      </c>
      <c r="R110" s="14">
        <f si="11" t="shared"/>
        <v>4.3002984184030641E-4</v>
      </c>
      <c r="S110" s="15">
        <f si="11" t="shared"/>
        <v>5.7326306672052664E-4</v>
      </c>
    </row>
    <row r="111" spans="1:19" x14ac:dyDescent="0.25">
      <c r="A111" s="9">
        <v>1.0208333333333333</v>
      </c>
      <c r="B111" s="15">
        <f si="10" t="shared"/>
        <v>6.6201112506583814E-5</v>
      </c>
      <c r="C111" s="15">
        <f si="10" t="shared"/>
        <v>1.1358331300091143E-3</v>
      </c>
      <c r="D111" s="15">
        <f si="10" t="shared"/>
        <v>4.0143757592973097E-4</v>
      </c>
      <c r="E111" s="15">
        <f si="10" t="shared"/>
        <v>2.6740282250170907E-4</v>
      </c>
      <c r="F111" s="15">
        <f si="10" t="shared"/>
        <v>2.0183629433240409E-4</v>
      </c>
      <c r="G111" s="15">
        <f si="10" t="shared"/>
        <v>5.3438252325898683E-4</v>
      </c>
      <c r="H111" s="15">
        <f si="10" t="shared"/>
        <v>2.3528527759973851E-4</v>
      </c>
      <c r="I111" s="15">
        <f si="10" t="shared"/>
        <v>3.0813538601076222E-4</v>
      </c>
      <c r="K111" s="9">
        <v>1.0208333333333333</v>
      </c>
      <c r="L111" s="14">
        <f si="11" t="shared"/>
        <v>1.9606034268798716E-4</v>
      </c>
      <c r="M111" s="14">
        <f si="11" t="shared"/>
        <v>1.7622032280023772E-5</v>
      </c>
      <c r="N111" s="14">
        <f si="11" t="shared"/>
        <v>6.7499305241566776E-4</v>
      </c>
      <c r="O111" s="14">
        <f si="11" t="shared"/>
        <v>2.4069303466291015E-4</v>
      </c>
      <c r="P111" s="14">
        <f si="11" t="shared"/>
        <v>4.5072909025524764E-4</v>
      </c>
      <c r="Q111" s="14">
        <f si="11" t="shared"/>
        <v>5.1281858706064083E-4</v>
      </c>
      <c r="R111" s="14">
        <f si="11" t="shared"/>
        <v>2.1017847946349556E-4</v>
      </c>
      <c r="S111" s="15">
        <f si="11" t="shared"/>
        <v>3.1518417534520259E-4</v>
      </c>
    </row>
    <row r="112" spans="1:19" x14ac:dyDescent="0.25">
      <c r="A112" s="9">
        <v>4.1666666666666664E-2</v>
      </c>
      <c r="B112" s="15">
        <f si="10" t="shared"/>
        <v>3.2184439065926055E-5</v>
      </c>
      <c r="C112" s="15">
        <f si="10" t="shared"/>
        <v>6.9815777373398154E-4</v>
      </c>
      <c r="D112" s="15">
        <f si="10" t="shared"/>
        <v>1.6611940241002628E-4</v>
      </c>
      <c r="E112" s="15">
        <f si="10" t="shared"/>
        <v>1.344685078721347E-4</v>
      </c>
      <c r="F112" s="15">
        <f si="10" t="shared"/>
        <v>8.0835101984487933E-5</v>
      </c>
      <c r="G112" s="15">
        <f si="10" t="shared"/>
        <v>2.4868705967950709E-4</v>
      </c>
      <c r="H112" s="15">
        <f si="10" t="shared"/>
        <v>9.4505211459816146E-5</v>
      </c>
      <c r="I112" s="15">
        <f si="10" t="shared"/>
        <v>1.5141149085221248E-4</v>
      </c>
      <c r="K112" s="9">
        <v>4.1666666666666664E-2</v>
      </c>
      <c r="L112" s="14">
        <f si="11" t="shared"/>
        <v>9.3473463648379704E-5</v>
      </c>
      <c r="M112" s="14">
        <f si="11" t="shared"/>
        <v>7.360352106154528E-6</v>
      </c>
      <c r="N112" s="14">
        <f si="11" t="shared"/>
        <v>3.4077472824851999E-4</v>
      </c>
      <c r="O112" s="14">
        <f si="11" t="shared"/>
        <v>1.1597898212404468E-4</v>
      </c>
      <c r="P112" s="14">
        <f si="11" t="shared"/>
        <v>2.2140564372841266E-4</v>
      </c>
      <c r="Q112" s="14">
        <f si="11" t="shared"/>
        <v>2.4032085376966673E-4</v>
      </c>
      <c r="R112" s="14">
        <f si="11" t="shared"/>
        <v>9.1630301523429626E-5</v>
      </c>
      <c r="S112" s="15">
        <f si="11" t="shared"/>
        <v>1.5254806366456032E-4</v>
      </c>
    </row>
    <row r="113" spans="1:19" x14ac:dyDescent="0.25">
      <c r="A113" s="9">
        <v>6.25E-2</v>
      </c>
      <c r="B113" s="15">
        <f si="10" t="shared"/>
        <v>1.3362572020829902E-5</v>
      </c>
      <c r="C113" s="15">
        <f si="10" t="shared"/>
        <v>3.4887736033840374E-4</v>
      </c>
      <c r="D113" s="15">
        <f si="10" t="shared"/>
        <v>5.8756791178186237E-5</v>
      </c>
      <c r="E113" s="15">
        <f si="10" t="shared"/>
        <v>5.8239140894709971E-5</v>
      </c>
      <c r="F113" s="15">
        <f si="10" t="shared"/>
        <v>2.8284971414677141E-5</v>
      </c>
      <c r="G113" s="15">
        <f si="10" t="shared"/>
        <v>1.0038931620779216E-4</v>
      </c>
      <c r="H113" s="15">
        <f si="10" t="shared"/>
        <v>3.2556475543651669E-5</v>
      </c>
      <c r="I113" s="15">
        <f si="10" t="shared"/>
        <v>6.4440241170704256E-5</v>
      </c>
      <c r="K113" s="9">
        <v>6.25E-2</v>
      </c>
      <c r="L113" s="14">
        <f si="11" t="shared"/>
        <v>3.8196013543948777E-5</v>
      </c>
      <c r="M113" s="14">
        <f si="11" t="shared"/>
        <v>2.7430473408210308E-6</v>
      </c>
      <c r="N113" s="14">
        <f si="11" t="shared"/>
        <v>1.4574299997562585E-4</v>
      </c>
      <c r="O113" s="14">
        <f si="11" t="shared"/>
        <v>4.7862638776050152E-5</v>
      </c>
      <c r="P113" s="14">
        <f si="11" t="shared"/>
        <v>9.2629380396985311E-5</v>
      </c>
      <c r="Q113" s="14">
        <f si="11" t="shared"/>
        <v>9.6806639674291734E-5</v>
      </c>
      <c r="R113" s="14">
        <f si="11" t="shared"/>
        <v>3.4614622697186835E-5</v>
      </c>
      <c r="S113" s="15">
        <f si="11" t="shared"/>
        <v>6.3146070291917369E-5</v>
      </c>
    </row>
    <row r="114" spans="1:19" x14ac:dyDescent="0.25">
      <c r="A114" s="9">
        <v>8.3333333333333329E-2</v>
      </c>
      <c r="B114" s="15">
        <f si="10" t="shared"/>
        <v>4.588923548651966E-6</v>
      </c>
      <c r="C114" s="15">
        <f si="10" t="shared"/>
        <v>1.3950321553539785E-4</v>
      </c>
      <c r="D114" s="15">
        <f si="10" t="shared"/>
        <v>1.7322163050047352E-5</v>
      </c>
      <c r="E114" s="15">
        <f si="10" t="shared"/>
        <v>2.1079932924439679E-5</v>
      </c>
      <c r="F114" s="15">
        <f si="10" t="shared"/>
        <v>8.399670752744902E-6</v>
      </c>
      <c r="G114" s="15">
        <f si="10" t="shared"/>
        <v>3.4379557600043623E-5</v>
      </c>
      <c r="H114" s="15">
        <f si="10" t="shared"/>
        <v>9.4773053897312637E-6</v>
      </c>
      <c r="I114" s="15">
        <f si="10" t="shared"/>
        <v>2.2994820126501606E-5</v>
      </c>
      <c r="K114" s="9">
        <v>8.3333333333333329E-2</v>
      </c>
      <c r="L114" s="14">
        <f si="11" t="shared"/>
        <v>1.2999795849094253E-5</v>
      </c>
      <c r="M114" s="14">
        <f si="11" t="shared"/>
        <v>8.6908040116063199E-7</v>
      </c>
      <c r="N114" s="14">
        <f si="11" t="shared"/>
        <v>5.1407716264264403E-5</v>
      </c>
      <c r="O114" s="14">
        <f si="11" t="shared"/>
        <v>1.6421451774592224E-5</v>
      </c>
      <c r="P114" s="14">
        <f si="11" t="shared"/>
        <v>3.2077155908566742E-5</v>
      </c>
      <c r="Q114" s="14">
        <f si="11" t="shared"/>
        <v>3.2555962251545618E-5</v>
      </c>
      <c r="R114" s="14">
        <f si="11" t="shared"/>
        <v>1.0982889754340352E-5</v>
      </c>
      <c r="S114" s="15">
        <f si="11" t="shared"/>
        <v>2.1710222575630975E-5</v>
      </c>
    </row>
    <row r="115" spans="1:19" x14ac:dyDescent="0.25">
      <c r="A115" s="9">
        <v>0.10416666666666667</v>
      </c>
      <c r="B115" s="15">
        <f si="10" t="shared"/>
        <v>1.2588360573266919E-6</v>
      </c>
      <c r="C115" s="15">
        <f si="10" t="shared"/>
        <v>4.3575269524175746E-5</v>
      </c>
      <c r="D115" s="15">
        <f si="10" t="shared"/>
        <v>4.1181514033994605E-6</v>
      </c>
      <c r="E115" s="15">
        <f si="10" t="shared"/>
        <v>6.1589058112959199E-6</v>
      </c>
      <c r="F115" s="15">
        <f si="10" t="shared"/>
        <v>2.0375599368101342E-6</v>
      </c>
      <c r="G115" s="15">
        <f si="10" t="shared"/>
        <v>9.7003240630258428E-6</v>
      </c>
      <c r="H115" s="15">
        <f si="10" t="shared"/>
        <v>2.2878257223665013E-6</v>
      </c>
      <c r="I115" s="15">
        <f si="10" t="shared"/>
        <v>6.6323437556686914E-6</v>
      </c>
      <c r="K115" s="9">
        <v>0.10416666666666667</v>
      </c>
      <c r="L115" s="14">
        <f si="11" t="shared"/>
        <v>3.5621504170120406E-6</v>
      </c>
      <c r="M115" s="14">
        <f si="11" t="shared"/>
        <v>2.2317616009492792E-7</v>
      </c>
      <c r="N115" s="14">
        <f si="11" t="shared"/>
        <v>1.4489510123460168E-5</v>
      </c>
      <c r="O115" s="14">
        <f si="11" t="shared"/>
        <v>4.528466465049253E-6</v>
      </c>
      <c r="P115" s="14">
        <f si="11" t="shared"/>
        <v>8.8983218262215052E-6</v>
      </c>
      <c r="Q115" s="14">
        <f si="11" t="shared"/>
        <v>8.8357543416198278E-6</v>
      </c>
      <c r="R115" s="14">
        <f si="11" t="shared"/>
        <v>2.8248481649511569E-6</v>
      </c>
      <c r="S115" s="15">
        <f si="11" t="shared"/>
        <v>5.9950724384421941E-6</v>
      </c>
    </row>
    <row r="116" spans="1:19" x14ac:dyDescent="0.25">
      <c r="A116" s="9">
        <v>0.125</v>
      </c>
      <c r="B116" s="15">
        <f ref="B116:I117" si="12" t="shared">B59/B$61</f>
        <v>2.6033346302608519E-7</v>
      </c>
      <c r="C116" s="15">
        <f si="12" t="shared"/>
        <v>1.0073338720370601E-5</v>
      </c>
      <c r="D116" s="15">
        <f si="12" t="shared"/>
        <v>7.4628965798994638E-7</v>
      </c>
      <c r="E116" s="15">
        <f si="12" t="shared"/>
        <v>1.3657178706670521E-6</v>
      </c>
      <c r="F116" s="15">
        <f si="12" t="shared"/>
        <v>3.7935138888739621E-7</v>
      </c>
      <c r="G116" s="15">
        <f si="12" t="shared"/>
        <v>2.1295162795034581E-6</v>
      </c>
      <c r="H116" s="15">
        <f si="12" t="shared"/>
        <v>4.3788656512115752E-7</v>
      </c>
      <c r="I116" s="15">
        <f si="12" t="shared"/>
        <v>1.4533955958032565E-6</v>
      </c>
      <c r="K116" s="9">
        <v>0.125</v>
      </c>
      <c r="L116" s="14">
        <f ref="L116:S117" si="13" t="shared">L59/L$61</f>
        <v>7.4094522694308809E-7</v>
      </c>
      <c r="M116" s="14">
        <f si="13" t="shared"/>
        <v>4.3563789814630067E-8</v>
      </c>
      <c r="N116" s="14">
        <f si="13" t="shared"/>
        <v>3.0815008621589877E-6</v>
      </c>
      <c r="O116" s="14">
        <f si="13" t="shared"/>
        <v>9.4672864200562653E-7</v>
      </c>
      <c r="P116" s="14">
        <f si="13" t="shared"/>
        <v>1.8666170818085477E-6</v>
      </c>
      <c r="Q116" s="14">
        <f si="13" t="shared"/>
        <v>1.8251212593616503E-6</v>
      </c>
      <c r="R116" s="14">
        <f si="13" t="shared"/>
        <v>5.555752953403069E-7</v>
      </c>
      <c r="S116" s="15">
        <f si="13" t="shared"/>
        <v>1.2543382151919095E-6</v>
      </c>
    </row>
    <row ht="15.75" r="117" spans="1:19" thickBot="1" x14ac:dyDescent="0.3">
      <c r="A117" s="10" t="s">
        <v>7</v>
      </c>
      <c r="B117" s="17">
        <f si="12" t="shared"/>
        <v>0</v>
      </c>
      <c r="C117" s="17">
        <f si="12" t="shared"/>
        <v>0</v>
      </c>
      <c r="D117" s="17">
        <f si="12" t="shared"/>
        <v>0</v>
      </c>
      <c r="E117" s="17">
        <f si="12" t="shared"/>
        <v>0</v>
      </c>
      <c r="F117" s="17">
        <f si="12" t="shared"/>
        <v>0</v>
      </c>
      <c r="G117" s="17">
        <f si="12" t="shared"/>
        <v>0</v>
      </c>
      <c r="H117" s="17">
        <f si="12" t="shared"/>
        <v>0</v>
      </c>
      <c r="I117" s="17">
        <f si="12" t="shared"/>
        <v>0</v>
      </c>
      <c r="K117" s="10" t="s">
        <v>7</v>
      </c>
      <c r="L117" s="16">
        <f si="13" t="shared"/>
        <v>0</v>
      </c>
      <c r="M117" s="16">
        <f si="13" t="shared"/>
        <v>0</v>
      </c>
      <c r="N117" s="16">
        <f si="13" t="shared"/>
        <v>0</v>
      </c>
      <c r="O117" s="16">
        <f si="13" t="shared"/>
        <v>0</v>
      </c>
      <c r="P117" s="16">
        <f si="13" t="shared"/>
        <v>0</v>
      </c>
      <c r="Q117" s="16">
        <f si="13" t="shared"/>
        <v>0</v>
      </c>
      <c r="R117" s="16">
        <f si="13" t="shared"/>
        <v>0</v>
      </c>
      <c r="S117" s="17">
        <f si="13" t="shared"/>
        <v>0</v>
      </c>
    </row>
  </sheetData>
  <pageMargins bottom="0.75" footer="0.3" header="0.3" left="0.7" right="0.7" top="0.75"/>
  <drawing r:id="rId1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8"/>
  <dimension ref="A2:B22"/>
  <sheetViews>
    <sheetView tabSelected="1" workbookViewId="0"/>
  </sheetViews>
  <sheetFormatPr defaultRowHeight="15" x14ac:dyDescent="0.25"/>
  <sheetData>
    <row r="2" spans="1:2" x14ac:dyDescent="0.25">
      <c r="A2" s="6" t="s">
        <v>25</v>
      </c>
    </row>
    <row r="3" spans="1:2" x14ac:dyDescent="0.25">
      <c r="B3" t="s">
        <v>26</v>
      </c>
    </row>
    <row r="4" spans="1:2" x14ac:dyDescent="0.25">
      <c r="B4" t="s">
        <v>27</v>
      </c>
    </row>
    <row r="5" spans="1:2" x14ac:dyDescent="0.25">
      <c r="B5" t="s">
        <v>28</v>
      </c>
    </row>
    <row r="6" spans="1:2" x14ac:dyDescent="0.25">
      <c r="B6" t="s">
        <v>29</v>
      </c>
    </row>
    <row r="22" spans="1:1" x14ac:dyDescent="0.25">
      <c r="A22" s="6"/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6</vt:i4>
      </vt:variant>
      <vt:variant>
        <vt:lpstr>Named Ranges</vt:lpstr>
      </vt:variant>
      <vt:variant>
        <vt:i4>13</vt:i4>
      </vt:variant>
    </vt:vector>
  </HeadingPairs>
  <TitlesOfParts>
    <vt:vector baseType="lpstr" size="19">
      <vt:lpstr>Arrival_Time_Outbound_Half_Tour</vt:lpstr>
      <vt:lpstr>Depart_Time_Return_Half_Tour</vt:lpstr>
      <vt:lpstr>Duration</vt:lpstr>
      <vt:lpstr>Arrival_Time_All</vt:lpstr>
      <vt:lpstr>Depart_Time_All</vt:lpstr>
      <vt:lpstr>Documentation</vt:lpstr>
      <vt:lpstr>ARRTIME</vt:lpstr>
      <vt:lpstr>DEPTIME</vt:lpstr>
      <vt:lpstr>DURDEST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Nagendra Dhakar</cp:lastModifiedBy>
  <dcterms:modified xsi:type="dcterms:W3CDTF">2017-04-27T23:04:43Z</dcterms:modified>
</cp:coreProperties>
</file>