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charts/chart13.xml" ContentType="application/vnd.openxmlformats-officedocument.drawingml.chart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drawings/drawing6.xml" ContentType="application/vnd.openxmlformats-officedocument.drawing+xml"/>
  <Override PartName="/xl/charts/chart15.xml" ContentType="application/vnd.openxmlformats-officedocument.drawingml.chart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drawings/drawing8.xml" ContentType="application/vnd.openxmlformats-officedocument.drawing+xml"/>
  <Override PartName="/xl/charts/chart17.xml" ContentType="application/vnd.openxmlformats-officedocument.drawingml.chart+xml"/>
  <Override PartName="/xl/drawings/drawing9.xml" ContentType="application/vnd.openxmlformats-officedocument.drawing+xml"/>
  <Override PartName="/xl/charts/chart18.xml" ContentType="application/vnd.openxmlformats-officedocument.drawingml.chart+xml"/>
  <Override PartName="/xl/drawings/drawing10.xml" ContentType="application/vnd.openxmlformats-officedocument.drawing+xml"/>
  <Override PartName="/xl/charts/chart19.xml" ContentType="application/vnd.openxmlformats-officedocument.drawingml.chart+xml"/>
  <Override PartName="/xl/drawings/drawing11.xml" ContentType="application/vnd.openxmlformats-officedocument.drawing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83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Clients\bkr\tasks\calibration\daysim_summaries\output\"/>
    </mc:Choice>
  </mc:AlternateContent>
  <bookViews>
    <workbookView xWindow="10050" yWindow="-15" windowWidth="14190" windowHeight="10695" firstSheet="6" activeTab="11"/>
  </bookViews>
  <sheets>
    <sheet name="Arrival_Time" sheetId="12" r:id="rId1"/>
    <sheet name="Departure_Time" sheetId="3" r:id="rId2"/>
    <sheet name="Duration" sheetId="13" r:id="rId3"/>
    <sheet name="Arrival_Time_Work" sheetId="15" r:id="rId4"/>
    <sheet name="Arrival_Time_School" sheetId="16" r:id="rId5"/>
    <sheet name="Arrival_Time_Other" sheetId="17" r:id="rId6"/>
    <sheet name="Arrival_Time_Workbased" sheetId="18" r:id="rId7"/>
    <sheet name="Depart_Time_Work" sheetId="19" r:id="rId8"/>
    <sheet name="Depart_Time_School" sheetId="20" r:id="rId9"/>
    <sheet name="Depart_Time_Other" sheetId="21" r:id="rId10"/>
    <sheet name="Depart_Time_Workbased" sheetId="22" r:id="rId11"/>
    <sheet name="Documentation" sheetId="7" r:id="rId12"/>
  </sheets>
  <definedNames>
    <definedName name="DURDEST">Duration!$I$8:$L$57</definedName>
    <definedName name="Other_Arrival">Arrival_Time_Other!$M$8:$T$59</definedName>
    <definedName name="out1">Arrival_Time!$B$8:$E$58</definedName>
    <definedName name="out10">Arrival_Time_School!$M$8:$T$58</definedName>
    <definedName name="out11">Arrival_Time_Other!$B$8:$I$58</definedName>
    <definedName name="out12">Arrival_Time_Other!$M$8:$T$58</definedName>
    <definedName name="out13">Arrival_Time_Workbased!$B$8:$I$58</definedName>
    <definedName name="out14">Arrival_Time_Workbased!$M$8:$T$58</definedName>
    <definedName name="out15">Depart_Time_Work!$B$8:$I$58</definedName>
    <definedName name="out16">Depart_Time_Work!$M$8:$T$58</definedName>
    <definedName name="out17">Depart_Time_School!$B$8:$I$58</definedName>
    <definedName name="out18">Depart_Time_School!$M$8:$T$58</definedName>
    <definedName name="out19">Depart_Time_Other!$B$8:$I$58</definedName>
    <definedName name="out2">Arrival_Time!$I$8:$L$58</definedName>
    <definedName name="out20">Depart_Time_Other!$M$8:$T$58</definedName>
    <definedName name="out21">Depart_Time_Workbased!$B$8:$I$58</definedName>
    <definedName name="out22">Depart_Time_Workbased!$M$8:$T$58</definedName>
    <definedName name="out3">Departure_Time!$B$8:$E$58</definedName>
    <definedName name="out4">Departure_Time!$I$8:$L$58</definedName>
    <definedName name="out5">Duration!$B$8:$E$56</definedName>
    <definedName name="out6">Duration!$I$8:$L$56</definedName>
    <definedName name="out7">Arrival_Time_Work!$B$8:$I$58</definedName>
    <definedName name="out8">Arrival_Time_Work!$M$8:$T$58</definedName>
    <definedName name="out9">Arrival_Time_School!$B$8:$I$58</definedName>
    <definedName name="School_Arrival">Arrival_Time_School!$M$8:$T$59</definedName>
    <definedName name="TIMARRPD">Arrival_Time!$I$8:$L$59</definedName>
    <definedName name="TIMDEPPD">Departure_Time!$I$8:$L$59</definedName>
    <definedName name="Work_Arrival">Arrival_Time_Work!$M$8:$T$59</definedName>
    <definedName name="Workbased_Arrival">Arrival_Time_Workbased!$M$8:$T$59</definedName>
  </definedNames>
  <calcPr calcId="171027"/>
</workbook>
</file>

<file path=xl/calcChain.xml><?xml version="1.0" encoding="utf-8"?>
<calcChain xmlns="http://schemas.openxmlformats.org/spreadsheetml/2006/main">
  <c r="U58" i="22" l="1"/>
  <c r="J58" i="22"/>
  <c r="U57" i="22"/>
  <c r="J57" i="22"/>
  <c r="U56" i="22"/>
  <c r="J56" i="22"/>
  <c r="U55" i="22"/>
  <c r="J55" i="22"/>
  <c r="U54" i="22"/>
  <c r="J54" i="22"/>
  <c r="U53" i="22"/>
  <c r="J53" i="22"/>
  <c r="U52" i="22"/>
  <c r="J52" i="22"/>
  <c r="U51" i="22"/>
  <c r="J51" i="22"/>
  <c r="U50" i="22"/>
  <c r="J50" i="22"/>
  <c r="U49" i="22"/>
  <c r="J49" i="22"/>
  <c r="U48" i="22"/>
  <c r="J48" i="22"/>
  <c r="U47" i="22"/>
  <c r="J47" i="22"/>
  <c r="U46" i="22"/>
  <c r="J46" i="22"/>
  <c r="U45" i="22"/>
  <c r="J45" i="22"/>
  <c r="U44" i="22"/>
  <c r="J44" i="22"/>
  <c r="U43" i="22"/>
  <c r="J43" i="22"/>
  <c r="U42" i="22"/>
  <c r="J42" i="22"/>
  <c r="U41" i="22"/>
  <c r="J41" i="22"/>
  <c r="U40" i="22"/>
  <c r="J40" i="22"/>
  <c r="U39" i="22"/>
  <c r="J39" i="22"/>
  <c r="U38" i="22"/>
  <c r="J38" i="22"/>
  <c r="U37" i="22"/>
  <c r="J37" i="22"/>
  <c r="U36" i="22"/>
  <c r="J36" i="22"/>
  <c r="U35" i="22"/>
  <c r="J35" i="22"/>
  <c r="U34" i="22"/>
  <c r="J34" i="22"/>
  <c r="U33" i="22"/>
  <c r="J33" i="22"/>
  <c r="U32" i="22"/>
  <c r="J32" i="22"/>
  <c r="U31" i="22"/>
  <c r="J31" i="22"/>
  <c r="U30" i="22"/>
  <c r="J30" i="22"/>
  <c r="U29" i="22"/>
  <c r="J29" i="22"/>
  <c r="U28" i="22"/>
  <c r="J28" i="22"/>
  <c r="U27" i="22"/>
  <c r="J27" i="22"/>
  <c r="U26" i="22"/>
  <c r="J26" i="22"/>
  <c r="U25" i="22"/>
  <c r="J25" i="22"/>
  <c r="U24" i="22"/>
  <c r="J24" i="22"/>
  <c r="U23" i="22"/>
  <c r="J23" i="22"/>
  <c r="U22" i="22"/>
  <c r="J22" i="22"/>
  <c r="U21" i="22"/>
  <c r="J21" i="22"/>
  <c r="U20" i="22"/>
  <c r="J20" i="22"/>
  <c r="U19" i="22"/>
  <c r="J19" i="22"/>
  <c r="U18" i="22"/>
  <c r="J18" i="22"/>
  <c r="U17" i="22"/>
  <c r="J17" i="22"/>
  <c r="U16" i="22"/>
  <c r="J16" i="22"/>
  <c r="U15" i="22"/>
  <c r="J15" i="22"/>
  <c r="U14" i="22"/>
  <c r="J14" i="22"/>
  <c r="U13" i="22"/>
  <c r="J13" i="22"/>
  <c r="U12" i="22"/>
  <c r="J12" i="22"/>
  <c r="U11" i="22"/>
  <c r="J11" i="22"/>
  <c r="U10" i="22"/>
  <c r="J10" i="22"/>
  <c r="U9" i="22"/>
  <c r="J9" i="22"/>
  <c r="U8" i="22"/>
  <c r="J8" i="22"/>
  <c r="U58" i="21"/>
  <c r="J58" i="21"/>
  <c r="U57" i="21"/>
  <c r="J57" i="21"/>
  <c r="U56" i="21"/>
  <c r="J56" i="21"/>
  <c r="U55" i="21"/>
  <c r="J55" i="21"/>
  <c r="U54" i="21"/>
  <c r="J54" i="21"/>
  <c r="U53" i="21"/>
  <c r="J53" i="21"/>
  <c r="U52" i="21"/>
  <c r="J52" i="21"/>
  <c r="U51" i="21"/>
  <c r="J51" i="21"/>
  <c r="U50" i="21"/>
  <c r="J50" i="21"/>
  <c r="U49" i="21"/>
  <c r="J49" i="21"/>
  <c r="U48" i="21"/>
  <c r="J48" i="21"/>
  <c r="U47" i="21"/>
  <c r="J47" i="21"/>
  <c r="U46" i="21"/>
  <c r="J46" i="21"/>
  <c r="U45" i="21"/>
  <c r="J45" i="21"/>
  <c r="U44" i="21"/>
  <c r="J44" i="21"/>
  <c r="U43" i="21"/>
  <c r="J43" i="21"/>
  <c r="U42" i="21"/>
  <c r="J42" i="21"/>
  <c r="U41" i="21"/>
  <c r="J41" i="21"/>
  <c r="U40" i="21"/>
  <c r="J40" i="21"/>
  <c r="U39" i="21"/>
  <c r="J39" i="21"/>
  <c r="U38" i="21"/>
  <c r="J38" i="21"/>
  <c r="U37" i="21"/>
  <c r="J37" i="21"/>
  <c r="U36" i="21"/>
  <c r="J36" i="21"/>
  <c r="U35" i="21"/>
  <c r="J35" i="21"/>
  <c r="U34" i="21"/>
  <c r="J34" i="21"/>
  <c r="U33" i="21"/>
  <c r="J33" i="21"/>
  <c r="U32" i="21"/>
  <c r="J32" i="21"/>
  <c r="U31" i="21"/>
  <c r="J31" i="21"/>
  <c r="U30" i="21"/>
  <c r="J30" i="21"/>
  <c r="U29" i="21"/>
  <c r="J29" i="21"/>
  <c r="U28" i="21"/>
  <c r="J28" i="21"/>
  <c r="U27" i="21"/>
  <c r="J27" i="21"/>
  <c r="U26" i="21"/>
  <c r="J26" i="21"/>
  <c r="U25" i="21"/>
  <c r="J25" i="21"/>
  <c r="U24" i="21"/>
  <c r="J24" i="21"/>
  <c r="U23" i="21"/>
  <c r="J23" i="21"/>
  <c r="U22" i="21"/>
  <c r="J22" i="21"/>
  <c r="U21" i="21"/>
  <c r="J21" i="21"/>
  <c r="U20" i="21"/>
  <c r="J20" i="21"/>
  <c r="U19" i="21"/>
  <c r="J19" i="21"/>
  <c r="U18" i="21"/>
  <c r="J18" i="21"/>
  <c r="U17" i="21"/>
  <c r="J17" i="21"/>
  <c r="U16" i="21"/>
  <c r="J16" i="21"/>
  <c r="U15" i="21"/>
  <c r="J15" i="21"/>
  <c r="U14" i="21"/>
  <c r="J14" i="21"/>
  <c r="U13" i="21"/>
  <c r="J13" i="21"/>
  <c r="U12" i="21"/>
  <c r="J12" i="21"/>
  <c r="U11" i="21"/>
  <c r="J11" i="21"/>
  <c r="U10" i="21"/>
  <c r="J10" i="21"/>
  <c r="U9" i="21"/>
  <c r="J9" i="21"/>
  <c r="U8" i="21"/>
  <c r="J8" i="21"/>
  <c r="U58" i="20"/>
  <c r="J58" i="20"/>
  <c r="U57" i="20"/>
  <c r="J57" i="20"/>
  <c r="U56" i="20"/>
  <c r="J56" i="20"/>
  <c r="U55" i="20"/>
  <c r="J55" i="20"/>
  <c r="U54" i="20"/>
  <c r="J54" i="20"/>
  <c r="U53" i="20"/>
  <c r="J53" i="20"/>
  <c r="U52" i="20"/>
  <c r="J52" i="20"/>
  <c r="U51" i="20"/>
  <c r="J51" i="20"/>
  <c r="U50" i="20"/>
  <c r="J50" i="20"/>
  <c r="U49" i="20"/>
  <c r="J49" i="20"/>
  <c r="U48" i="20"/>
  <c r="J48" i="20"/>
  <c r="U47" i="20"/>
  <c r="J47" i="20"/>
  <c r="U46" i="20"/>
  <c r="J46" i="20"/>
  <c r="U45" i="20"/>
  <c r="J45" i="20"/>
  <c r="U44" i="20"/>
  <c r="J44" i="20"/>
  <c r="U43" i="20"/>
  <c r="J43" i="20"/>
  <c r="U42" i="20"/>
  <c r="J42" i="20"/>
  <c r="U41" i="20"/>
  <c r="J41" i="20"/>
  <c r="U40" i="20"/>
  <c r="J40" i="20"/>
  <c r="U39" i="20"/>
  <c r="J39" i="20"/>
  <c r="U38" i="20"/>
  <c r="J38" i="20"/>
  <c r="U37" i="20"/>
  <c r="J37" i="20"/>
  <c r="U36" i="20"/>
  <c r="J36" i="20"/>
  <c r="U35" i="20"/>
  <c r="J35" i="20"/>
  <c r="U34" i="20"/>
  <c r="J34" i="20"/>
  <c r="U33" i="20"/>
  <c r="J33" i="20"/>
  <c r="U32" i="20"/>
  <c r="J32" i="20"/>
  <c r="U31" i="20"/>
  <c r="J31" i="20"/>
  <c r="U30" i="20"/>
  <c r="J30" i="20"/>
  <c r="U29" i="20"/>
  <c r="J29" i="20"/>
  <c r="U28" i="20"/>
  <c r="J28" i="20"/>
  <c r="U27" i="20"/>
  <c r="J27" i="20"/>
  <c r="U26" i="20"/>
  <c r="J26" i="20"/>
  <c r="U25" i="20"/>
  <c r="J25" i="20"/>
  <c r="U24" i="20"/>
  <c r="J24" i="20"/>
  <c r="U23" i="20"/>
  <c r="J23" i="20"/>
  <c r="U22" i="20"/>
  <c r="J22" i="20"/>
  <c r="U21" i="20"/>
  <c r="J21" i="20"/>
  <c r="U20" i="20"/>
  <c r="J20" i="20"/>
  <c r="U19" i="20"/>
  <c r="J19" i="20"/>
  <c r="U18" i="20"/>
  <c r="J18" i="20"/>
  <c r="U17" i="20"/>
  <c r="J17" i="20"/>
  <c r="U16" i="20"/>
  <c r="J16" i="20"/>
  <c r="U15" i="20"/>
  <c r="J15" i="20"/>
  <c r="U14" i="20"/>
  <c r="J14" i="20"/>
  <c r="U13" i="20"/>
  <c r="J13" i="20"/>
  <c r="U12" i="20"/>
  <c r="J12" i="20"/>
  <c r="U11" i="20"/>
  <c r="J11" i="20"/>
  <c r="U10" i="20"/>
  <c r="J10" i="20"/>
  <c r="U9" i="20"/>
  <c r="J9" i="20"/>
  <c r="U8" i="20"/>
  <c r="J8" i="20"/>
  <c r="U58" i="19" l="1"/>
  <c r="J58" i="19"/>
  <c r="U57" i="19"/>
  <c r="J57" i="19"/>
  <c r="U56" i="19"/>
  <c r="J56" i="19"/>
  <c r="U55" i="19"/>
  <c r="J55" i="19"/>
  <c r="U54" i="19"/>
  <c r="J54" i="19"/>
  <c r="U53" i="19"/>
  <c r="J53" i="19"/>
  <c r="U52" i="19"/>
  <c r="J52" i="19"/>
  <c r="U51" i="19"/>
  <c r="J51" i="19"/>
  <c r="U50" i="19"/>
  <c r="J50" i="19"/>
  <c r="U49" i="19"/>
  <c r="J49" i="19"/>
  <c r="U48" i="19"/>
  <c r="J48" i="19"/>
  <c r="U47" i="19"/>
  <c r="J47" i="19"/>
  <c r="U46" i="19"/>
  <c r="J46" i="19"/>
  <c r="U45" i="19"/>
  <c r="J45" i="19"/>
  <c r="U44" i="19"/>
  <c r="J44" i="19"/>
  <c r="U43" i="19"/>
  <c r="J43" i="19"/>
  <c r="U42" i="19"/>
  <c r="J42" i="19"/>
  <c r="U41" i="19"/>
  <c r="J41" i="19"/>
  <c r="U40" i="19"/>
  <c r="J40" i="19"/>
  <c r="U39" i="19"/>
  <c r="J39" i="19"/>
  <c r="U38" i="19"/>
  <c r="J38" i="19"/>
  <c r="U37" i="19"/>
  <c r="J37" i="19"/>
  <c r="U36" i="19"/>
  <c r="J36" i="19"/>
  <c r="U35" i="19"/>
  <c r="J35" i="19"/>
  <c r="U34" i="19"/>
  <c r="J34" i="19"/>
  <c r="U33" i="19"/>
  <c r="J33" i="19"/>
  <c r="U32" i="19"/>
  <c r="J32" i="19"/>
  <c r="U31" i="19"/>
  <c r="J31" i="19"/>
  <c r="U30" i="19"/>
  <c r="J30" i="19"/>
  <c r="U29" i="19"/>
  <c r="J29" i="19"/>
  <c r="U28" i="19"/>
  <c r="J28" i="19"/>
  <c r="U27" i="19"/>
  <c r="J27" i="19"/>
  <c r="U26" i="19"/>
  <c r="J26" i="19"/>
  <c r="U25" i="19"/>
  <c r="J25" i="19"/>
  <c r="U24" i="19"/>
  <c r="J24" i="19"/>
  <c r="U23" i="19"/>
  <c r="J23" i="19"/>
  <c r="U22" i="19"/>
  <c r="J22" i="19"/>
  <c r="U21" i="19"/>
  <c r="J21" i="19"/>
  <c r="U20" i="19"/>
  <c r="J20" i="19"/>
  <c r="U19" i="19"/>
  <c r="J19" i="19"/>
  <c r="U18" i="19"/>
  <c r="J18" i="19"/>
  <c r="U17" i="19"/>
  <c r="J17" i="19"/>
  <c r="U16" i="19"/>
  <c r="J16" i="19"/>
  <c r="U15" i="19"/>
  <c r="J15" i="19"/>
  <c r="U14" i="19"/>
  <c r="J14" i="19"/>
  <c r="U13" i="19"/>
  <c r="J13" i="19"/>
  <c r="U12" i="19"/>
  <c r="J12" i="19"/>
  <c r="U11" i="19"/>
  <c r="J11" i="19"/>
  <c r="U10" i="19"/>
  <c r="J10" i="19"/>
  <c r="U9" i="19"/>
  <c r="J9" i="19"/>
  <c r="U8" i="19"/>
  <c r="J8" i="19"/>
  <c r="L57" i="13" l="1"/>
  <c r="L111" i="13" s="1"/>
  <c r="K57" i="13"/>
  <c r="K112" i="13" s="1"/>
  <c r="J57" i="13"/>
  <c r="J113" i="13" s="1"/>
  <c r="I57" i="13"/>
  <c r="I110" i="13" s="1"/>
  <c r="E57" i="13"/>
  <c r="E112" i="13" s="1"/>
  <c r="D57" i="13"/>
  <c r="D113" i="13" s="1"/>
  <c r="C57" i="13"/>
  <c r="C110" i="13" s="1"/>
  <c r="B57" i="13"/>
  <c r="B111" i="13" s="1"/>
  <c r="L59" i="3"/>
  <c r="L115" i="3" s="1"/>
  <c r="K59" i="3"/>
  <c r="K106" i="3" s="1"/>
  <c r="J59" i="3"/>
  <c r="J115" i="3" s="1"/>
  <c r="I59" i="3"/>
  <c r="I115" i="3" s="1"/>
  <c r="E59" i="3"/>
  <c r="E115" i="3" s="1"/>
  <c r="D59" i="3"/>
  <c r="D112" i="3" s="1"/>
  <c r="C59" i="3"/>
  <c r="C114" i="3" s="1"/>
  <c r="B59" i="3"/>
  <c r="B113" i="3" s="1"/>
  <c r="L114" i="3"/>
  <c r="K110" i="3"/>
  <c r="K103" i="3"/>
  <c r="K100" i="3"/>
  <c r="L94" i="3"/>
  <c r="L91" i="3"/>
  <c r="L89" i="3"/>
  <c r="K89" i="3"/>
  <c r="L59" i="12"/>
  <c r="L115" i="12" s="1"/>
  <c r="K59" i="12"/>
  <c r="K112" i="12" s="1"/>
  <c r="J59" i="12"/>
  <c r="J113" i="12" s="1"/>
  <c r="I59" i="12"/>
  <c r="I113" i="12" s="1"/>
  <c r="E59" i="12"/>
  <c r="E110" i="12" s="1"/>
  <c r="D59" i="12"/>
  <c r="D115" i="12" s="1"/>
  <c r="C59" i="12"/>
  <c r="C114" i="12" s="1"/>
  <c r="B59" i="12"/>
  <c r="B115" i="12" s="1"/>
  <c r="U9" i="18"/>
  <c r="U10" i="18"/>
  <c r="U11" i="18"/>
  <c r="U12" i="18"/>
  <c r="U13" i="18"/>
  <c r="U14" i="18"/>
  <c r="U15" i="18"/>
  <c r="U16" i="18"/>
  <c r="U17" i="18"/>
  <c r="U18" i="18"/>
  <c r="U19" i="18"/>
  <c r="U20" i="18"/>
  <c r="U21" i="18"/>
  <c r="U22" i="18"/>
  <c r="U23" i="18"/>
  <c r="U24" i="18"/>
  <c r="U25" i="18"/>
  <c r="U26" i="18"/>
  <c r="U27" i="18"/>
  <c r="U28" i="18"/>
  <c r="U29" i="18"/>
  <c r="U30" i="18"/>
  <c r="U31" i="18"/>
  <c r="U32" i="18"/>
  <c r="U33" i="18"/>
  <c r="U34" i="18"/>
  <c r="U35" i="18"/>
  <c r="U36" i="18"/>
  <c r="U37" i="18"/>
  <c r="U38" i="18"/>
  <c r="U39" i="18"/>
  <c r="U40" i="18"/>
  <c r="U41" i="18"/>
  <c r="U42" i="18"/>
  <c r="U43" i="18"/>
  <c r="U44" i="18"/>
  <c r="U45" i="18"/>
  <c r="U46" i="18"/>
  <c r="U47" i="18"/>
  <c r="U48" i="18"/>
  <c r="U49" i="18"/>
  <c r="U50" i="18"/>
  <c r="U51" i="18"/>
  <c r="U52" i="18"/>
  <c r="U53" i="18"/>
  <c r="U54" i="18"/>
  <c r="U55" i="18"/>
  <c r="U56" i="18"/>
  <c r="U57" i="18"/>
  <c r="U58" i="18"/>
  <c r="U8" i="18"/>
  <c r="U9" i="17"/>
  <c r="U10" i="17"/>
  <c r="U11" i="17"/>
  <c r="U12" i="17"/>
  <c r="U13" i="17"/>
  <c r="U14" i="17"/>
  <c r="U15" i="17"/>
  <c r="U16" i="17"/>
  <c r="U17" i="17"/>
  <c r="U18" i="17"/>
  <c r="U19" i="17"/>
  <c r="U20" i="17"/>
  <c r="U21" i="17"/>
  <c r="U22" i="17"/>
  <c r="U23" i="17"/>
  <c r="U24" i="17"/>
  <c r="U25" i="17"/>
  <c r="U26" i="17"/>
  <c r="U27" i="17"/>
  <c r="U28" i="17"/>
  <c r="U29" i="17"/>
  <c r="U30" i="17"/>
  <c r="U31" i="17"/>
  <c r="U32" i="17"/>
  <c r="U33" i="17"/>
  <c r="U34" i="17"/>
  <c r="U35" i="17"/>
  <c r="U36" i="17"/>
  <c r="U37" i="17"/>
  <c r="U38" i="17"/>
  <c r="U39" i="17"/>
  <c r="U40" i="17"/>
  <c r="U41" i="17"/>
  <c r="U42" i="17"/>
  <c r="U43" i="17"/>
  <c r="U44" i="17"/>
  <c r="U45" i="17"/>
  <c r="U46" i="17"/>
  <c r="U47" i="17"/>
  <c r="U48" i="17"/>
  <c r="U49" i="17"/>
  <c r="U50" i="17"/>
  <c r="U51" i="17"/>
  <c r="U52" i="17"/>
  <c r="U53" i="17"/>
  <c r="U54" i="17"/>
  <c r="U55" i="17"/>
  <c r="U56" i="17"/>
  <c r="U57" i="17"/>
  <c r="U58" i="17"/>
  <c r="U8" i="17"/>
  <c r="U9" i="16"/>
  <c r="U10" i="16"/>
  <c r="U11" i="16"/>
  <c r="U12" i="16"/>
  <c r="U13" i="16"/>
  <c r="U14" i="16"/>
  <c r="U15" i="16"/>
  <c r="U16" i="16"/>
  <c r="U17" i="16"/>
  <c r="U18" i="16"/>
  <c r="U19" i="16"/>
  <c r="U20" i="16"/>
  <c r="U21" i="16"/>
  <c r="U22" i="16"/>
  <c r="U23" i="16"/>
  <c r="U24" i="16"/>
  <c r="U25" i="16"/>
  <c r="U26" i="16"/>
  <c r="U27" i="16"/>
  <c r="U28" i="16"/>
  <c r="U29" i="16"/>
  <c r="U30" i="16"/>
  <c r="U31" i="16"/>
  <c r="U32" i="16"/>
  <c r="U33" i="16"/>
  <c r="U34" i="16"/>
  <c r="U35" i="16"/>
  <c r="U36" i="16"/>
  <c r="U37" i="16"/>
  <c r="U38" i="16"/>
  <c r="U39" i="16"/>
  <c r="U40" i="16"/>
  <c r="U41" i="16"/>
  <c r="U42" i="16"/>
  <c r="U43" i="16"/>
  <c r="U44" i="16"/>
  <c r="U45" i="16"/>
  <c r="U46" i="16"/>
  <c r="U47" i="16"/>
  <c r="U48" i="16"/>
  <c r="U49" i="16"/>
  <c r="U50" i="16"/>
  <c r="U51" i="16"/>
  <c r="U52" i="16"/>
  <c r="U53" i="16"/>
  <c r="U54" i="16"/>
  <c r="U55" i="16"/>
  <c r="U56" i="16"/>
  <c r="U57" i="16"/>
  <c r="U58" i="16"/>
  <c r="U8" i="16"/>
  <c r="U9" i="15"/>
  <c r="U10" i="15"/>
  <c r="U11" i="15"/>
  <c r="U12" i="15"/>
  <c r="U13" i="15"/>
  <c r="U14" i="15"/>
  <c r="U15" i="15"/>
  <c r="U16" i="15"/>
  <c r="U17" i="15"/>
  <c r="U18" i="15"/>
  <c r="U19" i="15"/>
  <c r="U20" i="15"/>
  <c r="U21" i="15"/>
  <c r="U22" i="15"/>
  <c r="U23" i="15"/>
  <c r="U24" i="15"/>
  <c r="U25" i="15"/>
  <c r="U26" i="15"/>
  <c r="U27" i="15"/>
  <c r="U28" i="15"/>
  <c r="U29" i="15"/>
  <c r="U30" i="15"/>
  <c r="U31" i="15"/>
  <c r="U32" i="15"/>
  <c r="U33" i="15"/>
  <c r="U34" i="15"/>
  <c r="U35" i="15"/>
  <c r="U36" i="15"/>
  <c r="U37" i="15"/>
  <c r="U38" i="15"/>
  <c r="U39" i="15"/>
  <c r="U40" i="15"/>
  <c r="U41" i="15"/>
  <c r="U42" i="15"/>
  <c r="U43" i="15"/>
  <c r="U44" i="15"/>
  <c r="U45" i="15"/>
  <c r="U46" i="15"/>
  <c r="U47" i="15"/>
  <c r="U48" i="15"/>
  <c r="U49" i="15"/>
  <c r="U50" i="15"/>
  <c r="U51" i="15"/>
  <c r="U52" i="15"/>
  <c r="U53" i="15"/>
  <c r="U54" i="15"/>
  <c r="U55" i="15"/>
  <c r="U56" i="15"/>
  <c r="U57" i="15"/>
  <c r="U58" i="15"/>
  <c r="U8" i="15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8" i="1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8" i="3"/>
  <c r="M9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M40" i="12"/>
  <c r="M41" i="12"/>
  <c r="M42" i="12"/>
  <c r="M43" i="12"/>
  <c r="M44" i="12"/>
  <c r="M45" i="12"/>
  <c r="M46" i="12"/>
  <c r="M47" i="12"/>
  <c r="M48" i="12"/>
  <c r="M49" i="12"/>
  <c r="M50" i="12"/>
  <c r="M51" i="12"/>
  <c r="M52" i="12"/>
  <c r="M53" i="12"/>
  <c r="M54" i="12"/>
  <c r="M55" i="12"/>
  <c r="M56" i="12"/>
  <c r="M57" i="12"/>
  <c r="M58" i="12"/>
  <c r="M8" i="12"/>
  <c r="J58" i="18"/>
  <c r="J57" i="18"/>
  <c r="J56" i="18"/>
  <c r="J55" i="18"/>
  <c r="J54" i="18"/>
  <c r="J53" i="18"/>
  <c r="J52" i="18"/>
  <c r="J51" i="18"/>
  <c r="J50" i="18"/>
  <c r="J49" i="18"/>
  <c r="J48" i="18"/>
  <c r="J47" i="18"/>
  <c r="J46" i="18"/>
  <c r="J45" i="18"/>
  <c r="J44" i="18"/>
  <c r="J43" i="18"/>
  <c r="J42" i="18"/>
  <c r="J41" i="18"/>
  <c r="J40" i="18"/>
  <c r="J39" i="18"/>
  <c r="J38" i="18"/>
  <c r="J37" i="18"/>
  <c r="J36" i="18"/>
  <c r="J35" i="18"/>
  <c r="J34" i="18"/>
  <c r="J33" i="18"/>
  <c r="J32" i="18"/>
  <c r="J31" i="18"/>
  <c r="J30" i="18"/>
  <c r="J29" i="18"/>
  <c r="J28" i="18"/>
  <c r="J27" i="18"/>
  <c r="J26" i="18"/>
  <c r="J25" i="18"/>
  <c r="J24" i="18"/>
  <c r="J23" i="18"/>
  <c r="J22" i="18"/>
  <c r="J21" i="18"/>
  <c r="J20" i="18"/>
  <c r="J19" i="18"/>
  <c r="J18" i="18"/>
  <c r="J17" i="18"/>
  <c r="J16" i="18"/>
  <c r="J15" i="18"/>
  <c r="J14" i="18"/>
  <c r="J13" i="18"/>
  <c r="J12" i="18"/>
  <c r="J11" i="18"/>
  <c r="J10" i="18"/>
  <c r="J9" i="18"/>
  <c r="J8" i="18"/>
  <c r="J58" i="17"/>
  <c r="J57" i="17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9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58" i="16"/>
  <c r="J57" i="16"/>
  <c r="J56" i="16"/>
  <c r="J55" i="16"/>
  <c r="J54" i="16"/>
  <c r="J53" i="16"/>
  <c r="J52" i="16"/>
  <c r="J51" i="16"/>
  <c r="J50" i="16"/>
  <c r="J49" i="16"/>
  <c r="J48" i="16"/>
  <c r="J47" i="16"/>
  <c r="J46" i="16"/>
  <c r="J45" i="16"/>
  <c r="J44" i="16"/>
  <c r="J43" i="16"/>
  <c r="J42" i="16"/>
  <c r="J41" i="16"/>
  <c r="J40" i="16"/>
  <c r="J39" i="16"/>
  <c r="J38" i="16"/>
  <c r="J37" i="16"/>
  <c r="J36" i="16"/>
  <c r="J35" i="16"/>
  <c r="J34" i="16"/>
  <c r="J33" i="16"/>
  <c r="J32" i="16"/>
  <c r="J31" i="16"/>
  <c r="J30" i="16"/>
  <c r="J29" i="16"/>
  <c r="J28" i="16"/>
  <c r="J27" i="16"/>
  <c r="J26" i="16"/>
  <c r="J25" i="16"/>
  <c r="J24" i="16"/>
  <c r="J23" i="16"/>
  <c r="J22" i="16"/>
  <c r="J21" i="16"/>
  <c r="J20" i="16"/>
  <c r="J19" i="16"/>
  <c r="J18" i="16"/>
  <c r="J17" i="16"/>
  <c r="J16" i="16"/>
  <c r="J15" i="16"/>
  <c r="J14" i="16"/>
  <c r="J13" i="16"/>
  <c r="J12" i="16"/>
  <c r="J11" i="16"/>
  <c r="J10" i="16"/>
  <c r="J9" i="16"/>
  <c r="J8" i="16"/>
  <c r="J9" i="15"/>
  <c r="J10" i="15"/>
  <c r="J11" i="15"/>
  <c r="J12" i="15"/>
  <c r="J13" i="15"/>
  <c r="J14" i="15"/>
  <c r="J15" i="15"/>
  <c r="J16" i="15"/>
  <c r="J17" i="15"/>
  <c r="J18" i="15"/>
  <c r="J19" i="15"/>
  <c r="J20" i="15"/>
  <c r="J21" i="15"/>
  <c r="J22" i="15"/>
  <c r="J23" i="15"/>
  <c r="J24" i="15"/>
  <c r="J25" i="15"/>
  <c r="J26" i="15"/>
  <c r="J27" i="15"/>
  <c r="J28" i="15"/>
  <c r="J29" i="15"/>
  <c r="J30" i="15"/>
  <c r="J31" i="15"/>
  <c r="J32" i="15"/>
  <c r="J33" i="15"/>
  <c r="J34" i="15"/>
  <c r="J35" i="15"/>
  <c r="J36" i="15"/>
  <c r="J37" i="15"/>
  <c r="J38" i="15"/>
  <c r="J39" i="15"/>
  <c r="J40" i="15"/>
  <c r="J41" i="15"/>
  <c r="J42" i="15"/>
  <c r="J43" i="15"/>
  <c r="J44" i="15"/>
  <c r="J45" i="15"/>
  <c r="J46" i="15"/>
  <c r="J47" i="15"/>
  <c r="J48" i="15"/>
  <c r="J49" i="15"/>
  <c r="J50" i="15"/>
  <c r="J51" i="15"/>
  <c r="J52" i="15"/>
  <c r="J53" i="15"/>
  <c r="J54" i="15"/>
  <c r="J55" i="15"/>
  <c r="J56" i="15"/>
  <c r="J57" i="15"/>
  <c r="J58" i="15"/>
  <c r="J8" i="15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F55" i="13"/>
  <c r="F56" i="13"/>
  <c r="F8" i="13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8" i="12"/>
  <c r="D78" i="3" l="1"/>
  <c r="L80" i="3"/>
  <c r="L82" i="3"/>
  <c r="D85" i="3"/>
  <c r="E94" i="3"/>
  <c r="D106" i="3"/>
  <c r="E112" i="3"/>
  <c r="B112" i="3"/>
  <c r="D66" i="3"/>
  <c r="D71" i="3"/>
  <c r="L73" i="3"/>
  <c r="K75" i="3"/>
  <c r="L75" i="3"/>
  <c r="K77" i="3"/>
  <c r="J66" i="3"/>
  <c r="J68" i="3"/>
  <c r="C90" i="3"/>
  <c r="C91" i="3"/>
  <c r="C98" i="3"/>
  <c r="C100" i="3"/>
  <c r="B108" i="3"/>
  <c r="B110" i="3"/>
  <c r="B76" i="3"/>
  <c r="C77" i="3"/>
  <c r="B78" i="3"/>
  <c r="L78" i="3"/>
  <c r="B80" i="3"/>
  <c r="C82" i="3"/>
  <c r="C83" i="3"/>
  <c r="C87" i="3"/>
  <c r="L105" i="3"/>
  <c r="L67" i="3"/>
  <c r="L70" i="3"/>
  <c r="L72" i="3"/>
  <c r="L84" i="3"/>
  <c r="L86" i="3"/>
  <c r="L97" i="3"/>
  <c r="L102" i="3"/>
  <c r="L107" i="3"/>
  <c r="L111" i="3"/>
  <c r="L113" i="3"/>
  <c r="L65" i="3"/>
  <c r="K67" i="3"/>
  <c r="L69" i="3"/>
  <c r="K72" i="3"/>
  <c r="L74" i="3"/>
  <c r="L76" i="3"/>
  <c r="L79" i="3"/>
  <c r="L81" i="3"/>
  <c r="L83" i="3"/>
  <c r="K86" i="3"/>
  <c r="L88" i="3"/>
  <c r="L90" i="3"/>
  <c r="L93" i="3"/>
  <c r="L96" i="3"/>
  <c r="L99" i="3"/>
  <c r="L101" i="3"/>
  <c r="L104" i="3"/>
  <c r="K107" i="3"/>
  <c r="L109" i="3"/>
  <c r="K111" i="3"/>
  <c r="L112" i="3"/>
  <c r="L66" i="3"/>
  <c r="L68" i="3"/>
  <c r="L71" i="3"/>
  <c r="J74" i="3"/>
  <c r="L77" i="3"/>
  <c r="K79" i="3"/>
  <c r="K81" i="3"/>
  <c r="L85" i="3"/>
  <c r="L87" i="3"/>
  <c r="L92" i="3"/>
  <c r="L95" i="3"/>
  <c r="L98" i="3"/>
  <c r="L100" i="3"/>
  <c r="L103" i="3"/>
  <c r="L106" i="3"/>
  <c r="L108" i="3"/>
  <c r="L110" i="3"/>
  <c r="D102" i="3"/>
  <c r="E74" i="3"/>
  <c r="E80" i="3"/>
  <c r="E88" i="3"/>
  <c r="E96" i="3"/>
  <c r="E98" i="3"/>
  <c r="E102" i="3"/>
  <c r="E104" i="3"/>
  <c r="E114" i="3"/>
  <c r="E68" i="3"/>
  <c r="E70" i="3"/>
  <c r="E72" i="3"/>
  <c r="D74" i="3"/>
  <c r="E76" i="3"/>
  <c r="D80" i="3"/>
  <c r="D88" i="3"/>
  <c r="D99" i="3"/>
  <c r="D105" i="3"/>
  <c r="E108" i="3"/>
  <c r="E110" i="3"/>
  <c r="E66" i="3"/>
  <c r="D76" i="3"/>
  <c r="E78" i="3"/>
  <c r="C81" i="3"/>
  <c r="E82" i="3"/>
  <c r="E84" i="3"/>
  <c r="E86" i="3"/>
  <c r="C89" i="3"/>
  <c r="E90" i="3"/>
  <c r="E92" i="3"/>
  <c r="C99" i="3"/>
  <c r="E100" i="3"/>
  <c r="C102" i="3"/>
  <c r="C105" i="3"/>
  <c r="E106" i="3"/>
  <c r="C65" i="3"/>
  <c r="C67" i="3"/>
  <c r="C68" i="3"/>
  <c r="C69" i="3"/>
  <c r="C73" i="3"/>
  <c r="C75" i="3"/>
  <c r="J76" i="3"/>
  <c r="C79" i="3"/>
  <c r="J80" i="3"/>
  <c r="J82" i="3"/>
  <c r="J88" i="3"/>
  <c r="J90" i="3"/>
  <c r="C94" i="3"/>
  <c r="C95" i="3"/>
  <c r="J97" i="3"/>
  <c r="J98" i="3"/>
  <c r="J99" i="3"/>
  <c r="J100" i="3"/>
  <c r="J101" i="3"/>
  <c r="J103" i="3"/>
  <c r="J104" i="3"/>
  <c r="J105" i="3"/>
  <c r="J106" i="3"/>
  <c r="C111" i="3"/>
  <c r="D115" i="3"/>
  <c r="C66" i="3"/>
  <c r="C70" i="3"/>
  <c r="C71" i="3"/>
  <c r="C72" i="3"/>
  <c r="C74" i="3"/>
  <c r="J77" i="3"/>
  <c r="C78" i="3"/>
  <c r="J81" i="3"/>
  <c r="J83" i="3"/>
  <c r="J84" i="3"/>
  <c r="J85" i="3"/>
  <c r="J86" i="3"/>
  <c r="J87" i="3"/>
  <c r="J89" i="3"/>
  <c r="J91" i="3"/>
  <c r="J92" i="3"/>
  <c r="C96" i="3"/>
  <c r="C97" i="3"/>
  <c r="C101" i="3"/>
  <c r="C103" i="3"/>
  <c r="J108" i="3"/>
  <c r="J113" i="3"/>
  <c r="C115" i="3"/>
  <c r="J78" i="3"/>
  <c r="J93" i="3"/>
  <c r="J94" i="3"/>
  <c r="J107" i="3"/>
  <c r="J65" i="3"/>
  <c r="J67" i="3"/>
  <c r="J69" i="3"/>
  <c r="J70" i="3"/>
  <c r="J71" i="3"/>
  <c r="J72" i="3"/>
  <c r="J73" i="3"/>
  <c r="J75" i="3"/>
  <c r="C76" i="3"/>
  <c r="J79" i="3"/>
  <c r="C80" i="3"/>
  <c r="C84" i="3"/>
  <c r="C85" i="3"/>
  <c r="C86" i="3"/>
  <c r="C88" i="3"/>
  <c r="C92" i="3"/>
  <c r="C93" i="3"/>
  <c r="J95" i="3"/>
  <c r="J96" i="3"/>
  <c r="J102" i="3"/>
  <c r="C109" i="3"/>
  <c r="J110" i="3"/>
  <c r="J112" i="3"/>
  <c r="D67" i="3"/>
  <c r="K68" i="3"/>
  <c r="D70" i="3"/>
  <c r="K71" i="3"/>
  <c r="D75" i="3"/>
  <c r="D77" i="3"/>
  <c r="D79" i="3"/>
  <c r="D81" i="3"/>
  <c r="K82" i="3"/>
  <c r="D84" i="3"/>
  <c r="K85" i="3"/>
  <c r="D89" i="3"/>
  <c r="K90" i="3"/>
  <c r="K92" i="3"/>
  <c r="K94" i="3"/>
  <c r="K96" i="3"/>
  <c r="D98" i="3"/>
  <c r="K99" i="3"/>
  <c r="D103" i="3"/>
  <c r="D104" i="3"/>
  <c r="K105" i="3"/>
  <c r="D107" i="3"/>
  <c r="K108" i="3"/>
  <c r="K109" i="3"/>
  <c r="D73" i="13"/>
  <c r="K65" i="3"/>
  <c r="D69" i="3"/>
  <c r="K70" i="3"/>
  <c r="D72" i="3"/>
  <c r="K73" i="3"/>
  <c r="D83" i="3"/>
  <c r="K84" i="3"/>
  <c r="D86" i="3"/>
  <c r="K87" i="3"/>
  <c r="D91" i="3"/>
  <c r="B92" i="3"/>
  <c r="D93" i="3"/>
  <c r="B94" i="3"/>
  <c r="D95" i="3"/>
  <c r="B96" i="3"/>
  <c r="D97" i="3"/>
  <c r="K98" i="3"/>
  <c r="D100" i="3"/>
  <c r="K101" i="3"/>
  <c r="K104" i="3"/>
  <c r="C107" i="3"/>
  <c r="D109" i="3"/>
  <c r="D110" i="3"/>
  <c r="K112" i="3"/>
  <c r="K113" i="3"/>
  <c r="K114" i="3"/>
  <c r="K115" i="3"/>
  <c r="D65" i="3"/>
  <c r="K66" i="3"/>
  <c r="D68" i="3"/>
  <c r="K69" i="3"/>
  <c r="D73" i="3"/>
  <c r="K74" i="3"/>
  <c r="K76" i="3"/>
  <c r="K78" i="3"/>
  <c r="K80" i="3"/>
  <c r="D82" i="3"/>
  <c r="K83" i="3"/>
  <c r="D87" i="3"/>
  <c r="K88" i="3"/>
  <c r="D90" i="3"/>
  <c r="K91" i="3"/>
  <c r="D92" i="3"/>
  <c r="K93" i="3"/>
  <c r="D94" i="3"/>
  <c r="K95" i="3"/>
  <c r="D96" i="3"/>
  <c r="K97" i="3"/>
  <c r="D101" i="3"/>
  <c r="K102" i="3"/>
  <c r="D108" i="3"/>
  <c r="D111" i="3"/>
  <c r="D113" i="3"/>
  <c r="D114" i="3"/>
  <c r="C104" i="3"/>
  <c r="B102" i="12"/>
  <c r="C106" i="3"/>
  <c r="C108" i="3"/>
  <c r="J109" i="3"/>
  <c r="C110" i="3"/>
  <c r="J111" i="3"/>
  <c r="C112" i="3"/>
  <c r="J114" i="3"/>
  <c r="B70" i="12"/>
  <c r="B81" i="12"/>
  <c r="B114" i="12"/>
  <c r="I65" i="3"/>
  <c r="B66" i="3"/>
  <c r="I66" i="3"/>
  <c r="I81" i="3"/>
  <c r="B82" i="3"/>
  <c r="I82" i="3"/>
  <c r="I97" i="3"/>
  <c r="B98" i="3"/>
  <c r="I98" i="3"/>
  <c r="I113" i="3"/>
  <c r="B114" i="3"/>
  <c r="I114" i="3"/>
  <c r="D89" i="13"/>
  <c r="B65" i="12"/>
  <c r="B98" i="12"/>
  <c r="I73" i="3"/>
  <c r="B74" i="3"/>
  <c r="I74" i="3"/>
  <c r="I89" i="3"/>
  <c r="B90" i="3"/>
  <c r="I90" i="3"/>
  <c r="I105" i="3"/>
  <c r="B106" i="3"/>
  <c r="I106" i="3"/>
  <c r="C113" i="3"/>
  <c r="B86" i="12"/>
  <c r="J67" i="12"/>
  <c r="B68" i="3"/>
  <c r="B70" i="3"/>
  <c r="B72" i="3"/>
  <c r="B84" i="3"/>
  <c r="B86" i="3"/>
  <c r="B88" i="3"/>
  <c r="B100" i="3"/>
  <c r="B102" i="3"/>
  <c r="B104" i="3"/>
  <c r="I69" i="3"/>
  <c r="I70" i="3"/>
  <c r="I77" i="3"/>
  <c r="I78" i="3"/>
  <c r="I85" i="3"/>
  <c r="I86" i="3"/>
  <c r="I93" i="3"/>
  <c r="I94" i="3"/>
  <c r="I101" i="3"/>
  <c r="I102" i="3"/>
  <c r="I109" i="3"/>
  <c r="I110" i="3"/>
  <c r="I67" i="3"/>
  <c r="I68" i="3"/>
  <c r="I71" i="3"/>
  <c r="I72" i="3"/>
  <c r="I75" i="3"/>
  <c r="I76" i="3"/>
  <c r="I79" i="3"/>
  <c r="I80" i="3"/>
  <c r="I83" i="3"/>
  <c r="I84" i="3"/>
  <c r="I87" i="3"/>
  <c r="I88" i="3"/>
  <c r="I91" i="3"/>
  <c r="I92" i="3"/>
  <c r="I95" i="3"/>
  <c r="I96" i="3"/>
  <c r="I99" i="3"/>
  <c r="I100" i="3"/>
  <c r="I103" i="3"/>
  <c r="I104" i="3"/>
  <c r="I107" i="3"/>
  <c r="I108" i="3"/>
  <c r="I111" i="3"/>
  <c r="I112" i="3"/>
  <c r="M59" i="3"/>
  <c r="M101" i="3" s="1"/>
  <c r="J74" i="12"/>
  <c r="J71" i="12"/>
  <c r="J78" i="12"/>
  <c r="J66" i="12"/>
  <c r="J75" i="12"/>
  <c r="I70" i="12"/>
  <c r="I72" i="12"/>
  <c r="I79" i="12"/>
  <c r="I88" i="12"/>
  <c r="I99" i="12"/>
  <c r="I110" i="12"/>
  <c r="I71" i="12"/>
  <c r="I78" i="12"/>
  <c r="I80" i="12"/>
  <c r="I86" i="12"/>
  <c r="I91" i="12"/>
  <c r="I96" i="12"/>
  <c r="I102" i="12"/>
  <c r="I107" i="12"/>
  <c r="I112" i="12"/>
  <c r="I83" i="12"/>
  <c r="I94" i="12"/>
  <c r="I104" i="12"/>
  <c r="I115" i="12"/>
  <c r="I67" i="12"/>
  <c r="J70" i="12"/>
  <c r="I74" i="12"/>
  <c r="I76" i="12"/>
  <c r="J79" i="12"/>
  <c r="I84" i="12"/>
  <c r="I90" i="12"/>
  <c r="I95" i="12"/>
  <c r="I100" i="12"/>
  <c r="I106" i="12"/>
  <c r="I111" i="12"/>
  <c r="I66" i="12"/>
  <c r="I68" i="12"/>
  <c r="I75" i="12"/>
  <c r="I82" i="12"/>
  <c r="I87" i="12"/>
  <c r="I92" i="12"/>
  <c r="I98" i="12"/>
  <c r="I103" i="12"/>
  <c r="I108" i="12"/>
  <c r="I114" i="12"/>
  <c r="J65" i="12"/>
  <c r="L67" i="12"/>
  <c r="J69" i="12"/>
  <c r="L71" i="12"/>
  <c r="J73" i="12"/>
  <c r="K76" i="12"/>
  <c r="K80" i="12"/>
  <c r="L83" i="12"/>
  <c r="K84" i="12"/>
  <c r="L87" i="12"/>
  <c r="J89" i="12"/>
  <c r="K92" i="12"/>
  <c r="L95" i="12"/>
  <c r="J97" i="12"/>
  <c r="K100" i="12"/>
  <c r="J101" i="12"/>
  <c r="J105" i="12"/>
  <c r="M59" i="12"/>
  <c r="M107" i="12" s="1"/>
  <c r="I65" i="12"/>
  <c r="L66" i="12"/>
  <c r="K67" i="12"/>
  <c r="J68" i="12"/>
  <c r="I69" i="12"/>
  <c r="L70" i="12"/>
  <c r="K71" i="12"/>
  <c r="J72" i="12"/>
  <c r="I73" i="12"/>
  <c r="L74" i="12"/>
  <c r="K75" i="12"/>
  <c r="J76" i="12"/>
  <c r="I77" i="12"/>
  <c r="L78" i="12"/>
  <c r="K79" i="12"/>
  <c r="J80" i="12"/>
  <c r="I81" i="12"/>
  <c r="L82" i="12"/>
  <c r="K83" i="12"/>
  <c r="J84" i="12"/>
  <c r="I85" i="12"/>
  <c r="L86" i="12"/>
  <c r="K87" i="12"/>
  <c r="J88" i="12"/>
  <c r="I89" i="12"/>
  <c r="L90" i="12"/>
  <c r="K91" i="12"/>
  <c r="J92" i="12"/>
  <c r="I93" i="12"/>
  <c r="L94" i="12"/>
  <c r="K95" i="12"/>
  <c r="J96" i="12"/>
  <c r="I97" i="12"/>
  <c r="L98" i="12"/>
  <c r="K99" i="12"/>
  <c r="J100" i="12"/>
  <c r="I101" i="12"/>
  <c r="L102" i="12"/>
  <c r="K103" i="12"/>
  <c r="J104" i="12"/>
  <c r="I105" i="12"/>
  <c r="L106" i="12"/>
  <c r="K107" i="12"/>
  <c r="J108" i="12"/>
  <c r="I109" i="12"/>
  <c r="L110" i="12"/>
  <c r="K111" i="12"/>
  <c r="J112" i="12"/>
  <c r="L114" i="12"/>
  <c r="K115" i="12"/>
  <c r="L65" i="12"/>
  <c r="K66" i="12"/>
  <c r="L69" i="12"/>
  <c r="K70" i="12"/>
  <c r="L73" i="12"/>
  <c r="K74" i="12"/>
  <c r="L77" i="12"/>
  <c r="K78" i="12"/>
  <c r="L81" i="12"/>
  <c r="K82" i="12"/>
  <c r="J83" i="12"/>
  <c r="L85" i="12"/>
  <c r="K86" i="12"/>
  <c r="J87" i="12"/>
  <c r="L89" i="12"/>
  <c r="K90" i="12"/>
  <c r="J91" i="12"/>
  <c r="L93" i="12"/>
  <c r="K94" i="12"/>
  <c r="J95" i="12"/>
  <c r="L97" i="12"/>
  <c r="K98" i="12"/>
  <c r="J99" i="12"/>
  <c r="L101" i="12"/>
  <c r="K102" i="12"/>
  <c r="J103" i="12"/>
  <c r="L105" i="12"/>
  <c r="K106" i="12"/>
  <c r="J107" i="12"/>
  <c r="L109" i="12"/>
  <c r="K110" i="12"/>
  <c r="J111" i="12"/>
  <c r="L113" i="12"/>
  <c r="K114" i="12"/>
  <c r="J115" i="12"/>
  <c r="K65" i="12"/>
  <c r="L68" i="12"/>
  <c r="K69" i="12"/>
  <c r="L72" i="12"/>
  <c r="K73" i="12"/>
  <c r="L76" i="12"/>
  <c r="K77" i="12"/>
  <c r="L80" i="12"/>
  <c r="K81" i="12"/>
  <c r="J82" i="12"/>
  <c r="L84" i="12"/>
  <c r="K85" i="12"/>
  <c r="J86" i="12"/>
  <c r="L88" i="12"/>
  <c r="K89" i="12"/>
  <c r="J90" i="12"/>
  <c r="L92" i="12"/>
  <c r="K93" i="12"/>
  <c r="J94" i="12"/>
  <c r="L96" i="12"/>
  <c r="K97" i="12"/>
  <c r="J98" i="12"/>
  <c r="L100" i="12"/>
  <c r="K101" i="12"/>
  <c r="J102" i="12"/>
  <c r="L104" i="12"/>
  <c r="K105" i="12"/>
  <c r="J106" i="12"/>
  <c r="L108" i="12"/>
  <c r="K109" i="12"/>
  <c r="J110" i="12"/>
  <c r="L112" i="12"/>
  <c r="K113" i="12"/>
  <c r="J114" i="12"/>
  <c r="K68" i="12"/>
  <c r="K72" i="12"/>
  <c r="L75" i="12"/>
  <c r="J77" i="12"/>
  <c r="L79" i="12"/>
  <c r="J81" i="12"/>
  <c r="J85" i="12"/>
  <c r="K88" i="12"/>
  <c r="L91" i="12"/>
  <c r="J93" i="12"/>
  <c r="K96" i="12"/>
  <c r="L99" i="12"/>
  <c r="L103" i="12"/>
  <c r="K104" i="12"/>
  <c r="L107" i="12"/>
  <c r="K108" i="12"/>
  <c r="J109" i="12"/>
  <c r="L111" i="12"/>
  <c r="F59" i="3"/>
  <c r="F80" i="3" s="1"/>
  <c r="B67" i="3"/>
  <c r="B69" i="3"/>
  <c r="B71" i="3"/>
  <c r="B75" i="3"/>
  <c r="B79" i="3"/>
  <c r="B83" i="3"/>
  <c r="B85" i="3"/>
  <c r="B87" i="3"/>
  <c r="B89" i="3"/>
  <c r="B91" i="3"/>
  <c r="B93" i="3"/>
  <c r="B95" i="3"/>
  <c r="B97" i="3"/>
  <c r="B99" i="3"/>
  <c r="B101" i="3"/>
  <c r="B103" i="3"/>
  <c r="B105" i="3"/>
  <c r="B107" i="3"/>
  <c r="B109" i="3"/>
  <c r="B111" i="3"/>
  <c r="B115" i="3"/>
  <c r="B65" i="3"/>
  <c r="B73" i="3"/>
  <c r="B77" i="3"/>
  <c r="B81" i="3"/>
  <c r="E65" i="3"/>
  <c r="E67" i="3"/>
  <c r="E69" i="3"/>
  <c r="E71" i="3"/>
  <c r="E73" i="3"/>
  <c r="E75" i="3"/>
  <c r="E77" i="3"/>
  <c r="E79" i="3"/>
  <c r="E81" i="3"/>
  <c r="E83" i="3"/>
  <c r="E85" i="3"/>
  <c r="E87" i="3"/>
  <c r="E89" i="3"/>
  <c r="E91" i="3"/>
  <c r="E93" i="3"/>
  <c r="E95" i="3"/>
  <c r="E97" i="3"/>
  <c r="E99" i="3"/>
  <c r="E101" i="3"/>
  <c r="E103" i="3"/>
  <c r="E105" i="3"/>
  <c r="E107" i="3"/>
  <c r="E109" i="3"/>
  <c r="E111" i="3"/>
  <c r="E113" i="3"/>
  <c r="B109" i="12"/>
  <c r="B78" i="12"/>
  <c r="B93" i="12"/>
  <c r="B73" i="12"/>
  <c r="B89" i="12"/>
  <c r="B105" i="12"/>
  <c r="C65" i="12"/>
  <c r="D68" i="12"/>
  <c r="C70" i="12"/>
  <c r="C73" i="12"/>
  <c r="D76" i="12"/>
  <c r="C78" i="12"/>
  <c r="C81" i="12"/>
  <c r="D84" i="12"/>
  <c r="C86" i="12"/>
  <c r="C89" i="12"/>
  <c r="C96" i="12"/>
  <c r="C98" i="12"/>
  <c r="C105" i="12"/>
  <c r="C112" i="12"/>
  <c r="C68" i="12"/>
  <c r="C110" i="12"/>
  <c r="C66" i="12"/>
  <c r="D72" i="12"/>
  <c r="C74" i="12"/>
  <c r="C77" i="12"/>
  <c r="D80" i="12"/>
  <c r="C82" i="12"/>
  <c r="C85" i="12"/>
  <c r="D88" i="12"/>
  <c r="C90" i="12"/>
  <c r="B94" i="12"/>
  <c r="C97" i="12"/>
  <c r="B101" i="12"/>
  <c r="C104" i="12"/>
  <c r="C106" i="12"/>
  <c r="B110" i="12"/>
  <c r="C113" i="12"/>
  <c r="C76" i="12"/>
  <c r="C84" i="12"/>
  <c r="C92" i="12"/>
  <c r="C94" i="12"/>
  <c r="C101" i="12"/>
  <c r="C108" i="12"/>
  <c r="C69" i="12"/>
  <c r="B66" i="12"/>
  <c r="B69" i="12"/>
  <c r="C72" i="12"/>
  <c r="B74" i="12"/>
  <c r="B77" i="12"/>
  <c r="C80" i="12"/>
  <c r="B82" i="12"/>
  <c r="B85" i="12"/>
  <c r="C88" i="12"/>
  <c r="B90" i="12"/>
  <c r="C93" i="12"/>
  <c r="B97" i="12"/>
  <c r="C100" i="12"/>
  <c r="C102" i="12"/>
  <c r="B106" i="12"/>
  <c r="C109" i="12"/>
  <c r="B113" i="12"/>
  <c r="E66" i="12"/>
  <c r="D71" i="12"/>
  <c r="D75" i="12"/>
  <c r="D79" i="12"/>
  <c r="D83" i="12"/>
  <c r="E86" i="12"/>
  <c r="D91" i="12"/>
  <c r="E94" i="12"/>
  <c r="D103" i="12"/>
  <c r="E106" i="12"/>
  <c r="E114" i="12"/>
  <c r="E65" i="12"/>
  <c r="D66" i="12"/>
  <c r="C67" i="12"/>
  <c r="B68" i="12"/>
  <c r="E69" i="12"/>
  <c r="D70" i="12"/>
  <c r="C71" i="12"/>
  <c r="B72" i="12"/>
  <c r="E73" i="12"/>
  <c r="D74" i="12"/>
  <c r="C75" i="12"/>
  <c r="B76" i="12"/>
  <c r="E77" i="12"/>
  <c r="D78" i="12"/>
  <c r="C79" i="12"/>
  <c r="B80" i="12"/>
  <c r="E81" i="12"/>
  <c r="D82" i="12"/>
  <c r="C83" i="12"/>
  <c r="B84" i="12"/>
  <c r="E85" i="12"/>
  <c r="D86" i="12"/>
  <c r="C87" i="12"/>
  <c r="B88" i="12"/>
  <c r="E89" i="12"/>
  <c r="D90" i="12"/>
  <c r="C91" i="12"/>
  <c r="B92" i="12"/>
  <c r="E93" i="12"/>
  <c r="D94" i="12"/>
  <c r="C95" i="12"/>
  <c r="B96" i="12"/>
  <c r="E97" i="12"/>
  <c r="D98" i="12"/>
  <c r="C99" i="12"/>
  <c r="B100" i="12"/>
  <c r="E101" i="12"/>
  <c r="D102" i="12"/>
  <c r="C103" i="12"/>
  <c r="B104" i="12"/>
  <c r="E105" i="12"/>
  <c r="D106" i="12"/>
  <c r="C107" i="12"/>
  <c r="B108" i="12"/>
  <c r="E109" i="12"/>
  <c r="D110" i="12"/>
  <c r="C111" i="12"/>
  <c r="B112" i="12"/>
  <c r="E113" i="12"/>
  <c r="D114" i="12"/>
  <c r="C115" i="12"/>
  <c r="D67" i="12"/>
  <c r="E74" i="12"/>
  <c r="E82" i="12"/>
  <c r="F59" i="12"/>
  <c r="F84" i="12" s="1"/>
  <c r="D65" i="12"/>
  <c r="B67" i="12"/>
  <c r="E68" i="12"/>
  <c r="D69" i="12"/>
  <c r="B71" i="12"/>
  <c r="E72" i="12"/>
  <c r="D73" i="12"/>
  <c r="B75" i="12"/>
  <c r="E76" i="12"/>
  <c r="D77" i="12"/>
  <c r="B79" i="12"/>
  <c r="E80" i="12"/>
  <c r="D81" i="12"/>
  <c r="B83" i="12"/>
  <c r="E84" i="12"/>
  <c r="D85" i="12"/>
  <c r="B87" i="12"/>
  <c r="E88" i="12"/>
  <c r="D89" i="12"/>
  <c r="B91" i="12"/>
  <c r="E92" i="12"/>
  <c r="D93" i="12"/>
  <c r="B95" i="12"/>
  <c r="E96" i="12"/>
  <c r="D97" i="12"/>
  <c r="B99" i="12"/>
  <c r="E100" i="12"/>
  <c r="D101" i="12"/>
  <c r="B103" i="12"/>
  <c r="E104" i="12"/>
  <c r="D105" i="12"/>
  <c r="B107" i="12"/>
  <c r="E108" i="12"/>
  <c r="D109" i="12"/>
  <c r="B111" i="12"/>
  <c r="E112" i="12"/>
  <c r="D113" i="12"/>
  <c r="E67" i="12"/>
  <c r="E71" i="12"/>
  <c r="E75" i="12"/>
  <c r="E79" i="12"/>
  <c r="E83" i="12"/>
  <c r="E87" i="12"/>
  <c r="E91" i="12"/>
  <c r="D92" i="12"/>
  <c r="E95" i="12"/>
  <c r="D96" i="12"/>
  <c r="E99" i="12"/>
  <c r="D100" i="12"/>
  <c r="E103" i="12"/>
  <c r="D104" i="12"/>
  <c r="E107" i="12"/>
  <c r="D108" i="12"/>
  <c r="E111" i="12"/>
  <c r="D112" i="12"/>
  <c r="E115" i="12"/>
  <c r="E70" i="12"/>
  <c r="E78" i="12"/>
  <c r="D87" i="12"/>
  <c r="E90" i="12"/>
  <c r="D95" i="12"/>
  <c r="E98" i="12"/>
  <c r="D99" i="12"/>
  <c r="E102" i="12"/>
  <c r="D107" i="12"/>
  <c r="D111" i="12"/>
  <c r="L85" i="13"/>
  <c r="L77" i="13"/>
  <c r="L69" i="13"/>
  <c r="J67" i="13"/>
  <c r="J72" i="13"/>
  <c r="J75" i="13"/>
  <c r="J80" i="13"/>
  <c r="J83" i="13"/>
  <c r="J88" i="13"/>
  <c r="J91" i="13"/>
  <c r="I95" i="13"/>
  <c r="I97" i="13"/>
  <c r="J100" i="13"/>
  <c r="I104" i="13"/>
  <c r="J107" i="13"/>
  <c r="I111" i="13"/>
  <c r="I113" i="13"/>
  <c r="I67" i="13"/>
  <c r="I69" i="13"/>
  <c r="I72" i="13"/>
  <c r="I75" i="13"/>
  <c r="I77" i="13"/>
  <c r="I80" i="13"/>
  <c r="I83" i="13"/>
  <c r="I85" i="13"/>
  <c r="I88" i="13"/>
  <c r="I91" i="13"/>
  <c r="I93" i="13"/>
  <c r="J96" i="13"/>
  <c r="I100" i="13"/>
  <c r="J103" i="13"/>
  <c r="I107" i="13"/>
  <c r="I109" i="13"/>
  <c r="J112" i="13"/>
  <c r="M57" i="13"/>
  <c r="M108" i="13" s="1"/>
  <c r="L65" i="13"/>
  <c r="J68" i="13"/>
  <c r="J71" i="13"/>
  <c r="L73" i="13"/>
  <c r="J76" i="13"/>
  <c r="J79" i="13"/>
  <c r="L81" i="13"/>
  <c r="J84" i="13"/>
  <c r="J87" i="13"/>
  <c r="L89" i="13"/>
  <c r="J92" i="13"/>
  <c r="I96" i="13"/>
  <c r="J99" i="13"/>
  <c r="I103" i="13"/>
  <c r="I105" i="13"/>
  <c r="J108" i="13"/>
  <c r="I112" i="13"/>
  <c r="I65" i="13"/>
  <c r="I68" i="13"/>
  <c r="I71" i="13"/>
  <c r="I73" i="13"/>
  <c r="I76" i="13"/>
  <c r="I79" i="13"/>
  <c r="I81" i="13"/>
  <c r="I84" i="13"/>
  <c r="I87" i="13"/>
  <c r="I89" i="13"/>
  <c r="I92" i="13"/>
  <c r="J95" i="13"/>
  <c r="I99" i="13"/>
  <c r="I101" i="13"/>
  <c r="J104" i="13"/>
  <c r="I108" i="13"/>
  <c r="J111" i="13"/>
  <c r="L66" i="13"/>
  <c r="K67" i="13"/>
  <c r="L70" i="13"/>
  <c r="K71" i="13"/>
  <c r="L74" i="13"/>
  <c r="K75" i="13"/>
  <c r="L78" i="13"/>
  <c r="K79" i="13"/>
  <c r="L82" i="13"/>
  <c r="K83" i="13"/>
  <c r="L86" i="13"/>
  <c r="K87" i="13"/>
  <c r="L90" i="13"/>
  <c r="K91" i="13"/>
  <c r="L94" i="13"/>
  <c r="K95" i="13"/>
  <c r="L98" i="13"/>
  <c r="K99" i="13"/>
  <c r="L102" i="13"/>
  <c r="K103" i="13"/>
  <c r="L106" i="13"/>
  <c r="K107" i="13"/>
  <c r="L110" i="13"/>
  <c r="K111" i="13"/>
  <c r="K66" i="13"/>
  <c r="K70" i="13"/>
  <c r="K74" i="13"/>
  <c r="K78" i="13"/>
  <c r="K82" i="13"/>
  <c r="K86" i="13"/>
  <c r="K90" i="13"/>
  <c r="L93" i="13"/>
  <c r="K94" i="13"/>
  <c r="L97" i="13"/>
  <c r="K98" i="13"/>
  <c r="L101" i="13"/>
  <c r="K102" i="13"/>
  <c r="L105" i="13"/>
  <c r="K106" i="13"/>
  <c r="L109" i="13"/>
  <c r="K110" i="13"/>
  <c r="L113" i="13"/>
  <c r="K65" i="13"/>
  <c r="J66" i="13"/>
  <c r="L68" i="13"/>
  <c r="K69" i="13"/>
  <c r="J70" i="13"/>
  <c r="L72" i="13"/>
  <c r="K73" i="13"/>
  <c r="J74" i="13"/>
  <c r="L76" i="13"/>
  <c r="K77" i="13"/>
  <c r="J78" i="13"/>
  <c r="L80" i="13"/>
  <c r="K81" i="13"/>
  <c r="J82" i="13"/>
  <c r="L84" i="13"/>
  <c r="K85" i="13"/>
  <c r="J86" i="13"/>
  <c r="L88" i="13"/>
  <c r="K89" i="13"/>
  <c r="J90" i="13"/>
  <c r="L92" i="13"/>
  <c r="K93" i="13"/>
  <c r="J94" i="13"/>
  <c r="L96" i="13"/>
  <c r="K97" i="13"/>
  <c r="J98" i="13"/>
  <c r="L100" i="13"/>
  <c r="K101" i="13"/>
  <c r="J102" i="13"/>
  <c r="L104" i="13"/>
  <c r="K105" i="13"/>
  <c r="J106" i="13"/>
  <c r="L108" i="13"/>
  <c r="K109" i="13"/>
  <c r="J110" i="13"/>
  <c r="L112" i="13"/>
  <c r="K113" i="13"/>
  <c r="J65" i="13"/>
  <c r="I66" i="13"/>
  <c r="L67" i="13"/>
  <c r="K68" i="13"/>
  <c r="J69" i="13"/>
  <c r="I70" i="13"/>
  <c r="L71" i="13"/>
  <c r="K72" i="13"/>
  <c r="J73" i="13"/>
  <c r="I74" i="13"/>
  <c r="L75" i="13"/>
  <c r="K76" i="13"/>
  <c r="J77" i="13"/>
  <c r="I78" i="13"/>
  <c r="L79" i="13"/>
  <c r="K80" i="13"/>
  <c r="J81" i="13"/>
  <c r="I82" i="13"/>
  <c r="L83" i="13"/>
  <c r="K84" i="13"/>
  <c r="J85" i="13"/>
  <c r="I86" i="13"/>
  <c r="L87" i="13"/>
  <c r="K88" i="13"/>
  <c r="J89" i="13"/>
  <c r="I90" i="13"/>
  <c r="L91" i="13"/>
  <c r="K92" i="13"/>
  <c r="J93" i="13"/>
  <c r="I94" i="13"/>
  <c r="L95" i="13"/>
  <c r="K96" i="13"/>
  <c r="J97" i="13"/>
  <c r="I98" i="13"/>
  <c r="L99" i="13"/>
  <c r="K100" i="13"/>
  <c r="J101" i="13"/>
  <c r="I102" i="13"/>
  <c r="L103" i="13"/>
  <c r="K104" i="13"/>
  <c r="J105" i="13"/>
  <c r="I106" i="13"/>
  <c r="L107" i="13"/>
  <c r="K108" i="13"/>
  <c r="J109" i="13"/>
  <c r="D70" i="13"/>
  <c r="D85" i="13"/>
  <c r="D110" i="13"/>
  <c r="D66" i="13"/>
  <c r="D81" i="13"/>
  <c r="D102" i="13"/>
  <c r="F57" i="13"/>
  <c r="F104" i="13" s="1"/>
  <c r="D77" i="13"/>
  <c r="D94" i="13"/>
  <c r="E65" i="13"/>
  <c r="D69" i="13"/>
  <c r="E72" i="13"/>
  <c r="E76" i="13"/>
  <c r="E80" i="13"/>
  <c r="E84" i="13"/>
  <c r="E88" i="13"/>
  <c r="E92" i="13"/>
  <c r="D98" i="13"/>
  <c r="D106" i="13"/>
  <c r="D65" i="13"/>
  <c r="E68" i="13"/>
  <c r="B72" i="13"/>
  <c r="D74" i="13"/>
  <c r="D78" i="13"/>
  <c r="D82" i="13"/>
  <c r="D86" i="13"/>
  <c r="D90" i="13"/>
  <c r="E97" i="13"/>
  <c r="E105" i="13"/>
  <c r="E113" i="13"/>
  <c r="B68" i="13"/>
  <c r="E73" i="13"/>
  <c r="E77" i="13"/>
  <c r="E81" i="13"/>
  <c r="E85" i="13"/>
  <c r="E89" i="13"/>
  <c r="E69" i="13"/>
  <c r="E93" i="13"/>
  <c r="E101" i="13"/>
  <c r="E109" i="13"/>
  <c r="C65" i="13"/>
  <c r="B66" i="13"/>
  <c r="E67" i="13"/>
  <c r="D68" i="13"/>
  <c r="C69" i="13"/>
  <c r="B70" i="13"/>
  <c r="E71" i="13"/>
  <c r="D72" i="13"/>
  <c r="C73" i="13"/>
  <c r="B74" i="13"/>
  <c r="E75" i="13"/>
  <c r="D76" i="13"/>
  <c r="C77" i="13"/>
  <c r="B78" i="13"/>
  <c r="E79" i="13"/>
  <c r="D80" i="13"/>
  <c r="C81" i="13"/>
  <c r="B82" i="13"/>
  <c r="E83" i="13"/>
  <c r="D84" i="13"/>
  <c r="C85" i="13"/>
  <c r="B86" i="13"/>
  <c r="E87" i="13"/>
  <c r="D88" i="13"/>
  <c r="C89" i="13"/>
  <c r="B90" i="13"/>
  <c r="E91" i="13"/>
  <c r="D92" i="13"/>
  <c r="C93" i="13"/>
  <c r="B94" i="13"/>
  <c r="E95" i="13"/>
  <c r="D96" i="13"/>
  <c r="C97" i="13"/>
  <c r="B98" i="13"/>
  <c r="E99" i="13"/>
  <c r="D100" i="13"/>
  <c r="C101" i="13"/>
  <c r="B102" i="13"/>
  <c r="E103" i="13"/>
  <c r="D104" i="13"/>
  <c r="C105" i="13"/>
  <c r="B106" i="13"/>
  <c r="E107" i="13"/>
  <c r="D108" i="13"/>
  <c r="C109" i="13"/>
  <c r="B110" i="13"/>
  <c r="E111" i="13"/>
  <c r="D112" i="13"/>
  <c r="C113" i="13"/>
  <c r="B65" i="13"/>
  <c r="E66" i="13"/>
  <c r="D67" i="13"/>
  <c r="C68" i="13"/>
  <c r="B69" i="13"/>
  <c r="E70" i="13"/>
  <c r="D71" i="13"/>
  <c r="C72" i="13"/>
  <c r="B73" i="13"/>
  <c r="E74" i="13"/>
  <c r="D75" i="13"/>
  <c r="C76" i="13"/>
  <c r="B77" i="13"/>
  <c r="E78" i="13"/>
  <c r="D79" i="13"/>
  <c r="C80" i="13"/>
  <c r="B81" i="13"/>
  <c r="E82" i="13"/>
  <c r="D83" i="13"/>
  <c r="C84" i="13"/>
  <c r="B85" i="13"/>
  <c r="E86" i="13"/>
  <c r="D87" i="13"/>
  <c r="C88" i="13"/>
  <c r="B89" i="13"/>
  <c r="E90" i="13"/>
  <c r="D91" i="13"/>
  <c r="C92" i="13"/>
  <c r="B93" i="13"/>
  <c r="E94" i="13"/>
  <c r="D95" i="13"/>
  <c r="C96" i="13"/>
  <c r="B97" i="13"/>
  <c r="E98" i="13"/>
  <c r="D99" i="13"/>
  <c r="C100" i="13"/>
  <c r="B101" i="13"/>
  <c r="E102" i="13"/>
  <c r="D103" i="13"/>
  <c r="C104" i="13"/>
  <c r="B105" i="13"/>
  <c r="E106" i="13"/>
  <c r="D107" i="13"/>
  <c r="C108" i="13"/>
  <c r="B109" i="13"/>
  <c r="E110" i="13"/>
  <c r="D111" i="13"/>
  <c r="C112" i="13"/>
  <c r="B113" i="13"/>
  <c r="C67" i="13"/>
  <c r="C71" i="13"/>
  <c r="C75" i="13"/>
  <c r="B76" i="13"/>
  <c r="C79" i="13"/>
  <c r="B80" i="13"/>
  <c r="C83" i="13"/>
  <c r="B84" i="13"/>
  <c r="C87" i="13"/>
  <c r="B88" i="13"/>
  <c r="C91" i="13"/>
  <c r="B92" i="13"/>
  <c r="C95" i="13"/>
  <c r="B96" i="13"/>
  <c r="C99" i="13"/>
  <c r="B100" i="13"/>
  <c r="C103" i="13"/>
  <c r="B104" i="13"/>
  <c r="C107" i="13"/>
  <c r="B108" i="13"/>
  <c r="C111" i="13"/>
  <c r="B112" i="13"/>
  <c r="C66" i="13"/>
  <c r="B67" i="13"/>
  <c r="C70" i="13"/>
  <c r="B71" i="13"/>
  <c r="C74" i="13"/>
  <c r="B75" i="13"/>
  <c r="C78" i="13"/>
  <c r="B79" i="13"/>
  <c r="C82" i="13"/>
  <c r="B83" i="13"/>
  <c r="C86" i="13"/>
  <c r="B87" i="13"/>
  <c r="C90" i="13"/>
  <c r="B91" i="13"/>
  <c r="D93" i="13"/>
  <c r="C94" i="13"/>
  <c r="B95" i="13"/>
  <c r="E96" i="13"/>
  <c r="D97" i="13"/>
  <c r="C98" i="13"/>
  <c r="B99" i="13"/>
  <c r="E100" i="13"/>
  <c r="D101" i="13"/>
  <c r="C102" i="13"/>
  <c r="B103" i="13"/>
  <c r="E104" i="13"/>
  <c r="D105" i="13"/>
  <c r="C106" i="13"/>
  <c r="B107" i="13"/>
  <c r="E108" i="13"/>
  <c r="D109" i="13"/>
  <c r="F110" i="3" l="1"/>
  <c r="F93" i="3"/>
  <c r="M73" i="13"/>
  <c r="M103" i="13"/>
  <c r="M72" i="13"/>
  <c r="F75" i="3"/>
  <c r="F94" i="3"/>
  <c r="F111" i="3"/>
  <c r="F78" i="3"/>
  <c r="F109" i="3"/>
  <c r="F71" i="13"/>
  <c r="M87" i="13"/>
  <c r="F77" i="3"/>
  <c r="F95" i="3"/>
  <c r="F65" i="13"/>
  <c r="F95" i="13"/>
  <c r="F102" i="13"/>
  <c r="F108" i="13"/>
  <c r="M102" i="13"/>
  <c r="F66" i="3"/>
  <c r="F98" i="3"/>
  <c r="F81" i="3"/>
  <c r="F113" i="3"/>
  <c r="F91" i="3"/>
  <c r="F88" i="3"/>
  <c r="F76" i="3"/>
  <c r="F82" i="3"/>
  <c r="F114" i="3"/>
  <c r="F97" i="3"/>
  <c r="F107" i="3"/>
  <c r="F104" i="3"/>
  <c r="F67" i="13"/>
  <c r="F70" i="13"/>
  <c r="F74" i="3"/>
  <c r="F90" i="3"/>
  <c r="F106" i="3"/>
  <c r="F73" i="3"/>
  <c r="F89" i="3"/>
  <c r="F105" i="3"/>
  <c r="F115" i="3"/>
  <c r="F99" i="3"/>
  <c r="F83" i="3"/>
  <c r="F67" i="3"/>
  <c r="F92" i="3"/>
  <c r="F108" i="3"/>
  <c r="F72" i="3"/>
  <c r="F79" i="3"/>
  <c r="F112" i="3"/>
  <c r="F84" i="3"/>
  <c r="F96" i="3"/>
  <c r="F99" i="13"/>
  <c r="F85" i="13"/>
  <c r="F70" i="3"/>
  <c r="F86" i="3"/>
  <c r="F102" i="3"/>
  <c r="F65" i="3"/>
  <c r="F85" i="3"/>
  <c r="F101" i="3"/>
  <c r="F69" i="3"/>
  <c r="F103" i="3"/>
  <c r="F87" i="3"/>
  <c r="F71" i="3"/>
  <c r="F100" i="3"/>
  <c r="F68" i="3"/>
  <c r="F82" i="13"/>
  <c r="F110" i="13"/>
  <c r="F89" i="13"/>
  <c r="F112" i="13"/>
  <c r="M88" i="13"/>
  <c r="F87" i="13"/>
  <c r="F66" i="13"/>
  <c r="F94" i="13"/>
  <c r="F77" i="13"/>
  <c r="F109" i="13"/>
  <c r="F84" i="13"/>
  <c r="M71" i="13"/>
  <c r="M86" i="13"/>
  <c r="M105" i="13"/>
  <c r="F79" i="13"/>
  <c r="F111" i="13"/>
  <c r="F86" i="13"/>
  <c r="F105" i="13"/>
  <c r="F76" i="13"/>
  <c r="M70" i="13"/>
  <c r="M89" i="13"/>
  <c r="M91" i="3"/>
  <c r="M72" i="3"/>
  <c r="M71" i="3"/>
  <c r="M94" i="3"/>
  <c r="M109" i="3"/>
  <c r="M78" i="3"/>
  <c r="M93" i="3"/>
  <c r="M104" i="3"/>
  <c r="M115" i="3"/>
  <c r="M77" i="3"/>
  <c r="M88" i="3"/>
  <c r="M87" i="3"/>
  <c r="M110" i="3"/>
  <c r="M76" i="3"/>
  <c r="M92" i="3"/>
  <c r="M108" i="3"/>
  <c r="M103" i="3"/>
  <c r="M75" i="3"/>
  <c r="M95" i="3"/>
  <c r="M66" i="3"/>
  <c r="M82" i="3"/>
  <c r="M98" i="3"/>
  <c r="M114" i="3"/>
  <c r="M81" i="3"/>
  <c r="M97" i="3"/>
  <c r="M113" i="3"/>
  <c r="M68" i="3"/>
  <c r="M84" i="3"/>
  <c r="M100" i="3"/>
  <c r="M65" i="3"/>
  <c r="M67" i="3"/>
  <c r="M83" i="3"/>
  <c r="M107" i="3"/>
  <c r="M74" i="3"/>
  <c r="M90" i="3"/>
  <c r="M106" i="3"/>
  <c r="M73" i="3"/>
  <c r="M89" i="3"/>
  <c r="M105" i="3"/>
  <c r="M80" i="3"/>
  <c r="M96" i="3"/>
  <c r="M112" i="3"/>
  <c r="M111" i="3"/>
  <c r="M79" i="3"/>
  <c r="M99" i="3"/>
  <c r="M70" i="3"/>
  <c r="M86" i="3"/>
  <c r="M102" i="3"/>
  <c r="M69" i="3"/>
  <c r="M85" i="3"/>
  <c r="M108" i="12"/>
  <c r="M85" i="12"/>
  <c r="M70" i="12"/>
  <c r="M102" i="12"/>
  <c r="M76" i="12"/>
  <c r="M83" i="12"/>
  <c r="M86" i="12"/>
  <c r="M101" i="12"/>
  <c r="M115" i="12"/>
  <c r="M69" i="12"/>
  <c r="M92" i="12"/>
  <c r="M66" i="12"/>
  <c r="M82" i="12"/>
  <c r="M98" i="12"/>
  <c r="M114" i="12"/>
  <c r="M81" i="12"/>
  <c r="M97" i="12"/>
  <c r="M113" i="12"/>
  <c r="M88" i="12"/>
  <c r="M104" i="12"/>
  <c r="M79" i="12"/>
  <c r="M75" i="12"/>
  <c r="M95" i="12"/>
  <c r="M111" i="12"/>
  <c r="M78" i="12"/>
  <c r="M94" i="12"/>
  <c r="M110" i="12"/>
  <c r="M77" i="12"/>
  <c r="M93" i="12"/>
  <c r="M109" i="12"/>
  <c r="M84" i="12"/>
  <c r="M100" i="12"/>
  <c r="M65" i="12"/>
  <c r="M71" i="12"/>
  <c r="M91" i="12"/>
  <c r="M72" i="12"/>
  <c r="M68" i="12"/>
  <c r="M74" i="12"/>
  <c r="M90" i="12"/>
  <c r="M106" i="12"/>
  <c r="M73" i="12"/>
  <c r="M89" i="12"/>
  <c r="M105" i="12"/>
  <c r="M80" i="12"/>
  <c r="M96" i="12"/>
  <c r="M112" i="12"/>
  <c r="M67" i="12"/>
  <c r="M87" i="12"/>
  <c r="M103" i="12"/>
  <c r="M99" i="12"/>
  <c r="F83" i="13"/>
  <c r="F103" i="13"/>
  <c r="F78" i="13"/>
  <c r="F98" i="13"/>
  <c r="F69" i="13"/>
  <c r="F101" i="13"/>
  <c r="F92" i="13"/>
  <c r="F68" i="13"/>
  <c r="F96" i="13"/>
  <c r="F75" i="13"/>
  <c r="F91" i="13"/>
  <c r="F107" i="13"/>
  <c r="F74" i="13"/>
  <c r="F90" i="13"/>
  <c r="F106" i="13"/>
  <c r="F73" i="13"/>
  <c r="F93" i="13"/>
  <c r="F80" i="13"/>
  <c r="F100" i="13"/>
  <c r="F83" i="12"/>
  <c r="F103" i="12"/>
  <c r="F96" i="12"/>
  <c r="F80" i="12"/>
  <c r="F65" i="12"/>
  <c r="F79" i="12"/>
  <c r="F76" i="12"/>
  <c r="F99" i="12"/>
  <c r="F72" i="12"/>
  <c r="F108" i="12"/>
  <c r="F71" i="12"/>
  <c r="F95" i="12"/>
  <c r="F115" i="12"/>
  <c r="F112" i="12"/>
  <c r="F100" i="12"/>
  <c r="F67" i="12"/>
  <c r="F87" i="12"/>
  <c r="F111" i="12"/>
  <c r="F104" i="12"/>
  <c r="F113" i="12"/>
  <c r="F109" i="12"/>
  <c r="F105" i="12"/>
  <c r="F93" i="12"/>
  <c r="F85" i="12"/>
  <c r="F81" i="12"/>
  <c r="F114" i="12"/>
  <c r="F110" i="12"/>
  <c r="F106" i="12"/>
  <c r="F102" i="12"/>
  <c r="F98" i="12"/>
  <c r="F94" i="12"/>
  <c r="F90" i="12"/>
  <c r="F86" i="12"/>
  <c r="F82" i="12"/>
  <c r="F78" i="12"/>
  <c r="F74" i="12"/>
  <c r="F70" i="12"/>
  <c r="F69" i="12"/>
  <c r="F101" i="12"/>
  <c r="F97" i="12"/>
  <c r="F89" i="12"/>
  <c r="F77" i="12"/>
  <c r="F73" i="12"/>
  <c r="F66" i="12"/>
  <c r="F75" i="12"/>
  <c r="F91" i="12"/>
  <c r="F107" i="12"/>
  <c r="F88" i="12"/>
  <c r="F68" i="12"/>
  <c r="F92" i="12"/>
  <c r="M83" i="13"/>
  <c r="M99" i="13"/>
  <c r="M82" i="13"/>
  <c r="M98" i="13"/>
  <c r="M69" i="13"/>
  <c r="M85" i="13"/>
  <c r="M101" i="13"/>
  <c r="M68" i="13"/>
  <c r="M84" i="13"/>
  <c r="M100" i="13"/>
  <c r="M65" i="13"/>
  <c r="M79" i="13"/>
  <c r="M95" i="13"/>
  <c r="M111" i="13"/>
  <c r="M78" i="13"/>
  <c r="M94" i="13"/>
  <c r="M110" i="13"/>
  <c r="M81" i="13"/>
  <c r="M97" i="13"/>
  <c r="M113" i="13"/>
  <c r="M80" i="13"/>
  <c r="M96" i="13"/>
  <c r="M104" i="13"/>
  <c r="M112" i="13"/>
  <c r="M67" i="13"/>
  <c r="M66" i="13"/>
  <c r="M75" i="13"/>
  <c r="M91" i="13"/>
  <c r="M107" i="13"/>
  <c r="M74" i="13"/>
  <c r="M90" i="13"/>
  <c r="M106" i="13"/>
  <c r="M77" i="13"/>
  <c r="M93" i="13"/>
  <c r="M109" i="13"/>
  <c r="M76" i="13"/>
  <c r="M92" i="13"/>
  <c r="F81" i="13"/>
  <c r="F97" i="13"/>
  <c r="F113" i="13"/>
  <c r="F72" i="13"/>
  <c r="F88" i="13"/>
</calcChain>
</file>

<file path=xl/sharedStrings.xml><?xml version="1.0" encoding="utf-8"?>
<sst xmlns="http://schemas.openxmlformats.org/spreadsheetml/2006/main" count="356" uniqueCount="61">
  <si>
    <t>Total</t>
  </si>
  <si>
    <t>Work</t>
  </si>
  <si>
    <t>School</t>
  </si>
  <si>
    <t>Workbased</t>
  </si>
  <si>
    <t>Timeperiod</t>
  </si>
  <si>
    <t>Before 3:00am</t>
  </si>
  <si>
    <t>After 27:00</t>
  </si>
  <si>
    <t>Half-hour time periods</t>
  </si>
  <si>
    <t>Distance values reflect start time of time period</t>
  </si>
  <si>
    <t>Tour arrival time at primary destination</t>
  </si>
  <si>
    <t>Tour departure time from primary destination</t>
  </si>
  <si>
    <t>Table X. Estimated Tour Departure from PD Times: DaySim</t>
  </si>
  <si>
    <t>Table X. Estimated Tour Arrival at PD Times: DaySim</t>
  </si>
  <si>
    <t>&gt; 24 hours</t>
  </si>
  <si>
    <t>Duration</t>
  </si>
  <si>
    <t>Table X. Estimated Tour Durations: DaySim</t>
  </si>
  <si>
    <t>Other</t>
  </si>
  <si>
    <t>FT Worker</t>
  </si>
  <si>
    <t>PT Worker</t>
  </si>
  <si>
    <t>Retired</t>
  </si>
  <si>
    <t>Nonworker</t>
  </si>
  <si>
    <t>Univ Stud</t>
  </si>
  <si>
    <t>Stud 5-15</t>
  </si>
  <si>
    <t>Child&lt;5</t>
  </si>
  <si>
    <t>Stud 16+</t>
  </si>
  <si>
    <t>Work Tour arrival time at primary destination</t>
  </si>
  <si>
    <t>Table X. Estimated Work Tour Arrival at PD Times: DaySim</t>
  </si>
  <si>
    <t>Table X. Estimated School Tour Arrival at PD Times: DaySim</t>
  </si>
  <si>
    <t>Table X. Estimated Other Tour Arrival at PD Times: DaySim</t>
  </si>
  <si>
    <t>Other Tour arrival time at primary destination</t>
  </si>
  <si>
    <t>Workbased Tour arrival time at primary destination</t>
  </si>
  <si>
    <t>Table X. Estimated Workbased Tour Arrival at PD Times: DaySim</t>
  </si>
  <si>
    <t>School Tour arrival time at primary destination</t>
  </si>
  <si>
    <t>Steps for tour time of day distributions</t>
  </si>
  <si>
    <t>After 27:30</t>
  </si>
  <si>
    <t>DaySim</t>
  </si>
  <si>
    <t>These frequency distributions have been generated using the tour file</t>
  </si>
  <si>
    <t>Duration refers to the time spent at the primary destination</t>
  </si>
  <si>
    <t>Work Tour Departure time at primary destination</t>
  </si>
  <si>
    <t>Table X. Estimated Work Tour Departure at PD Times: DaySim</t>
  </si>
  <si>
    <t>School Tour Departure time at primary destination</t>
  </si>
  <si>
    <t>Table X. Estimated School Tour Departure at PD Times: DaySim</t>
  </si>
  <si>
    <t>Other Tour Departure time at primary destination</t>
  </si>
  <si>
    <t>Table X. Estimated Other Tour Departure at PD Times: DaySim</t>
  </si>
  <si>
    <t>Workbased Tour Departure time at primary destination</t>
  </si>
  <si>
    <t>Table X. Estimated Workbased Tour Departure at PD Times: DaySim</t>
  </si>
  <si>
    <t>Observed Sources: Survey (2009)</t>
  </si>
  <si>
    <t>Table X. Observed Tour Arrival at PD Times: Survey</t>
  </si>
  <si>
    <t>Survey</t>
  </si>
  <si>
    <t>Table X. Observed Tour Departure from PD Times: Survey</t>
  </si>
  <si>
    <t>Table X. Observed Tour Durations: Survey</t>
  </si>
  <si>
    <t>Table X. Observed Work Tour Arrival at PD Times: Survey</t>
  </si>
  <si>
    <t>Table X. Observed School Tour Arrival at PD Times: Survey</t>
  </si>
  <si>
    <t>Table X. Observed Other Tour Arrival at PD Times: Survey</t>
  </si>
  <si>
    <t>Table X. Observed Workbased Tour Arrival at PD Times: Survey</t>
  </si>
  <si>
    <t>Table X. Observed Work Tour Departure at PD Times: Survey</t>
  </si>
  <si>
    <t>Table X. Observed School Tour Departure at PD Times: Survey</t>
  </si>
  <si>
    <t>Table X. Observed Other Tour Departure at PD Times: Survey</t>
  </si>
  <si>
    <t>Table X. Observed Workbased Tour Departure at PD Times: Survey</t>
  </si>
  <si>
    <t>Observed Sources: Survey</t>
  </si>
  <si>
    <t xml:space="preserve">Observed Sources: Survey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</si>
</sst>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yy\ hh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2" fillId="0" borderId="0">
      <alignment wrapText="1"/>
    </xf>
    <xf numFmtId="0" fontId="3" fillId="2" borderId="0">
      <alignment wrapText="1"/>
    </xf>
    <xf numFmtId="164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4" fontId="3" fillId="0" borderId="0">
      <alignment wrapText="1"/>
    </xf>
  </cellStyleXfs>
  <cellXfs count="29">
    <xf numFmtId="0" fontId="0" fillId="0" borderId="0" xfId="0"/>
    <xf numFmtId="0" fontId="0" fillId="0" borderId="1" xfId="0" applyBorder="1"/>
    <xf numFmtId="0" fontId="0" fillId="0" borderId="2" xfId="0" applyBorder="1"/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0" fontId="2" fillId="0" borderId="0" xfId="1" applyAlignment="1"/>
    <xf numFmtId="0" fontId="2" fillId="0" borderId="1" xfId="1" applyBorder="1" applyAlignment="1"/>
    <xf numFmtId="0" fontId="1" fillId="0" borderId="0" xfId="0" applyFont="1" applyBorder="1"/>
    <xf numFmtId="20" fontId="0" fillId="0" borderId="0" xfId="0" applyNumberFormat="1"/>
    <xf numFmtId="20" fontId="0" fillId="0" borderId="1" xfId="0" applyNumberFormat="1" applyBorder="1"/>
    <xf numFmtId="0" fontId="0" fillId="0" borderId="0" xfId="0" applyBorder="1" applyAlignment="1">
      <alignment horizontal="center" vertical="top"/>
    </xf>
    <xf numFmtId="20" fontId="0" fillId="0" borderId="0" xfId="0" applyNumberFormat="1" applyFill="1" applyBorder="1"/>
    <xf numFmtId="2" fontId="0" fillId="0" borderId="0" xfId="0" applyNumberFormat="1" applyBorder="1"/>
    <xf numFmtId="10" fontId="2" fillId="0" borderId="0" xfId="1" applyNumberFormat="1" applyAlignment="1"/>
    <xf numFmtId="10" fontId="0" fillId="0" borderId="0" xfId="0" applyNumberFormat="1"/>
    <xf numFmtId="10" fontId="2" fillId="0" borderId="1" xfId="1" applyNumberFormat="1" applyBorder="1" applyAlignment="1"/>
    <xf numFmtId="10" fontId="0" fillId="0" borderId="1" xfId="0" applyNumberFormat="1" applyBorder="1"/>
    <xf numFmtId="20" fontId="0" fillId="0" borderId="3" xfId="0" applyNumberFormat="1" applyBorder="1"/>
    <xf numFmtId="2" fontId="0" fillId="0" borderId="3" xfId="0" applyNumberFormat="1" applyBorder="1"/>
    <xf numFmtId="0" fontId="0" fillId="0" borderId="3" xfId="0" applyBorder="1"/>
    <xf numFmtId="0" fontId="2" fillId="0" borderId="3" xfId="1" applyBorder="1" applyAlignment="1"/>
    <xf numFmtId="20" fontId="0" fillId="0" borderId="4" xfId="0" applyNumberFormat="1" applyBorder="1"/>
    <xf numFmtId="2" fontId="0" fillId="0" borderId="4" xfId="0" applyNumberFormat="1" applyBorder="1"/>
    <xf numFmtId="0" fontId="0" fillId="0" borderId="3" xfId="0" applyBorder="1" applyAlignment="1">
      <alignment horizontal="center" vertical="top"/>
    </xf>
    <xf numFmtId="10" fontId="0" fillId="0" borderId="0" xfId="0" applyNumberFormat="1" applyBorder="1"/>
  </cellXfs>
  <cellStyles count="8"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Arrival_Time!$B$65:$B$115</c:f>
              <c:numCache>
                <c:formatCode>0.00%</c:formatCode>
                <c:ptCount val="51"/>
                <c:pt idx="0">
                  <c:v>0</c:v>
                </c:pt>
                <c:pt idx="1">
                  <c:v>2.2120173604224182E-3</c:v>
                </c:pt>
                <c:pt idx="2">
                  <c:v>5.2563188624705761E-3</c:v>
                </c:pt>
                <c:pt idx="3">
                  <c:v>1.0022469258974258E-2</c:v>
                </c:pt>
                <c:pt idx="4">
                  <c:v>1.7388896873050865E-2</c:v>
                </c:pt>
                <c:pt idx="5">
                  <c:v>2.7988449906261446E-2</c:v>
                </c:pt>
                <c:pt idx="6">
                  <c:v>4.1850904503647701E-2</c:v>
                </c:pt>
                <c:pt idx="7">
                  <c:v>5.8016089277604481E-2</c:v>
                </c:pt>
                <c:pt idx="8">
                  <c:v>7.4308595149691001E-2</c:v>
                </c:pt>
                <c:pt idx="9">
                  <c:v>8.7594197893032438E-2</c:v>
                </c:pt>
                <c:pt idx="10">
                  <c:v>9.4734786388463721E-2</c:v>
                </c:pt>
                <c:pt idx="11">
                  <c:v>9.3944521501278855E-2</c:v>
                </c:pt>
                <c:pt idx="12">
                  <c:v>8.5712978647192586E-2</c:v>
                </c:pt>
                <c:pt idx="13">
                  <c:v>7.2581784877258484E-2</c:v>
                </c:pt>
                <c:pt idx="14">
                  <c:v>5.790083919997293E-2</c:v>
                </c:pt>
                <c:pt idx="15">
                  <c:v>4.4446254004183387E-2</c:v>
                </c:pt>
                <c:pt idx="16">
                  <c:v>3.371626663614026E-2</c:v>
                </c:pt>
                <c:pt idx="17">
                  <c:v>2.6024325677891858E-2</c:v>
                </c:pt>
                <c:pt idx="18">
                  <c:v>2.0963107715916959E-2</c:v>
                </c:pt>
                <c:pt idx="19">
                  <c:v>1.7828749446972242E-2</c:v>
                </c:pt>
                <c:pt idx="20">
                  <c:v>1.5893365760756138E-2</c:v>
                </c:pt>
                <c:pt idx="21">
                  <c:v>1.4571909090887569E-2</c:v>
                </c:pt>
                <c:pt idx="22">
                  <c:v>1.3494375202964768E-2</c:v>
                </c:pt>
                <c:pt idx="23">
                  <c:v>1.2473644789896338E-2</c:v>
                </c:pt>
                <c:pt idx="24">
                  <c:v>1.1424168047871382E-2</c:v>
                </c:pt>
                <c:pt idx="25">
                  <c:v>1.0312073413874563E-2</c:v>
                </c:pt>
                <c:pt idx="26">
                  <c:v>9.146391949261614E-3</c:v>
                </c:pt>
                <c:pt idx="27">
                  <c:v>7.9645420254042688E-3</c:v>
                </c:pt>
                <c:pt idx="28">
                  <c:v>6.8000661241086014E-3</c:v>
                </c:pt>
                <c:pt idx="29">
                  <c:v>5.6688649017352438E-3</c:v>
                </c:pt>
                <c:pt idx="30">
                  <c:v>4.5881781000433382E-3</c:v>
                </c:pt>
                <c:pt idx="31">
                  <c:v>3.5947979687482759E-3</c:v>
                </c:pt>
                <c:pt idx="32">
                  <c:v>2.7343789617201193E-3</c:v>
                </c:pt>
                <c:pt idx="33">
                  <c:v>2.0373300880901809E-3</c:v>
                </c:pt>
                <c:pt idx="34">
                  <c:v>1.5103966273513349E-3</c:v>
                </c:pt>
                <c:pt idx="35">
                  <c:v>1.1444224405435632E-3</c:v>
                </c:pt>
                <c:pt idx="36">
                  <c:v>9.174502492460628E-4</c:v>
                </c:pt>
                <c:pt idx="37">
                  <c:v>7.8819550065435196E-4</c:v>
                </c:pt>
                <c:pt idx="38">
                  <c:v>6.9871845824994447E-4</c:v>
                </c:pt>
                <c:pt idx="39">
                  <c:v>5.9759726124646929E-4</c:v>
                </c:pt>
                <c:pt idx="40">
                  <c:v>4.6594685183156022E-4</c:v>
                </c:pt>
                <c:pt idx="41">
                  <c:v>3.2042679514011983E-4</c:v>
                </c:pt>
                <c:pt idx="42">
                  <c:v>1.9149841846810648E-4</c:v>
                </c:pt>
                <c:pt idx="43">
                  <c:v>9.9113154941462883E-5</c:v>
                </c:pt>
                <c:pt idx="44">
                  <c:v>4.4578878032847837E-5</c:v>
                </c:pt>
                <c:pt idx="45">
                  <c:v>1.7544017840423742E-5</c:v>
                </c:pt>
                <c:pt idx="46">
                  <c:v>6.0691191720785273E-6</c:v>
                </c:pt>
                <c:pt idx="47">
                  <c:v>1.8340027309078149E-6</c:v>
                </c:pt>
                <c:pt idx="48">
                  <c:v>4.7181366276801264E-7</c:v>
                </c:pt>
                <c:pt idx="49">
                  <c:v>9.6805099355547877E-8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9E3-9087-40B569334599}"/>
            </c:ext>
          </c:extLst>
        </c:ser>
        <c:ser>
          <c:idx val="1"/>
          <c:order val="1"/>
          <c:tx>
            <c:strRef>
              <c:f>Arrival_Time!$I$64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Arrival_Time!$I$65:$I$115</c:f>
              <c:numCache>
                <c:formatCode>0.00%</c:formatCode>
                <c:ptCount val="51"/>
                <c:pt idx="0">
                  <c:v>1.1845971403241244E-3</c:v>
                </c:pt>
                <c:pt idx="1">
                  <c:v>1.260651056162165E-3</c:v>
                </c:pt>
                <c:pt idx="2">
                  <c:v>1.893425195606024E-3</c:v>
                </c:pt>
                <c:pt idx="3">
                  <c:v>3.9531643373261292E-3</c:v>
                </c:pt>
                <c:pt idx="4">
                  <c:v>8.7571855013236621E-3</c:v>
                </c:pt>
                <c:pt idx="5">
                  <c:v>1.7808792590617011E-2</c:v>
                </c:pt>
                <c:pt idx="6">
                  <c:v>3.2041333458767973E-2</c:v>
                </c:pt>
                <c:pt idx="7">
                  <c:v>5.0831507945591464E-2</c:v>
                </c:pt>
                <c:pt idx="8">
                  <c:v>7.143805679747138E-2</c:v>
                </c:pt>
                <c:pt idx="9">
                  <c:v>8.9503040897503577E-2</c:v>
                </c:pt>
                <c:pt idx="10">
                  <c:v>0.10062944191695454</c:v>
                </c:pt>
                <c:pt idx="11">
                  <c:v>0.1022309620149733</c:v>
                </c:pt>
                <c:pt idx="12">
                  <c:v>9.4567506952977748E-2</c:v>
                </c:pt>
                <c:pt idx="13">
                  <c:v>8.0420515135862125E-2</c:v>
                </c:pt>
                <c:pt idx="14">
                  <c:v>6.3739390699110013E-2</c:v>
                </c:pt>
                <c:pt idx="15">
                  <c:v>4.8091097309523705E-2</c:v>
                </c:pt>
                <c:pt idx="16">
                  <c:v>3.5636337394353935E-2</c:v>
                </c:pt>
                <c:pt idx="17">
                  <c:v>2.6915003559314091E-2</c:v>
                </c:pt>
                <c:pt idx="18">
                  <c:v>2.129587279612543E-2</c:v>
                </c:pt>
                <c:pt idx="19">
                  <c:v>1.7700480728935854E-2</c:v>
                </c:pt>
                <c:pt idx="20">
                  <c:v>1.5197777264491437E-2</c:v>
                </c:pt>
                <c:pt idx="21">
                  <c:v>1.3253295468051587E-2</c:v>
                </c:pt>
                <c:pt idx="22">
                  <c:v>1.1669057228003583E-2</c:v>
                </c:pt>
                <c:pt idx="23">
                  <c:v>1.0400081737954094E-2</c:v>
                </c:pt>
                <c:pt idx="24">
                  <c:v>9.4147911148465095E-3</c:v>
                </c:pt>
                <c:pt idx="25">
                  <c:v>8.6529361666482525E-3</c:v>
                </c:pt>
                <c:pt idx="26">
                  <c:v>8.0425923008694278E-3</c:v>
                </c:pt>
                <c:pt idx="27">
                  <c:v>7.5209742395777445E-3</c:v>
                </c:pt>
                <c:pt idx="28">
                  <c:v>7.0355623891348732E-3</c:v>
                </c:pt>
                <c:pt idx="29">
                  <c:v>6.534017868568779E-3</c:v>
                </c:pt>
                <c:pt idx="30">
                  <c:v>5.9626197703801509E-3</c:v>
                </c:pt>
                <c:pt idx="31">
                  <c:v>5.284795891420108E-3</c:v>
                </c:pt>
                <c:pt idx="32">
                  <c:v>4.5096903369275443E-3</c:v>
                </c:pt>
                <c:pt idx="33">
                  <c:v>3.7022042233066945E-3</c:v>
                </c:pt>
                <c:pt idx="34">
                  <c:v>2.9549304091515318E-3</c:v>
                </c:pt>
                <c:pt idx="35">
                  <c:v>2.3378608477844761E-3</c:v>
                </c:pt>
                <c:pt idx="36">
                  <c:v>1.8658096589801183E-3</c:v>
                </c:pt>
                <c:pt idx="37">
                  <c:v>1.5066196677681843E-3</c:v>
                </c:pt>
                <c:pt idx="38">
                  <c:v>1.2150682651909967E-3</c:v>
                </c:pt>
                <c:pt idx="39">
                  <c:v>9.6050755972026177E-4</c:v>
                </c:pt>
                <c:pt idx="40">
                  <c:v>7.3240500436995838E-4</c:v>
                </c:pt>
                <c:pt idx="41">
                  <c:v>5.3162806370534214E-4</c:v>
                </c:pt>
                <c:pt idx="42">
                  <c:v>3.6187397911682269E-4</c:v>
                </c:pt>
                <c:pt idx="43">
                  <c:v>2.2647432655385359E-4</c:v>
                </c:pt>
                <c:pt idx="44">
                  <c:v>1.2723496636163234E-4</c:v>
                </c:pt>
                <c:pt idx="45">
                  <c:v>6.2529558417887015E-5</c:v>
                </c:pt>
                <c:pt idx="46">
                  <c:v>2.6175565435469323E-5</c:v>
                </c:pt>
                <c:pt idx="47">
                  <c:v>9.0735831207892691E-6</c:v>
                </c:pt>
                <c:pt idx="48">
                  <c:v>2.5199722334152697E-6</c:v>
                </c:pt>
                <c:pt idx="49">
                  <c:v>5.2914308421379795E-7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49-49E3-9087-40B569334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394176"/>
        <c:axId val="81255168"/>
      </c:lineChart>
      <c:catAx>
        <c:axId val="893941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5168"/>
        <c:crosses val="autoZero"/>
        <c:auto val="1"/>
        <c:lblAlgn val="ctr"/>
        <c:lblOffset val="100"/>
        <c:tickLblSkip val="2"/>
        <c:noMultiLvlLbl val="0"/>
      </c:catAx>
      <c:valAx>
        <c:axId val="81255168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893941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25767716535433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Arrival_Time!$C$65:$C$115</c:f>
              <c:numCache>
                <c:formatCode>0.00%</c:formatCode>
                <c:ptCount val="51"/>
                <c:pt idx="0">
                  <c:v>0</c:v>
                </c:pt>
                <c:pt idx="1">
                  <c:v>1.3336201578702285E-4</c:v>
                </c:pt>
                <c:pt idx="2">
                  <c:v>4.4764427000408655E-4</c:v>
                </c:pt>
                <c:pt idx="3">
                  <c:v>1.4428973494473043E-3</c:v>
                </c:pt>
                <c:pt idx="4">
                  <c:v>4.3192576522907509E-3</c:v>
                </c:pt>
                <c:pt idx="5">
                  <c:v>1.1197593541691326E-2</c:v>
                </c:pt>
                <c:pt idx="6">
                  <c:v>2.4637478329791164E-2</c:v>
                </c:pt>
                <c:pt idx="7">
                  <c:v>4.6077204006671098E-2</c:v>
                </c:pt>
                <c:pt idx="8">
                  <c:v>7.3778560392525602E-2</c:v>
                </c:pt>
                <c:pt idx="9">
                  <c:v>0.10192441816237235</c:v>
                </c:pt>
                <c:pt idx="10">
                  <c:v>0.12231460630824725</c:v>
                </c:pt>
                <c:pt idx="11">
                  <c:v>0.12822931478649058</c:v>
                </c:pt>
                <c:pt idx="12">
                  <c:v>0.11801983502103421</c:v>
                </c:pt>
                <c:pt idx="13">
                  <c:v>9.5891822636134466E-2</c:v>
                </c:pt>
                <c:pt idx="14">
                  <c:v>6.9412526285940482E-2</c:v>
                </c:pt>
                <c:pt idx="15">
                  <c:v>4.5639134957183677E-2</c:v>
                </c:pt>
                <c:pt idx="16">
                  <c:v>2.841683863313502E-2</c:v>
                </c:pt>
                <c:pt idx="17">
                  <c:v>1.8058883432447898E-2</c:v>
                </c:pt>
                <c:pt idx="18">
                  <c:v>1.2756463881759219E-2</c:v>
                </c:pt>
                <c:pt idx="19">
                  <c:v>1.0259149876669088E-2</c:v>
                </c:pt>
                <c:pt idx="20">
                  <c:v>8.8753724496015551E-3</c:v>
                </c:pt>
                <c:pt idx="21">
                  <c:v>7.7258388942309441E-3</c:v>
                </c:pt>
                <c:pt idx="22">
                  <c:v>6.586400611476112E-3</c:v>
                </c:pt>
                <c:pt idx="23">
                  <c:v>5.5864116037428425E-3</c:v>
                </c:pt>
                <c:pt idx="24">
                  <c:v>4.9069166478804618E-3</c:v>
                </c:pt>
                <c:pt idx="25">
                  <c:v>4.5974083089059753E-3</c:v>
                </c:pt>
                <c:pt idx="26">
                  <c:v>4.5669575546332768E-3</c:v>
                </c:pt>
                <c:pt idx="27">
                  <c:v>4.6755584126370181E-3</c:v>
                </c:pt>
                <c:pt idx="28">
                  <c:v>4.7983938279875776E-3</c:v>
                </c:pt>
                <c:pt idx="29">
                  <c:v>4.8228712714636348E-3</c:v>
                </c:pt>
                <c:pt idx="30">
                  <c:v>4.6403704419987141E-3</c:v>
                </c:pt>
                <c:pt idx="31">
                  <c:v>4.1835361556444208E-3</c:v>
                </c:pt>
                <c:pt idx="32">
                  <c:v>3.4769079024411726E-3</c:v>
                </c:pt>
                <c:pt idx="33">
                  <c:v>2.6393670439115373E-3</c:v>
                </c:pt>
                <c:pt idx="34">
                  <c:v>1.8289323095730318E-3</c:v>
                </c:pt>
                <c:pt idx="35">
                  <c:v>1.1752269681090813E-3</c:v>
                </c:pt>
                <c:pt idx="36">
                  <c:v>7.4676434498216785E-4</c:v>
                </c:pt>
                <c:pt idx="37">
                  <c:v>5.637112845503047E-4</c:v>
                </c:pt>
                <c:pt idx="38">
                  <c:v>6.2552312174978246E-4</c:v>
                </c:pt>
                <c:pt idx="39">
                  <c:v>9.0787728160140113E-4</c:v>
                </c:pt>
                <c:pt idx="40">
                  <c:v>1.3219777308438893E-3</c:v>
                </c:pt>
                <c:pt idx="41">
                  <c:v>1.6953434727189712E-3</c:v>
                </c:pt>
                <c:pt idx="42">
                  <c:v>1.8373754666286015E-3</c:v>
                </c:pt>
                <c:pt idx="43">
                  <c:v>1.6602635464489938E-3</c:v>
                </c:pt>
                <c:pt idx="44">
                  <c:v>1.2419158515260111E-3</c:v>
                </c:pt>
                <c:pt idx="45">
                  <c:v>7.632882013634965E-4</c:v>
                </c:pt>
                <c:pt idx="46">
                  <c:v>3.8137855044533903E-4</c:v>
                </c:pt>
                <c:pt idx="47">
                  <c:v>1.5248377420086289E-4</c:v>
                </c:pt>
                <c:pt idx="48">
                  <c:v>4.7626207346256532E-5</c:v>
                </c:pt>
                <c:pt idx="49">
                  <c:v>1.1009221733969275E-5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DB-43B1-94F2-040BC2EB1D35}"/>
            </c:ext>
          </c:extLst>
        </c:ser>
        <c:ser>
          <c:idx val="1"/>
          <c:order val="1"/>
          <c:tx>
            <c:strRef>
              <c:f>Arrival_Time!$J$64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Arrival_Time!$J$65:$J$115</c:f>
              <c:numCache>
                <c:formatCode>0.00%</c:formatCode>
                <c:ptCount val="51"/>
                <c:pt idx="0">
                  <c:v>2.2314577890027112E-5</c:v>
                </c:pt>
                <c:pt idx="1">
                  <c:v>1.3219296410000331E-4</c:v>
                </c:pt>
                <c:pt idx="2">
                  <c:v>4.7462558984201974E-4</c:v>
                </c:pt>
                <c:pt idx="3">
                  <c:v>1.6269157005163095E-3</c:v>
                </c:pt>
                <c:pt idx="4">
                  <c:v>4.8520180119971225E-3</c:v>
                </c:pt>
                <c:pt idx="5">
                  <c:v>1.2145162580097199E-2</c:v>
                </c:pt>
                <c:pt idx="6">
                  <c:v>2.5482219237888272E-2</c:v>
                </c:pt>
                <c:pt idx="7">
                  <c:v>4.5202927165607421E-2</c:v>
                </c:pt>
                <c:pt idx="8">
                  <c:v>6.8558771813622216E-2</c:v>
                </c:pt>
                <c:pt idx="9">
                  <c:v>9.0023469492242547E-2</c:v>
                </c:pt>
                <c:pt idx="10">
                  <c:v>0.10378692182998514</c:v>
                </c:pt>
                <c:pt idx="11">
                  <c:v>0.10674816902289044</c:v>
                </c:pt>
                <c:pt idx="12">
                  <c:v>9.9704742204010474E-2</c:v>
                </c:pt>
                <c:pt idx="13">
                  <c:v>8.6152361397575275E-2</c:v>
                </c:pt>
                <c:pt idx="14">
                  <c:v>7.013137257237019E-2</c:v>
                </c:pt>
                <c:pt idx="15">
                  <c:v>5.4748158743210235E-2</c:v>
                </c:pt>
                <c:pt idx="16">
                  <c:v>4.1768225886543969E-2</c:v>
                </c:pt>
                <c:pt idx="17">
                  <c:v>3.1793666310968749E-2</c:v>
                </c:pt>
                <c:pt idx="18">
                  <c:v>2.4604971288622539E-2</c:v>
                </c:pt>
                <c:pt idx="19">
                  <c:v>1.9557661026410461E-2</c:v>
                </c:pt>
                <c:pt idx="20">
                  <c:v>1.5959875329554719E-2</c:v>
                </c:pt>
                <c:pt idx="21">
                  <c:v>1.3298816720576182E-2</c:v>
                </c:pt>
                <c:pt idx="22">
                  <c:v>1.1266748624152218E-2</c:v>
                </c:pt>
                <c:pt idx="23">
                  <c:v>9.6759937293488061E-3</c:v>
                </c:pt>
                <c:pt idx="24">
                  <c:v>8.38649043079767E-3</c:v>
                </c:pt>
                <c:pt idx="25">
                  <c:v>7.2960008922419934E-3</c:v>
                </c:pt>
                <c:pt idx="26">
                  <c:v>6.3606678794413266E-3</c:v>
                </c:pt>
                <c:pt idx="27">
                  <c:v>5.5915253359561257E-3</c:v>
                </c:pt>
                <c:pt idx="28">
                  <c:v>5.0091244487207899E-3</c:v>
                </c:pt>
                <c:pt idx="29">
                  <c:v>4.5884263862322541E-3</c:v>
                </c:pt>
                <c:pt idx="30">
                  <c:v>4.2434043406412818E-3</c:v>
                </c:pt>
                <c:pt idx="31">
                  <c:v>3.8703864073685564E-3</c:v>
                </c:pt>
                <c:pt idx="32">
                  <c:v>3.4163725762789998E-3</c:v>
                </c:pt>
                <c:pt idx="33">
                  <c:v>2.9115368813930525E-3</c:v>
                </c:pt>
                <c:pt idx="34">
                  <c:v>2.4345862173832979E-3</c:v>
                </c:pt>
                <c:pt idx="35">
                  <c:v>2.0422129019421298E-3</c:v>
                </c:pt>
                <c:pt idx="36">
                  <c:v>1.726915062527536E-3</c:v>
                </c:pt>
                <c:pt idx="37">
                  <c:v>1.4365214680370647E-3</c:v>
                </c:pt>
                <c:pt idx="38">
                  <c:v>1.1287005092736016E-3</c:v>
                </c:pt>
                <c:pt idx="39">
                  <c:v>8.0702679929137004E-4</c:v>
                </c:pt>
                <c:pt idx="40">
                  <c:v>5.1190478389960114E-4</c:v>
                </c:pt>
                <c:pt idx="41">
                  <c:v>2.8430835962616456E-4</c:v>
                </c:pt>
                <c:pt idx="42">
                  <c:v>1.3822334841818036E-4</c:v>
                </c:pt>
                <c:pt idx="43">
                  <c:v>5.9780660282865317E-5</c:v>
                </c:pt>
                <c:pt idx="44">
                  <c:v>2.3796978273724056E-5</c:v>
                </c:pt>
                <c:pt idx="45">
                  <c:v>9.0430047696232878E-6</c:v>
                </c:pt>
                <c:pt idx="46">
                  <c:v>3.2871252781974212E-6</c:v>
                </c:pt>
                <c:pt idx="47">
                  <c:v>1.087203729415572E-6</c:v>
                </c:pt>
                <c:pt idx="48">
                  <c:v>3.031668440068495E-7</c:v>
                </c:pt>
                <c:pt idx="49">
                  <c:v>6.501132864765289E-8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DB-43B1-94F2-040BC2EB1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264"/>
        <c:axId val="124978880"/>
      </c:lineChart>
      <c:catAx>
        <c:axId val="1249392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78880"/>
        <c:crosses val="autoZero"/>
        <c:auto val="1"/>
        <c:lblAlgn val="ctr"/>
        <c:lblOffset val="100"/>
        <c:tickLblSkip val="2"/>
        <c:noMultiLvlLbl val="0"/>
      </c:catAx>
      <c:valAx>
        <c:axId val="124978880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1249392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Arrival_Time!$D$65:$D$115</c:f>
              <c:numCache>
                <c:formatCode>0.00%</c:formatCode>
                <c:ptCount val="51"/>
                <c:pt idx="0">
                  <c:v>0</c:v>
                </c:pt>
                <c:pt idx="1">
                  <c:v>5.3331663289241224E-4</c:v>
                </c:pt>
                <c:pt idx="2">
                  <c:v>1.0866780423646417E-3</c:v>
                </c:pt>
                <c:pt idx="3">
                  <c:v>1.7080935800590624E-3</c:v>
                </c:pt>
                <c:pt idx="4">
                  <c:v>2.5023420723449515E-3</c:v>
                </c:pt>
                <c:pt idx="5">
                  <c:v>3.6503644566443813E-3</c:v>
                </c:pt>
                <c:pt idx="6">
                  <c:v>5.3982286374504003E-3</c:v>
                </c:pt>
                <c:pt idx="7">
                  <c:v>7.9955042655431054E-3</c:v>
                </c:pt>
                <c:pt idx="8">
                  <c:v>1.1580402549277629E-2</c:v>
                </c:pt>
                <c:pt idx="9">
                  <c:v>1.6045782557744918E-2</c:v>
                </c:pt>
                <c:pt idx="10">
                  <c:v>2.0966388998526941E-2</c:v>
                </c:pt>
                <c:pt idx="11">
                  <c:v>2.5678299981553448E-2</c:v>
                </c:pt>
                <c:pt idx="12">
                  <c:v>2.9521424046518824E-2</c:v>
                </c:pt>
                <c:pt idx="13">
                  <c:v>3.2113361418054279E-2</c:v>
                </c:pt>
                <c:pt idx="14">
                  <c:v>3.3460478649769615E-2</c:v>
                </c:pt>
                <c:pt idx="15">
                  <c:v>3.3836752531713594E-2</c:v>
                </c:pt>
                <c:pt idx="16">
                  <c:v>3.3569422171048642E-2</c:v>
                </c:pt>
                <c:pt idx="17">
                  <c:v>3.2930347305503142E-2</c:v>
                </c:pt>
                <c:pt idx="18">
                  <c:v>3.2174639046930235E-2</c:v>
                </c:pt>
                <c:pt idx="19">
                  <c:v>3.1592477173912149E-2</c:v>
                </c:pt>
                <c:pt idx="20">
                  <c:v>3.1453033957212669E-2</c:v>
                </c:pt>
                <c:pt idx="21">
                  <c:v>3.1874643075226271E-2</c:v>
                </c:pt>
                <c:pt idx="22">
                  <c:v>3.2750960544076967E-2</c:v>
                </c:pt>
                <c:pt idx="23">
                  <c:v>3.3814864794706329E-2</c:v>
                </c:pt>
                <c:pt idx="24">
                  <c:v>3.4815101173080898E-2</c:v>
                </c:pt>
                <c:pt idx="25">
                  <c:v>3.5705375178997432E-2</c:v>
                </c:pt>
                <c:pt idx="26">
                  <c:v>3.6718428074530407E-2</c:v>
                </c:pt>
                <c:pt idx="27">
                  <c:v>3.8229830680865447E-2</c:v>
                </c:pt>
                <c:pt idx="28">
                  <c:v>4.0433953467793056E-2</c:v>
                </c:pt>
                <c:pt idx="29">
                  <c:v>4.3016704144439269E-2</c:v>
                </c:pt>
                <c:pt idx="30">
                  <c:v>4.5083544933313499E-2</c:v>
                </c:pt>
                <c:pt idx="31">
                  <c:v>4.5478013092987594E-2</c:v>
                </c:pt>
                <c:pt idx="32">
                  <c:v>4.3353186369312381E-2</c:v>
                </c:pt>
                <c:pt idx="33">
                  <c:v>3.8641419135548784E-2</c:v>
                </c:pt>
                <c:pt idx="34">
                  <c:v>3.2108281517050578E-2</c:v>
                </c:pt>
                <c:pt idx="35">
                  <c:v>2.4969425595858283E-2</c:v>
                </c:pt>
                <c:pt idx="36">
                  <c:v>1.8349046798009486E-2</c:v>
                </c:pt>
                <c:pt idx="37">
                  <c:v>1.2913605760482965E-2</c:v>
                </c:pt>
                <c:pt idx="38">
                  <c:v>8.8208791457820186E-3</c:v>
                </c:pt>
                <c:pt idx="39">
                  <c:v>5.8946941526059398E-3</c:v>
                </c:pt>
                <c:pt idx="40">
                  <c:v>3.8470943783027725E-3</c:v>
                </c:pt>
                <c:pt idx="41">
                  <c:v>2.4239547264197059E-3</c:v>
                </c:pt>
                <c:pt idx="42">
                  <c:v>1.4490582443426761E-3</c:v>
                </c:pt>
                <c:pt idx="43">
                  <c:v>8.0633104868757109E-4</c:v>
                </c:pt>
                <c:pt idx="44">
                  <c:v>4.0970280052383018E-4</c:v>
                </c:pt>
                <c:pt idx="45">
                  <c:v>1.8634784492720384E-4</c:v>
                </c:pt>
                <c:pt idx="46">
                  <c:v>7.4233908142891554E-5</c:v>
                </c:pt>
                <c:pt idx="47">
                  <c:v>2.5264886608973302E-5</c:v>
                </c:pt>
                <c:pt idx="48">
                  <c:v>7.1347898093100086E-6</c:v>
                </c:pt>
                <c:pt idx="49">
                  <c:v>1.5816625022742578E-6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77-49B9-9209-4A69A586172C}"/>
            </c:ext>
          </c:extLst>
        </c:ser>
        <c:ser>
          <c:idx val="1"/>
          <c:order val="1"/>
          <c:tx>
            <c:strRef>
              <c:f>Arrival_Time!$K$64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Arrival_Time!$K$65:$K$115</c:f>
              <c:numCache>
                <c:formatCode>0.00%</c:formatCode>
                <c:ptCount val="51"/>
                <c:pt idx="0">
                  <c:v>4.4991016025468601E-5</c:v>
                </c:pt>
                <c:pt idx="1">
                  <c:v>2.9933155287490196E-4</c:v>
                </c:pt>
                <c:pt idx="2">
                  <c:v>4.8615693892053926E-4</c:v>
                </c:pt>
                <c:pt idx="3">
                  <c:v>6.7110860630002875E-4</c:v>
                </c:pt>
                <c:pt idx="4">
                  <c:v>1.1251532186404775E-3</c:v>
                </c:pt>
                <c:pt idx="5">
                  <c:v>2.3112062387718414E-3</c:v>
                </c:pt>
                <c:pt idx="6">
                  <c:v>4.7717198640068346E-3</c:v>
                </c:pt>
                <c:pt idx="7">
                  <c:v>8.9045235874254513E-3</c:v>
                </c:pt>
                <c:pt idx="8">
                  <c:v>1.4684159628292653E-2</c:v>
                </c:pt>
                <c:pt idx="9">
                  <c:v>2.1495818746627145E-2</c:v>
                </c:pt>
                <c:pt idx="10">
                  <c:v>2.8247684116340571E-2</c:v>
                </c:pt>
                <c:pt idx="11">
                  <c:v>3.3754906865391759E-2</c:v>
                </c:pt>
                <c:pt idx="12">
                  <c:v>3.7187148228132273E-2</c:v>
                </c:pt>
                <c:pt idx="13">
                  <c:v>3.8328183500919148E-2</c:v>
                </c:pt>
                <c:pt idx="14">
                  <c:v>3.7541652645801546E-2</c:v>
                </c:pt>
                <c:pt idx="15">
                  <c:v>3.5537350673023674E-2</c:v>
                </c:pt>
                <c:pt idx="16">
                  <c:v>3.3124188422001266E-2</c:v>
                </c:pt>
                <c:pt idx="17">
                  <c:v>3.1062758876441322E-2</c:v>
                </c:pt>
                <c:pt idx="18">
                  <c:v>2.9986322432112522E-2</c:v>
                </c:pt>
                <c:pt idx="19">
                  <c:v>3.0301940328632235E-2</c:v>
                </c:pt>
                <c:pt idx="20">
                  <c:v>3.2070714439736046E-2</c:v>
                </c:pt>
                <c:pt idx="21">
                  <c:v>3.4976494300460077E-2</c:v>
                </c:pt>
                <c:pt idx="22">
                  <c:v>3.846138019375088E-2</c:v>
                </c:pt>
                <c:pt idx="23">
                  <c:v>4.194566902812337E-2</c:v>
                </c:pt>
                <c:pt idx="24">
                  <c:v>4.495707190570495E-2</c:v>
                </c:pt>
                <c:pt idx="25">
                  <c:v>4.7100695955831315E-2</c:v>
                </c:pt>
                <c:pt idx="26">
                  <c:v>4.7988780456560319E-2</c:v>
                </c:pt>
                <c:pt idx="27">
                  <c:v>4.7288262941409302E-2</c:v>
                </c:pt>
                <c:pt idx="28">
                  <c:v>4.4882619223768565E-2</c:v>
                </c:pt>
                <c:pt idx="29">
                  <c:v>4.0981799080332518E-2</c:v>
                </c:pt>
                <c:pt idx="30">
                  <c:v>3.6059082522932433E-2</c:v>
                </c:pt>
                <c:pt idx="31">
                  <c:v>3.0684971120764473E-2</c:v>
                </c:pt>
                <c:pt idx="32">
                  <c:v>2.540559885117355E-2</c:v>
                </c:pt>
                <c:pt idx="33">
                  <c:v>2.0688422144958741E-2</c:v>
                </c:pt>
                <c:pt idx="34">
                  <c:v>1.6845621883492118E-2</c:v>
                </c:pt>
                <c:pt idx="35">
                  <c:v>1.3924541683202715E-2</c:v>
                </c:pt>
                <c:pt idx="36">
                  <c:v>1.1687787220160248E-2</c:v>
                </c:pt>
                <c:pt idx="37">
                  <c:v>9.7660112596357918E-3</c:v>
                </c:pt>
                <c:pt idx="38">
                  <c:v>7.8882533145916266E-3</c:v>
                </c:pt>
                <c:pt idx="39">
                  <c:v>6.0092716011418777E-3</c:v>
                </c:pt>
                <c:pt idx="40">
                  <c:v>4.2583739906010042E-3</c:v>
                </c:pt>
                <c:pt idx="41">
                  <c:v>2.7939552577093039E-3</c:v>
                </c:pt>
                <c:pt idx="42">
                  <c:v>1.6954740219847241E-3</c:v>
                </c:pt>
                <c:pt idx="43">
                  <c:v>9.4780230395846547E-4</c:v>
                </c:pt>
                <c:pt idx="44">
                  <c:v>4.8233494669402271E-4</c:v>
                </c:pt>
                <c:pt idx="45">
                  <c:v>2.1886580364938819E-4</c:v>
                </c:pt>
                <c:pt idx="46">
                  <c:v>8.6155149246474978E-5</c:v>
                </c:pt>
                <c:pt idx="47">
                  <c:v>2.8495615468951524E-5</c:v>
                </c:pt>
                <c:pt idx="48">
                  <c:v>7.6309161613236205E-6</c:v>
                </c:pt>
                <c:pt idx="49">
                  <c:v>1.5573801137673977E-6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77-49B9-9209-4A69A5861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776"/>
        <c:axId val="124981184"/>
      </c:lineChart>
      <c:catAx>
        <c:axId val="1249397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1184"/>
        <c:crosses val="autoZero"/>
        <c:auto val="1"/>
        <c:lblAlgn val="ctr"/>
        <c:lblOffset val="100"/>
        <c:tickLblSkip val="2"/>
        <c:noMultiLvlLbl val="0"/>
      </c:catAx>
      <c:valAx>
        <c:axId val="124981184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97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Arrival_Time!$E$65:$E$115</c:f>
              <c:numCache>
                <c:formatCode>0.00%</c:formatCode>
                <c:ptCount val="51"/>
                <c:pt idx="0">
                  <c:v>0</c:v>
                </c:pt>
                <c:pt idx="1">
                  <c:v>2.3267818452191765E-5</c:v>
                </c:pt>
                <c:pt idx="2">
                  <c:v>6.6149437640128421E-5</c:v>
                </c:pt>
                <c:pt idx="3">
                  <c:v>1.5692467835193039E-4</c:v>
                </c:pt>
                <c:pt idx="4">
                  <c:v>3.4147464404447626E-4</c:v>
                </c:pt>
                <c:pt idx="5">
                  <c:v>6.9260184213087886E-4</c:v>
                </c:pt>
                <c:pt idx="6">
                  <c:v>1.3228043646598337E-3</c:v>
                </c:pt>
                <c:pt idx="7">
                  <c:v>2.4011393271835615E-3</c:v>
                </c:pt>
                <c:pt idx="8">
                  <c:v>4.1537318853582788E-3</c:v>
                </c:pt>
                <c:pt idx="9">
                  <c:v>6.8096770835979585E-3</c:v>
                </c:pt>
                <c:pt idx="10">
                  <c:v>1.0497322711682518E-2</c:v>
                </c:pt>
                <c:pt idx="11">
                  <c:v>1.5202290917744584E-2</c:v>
                </c:pt>
                <c:pt idx="12">
                  <c:v>2.0943737538844362E-2</c:v>
                </c:pt>
                <c:pt idx="13">
                  <c:v>2.8157364540049083E-2</c:v>
                </c:pt>
                <c:pt idx="14">
                  <c:v>3.7924837852087452E-2</c:v>
                </c:pt>
                <c:pt idx="15">
                  <c:v>5.1492896407737104E-2</c:v>
                </c:pt>
                <c:pt idx="16">
                  <c:v>6.8928951344791101E-2</c:v>
                </c:pt>
                <c:pt idx="17">
                  <c:v>8.7747321103209833E-2</c:v>
                </c:pt>
                <c:pt idx="18">
                  <c:v>0.10298368380222582</c:v>
                </c:pt>
                <c:pt idx="19">
                  <c:v>0.10937994732457537</c:v>
                </c:pt>
                <c:pt idx="20">
                  <c:v>0.10440705309840204</c:v>
                </c:pt>
                <c:pt idx="21">
                  <c:v>8.9797158550880482E-2</c:v>
                </c:pt>
                <c:pt idx="22">
                  <c:v>7.0422780513508434E-2</c:v>
                </c:pt>
                <c:pt idx="23">
                  <c:v>5.1561833007690176E-2</c:v>
                </c:pt>
                <c:pt idx="24">
                  <c:v>3.6577049295297509E-2</c:v>
                </c:pt>
                <c:pt idx="25">
                  <c:v>2.6226466384396657E-2</c:v>
                </c:pt>
                <c:pt idx="26">
                  <c:v>1.9446198584924631E-2</c:v>
                </c:pt>
                <c:pt idx="27">
                  <c:v>1.4681190093305979E-2</c:v>
                </c:pt>
                <c:pt idx="28">
                  <c:v>1.0867153860504792E-2</c:v>
                </c:pt>
                <c:pt idx="29">
                  <c:v>7.6717210413579599E-3</c:v>
                </c:pt>
                <c:pt idx="30">
                  <c:v>5.183603595398348E-3</c:v>
                </c:pt>
                <c:pt idx="31">
                  <c:v>3.5047547650420906E-3</c:v>
                </c:pt>
                <c:pt idx="32">
                  <c:v>2.5490628520475679E-3</c:v>
                </c:pt>
                <c:pt idx="33">
                  <c:v>2.0653832821333567E-3</c:v>
                </c:pt>
                <c:pt idx="34">
                  <c:v>1.7670186355369347E-3</c:v>
                </c:pt>
                <c:pt idx="35">
                  <c:v>1.4588058553758484E-3</c:v>
                </c:pt>
                <c:pt idx="36">
                  <c:v>1.0908648347017619E-3</c:v>
                </c:pt>
                <c:pt idx="37">
                  <c:v>7.183048613272913E-4</c:v>
                </c:pt>
                <c:pt idx="38">
                  <c:v>4.1433305459736034E-4</c:v>
                </c:pt>
                <c:pt idx="39">
                  <c:v>2.1083225374379691E-4</c:v>
                </c:pt>
                <c:pt idx="40">
                  <c:v>9.5480751453229205E-5</c:v>
                </c:pt>
                <c:pt idx="41">
                  <c:v>3.8418541162280939E-5</c:v>
                </c:pt>
                <c:pt idx="42">
                  <c:v>1.3436527498487149E-5</c:v>
                </c:pt>
                <c:pt idx="43">
                  <c:v>3.9131808992341448E-6</c:v>
                </c:pt>
                <c:pt idx="44">
                  <c:v>8.9385584038044933E-7</c:v>
                </c:pt>
                <c:pt idx="45">
                  <c:v>1.4776651754894008E-7</c:v>
                </c:pt>
                <c:pt idx="46">
                  <c:v>1.5554370268309482E-8</c:v>
                </c:pt>
                <c:pt idx="47">
                  <c:v>7.777185134154741E-10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D-4D64-B3BB-08F13F363029}"/>
            </c:ext>
          </c:extLst>
        </c:ser>
        <c:ser>
          <c:idx val="1"/>
          <c:order val="1"/>
          <c:tx>
            <c:strRef>
              <c:f>Arrival_Time!$L$64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Arrival_Time!$L$65:$L$115</c:f>
              <c:numCache>
                <c:formatCode>0.00%</c:formatCode>
                <c:ptCount val="51"/>
                <c:pt idx="0">
                  <c:v>2.3349599533774613E-4</c:v>
                </c:pt>
                <c:pt idx="1">
                  <c:v>7.6796747295717097E-4</c:v>
                </c:pt>
                <c:pt idx="2">
                  <c:v>1.0355870515497368E-3</c:v>
                </c:pt>
                <c:pt idx="3">
                  <c:v>9.7250921412045898E-4</c:v>
                </c:pt>
                <c:pt idx="4">
                  <c:v>7.4457579077843897E-4</c:v>
                </c:pt>
                <c:pt idx="5">
                  <c:v>6.259476659484539E-4</c:v>
                </c:pt>
                <c:pt idx="6">
                  <c:v>8.9162246451778297E-4</c:v>
                </c:pt>
                <c:pt idx="7">
                  <c:v>1.802072581376181E-3</c:v>
                </c:pt>
                <c:pt idx="8">
                  <c:v>3.6199371198717824E-3</c:v>
                </c:pt>
                <c:pt idx="9">
                  <c:v>6.6071747956944022E-3</c:v>
                </c:pt>
                <c:pt idx="10">
                  <c:v>1.1058378089914039E-2</c:v>
                </c:pt>
                <c:pt idx="11">
                  <c:v>1.7408063906952344E-2</c:v>
                </c:pt>
                <c:pt idx="12">
                  <c:v>2.6250906890641936E-2</c:v>
                </c:pt>
                <c:pt idx="13">
                  <c:v>3.8026643136054188E-2</c:v>
                </c:pt>
                <c:pt idx="14">
                  <c:v>5.2424475565382204E-2</c:v>
                </c:pt>
                <c:pt idx="15">
                  <c:v>6.7978543935306682E-2</c:v>
                </c:pt>
                <c:pt idx="16">
                  <c:v>8.2261469668670387E-2</c:v>
                </c:pt>
                <c:pt idx="17">
                  <c:v>9.2556090510374167E-2</c:v>
                </c:pt>
                <c:pt idx="18">
                  <c:v>9.6615177824464174E-2</c:v>
                </c:pt>
                <c:pt idx="19">
                  <c:v>9.3358153105831121E-2</c:v>
                </c:pt>
                <c:pt idx="20">
                  <c:v>8.3448169035843983E-2</c:v>
                </c:pt>
                <c:pt idx="21">
                  <c:v>6.9341789429887696E-2</c:v>
                </c:pt>
                <c:pt idx="22">
                  <c:v>5.438408573720311E-2</c:v>
                </c:pt>
                <c:pt idx="23">
                  <c:v>4.1323101894984317E-2</c:v>
                </c:pt>
                <c:pt idx="24">
                  <c:v>3.1320452292232195E-2</c:v>
                </c:pt>
                <c:pt idx="25">
                  <c:v>2.4107888610759187E-2</c:v>
                </c:pt>
                <c:pt idx="26">
                  <c:v>1.886468398346032E-2</c:v>
                </c:pt>
                <c:pt idx="27">
                  <c:v>1.4937797922448348E-2</c:v>
                </c:pt>
                <c:pt idx="28">
                  <c:v>1.1997165968704253E-2</c:v>
                </c:pt>
                <c:pt idx="29">
                  <c:v>9.840929644382726E-3</c:v>
                </c:pt>
                <c:pt idx="30">
                  <c:v>8.2251732070413551E-3</c:v>
                </c:pt>
                <c:pt idx="31">
                  <c:v>6.8817059904576951E-3</c:v>
                </c:pt>
                <c:pt idx="32">
                  <c:v>5.6488696795822446E-3</c:v>
                </c:pt>
                <c:pt idx="33">
                  <c:v>4.5494790776194173E-3</c:v>
                </c:pt>
                <c:pt idx="34">
                  <c:v>3.7178906764432666E-3</c:v>
                </c:pt>
                <c:pt idx="35">
                  <c:v>3.2302391179854645E-3</c:v>
                </c:pt>
                <c:pt idx="36">
                  <c:v>2.992105456868786E-3</c:v>
                </c:pt>
                <c:pt idx="37">
                  <c:v>2.7863459594364296E-3</c:v>
                </c:pt>
                <c:pt idx="38">
                  <c:v>2.4306010276321987E-3</c:v>
                </c:pt>
                <c:pt idx="39">
                  <c:v>1.8968801676333398E-3</c:v>
                </c:pt>
                <c:pt idx="40">
                  <c:v>1.297782384062706E-3</c:v>
                </c:pt>
                <c:pt idx="41">
                  <c:v>7.768173524125468E-4</c:v>
                </c:pt>
                <c:pt idx="42">
                  <c:v>4.1212283994473552E-4</c:v>
                </c:pt>
                <c:pt idx="43">
                  <c:v>1.9890480277170934E-4</c:v>
                </c:pt>
                <c:pt idx="44">
                  <c:v>8.9889970633040163E-5</c:v>
                </c:pt>
                <c:pt idx="45">
                  <c:v>3.8375190894377045E-5</c:v>
                </c:pt>
                <c:pt idx="46">
                  <c:v>1.5057436501082634E-5</c:v>
                </c:pt>
                <c:pt idx="47">
                  <c:v>5.1483348241543468E-6</c:v>
                </c:pt>
                <c:pt idx="48">
                  <c:v>1.4451757692132789E-6</c:v>
                </c:pt>
                <c:pt idx="49">
                  <c:v>3.0884583671485933E-7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CD-4D64-B3BB-08F13F363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0880"/>
        <c:axId val="124984064"/>
      </c:lineChart>
      <c:catAx>
        <c:axId val="15161088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4064"/>
        <c:crosses val="autoZero"/>
        <c:auto val="1"/>
        <c:lblAlgn val="ctr"/>
        <c:lblOffset val="100"/>
        <c:tickLblSkip val="2"/>
        <c:noMultiLvlLbl val="0"/>
      </c:catAx>
      <c:valAx>
        <c:axId val="124984064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16108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Departure_Time!$B$65:$B$115</c:f>
              <c:numCache>
                <c:formatCode>0.00%</c:formatCode>
                <c:ptCount val="51"/>
                <c:pt idx="0">
                  <c:v>0</c:v>
                </c:pt>
                <c:pt idx="1">
                  <c:v>8.5167794194334771E-6</c:v>
                </c:pt>
                <c:pt idx="2">
                  <c:v>1.7713769796296858E-5</c:v>
                </c:pt>
                <c:pt idx="3">
                  <c:v>2.9082706049537521E-5</c:v>
                </c:pt>
                <c:pt idx="4">
                  <c:v>4.8211481531095301E-5</c:v>
                </c:pt>
                <c:pt idx="5">
                  <c:v>9.0002728999213666E-5</c:v>
                </c:pt>
                <c:pt idx="6">
                  <c:v>1.8153680741682819E-4</c:v>
                </c:pt>
                <c:pt idx="7">
                  <c:v>3.5776151514834207E-4</c:v>
                </c:pt>
                <c:pt idx="8">
                  <c:v>6.5072405646557396E-4</c:v>
                </c:pt>
                <c:pt idx="9">
                  <c:v>1.0811110838759009E-3</c:v>
                </c:pt>
                <c:pt idx="10">
                  <c:v>1.6613599876668889E-3</c:v>
                </c:pt>
                <c:pt idx="11">
                  <c:v>2.4086967051451537E-3</c:v>
                </c:pt>
                <c:pt idx="12">
                  <c:v>3.3572377873705254E-3</c:v>
                </c:pt>
                <c:pt idx="13">
                  <c:v>4.5636673893927823E-3</c:v>
                </c:pt>
                <c:pt idx="14">
                  <c:v>6.1073001711780929E-3</c:v>
                </c:pt>
                <c:pt idx="15">
                  <c:v>8.0724850239021206E-3</c:v>
                </c:pt>
                <c:pt idx="16">
                  <c:v>1.049384256392274E-2</c:v>
                </c:pt>
                <c:pt idx="17">
                  <c:v>1.3290110222288053E-2</c:v>
                </c:pt>
                <c:pt idx="18">
                  <c:v>1.6280129908779143E-2</c:v>
                </c:pt>
                <c:pt idx="19">
                  <c:v>1.9351836938572765E-2</c:v>
                </c:pt>
                <c:pt idx="20">
                  <c:v>2.2708637287764285E-2</c:v>
                </c:pt>
                <c:pt idx="21">
                  <c:v>2.6988102792965183E-2</c:v>
                </c:pt>
                <c:pt idx="22">
                  <c:v>3.3089473363963076E-2</c:v>
                </c:pt>
                <c:pt idx="23">
                  <c:v>4.1730322529923466E-2</c:v>
                </c:pt>
                <c:pt idx="24">
                  <c:v>5.2920993050464028E-2</c:v>
                </c:pt>
                <c:pt idx="25">
                  <c:v>6.5599969186220394E-2</c:v>
                </c:pt>
                <c:pt idx="26">
                  <c:v>7.7632090986123004E-2</c:v>
                </c:pt>
                <c:pt idx="27">
                  <c:v>8.6279389545128801E-2</c:v>
                </c:pt>
                <c:pt idx="28">
                  <c:v>8.9099250068493327E-2</c:v>
                </c:pt>
                <c:pt idx="29">
                  <c:v>8.4972926672918267E-2</c:v>
                </c:pt>
                <c:pt idx="30">
                  <c:v>7.4727693614998703E-2</c:v>
                </c:pt>
                <c:pt idx="31">
                  <c:v>6.0882021767995752E-2</c:v>
                </c:pt>
                <c:pt idx="32">
                  <c:v>4.655818793239138E-2</c:v>
                </c:pt>
                <c:pt idx="33">
                  <c:v>3.4210318426915708E-2</c:v>
                </c:pt>
                <c:pt idx="34">
                  <c:v>2.4926370417152208E-2</c:v>
                </c:pt>
                <c:pt idx="35">
                  <c:v>1.8566394698612921E-2</c:v>
                </c:pt>
                <c:pt idx="36">
                  <c:v>1.4394540835884718E-2</c:v>
                </c:pt>
                <c:pt idx="37">
                  <c:v>1.1663004093585496E-2</c:v>
                </c:pt>
                <c:pt idx="38">
                  <c:v>9.8450084667040631E-3</c:v>
                </c:pt>
                <c:pt idx="39">
                  <c:v>8.5709159792390285E-3</c:v>
                </c:pt>
                <c:pt idx="40">
                  <c:v>7.5086537812902475E-3</c:v>
                </c:pt>
                <c:pt idx="41">
                  <c:v>6.3691792653729979E-3</c:v>
                </c:pt>
                <c:pt idx="42">
                  <c:v>5.0195621463806394E-3</c:v>
                </c:pt>
                <c:pt idx="43">
                  <c:v>3.5504044483998789E-3</c:v>
                </c:pt>
                <c:pt idx="44">
                  <c:v>2.1955299344841111E-3</c:v>
                </c:pt>
                <c:pt idx="45">
                  <c:v>1.1628763667417324E-3</c:v>
                </c:pt>
                <c:pt idx="46">
                  <c:v>5.1788752994758806E-4</c:v>
                </c:pt>
                <c:pt idx="47">
                  <c:v>1.9014210914767061E-4</c:v>
                </c:pt>
                <c:pt idx="48">
                  <c:v>5.6158724043648035E-5</c:v>
                </c:pt>
                <c:pt idx="49">
                  <c:v>1.2666349826659794E-5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F-4878-A716-6161FC8A6E57}"/>
            </c:ext>
          </c:extLst>
        </c:ser>
        <c:ser>
          <c:idx val="1"/>
          <c:order val="1"/>
          <c:tx>
            <c:strRef>
              <c:f>Departure_Time!$I$64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Departure_Time!$I$65:$I$115</c:f>
              <c:numCache>
                <c:formatCode>0.00%</c:formatCode>
                <c:ptCount val="51"/>
                <c:pt idx="0">
                  <c:v>1.479334236533917E-2</c:v>
                </c:pt>
                <c:pt idx="1">
                  <c:v>9.8381025455604263E-3</c:v>
                </c:pt>
                <c:pt idx="2">
                  <c:v>5.7030261084643303E-3</c:v>
                </c:pt>
                <c:pt idx="3">
                  <c:v>2.8330537721861608E-3</c:v>
                </c:pt>
                <c:pt idx="4">
                  <c:v>1.1901064414916792E-3</c:v>
                </c:pt>
                <c:pt idx="5">
                  <c:v>4.3150752729842923E-4</c:v>
                </c:pt>
                <c:pt idx="6">
                  <c:v>1.743211383874303E-4</c:v>
                </c:pt>
                <c:pt idx="7">
                  <c:v>1.5447339600340145E-4</c:v>
                </c:pt>
                <c:pt idx="8">
                  <c:v>2.4467185606858024E-4</c:v>
                </c:pt>
                <c:pt idx="9">
                  <c:v>4.0645474335869984E-4</c:v>
                </c:pt>
                <c:pt idx="10">
                  <c:v>6.5023845938114069E-4</c:v>
                </c:pt>
                <c:pt idx="11">
                  <c:v>1.0211289706232405E-3</c:v>
                </c:pt>
                <c:pt idx="12">
                  <c:v>1.587260069109301E-3</c:v>
                </c:pt>
                <c:pt idx="13">
                  <c:v>2.4074584094354889E-3</c:v>
                </c:pt>
                <c:pt idx="14">
                  <c:v>3.4868124429591131E-3</c:v>
                </c:pt>
                <c:pt idx="15">
                  <c:v>4.7585330775299015E-3</c:v>
                </c:pt>
                <c:pt idx="16">
                  <c:v>6.1211943423610726E-3</c:v>
                </c:pt>
                <c:pt idx="17">
                  <c:v>7.5138361650368864E-3</c:v>
                </c:pt>
                <c:pt idx="18">
                  <c:v>8.9783848343027821E-3</c:v>
                </c:pt>
                <c:pt idx="19">
                  <c:v>1.0682776790428708E-2</c:v>
                </c:pt>
                <c:pt idx="20">
                  <c:v>1.2934240713951077E-2</c:v>
                </c:pt>
                <c:pt idx="21">
                  <c:v>1.6224310359741725E-2</c:v>
                </c:pt>
                <c:pt idx="22">
                  <c:v>2.1273028800470183E-2</c:v>
                </c:pt>
                <c:pt idx="23">
                  <c:v>2.8936101153699538E-2</c:v>
                </c:pt>
                <c:pt idx="24">
                  <c:v>3.9832623550346474E-2</c:v>
                </c:pt>
                <c:pt idx="25">
                  <c:v>5.3727189857631481E-2</c:v>
                </c:pt>
                <c:pt idx="26">
                  <c:v>6.8989123054127799E-2</c:v>
                </c:pt>
                <c:pt idx="27">
                  <c:v>8.2620001754603031E-2</c:v>
                </c:pt>
                <c:pt idx="28">
                  <c:v>9.1141892421196399E-2</c:v>
                </c:pt>
                <c:pt idx="29">
                  <c:v>9.2071531210830823E-2</c:v>
                </c:pt>
                <c:pt idx="30">
                  <c:v>8.5154757382805479E-2</c:v>
                </c:pt>
                <c:pt idx="31">
                  <c:v>7.2529415043297726E-2</c:v>
                </c:pt>
                <c:pt idx="32">
                  <c:v>5.766346128919711E-2</c:v>
                </c:pt>
                <c:pt idx="33">
                  <c:v>4.3767062912338596E-2</c:v>
                </c:pt>
                <c:pt idx="34">
                  <c:v>3.2673024495073047E-2</c:v>
                </c:pt>
                <c:pt idx="35">
                  <c:v>2.4702487608479214E-2</c:v>
                </c:pt>
                <c:pt idx="36">
                  <c:v>1.9272002330877065E-2</c:v>
                </c:pt>
                <c:pt idx="37">
                  <c:v>1.5604825127889873E-2</c:v>
                </c:pt>
                <c:pt idx="38">
                  <c:v>1.3087916085330241E-2</c:v>
                </c:pt>
                <c:pt idx="39">
                  <c:v>1.1261895532336891E-2</c:v>
                </c:pt>
                <c:pt idx="40">
                  <c:v>9.7162953148815477E-3</c:v>
                </c:pt>
                <c:pt idx="41">
                  <c:v>8.1102307941703401E-3</c:v>
                </c:pt>
                <c:pt idx="42">
                  <c:v>6.2998740103830577E-3</c:v>
                </c:pt>
                <c:pt idx="43">
                  <c:v>4.4026653676527911E-3</c:v>
                </c:pt>
                <c:pt idx="44">
                  <c:v>2.6944031492388259E-3</c:v>
                </c:pt>
                <c:pt idx="45">
                  <c:v>1.41195584792273E-3</c:v>
                </c:pt>
                <c:pt idx="46">
                  <c:v>6.2026493230735451E-4</c:v>
                </c:pt>
                <c:pt idx="47">
                  <c:v>2.2315436508475099E-4</c:v>
                </c:pt>
                <c:pt idx="48">
                  <c:v>6.3847489818705697E-5</c:v>
                </c:pt>
                <c:pt idx="49">
                  <c:v>1.3734588990180105E-5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F-4878-A716-6161FC8A6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078080"/>
        <c:axId val="58171968"/>
      </c:lineChart>
      <c:catAx>
        <c:axId val="8407808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1968"/>
        <c:crosses val="autoZero"/>
        <c:auto val="1"/>
        <c:lblAlgn val="ctr"/>
        <c:lblOffset val="100"/>
        <c:tickLblSkip val="2"/>
        <c:noMultiLvlLbl val="0"/>
      </c:catAx>
      <c:valAx>
        <c:axId val="5817196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84078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9"/>
          <c:h val="0.1257677165354334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Departure_Time!$C$65:$C$115</c:f>
              <c:numCache>
                <c:formatCode>0.00%</c:formatCode>
                <c:ptCount val="51"/>
                <c:pt idx="0">
                  <c:v>0</c:v>
                </c:pt>
                <c:pt idx="1">
                  <c:v>5.3744909436391218E-6</c:v>
                </c:pt>
                <c:pt idx="2">
                  <c:v>9.1195534009364181E-6</c:v>
                </c:pt>
                <c:pt idx="3">
                  <c:v>1.048125176484973E-5</c:v>
                </c:pt>
                <c:pt idx="4">
                  <c:v>9.9691928829288034E-6</c:v>
                </c:pt>
                <c:pt idx="5">
                  <c:v>9.9369896443107019E-6</c:v>
                </c:pt>
                <c:pt idx="6">
                  <c:v>1.7698088573449955E-5</c:v>
                </c:pt>
                <c:pt idx="7">
                  <c:v>5.4720499430750863E-5</c:v>
                </c:pt>
                <c:pt idx="8">
                  <c:v>1.7341112505827333E-4</c:v>
                </c:pt>
                <c:pt idx="9">
                  <c:v>4.73375361772349E-4</c:v>
                </c:pt>
                <c:pt idx="10">
                  <c:v>1.0953017898962397E-3</c:v>
                </c:pt>
                <c:pt idx="11">
                  <c:v>2.1734225289655575E-3</c:v>
                </c:pt>
                <c:pt idx="12">
                  <c:v>3.7642486441122037E-3</c:v>
                </c:pt>
                <c:pt idx="13">
                  <c:v>5.8100302695406345E-3</c:v>
                </c:pt>
                <c:pt idx="14">
                  <c:v>8.1760795466133546E-3</c:v>
                </c:pt>
                <c:pt idx="15">
                  <c:v>1.0728147888317881E-2</c:v>
                </c:pt>
                <c:pt idx="16">
                  <c:v>1.3405806094265591E-2</c:v>
                </c:pt>
                <c:pt idx="17">
                  <c:v>1.6353761503978985E-2</c:v>
                </c:pt>
                <c:pt idx="18">
                  <c:v>2.0214390430731092E-2</c:v>
                </c:pt>
                <c:pt idx="19">
                  <c:v>2.6436548997267256E-2</c:v>
                </c:pt>
                <c:pt idx="20">
                  <c:v>3.7070161081743068E-2</c:v>
                </c:pt>
                <c:pt idx="21">
                  <c:v>5.356071587682356E-2</c:v>
                </c:pt>
                <c:pt idx="22">
                  <c:v>7.489438225035952E-2</c:v>
                </c:pt>
                <c:pt idx="23">
                  <c:v>9.6529174178313887E-2</c:v>
                </c:pt>
                <c:pt idx="24">
                  <c:v>0.11161992833361126</c:v>
                </c:pt>
                <c:pt idx="25">
                  <c:v>0.11444569942215337</c:v>
                </c:pt>
                <c:pt idx="26">
                  <c:v>0.10381670579208485</c:v>
                </c:pt>
                <c:pt idx="27">
                  <c:v>8.3793291602996395E-2</c:v>
                </c:pt>
                <c:pt idx="28">
                  <c:v>6.1125251326145533E-2</c:v>
                </c:pt>
                <c:pt idx="29">
                  <c:v>4.1521279362621046E-2</c:v>
                </c:pt>
                <c:pt idx="30">
                  <c:v>2.7491282099425071E-2</c:v>
                </c:pt>
                <c:pt idx="31">
                  <c:v>1.8678135671827866E-2</c:v>
                </c:pt>
                <c:pt idx="32">
                  <c:v>1.3490924599441387E-2</c:v>
                </c:pt>
                <c:pt idx="33">
                  <c:v>1.0432183152365921E-2</c:v>
                </c:pt>
                <c:pt idx="34">
                  <c:v>8.5207818787155585E-3</c:v>
                </c:pt>
                <c:pt idx="35">
                  <c:v>7.1692807812051085E-3</c:v>
                </c:pt>
                <c:pt idx="36">
                  <c:v>6.0186857599012844E-3</c:v>
                </c:pt>
                <c:pt idx="37">
                  <c:v>4.9003399218948921E-3</c:v>
                </c:pt>
                <c:pt idx="38">
                  <c:v>3.832774037341188E-3</c:v>
                </c:pt>
                <c:pt idx="39">
                  <c:v>2.9441128098775973E-3</c:v>
                </c:pt>
                <c:pt idx="40">
                  <c:v>2.3294048894997063E-3</c:v>
                </c:pt>
                <c:pt idx="41">
                  <c:v>1.9500343473668883E-3</c:v>
                </c:pt>
                <c:pt idx="42">
                  <c:v>1.6611550596190396E-3</c:v>
                </c:pt>
                <c:pt idx="43">
                  <c:v>1.3331583266737636E-3</c:v>
                </c:pt>
                <c:pt idx="44">
                  <c:v>9.4464764729598576E-4</c:v>
                </c:pt>
                <c:pt idx="45">
                  <c:v>5.6734314680281903E-4</c:v>
                </c:pt>
                <c:pt idx="46">
                  <c:v>2.8123721270598482E-4</c:v>
                </c:pt>
                <c:pt idx="47">
                  <c:v>1.1248485813964744E-4</c:v>
                </c:pt>
                <c:pt idx="48">
                  <c:v>3.535342911782937E-5</c:v>
                </c:pt>
                <c:pt idx="49">
                  <c:v>8.2668967699106104E-6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4F-4AA9-881B-4DA7E85915E4}"/>
            </c:ext>
          </c:extLst>
        </c:ser>
        <c:ser>
          <c:idx val="1"/>
          <c:order val="1"/>
          <c:tx>
            <c:strRef>
              <c:f>Departure_Time!$J$64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Departure_Time!$J$65:$J$115</c:f>
              <c:numCache>
                <c:formatCode>0.00%</c:formatCode>
                <c:ptCount val="51"/>
                <c:pt idx="0">
                  <c:v>2.2314028585050407E-5</c:v>
                </c:pt>
                <c:pt idx="1">
                  <c:v>4.3367910521752478E-5</c:v>
                </c:pt>
                <c:pt idx="2">
                  <c:v>5.6468095942217328E-5</c:v>
                </c:pt>
                <c:pt idx="3">
                  <c:v>6.9338638925399397E-5</c:v>
                </c:pt>
                <c:pt idx="4">
                  <c:v>1.1622081192631049E-4</c:v>
                </c:pt>
                <c:pt idx="5">
                  <c:v>2.6161286757863907E-4</c:v>
                </c:pt>
                <c:pt idx="6">
                  <c:v>5.9233797934899932E-4</c:v>
                </c:pt>
                <c:pt idx="7">
                  <c:v>1.1914556496479345E-3</c:v>
                </c:pt>
                <c:pt idx="8">
                  <c:v>2.1008971466821955E-3</c:v>
                </c:pt>
                <c:pt idx="9">
                  <c:v>3.3018523964882299E-3</c:v>
                </c:pt>
                <c:pt idx="10">
                  <c:v>4.7400228689854383E-3</c:v>
                </c:pt>
                <c:pt idx="11">
                  <c:v>6.3821732106171553E-3</c:v>
                </c:pt>
                <c:pt idx="12">
                  <c:v>8.2491339467607432E-3</c:v>
                </c:pt>
                <c:pt idx="13">
                  <c:v>1.0383693177901599E-2</c:v>
                </c:pt>
                <c:pt idx="14">
                  <c:v>1.2778933278992592E-2</c:v>
                </c:pt>
                <c:pt idx="15">
                  <c:v>1.5342291537996107E-2</c:v>
                </c:pt>
                <c:pt idx="16">
                  <c:v>1.7940570391159247E-2</c:v>
                </c:pt>
                <c:pt idx="17">
                  <c:v>2.0495535518395905E-2</c:v>
                </c:pt>
                <c:pt idx="18">
                  <c:v>2.308193116812143E-2</c:v>
                </c:pt>
                <c:pt idx="19">
                  <c:v>2.6045897561041836E-2</c:v>
                </c:pt>
                <c:pt idx="20">
                  <c:v>3.0167615578922658E-2</c:v>
                </c:pt>
                <c:pt idx="21">
                  <c:v>3.6684711906998825E-2</c:v>
                </c:pt>
                <c:pt idx="22">
                  <c:v>4.6764647406055244E-2</c:v>
                </c:pt>
                <c:pt idx="23">
                  <c:v>6.0310106448045915E-2</c:v>
                </c:pt>
                <c:pt idx="24">
                  <c:v>7.4914037109169718E-2</c:v>
                </c:pt>
                <c:pt idx="25">
                  <c:v>8.6314329348752494E-2</c:v>
                </c:pt>
                <c:pt idx="26">
                  <c:v>9.0641160445331492E-2</c:v>
                </c:pt>
                <c:pt idx="27">
                  <c:v>8.6802441588596832E-2</c:v>
                </c:pt>
                <c:pt idx="28">
                  <c:v>7.6881537218601984E-2</c:v>
                </c:pt>
                <c:pt idx="29">
                  <c:v>6.431859017937637E-2</c:v>
                </c:pt>
                <c:pt idx="30">
                  <c:v>5.1750224880331451E-2</c:v>
                </c:pt>
                <c:pt idx="31">
                  <c:v>4.0280812113603209E-2</c:v>
                </c:pt>
                <c:pt idx="32">
                  <c:v>3.0142678188285994E-2</c:v>
                </c:pt>
                <c:pt idx="33">
                  <c:v>2.1511972268559481E-2</c:v>
                </c:pt>
                <c:pt idx="34">
                  <c:v>1.4678330669326554E-2</c:v>
                </c:pt>
                <c:pt idx="35">
                  <c:v>9.7664633134161884E-3</c:v>
                </c:pt>
                <c:pt idx="36">
                  <c:v>6.5564255865729476E-3</c:v>
                </c:pt>
                <c:pt idx="37">
                  <c:v>4.5991384818848315E-3</c:v>
                </c:pt>
                <c:pt idx="38">
                  <c:v>3.4390623654517853E-3</c:v>
                </c:pt>
                <c:pt idx="39">
                  <c:v>2.7328137161683587E-3</c:v>
                </c:pt>
                <c:pt idx="40">
                  <c:v>2.2463706240972705E-3</c:v>
                </c:pt>
                <c:pt idx="41">
                  <c:v>1.8268541862783705E-3</c:v>
                </c:pt>
                <c:pt idx="42">
                  <c:v>1.4005133459287608E-3</c:v>
                </c:pt>
                <c:pt idx="43">
                  <c:v>9.7176543502197816E-4</c:v>
                </c:pt>
                <c:pt idx="44">
                  <c:v>5.9185332997476034E-4</c:v>
                </c:pt>
                <c:pt idx="45">
                  <c:v>3.0892895931749489E-4</c:v>
                </c:pt>
                <c:pt idx="46">
                  <c:v>1.3524094225172777E-4</c:v>
                </c:pt>
                <c:pt idx="47">
                  <c:v>4.8509516411941644E-5</c:v>
                </c:pt>
                <c:pt idx="48">
                  <c:v>1.3844359706432631E-5</c:v>
                </c:pt>
                <c:pt idx="49">
                  <c:v>2.9723019401522814E-6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4F-4AA9-881B-4DA7E8591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817024"/>
        <c:axId val="58174272"/>
      </c:lineChart>
      <c:catAx>
        <c:axId val="15481702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4272"/>
        <c:crosses val="autoZero"/>
        <c:auto val="1"/>
        <c:lblAlgn val="ctr"/>
        <c:lblOffset val="100"/>
        <c:tickLblSkip val="2"/>
        <c:noMultiLvlLbl val="0"/>
      </c:catAx>
      <c:valAx>
        <c:axId val="5817427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481702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9"/>
          <c:h val="0.1418267716535428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Departure_Time!$D$65:$D$115</c:f>
              <c:numCache>
                <c:formatCode>0.00%</c:formatCode>
                <c:ptCount val="51"/>
                <c:pt idx="0">
                  <c:v>0</c:v>
                </c:pt>
                <c:pt idx="1">
                  <c:v>3.0507908966987898E-4</c:v>
                </c:pt>
                <c:pt idx="2">
                  <c:v>6.3995951559354405E-4</c:v>
                </c:pt>
                <c:pt idx="3">
                  <c:v>1.0516401009800043E-3</c:v>
                </c:pt>
                <c:pt idx="4">
                  <c:v>1.6225376115108739E-3</c:v>
                </c:pt>
                <c:pt idx="5">
                  <c:v>2.4813384442416348E-3</c:v>
                </c:pt>
                <c:pt idx="6">
                  <c:v>3.7891200368098438E-3</c:v>
                </c:pt>
                <c:pt idx="7">
                  <c:v>5.688315903355225E-3</c:v>
                </c:pt>
                <c:pt idx="8">
                  <c:v>8.2239705113224277E-3</c:v>
                </c:pt>
                <c:pt idx="9">
                  <c:v>1.1273343175377702E-2</c:v>
                </c:pt>
                <c:pt idx="10">
                  <c:v>1.453535981464832E-2</c:v>
                </c:pt>
                <c:pt idx="11">
                  <c:v>1.7620337183495174E-2</c:v>
                </c:pt>
                <c:pt idx="12">
                  <c:v>2.0226693321905537E-2</c:v>
                </c:pt>
                <c:pt idx="13">
                  <c:v>2.2307379581517475E-2</c:v>
                </c:pt>
                <c:pt idx="14">
                  <c:v>2.4087698216408847E-2</c:v>
                </c:pt>
                <c:pt idx="15">
                  <c:v>2.587885058870066E-2</c:v>
                </c:pt>
                <c:pt idx="16">
                  <c:v>2.7807781875383918E-2</c:v>
                </c:pt>
                <c:pt idx="17">
                  <c:v>2.969094392307936E-2</c:v>
                </c:pt>
                <c:pt idx="18">
                  <c:v>3.1180348954590712E-2</c:v>
                </c:pt>
                <c:pt idx="19">
                  <c:v>3.2070642719260058E-2</c:v>
                </c:pt>
                <c:pt idx="20">
                  <c:v>3.2505577757012849E-2</c:v>
                </c:pt>
                <c:pt idx="21">
                  <c:v>3.2907858183288383E-2</c:v>
                </c:pt>
                <c:pt idx="22">
                  <c:v>3.3684247164932991E-2</c:v>
                </c:pt>
                <c:pt idx="23">
                  <c:v>3.492274046214109E-2</c:v>
                </c:pt>
                <c:pt idx="24">
                  <c:v>3.6298654792194761E-2</c:v>
                </c:pt>
                <c:pt idx="25">
                  <c:v>3.727156596505124E-2</c:v>
                </c:pt>
                <c:pt idx="26">
                  <c:v>3.7460889230328989E-2</c:v>
                </c:pt>
                <c:pt idx="27">
                  <c:v>3.6944865348502678E-2</c:v>
                </c:pt>
                <c:pt idx="28">
                  <c:v>3.6260498371992592E-2</c:v>
                </c:pt>
                <c:pt idx="29">
                  <c:v>3.6093321464861404E-2</c:v>
                </c:pt>
                <c:pt idx="30">
                  <c:v>3.6861685719044017E-2</c:v>
                </c:pt>
                <c:pt idx="31">
                  <c:v>3.8447402382401949E-2</c:v>
                </c:pt>
                <c:pt idx="32">
                  <c:v>4.0205783089227787E-2</c:v>
                </c:pt>
                <c:pt idx="33">
                  <c:v>4.1225134875205433E-2</c:v>
                </c:pt>
                <c:pt idx="34">
                  <c:v>4.0693687857186314E-2</c:v>
                </c:pt>
                <c:pt idx="35">
                  <c:v>3.8203927345724205E-2</c:v>
                </c:pt>
                <c:pt idx="36">
                  <c:v>3.3876715208653159E-2</c:v>
                </c:pt>
                <c:pt idx="37">
                  <c:v>2.82818489493624E-2</c:v>
                </c:pt>
                <c:pt idx="38">
                  <c:v>2.2214731560688174E-2</c:v>
                </c:pt>
                <c:pt idx="39">
                  <c:v>1.6433639803132994E-2</c:v>
                </c:pt>
                <c:pt idx="40">
                  <c:v>1.1464803808291811E-2</c:v>
                </c:pt>
                <c:pt idx="41">
                  <c:v>7.5393208909043594E-3</c:v>
                </c:pt>
                <c:pt idx="42">
                  <c:v>4.650449682776967E-3</c:v>
                </c:pt>
                <c:pt idx="43">
                  <c:v>2.6605505825886624E-3</c:v>
                </c:pt>
                <c:pt idx="44">
                  <c:v>1.3870354848884157E-3</c:v>
                </c:pt>
                <c:pt idx="45">
                  <c:v>6.4417132218387585E-4</c:v>
                </c:pt>
                <c:pt idx="46">
                  <c:v>2.5965587279153996E-4</c:v>
                </c:pt>
                <c:pt idx="47">
                  <c:v>8.8242074893770872E-5</c:v>
                </c:pt>
                <c:pt idx="48">
                  <c:v>2.4446561779498784E-5</c:v>
                </c:pt>
                <c:pt idx="49">
                  <c:v>5.2076201166332084E-6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63-43D5-8BFA-D356129B1028}"/>
            </c:ext>
          </c:extLst>
        </c:ser>
        <c:ser>
          <c:idx val="1"/>
          <c:order val="1"/>
          <c:tx>
            <c:strRef>
              <c:f>Departure_Time!$K$64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Departure_Time!$K$65:$K$115</c:f>
              <c:numCache>
                <c:formatCode>0.00%</c:formatCode>
                <c:ptCount val="51"/>
                <c:pt idx="0">
                  <c:v>4.9569302931374673E-5</c:v>
                </c:pt>
                <c:pt idx="1">
                  <c:v>2.9075255645328538E-4</c:v>
                </c:pt>
                <c:pt idx="2">
                  <c:v>4.4962115160174736E-4</c:v>
                </c:pt>
                <c:pt idx="3">
                  <c:v>5.4819711456260956E-4</c:v>
                </c:pt>
                <c:pt idx="4">
                  <c:v>7.5747946521781027E-4</c:v>
                </c:pt>
                <c:pt idx="5">
                  <c:v>1.3767206527519676E-3</c:v>
                </c:pt>
                <c:pt idx="6">
                  <c:v>2.7679502280662498E-3</c:v>
                </c:pt>
                <c:pt idx="7">
                  <c:v>5.246498026856534E-3</c:v>
                </c:pt>
                <c:pt idx="8">
                  <c:v>8.9345338299972894E-3</c:v>
                </c:pt>
                <c:pt idx="9">
                  <c:v>1.3641004222776015E-2</c:v>
                </c:pt>
                <c:pt idx="10">
                  <c:v>1.8857280992770262E-2</c:v>
                </c:pt>
                <c:pt idx="11">
                  <c:v>2.3894406909119804E-2</c:v>
                </c:pt>
                <c:pt idx="12">
                  <c:v>2.8092967863481172E-2</c:v>
                </c:pt>
                <c:pt idx="13">
                  <c:v>3.1002744246314978E-2</c:v>
                </c:pt>
                <c:pt idx="14">
                  <c:v>3.2468882627230272E-2</c:v>
                </c:pt>
                <c:pt idx="15">
                  <c:v>3.2620856792045377E-2</c:v>
                </c:pt>
                <c:pt idx="16">
                  <c:v>3.1798218459091143E-2</c:v>
                </c:pt>
                <c:pt idx="17">
                  <c:v>3.0455342344165446E-2</c:v>
                </c:pt>
                <c:pt idx="18">
                  <c:v>2.9075157135607328E-2</c:v>
                </c:pt>
                <c:pt idx="19">
                  <c:v>2.8109200982254764E-2</c:v>
                </c:pt>
                <c:pt idx="20">
                  <c:v>2.7959387769822569E-2</c:v>
                </c:pt>
                <c:pt idx="21">
                  <c:v>2.8998393025983619E-2</c:v>
                </c:pt>
                <c:pt idx="22">
                  <c:v>3.1565771267708091E-2</c:v>
                </c:pt>
                <c:pt idx="23">
                  <c:v>3.5838631768454816E-2</c:v>
                </c:pt>
                <c:pt idx="24">
                  <c:v>4.1565736500857119E-2</c:v>
                </c:pt>
                <c:pt idx="25">
                  <c:v>4.7843893209819001E-2</c:v>
                </c:pt>
                <c:pt idx="26">
                  <c:v>5.3201928995044306E-2</c:v>
                </c:pt>
                <c:pt idx="27">
                  <c:v>5.608639615374509E-2</c:v>
                </c:pt>
                <c:pt idx="28">
                  <c:v>5.5521617785962464E-2</c:v>
                </c:pt>
                <c:pt idx="29">
                  <c:v>5.1534304732409102E-2</c:v>
                </c:pt>
                <c:pt idx="30">
                  <c:v>4.5078739168855804E-2</c:v>
                </c:pt>
                <c:pt idx="31">
                  <c:v>3.7557679281031743E-2</c:v>
                </c:pt>
                <c:pt idx="32">
                  <c:v>3.0279848628863314E-2</c:v>
                </c:pt>
                <c:pt idx="33">
                  <c:v>2.4129080937106404E-2</c:v>
                </c:pt>
                <c:pt idx="34">
                  <c:v>1.9483903794754752E-2</c:v>
                </c:pt>
                <c:pt idx="35">
                  <c:v>1.6288517102401843E-2</c:v>
                </c:pt>
                <c:pt idx="36">
                  <c:v>1.4196184281344691E-2</c:v>
                </c:pt>
                <c:pt idx="37">
                  <c:v>1.2745607203148272E-2</c:v>
                </c:pt>
                <c:pt idx="38">
                  <c:v>1.1517989053433379E-2</c:v>
                </c:pt>
                <c:pt idx="39">
                  <c:v>1.0223035623351345E-2</c:v>
                </c:pt>
                <c:pt idx="40">
                  <c:v>8.715545849360724E-3</c:v>
                </c:pt>
                <c:pt idx="41">
                  <c:v>6.9872403770716079E-3</c:v>
                </c:pt>
                <c:pt idx="42">
                  <c:v>5.1557815910018715E-3</c:v>
                </c:pt>
                <c:pt idx="43">
                  <c:v>3.42650559349327E-3</c:v>
                </c:pt>
                <c:pt idx="44">
                  <c:v>2.007632011400572E-3</c:v>
                </c:pt>
                <c:pt idx="45">
                  <c:v>1.0152831699923035E-3</c:v>
                </c:pt>
                <c:pt idx="46">
                  <c:v>4.3353165407309692E-4</c:v>
                </c:pt>
                <c:pt idx="47">
                  <c:v>1.5250169621428599E-4</c:v>
                </c:pt>
                <c:pt idx="48">
                  <c:v>4.285698715074162E-5</c:v>
                </c:pt>
                <c:pt idx="49">
                  <c:v>9.0898828483682777E-6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63-43D5-8BFA-D356129B1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1984"/>
        <c:axId val="58176576"/>
      </c:lineChart>
      <c:catAx>
        <c:axId val="582819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6576"/>
        <c:crosses val="autoZero"/>
        <c:auto val="1"/>
        <c:lblAlgn val="ctr"/>
        <c:lblOffset val="100"/>
        <c:tickLblSkip val="2"/>
        <c:noMultiLvlLbl val="0"/>
      </c:catAx>
      <c:valAx>
        <c:axId val="5817657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582819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9"/>
          <c:h val="0.1418267716535428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Departure_Time!$E$65:$E$115</c:f>
              <c:numCache>
                <c:formatCode>0.00%</c:formatCode>
                <c:ptCount val="51"/>
                <c:pt idx="0">
                  <c:v>0</c:v>
                </c:pt>
                <c:pt idx="1">
                  <c:v>1.8570925997045271E-5</c:v>
                </c:pt>
                <c:pt idx="2">
                  <c:v>4.7038295488277299E-5</c:v>
                </c:pt>
                <c:pt idx="3">
                  <c:v>9.7607216294263969E-5</c:v>
                </c:pt>
                <c:pt idx="4">
                  <c:v>1.917345052999109E-4</c:v>
                </c:pt>
                <c:pt idx="5">
                  <c:v>3.7187532759149671E-4</c:v>
                </c:pt>
                <c:pt idx="6">
                  <c:v>7.1185969139947089E-4</c:v>
                </c:pt>
                <c:pt idx="7">
                  <c:v>1.3173085398966767E-3</c:v>
                </c:pt>
                <c:pt idx="8">
                  <c:v>2.3138761752519886E-3</c:v>
                </c:pt>
                <c:pt idx="9">
                  <c:v>3.833457214650319E-3</c:v>
                </c:pt>
                <c:pt idx="10">
                  <c:v>6.0152496060728623E-3</c:v>
                </c:pt>
                <c:pt idx="11">
                  <c:v>9.0317952762630476E-3</c:v>
                </c:pt>
                <c:pt idx="12">
                  <c:v>1.3142999829712758E-2</c:v>
                </c:pt>
                <c:pt idx="13">
                  <c:v>1.8785930938225219E-2</c:v>
                </c:pt>
                <c:pt idx="14">
                  <c:v>2.6673787236671173E-2</c:v>
                </c:pt>
                <c:pt idx="15">
                  <c:v>3.7733956171899785E-2</c:v>
                </c:pt>
                <c:pt idx="16">
                  <c:v>5.2593419157814646E-2</c:v>
                </c:pt>
                <c:pt idx="17">
                  <c:v>7.0576599507771481E-2</c:v>
                </c:pt>
                <c:pt idx="18">
                  <c:v>8.8869294829180365E-2</c:v>
                </c:pt>
                <c:pt idx="19">
                  <c:v>0.10290183694200455</c:v>
                </c:pt>
                <c:pt idx="20">
                  <c:v>0.10828473797856276</c:v>
                </c:pt>
                <c:pt idx="21">
                  <c:v>0.10317606978585195</c:v>
                </c:pt>
                <c:pt idx="22">
                  <c:v>8.9320256786727878E-2</c:v>
                </c:pt>
                <c:pt idx="23">
                  <c:v>7.1014766434784118E-2</c:v>
                </c:pt>
                <c:pt idx="24">
                  <c:v>5.2893337054580235E-2</c:v>
                </c:pt>
                <c:pt idx="25">
                  <c:v>3.8053500417424523E-2</c:v>
                </c:pt>
                <c:pt idx="26">
                  <c:v>2.7419327065692181E-2</c:v>
                </c:pt>
                <c:pt idx="27">
                  <c:v>2.0258224519149853E-2</c:v>
                </c:pt>
                <c:pt idx="28">
                  <c:v>1.5225088852404619E-2</c:v>
                </c:pt>
                <c:pt idx="29">
                  <c:v>1.1254655841289093E-2</c:v>
                </c:pt>
                <c:pt idx="30">
                  <c:v>7.9014528614555907E-3</c:v>
                </c:pt>
                <c:pt idx="31">
                  <c:v>5.1652096263626081E-3</c:v>
                </c:pt>
                <c:pt idx="32">
                  <c:v>3.1500500750845204E-3</c:v>
                </c:pt>
                <c:pt idx="33">
                  <c:v>1.8670613177952471E-3</c:v>
                </c:pt>
                <c:pt idx="34">
                  <c:v>1.224508818303262E-3</c:v>
                </c:pt>
                <c:pt idx="35">
                  <c:v>1.0734542428298324E-3</c:v>
                </c:pt>
                <c:pt idx="36">
                  <c:v>1.2189055887027915E-3</c:v>
                </c:pt>
                <c:pt idx="37">
                  <c:v>1.4282392400229225E-3</c:v>
                </c:pt>
                <c:pt idx="38">
                  <c:v>1.4936942481118957E-3</c:v>
                </c:pt>
                <c:pt idx="39">
                  <c:v>1.3238100278950792E-3</c:v>
                </c:pt>
                <c:pt idx="40">
                  <c:v>9.7646606691415472E-4</c:v>
                </c:pt>
                <c:pt idx="41">
                  <c:v>5.9322691641584618E-4</c:v>
                </c:pt>
                <c:pt idx="42">
                  <c:v>2.9344748068376375E-4</c:v>
                </c:pt>
                <c:pt idx="43">
                  <c:v>1.1629583472085806E-4</c:v>
                </c:pt>
                <c:pt idx="44">
                  <c:v>3.6047491883801623E-5</c:v>
                </c:pt>
                <c:pt idx="45">
                  <c:v>8.4205374559833647E-6</c:v>
                </c:pt>
                <c:pt idx="46">
                  <c:v>1.3943324303751547E-6</c:v>
                </c:pt>
                <c:pt idx="47">
                  <c:v>1.459122521465519E-7</c:v>
                </c:pt>
                <c:pt idx="48">
                  <c:v>7.2567267264565867E-9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7E-4897-815B-9836D1FFA155}"/>
            </c:ext>
          </c:extLst>
        </c:ser>
        <c:ser>
          <c:idx val="1"/>
          <c:order val="1"/>
          <c:tx>
            <c:strRef>
              <c:f>Departure_Time!$L$64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Departure_Time!$L$65:$L$115</c:f>
              <c:numCache>
                <c:formatCode>0.00%</c:formatCode>
                <c:ptCount val="51"/>
                <c:pt idx="0">
                  <c:v>2.334960022361019E-4</c:v>
                </c:pt>
                <c:pt idx="1">
                  <c:v>7.6764836438546441E-4</c:v>
                </c:pt>
                <c:pt idx="2">
                  <c:v>1.0334056143816086E-3</c:v>
                </c:pt>
                <c:pt idx="3">
                  <c:v>9.6147507983038334E-4</c:v>
                </c:pt>
                <c:pt idx="4">
                  <c:v>7.007134069202379E-4</c:v>
                </c:pt>
                <c:pt idx="5">
                  <c:v>4.8420160663092114E-4</c:v>
                </c:pt>
                <c:pt idx="6">
                  <c:v>5.1069668939204805E-4</c:v>
                </c:pt>
                <c:pt idx="7">
                  <c:v>9.3559653150419072E-4</c:v>
                </c:pt>
                <c:pt idx="8">
                  <c:v>1.9224116101599121E-3</c:v>
                </c:pt>
                <c:pt idx="9">
                  <c:v>3.6825672651079437E-3</c:v>
                </c:pt>
                <c:pt idx="10">
                  <c:v>6.5111856959354291E-3</c:v>
                </c:pt>
                <c:pt idx="11">
                  <c:v>1.0848662338335247E-2</c:v>
                </c:pt>
                <c:pt idx="12">
                  <c:v>1.7292173429484296E-2</c:v>
                </c:pt>
                <c:pt idx="13">
                  <c:v>2.6397097650389011E-2</c:v>
                </c:pt>
                <c:pt idx="14">
                  <c:v>3.8250523793901266E-2</c:v>
                </c:pt>
                <c:pt idx="15">
                  <c:v>5.2089236848379405E-2</c:v>
                </c:pt>
                <c:pt idx="16">
                  <c:v>6.6301311143788927E-2</c:v>
                </c:pt>
                <c:pt idx="17">
                  <c:v>7.8838243926160845E-2</c:v>
                </c:pt>
                <c:pt idx="18">
                  <c:v>8.774469305180152E-2</c:v>
                </c:pt>
                <c:pt idx="19">
                  <c:v>9.1574474103879186E-2</c:v>
                </c:pt>
                <c:pt idx="20">
                  <c:v>8.9709527755889334E-2</c:v>
                </c:pt>
                <c:pt idx="21">
                  <c:v>8.25920120754427E-2</c:v>
                </c:pt>
                <c:pt idx="22">
                  <c:v>7.1682116823170508E-2</c:v>
                </c:pt>
                <c:pt idx="23">
                  <c:v>5.9005883332524163E-2</c:v>
                </c:pt>
                <c:pt idx="24">
                  <c:v>4.6494231849406618E-2</c:v>
                </c:pt>
                <c:pt idx="25">
                  <c:v>3.5492754636885122E-2</c:v>
                </c:pt>
                <c:pt idx="26">
                  <c:v>2.6630011080133003E-2</c:v>
                </c:pt>
                <c:pt idx="27">
                  <c:v>1.9954019218061746E-2</c:v>
                </c:pt>
                <c:pt idx="28">
                  <c:v>1.5161037496573453E-2</c:v>
                </c:pt>
                <c:pt idx="29">
                  <c:v>1.180085647212026E-2</c:v>
                </c:pt>
                <c:pt idx="30">
                  <c:v>9.4142109225199451E-3</c:v>
                </c:pt>
                <c:pt idx="31">
                  <c:v>7.6140975455024577E-3</c:v>
                </c:pt>
                <c:pt idx="32">
                  <c:v>6.1481739184694141E-3</c:v>
                </c:pt>
                <c:pt idx="33">
                  <c:v>4.9399194386198844E-3</c:v>
                </c:pt>
                <c:pt idx="34">
                  <c:v>4.0542616143430738E-3</c:v>
                </c:pt>
                <c:pt idx="35">
                  <c:v>3.5673953953798661E-3</c:v>
                </c:pt>
                <c:pt idx="36">
                  <c:v>3.4245443195706198E-3</c:v>
                </c:pt>
                <c:pt idx="37">
                  <c:v>3.4113012638251634E-3</c:v>
                </c:pt>
                <c:pt idx="38">
                  <c:v>3.2713613095304594E-3</c:v>
                </c:pt>
                <c:pt idx="39">
                  <c:v>2.8662933290116172E-3</c:v>
                </c:pt>
                <c:pt idx="40">
                  <c:v>2.2399442434893582E-3</c:v>
                </c:pt>
                <c:pt idx="41">
                  <c:v>1.5507945980649995E-3</c:v>
                </c:pt>
                <c:pt idx="42">
                  <c:v>9.5259993615290177E-4</c:v>
                </c:pt>
                <c:pt idx="43">
                  <c:v>5.2101490355138484E-4</c:v>
                </c:pt>
                <c:pt idx="44">
                  <c:v>2.538956197238654E-4</c:v>
                </c:pt>
                <c:pt idx="45">
                  <c:v>1.095247655298144E-4</c:v>
                </c:pt>
                <c:pt idx="46">
                  <c:v>4.1157340146345368E-5</c:v>
                </c:pt>
                <c:pt idx="47">
                  <c:v>1.3127298018719096E-5</c:v>
                </c:pt>
                <c:pt idx="48">
                  <c:v>3.4283444268221999E-6</c:v>
                </c:pt>
                <c:pt idx="49">
                  <c:v>6.8900131243853414E-7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7E-4897-815B-9836D1FFA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678976"/>
        <c:axId val="58178880"/>
      </c:lineChart>
      <c:catAx>
        <c:axId val="556789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8880"/>
        <c:crosses val="autoZero"/>
        <c:auto val="1"/>
        <c:lblAlgn val="ctr"/>
        <c:lblOffset val="100"/>
        <c:tickLblSkip val="2"/>
        <c:noMultiLvlLbl val="0"/>
      </c:catAx>
      <c:valAx>
        <c:axId val="58178880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556789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9"/>
          <c:h val="0.1418267716535428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Duration!$B$65:$B$89</c:f>
              <c:numCache>
                <c:formatCode>0.00%</c:formatCode>
                <c:ptCount val="25"/>
                <c:pt idx="0">
                  <c:v>1.7812476487632834E-2</c:v>
                </c:pt>
                <c:pt idx="1">
                  <c:v>1.8417466257078047E-2</c:v>
                </c:pt>
                <c:pt idx="2">
                  <c:v>1.9159573748610981E-2</c:v>
                </c:pt>
                <c:pt idx="3">
                  <c:v>2.0135216790563612E-2</c:v>
                </c:pt>
                <c:pt idx="4">
                  <c:v>2.1385187795560291E-2</c:v>
                </c:pt>
                <c:pt idx="5">
                  <c:v>2.2885444629580122E-2</c:v>
                </c:pt>
                <c:pt idx="6">
                  <c:v>2.4516681823072317E-2</c:v>
                </c:pt>
                <c:pt idx="7">
                  <c:v>2.6049314123053197E-2</c:v>
                </c:pt>
                <c:pt idx="8">
                  <c:v>2.7229548857113338E-2</c:v>
                </c:pt>
                <c:pt idx="9">
                  <c:v>2.7997922775808544E-2</c:v>
                </c:pt>
                <c:pt idx="10">
                  <c:v>2.8750607853144917E-2</c:v>
                </c:pt>
                <c:pt idx="11">
                  <c:v>3.0478767842873865E-2</c:v>
                </c:pt>
                <c:pt idx="12">
                  <c:v>3.4622220463341118E-2</c:v>
                </c:pt>
                <c:pt idx="13">
                  <c:v>4.2508730991104457E-2</c:v>
                </c:pt>
                <c:pt idx="14">
                  <c:v>5.43995451629685E-2</c:v>
                </c:pt>
                <c:pt idx="15">
                  <c:v>6.8566456940846759E-2</c:v>
                </c:pt>
                <c:pt idx="16">
                  <c:v>8.1239753355788091E-2</c:v>
                </c:pt>
                <c:pt idx="17">
                  <c:v>8.8004046024094798E-2</c:v>
                </c:pt>
                <c:pt idx="18">
                  <c:v>8.6070138732264018E-2</c:v>
                </c:pt>
                <c:pt idx="19">
                  <c:v>7.5829941431756434E-2</c:v>
                </c:pt>
                <c:pt idx="20">
                  <c:v>6.048847381277439E-2</c:v>
                </c:pt>
                <c:pt idx="21">
                  <c:v>4.4156637463316058E-2</c:v>
                </c:pt>
                <c:pt idx="22">
                  <c:v>2.9935698811959243E-2</c:v>
                </c:pt>
                <c:pt idx="23">
                  <c:v>1.915942853892897E-2</c:v>
                </c:pt>
                <c:pt idx="24">
                  <c:v>1.1764106227665067E-2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3E-4879-8C6F-BEFDD555C2DB}"/>
            </c:ext>
          </c:extLst>
        </c:ser>
        <c:ser>
          <c:idx val="1"/>
          <c:order val="1"/>
          <c:tx>
            <c:strRef>
              <c:f>Duration!$I$64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Duration!$I$65:$I$89</c:f>
              <c:numCache>
                <c:formatCode>0.00%</c:formatCode>
                <c:ptCount val="25"/>
                <c:pt idx="0">
                  <c:v>1.3775776977200539E-2</c:v>
                </c:pt>
                <c:pt idx="1">
                  <c:v>1.3059335638172784E-2</c:v>
                </c:pt>
                <c:pt idx="2">
                  <c:v>1.2736446355613426E-2</c:v>
                </c:pt>
                <c:pt idx="3">
                  <c:v>1.3051517179519544E-2</c:v>
                </c:pt>
                <c:pt idx="4">
                  <c:v>1.4030637093041682E-2</c:v>
                </c:pt>
                <c:pt idx="5">
                  <c:v>1.5509787848261486E-2</c:v>
                </c:pt>
                <c:pt idx="6">
                  <c:v>1.723004592093166E-2</c:v>
                </c:pt>
                <c:pt idx="7">
                  <c:v>1.8972238029588327E-2</c:v>
                </c:pt>
                <c:pt idx="8">
                  <c:v>2.0708846885734985E-2</c:v>
                </c:pt>
                <c:pt idx="9">
                  <c:v>2.2722437148396304E-2</c:v>
                </c:pt>
                <c:pt idx="10">
                  <c:v>2.562097965263577E-2</c:v>
                </c:pt>
                <c:pt idx="11">
                  <c:v>3.0219001624878988E-2</c:v>
                </c:pt>
                <c:pt idx="12">
                  <c:v>3.730776042803103E-2</c:v>
                </c:pt>
                <c:pt idx="13">
                  <c:v>4.7332562373704132E-2</c:v>
                </c:pt>
                <c:pt idx="14">
                  <c:v>5.9968628916744413E-2</c:v>
                </c:pt>
                <c:pt idx="15">
                  <c:v>7.3688304902881988E-2</c:v>
                </c:pt>
                <c:pt idx="16">
                  <c:v>8.5663842786658714E-2</c:v>
                </c:pt>
                <c:pt idx="17">
                  <c:v>9.2444359969189649E-2</c:v>
                </c:pt>
                <c:pt idx="18">
                  <c:v>9.1409413909658316E-2</c:v>
                </c:pt>
                <c:pt idx="19">
                  <c:v>8.2215330936576042E-2</c:v>
                </c:pt>
                <c:pt idx="20">
                  <c:v>6.7144469443169041E-2</c:v>
                </c:pt>
                <c:pt idx="21">
                  <c:v>4.999386563440595E-2</c:v>
                </c:pt>
                <c:pt idx="22">
                  <c:v>3.4295474336006215E-2</c:v>
                </c:pt>
                <c:pt idx="23">
                  <c:v>2.2072545041073633E-2</c:v>
                </c:pt>
                <c:pt idx="24">
                  <c:v>1.3687188345398423E-2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3E-4879-8C6F-BEFDD555C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2496"/>
        <c:axId val="154928832"/>
      </c:lineChart>
      <c:catAx>
        <c:axId val="5828249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28832"/>
        <c:crosses val="autoZero"/>
        <c:auto val="1"/>
        <c:lblAlgn val="ctr"/>
        <c:lblOffset val="100"/>
        <c:tickLblSkip val="2"/>
        <c:noMultiLvlLbl val="0"/>
      </c:catAx>
      <c:valAx>
        <c:axId val="154928832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2496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78467118945771919"/>
          <c:y val="0.20307117492666357"/>
          <c:w val="0.19192618223760091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Duration!$C$65:$C$89</c:f>
              <c:numCache>
                <c:formatCode>0.00%</c:formatCode>
                <c:ptCount val="25"/>
                <c:pt idx="0">
                  <c:v>3.9590073923490617E-3</c:v>
                </c:pt>
                <c:pt idx="1">
                  <c:v>1.1410081491879958E-2</c:v>
                </c:pt>
                <c:pt idx="2">
                  <c:v>1.7860995986915758E-2</c:v>
                </c:pt>
                <c:pt idx="3">
                  <c:v>2.2685355291401602E-2</c:v>
                </c:pt>
                <c:pt idx="4">
                  <c:v>2.5744328856395448E-2</c:v>
                </c:pt>
                <c:pt idx="5">
                  <c:v>2.7288956042569212E-2</c:v>
                </c:pt>
                <c:pt idx="6">
                  <c:v>2.7944869430863477E-2</c:v>
                </c:pt>
                <c:pt idx="7">
                  <c:v>2.8961856046985455E-2</c:v>
                </c:pt>
                <c:pt idx="8">
                  <c:v>3.249121092561378E-2</c:v>
                </c:pt>
                <c:pt idx="9">
                  <c:v>4.1231443247895426E-2</c:v>
                </c:pt>
                <c:pt idx="10">
                  <c:v>5.6870109980636158E-2</c:v>
                </c:pt>
                <c:pt idx="11">
                  <c:v>7.7814371827814047E-2</c:v>
                </c:pt>
                <c:pt idx="12">
                  <c:v>9.8188665942995829E-2</c:v>
                </c:pt>
                <c:pt idx="13">
                  <c:v>0.11003960167031029</c:v>
                </c:pt>
                <c:pt idx="14">
                  <c:v>0.10802624708197474</c:v>
                </c:pt>
                <c:pt idx="15">
                  <c:v>9.2930852711694059E-2</c:v>
                </c:pt>
                <c:pt idx="16">
                  <c:v>7.0871447917075392E-2</c:v>
                </c:pt>
                <c:pt idx="17">
                  <c:v>4.907310387511931E-2</c:v>
                </c:pt>
                <c:pt idx="18">
                  <c:v>3.1995768822484429E-2</c:v>
                </c:pt>
                <c:pt idx="19">
                  <c:v>2.0456797189326036E-2</c:v>
                </c:pt>
                <c:pt idx="20">
                  <c:v>1.3166223713516769E-2</c:v>
                </c:pt>
                <c:pt idx="21">
                  <c:v>8.5399493034333911E-3</c:v>
                </c:pt>
                <c:pt idx="22">
                  <c:v>5.524830142070101E-3</c:v>
                </c:pt>
                <c:pt idx="23">
                  <c:v>3.5663551170008654E-3</c:v>
                </c:pt>
                <c:pt idx="24">
                  <c:v>2.3396994756598333E-3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F-4B05-B6A1-149E7ED95843}"/>
            </c:ext>
          </c:extLst>
        </c:ser>
        <c:ser>
          <c:idx val="1"/>
          <c:order val="1"/>
          <c:tx>
            <c:strRef>
              <c:f>Duration!$J$64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Duration!$J$65:$J$89</c:f>
              <c:numCache>
                <c:formatCode>0.00%</c:formatCode>
                <c:ptCount val="25"/>
                <c:pt idx="0">
                  <c:v>4.4251591260129897E-2</c:v>
                </c:pt>
                <c:pt idx="1">
                  <c:v>3.8710051636205167E-2</c:v>
                </c:pt>
                <c:pt idx="2">
                  <c:v>3.4266373763416749E-2</c:v>
                </c:pt>
                <c:pt idx="3">
                  <c:v>3.1542866409557294E-2</c:v>
                </c:pt>
                <c:pt idx="4">
                  <c:v>3.0564438788010555E-2</c:v>
                </c:pt>
                <c:pt idx="5">
                  <c:v>3.1018732218283634E-2</c:v>
                </c:pt>
                <c:pt idx="6">
                  <c:v>3.2621130749117419E-2</c:v>
                </c:pt>
                <c:pt idx="7">
                  <c:v>3.5293179821818649E-2</c:v>
                </c:pt>
                <c:pt idx="8">
                  <c:v>3.9075494806592087E-2</c:v>
                </c:pt>
                <c:pt idx="9">
                  <c:v>4.3905893055055475E-2</c:v>
                </c:pt>
                <c:pt idx="10">
                  <c:v>4.9461043497922436E-2</c:v>
                </c:pt>
                <c:pt idx="11">
                  <c:v>5.5174546491877446E-2</c:v>
                </c:pt>
                <c:pt idx="12">
                  <c:v>6.0372782002914419E-2</c:v>
                </c:pt>
                <c:pt idx="13">
                  <c:v>6.4364431173290326E-2</c:v>
                </c:pt>
                <c:pt idx="14">
                  <c:v>6.6424679634936798E-2</c:v>
                </c:pt>
                <c:pt idx="15">
                  <c:v>6.583208180663494E-2</c:v>
                </c:pt>
                <c:pt idx="16">
                  <c:v>6.2124410508060057E-2</c:v>
                </c:pt>
                <c:pt idx="17">
                  <c:v>5.5446091600426614E-2</c:v>
                </c:pt>
                <c:pt idx="18">
                  <c:v>4.6639439446102562E-2</c:v>
                </c:pt>
                <c:pt idx="19">
                  <c:v>3.6936082626281931E-2</c:v>
                </c:pt>
                <c:pt idx="20">
                  <c:v>2.7502203923641569E-2</c:v>
                </c:pt>
                <c:pt idx="21">
                  <c:v>1.9173476803957517E-2</c:v>
                </c:pt>
                <c:pt idx="22">
                  <c:v>1.2433267349693126E-2</c:v>
                </c:pt>
                <c:pt idx="23">
                  <c:v>7.4633423786717532E-3</c:v>
                </c:pt>
                <c:pt idx="24">
                  <c:v>4.1664944835424367E-3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F-4B05-B6A1-149E7ED95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3520"/>
        <c:axId val="154931136"/>
      </c:lineChart>
      <c:catAx>
        <c:axId val="5828352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31136"/>
        <c:crosses val="autoZero"/>
        <c:auto val="1"/>
        <c:lblAlgn val="ctr"/>
        <c:lblOffset val="100"/>
        <c:tickLblSkip val="2"/>
        <c:noMultiLvlLbl val="0"/>
      </c:catAx>
      <c:valAx>
        <c:axId val="154931136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3520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131496971183101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Duration!$D$65:$D$89</c:f>
              <c:numCache>
                <c:formatCode>0.00%</c:formatCode>
                <c:ptCount val="25"/>
                <c:pt idx="0">
                  <c:v>0.30348769555025179</c:v>
                </c:pt>
                <c:pt idx="1">
                  <c:v>0.22940522027245211</c:v>
                </c:pt>
                <c:pt idx="2">
                  <c:v>0.16338281931482213</c:v>
                </c:pt>
                <c:pt idx="3">
                  <c:v>0.11048617722966485</c:v>
                </c:pt>
                <c:pt idx="4">
                  <c:v>7.1742354511186365E-2</c:v>
                </c:pt>
                <c:pt idx="5">
                  <c:v>4.5226206754612155E-2</c:v>
                </c:pt>
                <c:pt idx="6">
                  <c:v>2.79146105666894E-2</c:v>
                </c:pt>
                <c:pt idx="7">
                  <c:v>1.6994834247251938E-2</c:v>
                </c:pt>
                <c:pt idx="8">
                  <c:v>1.0316212482691616E-2</c:v>
                </c:pt>
                <c:pt idx="9">
                  <c:v>6.3532421194937346E-3</c:v>
                </c:pt>
                <c:pt idx="10">
                  <c:v>4.0546534328343743E-3</c:v>
                </c:pt>
                <c:pt idx="11">
                  <c:v>2.7192977570846691E-3</c:v>
                </c:pt>
                <c:pt idx="12">
                  <c:v>1.9072950620227492E-3</c:v>
                </c:pt>
                <c:pt idx="13">
                  <c:v>1.3700494630779823E-3</c:v>
                </c:pt>
                <c:pt idx="14">
                  <c:v>9.875924327212703E-4</c:v>
                </c:pt>
                <c:pt idx="15">
                  <c:v>7.1184960933274059E-4</c:v>
                </c:pt>
                <c:pt idx="16">
                  <c:v>5.2302992733486943E-4</c:v>
                </c:pt>
                <c:pt idx="17">
                  <c:v>4.0466435501257153E-4</c:v>
                </c:pt>
                <c:pt idx="18">
                  <c:v>3.352663178235429E-4</c:v>
                </c:pt>
                <c:pt idx="19">
                  <c:v>2.9100012209525283E-4</c:v>
                </c:pt>
                <c:pt idx="20">
                  <c:v>2.5364620727355162E-4</c:v>
                </c:pt>
                <c:pt idx="21">
                  <c:v>2.1691785744818094E-4</c:v>
                </c:pt>
                <c:pt idx="22">
                  <c:v>1.8475647286562025E-4</c:v>
                </c:pt>
                <c:pt idx="23">
                  <c:v>1.621916171479842E-4</c:v>
                </c:pt>
                <c:pt idx="24">
                  <c:v>1.4735287956851357E-4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62-47DA-AA63-D5C8C9F347CD}"/>
            </c:ext>
          </c:extLst>
        </c:ser>
        <c:ser>
          <c:idx val="1"/>
          <c:order val="1"/>
          <c:tx>
            <c:strRef>
              <c:f>Duration!$K$64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Duration!$K$65:$K$89</c:f>
              <c:numCache>
                <c:formatCode>0.00%</c:formatCode>
                <c:ptCount val="25"/>
                <c:pt idx="0">
                  <c:v>0.32285271854585318</c:v>
                </c:pt>
                <c:pt idx="1">
                  <c:v>0.23833408644667964</c:v>
                </c:pt>
                <c:pt idx="2">
                  <c:v>0.16404092620892771</c:v>
                </c:pt>
                <c:pt idx="3">
                  <c:v>0.10621139735881914</c:v>
                </c:pt>
                <c:pt idx="4">
                  <c:v>6.5725478448120364E-2</c:v>
                </c:pt>
                <c:pt idx="5">
                  <c:v>3.962153812969204E-2</c:v>
                </c:pt>
                <c:pt idx="6">
                  <c:v>2.3673284813590292E-2</c:v>
                </c:pt>
                <c:pt idx="7">
                  <c:v>1.4200297446708292E-2</c:v>
                </c:pt>
                <c:pt idx="8">
                  <c:v>8.6363326241003496E-3</c:v>
                </c:pt>
                <c:pt idx="9">
                  <c:v>5.3713573238635716E-3</c:v>
                </c:pt>
                <c:pt idx="10">
                  <c:v>3.4382586768904057E-3</c:v>
                </c:pt>
                <c:pt idx="11">
                  <c:v>2.2715394924278181E-3</c:v>
                </c:pt>
                <c:pt idx="12">
                  <c:v>1.5483485897501532E-3</c:v>
                </c:pt>
                <c:pt idx="13">
                  <c:v>1.0858529834853951E-3</c:v>
                </c:pt>
                <c:pt idx="14">
                  <c:v>7.8007723437301243E-4</c:v>
                </c:pt>
                <c:pt idx="15">
                  <c:v>5.7198751125832001E-4</c:v>
                </c:pt>
                <c:pt idx="16">
                  <c:v>4.2739078618871177E-4</c:v>
                </c:pt>
                <c:pt idx="17">
                  <c:v>3.2443544990931611E-4</c:v>
                </c:pt>
                <c:pt idx="18">
                  <c:v>2.4767704956388438E-4</c:v>
                </c:pt>
                <c:pt idx="19">
                  <c:v>1.8694653410536799E-4</c:v>
                </c:pt>
                <c:pt idx="20">
                  <c:v>1.3733976534434426E-4</c:v>
                </c:pt>
                <c:pt idx="21">
                  <c:v>9.7721545165752082E-5</c:v>
                </c:pt>
                <c:pt idx="22">
                  <c:v>6.8053408183557247E-5</c:v>
                </c:pt>
                <c:pt idx="23">
                  <c:v>4.7386712365981833E-5</c:v>
                </c:pt>
                <c:pt idx="24">
                  <c:v>3.3553952782186341E-5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62-47DA-AA63-D5C8C9F347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4032"/>
        <c:axId val="154933440"/>
      </c:lineChart>
      <c:catAx>
        <c:axId val="5828403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33440"/>
        <c:crosses val="autoZero"/>
        <c:auto val="1"/>
        <c:lblAlgn val="ctr"/>
        <c:lblOffset val="100"/>
        <c:tickLblSkip val="2"/>
        <c:noMultiLvlLbl val="0"/>
      </c:catAx>
      <c:valAx>
        <c:axId val="154933440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4032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76160313870800822"/>
          <c:y val="0.21483595800524941"/>
          <c:w val="0.17689743799326146"/>
          <c:h val="9.8689516751582565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Duration!$A$65:$A$85</c:f>
              <c:numCache>
                <c:formatCode>h:mm</c:formatCode>
                <c:ptCount val="21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</c:numCache>
            </c:numRef>
          </c:cat>
          <c:val>
            <c:numRef>
              <c:f>Duration!$E$65:$E$85</c:f>
              <c:numCache>
                <c:formatCode>0.00%</c:formatCode>
                <c:ptCount val="21"/>
                <c:pt idx="0">
                  <c:v>0.36339935510168869</c:v>
                </c:pt>
                <c:pt idx="1">
                  <c:v>0.26022503459937574</c:v>
                </c:pt>
                <c:pt idx="2">
                  <c:v>0.17014935523244892</c:v>
                </c:pt>
                <c:pt idx="3">
                  <c:v>0.1013556824883481</c:v>
                </c:pt>
                <c:pt idx="4">
                  <c:v>5.5166670570181084E-2</c:v>
                </c:pt>
                <c:pt idx="5">
                  <c:v>2.7645325322403977E-2</c:v>
                </c:pt>
                <c:pt idx="6">
                  <c:v>1.2874894865302041E-2</c:v>
                </c:pt>
                <c:pt idx="7">
                  <c:v>5.6046951103682829E-3</c:v>
                </c:pt>
                <c:pt idx="8">
                  <c:v>2.277060590636371E-3</c:v>
                </c:pt>
                <c:pt idx="9">
                  <c:v>8.5868606896603676E-4</c:v>
                </c:pt>
                <c:pt idx="10">
                  <c:v>3.0078246330978803E-4</c:v>
                </c:pt>
                <c:pt idx="11">
                  <c:v>9.9168511050933827E-5</c:v>
                </c:pt>
                <c:pt idx="12">
                  <c:v>3.1164490880726673E-5</c:v>
                </c:pt>
                <c:pt idx="13">
                  <c:v>9.1664028337116089E-6</c:v>
                </c:pt>
                <c:pt idx="14">
                  <c:v>2.374911698958421E-6</c:v>
                </c:pt>
                <c:pt idx="15">
                  <c:v>4.9828941240062264E-7</c:v>
                </c:pt>
                <c:pt idx="16">
                  <c:v>7.694964376935002E-8</c:v>
                </c:pt>
                <c:pt idx="17">
                  <c:v>7.663328931270426E-9</c:v>
                </c:pt>
                <c:pt idx="18">
                  <c:v>3.6812159550500109E-10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3F-48C5-B64D-A846D9E7C45D}"/>
            </c:ext>
          </c:extLst>
        </c:ser>
        <c:ser>
          <c:idx val="1"/>
          <c:order val="1"/>
          <c:tx>
            <c:strRef>
              <c:f>Duration!$L$64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Duration!$A$65:$A$85</c:f>
              <c:numCache>
                <c:formatCode>h:mm</c:formatCode>
                <c:ptCount val="21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</c:numCache>
            </c:numRef>
          </c:cat>
          <c:val>
            <c:numRef>
              <c:f>Duration!$L$65:$L$85</c:f>
              <c:numCache>
                <c:formatCode>0.00%</c:formatCode>
                <c:ptCount val="21"/>
                <c:pt idx="0">
                  <c:v>0.36693845937344993</c:v>
                </c:pt>
                <c:pt idx="1">
                  <c:v>0.25964329063058889</c:v>
                </c:pt>
                <c:pt idx="2">
                  <c:v>0.16711557677576874</c:v>
                </c:pt>
                <c:pt idx="3">
                  <c:v>9.80794981094813E-2</c:v>
                </c:pt>
                <c:pt idx="4">
                  <c:v>5.3154452915927596E-2</c:v>
                </c:pt>
                <c:pt idx="5">
                  <c:v>2.7248983669884978E-2</c:v>
                </c:pt>
                <c:pt idx="6">
                  <c:v>1.3645227132080464E-2</c:v>
                </c:pt>
                <c:pt idx="7">
                  <c:v>6.8756889403750404E-3</c:v>
                </c:pt>
                <c:pt idx="8">
                  <c:v>3.5377386849626746E-3</c:v>
                </c:pt>
                <c:pt idx="9">
                  <c:v>1.8508034348737466E-3</c:v>
                </c:pt>
                <c:pt idx="10">
                  <c:v>9.6725740808362496E-4</c:v>
                </c:pt>
                <c:pt idx="11">
                  <c:v>4.9360316159726488E-4</c:v>
                </c:pt>
                <c:pt idx="12">
                  <c:v>2.4141872370168777E-4</c:v>
                </c:pt>
                <c:pt idx="13">
                  <c:v>1.1265550428338318E-4</c:v>
                </c:pt>
                <c:pt idx="14">
                  <c:v>5.0998255638515729E-5</c:v>
                </c:pt>
                <c:pt idx="15">
                  <c:v>2.3181764417309603E-5</c:v>
                </c:pt>
                <c:pt idx="16">
                  <c:v>1.0921111021291916E-5</c:v>
                </c:pt>
                <c:pt idx="17">
                  <c:v>5.3517802187751929E-6</c:v>
                </c:pt>
                <c:pt idx="18">
                  <c:v>2.6567621696178551E-6</c:v>
                </c:pt>
                <c:pt idx="19">
                  <c:v>1.2855324891483157E-6</c:v>
                </c:pt>
                <c:pt idx="20">
                  <c:v>5.8422375289137505E-7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3F-48C5-B64D-A846D9E7C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4544"/>
        <c:axId val="154985024"/>
      </c:lineChart>
      <c:catAx>
        <c:axId val="5828454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85024"/>
        <c:crosses val="autoZero"/>
        <c:auto val="1"/>
        <c:lblAlgn val="ctr"/>
        <c:lblOffset val="100"/>
        <c:tickLblSkip val="2"/>
        <c:noMultiLvlLbl val="0"/>
      </c:catAx>
      <c:valAx>
        <c:axId val="154985024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4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Arrival_Time_Work!$J$8:$J$58</c:f>
              <c:numCache>
                <c:formatCode>0.00</c:formatCode>
                <c:ptCount val="51"/>
                <c:pt idx="0">
                  <c:v>0</c:v>
                </c:pt>
                <c:pt idx="1">
                  <c:v>3070.7441004848479</c:v>
                </c:pt>
                <c:pt idx="2">
                  <c:v>7296.8731737785329</c:v>
                </c:pt>
                <c:pt idx="3">
                  <c:v>13913.289696518801</c:v>
                </c:pt>
                <c:pt idx="4">
                  <c:v>24139.436444867421</c:v>
                </c:pt>
                <c:pt idx="5">
                  <c:v>38853.839472107698</c:v>
                </c:pt>
                <c:pt idx="6">
                  <c:v>58097.834313555912</c:v>
                </c:pt>
                <c:pt idx="7">
                  <c:v>80538.501672692699</c:v>
                </c:pt>
                <c:pt idx="8">
                  <c:v>103155.91742356654</c:v>
                </c:pt>
                <c:pt idx="9">
                  <c:v>121599.12088816788</c:v>
                </c:pt>
                <c:pt idx="10">
                  <c:v>131511.75556665356</c:v>
                </c:pt>
                <c:pt idx="11">
                  <c:v>130414.70213318513</c:v>
                </c:pt>
                <c:pt idx="12">
                  <c:v>118987.59396064949</c:v>
                </c:pt>
                <c:pt idx="13">
                  <c:v>100758.74254076357</c:v>
                </c:pt>
                <c:pt idx="14">
                  <c:v>80378.51038948691</c:v>
                </c:pt>
                <c:pt idx="15">
                  <c:v>61700.72383425312</c:v>
                </c:pt>
                <c:pt idx="16">
                  <c:v>46805.250589683637</c:v>
                </c:pt>
                <c:pt idx="17">
                  <c:v>36127.223038259508</c:v>
                </c:pt>
                <c:pt idx="18">
                  <c:v>29101.190839744377</c:v>
                </c:pt>
                <c:pt idx="19">
                  <c:v>24750.044083224395</c:v>
                </c:pt>
                <c:pt idx="20">
                  <c:v>22063.325550650217</c:v>
                </c:pt>
                <c:pt idx="21">
                  <c:v>20228.866497277166</c:v>
                </c:pt>
                <c:pt idx="22">
                  <c:v>18733.02343175096</c:v>
                </c:pt>
                <c:pt idx="23">
                  <c:v>17316.035504713727</c:v>
                </c:pt>
                <c:pt idx="24">
                  <c:v>15859.141643105982</c:v>
                </c:pt>
                <c:pt idx="25">
                  <c:v>14315.321012387945</c:v>
                </c:pt>
                <c:pt idx="26">
                  <c:v>12697.110620123578</c:v>
                </c:pt>
                <c:pt idx="27">
                  <c:v>11056.45501484823</c:v>
                </c:pt>
                <c:pt idx="28">
                  <c:v>9439.9181973534596</c:v>
                </c:pt>
                <c:pt idx="29">
                  <c:v>7869.5736140718454</c:v>
                </c:pt>
                <c:pt idx="30">
                  <c:v>6369.3536428626048</c:v>
                </c:pt>
                <c:pt idx="31">
                  <c:v>4990.3336440635676</c:v>
                </c:pt>
                <c:pt idx="32">
                  <c:v>3795.8915763610835</c:v>
                </c:pt>
                <c:pt idx="33">
                  <c:v>2828.2415231806754</c:v>
                </c:pt>
                <c:pt idx="34">
                  <c:v>2096.7473473832129</c:v>
                </c:pt>
                <c:pt idx="35">
                  <c:v>1588.6984074530601</c:v>
                </c:pt>
                <c:pt idx="36">
                  <c:v>1273.6133950696944</c:v>
                </c:pt>
                <c:pt idx="37">
                  <c:v>1094.1806908788683</c:v>
                </c:pt>
                <c:pt idx="38">
                  <c:v>969.96778685369509</c:v>
                </c:pt>
                <c:pt idx="39">
                  <c:v>829.59035370683648</c:v>
                </c:pt>
                <c:pt idx="40">
                  <c:v>646.83196976718887</c:v>
                </c:pt>
                <c:pt idx="41">
                  <c:v>444.81960603866577</c:v>
                </c:pt>
                <c:pt idx="42">
                  <c:v>265.83997453384404</c:v>
                </c:pt>
                <c:pt idx="43">
                  <c:v>137.58984954748155</c:v>
                </c:pt>
                <c:pt idx="44">
                  <c:v>61.884833805942534</c:v>
                </c:pt>
                <c:pt idx="45">
                  <c:v>24.354776886558533</c:v>
                </c:pt>
                <c:pt idx="46">
                  <c:v>8.4252105007171636</c:v>
                </c:pt>
                <c:pt idx="47">
                  <c:v>2.5459805004119875</c:v>
                </c:pt>
                <c:pt idx="48">
                  <c:v>0.65497633399963373</c:v>
                </c:pt>
                <c:pt idx="49">
                  <c:v>0.13438578424453734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B0-47DC-BFC9-D48A12E3E533}"/>
            </c:ext>
          </c:extLst>
        </c:ser>
        <c:ser>
          <c:idx val="1"/>
          <c:order val="1"/>
          <c:tx>
            <c:strRef>
              <c:f>Arrival_Time_Work!$U$7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Arrival_Time_Work!$U$8:$U$58</c:f>
              <c:numCache>
                <c:formatCode>General</c:formatCode>
                <c:ptCount val="51"/>
                <c:pt idx="0">
                  <c:v>1621</c:v>
                </c:pt>
                <c:pt idx="1">
                  <c:v>1725.072003364563</c:v>
                </c:pt>
                <c:pt idx="2">
                  <c:v>2590.9586791992188</c:v>
                </c:pt>
                <c:pt idx="3">
                  <c:v>5409.5009794235229</c:v>
                </c:pt>
                <c:pt idx="4">
                  <c:v>11983.312481880188</c:v>
                </c:pt>
                <c:pt idx="5">
                  <c:v>24369.510787010193</c:v>
                </c:pt>
                <c:pt idx="6">
                  <c:v>43845.286949157715</c:v>
                </c:pt>
                <c:pt idx="7">
                  <c:v>69557.718463897705</c:v>
                </c:pt>
                <c:pt idx="8">
                  <c:v>97755.672478675842</c:v>
                </c:pt>
                <c:pt idx="9">
                  <c:v>122475.75513744354</c:v>
                </c:pt>
                <c:pt idx="10">
                  <c:v>137701.09668064117</c:v>
                </c:pt>
                <c:pt idx="11">
                  <c:v>139892.61309623718</c:v>
                </c:pt>
                <c:pt idx="12">
                  <c:v>129405.95882987976</c:v>
                </c:pt>
                <c:pt idx="13">
                  <c:v>110047.24779224396</c:v>
                </c:pt>
                <c:pt idx="14">
                  <c:v>87220.835511207581</c:v>
                </c:pt>
                <c:pt idx="15">
                  <c:v>65807.746857643127</c:v>
                </c:pt>
                <c:pt idx="16">
                  <c:v>48764.682059288025</c:v>
                </c:pt>
                <c:pt idx="17">
                  <c:v>36830.428915023804</c:v>
                </c:pt>
                <c:pt idx="18">
                  <c:v>29141.223313331604</c:v>
                </c:pt>
                <c:pt idx="19">
                  <c:v>24221.29708480835</c:v>
                </c:pt>
                <c:pt idx="20">
                  <c:v>20796.60342502594</c:v>
                </c:pt>
                <c:pt idx="21">
                  <c:v>18135.779010772705</c:v>
                </c:pt>
                <c:pt idx="22">
                  <c:v>15967.911049842834</c:v>
                </c:pt>
                <c:pt idx="23">
                  <c:v>14231.447910308838</c:v>
                </c:pt>
                <c:pt idx="24">
                  <c:v>12883.178489685059</c:v>
                </c:pt>
                <c:pt idx="25">
                  <c:v>11840.657932281494</c:v>
                </c:pt>
                <c:pt idx="26">
                  <c:v>11005.464791297913</c:v>
                </c:pt>
                <c:pt idx="27">
                  <c:v>10291.683836936951</c:v>
                </c:pt>
                <c:pt idx="28">
                  <c:v>9627.4473781585693</c:v>
                </c:pt>
                <c:pt idx="29">
                  <c:v>8941.1350107192993</c:v>
                </c:pt>
                <c:pt idx="30">
                  <c:v>8159.2351684570313</c:v>
                </c:pt>
                <c:pt idx="31">
                  <c:v>7231.7025327682495</c:v>
                </c:pt>
                <c:pt idx="32">
                  <c:v>6171.0498762130737</c:v>
                </c:pt>
                <c:pt idx="33">
                  <c:v>5066.0877370834351</c:v>
                </c:pt>
                <c:pt idx="34">
                  <c:v>4043.5199699401855</c:v>
                </c:pt>
                <c:pt idx="35">
                  <c:v>3199.12340259552</c:v>
                </c:pt>
                <c:pt idx="36">
                  <c:v>2553.1696424484253</c:v>
                </c:pt>
                <c:pt idx="37">
                  <c:v>2061.6548852920532</c:v>
                </c:pt>
                <c:pt idx="38">
                  <c:v>1662.6966171264648</c:v>
                </c:pt>
                <c:pt idx="39">
                  <c:v>1314.356333732605</c:v>
                </c:pt>
                <c:pt idx="40">
                  <c:v>1002.2213220596313</c:v>
                </c:pt>
                <c:pt idx="41">
                  <c:v>727.47861862182617</c:v>
                </c:pt>
                <c:pt idx="42">
                  <c:v>495.18752002716064</c:v>
                </c:pt>
                <c:pt idx="43">
                  <c:v>309.90694713592529</c:v>
                </c:pt>
                <c:pt idx="44">
                  <c:v>174.10803508758545</c:v>
                </c:pt>
                <c:pt idx="45">
                  <c:v>85.565303802490234</c:v>
                </c:pt>
                <c:pt idx="46">
                  <c:v>35.818583488464355</c:v>
                </c:pt>
                <c:pt idx="47">
                  <c:v>12.41627025604248</c:v>
                </c:pt>
                <c:pt idx="48">
                  <c:v>3.4483242034912109</c:v>
                </c:pt>
                <c:pt idx="49">
                  <c:v>0.72407817840576172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B0-47DC-BFC9-D48A12E3E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47456"/>
        <c:axId val="154987328"/>
      </c:lineChart>
      <c:catAx>
        <c:axId val="128147456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87328"/>
        <c:crosses val="autoZero"/>
        <c:auto val="1"/>
        <c:lblAlgn val="ctr"/>
        <c:lblOffset val="100"/>
        <c:tickLblSkip val="10"/>
        <c:noMultiLvlLbl val="0"/>
      </c:catAx>
      <c:valAx>
        <c:axId val="154987328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281474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98"/>
          <c:h val="0.1674343832021006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Arrival_Time_School!$J$7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Arrival_Time_School!$J$8:$J$58</c:f>
              <c:numCache>
                <c:formatCode>0.00</c:formatCode>
                <c:ptCount val="51"/>
                <c:pt idx="0">
                  <c:v>0</c:v>
                </c:pt>
                <c:pt idx="1">
                  <c:v>77.01074315958023</c:v>
                </c:pt>
                <c:pt idx="2">
                  <c:v>258.49502724370956</c:v>
                </c:pt>
                <c:pt idx="3">
                  <c:v>833.2102400235176</c:v>
                </c:pt>
                <c:pt idx="4">
                  <c:v>2494.1827681415557</c:v>
                </c:pt>
                <c:pt idx="5">
                  <c:v>6466.1215201013565</c:v>
                </c:pt>
                <c:pt idx="6">
                  <c:v>14227.068363943386</c:v>
                </c:pt>
                <c:pt idx="7">
                  <c:v>26607.574145670798</c:v>
                </c:pt>
                <c:pt idx="8">
                  <c:v>42603.89835548096</c:v>
                </c:pt>
                <c:pt idx="9">
                  <c:v>58856.902713043019</c:v>
                </c:pt>
                <c:pt idx="10">
                  <c:v>70631.346380610077</c:v>
                </c:pt>
                <c:pt idx="11">
                  <c:v>74046.832362834626</c:v>
                </c:pt>
                <c:pt idx="12">
                  <c:v>68151.303419525138</c:v>
                </c:pt>
                <c:pt idx="13">
                  <c:v>55373.34210611086</c:v>
                </c:pt>
                <c:pt idx="14">
                  <c:v>40082.704226673319</c:v>
                </c:pt>
                <c:pt idx="15">
                  <c:v>26354.608390338231</c:v>
                </c:pt>
                <c:pt idx="16">
                  <c:v>16409.483978394892</c:v>
                </c:pt>
                <c:pt idx="17">
                  <c:v>10428.216951864433</c:v>
                </c:pt>
                <c:pt idx="18">
                  <c:v>7366.3011002433777</c:v>
                </c:pt>
                <c:pt idx="19">
                  <c:v>5924.2112645442012</c:v>
                </c:pt>
                <c:pt idx="20">
                  <c:v>5125.1401992409701</c:v>
                </c:pt>
                <c:pt idx="21">
                  <c:v>4461.3347456151005</c:v>
                </c:pt>
                <c:pt idx="22">
                  <c:v>3803.3588712884903</c:v>
                </c:pt>
                <c:pt idx="23">
                  <c:v>3225.9088666339881</c:v>
                </c:pt>
                <c:pt idx="24">
                  <c:v>2833.53018807745</c:v>
                </c:pt>
                <c:pt idx="25">
                  <c:v>2654.8026316750529</c:v>
                </c:pt>
                <c:pt idx="26">
                  <c:v>2637.2186501907345</c:v>
                </c:pt>
                <c:pt idx="27">
                  <c:v>2699.9309055003164</c:v>
                </c:pt>
                <c:pt idx="28">
                  <c:v>2770.8629963706967</c:v>
                </c:pt>
                <c:pt idx="29">
                  <c:v>2784.9976515917774</c:v>
                </c:pt>
                <c:pt idx="30">
                  <c:v>2679.6113883338926</c:v>
                </c:pt>
                <c:pt idx="31">
                  <c:v>2415.8095277718544</c:v>
                </c:pt>
                <c:pt idx="32">
                  <c:v>2007.7625543094632</c:v>
                </c:pt>
                <c:pt idx="33">
                  <c:v>1524.1192653171538</c:v>
                </c:pt>
                <c:pt idx="34">
                  <c:v>1056.1285799227715</c:v>
                </c:pt>
                <c:pt idx="35">
                  <c:v>678.64227802162168</c:v>
                </c:pt>
                <c:pt idx="36">
                  <c:v>431.22381461296084</c:v>
                </c:pt>
                <c:pt idx="37">
                  <c:v>325.51866207532885</c:v>
                </c:pt>
                <c:pt idx="38">
                  <c:v>361.21230010786059</c:v>
                </c:pt>
                <c:pt idx="39">
                  <c:v>524.25950328674321</c:v>
                </c:pt>
                <c:pt idx="40">
                  <c:v>763.38443815431606</c:v>
                </c:pt>
                <c:pt idx="41">
                  <c:v>978.98685749721551</c:v>
                </c:pt>
                <c:pt idx="42">
                  <c:v>1061.0041345972063</c:v>
                </c:pt>
                <c:pt idx="43">
                  <c:v>958.72973123760244</c:v>
                </c:pt>
                <c:pt idx="44">
                  <c:v>717.1521973724366</c:v>
                </c:pt>
                <c:pt idx="45">
                  <c:v>440.76562044334418</c:v>
                </c:pt>
                <c:pt idx="46">
                  <c:v>220.22946655082706</c:v>
                </c:pt>
                <c:pt idx="47">
                  <c:v>88.052724021053322</c:v>
                </c:pt>
                <c:pt idx="48">
                  <c:v>27.502055963706969</c:v>
                </c:pt>
                <c:pt idx="49">
                  <c:v>6.3573450231552133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4B-494D-9611-FB3A708B1416}"/>
            </c:ext>
          </c:extLst>
        </c:ser>
        <c:ser>
          <c:idx val="1"/>
          <c:order val="1"/>
          <c:tx>
            <c:strRef>
              <c:f>Arrival_Time_School!$U$7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Arrival_Time_School!$U$8:$U$58</c:f>
              <c:numCache>
                <c:formatCode>General</c:formatCode>
                <c:ptCount val="51"/>
                <c:pt idx="0">
                  <c:v>13</c:v>
                </c:pt>
                <c:pt idx="1">
                  <c:v>77.012818336486816</c:v>
                </c:pt>
                <c:pt idx="2">
                  <c:v>276.50680637359619</c:v>
                </c:pt>
                <c:pt idx="3">
                  <c:v>947.80659580230713</c:v>
                </c:pt>
                <c:pt idx="4">
                  <c:v>2826.6828289031982</c:v>
                </c:pt>
                <c:pt idx="5">
                  <c:v>7075.5142364501953</c:v>
                </c:pt>
                <c:pt idx="6">
                  <c:v>14845.400693893433</c:v>
                </c:pt>
                <c:pt idx="7">
                  <c:v>26334.267045021057</c:v>
                </c:pt>
                <c:pt idx="8">
                  <c:v>39940.886982917786</c:v>
                </c:pt>
                <c:pt idx="9">
                  <c:v>52445.764789581299</c:v>
                </c:pt>
                <c:pt idx="10">
                  <c:v>60464.06033039093</c:v>
                </c:pt>
                <c:pt idx="11">
                  <c:v>62189.220165252686</c:v>
                </c:pt>
                <c:pt idx="12">
                  <c:v>58085.869024276733</c:v>
                </c:pt>
                <c:pt idx="13">
                  <c:v>50190.539282798767</c:v>
                </c:pt>
                <c:pt idx="14">
                  <c:v>40857.050845146179</c:v>
                </c:pt>
                <c:pt idx="15">
                  <c:v>31895.116599082947</c:v>
                </c:pt>
                <c:pt idx="16">
                  <c:v>24333.282896995544</c:v>
                </c:pt>
                <c:pt idx="17">
                  <c:v>18522.3159532547</c:v>
                </c:pt>
                <c:pt idx="18">
                  <c:v>14334.334636688232</c:v>
                </c:pt>
                <c:pt idx="19">
                  <c:v>11393.87868309021</c:v>
                </c:pt>
                <c:pt idx="20">
                  <c:v>9297.8850107192993</c:v>
                </c:pt>
                <c:pt idx="21">
                  <c:v>7747.6086807250977</c:v>
                </c:pt>
                <c:pt idx="22">
                  <c:v>6563.7688884735107</c:v>
                </c:pt>
                <c:pt idx="23">
                  <c:v>5637.0288114547729</c:v>
                </c:pt>
                <c:pt idx="24">
                  <c:v>4885.7915277481079</c:v>
                </c:pt>
                <c:pt idx="25">
                  <c:v>4250.4954414367676</c:v>
                </c:pt>
                <c:pt idx="26">
                  <c:v>3705.5902576446533</c:v>
                </c:pt>
                <c:pt idx="27">
                  <c:v>3257.5041179656982</c:v>
                </c:pt>
                <c:pt idx="28">
                  <c:v>2918.2097082138062</c:v>
                </c:pt>
                <c:pt idx="29">
                  <c:v>2673.1199359893799</c:v>
                </c:pt>
                <c:pt idx="30">
                  <c:v>2472.1174068450928</c:v>
                </c:pt>
                <c:pt idx="31">
                  <c:v>2254.8050670623779</c:v>
                </c:pt>
                <c:pt idx="32">
                  <c:v>1990.3062343597412</c:v>
                </c:pt>
                <c:pt idx="33">
                  <c:v>1696.1996612548828</c:v>
                </c:pt>
                <c:pt idx="34">
                  <c:v>1418.3383159637451</c:v>
                </c:pt>
                <c:pt idx="35">
                  <c:v>1189.7499408721924</c:v>
                </c:pt>
                <c:pt idx="36">
                  <c:v>1006.0641040802002</c:v>
                </c:pt>
                <c:pt idx="37">
                  <c:v>836.88695240020752</c:v>
                </c:pt>
                <c:pt idx="38">
                  <c:v>657.55698776245117</c:v>
                </c:pt>
                <c:pt idx="39">
                  <c:v>470.15670394897461</c:v>
                </c:pt>
                <c:pt idx="40">
                  <c:v>298.22487449645996</c:v>
                </c:pt>
                <c:pt idx="41">
                  <c:v>165.63202285766602</c:v>
                </c:pt>
                <c:pt idx="42">
                  <c:v>80.525992393493652</c:v>
                </c:pt>
                <c:pt idx="43">
                  <c:v>34.826945304870605</c:v>
                </c:pt>
                <c:pt idx="44">
                  <c:v>13.863615036010742</c:v>
                </c:pt>
                <c:pt idx="45">
                  <c:v>5.2682628631591797</c:v>
                </c:pt>
                <c:pt idx="46">
                  <c:v>1.9150094985961914</c:v>
                </c:pt>
                <c:pt idx="47">
                  <c:v>0.63338184356689453</c:v>
                </c:pt>
                <c:pt idx="48">
                  <c:v>0.17661857604980469</c:v>
                </c:pt>
                <c:pt idx="49">
                  <c:v>3.7874221801757813E-2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4B-494D-9611-FB3A708B1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51040"/>
        <c:axId val="154989056"/>
      </c:lineChart>
      <c:catAx>
        <c:axId val="128151040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89056"/>
        <c:crosses val="autoZero"/>
        <c:auto val="1"/>
        <c:lblAlgn val="ctr"/>
        <c:lblOffset val="100"/>
        <c:tickLblSkip val="10"/>
        <c:noMultiLvlLbl val="0"/>
      </c:catAx>
      <c:valAx>
        <c:axId val="15498905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281510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4"/>
          <c:h val="0.167434383202100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Arrival_Time_Other!$J$7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Arrival_Time_Other!$J$8:$J$58</c:f>
              <c:numCache>
                <c:formatCode>0.00</c:formatCode>
                <c:ptCount val="51"/>
                <c:pt idx="0">
                  <c:v>0</c:v>
                </c:pt>
                <c:pt idx="1">
                  <c:v>1308.1047765603066</c:v>
                </c:pt>
                <c:pt idx="2">
                  <c:v>2665.3748451291081</c:v>
                </c:pt>
                <c:pt idx="3">
                  <c:v>4189.5662596707343</c:v>
                </c:pt>
                <c:pt idx="4">
                  <c:v>6137.6777237746237</c:v>
                </c:pt>
                <c:pt idx="5">
                  <c:v>8953.5163304868693</c:v>
                </c:pt>
                <c:pt idx="6">
                  <c:v>13240.630856225394</c:v>
                </c:pt>
                <c:pt idx="7">
                  <c:v>19611.15906706619</c:v>
                </c:pt>
                <c:pt idx="8">
                  <c:v>28404.101719169805</c:v>
                </c:pt>
                <c:pt idx="9">
                  <c:v>39356.666402093026</c:v>
                </c:pt>
                <c:pt idx="10">
                  <c:v>51425.798305689328</c:v>
                </c:pt>
                <c:pt idx="11">
                  <c:v>62983.047570906536</c:v>
                </c:pt>
                <c:pt idx="12">
                  <c:v>72409.359514395517</c:v>
                </c:pt>
                <c:pt idx="13">
                  <c:v>78766.794192294779</c:v>
                </c:pt>
                <c:pt idx="14">
                  <c:v>82070.967317060306</c:v>
                </c:pt>
                <c:pt idx="15">
                  <c:v>82993.881833332431</c:v>
                </c:pt>
                <c:pt idx="16">
                  <c:v>82338.181072962674</c:v>
                </c:pt>
                <c:pt idx="17">
                  <c:v>80770.675331268794</c:v>
                </c:pt>
                <c:pt idx="18">
                  <c:v>78917.094321871089</c:v>
                </c:pt>
                <c:pt idx="19">
                  <c:v>77489.183246425833</c:v>
                </c:pt>
                <c:pt idx="20">
                  <c:v>77147.160653141502</c:v>
                </c:pt>
                <c:pt idx="21">
                  <c:v>78181.27222420559</c:v>
                </c:pt>
                <c:pt idx="22">
                  <c:v>80330.680279547611</c:v>
                </c:pt>
                <c:pt idx="23">
                  <c:v>82940.196177267266</c:v>
                </c:pt>
                <c:pt idx="24">
                  <c:v>85393.549220364846</c:v>
                </c:pt>
                <c:pt idx="25">
                  <c:v>87577.189496631705</c:v>
                </c:pt>
                <c:pt idx="26">
                  <c:v>90061.978550308704</c:v>
                </c:pt>
                <c:pt idx="27">
                  <c:v>93769.106449039376</c:v>
                </c:pt>
                <c:pt idx="28">
                  <c:v>99175.319883764663</c:v>
                </c:pt>
                <c:pt idx="29">
                  <c:v>105510.22168208688</c:v>
                </c:pt>
                <c:pt idx="30">
                  <c:v>110579.71350283317</c:v>
                </c:pt>
                <c:pt idx="31">
                  <c:v>111547.25445701665</c:v>
                </c:pt>
                <c:pt idx="32">
                  <c:v>106335.53628590297</c:v>
                </c:pt>
                <c:pt idx="33">
                  <c:v>94778.639605034041</c:v>
                </c:pt>
                <c:pt idx="34">
                  <c:v>78754.334346946722</c:v>
                </c:pt>
                <c:pt idx="35">
                  <c:v>61244.339432590947</c:v>
                </c:pt>
                <c:pt idx="36">
                  <c:v>45006.051342574407</c:v>
                </c:pt>
                <c:pt idx="37">
                  <c:v>31674.146906481743</c:v>
                </c:pt>
                <c:pt idx="38">
                  <c:v>21635.616503238485</c:v>
                </c:pt>
                <c:pt idx="39">
                  <c:v>14458.348196579649</c:v>
                </c:pt>
                <c:pt idx="40">
                  <c:v>9436.0502218789115</c:v>
                </c:pt>
                <c:pt idx="41">
                  <c:v>5945.4113377243993</c:v>
                </c:pt>
                <c:pt idx="42">
                  <c:v>3554.2113146903043</c:v>
                </c:pt>
                <c:pt idx="43">
                  <c:v>1977.7472353649141</c:v>
                </c:pt>
                <c:pt idx="44">
                  <c:v>1004.9080738936426</c:v>
                </c:pt>
                <c:pt idx="45">
                  <c:v>457.0690111968994</c:v>
                </c:pt>
                <c:pt idx="46">
                  <c:v>182.07894491834645</c:v>
                </c:pt>
                <c:pt idx="47">
                  <c:v>61.969038305091857</c:v>
                </c:pt>
                <c:pt idx="48">
                  <c:v>17.500021663856508</c:v>
                </c:pt>
                <c:pt idx="49">
                  <c:v>3.8794594927787784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43-4D5B-8A27-15CDBA3EC109}"/>
            </c:ext>
          </c:extLst>
        </c:ser>
        <c:ser>
          <c:idx val="1"/>
          <c:order val="1"/>
          <c:tx>
            <c:strRef>
              <c:f>Arrival_Time_Other!$U$7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Arrival_Time_Other!$U$8:$U$58</c:f>
              <c:numCache>
                <c:formatCode>General</c:formatCode>
                <c:ptCount val="51"/>
                <c:pt idx="0">
                  <c:v>108</c:v>
                </c:pt>
                <c:pt idx="1">
                  <c:v>718.5391788482666</c:v>
                </c:pt>
                <c:pt idx="2">
                  <c:v>1167.0096397399902</c:v>
                </c:pt>
                <c:pt idx="3">
                  <c:v>1610.9822778701782</c:v>
                </c:pt>
                <c:pt idx="4">
                  <c:v>2700.9069442749023</c:v>
                </c:pt>
                <c:pt idx="5">
                  <c:v>5548.0025978088379</c:v>
                </c:pt>
                <c:pt idx="6">
                  <c:v>11454.414477348328</c:v>
                </c:pt>
                <c:pt idx="7">
                  <c:v>21375.124022483826</c:v>
                </c:pt>
                <c:pt idx="8">
                  <c:v>35249.020359039307</c:v>
                </c:pt>
                <c:pt idx="9">
                  <c:v>51600.266669273376</c:v>
                </c:pt>
                <c:pt idx="10">
                  <c:v>67807.979327201843</c:v>
                </c:pt>
                <c:pt idx="11">
                  <c:v>81027.953211784363</c:v>
                </c:pt>
                <c:pt idx="12">
                  <c:v>89266.977353096008</c:v>
                </c:pt>
                <c:pt idx="13">
                  <c:v>92006.008838653564</c:v>
                </c:pt>
                <c:pt idx="14">
                  <c:v>90117.957848548889</c:v>
                </c:pt>
                <c:pt idx="15">
                  <c:v>85306.672570228577</c:v>
                </c:pt>
                <c:pt idx="16">
                  <c:v>79513.926681518555</c:v>
                </c:pt>
                <c:pt idx="17">
                  <c:v>74565.507850646973</c:v>
                </c:pt>
                <c:pt idx="18">
                  <c:v>71981.544511795044</c:v>
                </c:pt>
                <c:pt idx="19">
                  <c:v>72739.178720474243</c:v>
                </c:pt>
                <c:pt idx="20">
                  <c:v>76985.08425617218</c:v>
                </c:pt>
                <c:pt idx="21">
                  <c:v>83960.348490715027</c:v>
                </c:pt>
                <c:pt idx="22">
                  <c:v>92325.744734764099</c:v>
                </c:pt>
                <c:pt idx="23">
                  <c:v>100689.70775127411</c:v>
                </c:pt>
                <c:pt idx="24">
                  <c:v>107918.51784515381</c:v>
                </c:pt>
                <c:pt idx="25">
                  <c:v>113064.24287796021</c:v>
                </c:pt>
                <c:pt idx="26">
                  <c:v>115196.07128620148</c:v>
                </c:pt>
                <c:pt idx="27">
                  <c:v>113514.49353313446</c:v>
                </c:pt>
                <c:pt idx="28">
                  <c:v>107739.7957277298</c:v>
                </c:pt>
                <c:pt idx="29">
                  <c:v>98375.957950592041</c:v>
                </c:pt>
                <c:pt idx="30">
                  <c:v>86559.079045295715</c:v>
                </c:pt>
                <c:pt idx="31">
                  <c:v>73658.636185646057</c:v>
                </c:pt>
                <c:pt idx="32">
                  <c:v>60985.61264705658</c:v>
                </c:pt>
                <c:pt idx="33">
                  <c:v>49662.12788772583</c:v>
                </c:pt>
                <c:pt idx="34">
                  <c:v>40437.565632820129</c:v>
                </c:pt>
                <c:pt idx="35">
                  <c:v>33425.573250770569</c:v>
                </c:pt>
                <c:pt idx="36">
                  <c:v>28056.290595054626</c:v>
                </c:pt>
                <c:pt idx="37">
                  <c:v>23443.10729598999</c:v>
                </c:pt>
                <c:pt idx="38">
                  <c:v>18935.588329315186</c:v>
                </c:pt>
                <c:pt idx="39">
                  <c:v>14425.131731987</c:v>
                </c:pt>
                <c:pt idx="40">
                  <c:v>10222.13836479187</c:v>
                </c:pt>
                <c:pt idx="41">
                  <c:v>6706.8315963745117</c:v>
                </c:pt>
                <c:pt idx="42">
                  <c:v>4069.9501934051514</c:v>
                </c:pt>
                <c:pt idx="43">
                  <c:v>2275.1797552108765</c:v>
                </c:pt>
                <c:pt idx="44">
                  <c:v>1157.8350267410278</c:v>
                </c:pt>
                <c:pt idx="45">
                  <c:v>525.3828182220459</c:v>
                </c:pt>
                <c:pt idx="46">
                  <c:v>206.81364727020264</c:v>
                </c:pt>
                <c:pt idx="47">
                  <c:v>68.403133392333984</c:v>
                </c:pt>
                <c:pt idx="48">
                  <c:v>18.317855834960938</c:v>
                </c:pt>
                <c:pt idx="49">
                  <c:v>3.7384586334228516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43-4D5B-8A27-15CDBA3EC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527104"/>
        <c:axId val="154990784"/>
      </c:lineChart>
      <c:catAx>
        <c:axId val="148527104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90784"/>
        <c:crosses val="autoZero"/>
        <c:auto val="1"/>
        <c:lblAlgn val="ctr"/>
        <c:lblOffset val="100"/>
        <c:tickLblSkip val="10"/>
        <c:noMultiLvlLbl val="0"/>
      </c:catAx>
      <c:valAx>
        <c:axId val="15499078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48527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9"/>
          <c:h val="0.1674343832021008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Arrival_Time_Workbased!$J$7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Arrival_Time_Workbased!$J$8:$J$58</c:f>
              <c:numCache>
                <c:formatCode>0.00</c:formatCode>
                <c:ptCount val="51"/>
                <c:pt idx="0">
                  <c:v>0</c:v>
                </c:pt>
                <c:pt idx="1">
                  <c:v>3.470461522960663</c:v>
                </c:pt>
                <c:pt idx="2">
                  <c:v>9.8663773987770078</c:v>
                </c:pt>
                <c:pt idx="3">
                  <c:v>23.405763601875304</c:v>
                </c:pt>
                <c:pt idx="4">
                  <c:v>50.931917646598819</c:v>
                </c:pt>
                <c:pt idx="5">
                  <c:v>103.30354127464295</c:v>
                </c:pt>
                <c:pt idx="6">
                  <c:v>197.30004595785141</c:v>
                </c:pt>
                <c:pt idx="7">
                  <c:v>358.13678292961123</c:v>
                </c:pt>
                <c:pt idx="8">
                  <c:v>619.54096446342464</c:v>
                </c:pt>
                <c:pt idx="9">
                  <c:v>1015.6827702163695</c:v>
                </c:pt>
                <c:pt idx="10">
                  <c:v>1565.7056393081664</c:v>
                </c:pt>
                <c:pt idx="11">
                  <c:v>2267.465074101829</c:v>
                </c:pt>
                <c:pt idx="12">
                  <c:v>3123.8182223610875</c:v>
                </c:pt>
                <c:pt idx="13">
                  <c:v>4199.7512755654334</c:v>
                </c:pt>
                <c:pt idx="14">
                  <c:v>5656.5977941001884</c:v>
                </c:pt>
                <c:pt idx="15">
                  <c:v>7680.3124476853363</c:v>
                </c:pt>
                <c:pt idx="16">
                  <c:v>10280.949799898051</c:v>
                </c:pt>
                <c:pt idx="17">
                  <c:v>13087.763352514839</c:v>
                </c:pt>
                <c:pt idx="18">
                  <c:v>15360.310330026055</c:v>
                </c:pt>
                <c:pt idx="19">
                  <c:v>16314.33128779831</c:v>
                </c:pt>
                <c:pt idx="20">
                  <c:v>15572.609922507952</c:v>
                </c:pt>
                <c:pt idx="21">
                  <c:v>13393.502457583139</c:v>
                </c:pt>
                <c:pt idx="22">
                  <c:v>10503.758683445167</c:v>
                </c:pt>
                <c:pt idx="23">
                  <c:v>7690.5945382969849</c:v>
                </c:pt>
                <c:pt idx="24">
                  <c:v>5455.5712845871922</c:v>
                </c:pt>
                <c:pt idx="25">
                  <c:v>3911.7523053260802</c:v>
                </c:pt>
                <c:pt idx="26">
                  <c:v>2900.4560137641911</c:v>
                </c:pt>
                <c:pt idx="27">
                  <c:v>2189.7413990390778</c:v>
                </c:pt>
                <c:pt idx="28">
                  <c:v>1620.8670105650901</c:v>
                </c:pt>
                <c:pt idx="29">
                  <c:v>1144.259086584568</c:v>
                </c:pt>
                <c:pt idx="30">
                  <c:v>773.149269024658</c:v>
                </c:pt>
                <c:pt idx="31">
                  <c:v>522.74417494201657</c:v>
                </c:pt>
                <c:pt idx="32">
                  <c:v>380.19999880161288</c:v>
                </c:pt>
                <c:pt idx="33">
                  <c:v>308.05781064252852</c:v>
                </c:pt>
                <c:pt idx="34">
                  <c:v>263.55587214097977</c:v>
                </c:pt>
                <c:pt idx="35">
                  <c:v>217.58505641403195</c:v>
                </c:pt>
                <c:pt idx="36">
                  <c:v>162.70560316438676</c:v>
                </c:pt>
                <c:pt idx="37">
                  <c:v>107.13721993808747</c:v>
                </c:pt>
                <c:pt idx="38">
                  <c:v>61.798957501125336</c:v>
                </c:pt>
                <c:pt idx="39">
                  <c:v>31.446232310962674</c:v>
                </c:pt>
                <c:pt idx="40">
                  <c:v>14.241226558589936</c:v>
                </c:pt>
                <c:pt idx="41">
                  <c:v>5.7302350517272949</c:v>
                </c:pt>
                <c:pt idx="42">
                  <c:v>2.0040964210510257</c:v>
                </c:pt>
                <c:pt idx="43">
                  <c:v>0.58366209840774541</c:v>
                </c:pt>
                <c:pt idx="44">
                  <c:v>0.13332114944458009</c:v>
                </c:pt>
                <c:pt idx="45">
                  <c:v>2.2039797782897951E-2</c:v>
                </c:pt>
                <c:pt idx="46">
                  <c:v>2.3199787139892578E-3</c:v>
                </c:pt>
                <c:pt idx="47">
                  <c:v>1.159989356994629E-4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F1-4EB4-A51A-1C155ACD991F}"/>
            </c:ext>
          </c:extLst>
        </c:ser>
        <c:ser>
          <c:idx val="1"/>
          <c:order val="1"/>
          <c:tx>
            <c:strRef>
              <c:f>Arrival_Time_Workbased!$U$7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Arrival_Time_Workbased!$U$8:$U$58</c:f>
              <c:numCache>
                <c:formatCode>General</c:formatCode>
                <c:ptCount val="51"/>
                <c:pt idx="0">
                  <c:v>132</c:v>
                </c:pt>
                <c:pt idx="1">
                  <c:v>434.14751625061035</c:v>
                </c:pt>
                <c:pt idx="2">
                  <c:v>585.43826675415039</c:v>
                </c:pt>
                <c:pt idx="3">
                  <c:v>549.77909183502197</c:v>
                </c:pt>
                <c:pt idx="4">
                  <c:v>420.92372608184814</c:v>
                </c:pt>
                <c:pt idx="5">
                  <c:v>353.86085224151611</c:v>
                </c:pt>
                <c:pt idx="6">
                  <c:v>504.05217933654785</c:v>
                </c:pt>
                <c:pt idx="7">
                  <c:v>1018.748010635376</c:v>
                </c:pt>
                <c:pt idx="8">
                  <c:v>2046.4235334396362</c:v>
                </c:pt>
                <c:pt idx="9">
                  <c:v>3735.1692981719971</c:v>
                </c:pt>
                <c:pt idx="10">
                  <c:v>6251.5243816375732</c:v>
                </c:pt>
                <c:pt idx="11">
                  <c:v>9841.1299619674683</c:v>
                </c:pt>
                <c:pt idx="12">
                  <c:v>14840.167620658875</c:v>
                </c:pt>
                <c:pt idx="13">
                  <c:v>21497.229049682617</c:v>
                </c:pt>
                <c:pt idx="14">
                  <c:v>29636.614386558533</c:v>
                </c:pt>
                <c:pt idx="15">
                  <c:v>38429.643242835999</c:v>
                </c:pt>
                <c:pt idx="16">
                  <c:v>46504.069504737854</c:v>
                </c:pt>
                <c:pt idx="17">
                  <c:v>52323.826495170593</c:v>
                </c:pt>
                <c:pt idx="18">
                  <c:v>54618.510499000549</c:v>
                </c:pt>
                <c:pt idx="19">
                  <c:v>52777.248672485352</c:v>
                </c:pt>
                <c:pt idx="20">
                  <c:v>47174.934614181519</c:v>
                </c:pt>
                <c:pt idx="21">
                  <c:v>39200.313442230225</c:v>
                </c:pt>
                <c:pt idx="22">
                  <c:v>30744.421577453613</c:v>
                </c:pt>
                <c:pt idx="23">
                  <c:v>23360.783735275269</c:v>
                </c:pt>
                <c:pt idx="24">
                  <c:v>17706.083980560303</c:v>
                </c:pt>
                <c:pt idx="25">
                  <c:v>13628.67612361908</c:v>
                </c:pt>
                <c:pt idx="26">
                  <c:v>10664.58669757843</c:v>
                </c:pt>
                <c:pt idx="27">
                  <c:v>8444.6387310028076</c:v>
                </c:pt>
                <c:pt idx="28">
                  <c:v>6782.2401218414307</c:v>
                </c:pt>
                <c:pt idx="29">
                  <c:v>5563.2761974334717</c:v>
                </c:pt>
                <c:pt idx="30">
                  <c:v>4649.8564643859863</c:v>
                </c:pt>
                <c:pt idx="31">
                  <c:v>3890.3673248291016</c:v>
                </c:pt>
                <c:pt idx="32">
                  <c:v>3193.420069694519</c:v>
                </c:pt>
                <c:pt idx="33">
                  <c:v>2571.9123678207397</c:v>
                </c:pt>
                <c:pt idx="34">
                  <c:v>2101.798656463623</c:v>
                </c:pt>
                <c:pt idx="35">
                  <c:v>1826.1193857192993</c:v>
                </c:pt>
                <c:pt idx="36">
                  <c:v>1691.4976196289063</c:v>
                </c:pt>
                <c:pt idx="37">
                  <c:v>1575.1776218414307</c:v>
                </c:pt>
                <c:pt idx="38">
                  <c:v>1374.0678300857544</c:v>
                </c:pt>
                <c:pt idx="39">
                  <c:v>1072.3446531295776</c:v>
                </c:pt>
                <c:pt idx="40">
                  <c:v>733.66258144378662</c:v>
                </c:pt>
                <c:pt idx="41">
                  <c:v>439.15053176879883</c:v>
                </c:pt>
                <c:pt idx="42">
                  <c:v>232.98136138916016</c:v>
                </c:pt>
                <c:pt idx="43">
                  <c:v>112.44490051269531</c:v>
                </c:pt>
                <c:pt idx="44">
                  <c:v>50.816615104675293</c:v>
                </c:pt>
                <c:pt idx="45">
                  <c:v>21.694270133972168</c:v>
                </c:pt>
                <c:pt idx="46">
                  <c:v>8.512272834777832</c:v>
                </c:pt>
                <c:pt idx="47">
                  <c:v>2.9104576110839844</c:v>
                </c:pt>
                <c:pt idx="48">
                  <c:v>0.81698703765869141</c:v>
                </c:pt>
                <c:pt idx="49">
                  <c:v>0.17459678649902344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F1-4EB4-A51A-1C155ACD99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08928"/>
        <c:axId val="155754496"/>
      </c:lineChart>
      <c:catAx>
        <c:axId val="150908928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4496"/>
        <c:crosses val="autoZero"/>
        <c:auto val="1"/>
        <c:lblAlgn val="ctr"/>
        <c:lblOffset val="100"/>
        <c:tickLblSkip val="10"/>
        <c:noMultiLvlLbl val="0"/>
      </c:catAx>
      <c:valAx>
        <c:axId val="15575449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09089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17"/>
          <c:h val="0.1674343832021009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Arrival_Time_Work!$J$8:$J$58</c:f>
              <c:numCache>
                <c:formatCode>0.00</c:formatCode>
                <c:ptCount val="51"/>
                <c:pt idx="0">
                  <c:v>0</c:v>
                </c:pt>
                <c:pt idx="1">
                  <c:v>3070.7441004848479</c:v>
                </c:pt>
                <c:pt idx="2">
                  <c:v>7296.8731737785329</c:v>
                </c:pt>
                <c:pt idx="3">
                  <c:v>13913.289696518801</c:v>
                </c:pt>
                <c:pt idx="4">
                  <c:v>24139.436444867421</c:v>
                </c:pt>
                <c:pt idx="5">
                  <c:v>38853.839472107698</c:v>
                </c:pt>
                <c:pt idx="6">
                  <c:v>58097.834313555912</c:v>
                </c:pt>
                <c:pt idx="7">
                  <c:v>80538.501672692699</c:v>
                </c:pt>
                <c:pt idx="8">
                  <c:v>103155.91742356654</c:v>
                </c:pt>
                <c:pt idx="9">
                  <c:v>121599.12088816788</c:v>
                </c:pt>
                <c:pt idx="10">
                  <c:v>131511.75556665356</c:v>
                </c:pt>
                <c:pt idx="11">
                  <c:v>130414.70213318513</c:v>
                </c:pt>
                <c:pt idx="12">
                  <c:v>118987.59396064949</c:v>
                </c:pt>
                <c:pt idx="13">
                  <c:v>100758.74254076357</c:v>
                </c:pt>
                <c:pt idx="14">
                  <c:v>80378.51038948691</c:v>
                </c:pt>
                <c:pt idx="15">
                  <c:v>61700.72383425312</c:v>
                </c:pt>
                <c:pt idx="16">
                  <c:v>46805.250589683637</c:v>
                </c:pt>
                <c:pt idx="17">
                  <c:v>36127.223038259508</c:v>
                </c:pt>
                <c:pt idx="18">
                  <c:v>29101.190839744377</c:v>
                </c:pt>
                <c:pt idx="19">
                  <c:v>24750.044083224395</c:v>
                </c:pt>
                <c:pt idx="20">
                  <c:v>22063.325550650217</c:v>
                </c:pt>
                <c:pt idx="21">
                  <c:v>20228.866497277166</c:v>
                </c:pt>
                <c:pt idx="22">
                  <c:v>18733.02343175096</c:v>
                </c:pt>
                <c:pt idx="23">
                  <c:v>17316.035504713727</c:v>
                </c:pt>
                <c:pt idx="24">
                  <c:v>15859.141643105982</c:v>
                </c:pt>
                <c:pt idx="25">
                  <c:v>14315.321012387945</c:v>
                </c:pt>
                <c:pt idx="26">
                  <c:v>12697.110620123578</c:v>
                </c:pt>
                <c:pt idx="27">
                  <c:v>11056.45501484823</c:v>
                </c:pt>
                <c:pt idx="28">
                  <c:v>9439.9181973534596</c:v>
                </c:pt>
                <c:pt idx="29">
                  <c:v>7869.5736140718454</c:v>
                </c:pt>
                <c:pt idx="30">
                  <c:v>6369.3536428626048</c:v>
                </c:pt>
                <c:pt idx="31">
                  <c:v>4990.3336440635676</c:v>
                </c:pt>
                <c:pt idx="32">
                  <c:v>3795.8915763610835</c:v>
                </c:pt>
                <c:pt idx="33">
                  <c:v>2828.2415231806754</c:v>
                </c:pt>
                <c:pt idx="34">
                  <c:v>2096.7473473832129</c:v>
                </c:pt>
                <c:pt idx="35">
                  <c:v>1588.6984074530601</c:v>
                </c:pt>
                <c:pt idx="36">
                  <c:v>1273.6133950696944</c:v>
                </c:pt>
                <c:pt idx="37">
                  <c:v>1094.1806908788683</c:v>
                </c:pt>
                <c:pt idx="38">
                  <c:v>969.96778685369509</c:v>
                </c:pt>
                <c:pt idx="39">
                  <c:v>829.59035370683648</c:v>
                </c:pt>
                <c:pt idx="40">
                  <c:v>646.83196976718887</c:v>
                </c:pt>
                <c:pt idx="41">
                  <c:v>444.81960603866577</c:v>
                </c:pt>
                <c:pt idx="42">
                  <c:v>265.83997453384404</c:v>
                </c:pt>
                <c:pt idx="43">
                  <c:v>137.58984954748155</c:v>
                </c:pt>
                <c:pt idx="44">
                  <c:v>61.884833805942534</c:v>
                </c:pt>
                <c:pt idx="45">
                  <c:v>24.354776886558533</c:v>
                </c:pt>
                <c:pt idx="46">
                  <c:v>8.4252105007171636</c:v>
                </c:pt>
                <c:pt idx="47">
                  <c:v>2.5459805004119875</c:v>
                </c:pt>
                <c:pt idx="48">
                  <c:v>0.65497633399963373</c:v>
                </c:pt>
                <c:pt idx="49">
                  <c:v>0.13438578424453734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A1-471D-8BD9-2BD56B078CE8}"/>
            </c:ext>
          </c:extLst>
        </c:ser>
        <c:ser>
          <c:idx val="1"/>
          <c:order val="1"/>
          <c:tx>
            <c:strRef>
              <c:f>Arrival_Time_Work!$U$7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Arrival_Time_Work!$U$8:$U$58</c:f>
              <c:numCache>
                <c:formatCode>General</c:formatCode>
                <c:ptCount val="51"/>
                <c:pt idx="0">
                  <c:v>1621</c:v>
                </c:pt>
                <c:pt idx="1">
                  <c:v>1725.072003364563</c:v>
                </c:pt>
                <c:pt idx="2">
                  <c:v>2590.9586791992188</c:v>
                </c:pt>
                <c:pt idx="3">
                  <c:v>5409.5009794235229</c:v>
                </c:pt>
                <c:pt idx="4">
                  <c:v>11983.312481880188</c:v>
                </c:pt>
                <c:pt idx="5">
                  <c:v>24369.510787010193</c:v>
                </c:pt>
                <c:pt idx="6">
                  <c:v>43845.286949157715</c:v>
                </c:pt>
                <c:pt idx="7">
                  <c:v>69557.718463897705</c:v>
                </c:pt>
                <c:pt idx="8">
                  <c:v>97755.672478675842</c:v>
                </c:pt>
                <c:pt idx="9">
                  <c:v>122475.75513744354</c:v>
                </c:pt>
                <c:pt idx="10">
                  <c:v>137701.09668064117</c:v>
                </c:pt>
                <c:pt idx="11">
                  <c:v>139892.61309623718</c:v>
                </c:pt>
                <c:pt idx="12">
                  <c:v>129405.95882987976</c:v>
                </c:pt>
                <c:pt idx="13">
                  <c:v>110047.24779224396</c:v>
                </c:pt>
                <c:pt idx="14">
                  <c:v>87220.835511207581</c:v>
                </c:pt>
                <c:pt idx="15">
                  <c:v>65807.746857643127</c:v>
                </c:pt>
                <c:pt idx="16">
                  <c:v>48764.682059288025</c:v>
                </c:pt>
                <c:pt idx="17">
                  <c:v>36830.428915023804</c:v>
                </c:pt>
                <c:pt idx="18">
                  <c:v>29141.223313331604</c:v>
                </c:pt>
                <c:pt idx="19">
                  <c:v>24221.29708480835</c:v>
                </c:pt>
                <c:pt idx="20">
                  <c:v>20796.60342502594</c:v>
                </c:pt>
                <c:pt idx="21">
                  <c:v>18135.779010772705</c:v>
                </c:pt>
                <c:pt idx="22">
                  <c:v>15967.911049842834</c:v>
                </c:pt>
                <c:pt idx="23">
                  <c:v>14231.447910308838</c:v>
                </c:pt>
                <c:pt idx="24">
                  <c:v>12883.178489685059</c:v>
                </c:pt>
                <c:pt idx="25">
                  <c:v>11840.657932281494</c:v>
                </c:pt>
                <c:pt idx="26">
                  <c:v>11005.464791297913</c:v>
                </c:pt>
                <c:pt idx="27">
                  <c:v>10291.683836936951</c:v>
                </c:pt>
                <c:pt idx="28">
                  <c:v>9627.4473781585693</c:v>
                </c:pt>
                <c:pt idx="29">
                  <c:v>8941.1350107192993</c:v>
                </c:pt>
                <c:pt idx="30">
                  <c:v>8159.2351684570313</c:v>
                </c:pt>
                <c:pt idx="31">
                  <c:v>7231.7025327682495</c:v>
                </c:pt>
                <c:pt idx="32">
                  <c:v>6171.0498762130737</c:v>
                </c:pt>
                <c:pt idx="33">
                  <c:v>5066.0877370834351</c:v>
                </c:pt>
                <c:pt idx="34">
                  <c:v>4043.5199699401855</c:v>
                </c:pt>
                <c:pt idx="35">
                  <c:v>3199.12340259552</c:v>
                </c:pt>
                <c:pt idx="36">
                  <c:v>2553.1696424484253</c:v>
                </c:pt>
                <c:pt idx="37">
                  <c:v>2061.6548852920532</c:v>
                </c:pt>
                <c:pt idx="38">
                  <c:v>1662.6966171264648</c:v>
                </c:pt>
                <c:pt idx="39">
                  <c:v>1314.356333732605</c:v>
                </c:pt>
                <c:pt idx="40">
                  <c:v>1002.2213220596313</c:v>
                </c:pt>
                <c:pt idx="41">
                  <c:v>727.47861862182617</c:v>
                </c:pt>
                <c:pt idx="42">
                  <c:v>495.18752002716064</c:v>
                </c:pt>
                <c:pt idx="43">
                  <c:v>309.90694713592529</c:v>
                </c:pt>
                <c:pt idx="44">
                  <c:v>174.10803508758545</c:v>
                </c:pt>
                <c:pt idx="45">
                  <c:v>85.565303802490234</c:v>
                </c:pt>
                <c:pt idx="46">
                  <c:v>35.818583488464355</c:v>
                </c:pt>
                <c:pt idx="47">
                  <c:v>12.41627025604248</c:v>
                </c:pt>
                <c:pt idx="48">
                  <c:v>3.4483242034912109</c:v>
                </c:pt>
                <c:pt idx="49">
                  <c:v>0.72407817840576172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A1-471D-8BD9-2BD56B078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10976"/>
        <c:axId val="155756224"/>
      </c:lineChart>
      <c:catAx>
        <c:axId val="150910976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6224"/>
        <c:crosses val="autoZero"/>
        <c:auto val="1"/>
        <c:lblAlgn val="ctr"/>
        <c:lblOffset val="100"/>
        <c:tickLblSkip val="10"/>
        <c:noMultiLvlLbl val="0"/>
      </c:catAx>
      <c:valAx>
        <c:axId val="15575622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09109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98"/>
          <c:h val="0.1674343832021006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Arrival_Time_School!$J$7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Arrival_Time_School!$J$8:$J$58</c:f>
              <c:numCache>
                <c:formatCode>0.00</c:formatCode>
                <c:ptCount val="51"/>
                <c:pt idx="0">
                  <c:v>0</c:v>
                </c:pt>
                <c:pt idx="1">
                  <c:v>77.01074315958023</c:v>
                </c:pt>
                <c:pt idx="2">
                  <c:v>258.49502724370956</c:v>
                </c:pt>
                <c:pt idx="3">
                  <c:v>833.2102400235176</c:v>
                </c:pt>
                <c:pt idx="4">
                  <c:v>2494.1827681415557</c:v>
                </c:pt>
                <c:pt idx="5">
                  <c:v>6466.1215201013565</c:v>
                </c:pt>
                <c:pt idx="6">
                  <c:v>14227.068363943386</c:v>
                </c:pt>
                <c:pt idx="7">
                  <c:v>26607.574145670798</c:v>
                </c:pt>
                <c:pt idx="8">
                  <c:v>42603.89835548096</c:v>
                </c:pt>
                <c:pt idx="9">
                  <c:v>58856.902713043019</c:v>
                </c:pt>
                <c:pt idx="10">
                  <c:v>70631.346380610077</c:v>
                </c:pt>
                <c:pt idx="11">
                  <c:v>74046.832362834626</c:v>
                </c:pt>
                <c:pt idx="12">
                  <c:v>68151.303419525138</c:v>
                </c:pt>
                <c:pt idx="13">
                  <c:v>55373.34210611086</c:v>
                </c:pt>
                <c:pt idx="14">
                  <c:v>40082.704226673319</c:v>
                </c:pt>
                <c:pt idx="15">
                  <c:v>26354.608390338231</c:v>
                </c:pt>
                <c:pt idx="16">
                  <c:v>16409.483978394892</c:v>
                </c:pt>
                <c:pt idx="17">
                  <c:v>10428.216951864433</c:v>
                </c:pt>
                <c:pt idx="18">
                  <c:v>7366.3011002433777</c:v>
                </c:pt>
                <c:pt idx="19">
                  <c:v>5924.2112645442012</c:v>
                </c:pt>
                <c:pt idx="20">
                  <c:v>5125.1401992409701</c:v>
                </c:pt>
                <c:pt idx="21">
                  <c:v>4461.3347456151005</c:v>
                </c:pt>
                <c:pt idx="22">
                  <c:v>3803.3588712884903</c:v>
                </c:pt>
                <c:pt idx="23">
                  <c:v>3225.9088666339881</c:v>
                </c:pt>
                <c:pt idx="24">
                  <c:v>2833.53018807745</c:v>
                </c:pt>
                <c:pt idx="25">
                  <c:v>2654.8026316750529</c:v>
                </c:pt>
                <c:pt idx="26">
                  <c:v>2637.2186501907345</c:v>
                </c:pt>
                <c:pt idx="27">
                  <c:v>2699.9309055003164</c:v>
                </c:pt>
                <c:pt idx="28">
                  <c:v>2770.8629963706967</c:v>
                </c:pt>
                <c:pt idx="29">
                  <c:v>2784.9976515917774</c:v>
                </c:pt>
                <c:pt idx="30">
                  <c:v>2679.6113883338926</c:v>
                </c:pt>
                <c:pt idx="31">
                  <c:v>2415.8095277718544</c:v>
                </c:pt>
                <c:pt idx="32">
                  <c:v>2007.7625543094632</c:v>
                </c:pt>
                <c:pt idx="33">
                  <c:v>1524.1192653171538</c:v>
                </c:pt>
                <c:pt idx="34">
                  <c:v>1056.1285799227715</c:v>
                </c:pt>
                <c:pt idx="35">
                  <c:v>678.64227802162168</c:v>
                </c:pt>
                <c:pt idx="36">
                  <c:v>431.22381461296084</c:v>
                </c:pt>
                <c:pt idx="37">
                  <c:v>325.51866207532885</c:v>
                </c:pt>
                <c:pt idx="38">
                  <c:v>361.21230010786059</c:v>
                </c:pt>
                <c:pt idx="39">
                  <c:v>524.25950328674321</c:v>
                </c:pt>
                <c:pt idx="40">
                  <c:v>763.38443815431606</c:v>
                </c:pt>
                <c:pt idx="41">
                  <c:v>978.98685749721551</c:v>
                </c:pt>
                <c:pt idx="42">
                  <c:v>1061.0041345972063</c:v>
                </c:pt>
                <c:pt idx="43">
                  <c:v>958.72973123760244</c:v>
                </c:pt>
                <c:pt idx="44">
                  <c:v>717.1521973724366</c:v>
                </c:pt>
                <c:pt idx="45">
                  <c:v>440.76562044334418</c:v>
                </c:pt>
                <c:pt idx="46">
                  <c:v>220.22946655082706</c:v>
                </c:pt>
                <c:pt idx="47">
                  <c:v>88.052724021053322</c:v>
                </c:pt>
                <c:pt idx="48">
                  <c:v>27.502055963706969</c:v>
                </c:pt>
                <c:pt idx="49">
                  <c:v>6.3573450231552133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CD-4A6F-AE7A-24E237105656}"/>
            </c:ext>
          </c:extLst>
        </c:ser>
        <c:ser>
          <c:idx val="1"/>
          <c:order val="1"/>
          <c:tx>
            <c:strRef>
              <c:f>Arrival_Time_School!$U$7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Arrival_Time_School!$U$8:$U$58</c:f>
              <c:numCache>
                <c:formatCode>General</c:formatCode>
                <c:ptCount val="51"/>
                <c:pt idx="0">
                  <c:v>13</c:v>
                </c:pt>
                <c:pt idx="1">
                  <c:v>77.012818336486816</c:v>
                </c:pt>
                <c:pt idx="2">
                  <c:v>276.50680637359619</c:v>
                </c:pt>
                <c:pt idx="3">
                  <c:v>947.80659580230713</c:v>
                </c:pt>
                <c:pt idx="4">
                  <c:v>2826.6828289031982</c:v>
                </c:pt>
                <c:pt idx="5">
                  <c:v>7075.5142364501953</c:v>
                </c:pt>
                <c:pt idx="6">
                  <c:v>14845.400693893433</c:v>
                </c:pt>
                <c:pt idx="7">
                  <c:v>26334.267045021057</c:v>
                </c:pt>
                <c:pt idx="8">
                  <c:v>39940.886982917786</c:v>
                </c:pt>
                <c:pt idx="9">
                  <c:v>52445.764789581299</c:v>
                </c:pt>
                <c:pt idx="10">
                  <c:v>60464.06033039093</c:v>
                </c:pt>
                <c:pt idx="11">
                  <c:v>62189.220165252686</c:v>
                </c:pt>
                <c:pt idx="12">
                  <c:v>58085.869024276733</c:v>
                </c:pt>
                <c:pt idx="13">
                  <c:v>50190.539282798767</c:v>
                </c:pt>
                <c:pt idx="14">
                  <c:v>40857.050845146179</c:v>
                </c:pt>
                <c:pt idx="15">
                  <c:v>31895.116599082947</c:v>
                </c:pt>
                <c:pt idx="16">
                  <c:v>24333.282896995544</c:v>
                </c:pt>
                <c:pt idx="17">
                  <c:v>18522.3159532547</c:v>
                </c:pt>
                <c:pt idx="18">
                  <c:v>14334.334636688232</c:v>
                </c:pt>
                <c:pt idx="19">
                  <c:v>11393.87868309021</c:v>
                </c:pt>
                <c:pt idx="20">
                  <c:v>9297.8850107192993</c:v>
                </c:pt>
                <c:pt idx="21">
                  <c:v>7747.6086807250977</c:v>
                </c:pt>
                <c:pt idx="22">
                  <c:v>6563.7688884735107</c:v>
                </c:pt>
                <c:pt idx="23">
                  <c:v>5637.0288114547729</c:v>
                </c:pt>
                <c:pt idx="24">
                  <c:v>4885.7915277481079</c:v>
                </c:pt>
                <c:pt idx="25">
                  <c:v>4250.4954414367676</c:v>
                </c:pt>
                <c:pt idx="26">
                  <c:v>3705.5902576446533</c:v>
                </c:pt>
                <c:pt idx="27">
                  <c:v>3257.5041179656982</c:v>
                </c:pt>
                <c:pt idx="28">
                  <c:v>2918.2097082138062</c:v>
                </c:pt>
                <c:pt idx="29">
                  <c:v>2673.1199359893799</c:v>
                </c:pt>
                <c:pt idx="30">
                  <c:v>2472.1174068450928</c:v>
                </c:pt>
                <c:pt idx="31">
                  <c:v>2254.8050670623779</c:v>
                </c:pt>
                <c:pt idx="32">
                  <c:v>1990.3062343597412</c:v>
                </c:pt>
                <c:pt idx="33">
                  <c:v>1696.1996612548828</c:v>
                </c:pt>
                <c:pt idx="34">
                  <c:v>1418.3383159637451</c:v>
                </c:pt>
                <c:pt idx="35">
                  <c:v>1189.7499408721924</c:v>
                </c:pt>
                <c:pt idx="36">
                  <c:v>1006.0641040802002</c:v>
                </c:pt>
                <c:pt idx="37">
                  <c:v>836.88695240020752</c:v>
                </c:pt>
                <c:pt idx="38">
                  <c:v>657.55698776245117</c:v>
                </c:pt>
                <c:pt idx="39">
                  <c:v>470.15670394897461</c:v>
                </c:pt>
                <c:pt idx="40">
                  <c:v>298.22487449645996</c:v>
                </c:pt>
                <c:pt idx="41">
                  <c:v>165.63202285766602</c:v>
                </c:pt>
                <c:pt idx="42">
                  <c:v>80.525992393493652</c:v>
                </c:pt>
                <c:pt idx="43">
                  <c:v>34.826945304870605</c:v>
                </c:pt>
                <c:pt idx="44">
                  <c:v>13.863615036010742</c:v>
                </c:pt>
                <c:pt idx="45">
                  <c:v>5.2682628631591797</c:v>
                </c:pt>
                <c:pt idx="46">
                  <c:v>1.9150094985961914</c:v>
                </c:pt>
                <c:pt idx="47">
                  <c:v>0.63338184356689453</c:v>
                </c:pt>
                <c:pt idx="48">
                  <c:v>0.17661857604980469</c:v>
                </c:pt>
                <c:pt idx="49">
                  <c:v>3.7874221801757813E-2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CD-4A6F-AE7A-24E23710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526080"/>
        <c:axId val="155757952"/>
      </c:lineChart>
      <c:catAx>
        <c:axId val="148526080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7952"/>
        <c:crosses val="autoZero"/>
        <c:auto val="1"/>
        <c:lblAlgn val="ctr"/>
        <c:lblOffset val="100"/>
        <c:tickLblSkip val="10"/>
        <c:noMultiLvlLbl val="0"/>
      </c:catAx>
      <c:valAx>
        <c:axId val="15575795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48526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4"/>
          <c:h val="0.167434383202100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Arrival_Time_Other!$J$7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Arrival_Time_Other!$J$8:$J$58</c:f>
              <c:numCache>
                <c:formatCode>0.00</c:formatCode>
                <c:ptCount val="51"/>
                <c:pt idx="0">
                  <c:v>0</c:v>
                </c:pt>
                <c:pt idx="1">
                  <c:v>1308.1047765603066</c:v>
                </c:pt>
                <c:pt idx="2">
                  <c:v>2665.3748451291081</c:v>
                </c:pt>
                <c:pt idx="3">
                  <c:v>4189.5662596707343</c:v>
                </c:pt>
                <c:pt idx="4">
                  <c:v>6137.6777237746237</c:v>
                </c:pt>
                <c:pt idx="5">
                  <c:v>8953.5163304868693</c:v>
                </c:pt>
                <c:pt idx="6">
                  <c:v>13240.630856225394</c:v>
                </c:pt>
                <c:pt idx="7">
                  <c:v>19611.15906706619</c:v>
                </c:pt>
                <c:pt idx="8">
                  <c:v>28404.101719169805</c:v>
                </c:pt>
                <c:pt idx="9">
                  <c:v>39356.666402093026</c:v>
                </c:pt>
                <c:pt idx="10">
                  <c:v>51425.798305689328</c:v>
                </c:pt>
                <c:pt idx="11">
                  <c:v>62983.047570906536</c:v>
                </c:pt>
                <c:pt idx="12">
                  <c:v>72409.359514395517</c:v>
                </c:pt>
                <c:pt idx="13">
                  <c:v>78766.794192294779</c:v>
                </c:pt>
                <c:pt idx="14">
                  <c:v>82070.967317060306</c:v>
                </c:pt>
                <c:pt idx="15">
                  <c:v>82993.881833332431</c:v>
                </c:pt>
                <c:pt idx="16">
                  <c:v>82338.181072962674</c:v>
                </c:pt>
                <c:pt idx="17">
                  <c:v>80770.675331268794</c:v>
                </c:pt>
                <c:pt idx="18">
                  <c:v>78917.094321871089</c:v>
                </c:pt>
                <c:pt idx="19">
                  <c:v>77489.183246425833</c:v>
                </c:pt>
                <c:pt idx="20">
                  <c:v>77147.160653141502</c:v>
                </c:pt>
                <c:pt idx="21">
                  <c:v>78181.27222420559</c:v>
                </c:pt>
                <c:pt idx="22">
                  <c:v>80330.680279547611</c:v>
                </c:pt>
                <c:pt idx="23">
                  <c:v>82940.196177267266</c:v>
                </c:pt>
                <c:pt idx="24">
                  <c:v>85393.549220364846</c:v>
                </c:pt>
                <c:pt idx="25">
                  <c:v>87577.189496631705</c:v>
                </c:pt>
                <c:pt idx="26">
                  <c:v>90061.978550308704</c:v>
                </c:pt>
                <c:pt idx="27">
                  <c:v>93769.106449039376</c:v>
                </c:pt>
                <c:pt idx="28">
                  <c:v>99175.319883764663</c:v>
                </c:pt>
                <c:pt idx="29">
                  <c:v>105510.22168208688</c:v>
                </c:pt>
                <c:pt idx="30">
                  <c:v>110579.71350283317</c:v>
                </c:pt>
                <c:pt idx="31">
                  <c:v>111547.25445701665</c:v>
                </c:pt>
                <c:pt idx="32">
                  <c:v>106335.53628590297</c:v>
                </c:pt>
                <c:pt idx="33">
                  <c:v>94778.639605034041</c:v>
                </c:pt>
                <c:pt idx="34">
                  <c:v>78754.334346946722</c:v>
                </c:pt>
                <c:pt idx="35">
                  <c:v>61244.339432590947</c:v>
                </c:pt>
                <c:pt idx="36">
                  <c:v>45006.051342574407</c:v>
                </c:pt>
                <c:pt idx="37">
                  <c:v>31674.146906481743</c:v>
                </c:pt>
                <c:pt idx="38">
                  <c:v>21635.616503238485</c:v>
                </c:pt>
                <c:pt idx="39">
                  <c:v>14458.348196579649</c:v>
                </c:pt>
                <c:pt idx="40">
                  <c:v>9436.0502218789115</c:v>
                </c:pt>
                <c:pt idx="41">
                  <c:v>5945.4113377243993</c:v>
                </c:pt>
                <c:pt idx="42">
                  <c:v>3554.2113146903043</c:v>
                </c:pt>
                <c:pt idx="43">
                  <c:v>1977.7472353649141</c:v>
                </c:pt>
                <c:pt idx="44">
                  <c:v>1004.9080738936426</c:v>
                </c:pt>
                <c:pt idx="45">
                  <c:v>457.0690111968994</c:v>
                </c:pt>
                <c:pt idx="46">
                  <c:v>182.07894491834645</c:v>
                </c:pt>
                <c:pt idx="47">
                  <c:v>61.969038305091857</c:v>
                </c:pt>
                <c:pt idx="48">
                  <c:v>17.500021663856508</c:v>
                </c:pt>
                <c:pt idx="49">
                  <c:v>3.8794594927787784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6B-480E-A3DA-5A95241D72CE}"/>
            </c:ext>
          </c:extLst>
        </c:ser>
        <c:ser>
          <c:idx val="1"/>
          <c:order val="1"/>
          <c:tx>
            <c:strRef>
              <c:f>Arrival_Time_Other!$U$7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Arrival_Time_Other!$U$8:$U$58</c:f>
              <c:numCache>
                <c:formatCode>General</c:formatCode>
                <c:ptCount val="51"/>
                <c:pt idx="0">
                  <c:v>108</c:v>
                </c:pt>
                <c:pt idx="1">
                  <c:v>718.5391788482666</c:v>
                </c:pt>
                <c:pt idx="2">
                  <c:v>1167.0096397399902</c:v>
                </c:pt>
                <c:pt idx="3">
                  <c:v>1610.9822778701782</c:v>
                </c:pt>
                <c:pt idx="4">
                  <c:v>2700.9069442749023</c:v>
                </c:pt>
                <c:pt idx="5">
                  <c:v>5548.0025978088379</c:v>
                </c:pt>
                <c:pt idx="6">
                  <c:v>11454.414477348328</c:v>
                </c:pt>
                <c:pt idx="7">
                  <c:v>21375.124022483826</c:v>
                </c:pt>
                <c:pt idx="8">
                  <c:v>35249.020359039307</c:v>
                </c:pt>
                <c:pt idx="9">
                  <c:v>51600.266669273376</c:v>
                </c:pt>
                <c:pt idx="10">
                  <c:v>67807.979327201843</c:v>
                </c:pt>
                <c:pt idx="11">
                  <c:v>81027.953211784363</c:v>
                </c:pt>
                <c:pt idx="12">
                  <c:v>89266.977353096008</c:v>
                </c:pt>
                <c:pt idx="13">
                  <c:v>92006.008838653564</c:v>
                </c:pt>
                <c:pt idx="14">
                  <c:v>90117.957848548889</c:v>
                </c:pt>
                <c:pt idx="15">
                  <c:v>85306.672570228577</c:v>
                </c:pt>
                <c:pt idx="16">
                  <c:v>79513.926681518555</c:v>
                </c:pt>
                <c:pt idx="17">
                  <c:v>74565.507850646973</c:v>
                </c:pt>
                <c:pt idx="18">
                  <c:v>71981.544511795044</c:v>
                </c:pt>
                <c:pt idx="19">
                  <c:v>72739.178720474243</c:v>
                </c:pt>
                <c:pt idx="20">
                  <c:v>76985.08425617218</c:v>
                </c:pt>
                <c:pt idx="21">
                  <c:v>83960.348490715027</c:v>
                </c:pt>
                <c:pt idx="22">
                  <c:v>92325.744734764099</c:v>
                </c:pt>
                <c:pt idx="23">
                  <c:v>100689.70775127411</c:v>
                </c:pt>
                <c:pt idx="24">
                  <c:v>107918.51784515381</c:v>
                </c:pt>
                <c:pt idx="25">
                  <c:v>113064.24287796021</c:v>
                </c:pt>
                <c:pt idx="26">
                  <c:v>115196.07128620148</c:v>
                </c:pt>
                <c:pt idx="27">
                  <c:v>113514.49353313446</c:v>
                </c:pt>
                <c:pt idx="28">
                  <c:v>107739.7957277298</c:v>
                </c:pt>
                <c:pt idx="29">
                  <c:v>98375.957950592041</c:v>
                </c:pt>
                <c:pt idx="30">
                  <c:v>86559.079045295715</c:v>
                </c:pt>
                <c:pt idx="31">
                  <c:v>73658.636185646057</c:v>
                </c:pt>
                <c:pt idx="32">
                  <c:v>60985.61264705658</c:v>
                </c:pt>
                <c:pt idx="33">
                  <c:v>49662.12788772583</c:v>
                </c:pt>
                <c:pt idx="34">
                  <c:v>40437.565632820129</c:v>
                </c:pt>
                <c:pt idx="35">
                  <c:v>33425.573250770569</c:v>
                </c:pt>
                <c:pt idx="36">
                  <c:v>28056.290595054626</c:v>
                </c:pt>
                <c:pt idx="37">
                  <c:v>23443.10729598999</c:v>
                </c:pt>
                <c:pt idx="38">
                  <c:v>18935.588329315186</c:v>
                </c:pt>
                <c:pt idx="39">
                  <c:v>14425.131731987</c:v>
                </c:pt>
                <c:pt idx="40">
                  <c:v>10222.13836479187</c:v>
                </c:pt>
                <c:pt idx="41">
                  <c:v>6706.8315963745117</c:v>
                </c:pt>
                <c:pt idx="42">
                  <c:v>4069.9501934051514</c:v>
                </c:pt>
                <c:pt idx="43">
                  <c:v>2275.1797552108765</c:v>
                </c:pt>
                <c:pt idx="44">
                  <c:v>1157.8350267410278</c:v>
                </c:pt>
                <c:pt idx="45">
                  <c:v>525.3828182220459</c:v>
                </c:pt>
                <c:pt idx="46">
                  <c:v>206.81364727020264</c:v>
                </c:pt>
                <c:pt idx="47">
                  <c:v>68.403133392333984</c:v>
                </c:pt>
                <c:pt idx="48">
                  <c:v>18.317855834960938</c:v>
                </c:pt>
                <c:pt idx="49">
                  <c:v>3.7384586334228516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6B-480E-A3DA-5A95241D7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58304"/>
        <c:axId val="155759680"/>
      </c:lineChart>
      <c:catAx>
        <c:axId val="154658304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9680"/>
        <c:crosses val="autoZero"/>
        <c:auto val="1"/>
        <c:lblAlgn val="ctr"/>
        <c:lblOffset val="100"/>
        <c:tickLblSkip val="10"/>
        <c:noMultiLvlLbl val="0"/>
      </c:catAx>
      <c:valAx>
        <c:axId val="155759680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46583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9"/>
          <c:h val="0.1674343832021008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Arrival_Time_Workbased!$J$7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Arrival_Time_Workbased!$J$8:$J$58</c:f>
              <c:numCache>
                <c:formatCode>0.00</c:formatCode>
                <c:ptCount val="51"/>
                <c:pt idx="0">
                  <c:v>0</c:v>
                </c:pt>
                <c:pt idx="1">
                  <c:v>3.470461522960663</c:v>
                </c:pt>
                <c:pt idx="2">
                  <c:v>9.8663773987770078</c:v>
                </c:pt>
                <c:pt idx="3">
                  <c:v>23.405763601875304</c:v>
                </c:pt>
                <c:pt idx="4">
                  <c:v>50.931917646598819</c:v>
                </c:pt>
                <c:pt idx="5">
                  <c:v>103.30354127464295</c:v>
                </c:pt>
                <c:pt idx="6">
                  <c:v>197.30004595785141</c:v>
                </c:pt>
                <c:pt idx="7">
                  <c:v>358.13678292961123</c:v>
                </c:pt>
                <c:pt idx="8">
                  <c:v>619.54096446342464</c:v>
                </c:pt>
                <c:pt idx="9">
                  <c:v>1015.6827702163695</c:v>
                </c:pt>
                <c:pt idx="10">
                  <c:v>1565.7056393081664</c:v>
                </c:pt>
                <c:pt idx="11">
                  <c:v>2267.465074101829</c:v>
                </c:pt>
                <c:pt idx="12">
                  <c:v>3123.8182223610875</c:v>
                </c:pt>
                <c:pt idx="13">
                  <c:v>4199.7512755654334</c:v>
                </c:pt>
                <c:pt idx="14">
                  <c:v>5656.5977941001884</c:v>
                </c:pt>
                <c:pt idx="15">
                  <c:v>7680.3124476853363</c:v>
                </c:pt>
                <c:pt idx="16">
                  <c:v>10280.949799898051</c:v>
                </c:pt>
                <c:pt idx="17">
                  <c:v>13087.763352514839</c:v>
                </c:pt>
                <c:pt idx="18">
                  <c:v>15360.310330026055</c:v>
                </c:pt>
                <c:pt idx="19">
                  <c:v>16314.33128779831</c:v>
                </c:pt>
                <c:pt idx="20">
                  <c:v>15572.609922507952</c:v>
                </c:pt>
                <c:pt idx="21">
                  <c:v>13393.502457583139</c:v>
                </c:pt>
                <c:pt idx="22">
                  <c:v>10503.758683445167</c:v>
                </c:pt>
                <c:pt idx="23">
                  <c:v>7690.5945382969849</c:v>
                </c:pt>
                <c:pt idx="24">
                  <c:v>5455.5712845871922</c:v>
                </c:pt>
                <c:pt idx="25">
                  <c:v>3911.7523053260802</c:v>
                </c:pt>
                <c:pt idx="26">
                  <c:v>2900.4560137641911</c:v>
                </c:pt>
                <c:pt idx="27">
                  <c:v>2189.7413990390778</c:v>
                </c:pt>
                <c:pt idx="28">
                  <c:v>1620.8670105650901</c:v>
                </c:pt>
                <c:pt idx="29">
                  <c:v>1144.259086584568</c:v>
                </c:pt>
                <c:pt idx="30">
                  <c:v>773.149269024658</c:v>
                </c:pt>
                <c:pt idx="31">
                  <c:v>522.74417494201657</c:v>
                </c:pt>
                <c:pt idx="32">
                  <c:v>380.19999880161288</c:v>
                </c:pt>
                <c:pt idx="33">
                  <c:v>308.05781064252852</c:v>
                </c:pt>
                <c:pt idx="34">
                  <c:v>263.55587214097977</c:v>
                </c:pt>
                <c:pt idx="35">
                  <c:v>217.58505641403195</c:v>
                </c:pt>
                <c:pt idx="36">
                  <c:v>162.70560316438676</c:v>
                </c:pt>
                <c:pt idx="37">
                  <c:v>107.13721993808747</c:v>
                </c:pt>
                <c:pt idx="38">
                  <c:v>61.798957501125336</c:v>
                </c:pt>
                <c:pt idx="39">
                  <c:v>31.446232310962674</c:v>
                </c:pt>
                <c:pt idx="40">
                  <c:v>14.241226558589936</c:v>
                </c:pt>
                <c:pt idx="41">
                  <c:v>5.7302350517272949</c:v>
                </c:pt>
                <c:pt idx="42">
                  <c:v>2.0040964210510257</c:v>
                </c:pt>
                <c:pt idx="43">
                  <c:v>0.58366209840774541</c:v>
                </c:pt>
                <c:pt idx="44">
                  <c:v>0.13332114944458009</c:v>
                </c:pt>
                <c:pt idx="45">
                  <c:v>2.2039797782897951E-2</c:v>
                </c:pt>
                <c:pt idx="46">
                  <c:v>2.3199787139892578E-3</c:v>
                </c:pt>
                <c:pt idx="47">
                  <c:v>1.159989356994629E-4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F5-4CE3-B6D1-B35DECCB7013}"/>
            </c:ext>
          </c:extLst>
        </c:ser>
        <c:ser>
          <c:idx val="1"/>
          <c:order val="1"/>
          <c:tx>
            <c:strRef>
              <c:f>Arrival_Time_Workbased!$U$7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Arrival_Time_Workbased!$U$8:$U$58</c:f>
              <c:numCache>
                <c:formatCode>General</c:formatCode>
                <c:ptCount val="51"/>
                <c:pt idx="0">
                  <c:v>132</c:v>
                </c:pt>
                <c:pt idx="1">
                  <c:v>434.14751625061035</c:v>
                </c:pt>
                <c:pt idx="2">
                  <c:v>585.43826675415039</c:v>
                </c:pt>
                <c:pt idx="3">
                  <c:v>549.77909183502197</c:v>
                </c:pt>
                <c:pt idx="4">
                  <c:v>420.92372608184814</c:v>
                </c:pt>
                <c:pt idx="5">
                  <c:v>353.86085224151611</c:v>
                </c:pt>
                <c:pt idx="6">
                  <c:v>504.05217933654785</c:v>
                </c:pt>
                <c:pt idx="7">
                  <c:v>1018.748010635376</c:v>
                </c:pt>
                <c:pt idx="8">
                  <c:v>2046.4235334396362</c:v>
                </c:pt>
                <c:pt idx="9">
                  <c:v>3735.1692981719971</c:v>
                </c:pt>
                <c:pt idx="10">
                  <c:v>6251.5243816375732</c:v>
                </c:pt>
                <c:pt idx="11">
                  <c:v>9841.1299619674683</c:v>
                </c:pt>
                <c:pt idx="12">
                  <c:v>14840.167620658875</c:v>
                </c:pt>
                <c:pt idx="13">
                  <c:v>21497.229049682617</c:v>
                </c:pt>
                <c:pt idx="14">
                  <c:v>29636.614386558533</c:v>
                </c:pt>
                <c:pt idx="15">
                  <c:v>38429.643242835999</c:v>
                </c:pt>
                <c:pt idx="16">
                  <c:v>46504.069504737854</c:v>
                </c:pt>
                <c:pt idx="17">
                  <c:v>52323.826495170593</c:v>
                </c:pt>
                <c:pt idx="18">
                  <c:v>54618.510499000549</c:v>
                </c:pt>
                <c:pt idx="19">
                  <c:v>52777.248672485352</c:v>
                </c:pt>
                <c:pt idx="20">
                  <c:v>47174.934614181519</c:v>
                </c:pt>
                <c:pt idx="21">
                  <c:v>39200.313442230225</c:v>
                </c:pt>
                <c:pt idx="22">
                  <c:v>30744.421577453613</c:v>
                </c:pt>
                <c:pt idx="23">
                  <c:v>23360.783735275269</c:v>
                </c:pt>
                <c:pt idx="24">
                  <c:v>17706.083980560303</c:v>
                </c:pt>
                <c:pt idx="25">
                  <c:v>13628.67612361908</c:v>
                </c:pt>
                <c:pt idx="26">
                  <c:v>10664.58669757843</c:v>
                </c:pt>
                <c:pt idx="27">
                  <c:v>8444.6387310028076</c:v>
                </c:pt>
                <c:pt idx="28">
                  <c:v>6782.2401218414307</c:v>
                </c:pt>
                <c:pt idx="29">
                  <c:v>5563.2761974334717</c:v>
                </c:pt>
                <c:pt idx="30">
                  <c:v>4649.8564643859863</c:v>
                </c:pt>
                <c:pt idx="31">
                  <c:v>3890.3673248291016</c:v>
                </c:pt>
                <c:pt idx="32">
                  <c:v>3193.420069694519</c:v>
                </c:pt>
                <c:pt idx="33">
                  <c:v>2571.9123678207397</c:v>
                </c:pt>
                <c:pt idx="34">
                  <c:v>2101.798656463623</c:v>
                </c:pt>
                <c:pt idx="35">
                  <c:v>1826.1193857192993</c:v>
                </c:pt>
                <c:pt idx="36">
                  <c:v>1691.4976196289063</c:v>
                </c:pt>
                <c:pt idx="37">
                  <c:v>1575.1776218414307</c:v>
                </c:pt>
                <c:pt idx="38">
                  <c:v>1374.0678300857544</c:v>
                </c:pt>
                <c:pt idx="39">
                  <c:v>1072.3446531295776</c:v>
                </c:pt>
                <c:pt idx="40">
                  <c:v>733.66258144378662</c:v>
                </c:pt>
                <c:pt idx="41">
                  <c:v>439.15053176879883</c:v>
                </c:pt>
                <c:pt idx="42">
                  <c:v>232.98136138916016</c:v>
                </c:pt>
                <c:pt idx="43">
                  <c:v>112.44490051269531</c:v>
                </c:pt>
                <c:pt idx="44">
                  <c:v>50.816615104675293</c:v>
                </c:pt>
                <c:pt idx="45">
                  <c:v>21.694270133972168</c:v>
                </c:pt>
                <c:pt idx="46">
                  <c:v>8.512272834777832</c:v>
                </c:pt>
                <c:pt idx="47">
                  <c:v>2.9104576110839844</c:v>
                </c:pt>
                <c:pt idx="48">
                  <c:v>0.81698703765869141</c:v>
                </c:pt>
                <c:pt idx="49">
                  <c:v>0.17459678649902344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F5-4CE3-B6D1-B35DECCB7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56768"/>
        <c:axId val="155761984"/>
      </c:lineChart>
      <c:catAx>
        <c:axId val="154656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61984"/>
        <c:crosses val="autoZero"/>
        <c:auto val="1"/>
        <c:lblAlgn val="ctr"/>
        <c:lblOffset val="100"/>
        <c:tickLblSkip val="10"/>
        <c:noMultiLvlLbl val="0"/>
      </c:catAx>
      <c:valAx>
        <c:axId val="15576198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46567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17"/>
          <c:h val="0.1674343832021009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5</xdr:row>
      <xdr:rowOff>180975</xdr:rowOff>
    </xdr:from>
    <xdr:to>
      <xdr:col>23</xdr:col>
      <xdr:colOff>38100</xdr:colOff>
      <xdr:row>22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0</xdr:rowOff>
    </xdr:from>
    <xdr:to>
      <xdr:col>23</xdr:col>
      <xdr:colOff>19050</xdr:colOff>
      <xdr:row>42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0</xdr:rowOff>
    </xdr:from>
    <xdr:to>
      <xdr:col>23</xdr:col>
      <xdr:colOff>19050</xdr:colOff>
      <xdr:row>60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0</xdr:rowOff>
    </xdr:from>
    <xdr:to>
      <xdr:col>23</xdr:col>
      <xdr:colOff>19050</xdr:colOff>
      <xdr:row>80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6</xdr:row>
      <xdr:rowOff>0</xdr:rowOff>
    </xdr:from>
    <xdr:to>
      <xdr:col>23</xdr:col>
      <xdr:colOff>38100</xdr:colOff>
      <xdr:row>23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19050</xdr:rowOff>
    </xdr:from>
    <xdr:to>
      <xdr:col>23</xdr:col>
      <xdr:colOff>19050</xdr:colOff>
      <xdr:row>42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19050</xdr:rowOff>
    </xdr:from>
    <xdr:to>
      <xdr:col>23</xdr:col>
      <xdr:colOff>19050</xdr:colOff>
      <xdr:row>61</xdr:row>
      <xdr:rowOff>9525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19050</xdr:rowOff>
    </xdr:from>
    <xdr:to>
      <xdr:col>23</xdr:col>
      <xdr:colOff>19050</xdr:colOff>
      <xdr:row>80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6</xdr:row>
      <xdr:rowOff>0</xdr:rowOff>
    </xdr:from>
    <xdr:to>
      <xdr:col>23</xdr:col>
      <xdr:colOff>38100</xdr:colOff>
      <xdr:row>23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19050</xdr:rowOff>
    </xdr:from>
    <xdr:to>
      <xdr:col>23</xdr:col>
      <xdr:colOff>19050</xdr:colOff>
      <xdr:row>42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19050</xdr:rowOff>
    </xdr:from>
    <xdr:to>
      <xdr:col>23</xdr:col>
      <xdr:colOff>19050</xdr:colOff>
      <xdr:row>61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19050</xdr:rowOff>
    </xdr:from>
    <xdr:to>
      <xdr:col>23</xdr:col>
      <xdr:colOff>19050</xdr:colOff>
      <xdr:row>80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115"/>
  <sheetViews>
    <sheetView workbookViewId="0">
      <selection activeCell="A3" sqref="A3"/>
    </sheetView>
  </sheetViews>
  <sheetFormatPr defaultRowHeight="15" x14ac:dyDescent="0.25"/>
  <cols>
    <col min="1" max="1" width="12.7109375" customWidth="1" collapsed="1"/>
    <col min="2" max="6" width="10.7109375" customWidth="1" collapsed="1"/>
    <col min="7" max="7" width="6.42578125" customWidth="1" collapsed="1"/>
    <col min="8" max="8" width="12.7109375" customWidth="1" collapsed="1"/>
    <col min="9" max="13" width="10.7109375" customWidth="1" collapsed="1"/>
  </cols>
  <sheetData>
    <row r="1" spans="1:18" x14ac:dyDescent="0.25">
      <c r="A1" t="s">
        <v>9</v>
      </c>
    </row>
    <row r="2" spans="1:18" x14ac:dyDescent="0.25">
      <c r="A2" t="s">
        <v>59</v>
      </c>
    </row>
    <row r="3" spans="1:18" x14ac:dyDescent="0.25">
      <c r="A3" t="s">
        <v>7</v>
      </c>
    </row>
    <row r="5" spans="1:18" x14ac:dyDescent="0.25">
      <c r="O5" s="5"/>
      <c r="P5" s="5"/>
      <c r="Q5" s="5"/>
      <c r="R5" s="5"/>
    </row>
    <row r="6" spans="1:18" ht="15.75" thickBot="1" x14ac:dyDescent="0.3">
      <c r="A6" s="3" t="s">
        <v>47</v>
      </c>
      <c r="B6" s="1"/>
      <c r="C6" s="1"/>
      <c r="D6" s="1"/>
      <c r="E6" s="1"/>
      <c r="F6" s="1"/>
      <c r="H6" s="3" t="s">
        <v>12</v>
      </c>
      <c r="I6" s="1"/>
      <c r="J6" s="1"/>
      <c r="K6" s="1"/>
      <c r="L6" s="1"/>
      <c r="M6" s="1"/>
      <c r="O6" s="11"/>
      <c r="P6" s="5"/>
      <c r="Q6" s="5"/>
      <c r="R6" s="5"/>
    </row>
    <row r="7" spans="1:18" x14ac:dyDescent="0.25">
      <c r="A7" s="2" t="s">
        <v>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  <c r="R7" s="5"/>
    </row>
    <row r="8" spans="1:18" x14ac:dyDescent="0.25">
      <c r="A8" t="s">
        <v>5</v>
      </c>
      <c r="B8" s="6">
        <v>0</v>
      </c>
      <c r="C8" s="6">
        <v>0</v>
      </c>
      <c r="D8" s="6">
        <v>0</v>
      </c>
      <c r="E8" s="6">
        <v>0</v>
      </c>
      <c r="F8" s="6">
        <f>SUM(B8:E8)</f>
        <v>0</v>
      </c>
      <c r="H8" t="s">
        <v>5</v>
      </c>
      <c r="I8" s="9">
        <v>1621</v>
      </c>
      <c r="J8" s="9">
        <v>13</v>
      </c>
      <c r="K8" s="9">
        <v>108</v>
      </c>
      <c r="L8" s="9">
        <v>132</v>
      </c>
      <c r="M8">
        <f>SUM(I8:L8)</f>
        <v>1874</v>
      </c>
      <c r="O8" s="5"/>
      <c r="P8" s="16"/>
      <c r="Q8" s="16"/>
      <c r="R8" s="5"/>
    </row>
    <row r="9" spans="1:18" x14ac:dyDescent="0.25">
      <c r="A9" s="12">
        <v>0.125</v>
      </c>
      <c r="B9" s="6">
        <v>3070.7441004848479</v>
      </c>
      <c r="C9" s="6">
        <v>77.010743159580244</v>
      </c>
      <c r="D9" s="6">
        <v>1308.1047765603068</v>
      </c>
      <c r="E9" s="6">
        <v>3.4704615229606626</v>
      </c>
      <c r="F9" s="6">
        <f t="shared" ref="F9:F58" si="0">SUM(B9:E9)</f>
        <v>4459.330081727695</v>
      </c>
      <c r="H9" s="12">
        <v>0.125</v>
      </c>
      <c r="I9" s="9">
        <v>1725.072003364563</v>
      </c>
      <c r="J9" s="9">
        <v>77.012818336486816</v>
      </c>
      <c r="K9" s="9">
        <v>718.5391788482666</v>
      </c>
      <c r="L9" s="9">
        <v>434.14751625061035</v>
      </c>
      <c r="M9">
        <f t="shared" ref="M9:M58" si="1">SUM(I9:L9)</f>
        <v>2954.7715167999268</v>
      </c>
      <c r="O9" s="5"/>
      <c r="P9" s="16"/>
      <c r="Q9" s="16"/>
      <c r="R9" s="5"/>
    </row>
    <row r="10" spans="1:18" x14ac:dyDescent="0.25">
      <c r="A10" s="12">
        <v>0.14583333333333334</v>
      </c>
      <c r="B10" s="6">
        <v>7296.8731737785338</v>
      </c>
      <c r="C10" s="6">
        <v>258.49502724370956</v>
      </c>
      <c r="D10" s="6">
        <v>2665.374845129109</v>
      </c>
      <c r="E10" s="6">
        <v>9.8663773987770078</v>
      </c>
      <c r="F10" s="6">
        <f t="shared" si="0"/>
        <v>10230.60942355013</v>
      </c>
      <c r="H10" s="12">
        <v>0.14583333333333334</v>
      </c>
      <c r="I10" s="9">
        <v>2590.9586791992188</v>
      </c>
      <c r="J10" s="9">
        <v>276.50680637359619</v>
      </c>
      <c r="K10" s="9">
        <v>1167.0096397399902</v>
      </c>
      <c r="L10" s="9">
        <v>585.43826675415039</v>
      </c>
      <c r="M10">
        <f t="shared" si="1"/>
        <v>4619.9133920669556</v>
      </c>
      <c r="O10" s="5"/>
      <c r="P10" s="16"/>
      <c r="Q10" s="16"/>
      <c r="R10" s="5"/>
    </row>
    <row r="11" spans="1:18" x14ac:dyDescent="0.25">
      <c r="A11" s="12">
        <v>0.16666666666666666</v>
      </c>
      <c r="B11" s="6">
        <v>13913.289696518801</v>
      </c>
      <c r="C11" s="6">
        <v>833.21024002351749</v>
      </c>
      <c r="D11" s="6">
        <v>4189.5662596707352</v>
      </c>
      <c r="E11" s="6">
        <v>23.4057636018753</v>
      </c>
      <c r="F11" s="6">
        <f t="shared" si="0"/>
        <v>18959.471959814931</v>
      </c>
      <c r="H11" s="12">
        <v>0.16666666666666666</v>
      </c>
      <c r="I11" s="9">
        <v>5409.5009794235229</v>
      </c>
      <c r="J11" s="9">
        <v>947.80659580230713</v>
      </c>
      <c r="K11" s="9">
        <v>1610.9822778701782</v>
      </c>
      <c r="L11" s="9">
        <v>549.77909183502197</v>
      </c>
      <c r="M11">
        <f t="shared" si="1"/>
        <v>8518.0689449310303</v>
      </c>
      <c r="O11" s="5"/>
      <c r="P11" s="16"/>
      <c r="Q11" s="16"/>
      <c r="R11" s="5"/>
    </row>
    <row r="12" spans="1:18" x14ac:dyDescent="0.25">
      <c r="A12" s="12">
        <v>0.1875</v>
      </c>
      <c r="B12" s="6">
        <v>24139.436444867421</v>
      </c>
      <c r="C12" s="6">
        <v>2494.1827681415557</v>
      </c>
      <c r="D12" s="6">
        <v>6137.6777237746246</v>
      </c>
      <c r="E12" s="6">
        <v>50.931917646598812</v>
      </c>
      <c r="F12" s="6">
        <f t="shared" si="0"/>
        <v>32822.228854430206</v>
      </c>
      <c r="H12" s="12">
        <v>0.1875</v>
      </c>
      <c r="I12" s="9">
        <v>11983.312481880188</v>
      </c>
      <c r="J12" s="9">
        <v>2826.6828289031982</v>
      </c>
      <c r="K12" s="9">
        <v>2700.9069442749023</v>
      </c>
      <c r="L12" s="9">
        <v>420.92372608184814</v>
      </c>
      <c r="M12">
        <f t="shared" si="1"/>
        <v>17931.825981140137</v>
      </c>
      <c r="O12" s="5"/>
      <c r="P12" s="5"/>
      <c r="Q12" s="5"/>
      <c r="R12" s="5"/>
    </row>
    <row r="13" spans="1:18" x14ac:dyDescent="0.25">
      <c r="A13" s="12">
        <v>0.20833333333333334</v>
      </c>
      <c r="B13" s="6">
        <v>38853.839472107691</v>
      </c>
      <c r="C13" s="6">
        <v>6466.1215201013556</v>
      </c>
      <c r="D13" s="6">
        <v>8953.5163304868693</v>
      </c>
      <c r="E13" s="6">
        <v>103.30354127464292</v>
      </c>
      <c r="F13" s="6">
        <f t="shared" si="0"/>
        <v>54376.780863970554</v>
      </c>
      <c r="H13" s="12">
        <v>0.20833333333333334</v>
      </c>
      <c r="I13" s="9">
        <v>24369.510787010193</v>
      </c>
      <c r="J13" s="9">
        <v>7075.5142364501953</v>
      </c>
      <c r="K13" s="9">
        <v>5548.0025978088379</v>
      </c>
      <c r="L13" s="9">
        <v>353.86085224151611</v>
      </c>
      <c r="M13">
        <f t="shared" si="1"/>
        <v>37346.888473510742</v>
      </c>
    </row>
    <row r="14" spans="1:18" x14ac:dyDescent="0.25">
      <c r="A14" s="12">
        <v>0.22916666666666666</v>
      </c>
      <c r="B14" s="6">
        <v>58097.834313555904</v>
      </c>
      <c r="C14" s="6">
        <v>14227.068363943386</v>
      </c>
      <c r="D14" s="6">
        <v>13240.630856225394</v>
      </c>
      <c r="E14" s="6">
        <v>197.30004595785141</v>
      </c>
      <c r="F14" s="6">
        <f t="shared" si="0"/>
        <v>85762.833579682541</v>
      </c>
      <c r="H14" s="12">
        <v>0.22916666666666666</v>
      </c>
      <c r="I14" s="9">
        <v>43845.286949157715</v>
      </c>
      <c r="J14" s="9">
        <v>14845.400693893433</v>
      </c>
      <c r="K14" s="9">
        <v>11454.414477348328</v>
      </c>
      <c r="L14" s="9">
        <v>504.05217933654785</v>
      </c>
      <c r="M14">
        <f t="shared" si="1"/>
        <v>70649.154299736023</v>
      </c>
    </row>
    <row r="15" spans="1:18" x14ac:dyDescent="0.25">
      <c r="A15" s="12">
        <v>0.25</v>
      </c>
      <c r="B15" s="6">
        <v>80538.501672692684</v>
      </c>
      <c r="C15" s="6">
        <v>26607.574145670795</v>
      </c>
      <c r="D15" s="6">
        <v>19611.159067066194</v>
      </c>
      <c r="E15" s="6">
        <v>358.13678292961117</v>
      </c>
      <c r="F15" s="6">
        <f t="shared" si="0"/>
        <v>127115.37166835928</v>
      </c>
      <c r="H15" s="12">
        <v>0.25</v>
      </c>
      <c r="I15" s="9">
        <v>69557.718463897705</v>
      </c>
      <c r="J15" s="9">
        <v>26334.267045021057</v>
      </c>
      <c r="K15" s="9">
        <v>21375.124022483826</v>
      </c>
      <c r="L15" s="9">
        <v>1018.748010635376</v>
      </c>
      <c r="M15">
        <f t="shared" si="1"/>
        <v>118285.85754203796</v>
      </c>
    </row>
    <row r="16" spans="1:18" x14ac:dyDescent="0.25">
      <c r="A16" s="12">
        <v>0.27083333333333331</v>
      </c>
      <c r="B16" s="6">
        <v>103155.91742356654</v>
      </c>
      <c r="C16" s="6">
        <v>42603.89835548096</v>
      </c>
      <c r="D16" s="6">
        <v>28404.101719169805</v>
      </c>
      <c r="E16" s="6">
        <v>619.54096446342476</v>
      </c>
      <c r="F16" s="6">
        <f t="shared" si="0"/>
        <v>174783.45846268075</v>
      </c>
      <c r="H16" s="12">
        <v>0.27083333333333331</v>
      </c>
      <c r="I16" s="9">
        <v>97755.672478675842</v>
      </c>
      <c r="J16" s="9">
        <v>39940.886982917786</v>
      </c>
      <c r="K16" s="9">
        <v>35249.020359039307</v>
      </c>
      <c r="L16" s="9">
        <v>2046.4235334396362</v>
      </c>
      <c r="M16">
        <f t="shared" si="1"/>
        <v>174992.00335407257</v>
      </c>
    </row>
    <row r="17" spans="1:13" x14ac:dyDescent="0.25">
      <c r="A17" s="12">
        <v>0.29166666666666669</v>
      </c>
      <c r="B17" s="6">
        <v>121599.12088816786</v>
      </c>
      <c r="C17" s="6">
        <v>58856.902713043026</v>
      </c>
      <c r="D17" s="6">
        <v>39356.666402093026</v>
      </c>
      <c r="E17" s="6">
        <v>1015.6827702163697</v>
      </c>
      <c r="F17" s="6">
        <f t="shared" si="0"/>
        <v>220828.37277352027</v>
      </c>
      <c r="H17" s="12">
        <v>0.29166666666666669</v>
      </c>
      <c r="I17" s="9">
        <v>122475.75513744354</v>
      </c>
      <c r="J17" s="9">
        <v>52445.764789581299</v>
      </c>
      <c r="K17" s="9">
        <v>51600.266669273376</v>
      </c>
      <c r="L17" s="9">
        <v>3735.1692981719971</v>
      </c>
      <c r="M17">
        <f t="shared" si="1"/>
        <v>230256.95589447021</v>
      </c>
    </row>
    <row r="18" spans="1:13" x14ac:dyDescent="0.25">
      <c r="A18" s="12">
        <v>0.3125</v>
      </c>
      <c r="B18" s="6">
        <v>131511.75556665353</v>
      </c>
      <c r="C18" s="6">
        <v>70631.346380610092</v>
      </c>
      <c r="D18" s="6">
        <v>51425.798305689335</v>
      </c>
      <c r="E18" s="6">
        <v>1565.7056393081666</v>
      </c>
      <c r="F18" s="6">
        <f t="shared" si="0"/>
        <v>255134.60589226114</v>
      </c>
      <c r="H18" s="12">
        <v>0.3125</v>
      </c>
      <c r="I18" s="9">
        <v>137701.09668064117</v>
      </c>
      <c r="J18" s="9">
        <v>60464.06033039093</v>
      </c>
      <c r="K18" s="9">
        <v>67807.979327201843</v>
      </c>
      <c r="L18" s="9">
        <v>6251.5243816375732</v>
      </c>
      <c r="M18">
        <f t="shared" si="1"/>
        <v>272224.66071987152</v>
      </c>
    </row>
    <row r="19" spans="1:13" x14ac:dyDescent="0.25">
      <c r="A19" s="12">
        <v>0.33333333333333331</v>
      </c>
      <c r="B19" s="6">
        <v>130414.70213318508</v>
      </c>
      <c r="C19" s="6">
        <v>74046.832362834655</v>
      </c>
      <c r="D19" s="6">
        <v>62983.047570906543</v>
      </c>
      <c r="E19" s="6">
        <v>2267.4650741018295</v>
      </c>
      <c r="F19" s="6">
        <f t="shared" si="0"/>
        <v>269712.0471410281</v>
      </c>
      <c r="H19" s="12">
        <v>0.33333333333333331</v>
      </c>
      <c r="I19" s="9">
        <v>139892.61309623718</v>
      </c>
      <c r="J19" s="9">
        <v>62189.220165252686</v>
      </c>
      <c r="K19" s="9">
        <v>81027.953211784363</v>
      </c>
      <c r="L19" s="9">
        <v>9841.1299619674683</v>
      </c>
      <c r="M19">
        <f t="shared" si="1"/>
        <v>292950.9164352417</v>
      </c>
    </row>
    <row r="20" spans="1:13" x14ac:dyDescent="0.25">
      <c r="A20" s="12">
        <v>0.35416666666666669</v>
      </c>
      <c r="B20" s="6">
        <v>118987.59396064948</v>
      </c>
      <c r="C20" s="6">
        <v>68151.303419525153</v>
      </c>
      <c r="D20" s="6">
        <v>72409.359514395517</v>
      </c>
      <c r="E20" s="6">
        <v>3123.8182223610879</v>
      </c>
      <c r="F20" s="6">
        <f t="shared" si="0"/>
        <v>262672.07511693123</v>
      </c>
      <c r="H20" s="12">
        <v>0.35416666666666669</v>
      </c>
      <c r="I20" s="9">
        <v>129405.95882987976</v>
      </c>
      <c r="J20" s="9">
        <v>58085.869024276733</v>
      </c>
      <c r="K20" s="9">
        <v>89266.977353096008</v>
      </c>
      <c r="L20" s="9">
        <v>14840.167620658875</v>
      </c>
      <c r="M20">
        <f t="shared" si="1"/>
        <v>291598.97282791138</v>
      </c>
    </row>
    <row r="21" spans="1:13" x14ac:dyDescent="0.25">
      <c r="A21" s="12">
        <v>0.375</v>
      </c>
      <c r="B21" s="6">
        <v>100758.74254076356</v>
      </c>
      <c r="C21" s="6">
        <v>55373.34210611086</v>
      </c>
      <c r="D21" s="6">
        <v>78766.794192294779</v>
      </c>
      <c r="E21" s="6">
        <v>4199.7512755654334</v>
      </c>
      <c r="F21" s="6">
        <f t="shared" si="0"/>
        <v>239098.63011473467</v>
      </c>
      <c r="H21" s="12">
        <v>0.375</v>
      </c>
      <c r="I21" s="9">
        <v>110047.24779224396</v>
      </c>
      <c r="J21" s="9">
        <v>50190.539282798767</v>
      </c>
      <c r="K21" s="9">
        <v>92006.008838653564</v>
      </c>
      <c r="L21" s="9">
        <v>21497.229049682617</v>
      </c>
      <c r="M21">
        <f t="shared" si="1"/>
        <v>273741.02496337891</v>
      </c>
    </row>
    <row r="22" spans="1:13" x14ac:dyDescent="0.25">
      <c r="A22" s="12">
        <v>0.39583333333333331</v>
      </c>
      <c r="B22" s="6">
        <v>80378.510389486881</v>
      </c>
      <c r="C22" s="6">
        <v>40082.704226673319</v>
      </c>
      <c r="D22" s="6">
        <v>82070.967317060276</v>
      </c>
      <c r="E22" s="6">
        <v>5656.5977941001884</v>
      </c>
      <c r="F22" s="6">
        <f t="shared" si="0"/>
        <v>208188.77972732065</v>
      </c>
      <c r="H22" s="12">
        <v>0.39583333333333331</v>
      </c>
      <c r="I22" s="9">
        <v>87220.835511207581</v>
      </c>
      <c r="J22" s="9">
        <v>40857.050845146179</v>
      </c>
      <c r="K22" s="9">
        <v>90117.957848548889</v>
      </c>
      <c r="L22" s="9">
        <v>29636.614386558533</v>
      </c>
      <c r="M22">
        <f t="shared" si="1"/>
        <v>247832.45859146118</v>
      </c>
    </row>
    <row r="23" spans="1:13" x14ac:dyDescent="0.25">
      <c r="A23" s="12">
        <v>0.41666666666666669</v>
      </c>
      <c r="B23" s="6">
        <v>61700.72383425312</v>
      </c>
      <c r="C23" s="6">
        <v>26354.608390338231</v>
      </c>
      <c r="D23" s="6">
        <v>82993.881833332445</v>
      </c>
      <c r="E23" s="6">
        <v>7680.3124476853354</v>
      </c>
      <c r="F23" s="6">
        <f t="shared" si="0"/>
        <v>178729.52650560913</v>
      </c>
      <c r="H23" s="12">
        <v>0.41666666666666669</v>
      </c>
      <c r="I23" s="9">
        <v>65807.746857643127</v>
      </c>
      <c r="J23" s="9">
        <v>31895.116599082947</v>
      </c>
      <c r="K23" s="9">
        <v>85306.672570228577</v>
      </c>
      <c r="L23" s="9">
        <v>38429.643242835999</v>
      </c>
      <c r="M23">
        <f t="shared" si="1"/>
        <v>221439.17926979065</v>
      </c>
    </row>
    <row r="24" spans="1:13" x14ac:dyDescent="0.25">
      <c r="A24" s="12">
        <v>0.4375</v>
      </c>
      <c r="B24" s="6">
        <v>46805.250589683623</v>
      </c>
      <c r="C24" s="6">
        <v>16409.483978394892</v>
      </c>
      <c r="D24" s="6">
        <v>82338.18107296266</v>
      </c>
      <c r="E24" s="6">
        <v>10280.949799898051</v>
      </c>
      <c r="F24" s="6">
        <f t="shared" si="0"/>
        <v>155833.86544093923</v>
      </c>
      <c r="H24" s="12">
        <v>0.4375</v>
      </c>
      <c r="I24" s="9">
        <v>48764.682059288025</v>
      </c>
      <c r="J24" s="9">
        <v>24333.282896995544</v>
      </c>
      <c r="K24" s="9">
        <v>79513.926681518555</v>
      </c>
      <c r="L24" s="9">
        <v>46504.069504737854</v>
      </c>
      <c r="M24">
        <f t="shared" si="1"/>
        <v>199115.96114253998</v>
      </c>
    </row>
    <row r="25" spans="1:13" x14ac:dyDescent="0.25">
      <c r="A25" s="12">
        <v>0.45833333333333331</v>
      </c>
      <c r="B25" s="6">
        <v>36127.223038259501</v>
      </c>
      <c r="C25" s="6">
        <v>10428.216951864433</v>
      </c>
      <c r="D25" s="6">
        <v>80770.67533126878</v>
      </c>
      <c r="E25" s="6">
        <v>13087.763352514838</v>
      </c>
      <c r="F25" s="6">
        <f t="shared" si="0"/>
        <v>140413.87867390754</v>
      </c>
      <c r="H25" s="12">
        <v>0.45833333333333331</v>
      </c>
      <c r="I25" s="9">
        <v>36830.428915023804</v>
      </c>
      <c r="J25" s="9">
        <v>18522.3159532547</v>
      </c>
      <c r="K25" s="9">
        <v>74565.507850646973</v>
      </c>
      <c r="L25" s="9">
        <v>52323.826495170593</v>
      </c>
      <c r="M25">
        <f t="shared" si="1"/>
        <v>182242.07921409607</v>
      </c>
    </row>
    <row r="26" spans="1:13" x14ac:dyDescent="0.25">
      <c r="A26" s="12">
        <v>0.47916666666666669</v>
      </c>
      <c r="B26" s="6">
        <v>29101.190839744369</v>
      </c>
      <c r="C26" s="6">
        <v>7366.3011002433777</v>
      </c>
      <c r="D26" s="6">
        <v>78917.094321871089</v>
      </c>
      <c r="E26" s="6">
        <v>15360.310330026052</v>
      </c>
      <c r="F26" s="6">
        <f t="shared" si="0"/>
        <v>130744.8965918849</v>
      </c>
      <c r="H26" s="12">
        <v>0.47916666666666669</v>
      </c>
      <c r="I26" s="9">
        <v>29141.223313331604</v>
      </c>
      <c r="J26" s="9">
        <v>14334.334636688232</v>
      </c>
      <c r="K26" s="9">
        <v>71981.544511795044</v>
      </c>
      <c r="L26" s="9">
        <v>54618.510499000549</v>
      </c>
      <c r="M26">
        <f t="shared" si="1"/>
        <v>170075.61296081543</v>
      </c>
    </row>
    <row r="27" spans="1:13" x14ac:dyDescent="0.25">
      <c r="A27" s="12">
        <v>0.5</v>
      </c>
      <c r="B27" s="6">
        <v>24750.044083224388</v>
      </c>
      <c r="C27" s="6">
        <v>5924.2112645442012</v>
      </c>
      <c r="D27" s="6">
        <v>77489.183246425819</v>
      </c>
      <c r="E27" s="6">
        <v>16314.331287798308</v>
      </c>
      <c r="F27" s="6">
        <f t="shared" si="0"/>
        <v>124477.76988199272</v>
      </c>
      <c r="H27" s="12">
        <v>0.5</v>
      </c>
      <c r="I27" s="9">
        <v>24221.29708480835</v>
      </c>
      <c r="J27" s="9">
        <v>11393.87868309021</v>
      </c>
      <c r="K27" s="9">
        <v>72739.178720474243</v>
      </c>
      <c r="L27" s="9">
        <v>52777.248672485352</v>
      </c>
      <c r="M27">
        <f t="shared" si="1"/>
        <v>161131.60316085815</v>
      </c>
    </row>
    <row r="28" spans="1:13" x14ac:dyDescent="0.25">
      <c r="A28" s="12">
        <v>0.52083333333333337</v>
      </c>
      <c r="B28" s="6">
        <v>22063.325550650214</v>
      </c>
      <c r="C28" s="6">
        <v>5125.140199240971</v>
      </c>
      <c r="D28" s="6">
        <v>77147.160653141502</v>
      </c>
      <c r="E28" s="6">
        <v>15572.609922507952</v>
      </c>
      <c r="F28" s="6">
        <f t="shared" si="0"/>
        <v>119908.23632554064</v>
      </c>
      <c r="H28" s="12">
        <v>0.52083333333333337</v>
      </c>
      <c r="I28" s="9">
        <v>20796.60342502594</v>
      </c>
      <c r="J28" s="9">
        <v>9297.8850107192993</v>
      </c>
      <c r="K28" s="9">
        <v>76985.08425617218</v>
      </c>
      <c r="L28" s="9">
        <v>47174.934614181519</v>
      </c>
      <c r="M28">
        <f t="shared" si="1"/>
        <v>154254.50730609894</v>
      </c>
    </row>
    <row r="29" spans="1:13" x14ac:dyDescent="0.25">
      <c r="A29" s="12">
        <v>0.54166666666666663</v>
      </c>
      <c r="B29" s="6">
        <v>20228.866497277166</v>
      </c>
      <c r="C29" s="6">
        <v>4461.3347456151005</v>
      </c>
      <c r="D29" s="6">
        <v>78181.272224205575</v>
      </c>
      <c r="E29" s="6">
        <v>13393.502457583141</v>
      </c>
      <c r="F29" s="6">
        <f t="shared" si="0"/>
        <v>116264.975924681</v>
      </c>
      <c r="H29" s="12">
        <v>0.54166666666666663</v>
      </c>
      <c r="I29" s="9">
        <v>18135.779010772705</v>
      </c>
      <c r="J29" s="9">
        <v>7747.6086807250977</v>
      </c>
      <c r="K29" s="9">
        <v>83960.348490715027</v>
      </c>
      <c r="L29" s="9">
        <v>39200.313442230225</v>
      </c>
      <c r="M29">
        <f t="shared" si="1"/>
        <v>149044.04962444305</v>
      </c>
    </row>
    <row r="30" spans="1:13" x14ac:dyDescent="0.25">
      <c r="A30" s="12">
        <v>0.5625</v>
      </c>
      <c r="B30" s="6">
        <v>18733.023431750964</v>
      </c>
      <c r="C30" s="6">
        <v>3803.3588712884903</v>
      </c>
      <c r="D30" s="6">
        <v>80330.680279547596</v>
      </c>
      <c r="E30" s="6">
        <v>10503.758683445169</v>
      </c>
      <c r="F30" s="6">
        <f t="shared" si="0"/>
        <v>113370.82126603222</v>
      </c>
      <c r="H30" s="12">
        <v>0.5625</v>
      </c>
      <c r="I30" s="9">
        <v>15967.911049842834</v>
      </c>
      <c r="J30" s="9">
        <v>6563.7688884735107</v>
      </c>
      <c r="K30" s="9">
        <v>92325.744734764099</v>
      </c>
      <c r="L30" s="9">
        <v>30744.421577453613</v>
      </c>
      <c r="M30">
        <f t="shared" si="1"/>
        <v>145601.84625053406</v>
      </c>
    </row>
    <row r="31" spans="1:13" x14ac:dyDescent="0.25">
      <c r="A31" s="12">
        <v>0.58333333333333337</v>
      </c>
      <c r="B31" s="6">
        <v>17316.035504713727</v>
      </c>
      <c r="C31" s="6">
        <v>3225.9088666339871</v>
      </c>
      <c r="D31" s="6">
        <v>82940.196177267266</v>
      </c>
      <c r="E31" s="6">
        <v>7690.5945382969858</v>
      </c>
      <c r="F31" s="6">
        <f t="shared" si="0"/>
        <v>111172.73508691197</v>
      </c>
      <c r="H31" s="12">
        <v>0.58333333333333337</v>
      </c>
      <c r="I31" s="9">
        <v>14231.447910308838</v>
      </c>
      <c r="J31" s="9">
        <v>5637.0288114547729</v>
      </c>
      <c r="K31" s="9">
        <v>100689.70775127411</v>
      </c>
      <c r="L31" s="9">
        <v>23360.783735275269</v>
      </c>
      <c r="M31">
        <f t="shared" si="1"/>
        <v>143918.96820831299</v>
      </c>
    </row>
    <row r="32" spans="1:13" x14ac:dyDescent="0.25">
      <c r="A32" s="12">
        <v>0.60416666666666663</v>
      </c>
      <c r="B32" s="6">
        <v>15859.141643105982</v>
      </c>
      <c r="C32" s="6">
        <v>2833.5301880774496</v>
      </c>
      <c r="D32" s="6">
        <v>85393.549220364861</v>
      </c>
      <c r="E32" s="6">
        <v>5455.5712845871931</v>
      </c>
      <c r="F32" s="6">
        <f t="shared" si="0"/>
        <v>109541.79233613548</v>
      </c>
      <c r="H32" s="12">
        <v>0.60416666666666663</v>
      </c>
      <c r="I32" s="9">
        <v>12883.178489685059</v>
      </c>
      <c r="J32" s="9">
        <v>4885.7915277481079</v>
      </c>
      <c r="K32" s="9">
        <v>107918.51784515381</v>
      </c>
      <c r="L32" s="9">
        <v>17706.083980560303</v>
      </c>
      <c r="M32">
        <f t="shared" si="1"/>
        <v>143393.57184314728</v>
      </c>
    </row>
    <row r="33" spans="1:13" x14ac:dyDescent="0.25">
      <c r="A33" s="12">
        <v>0.625</v>
      </c>
      <c r="B33" s="6">
        <v>14315.321012387943</v>
      </c>
      <c r="C33" s="6">
        <v>2654.8026316750525</v>
      </c>
      <c r="D33" s="6">
        <v>87577.18949663172</v>
      </c>
      <c r="E33" s="6">
        <v>3911.7523053260802</v>
      </c>
      <c r="F33" s="6">
        <f t="shared" si="0"/>
        <v>108459.0654460208</v>
      </c>
      <c r="H33" s="12">
        <v>0.625</v>
      </c>
      <c r="I33" s="9">
        <v>11840.657932281494</v>
      </c>
      <c r="J33" s="9">
        <v>4250.4954414367676</v>
      </c>
      <c r="K33" s="9">
        <v>113064.24287796021</v>
      </c>
      <c r="L33" s="9">
        <v>13628.67612361908</v>
      </c>
      <c r="M33">
        <f t="shared" si="1"/>
        <v>142784.07237529755</v>
      </c>
    </row>
    <row r="34" spans="1:13" x14ac:dyDescent="0.25">
      <c r="A34" s="12">
        <v>0.64583333333333337</v>
      </c>
      <c r="B34" s="6">
        <v>12697.110620123576</v>
      </c>
      <c r="C34" s="6">
        <v>2637.2186501907349</v>
      </c>
      <c r="D34" s="6">
        <v>90061.978550308704</v>
      </c>
      <c r="E34" s="6">
        <v>2900.4560137641911</v>
      </c>
      <c r="F34" s="6">
        <f t="shared" si="0"/>
        <v>108296.76383438721</v>
      </c>
      <c r="H34" s="12">
        <v>0.64583333333333337</v>
      </c>
      <c r="I34" s="9">
        <v>11005.464791297913</v>
      </c>
      <c r="J34" s="9">
        <v>3705.5902576446533</v>
      </c>
      <c r="K34" s="9">
        <v>115196.07128620148</v>
      </c>
      <c r="L34" s="9">
        <v>10664.58669757843</v>
      </c>
      <c r="M34">
        <f t="shared" si="1"/>
        <v>140571.71303272247</v>
      </c>
    </row>
    <row r="35" spans="1:13" x14ac:dyDescent="0.25">
      <c r="A35" s="12">
        <v>0.66666666666666663</v>
      </c>
      <c r="B35" s="6">
        <v>11056.455014848234</v>
      </c>
      <c r="C35" s="6">
        <v>2699.9309055003164</v>
      </c>
      <c r="D35" s="6">
        <v>93769.106449039362</v>
      </c>
      <c r="E35" s="6">
        <v>2189.7413990390778</v>
      </c>
      <c r="F35" s="6">
        <f t="shared" si="0"/>
        <v>109715.23376842699</v>
      </c>
      <c r="H35" s="12">
        <v>0.66666666666666663</v>
      </c>
      <c r="I35" s="9">
        <v>10291.683836936951</v>
      </c>
      <c r="J35" s="9">
        <v>3257.5041179656982</v>
      </c>
      <c r="K35" s="9">
        <v>113514.49353313446</v>
      </c>
      <c r="L35" s="9">
        <v>8444.6387310028076</v>
      </c>
      <c r="M35">
        <f t="shared" si="1"/>
        <v>135508.32021903992</v>
      </c>
    </row>
    <row r="36" spans="1:13" x14ac:dyDescent="0.25">
      <c r="A36" s="12">
        <v>0.6875</v>
      </c>
      <c r="B36" s="6">
        <v>9439.9181973534596</v>
      </c>
      <c r="C36" s="6">
        <v>2770.8629963706971</v>
      </c>
      <c r="D36" s="6">
        <v>99175.319883764663</v>
      </c>
      <c r="E36" s="6">
        <v>1620.8670105650899</v>
      </c>
      <c r="F36" s="6">
        <f t="shared" si="0"/>
        <v>113006.96808805392</v>
      </c>
      <c r="H36" s="12">
        <v>0.6875</v>
      </c>
      <c r="I36" s="9">
        <v>9627.4473781585693</v>
      </c>
      <c r="J36" s="9">
        <v>2918.2097082138062</v>
      </c>
      <c r="K36" s="9">
        <v>107739.7957277298</v>
      </c>
      <c r="L36" s="9">
        <v>6782.2401218414307</v>
      </c>
      <c r="M36">
        <f t="shared" si="1"/>
        <v>127067.6929359436</v>
      </c>
    </row>
    <row r="37" spans="1:13" x14ac:dyDescent="0.25">
      <c r="A37" s="12">
        <v>0.70833333333333337</v>
      </c>
      <c r="B37" s="6">
        <v>7869.5736140718464</v>
      </c>
      <c r="C37" s="6">
        <v>2784.9976515917774</v>
      </c>
      <c r="D37" s="6">
        <v>105510.22168208686</v>
      </c>
      <c r="E37" s="6">
        <v>1144.259086584568</v>
      </c>
      <c r="F37" s="6">
        <f t="shared" si="0"/>
        <v>117309.05203433505</v>
      </c>
      <c r="H37" s="12">
        <v>0.70833333333333337</v>
      </c>
      <c r="I37" s="9">
        <v>8941.1350107192993</v>
      </c>
      <c r="J37" s="9">
        <v>2673.1199359893799</v>
      </c>
      <c r="K37" s="9">
        <v>98375.957950592041</v>
      </c>
      <c r="L37" s="9">
        <v>5563.2761974334717</v>
      </c>
      <c r="M37">
        <f t="shared" si="1"/>
        <v>115553.48909473419</v>
      </c>
    </row>
    <row r="38" spans="1:13" x14ac:dyDescent="0.25">
      <c r="A38" s="12">
        <v>0.72916666666666663</v>
      </c>
      <c r="B38" s="6">
        <v>6369.3536428626066</v>
      </c>
      <c r="C38" s="6">
        <v>2679.6113883338926</v>
      </c>
      <c r="D38" s="6">
        <v>110579.71350283318</v>
      </c>
      <c r="E38" s="6">
        <v>773.14926902465822</v>
      </c>
      <c r="F38" s="6">
        <f t="shared" si="0"/>
        <v>120401.82780305433</v>
      </c>
      <c r="H38" s="12">
        <v>0.72916666666666663</v>
      </c>
      <c r="I38" s="9">
        <v>8159.2351684570313</v>
      </c>
      <c r="J38" s="9">
        <v>2472.1174068450928</v>
      </c>
      <c r="K38" s="9">
        <v>86559.079045295715</v>
      </c>
      <c r="L38" s="9">
        <v>4649.8564643859863</v>
      </c>
      <c r="M38">
        <f t="shared" si="1"/>
        <v>101840.28808498383</v>
      </c>
    </row>
    <row r="39" spans="1:13" x14ac:dyDescent="0.25">
      <c r="A39" s="12">
        <v>0.75</v>
      </c>
      <c r="B39" s="6">
        <v>4990.3336440635685</v>
      </c>
      <c r="C39" s="6">
        <v>2415.8095277718539</v>
      </c>
      <c r="D39" s="6">
        <v>111547.25445701665</v>
      </c>
      <c r="E39" s="6">
        <v>522.74417494201657</v>
      </c>
      <c r="F39" s="6">
        <f t="shared" si="0"/>
        <v>119476.14180379409</v>
      </c>
      <c r="H39" s="12">
        <v>0.75</v>
      </c>
      <c r="I39" s="9">
        <v>7231.7025327682495</v>
      </c>
      <c r="J39" s="9">
        <v>2254.8050670623779</v>
      </c>
      <c r="K39" s="9">
        <v>73658.636185646057</v>
      </c>
      <c r="L39" s="9">
        <v>3890.3673248291016</v>
      </c>
      <c r="M39">
        <f t="shared" si="1"/>
        <v>87035.511110305786</v>
      </c>
    </row>
    <row r="40" spans="1:13" x14ac:dyDescent="0.25">
      <c r="A40" s="12">
        <v>0.77083333333333337</v>
      </c>
      <c r="B40" s="6">
        <v>3795.8915763610848</v>
      </c>
      <c r="C40" s="6">
        <v>2007.7625543094634</v>
      </c>
      <c r="D40" s="6">
        <v>106335.53628590298</v>
      </c>
      <c r="E40" s="6">
        <v>380.19999880161276</v>
      </c>
      <c r="F40" s="6">
        <f t="shared" si="0"/>
        <v>112519.39041537515</v>
      </c>
      <c r="H40" s="12">
        <v>0.77083333333333337</v>
      </c>
      <c r="I40" s="9">
        <v>6171.0498762130737</v>
      </c>
      <c r="J40" s="9">
        <v>1990.3062343597412</v>
      </c>
      <c r="K40" s="9">
        <v>60985.61264705658</v>
      </c>
      <c r="L40" s="9">
        <v>3193.420069694519</v>
      </c>
      <c r="M40">
        <f t="shared" si="1"/>
        <v>72340.388827323914</v>
      </c>
    </row>
    <row r="41" spans="1:13" x14ac:dyDescent="0.25">
      <c r="A41" s="12">
        <v>0.79166666666666663</v>
      </c>
      <c r="B41" s="6">
        <v>2828.2415231806758</v>
      </c>
      <c r="C41" s="6">
        <v>1524.1192653171538</v>
      </c>
      <c r="D41" s="6">
        <v>94778.63960503407</v>
      </c>
      <c r="E41" s="6">
        <v>308.05781064252847</v>
      </c>
      <c r="F41" s="6">
        <f t="shared" si="0"/>
        <v>99439.05820417442</v>
      </c>
      <c r="H41" s="12">
        <v>0.79166666666666663</v>
      </c>
      <c r="I41" s="9">
        <v>5066.0877370834351</v>
      </c>
      <c r="J41" s="9">
        <v>1696.1996612548828</v>
      </c>
      <c r="K41" s="9">
        <v>49662.12788772583</v>
      </c>
      <c r="L41" s="9">
        <v>2571.9123678207397</v>
      </c>
      <c r="M41">
        <f t="shared" si="1"/>
        <v>58996.327653884888</v>
      </c>
    </row>
    <row r="42" spans="1:13" x14ac:dyDescent="0.25">
      <c r="A42" s="12">
        <v>0.8125</v>
      </c>
      <c r="B42" s="6">
        <v>2096.7473473832133</v>
      </c>
      <c r="C42" s="6">
        <v>1056.1285799227712</v>
      </c>
      <c r="D42" s="6">
        <v>78754.334346946707</v>
      </c>
      <c r="E42" s="6">
        <v>263.55587214097977</v>
      </c>
      <c r="F42" s="6">
        <f t="shared" si="0"/>
        <v>82170.766146393667</v>
      </c>
      <c r="H42" s="12">
        <v>0.8125</v>
      </c>
      <c r="I42" s="9">
        <v>4043.5199699401855</v>
      </c>
      <c r="J42" s="9">
        <v>1418.3383159637451</v>
      </c>
      <c r="K42" s="9">
        <v>40437.565632820129</v>
      </c>
      <c r="L42" s="9">
        <v>2101.798656463623</v>
      </c>
      <c r="M42">
        <f t="shared" si="1"/>
        <v>48001.222575187683</v>
      </c>
    </row>
    <row r="43" spans="1:13" x14ac:dyDescent="0.25">
      <c r="A43" s="12">
        <v>0.83333333333333337</v>
      </c>
      <c r="B43" s="6">
        <v>1588.6984074530603</v>
      </c>
      <c r="C43" s="6">
        <v>678.64227802162168</v>
      </c>
      <c r="D43" s="6">
        <v>61244.339432590961</v>
      </c>
      <c r="E43" s="6">
        <v>217.58505641403195</v>
      </c>
      <c r="F43" s="6">
        <f t="shared" si="0"/>
        <v>63729.265174479675</v>
      </c>
      <c r="H43" s="12">
        <v>0.83333333333333337</v>
      </c>
      <c r="I43" s="9">
        <v>3199.12340259552</v>
      </c>
      <c r="J43" s="9">
        <v>1189.7499408721924</v>
      </c>
      <c r="K43" s="9">
        <v>33425.573250770569</v>
      </c>
      <c r="L43" s="9">
        <v>1826.1193857192993</v>
      </c>
      <c r="M43">
        <f t="shared" si="1"/>
        <v>39640.565979957581</v>
      </c>
    </row>
    <row r="44" spans="1:13" x14ac:dyDescent="0.25">
      <c r="A44" s="12">
        <v>0.85416666666666663</v>
      </c>
      <c r="B44" s="6">
        <v>1273.6133950696947</v>
      </c>
      <c r="C44" s="6">
        <v>431.22381461296084</v>
      </c>
      <c r="D44" s="6">
        <v>45006.051342574407</v>
      </c>
      <c r="E44" s="6">
        <v>162.70560316438673</v>
      </c>
      <c r="F44" s="6">
        <f t="shared" si="0"/>
        <v>46873.594155421451</v>
      </c>
      <c r="H44" s="12">
        <v>0.85416666666666663</v>
      </c>
      <c r="I44" s="9">
        <v>2553.1696424484253</v>
      </c>
      <c r="J44" s="9">
        <v>1006.0641040802002</v>
      </c>
      <c r="K44" s="9">
        <v>28056.290595054626</v>
      </c>
      <c r="L44" s="9">
        <v>1691.4976196289063</v>
      </c>
      <c r="M44">
        <f t="shared" si="1"/>
        <v>33307.021961212158</v>
      </c>
    </row>
    <row r="45" spans="1:13" x14ac:dyDescent="0.25">
      <c r="A45" s="12">
        <v>0.875</v>
      </c>
      <c r="B45" s="6">
        <v>1094.1806908788683</v>
      </c>
      <c r="C45" s="6">
        <v>325.51866207532885</v>
      </c>
      <c r="D45" s="6">
        <v>31674.146906481743</v>
      </c>
      <c r="E45" s="6">
        <v>107.13721993808747</v>
      </c>
      <c r="F45" s="6">
        <f t="shared" si="0"/>
        <v>33200.983479374023</v>
      </c>
      <c r="H45" s="12">
        <v>0.875</v>
      </c>
      <c r="I45" s="9">
        <v>2061.6548852920532</v>
      </c>
      <c r="J45" s="9">
        <v>836.88695240020752</v>
      </c>
      <c r="K45" s="9">
        <v>23443.10729598999</v>
      </c>
      <c r="L45" s="9">
        <v>1575.1776218414307</v>
      </c>
      <c r="M45">
        <f t="shared" si="1"/>
        <v>27916.826755523682</v>
      </c>
    </row>
    <row r="46" spans="1:13" x14ac:dyDescent="0.25">
      <c r="A46" s="12">
        <v>0.89583333333333337</v>
      </c>
      <c r="B46" s="6">
        <v>969.96778685369509</v>
      </c>
      <c r="C46" s="6">
        <v>361.21230010786053</v>
      </c>
      <c r="D46" s="6">
        <v>21635.616503238489</v>
      </c>
      <c r="E46" s="6">
        <v>61.798957501125329</v>
      </c>
      <c r="F46" s="6">
        <f t="shared" si="0"/>
        <v>23028.59554770117</v>
      </c>
      <c r="H46" s="12">
        <v>0.89583333333333337</v>
      </c>
      <c r="I46" s="9">
        <v>1662.6966171264648</v>
      </c>
      <c r="J46" s="9">
        <v>657.55698776245117</v>
      </c>
      <c r="K46" s="9">
        <v>18935.588329315186</v>
      </c>
      <c r="L46" s="9">
        <v>1374.0678300857544</v>
      </c>
      <c r="M46">
        <f t="shared" si="1"/>
        <v>22629.909764289856</v>
      </c>
    </row>
    <row r="47" spans="1:13" x14ac:dyDescent="0.25">
      <c r="A47" s="12">
        <v>0.91666666666666663</v>
      </c>
      <c r="B47" s="6">
        <v>829.59035370683694</v>
      </c>
      <c r="C47" s="6">
        <v>524.25950328674321</v>
      </c>
      <c r="D47" s="6">
        <v>14458.348196579649</v>
      </c>
      <c r="E47" s="6">
        <v>31.446232310962678</v>
      </c>
      <c r="F47" s="6">
        <f t="shared" si="0"/>
        <v>15843.644285884191</v>
      </c>
      <c r="H47" s="12">
        <v>0.91666666666666663</v>
      </c>
      <c r="I47" s="9">
        <v>1314.356333732605</v>
      </c>
      <c r="J47" s="9">
        <v>470.15670394897461</v>
      </c>
      <c r="K47" s="9">
        <v>14425.131731987</v>
      </c>
      <c r="L47" s="9">
        <v>1072.3446531295776</v>
      </c>
      <c r="M47">
        <f t="shared" si="1"/>
        <v>17281.989422798157</v>
      </c>
    </row>
    <row r="48" spans="1:13" x14ac:dyDescent="0.25">
      <c r="A48" s="12">
        <v>0.9375</v>
      </c>
      <c r="B48" s="6">
        <v>646.83196976718909</v>
      </c>
      <c r="C48" s="6">
        <v>763.38443815431594</v>
      </c>
      <c r="D48" s="6">
        <v>9436.0502218789115</v>
      </c>
      <c r="E48" s="6">
        <v>14.241226558589936</v>
      </c>
      <c r="F48" s="6">
        <f t="shared" si="0"/>
        <v>10860.507856359007</v>
      </c>
      <c r="H48" s="12">
        <v>0.9375</v>
      </c>
      <c r="I48" s="9">
        <v>1002.2213220596313</v>
      </c>
      <c r="J48" s="9">
        <v>298.22487449645996</v>
      </c>
      <c r="K48" s="9">
        <v>10222.13836479187</v>
      </c>
      <c r="L48" s="9">
        <v>733.66258144378662</v>
      </c>
      <c r="M48">
        <f t="shared" si="1"/>
        <v>12256.247142791748</v>
      </c>
    </row>
    <row r="49" spans="1:13" x14ac:dyDescent="0.25">
      <c r="A49" s="12">
        <v>0.95833333333333337</v>
      </c>
      <c r="B49" s="6">
        <v>444.81960603866594</v>
      </c>
      <c r="C49" s="6">
        <v>978.98685749721528</v>
      </c>
      <c r="D49" s="6">
        <v>5945.4113377243993</v>
      </c>
      <c r="E49" s="6">
        <v>5.7302350517272957</v>
      </c>
      <c r="F49" s="6">
        <f t="shared" si="0"/>
        <v>7374.9480363120083</v>
      </c>
      <c r="H49" s="12">
        <v>0.95833333333333337</v>
      </c>
      <c r="I49" s="9">
        <v>727.47861862182617</v>
      </c>
      <c r="J49" s="9">
        <v>165.63202285766602</v>
      </c>
      <c r="K49" s="9">
        <v>6706.8315963745117</v>
      </c>
      <c r="L49" s="9">
        <v>439.15053176879883</v>
      </c>
      <c r="M49">
        <f t="shared" si="1"/>
        <v>8039.0927696228027</v>
      </c>
    </row>
    <row r="50" spans="1:13" x14ac:dyDescent="0.25">
      <c r="A50" s="12">
        <v>0.97916666666666663</v>
      </c>
      <c r="B50" s="6">
        <v>265.83997453384404</v>
      </c>
      <c r="C50" s="6">
        <v>1061.0041345972061</v>
      </c>
      <c r="D50" s="6">
        <v>3554.2113146903039</v>
      </c>
      <c r="E50" s="6">
        <v>2.0040964210510257</v>
      </c>
      <c r="F50" s="6">
        <f t="shared" si="0"/>
        <v>4883.0595202424047</v>
      </c>
      <c r="H50" s="12">
        <v>0.97916666666666663</v>
      </c>
      <c r="I50" s="9">
        <v>495.18752002716064</v>
      </c>
      <c r="J50" s="9">
        <v>80.525992393493652</v>
      </c>
      <c r="K50" s="9">
        <v>4069.9501934051514</v>
      </c>
      <c r="L50" s="9">
        <v>232.98136138916016</v>
      </c>
      <c r="M50">
        <f t="shared" si="1"/>
        <v>4878.6450672149658</v>
      </c>
    </row>
    <row r="51" spans="1:13" x14ac:dyDescent="0.25">
      <c r="A51" s="12">
        <v>1</v>
      </c>
      <c r="B51" s="6">
        <v>137.58984954748155</v>
      </c>
      <c r="C51" s="6">
        <v>958.72973123760221</v>
      </c>
      <c r="D51" s="6">
        <v>1977.7472353649139</v>
      </c>
      <c r="E51" s="6">
        <v>0.58366209840774541</v>
      </c>
      <c r="F51" s="6">
        <f t="shared" si="0"/>
        <v>3074.6504782484058</v>
      </c>
      <c r="H51" s="12">
        <v>1</v>
      </c>
      <c r="I51" s="9">
        <v>309.90694713592529</v>
      </c>
      <c r="J51" s="9">
        <v>34.826945304870605</v>
      </c>
      <c r="K51" s="9">
        <v>2275.1797552108765</v>
      </c>
      <c r="L51" s="9">
        <v>112.44490051269531</v>
      </c>
      <c r="M51">
        <f t="shared" si="1"/>
        <v>2732.3585481643677</v>
      </c>
    </row>
    <row r="52" spans="1:13" x14ac:dyDescent="0.25">
      <c r="A52" s="12">
        <v>1.0208333333333333</v>
      </c>
      <c r="B52" s="6">
        <v>61.884833805942549</v>
      </c>
      <c r="C52" s="6">
        <v>717.1521973724366</v>
      </c>
      <c r="D52" s="6">
        <v>1004.9080738936425</v>
      </c>
      <c r="E52" s="6">
        <v>0.13332114944458012</v>
      </c>
      <c r="F52" s="6">
        <f t="shared" si="0"/>
        <v>1784.0784262214663</v>
      </c>
      <c r="H52" s="12">
        <v>1.0208333333333333</v>
      </c>
      <c r="I52" s="9">
        <v>174.10803508758545</v>
      </c>
      <c r="J52" s="9">
        <v>13.863615036010742</v>
      </c>
      <c r="K52" s="9">
        <v>1157.8350267410278</v>
      </c>
      <c r="L52" s="9">
        <v>50.816615104675293</v>
      </c>
      <c r="M52">
        <f t="shared" si="1"/>
        <v>1396.6232919692993</v>
      </c>
    </row>
    <row r="53" spans="1:13" x14ac:dyDescent="0.25">
      <c r="A53" s="12">
        <v>4.1666666666666664E-2</v>
      </c>
      <c r="B53" s="6">
        <v>24.354776886558533</v>
      </c>
      <c r="C53" s="6">
        <v>440.76562044334418</v>
      </c>
      <c r="D53" s="6">
        <v>457.0690111968994</v>
      </c>
      <c r="E53" s="6">
        <v>2.2039797782897951E-2</v>
      </c>
      <c r="F53" s="6">
        <f t="shared" si="0"/>
        <v>922.21144832458492</v>
      </c>
      <c r="H53" s="12">
        <v>4.1666666666666664E-2</v>
      </c>
      <c r="I53" s="9">
        <v>85.565303802490234</v>
      </c>
      <c r="J53" s="9">
        <v>5.2682628631591797</v>
      </c>
      <c r="K53" s="9">
        <v>525.3828182220459</v>
      </c>
      <c r="L53" s="9">
        <v>21.694270133972168</v>
      </c>
      <c r="M53">
        <f t="shared" si="1"/>
        <v>637.91065502166748</v>
      </c>
    </row>
    <row r="54" spans="1:13" x14ac:dyDescent="0.25">
      <c r="A54" s="12">
        <v>6.25E-2</v>
      </c>
      <c r="B54" s="6">
        <v>8.4252105007171636</v>
      </c>
      <c r="C54" s="6">
        <v>220.22946655082706</v>
      </c>
      <c r="D54" s="6">
        <v>182.07894491834639</v>
      </c>
      <c r="E54" s="6">
        <v>2.3199787139892578E-3</v>
      </c>
      <c r="F54" s="6">
        <f t="shared" si="0"/>
        <v>410.73594194860459</v>
      </c>
      <c r="H54" s="12">
        <v>6.25E-2</v>
      </c>
      <c r="I54" s="9">
        <v>35.818583488464355</v>
      </c>
      <c r="J54" s="9">
        <v>1.9150094985961914</v>
      </c>
      <c r="K54" s="9">
        <v>206.81364727020264</v>
      </c>
      <c r="L54" s="9">
        <v>8.512272834777832</v>
      </c>
      <c r="M54">
        <f t="shared" si="1"/>
        <v>253.05951309204102</v>
      </c>
    </row>
    <row r="55" spans="1:13" x14ac:dyDescent="0.25">
      <c r="A55" s="12">
        <v>8.3333333333333329E-2</v>
      </c>
      <c r="B55" s="6">
        <v>2.5459805004119875</v>
      </c>
      <c r="C55" s="6">
        <v>88.052724021053322</v>
      </c>
      <c r="D55" s="6">
        <v>61.969038305091857</v>
      </c>
      <c r="E55" s="6">
        <v>1.159989356994629E-4</v>
      </c>
      <c r="F55" s="6">
        <f t="shared" si="0"/>
        <v>152.56785882549286</v>
      </c>
      <c r="H55" s="12">
        <v>8.3333333333333329E-2</v>
      </c>
      <c r="I55" s="9">
        <v>12.41627025604248</v>
      </c>
      <c r="J55" s="9">
        <v>0.63338184356689453</v>
      </c>
      <c r="K55" s="9">
        <v>68.403133392333984</v>
      </c>
      <c r="L55" s="9">
        <v>2.9104576110839844</v>
      </c>
      <c r="M55">
        <f t="shared" si="1"/>
        <v>84.363243103027344</v>
      </c>
    </row>
    <row r="56" spans="1:13" x14ac:dyDescent="0.25">
      <c r="A56" s="12">
        <v>0.10416666666666667</v>
      </c>
      <c r="B56" s="6">
        <v>0.65497633399963384</v>
      </c>
      <c r="C56" s="6">
        <v>27.502055963706972</v>
      </c>
      <c r="D56" s="6">
        <v>17.500021663856508</v>
      </c>
      <c r="E56" s="6">
        <v>0</v>
      </c>
      <c r="F56" s="6">
        <f t="shared" si="0"/>
        <v>45.657053961563115</v>
      </c>
      <c r="G56" s="5"/>
      <c r="H56" s="12">
        <v>0.10416666666666667</v>
      </c>
      <c r="I56" s="9">
        <v>3.4483242034912109</v>
      </c>
      <c r="J56" s="9">
        <v>0.17661857604980469</v>
      </c>
      <c r="K56" s="9">
        <v>18.317855834960938</v>
      </c>
      <c r="L56" s="9">
        <v>0.81698703765869141</v>
      </c>
      <c r="M56">
        <f t="shared" si="1"/>
        <v>22.759785652160645</v>
      </c>
    </row>
    <row r="57" spans="1:13" x14ac:dyDescent="0.25">
      <c r="A57" s="12">
        <v>0.125</v>
      </c>
      <c r="B57" s="6">
        <v>0.13438578424453737</v>
      </c>
      <c r="C57" s="6">
        <v>6.3573450231552115</v>
      </c>
      <c r="D57" s="6">
        <v>3.8794594927787784</v>
      </c>
      <c r="E57" s="6">
        <v>0</v>
      </c>
      <c r="F57" s="6">
        <f t="shared" si="0"/>
        <v>10.371190300178528</v>
      </c>
      <c r="G57" s="5"/>
      <c r="H57" s="12">
        <v>0.125</v>
      </c>
      <c r="I57" s="9">
        <v>0.72407817840576172</v>
      </c>
      <c r="J57" s="9">
        <v>3.7874221801757813E-2</v>
      </c>
      <c r="K57" s="9">
        <v>3.7384586334228516</v>
      </c>
      <c r="L57" s="9">
        <v>0.17459678649902344</v>
      </c>
      <c r="M57">
        <f t="shared" si="1"/>
        <v>4.6750078201293945</v>
      </c>
    </row>
    <row r="58" spans="1:13" x14ac:dyDescent="0.25">
      <c r="A58" s="21" t="s">
        <v>34</v>
      </c>
      <c r="B58" s="22">
        <v>0</v>
      </c>
      <c r="C58" s="22">
        <v>0</v>
      </c>
      <c r="D58" s="22">
        <v>0</v>
      </c>
      <c r="E58" s="22">
        <v>0</v>
      </c>
      <c r="F58" s="22">
        <f t="shared" si="0"/>
        <v>0</v>
      </c>
      <c r="G58" s="5"/>
      <c r="H58" s="21" t="s">
        <v>34</v>
      </c>
      <c r="I58" s="24">
        <v>0</v>
      </c>
      <c r="J58" s="24">
        <v>0</v>
      </c>
      <c r="K58" s="24">
        <v>0</v>
      </c>
      <c r="L58" s="24">
        <v>0</v>
      </c>
      <c r="M58" s="23">
        <f t="shared" si="1"/>
        <v>0</v>
      </c>
    </row>
    <row r="59" spans="1:13" ht="15.75" thickBot="1" x14ac:dyDescent="0.3">
      <c r="A59" s="25"/>
      <c r="B59" s="26">
        <f>SUM(B8:B58)</f>
        <v>1388209.765179439</v>
      </c>
      <c r="C59" s="26">
        <f>SUM(C8:C58)</f>
        <v>577456.35220875219</v>
      </c>
      <c r="D59" s="26">
        <f>SUM(D8:D58)</f>
        <v>2452773.2605410698</v>
      </c>
      <c r="E59" s="26">
        <f>SUM(E8:E58)</f>
        <v>149152.85376200598</v>
      </c>
      <c r="F59" s="26">
        <f>SUM(F8:F58)</f>
        <v>4567592.2316912655</v>
      </c>
      <c r="G59" s="5"/>
      <c r="H59" s="25"/>
      <c r="I59" s="26">
        <f>SUM(I8:I58)</f>
        <v>1368397.6981039047</v>
      </c>
      <c r="J59" s="26">
        <f>SUM(J8:J58)</f>
        <v>582578.79956626892</v>
      </c>
      <c r="K59" s="26">
        <f>SUM(K8:K58)</f>
        <v>2400479.2409858704</v>
      </c>
      <c r="L59" s="26">
        <f>SUM(L8:L58)</f>
        <v>565320.18807888031</v>
      </c>
      <c r="M59" s="26">
        <f>SUM(M8:M58)</f>
        <v>4916775.9267349243</v>
      </c>
    </row>
    <row r="60" spans="1:13" x14ac:dyDescent="0.25">
      <c r="G60" s="5"/>
    </row>
    <row r="61" spans="1:13" x14ac:dyDescent="0.25">
      <c r="G61" s="5"/>
    </row>
    <row r="63" spans="1:13" ht="15.75" thickBot="1" x14ac:dyDescent="0.3">
      <c r="A63" s="3" t="s">
        <v>47</v>
      </c>
      <c r="B63" s="1"/>
      <c r="C63" s="1"/>
      <c r="D63" s="1"/>
      <c r="E63" s="1"/>
      <c r="F63" s="1"/>
      <c r="H63" s="3" t="s">
        <v>12</v>
      </c>
      <c r="I63" s="1"/>
      <c r="J63" s="1"/>
      <c r="K63" s="1"/>
      <c r="L63" s="1"/>
      <c r="M63" s="1"/>
    </row>
    <row r="64" spans="1:13" x14ac:dyDescent="0.25">
      <c r="A64" s="2" t="s">
        <v>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48</v>
      </c>
      <c r="H64" s="2" t="s">
        <v>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35</v>
      </c>
    </row>
    <row r="65" spans="1:13" x14ac:dyDescent="0.25">
      <c r="A65" t="s">
        <v>5</v>
      </c>
      <c r="B65" s="18">
        <f>B8/B$59</f>
        <v>0</v>
      </c>
      <c r="C65" s="18">
        <f t="shared" ref="C65:F65" si="2">C8/C$59</f>
        <v>0</v>
      </c>
      <c r="D65" s="18">
        <f t="shared" si="2"/>
        <v>0</v>
      </c>
      <c r="E65" s="18">
        <f t="shared" si="2"/>
        <v>0</v>
      </c>
      <c r="F65" s="18">
        <f t="shared" si="2"/>
        <v>0</v>
      </c>
      <c r="H65" t="s">
        <v>5</v>
      </c>
      <c r="I65" s="17">
        <f t="shared" ref="I65:M65" si="3">I8/I$59</f>
        <v>1.1845971403241244E-3</v>
      </c>
      <c r="J65" s="17">
        <f t="shared" si="3"/>
        <v>2.2314577890027112E-5</v>
      </c>
      <c r="K65" s="17">
        <f t="shared" si="3"/>
        <v>4.4991016025468601E-5</v>
      </c>
      <c r="L65" s="17">
        <f t="shared" si="3"/>
        <v>2.3349599533774613E-4</v>
      </c>
      <c r="M65" s="18">
        <f t="shared" si="3"/>
        <v>3.8114407244189063E-4</v>
      </c>
    </row>
    <row r="66" spans="1:13" x14ac:dyDescent="0.25">
      <c r="A66" s="12">
        <v>0.125</v>
      </c>
      <c r="B66" s="18">
        <f t="shared" ref="B66:F66" si="4">B9/B$59</f>
        <v>2.2120173604224182E-3</v>
      </c>
      <c r="C66" s="18">
        <f t="shared" si="4"/>
        <v>1.3336201578702285E-4</v>
      </c>
      <c r="D66" s="18">
        <f t="shared" si="4"/>
        <v>5.3331663289241224E-4</v>
      </c>
      <c r="E66" s="18">
        <f t="shared" si="4"/>
        <v>2.3267818452191765E-5</v>
      </c>
      <c r="F66" s="18">
        <f t="shared" si="4"/>
        <v>9.7629776379502169E-4</v>
      </c>
      <c r="H66" s="12">
        <v>0.125</v>
      </c>
      <c r="I66" s="17">
        <f t="shared" ref="I66:M66" si="5">I9/I$59</f>
        <v>1.260651056162165E-3</v>
      </c>
      <c r="J66" s="17">
        <f t="shared" si="5"/>
        <v>1.3219296410000331E-4</v>
      </c>
      <c r="K66" s="17">
        <f t="shared" si="5"/>
        <v>2.9933155287490196E-4</v>
      </c>
      <c r="L66" s="17">
        <f t="shared" si="5"/>
        <v>7.6796747295717097E-4</v>
      </c>
      <c r="M66" s="18">
        <f t="shared" si="5"/>
        <v>6.0095712329158294E-4</v>
      </c>
    </row>
    <row r="67" spans="1:13" x14ac:dyDescent="0.25">
      <c r="A67" s="12">
        <v>0.14583333333333334</v>
      </c>
      <c r="B67" s="18">
        <f t="shared" ref="B67:F67" si="6">B10/B$59</f>
        <v>5.2563188624705761E-3</v>
      </c>
      <c r="C67" s="18">
        <f t="shared" si="6"/>
        <v>4.4764427000408655E-4</v>
      </c>
      <c r="D67" s="18">
        <f t="shared" si="6"/>
        <v>1.0866780423646417E-3</v>
      </c>
      <c r="E67" s="18">
        <f t="shared" si="6"/>
        <v>6.6149437640128421E-5</v>
      </c>
      <c r="F67" s="18">
        <f t="shared" si="6"/>
        <v>2.2398254714085962E-3</v>
      </c>
      <c r="H67" s="12">
        <v>0.14583333333333334</v>
      </c>
      <c r="I67" s="17">
        <f t="shared" ref="I67:M67" si="7">I10/I$59</f>
        <v>1.893425195606024E-3</v>
      </c>
      <c r="J67" s="17">
        <f t="shared" si="7"/>
        <v>4.7462558984201974E-4</v>
      </c>
      <c r="K67" s="17">
        <f t="shared" si="7"/>
        <v>4.8615693892053926E-4</v>
      </c>
      <c r="L67" s="17">
        <f t="shared" si="7"/>
        <v>1.0355870515497368E-3</v>
      </c>
      <c r="M67" s="18">
        <f t="shared" si="7"/>
        <v>9.3962252112125312E-4</v>
      </c>
    </row>
    <row r="68" spans="1:13" x14ac:dyDescent="0.25">
      <c r="A68" s="12">
        <v>0.16666666666666666</v>
      </c>
      <c r="B68" s="18">
        <f t="shared" ref="B68:F68" si="8">B11/B$59</f>
        <v>1.0022469258974258E-2</v>
      </c>
      <c r="C68" s="18">
        <f t="shared" si="8"/>
        <v>1.4428973494473043E-3</v>
      </c>
      <c r="D68" s="18">
        <f t="shared" si="8"/>
        <v>1.7080935800590624E-3</v>
      </c>
      <c r="E68" s="18">
        <f t="shared" si="8"/>
        <v>1.5692467835193039E-4</v>
      </c>
      <c r="F68" s="18">
        <f t="shared" si="8"/>
        <v>4.150867896715621E-3</v>
      </c>
      <c r="H68" s="12">
        <v>0.16666666666666666</v>
      </c>
      <c r="I68" s="17">
        <f t="shared" ref="I68:M68" si="9">I11/I$59</f>
        <v>3.9531643373261292E-3</v>
      </c>
      <c r="J68" s="17">
        <f t="shared" si="9"/>
        <v>1.6269157005163095E-3</v>
      </c>
      <c r="K68" s="17">
        <f t="shared" si="9"/>
        <v>6.7110860630002875E-4</v>
      </c>
      <c r="L68" s="17">
        <f t="shared" si="9"/>
        <v>9.7250921412045898E-4</v>
      </c>
      <c r="M68" s="18">
        <f t="shared" si="9"/>
        <v>1.7324500997928558E-3</v>
      </c>
    </row>
    <row r="69" spans="1:13" x14ac:dyDescent="0.25">
      <c r="A69" s="12">
        <v>0.1875</v>
      </c>
      <c r="B69" s="18">
        <f t="shared" ref="B69:F69" si="10">B12/B$59</f>
        <v>1.7388896873050865E-2</v>
      </c>
      <c r="C69" s="18">
        <f t="shared" si="10"/>
        <v>4.3192576522907509E-3</v>
      </c>
      <c r="D69" s="18">
        <f t="shared" si="10"/>
        <v>2.5023420723449515E-3</v>
      </c>
      <c r="E69" s="18">
        <f t="shared" si="10"/>
        <v>3.4147464404447626E-4</v>
      </c>
      <c r="F69" s="18">
        <f t="shared" si="10"/>
        <v>7.1858929583731588E-3</v>
      </c>
      <c r="H69" s="12">
        <v>0.1875</v>
      </c>
      <c r="I69" s="17">
        <f t="shared" ref="I69:M69" si="11">I12/I$59</f>
        <v>8.7571855013236621E-3</v>
      </c>
      <c r="J69" s="17">
        <f t="shared" si="11"/>
        <v>4.8520180119971225E-3</v>
      </c>
      <c r="K69" s="17">
        <f t="shared" si="11"/>
        <v>1.1251532186404775E-3</v>
      </c>
      <c r="L69" s="17">
        <f t="shared" si="11"/>
        <v>7.4457579077843897E-4</v>
      </c>
      <c r="M69" s="18">
        <f t="shared" si="11"/>
        <v>3.6470700004114479E-3</v>
      </c>
    </row>
    <row r="70" spans="1:13" x14ac:dyDescent="0.25">
      <c r="A70" s="12">
        <v>0.20833333333333334</v>
      </c>
      <c r="B70" s="18">
        <f t="shared" ref="B70:F70" si="12">B13/B$59</f>
        <v>2.7988449906261446E-2</v>
      </c>
      <c r="C70" s="18">
        <f t="shared" si="12"/>
        <v>1.1197593541691326E-2</v>
      </c>
      <c r="D70" s="18">
        <f t="shared" si="12"/>
        <v>3.6503644566443813E-3</v>
      </c>
      <c r="E70" s="18">
        <f t="shared" si="12"/>
        <v>6.9260184213087886E-4</v>
      </c>
      <c r="F70" s="18">
        <f t="shared" si="12"/>
        <v>1.1904911407522074E-2</v>
      </c>
      <c r="H70" s="12">
        <v>0.20833333333333334</v>
      </c>
      <c r="I70" s="17">
        <f t="shared" ref="I70:M70" si="13">I13/I$59</f>
        <v>1.7808792590617011E-2</v>
      </c>
      <c r="J70" s="17">
        <f t="shared" si="13"/>
        <v>1.2145162580097199E-2</v>
      </c>
      <c r="K70" s="17">
        <f t="shared" si="13"/>
        <v>2.3112062387718414E-3</v>
      </c>
      <c r="L70" s="17">
        <f t="shared" si="13"/>
        <v>6.259476659484539E-4</v>
      </c>
      <c r="M70" s="18">
        <f t="shared" si="13"/>
        <v>7.5958085196515413E-3</v>
      </c>
    </row>
    <row r="71" spans="1:13" x14ac:dyDescent="0.25">
      <c r="A71" s="12">
        <v>0.22916666666666666</v>
      </c>
      <c r="B71" s="18">
        <f t="shared" ref="B71:F71" si="14">B14/B$59</f>
        <v>4.1850904503647701E-2</v>
      </c>
      <c r="C71" s="18">
        <f t="shared" si="14"/>
        <v>2.4637478329791164E-2</v>
      </c>
      <c r="D71" s="18">
        <f t="shared" si="14"/>
        <v>5.3982286374504003E-3</v>
      </c>
      <c r="E71" s="18">
        <f t="shared" si="14"/>
        <v>1.3228043646598337E-3</v>
      </c>
      <c r="F71" s="18">
        <f t="shared" si="14"/>
        <v>1.8776376968293141E-2</v>
      </c>
      <c r="H71" s="12">
        <v>0.22916666666666666</v>
      </c>
      <c r="I71" s="17">
        <f t="shared" ref="I71:M71" si="15">I14/I$59</f>
        <v>3.2041333458767973E-2</v>
      </c>
      <c r="J71" s="17">
        <f t="shared" si="15"/>
        <v>2.5482219237888272E-2</v>
      </c>
      <c r="K71" s="17">
        <f t="shared" si="15"/>
        <v>4.7717198640068346E-3</v>
      </c>
      <c r="L71" s="17">
        <f t="shared" si="15"/>
        <v>8.9162246451778297E-4</v>
      </c>
      <c r="M71" s="18">
        <f t="shared" si="15"/>
        <v>1.4369000205110404E-2</v>
      </c>
    </row>
    <row r="72" spans="1:13" x14ac:dyDescent="0.25">
      <c r="A72" s="12">
        <v>0.25</v>
      </c>
      <c r="B72" s="18">
        <f t="shared" ref="B72:F72" si="16">B15/B$59</f>
        <v>5.8016089277604481E-2</v>
      </c>
      <c r="C72" s="18">
        <f t="shared" si="16"/>
        <v>4.6077204006671098E-2</v>
      </c>
      <c r="D72" s="18">
        <f t="shared" si="16"/>
        <v>7.9955042655431054E-3</v>
      </c>
      <c r="E72" s="18">
        <f t="shared" si="16"/>
        <v>2.4011393271835615E-3</v>
      </c>
      <c r="F72" s="18">
        <f t="shared" si="16"/>
        <v>2.7829842337150055E-2</v>
      </c>
      <c r="H72" s="12">
        <v>0.25</v>
      </c>
      <c r="I72" s="17">
        <f t="shared" ref="I72:M72" si="17">I15/I$59</f>
        <v>5.0831507945591464E-2</v>
      </c>
      <c r="J72" s="17">
        <f t="shared" si="17"/>
        <v>4.5202927165607421E-2</v>
      </c>
      <c r="K72" s="17">
        <f t="shared" si="17"/>
        <v>8.9045235874254513E-3</v>
      </c>
      <c r="L72" s="17">
        <f t="shared" si="17"/>
        <v>1.802072581376181E-3</v>
      </c>
      <c r="M72" s="18">
        <f t="shared" si="17"/>
        <v>2.4057605899601747E-2</v>
      </c>
    </row>
    <row r="73" spans="1:13" x14ac:dyDescent="0.25">
      <c r="A73" s="12">
        <v>0.27083333333333331</v>
      </c>
      <c r="B73" s="18">
        <f t="shared" ref="B73:F73" si="18">B16/B$59</f>
        <v>7.4308595149691001E-2</v>
      </c>
      <c r="C73" s="18">
        <f t="shared" si="18"/>
        <v>7.3778560392525602E-2</v>
      </c>
      <c r="D73" s="18">
        <f t="shared" si="18"/>
        <v>1.1580402549277629E-2</v>
      </c>
      <c r="E73" s="18">
        <f t="shared" si="18"/>
        <v>4.1537318853582788E-3</v>
      </c>
      <c r="F73" s="18">
        <f t="shared" si="18"/>
        <v>3.8265994335042207E-2</v>
      </c>
      <c r="H73" s="12">
        <v>0.27083333333333331</v>
      </c>
      <c r="I73" s="17">
        <f t="shared" ref="I73:M73" si="19">I16/I$59</f>
        <v>7.143805679747138E-2</v>
      </c>
      <c r="J73" s="17">
        <f t="shared" si="19"/>
        <v>6.8558771813622216E-2</v>
      </c>
      <c r="K73" s="17">
        <f t="shared" si="19"/>
        <v>1.4684159628292653E-2</v>
      </c>
      <c r="L73" s="17">
        <f t="shared" si="19"/>
        <v>3.6199371198717824E-3</v>
      </c>
      <c r="M73" s="18">
        <f t="shared" si="19"/>
        <v>3.5590802989933938E-2</v>
      </c>
    </row>
    <row r="74" spans="1:13" x14ac:dyDescent="0.25">
      <c r="A74" s="12">
        <v>0.29166666666666669</v>
      </c>
      <c r="B74" s="18">
        <f t="shared" ref="B74:F74" si="20">B17/B$59</f>
        <v>8.7594197893032438E-2</v>
      </c>
      <c r="C74" s="18">
        <f t="shared" si="20"/>
        <v>0.10192441816237235</v>
      </c>
      <c r="D74" s="18">
        <f t="shared" si="20"/>
        <v>1.6045782557744918E-2</v>
      </c>
      <c r="E74" s="18">
        <f t="shared" si="20"/>
        <v>6.8096770835979585E-3</v>
      </c>
      <c r="F74" s="18">
        <f t="shared" si="20"/>
        <v>4.8346779128257043E-2</v>
      </c>
      <c r="H74" s="12">
        <v>0.29166666666666669</v>
      </c>
      <c r="I74" s="17">
        <f t="shared" ref="I74:M74" si="21">I17/I$59</f>
        <v>8.9503040897503577E-2</v>
      </c>
      <c r="J74" s="17">
        <f t="shared" si="21"/>
        <v>9.0023469492242547E-2</v>
      </c>
      <c r="K74" s="17">
        <f t="shared" si="21"/>
        <v>2.1495818746627145E-2</v>
      </c>
      <c r="L74" s="17">
        <f t="shared" si="21"/>
        <v>6.6071747956944022E-3</v>
      </c>
      <c r="M74" s="18">
        <f t="shared" si="21"/>
        <v>4.6830882538789316E-2</v>
      </c>
    </row>
    <row r="75" spans="1:13" x14ac:dyDescent="0.25">
      <c r="A75" s="12">
        <v>0.3125</v>
      </c>
      <c r="B75" s="18">
        <f t="shared" ref="B75:F75" si="22">B18/B$59</f>
        <v>9.4734786388463721E-2</v>
      </c>
      <c r="C75" s="18">
        <f t="shared" si="22"/>
        <v>0.12231460630824725</v>
      </c>
      <c r="D75" s="18">
        <f t="shared" si="22"/>
        <v>2.0966388998526941E-2</v>
      </c>
      <c r="E75" s="18">
        <f t="shared" si="22"/>
        <v>1.0497322711682518E-2</v>
      </c>
      <c r="F75" s="18">
        <f t="shared" si="22"/>
        <v>5.5857570674121046E-2</v>
      </c>
      <c r="H75" s="12">
        <v>0.3125</v>
      </c>
      <c r="I75" s="17">
        <f t="shared" ref="I75:M75" si="23">I18/I$59</f>
        <v>0.10062944191695454</v>
      </c>
      <c r="J75" s="17">
        <f t="shared" si="23"/>
        <v>0.10378692182998514</v>
      </c>
      <c r="K75" s="17">
        <f t="shared" si="23"/>
        <v>2.8247684116340571E-2</v>
      </c>
      <c r="L75" s="17">
        <f t="shared" si="23"/>
        <v>1.1058378089914039E-2</v>
      </c>
      <c r="M75" s="18">
        <f t="shared" si="23"/>
        <v>5.5366497228326476E-2</v>
      </c>
    </row>
    <row r="76" spans="1:13" x14ac:dyDescent="0.25">
      <c r="A76" s="12">
        <v>0.33333333333333331</v>
      </c>
      <c r="B76" s="18">
        <f t="shared" ref="B76:F76" si="24">B19/B$59</f>
        <v>9.3944521501278855E-2</v>
      </c>
      <c r="C76" s="18">
        <f t="shared" si="24"/>
        <v>0.12822931478649058</v>
      </c>
      <c r="D76" s="18">
        <f t="shared" si="24"/>
        <v>2.5678299981553448E-2</v>
      </c>
      <c r="E76" s="18">
        <f t="shared" si="24"/>
        <v>1.5202290917744584E-2</v>
      </c>
      <c r="F76" s="18">
        <f t="shared" si="24"/>
        <v>5.9049064246516694E-2</v>
      </c>
      <c r="H76" s="12">
        <v>0.33333333333333331</v>
      </c>
      <c r="I76" s="17">
        <f t="shared" ref="I76:M76" si="25">I19/I$59</f>
        <v>0.1022309620149733</v>
      </c>
      <c r="J76" s="17">
        <f t="shared" si="25"/>
        <v>0.10674816902289044</v>
      </c>
      <c r="K76" s="17">
        <f t="shared" si="25"/>
        <v>3.3754906865391759E-2</v>
      </c>
      <c r="L76" s="17">
        <f t="shared" si="25"/>
        <v>1.7408063906952344E-2</v>
      </c>
      <c r="M76" s="18">
        <f t="shared" si="25"/>
        <v>5.9581913188747074E-2</v>
      </c>
    </row>
    <row r="77" spans="1:13" x14ac:dyDescent="0.25">
      <c r="A77" s="12">
        <v>0.35416666666666669</v>
      </c>
      <c r="B77" s="18">
        <f t="shared" ref="B77:F77" si="26">B20/B$59</f>
        <v>8.5712978647192586E-2</v>
      </c>
      <c r="C77" s="18">
        <f t="shared" si="26"/>
        <v>0.11801983502103421</v>
      </c>
      <c r="D77" s="18">
        <f t="shared" si="26"/>
        <v>2.9521424046518824E-2</v>
      </c>
      <c r="E77" s="18">
        <f t="shared" si="26"/>
        <v>2.0943737538844362E-2</v>
      </c>
      <c r="F77" s="18">
        <f t="shared" si="26"/>
        <v>5.7507776918972103E-2</v>
      </c>
      <c r="H77" s="12">
        <v>0.35416666666666669</v>
      </c>
      <c r="I77" s="17">
        <f t="shared" ref="I77:M77" si="27">I20/I$59</f>
        <v>9.4567506952977748E-2</v>
      </c>
      <c r="J77" s="17">
        <f t="shared" si="27"/>
        <v>9.9704742204010474E-2</v>
      </c>
      <c r="K77" s="17">
        <f t="shared" si="27"/>
        <v>3.7187148228132273E-2</v>
      </c>
      <c r="L77" s="17">
        <f t="shared" si="27"/>
        <v>2.6250906890641936E-2</v>
      </c>
      <c r="M77" s="18">
        <f t="shared" si="27"/>
        <v>5.9306947717984178E-2</v>
      </c>
    </row>
    <row r="78" spans="1:13" x14ac:dyDescent="0.25">
      <c r="A78" s="12">
        <v>0.375</v>
      </c>
      <c r="B78" s="18">
        <f t="shared" ref="B78:F78" si="28">B21/B$59</f>
        <v>7.2581784877258484E-2</v>
      </c>
      <c r="C78" s="18">
        <f t="shared" si="28"/>
        <v>9.5891822636134466E-2</v>
      </c>
      <c r="D78" s="18">
        <f t="shared" si="28"/>
        <v>3.2113361418054279E-2</v>
      </c>
      <c r="E78" s="18">
        <f t="shared" si="28"/>
        <v>2.8157364540049083E-2</v>
      </c>
      <c r="F78" s="18">
        <f t="shared" si="28"/>
        <v>5.2346754698416327E-2</v>
      </c>
      <c r="H78" s="12">
        <v>0.375</v>
      </c>
      <c r="I78" s="17">
        <f t="shared" ref="I78:M78" si="29">I21/I$59</f>
        <v>8.0420515135862125E-2</v>
      </c>
      <c r="J78" s="17">
        <f t="shared" si="29"/>
        <v>8.6152361397575275E-2</v>
      </c>
      <c r="K78" s="17">
        <f t="shared" si="29"/>
        <v>3.8328183500919148E-2</v>
      </c>
      <c r="L78" s="17">
        <f t="shared" si="29"/>
        <v>3.8026643136054188E-2</v>
      </c>
      <c r="M78" s="18">
        <f t="shared" si="29"/>
        <v>5.5674903441280406E-2</v>
      </c>
    </row>
    <row r="79" spans="1:13" x14ac:dyDescent="0.25">
      <c r="A79" s="12">
        <v>0.39583333333333331</v>
      </c>
      <c r="B79" s="18">
        <f t="shared" ref="B79:F79" si="30">B22/B$59</f>
        <v>5.790083919997293E-2</v>
      </c>
      <c r="C79" s="18">
        <f t="shared" si="30"/>
        <v>6.9412526285940482E-2</v>
      </c>
      <c r="D79" s="18">
        <f t="shared" si="30"/>
        <v>3.3460478649769615E-2</v>
      </c>
      <c r="E79" s="18">
        <f t="shared" si="30"/>
        <v>3.7924837852087452E-2</v>
      </c>
      <c r="F79" s="18">
        <f t="shared" si="30"/>
        <v>4.5579545889155158E-2</v>
      </c>
      <c r="H79" s="12">
        <v>0.39583333333333331</v>
      </c>
      <c r="I79" s="17">
        <f t="shared" ref="I79:M79" si="31">I22/I$59</f>
        <v>6.3739390699110013E-2</v>
      </c>
      <c r="J79" s="17">
        <f t="shared" si="31"/>
        <v>7.013137257237019E-2</v>
      </c>
      <c r="K79" s="17">
        <f t="shared" si="31"/>
        <v>3.7541652645801546E-2</v>
      </c>
      <c r="L79" s="17">
        <f t="shared" si="31"/>
        <v>5.2424475565382204E-2</v>
      </c>
      <c r="M79" s="18">
        <f t="shared" si="31"/>
        <v>5.0405481617308297E-2</v>
      </c>
    </row>
    <row r="80" spans="1:13" x14ac:dyDescent="0.25">
      <c r="A80" s="12">
        <v>0.41666666666666669</v>
      </c>
      <c r="B80" s="18">
        <f t="shared" ref="B80:F80" si="32">B23/B$59</f>
        <v>4.4446254004183387E-2</v>
      </c>
      <c r="C80" s="18">
        <f t="shared" si="32"/>
        <v>4.5639134957183677E-2</v>
      </c>
      <c r="D80" s="18">
        <f t="shared" si="32"/>
        <v>3.3836752531713594E-2</v>
      </c>
      <c r="E80" s="18">
        <f t="shared" si="32"/>
        <v>5.1492896407737104E-2</v>
      </c>
      <c r="F80" s="18">
        <f t="shared" si="32"/>
        <v>3.912992172671028E-2</v>
      </c>
      <c r="H80" s="12">
        <v>0.41666666666666669</v>
      </c>
      <c r="I80" s="17">
        <f t="shared" ref="I80:M80" si="33">I23/I$59</f>
        <v>4.8091097309523705E-2</v>
      </c>
      <c r="J80" s="17">
        <f t="shared" si="33"/>
        <v>5.4748158743210235E-2</v>
      </c>
      <c r="K80" s="17">
        <f t="shared" si="33"/>
        <v>3.5537350673023674E-2</v>
      </c>
      <c r="L80" s="17">
        <f t="shared" si="33"/>
        <v>6.7978543935306682E-2</v>
      </c>
      <c r="M80" s="18">
        <f t="shared" si="33"/>
        <v>4.5037476299401226E-2</v>
      </c>
    </row>
    <row r="81" spans="1:13" x14ac:dyDescent="0.25">
      <c r="A81" s="12">
        <v>0.4375</v>
      </c>
      <c r="B81" s="18">
        <f t="shared" ref="B81:F81" si="34">B24/B$59</f>
        <v>3.371626663614026E-2</v>
      </c>
      <c r="C81" s="18">
        <f t="shared" si="34"/>
        <v>2.841683863313502E-2</v>
      </c>
      <c r="D81" s="18">
        <f t="shared" si="34"/>
        <v>3.3569422171048642E-2</v>
      </c>
      <c r="E81" s="18">
        <f t="shared" si="34"/>
        <v>6.8928951344791101E-2</v>
      </c>
      <c r="F81" s="18">
        <f t="shared" si="34"/>
        <v>3.4117289271077912E-2</v>
      </c>
      <c r="H81" s="12">
        <v>0.4375</v>
      </c>
      <c r="I81" s="17">
        <f t="shared" ref="I81:M81" si="35">I24/I$59</f>
        <v>3.5636337394353935E-2</v>
      </c>
      <c r="J81" s="17">
        <f t="shared" si="35"/>
        <v>4.1768225886543969E-2</v>
      </c>
      <c r="K81" s="17">
        <f t="shared" si="35"/>
        <v>3.3124188422001266E-2</v>
      </c>
      <c r="L81" s="17">
        <f t="shared" si="35"/>
        <v>8.2261469668670387E-2</v>
      </c>
      <c r="M81" s="18">
        <f t="shared" si="35"/>
        <v>4.04972616425021E-2</v>
      </c>
    </row>
    <row r="82" spans="1:13" x14ac:dyDescent="0.25">
      <c r="A82" s="12">
        <v>0.45833333333333331</v>
      </c>
      <c r="B82" s="18">
        <f t="shared" ref="B82:F82" si="36">B25/B$59</f>
        <v>2.6024325677891858E-2</v>
      </c>
      <c r="C82" s="18">
        <f t="shared" si="36"/>
        <v>1.8058883432447898E-2</v>
      </c>
      <c r="D82" s="18">
        <f t="shared" si="36"/>
        <v>3.2930347305503142E-2</v>
      </c>
      <c r="E82" s="18">
        <f t="shared" si="36"/>
        <v>8.7747321103209833E-2</v>
      </c>
      <c r="F82" s="18">
        <f t="shared" si="36"/>
        <v>3.0741334066486006E-2</v>
      </c>
      <c r="H82" s="12">
        <v>0.45833333333333331</v>
      </c>
      <c r="I82" s="17">
        <f t="shared" ref="I82:M82" si="37">I25/I$59</f>
        <v>2.6915003559314091E-2</v>
      </c>
      <c r="J82" s="17">
        <f t="shared" si="37"/>
        <v>3.1793666310968749E-2</v>
      </c>
      <c r="K82" s="17">
        <f t="shared" si="37"/>
        <v>3.1062758876441322E-2</v>
      </c>
      <c r="L82" s="17">
        <f t="shared" si="37"/>
        <v>9.2556090510374167E-2</v>
      </c>
      <c r="M82" s="18">
        <f t="shared" si="37"/>
        <v>3.7065361922058809E-2</v>
      </c>
    </row>
    <row r="83" spans="1:13" x14ac:dyDescent="0.25">
      <c r="A83" s="12">
        <v>0.47916666666666669</v>
      </c>
      <c r="B83" s="18">
        <f t="shared" ref="B83:F83" si="38">B26/B$59</f>
        <v>2.0963107715916959E-2</v>
      </c>
      <c r="C83" s="18">
        <f t="shared" si="38"/>
        <v>1.2756463881759219E-2</v>
      </c>
      <c r="D83" s="18">
        <f t="shared" si="38"/>
        <v>3.2174639046930235E-2</v>
      </c>
      <c r="E83" s="18">
        <f t="shared" si="38"/>
        <v>0.10298368380222582</v>
      </c>
      <c r="F83" s="18">
        <f t="shared" si="38"/>
        <v>2.8624467763286594E-2</v>
      </c>
      <c r="H83" s="12">
        <v>0.47916666666666669</v>
      </c>
      <c r="I83" s="17">
        <f t="shared" ref="I83:M83" si="39">I26/I$59</f>
        <v>2.129587279612543E-2</v>
      </c>
      <c r="J83" s="17">
        <f t="shared" si="39"/>
        <v>2.4604971288622539E-2</v>
      </c>
      <c r="K83" s="17">
        <f t="shared" si="39"/>
        <v>2.9986322432112522E-2</v>
      </c>
      <c r="L83" s="17">
        <f t="shared" si="39"/>
        <v>9.6615177824464174E-2</v>
      </c>
      <c r="M83" s="18">
        <f t="shared" si="39"/>
        <v>3.4590881401780148E-2</v>
      </c>
    </row>
    <row r="84" spans="1:13" x14ac:dyDescent="0.25">
      <c r="A84" s="12">
        <v>0.5</v>
      </c>
      <c r="B84" s="18">
        <f t="shared" ref="B84:F84" si="40">B27/B$59</f>
        <v>1.7828749446972242E-2</v>
      </c>
      <c r="C84" s="18">
        <f t="shared" si="40"/>
        <v>1.0259149876669088E-2</v>
      </c>
      <c r="D84" s="18">
        <f t="shared" si="40"/>
        <v>3.1592477173912149E-2</v>
      </c>
      <c r="E84" s="18">
        <f t="shared" si="40"/>
        <v>0.10937994732457537</v>
      </c>
      <c r="F84" s="18">
        <f t="shared" si="40"/>
        <v>2.7252382342348828E-2</v>
      </c>
      <c r="H84" s="12">
        <v>0.5</v>
      </c>
      <c r="I84" s="17">
        <f t="shared" ref="I84:M84" si="41">I27/I$59</f>
        <v>1.7700480728935854E-2</v>
      </c>
      <c r="J84" s="17">
        <f t="shared" si="41"/>
        <v>1.9557661026410461E-2</v>
      </c>
      <c r="K84" s="17">
        <f t="shared" si="41"/>
        <v>3.0301940328632235E-2</v>
      </c>
      <c r="L84" s="17">
        <f t="shared" si="41"/>
        <v>9.3358153105831121E-2</v>
      </c>
      <c r="M84" s="18">
        <f t="shared" si="41"/>
        <v>3.2771801188804746E-2</v>
      </c>
    </row>
    <row r="85" spans="1:13" x14ac:dyDescent="0.25">
      <c r="A85" s="12">
        <v>0.52083333333333337</v>
      </c>
      <c r="B85" s="18">
        <f t="shared" ref="B85:F85" si="42">B28/B$59</f>
        <v>1.5893365760756138E-2</v>
      </c>
      <c r="C85" s="18">
        <f t="shared" si="42"/>
        <v>8.8753724496015551E-3</v>
      </c>
      <c r="D85" s="18">
        <f t="shared" si="42"/>
        <v>3.1453033957212669E-2</v>
      </c>
      <c r="E85" s="18">
        <f t="shared" si="42"/>
        <v>0.10440705309840204</v>
      </c>
      <c r="F85" s="18">
        <f t="shared" si="42"/>
        <v>2.6251957320879673E-2</v>
      </c>
      <c r="H85" s="12">
        <v>0.52083333333333337</v>
      </c>
      <c r="I85" s="17">
        <f t="shared" ref="I85:M85" si="43">I28/I$59</f>
        <v>1.5197777264491437E-2</v>
      </c>
      <c r="J85" s="17">
        <f t="shared" si="43"/>
        <v>1.5959875329554719E-2</v>
      </c>
      <c r="K85" s="17">
        <f t="shared" si="43"/>
        <v>3.2070714439736046E-2</v>
      </c>
      <c r="L85" s="17">
        <f t="shared" si="43"/>
        <v>8.3448169035843983E-2</v>
      </c>
      <c r="M85" s="18">
        <f t="shared" si="43"/>
        <v>3.1373100910973277E-2</v>
      </c>
    </row>
    <row r="86" spans="1:13" x14ac:dyDescent="0.25">
      <c r="A86" s="12">
        <v>0.54166666666666663</v>
      </c>
      <c r="B86" s="18">
        <f t="shared" ref="B86:F86" si="44">B29/B$59</f>
        <v>1.4571909090887569E-2</v>
      </c>
      <c r="C86" s="18">
        <f t="shared" si="44"/>
        <v>7.7258388942309441E-3</v>
      </c>
      <c r="D86" s="18">
        <f t="shared" si="44"/>
        <v>3.1874643075226271E-2</v>
      </c>
      <c r="E86" s="18">
        <f t="shared" si="44"/>
        <v>8.9797158550880482E-2</v>
      </c>
      <c r="F86" s="18">
        <f t="shared" si="44"/>
        <v>2.5454324735470307E-2</v>
      </c>
      <c r="H86" s="12">
        <v>0.54166666666666663</v>
      </c>
      <c r="I86" s="17">
        <f t="shared" ref="I86:M86" si="45">I29/I$59</f>
        <v>1.3253295468051587E-2</v>
      </c>
      <c r="J86" s="17">
        <f t="shared" si="45"/>
        <v>1.3298816720576182E-2</v>
      </c>
      <c r="K86" s="17">
        <f t="shared" si="45"/>
        <v>3.4976494300460077E-2</v>
      </c>
      <c r="L86" s="17">
        <f t="shared" si="45"/>
        <v>6.9341789429887696E-2</v>
      </c>
      <c r="M86" s="18">
        <f t="shared" si="45"/>
        <v>3.0313370355971966E-2</v>
      </c>
    </row>
    <row r="87" spans="1:13" x14ac:dyDescent="0.25">
      <c r="A87" s="12">
        <v>0.5625</v>
      </c>
      <c r="B87" s="18">
        <f t="shared" ref="B87:F87" si="46">B30/B$59</f>
        <v>1.3494375202964768E-2</v>
      </c>
      <c r="C87" s="18">
        <f t="shared" si="46"/>
        <v>6.586400611476112E-3</v>
      </c>
      <c r="D87" s="18">
        <f t="shared" si="46"/>
        <v>3.2750960544076967E-2</v>
      </c>
      <c r="E87" s="18">
        <f t="shared" si="46"/>
        <v>7.0422780513508434E-2</v>
      </c>
      <c r="F87" s="18">
        <f t="shared" si="46"/>
        <v>2.482069666364544E-2</v>
      </c>
      <c r="H87" s="12">
        <v>0.5625</v>
      </c>
      <c r="I87" s="17">
        <f t="shared" ref="I87:M87" si="47">I30/I$59</f>
        <v>1.1669057228003583E-2</v>
      </c>
      <c r="J87" s="17">
        <f t="shared" si="47"/>
        <v>1.1266748624152218E-2</v>
      </c>
      <c r="K87" s="17">
        <f t="shared" si="47"/>
        <v>3.846138019375088E-2</v>
      </c>
      <c r="L87" s="17">
        <f t="shared" si="47"/>
        <v>5.438408573720311E-2</v>
      </c>
      <c r="M87" s="18">
        <f t="shared" si="47"/>
        <v>2.9613276752927735E-2</v>
      </c>
    </row>
    <row r="88" spans="1:13" x14ac:dyDescent="0.25">
      <c r="A88" s="12">
        <v>0.58333333333333337</v>
      </c>
      <c r="B88" s="18">
        <f t="shared" ref="B88:F88" si="48">B31/B$59</f>
        <v>1.2473644789896338E-2</v>
      </c>
      <c r="C88" s="18">
        <f t="shared" si="48"/>
        <v>5.5864116037428425E-3</v>
      </c>
      <c r="D88" s="18">
        <f t="shared" si="48"/>
        <v>3.3814864794706329E-2</v>
      </c>
      <c r="E88" s="18">
        <f t="shared" si="48"/>
        <v>5.1561833007690176E-2</v>
      </c>
      <c r="F88" s="18">
        <f t="shared" si="48"/>
        <v>2.4339461459708167E-2</v>
      </c>
      <c r="H88" s="12">
        <v>0.58333333333333337</v>
      </c>
      <c r="I88" s="17">
        <f t="shared" ref="I88:M88" si="49">I31/I$59</f>
        <v>1.0400081737954094E-2</v>
      </c>
      <c r="J88" s="17">
        <f t="shared" si="49"/>
        <v>9.6759937293488061E-3</v>
      </c>
      <c r="K88" s="17">
        <f t="shared" si="49"/>
        <v>4.194566902812337E-2</v>
      </c>
      <c r="L88" s="17">
        <f t="shared" si="49"/>
        <v>4.1323101894984317E-2</v>
      </c>
      <c r="M88" s="18">
        <f t="shared" si="49"/>
        <v>2.9271004079269691E-2</v>
      </c>
    </row>
    <row r="89" spans="1:13" x14ac:dyDescent="0.25">
      <c r="A89" s="12">
        <v>0.60416666666666663</v>
      </c>
      <c r="B89" s="18">
        <f t="shared" ref="B89:F89" si="50">B32/B$59</f>
        <v>1.1424168047871382E-2</v>
      </c>
      <c r="C89" s="18">
        <f t="shared" si="50"/>
        <v>4.9069166478804618E-3</v>
      </c>
      <c r="D89" s="18">
        <f t="shared" si="50"/>
        <v>3.4815101173080898E-2</v>
      </c>
      <c r="E89" s="18">
        <f t="shared" si="50"/>
        <v>3.6577049295297509E-2</v>
      </c>
      <c r="F89" s="18">
        <f t="shared" si="50"/>
        <v>2.3982393081436449E-2</v>
      </c>
      <c r="H89" s="12">
        <v>0.60416666666666663</v>
      </c>
      <c r="I89" s="17">
        <f t="shared" ref="I89:M89" si="51">I32/I$59</f>
        <v>9.4147911148465095E-3</v>
      </c>
      <c r="J89" s="17">
        <f t="shared" si="51"/>
        <v>8.38649043079767E-3</v>
      </c>
      <c r="K89" s="17">
        <f t="shared" si="51"/>
        <v>4.495707190570495E-2</v>
      </c>
      <c r="L89" s="17">
        <f t="shared" si="51"/>
        <v>3.1320452292232195E-2</v>
      </c>
      <c r="M89" s="18">
        <f t="shared" si="51"/>
        <v>2.9164146176246519E-2</v>
      </c>
    </row>
    <row r="90" spans="1:13" x14ac:dyDescent="0.25">
      <c r="A90" s="12">
        <v>0.625</v>
      </c>
      <c r="B90" s="18">
        <f t="shared" ref="B90:F90" si="52">B33/B$59</f>
        <v>1.0312073413874563E-2</v>
      </c>
      <c r="C90" s="18">
        <f t="shared" si="52"/>
        <v>4.5974083089059753E-3</v>
      </c>
      <c r="D90" s="18">
        <f t="shared" si="52"/>
        <v>3.5705375178997432E-2</v>
      </c>
      <c r="E90" s="18">
        <f t="shared" si="52"/>
        <v>2.6226466384396657E-2</v>
      </c>
      <c r="F90" s="18">
        <f t="shared" si="52"/>
        <v>2.3745347645856101E-2</v>
      </c>
      <c r="H90" s="12">
        <v>0.625</v>
      </c>
      <c r="I90" s="17">
        <f t="shared" ref="I90:M90" si="53">I33/I$59</f>
        <v>8.6529361666482525E-3</v>
      </c>
      <c r="J90" s="17">
        <f t="shared" si="53"/>
        <v>7.2960008922419934E-3</v>
      </c>
      <c r="K90" s="17">
        <f t="shared" si="53"/>
        <v>4.7100695955831315E-2</v>
      </c>
      <c r="L90" s="17">
        <f t="shared" si="53"/>
        <v>2.4107888610759187E-2</v>
      </c>
      <c r="M90" s="18">
        <f t="shared" si="53"/>
        <v>2.9040182937544592E-2</v>
      </c>
    </row>
    <row r="91" spans="1:13" x14ac:dyDescent="0.25">
      <c r="A91" s="12">
        <v>0.64583333333333337</v>
      </c>
      <c r="B91" s="18">
        <f t="shared" ref="B91:F91" si="54">B34/B$59</f>
        <v>9.146391949261614E-3</v>
      </c>
      <c r="C91" s="18">
        <f t="shared" si="54"/>
        <v>4.5669575546332768E-3</v>
      </c>
      <c r="D91" s="18">
        <f t="shared" si="54"/>
        <v>3.6718428074530407E-2</v>
      </c>
      <c r="E91" s="18">
        <f t="shared" si="54"/>
        <v>1.9446198584924631E-2</v>
      </c>
      <c r="F91" s="18">
        <f t="shared" si="54"/>
        <v>2.3709814348792605E-2</v>
      </c>
      <c r="H91" s="12">
        <v>0.64583333333333337</v>
      </c>
      <c r="I91" s="17">
        <f t="shared" ref="I91:M91" si="55">I34/I$59</f>
        <v>8.0425923008694278E-3</v>
      </c>
      <c r="J91" s="17">
        <f t="shared" si="55"/>
        <v>6.3606678794413266E-3</v>
      </c>
      <c r="K91" s="17">
        <f t="shared" si="55"/>
        <v>4.7988780456560319E-2</v>
      </c>
      <c r="L91" s="17">
        <f t="shared" si="55"/>
        <v>1.886468398346032E-2</v>
      </c>
      <c r="M91" s="18">
        <f t="shared" si="55"/>
        <v>2.85902215450505E-2</v>
      </c>
    </row>
    <row r="92" spans="1:13" x14ac:dyDescent="0.25">
      <c r="A92" s="12">
        <v>0.66666666666666663</v>
      </c>
      <c r="B92" s="18">
        <f t="shared" ref="B92:F92" si="56">B35/B$59</f>
        <v>7.9645420254042688E-3</v>
      </c>
      <c r="C92" s="18">
        <f t="shared" si="56"/>
        <v>4.6755584126370181E-3</v>
      </c>
      <c r="D92" s="18">
        <f t="shared" si="56"/>
        <v>3.8229830680865447E-2</v>
      </c>
      <c r="E92" s="18">
        <f t="shared" si="56"/>
        <v>1.4681190093305979E-2</v>
      </c>
      <c r="F92" s="18">
        <f t="shared" si="56"/>
        <v>2.4020365260977374E-2</v>
      </c>
      <c r="H92" s="12">
        <v>0.66666666666666663</v>
      </c>
      <c r="I92" s="17">
        <f t="shared" ref="I92:M92" si="57">I35/I$59</f>
        <v>7.5209742395777445E-3</v>
      </c>
      <c r="J92" s="17">
        <f t="shared" si="57"/>
        <v>5.5915253359561257E-3</v>
      </c>
      <c r="K92" s="17">
        <f t="shared" si="57"/>
        <v>4.7288262941409302E-2</v>
      </c>
      <c r="L92" s="17">
        <f t="shared" si="57"/>
        <v>1.4937797922448348E-2</v>
      </c>
      <c r="M92" s="18">
        <f t="shared" si="57"/>
        <v>2.7560401823929916E-2</v>
      </c>
    </row>
    <row r="93" spans="1:13" x14ac:dyDescent="0.25">
      <c r="A93" s="12">
        <v>0.6875</v>
      </c>
      <c r="B93" s="18">
        <f t="shared" ref="B93:F93" si="58">B36/B$59</f>
        <v>6.8000661241086014E-3</v>
      </c>
      <c r="C93" s="18">
        <f t="shared" si="58"/>
        <v>4.7983938279875776E-3</v>
      </c>
      <c r="D93" s="18">
        <f t="shared" si="58"/>
        <v>4.0433953467793056E-2</v>
      </c>
      <c r="E93" s="18">
        <f t="shared" si="58"/>
        <v>1.0867153860504792E-2</v>
      </c>
      <c r="F93" s="18">
        <f t="shared" si="58"/>
        <v>2.4741036930569053E-2</v>
      </c>
      <c r="H93" s="12">
        <v>0.6875</v>
      </c>
      <c r="I93" s="17">
        <f t="shared" ref="I93:M93" si="59">I36/I$59</f>
        <v>7.0355623891348732E-3</v>
      </c>
      <c r="J93" s="17">
        <f t="shared" si="59"/>
        <v>5.0091244487207899E-3</v>
      </c>
      <c r="K93" s="17">
        <f t="shared" si="59"/>
        <v>4.4882619223768565E-2</v>
      </c>
      <c r="L93" s="17">
        <f t="shared" si="59"/>
        <v>1.1997165968704253E-2</v>
      </c>
      <c r="M93" s="18">
        <f t="shared" si="59"/>
        <v>2.5843702220598296E-2</v>
      </c>
    </row>
    <row r="94" spans="1:13" x14ac:dyDescent="0.25">
      <c r="A94" s="12">
        <v>0.70833333333333337</v>
      </c>
      <c r="B94" s="18">
        <f t="shared" ref="B94:F94" si="60">B37/B$59</f>
        <v>5.6688649017352438E-3</v>
      </c>
      <c r="C94" s="18">
        <f t="shared" si="60"/>
        <v>4.8228712714636348E-3</v>
      </c>
      <c r="D94" s="18">
        <f t="shared" si="60"/>
        <v>4.3016704144439269E-2</v>
      </c>
      <c r="E94" s="18">
        <f t="shared" si="60"/>
        <v>7.6717210413579599E-3</v>
      </c>
      <c r="F94" s="18">
        <f t="shared" si="60"/>
        <v>2.5682908211554261E-2</v>
      </c>
      <c r="H94" s="12">
        <v>0.70833333333333337</v>
      </c>
      <c r="I94" s="17">
        <f t="shared" ref="I94:M94" si="61">I37/I$59</f>
        <v>6.534017868568779E-3</v>
      </c>
      <c r="J94" s="17">
        <f t="shared" si="61"/>
        <v>4.5884263862322541E-3</v>
      </c>
      <c r="K94" s="17">
        <f t="shared" si="61"/>
        <v>4.0981799080332518E-2</v>
      </c>
      <c r="L94" s="17">
        <f t="shared" si="61"/>
        <v>9.840929644382726E-3</v>
      </c>
      <c r="M94" s="18">
        <f t="shared" si="61"/>
        <v>2.3501882293722832E-2</v>
      </c>
    </row>
    <row r="95" spans="1:13" x14ac:dyDescent="0.25">
      <c r="A95" s="12">
        <v>0.72916666666666663</v>
      </c>
      <c r="B95" s="18">
        <f t="shared" ref="B95:F95" si="62">B38/B$59</f>
        <v>4.5881781000433382E-3</v>
      </c>
      <c r="C95" s="18">
        <f t="shared" si="62"/>
        <v>4.6403704419987141E-3</v>
      </c>
      <c r="D95" s="18">
        <f t="shared" si="62"/>
        <v>4.5083544933313499E-2</v>
      </c>
      <c r="E95" s="18">
        <f t="shared" si="62"/>
        <v>5.183603595398348E-3</v>
      </c>
      <c r="F95" s="18">
        <f t="shared" si="62"/>
        <v>2.6360021143672131E-2</v>
      </c>
      <c r="H95" s="12">
        <v>0.72916666666666663</v>
      </c>
      <c r="I95" s="17">
        <f t="shared" ref="I95:M95" si="63">I38/I$59</f>
        <v>5.9626197703801509E-3</v>
      </c>
      <c r="J95" s="17">
        <f t="shared" si="63"/>
        <v>4.2434043406412818E-3</v>
      </c>
      <c r="K95" s="17">
        <f t="shared" si="63"/>
        <v>3.6059082522932433E-2</v>
      </c>
      <c r="L95" s="17">
        <f t="shared" si="63"/>
        <v>8.2251732070413551E-3</v>
      </c>
      <c r="M95" s="18">
        <f t="shared" si="63"/>
        <v>2.0712818644272192E-2</v>
      </c>
    </row>
    <row r="96" spans="1:13" x14ac:dyDescent="0.25">
      <c r="A96" s="12">
        <v>0.75</v>
      </c>
      <c r="B96" s="18">
        <f t="shared" ref="B96:F96" si="64">B39/B$59</f>
        <v>3.5947979687482759E-3</v>
      </c>
      <c r="C96" s="18">
        <f t="shared" si="64"/>
        <v>4.1835361556444208E-3</v>
      </c>
      <c r="D96" s="18">
        <f t="shared" si="64"/>
        <v>4.5478013092987594E-2</v>
      </c>
      <c r="E96" s="18">
        <f t="shared" si="64"/>
        <v>3.5047547650420906E-3</v>
      </c>
      <c r="F96" s="18">
        <f t="shared" si="64"/>
        <v>2.6157357255937676E-2</v>
      </c>
      <c r="H96" s="12">
        <v>0.75</v>
      </c>
      <c r="I96" s="17">
        <f t="shared" ref="I96:M96" si="65">I39/I$59</f>
        <v>5.284795891420108E-3</v>
      </c>
      <c r="J96" s="17">
        <f t="shared" si="65"/>
        <v>3.8703864073685564E-3</v>
      </c>
      <c r="K96" s="17">
        <f t="shared" si="65"/>
        <v>3.0684971120764473E-2</v>
      </c>
      <c r="L96" s="17">
        <f t="shared" si="65"/>
        <v>6.8817059904576951E-3</v>
      </c>
      <c r="M96" s="18">
        <f t="shared" si="65"/>
        <v>1.770174447793136E-2</v>
      </c>
    </row>
    <row r="97" spans="1:13" x14ac:dyDescent="0.25">
      <c r="A97" s="12">
        <v>0.77083333333333337</v>
      </c>
      <c r="B97" s="18">
        <f t="shared" ref="B97:F97" si="66">B40/B$59</f>
        <v>2.7343789617201193E-3</v>
      </c>
      <c r="C97" s="18">
        <f t="shared" si="66"/>
        <v>3.4769079024411726E-3</v>
      </c>
      <c r="D97" s="18">
        <f t="shared" si="66"/>
        <v>4.3353186369312381E-2</v>
      </c>
      <c r="E97" s="18">
        <f t="shared" si="66"/>
        <v>2.5490628520475679E-3</v>
      </c>
      <c r="F97" s="18">
        <f t="shared" si="66"/>
        <v>2.4634289732494801E-2</v>
      </c>
      <c r="H97" s="12">
        <v>0.77083333333333337</v>
      </c>
      <c r="I97" s="17">
        <f t="shared" ref="I97:M97" si="67">I40/I$59</f>
        <v>4.5096903369275443E-3</v>
      </c>
      <c r="J97" s="17">
        <f t="shared" si="67"/>
        <v>3.4163725762789998E-3</v>
      </c>
      <c r="K97" s="17">
        <f t="shared" si="67"/>
        <v>2.540559885117355E-2</v>
      </c>
      <c r="L97" s="17">
        <f t="shared" si="67"/>
        <v>5.6488696795822446E-3</v>
      </c>
      <c r="M97" s="18">
        <f t="shared" si="67"/>
        <v>1.4712972465141987E-2</v>
      </c>
    </row>
    <row r="98" spans="1:13" x14ac:dyDescent="0.25">
      <c r="A98" s="12">
        <v>0.79166666666666663</v>
      </c>
      <c r="B98" s="18">
        <f t="shared" ref="B98:F98" si="68">B41/B$59</f>
        <v>2.0373300880901809E-3</v>
      </c>
      <c r="C98" s="18">
        <f t="shared" si="68"/>
        <v>2.6393670439115373E-3</v>
      </c>
      <c r="D98" s="18">
        <f t="shared" si="68"/>
        <v>3.8641419135548784E-2</v>
      </c>
      <c r="E98" s="18">
        <f t="shared" si="68"/>
        <v>2.0653832821333567E-3</v>
      </c>
      <c r="F98" s="18">
        <f t="shared" si="68"/>
        <v>2.1770563824467015E-2</v>
      </c>
      <c r="H98" s="12">
        <v>0.79166666666666663</v>
      </c>
      <c r="I98" s="17">
        <f t="shared" ref="I98:M98" si="69">I41/I$59</f>
        <v>3.7022042233066945E-3</v>
      </c>
      <c r="J98" s="17">
        <f t="shared" si="69"/>
        <v>2.9115368813930525E-3</v>
      </c>
      <c r="K98" s="17">
        <f t="shared" si="69"/>
        <v>2.0688422144958741E-2</v>
      </c>
      <c r="L98" s="17">
        <f t="shared" si="69"/>
        <v>4.5494790776194173E-3</v>
      </c>
      <c r="M98" s="18">
        <f t="shared" si="69"/>
        <v>1.1998986436028718E-2</v>
      </c>
    </row>
    <row r="99" spans="1:13" x14ac:dyDescent="0.25">
      <c r="A99" s="12">
        <v>0.8125</v>
      </c>
      <c r="B99" s="18">
        <f t="shared" ref="B99:F99" si="70">B42/B$59</f>
        <v>1.5103966273513349E-3</v>
      </c>
      <c r="C99" s="18">
        <f t="shared" si="70"/>
        <v>1.8289323095730318E-3</v>
      </c>
      <c r="D99" s="18">
        <f t="shared" si="70"/>
        <v>3.2108281517050578E-2</v>
      </c>
      <c r="E99" s="18">
        <f t="shared" si="70"/>
        <v>1.7670186355369347E-3</v>
      </c>
      <c r="F99" s="18">
        <f t="shared" si="70"/>
        <v>1.7989952250174461E-2</v>
      </c>
      <c r="H99" s="12">
        <v>0.8125</v>
      </c>
      <c r="I99" s="17">
        <f t="shared" ref="I99:M99" si="71">I42/I$59</f>
        <v>2.9549304091515318E-3</v>
      </c>
      <c r="J99" s="17">
        <f t="shared" si="71"/>
        <v>2.4345862173832979E-3</v>
      </c>
      <c r="K99" s="17">
        <f t="shared" si="71"/>
        <v>1.6845621883492118E-2</v>
      </c>
      <c r="L99" s="17">
        <f t="shared" si="71"/>
        <v>3.7178906764432666E-3</v>
      </c>
      <c r="M99" s="18">
        <f t="shared" si="71"/>
        <v>9.7627435723034416E-3</v>
      </c>
    </row>
    <row r="100" spans="1:13" x14ac:dyDescent="0.25">
      <c r="A100" s="12">
        <v>0.83333333333333337</v>
      </c>
      <c r="B100" s="18">
        <f t="shared" ref="B100:F100" si="72">B43/B$59</f>
        <v>1.1444224405435632E-3</v>
      </c>
      <c r="C100" s="18">
        <f t="shared" si="72"/>
        <v>1.1752269681090813E-3</v>
      </c>
      <c r="D100" s="18">
        <f t="shared" si="72"/>
        <v>2.4969425595858283E-2</v>
      </c>
      <c r="E100" s="18">
        <f t="shared" si="72"/>
        <v>1.4588058553758484E-3</v>
      </c>
      <c r="F100" s="18">
        <f t="shared" si="72"/>
        <v>1.3952485673372449E-2</v>
      </c>
      <c r="H100" s="12">
        <v>0.83333333333333337</v>
      </c>
      <c r="I100" s="17">
        <f t="shared" ref="I100:M100" si="73">I43/I$59</f>
        <v>2.3378608477844761E-3</v>
      </c>
      <c r="J100" s="17">
        <f t="shared" si="73"/>
        <v>2.0422129019421298E-3</v>
      </c>
      <c r="K100" s="17">
        <f t="shared" si="73"/>
        <v>1.3924541683202715E-2</v>
      </c>
      <c r="L100" s="17">
        <f t="shared" si="73"/>
        <v>3.2302391179854645E-3</v>
      </c>
      <c r="M100" s="18">
        <f t="shared" si="73"/>
        <v>8.0623088321784935E-3</v>
      </c>
    </row>
    <row r="101" spans="1:13" x14ac:dyDescent="0.25">
      <c r="A101" s="12">
        <v>0.85416666666666663</v>
      </c>
      <c r="B101" s="18">
        <f t="shared" ref="B101:F101" si="74">B44/B$59</f>
        <v>9.174502492460628E-4</v>
      </c>
      <c r="C101" s="18">
        <f t="shared" si="74"/>
        <v>7.4676434498216785E-4</v>
      </c>
      <c r="D101" s="18">
        <f t="shared" si="74"/>
        <v>1.8349046798009486E-2</v>
      </c>
      <c r="E101" s="18">
        <f t="shared" si="74"/>
        <v>1.0908648347017619E-3</v>
      </c>
      <c r="F101" s="18">
        <f t="shared" si="74"/>
        <v>1.0262210761766123E-2</v>
      </c>
      <c r="H101" s="12">
        <v>0.85416666666666663</v>
      </c>
      <c r="I101" s="17">
        <f t="shared" ref="I101:M101" si="75">I44/I$59</f>
        <v>1.8658096589801183E-3</v>
      </c>
      <c r="J101" s="17">
        <f t="shared" si="75"/>
        <v>1.726915062527536E-3</v>
      </c>
      <c r="K101" s="17">
        <f t="shared" si="75"/>
        <v>1.1687787220160248E-2</v>
      </c>
      <c r="L101" s="17">
        <f t="shared" si="75"/>
        <v>2.992105456868786E-3</v>
      </c>
      <c r="M101" s="18">
        <f t="shared" si="75"/>
        <v>6.7741590134513816E-3</v>
      </c>
    </row>
    <row r="102" spans="1:13" x14ac:dyDescent="0.25">
      <c r="A102" s="12">
        <v>0.875</v>
      </c>
      <c r="B102" s="18">
        <f t="shared" ref="B102:F102" si="76">B45/B$59</f>
        <v>7.8819550065435196E-4</v>
      </c>
      <c r="C102" s="18">
        <f t="shared" si="76"/>
        <v>5.637112845503047E-4</v>
      </c>
      <c r="D102" s="18">
        <f t="shared" si="76"/>
        <v>1.2913605760482965E-2</v>
      </c>
      <c r="E102" s="18">
        <f t="shared" si="76"/>
        <v>7.183048613272913E-4</v>
      </c>
      <c r="F102" s="18">
        <f t="shared" si="76"/>
        <v>7.2688151208017372E-3</v>
      </c>
      <c r="H102" s="12">
        <v>0.875</v>
      </c>
      <c r="I102" s="17">
        <f t="shared" ref="I102:M102" si="77">I45/I$59</f>
        <v>1.5066196677681843E-3</v>
      </c>
      <c r="J102" s="17">
        <f t="shared" si="77"/>
        <v>1.4365214680370647E-3</v>
      </c>
      <c r="K102" s="17">
        <f t="shared" si="77"/>
        <v>9.7660112596357918E-3</v>
      </c>
      <c r="L102" s="17">
        <f t="shared" si="77"/>
        <v>2.7863459594364296E-3</v>
      </c>
      <c r="M102" s="18">
        <f t="shared" si="77"/>
        <v>5.6778724862620216E-3</v>
      </c>
    </row>
    <row r="103" spans="1:13" x14ac:dyDescent="0.25">
      <c r="A103" s="12">
        <v>0.89583333333333337</v>
      </c>
      <c r="B103" s="18">
        <f t="shared" ref="B103:F103" si="78">B46/B$59</f>
        <v>6.9871845824994447E-4</v>
      </c>
      <c r="C103" s="18">
        <f t="shared" si="78"/>
        <v>6.2552312174978246E-4</v>
      </c>
      <c r="D103" s="18">
        <f t="shared" si="78"/>
        <v>8.8208791457820186E-3</v>
      </c>
      <c r="E103" s="18">
        <f t="shared" si="78"/>
        <v>4.1433305459736034E-4</v>
      </c>
      <c r="F103" s="18">
        <f t="shared" si="78"/>
        <v>5.041736297719872E-3</v>
      </c>
      <c r="H103" s="12">
        <v>0.89583333333333337</v>
      </c>
      <c r="I103" s="17">
        <f t="shared" ref="I103:M103" si="79">I46/I$59</f>
        <v>1.2150682651909967E-3</v>
      </c>
      <c r="J103" s="17">
        <f t="shared" si="79"/>
        <v>1.1287005092736016E-3</v>
      </c>
      <c r="K103" s="17">
        <f t="shared" si="79"/>
        <v>7.8882533145916266E-3</v>
      </c>
      <c r="L103" s="17">
        <f t="shared" si="79"/>
        <v>2.4306010276321987E-3</v>
      </c>
      <c r="M103" s="18">
        <f t="shared" si="79"/>
        <v>4.6025912308185384E-3</v>
      </c>
    </row>
    <row r="104" spans="1:13" x14ac:dyDescent="0.25">
      <c r="A104" s="12">
        <v>0.91666666666666663</v>
      </c>
      <c r="B104" s="18">
        <f t="shared" ref="B104:F104" si="80">B47/B$59</f>
        <v>5.9759726124646929E-4</v>
      </c>
      <c r="C104" s="18">
        <f t="shared" si="80"/>
        <v>9.0787728160140113E-4</v>
      </c>
      <c r="D104" s="18">
        <f t="shared" si="80"/>
        <v>5.8946941526059398E-3</v>
      </c>
      <c r="E104" s="18">
        <f t="shared" si="80"/>
        <v>2.1083225374379691E-4</v>
      </c>
      <c r="F104" s="18">
        <f t="shared" si="80"/>
        <v>3.4687081250284212E-3</v>
      </c>
      <c r="H104" s="12">
        <v>0.91666666666666663</v>
      </c>
      <c r="I104" s="17">
        <f t="shared" ref="I104:M104" si="81">I47/I$59</f>
        <v>9.6050755972026177E-4</v>
      </c>
      <c r="J104" s="17">
        <f t="shared" si="81"/>
        <v>8.0702679929137004E-4</v>
      </c>
      <c r="K104" s="17">
        <f t="shared" si="81"/>
        <v>6.0092716011418777E-3</v>
      </c>
      <c r="L104" s="17">
        <f t="shared" si="81"/>
        <v>1.8968801676333398E-3</v>
      </c>
      <c r="M104" s="18">
        <f t="shared" si="81"/>
        <v>3.5149027900229289E-3</v>
      </c>
    </row>
    <row r="105" spans="1:13" x14ac:dyDescent="0.25">
      <c r="A105" s="12">
        <v>0.9375</v>
      </c>
      <c r="B105" s="18">
        <f t="shared" ref="B105:F105" si="82">B48/B$59</f>
        <v>4.6594685183156022E-4</v>
      </c>
      <c r="C105" s="18">
        <f t="shared" si="82"/>
        <v>1.3219777308438893E-3</v>
      </c>
      <c r="D105" s="18">
        <f t="shared" si="82"/>
        <v>3.8470943783027725E-3</v>
      </c>
      <c r="E105" s="18">
        <f t="shared" si="82"/>
        <v>9.5480751453229205E-5</v>
      </c>
      <c r="F105" s="18">
        <f t="shared" si="82"/>
        <v>2.3777314842173712E-3</v>
      </c>
      <c r="H105" s="12">
        <v>0.9375</v>
      </c>
      <c r="I105" s="17">
        <f t="shared" ref="I105:M105" si="83">I48/I$59</f>
        <v>7.3240500436995838E-4</v>
      </c>
      <c r="J105" s="17">
        <f t="shared" si="83"/>
        <v>5.1190478389960114E-4</v>
      </c>
      <c r="K105" s="17">
        <f t="shared" si="83"/>
        <v>4.2583739906010042E-3</v>
      </c>
      <c r="L105" s="17">
        <f t="shared" si="83"/>
        <v>1.297782384062706E-3</v>
      </c>
      <c r="M105" s="18">
        <f t="shared" si="83"/>
        <v>2.4927406343959089E-3</v>
      </c>
    </row>
    <row r="106" spans="1:13" x14ac:dyDescent="0.25">
      <c r="A106" s="12">
        <v>0.95833333333333337</v>
      </c>
      <c r="B106" s="18">
        <f t="shared" ref="B106:F106" si="84">B49/B$59</f>
        <v>3.2042679514011983E-4</v>
      </c>
      <c r="C106" s="18">
        <f t="shared" si="84"/>
        <v>1.6953434727189712E-3</v>
      </c>
      <c r="D106" s="18">
        <f t="shared" si="84"/>
        <v>2.4239547264197059E-3</v>
      </c>
      <c r="E106" s="18">
        <f t="shared" si="84"/>
        <v>3.8418541162280939E-5</v>
      </c>
      <c r="F106" s="18">
        <f t="shared" si="84"/>
        <v>1.6146248750364585E-3</v>
      </c>
      <c r="H106" s="12">
        <v>0.95833333333333337</v>
      </c>
      <c r="I106" s="17">
        <f t="shared" ref="I106:M106" si="85">I49/I$59</f>
        <v>5.3162806370534214E-4</v>
      </c>
      <c r="J106" s="17">
        <f t="shared" si="85"/>
        <v>2.8430835962616456E-4</v>
      </c>
      <c r="K106" s="17">
        <f t="shared" si="85"/>
        <v>2.7939552577093039E-3</v>
      </c>
      <c r="L106" s="17">
        <f t="shared" si="85"/>
        <v>7.768173524125468E-4</v>
      </c>
      <c r="M106" s="18">
        <f t="shared" si="85"/>
        <v>1.6350333815113088E-3</v>
      </c>
    </row>
    <row r="107" spans="1:13" x14ac:dyDescent="0.25">
      <c r="A107" s="12">
        <v>0.97916666666666663</v>
      </c>
      <c r="B107" s="18">
        <f t="shared" ref="B107:F107" si="86">B50/B$59</f>
        <v>1.9149841846810648E-4</v>
      </c>
      <c r="C107" s="18">
        <f t="shared" si="86"/>
        <v>1.8373754666286015E-3</v>
      </c>
      <c r="D107" s="18">
        <f t="shared" si="86"/>
        <v>1.4490582443426761E-3</v>
      </c>
      <c r="E107" s="18">
        <f t="shared" si="86"/>
        <v>1.3436527498487149E-5</v>
      </c>
      <c r="F107" s="18">
        <f t="shared" si="86"/>
        <v>1.0690664298713744E-3</v>
      </c>
      <c r="H107" s="12">
        <v>0.97916666666666663</v>
      </c>
      <c r="I107" s="17">
        <f t="shared" ref="I107:M107" si="87">I50/I$59</f>
        <v>3.6187397911682269E-4</v>
      </c>
      <c r="J107" s="17">
        <f t="shared" si="87"/>
        <v>1.3822334841818036E-4</v>
      </c>
      <c r="K107" s="17">
        <f t="shared" si="87"/>
        <v>1.6954740219847241E-3</v>
      </c>
      <c r="L107" s="17">
        <f t="shared" si="87"/>
        <v>4.1212283994473552E-4</v>
      </c>
      <c r="M107" s="18">
        <f t="shared" si="87"/>
        <v>9.9224474328540738E-4</v>
      </c>
    </row>
    <row r="108" spans="1:13" x14ac:dyDescent="0.25">
      <c r="A108" s="12">
        <v>1</v>
      </c>
      <c r="B108" s="18">
        <f t="shared" ref="B108:F108" si="88">B51/B$59</f>
        <v>9.9113154941462883E-5</v>
      </c>
      <c r="C108" s="18">
        <f t="shared" si="88"/>
        <v>1.6602635464489938E-3</v>
      </c>
      <c r="D108" s="18">
        <f t="shared" si="88"/>
        <v>8.0633104868757109E-4</v>
      </c>
      <c r="E108" s="18">
        <f t="shared" si="88"/>
        <v>3.9131808992341448E-6</v>
      </c>
      <c r="F108" s="18">
        <f t="shared" si="88"/>
        <v>6.7314469468522133E-4</v>
      </c>
      <c r="H108" s="12">
        <v>1</v>
      </c>
      <c r="I108" s="17">
        <f t="shared" ref="I108:M108" si="89">I51/I$59</f>
        <v>2.2647432655385359E-4</v>
      </c>
      <c r="J108" s="17">
        <f t="shared" si="89"/>
        <v>5.9780660282865317E-5</v>
      </c>
      <c r="K108" s="17">
        <f t="shared" si="89"/>
        <v>9.4780230395846547E-4</v>
      </c>
      <c r="L108" s="17">
        <f t="shared" si="89"/>
        <v>1.9890480277170934E-4</v>
      </c>
      <c r="M108" s="18">
        <f t="shared" si="89"/>
        <v>5.5572159253936969E-4</v>
      </c>
    </row>
    <row r="109" spans="1:13" x14ac:dyDescent="0.25">
      <c r="A109" s="12">
        <v>1.0208333333333333</v>
      </c>
      <c r="B109" s="18">
        <f t="shared" ref="B109:F109" si="90">B52/B$59</f>
        <v>4.4578878032847837E-5</v>
      </c>
      <c r="C109" s="18">
        <f t="shared" si="90"/>
        <v>1.2419158515260111E-3</v>
      </c>
      <c r="D109" s="18">
        <f t="shared" si="90"/>
        <v>4.0970280052383018E-4</v>
      </c>
      <c r="E109" s="18">
        <f t="shared" si="90"/>
        <v>8.9385584038044933E-7</v>
      </c>
      <c r="F109" s="18">
        <f t="shared" si="90"/>
        <v>3.905949427453305E-4</v>
      </c>
      <c r="H109" s="12">
        <v>1.0208333333333333</v>
      </c>
      <c r="I109" s="17">
        <f t="shared" ref="I109:M109" si="91">I52/I$59</f>
        <v>1.2723496636163234E-4</v>
      </c>
      <c r="J109" s="17">
        <f t="shared" si="91"/>
        <v>2.3796978273724056E-5</v>
      </c>
      <c r="K109" s="17">
        <f t="shared" si="91"/>
        <v>4.8233494669402271E-4</v>
      </c>
      <c r="L109" s="17">
        <f t="shared" si="91"/>
        <v>8.9889970633040163E-5</v>
      </c>
      <c r="M109" s="18">
        <f t="shared" si="91"/>
        <v>2.8405266230970033E-4</v>
      </c>
    </row>
    <row r="110" spans="1:13" x14ac:dyDescent="0.25">
      <c r="A110" s="12">
        <v>4.1666666666666664E-2</v>
      </c>
      <c r="B110" s="18">
        <f t="shared" ref="B110:F110" si="92">B53/B$59</f>
        <v>1.7544017840423742E-5</v>
      </c>
      <c r="C110" s="18">
        <f t="shared" si="92"/>
        <v>7.632882013634965E-4</v>
      </c>
      <c r="D110" s="18">
        <f t="shared" si="92"/>
        <v>1.8634784492720384E-4</v>
      </c>
      <c r="E110" s="18">
        <f t="shared" si="92"/>
        <v>1.4776651754894008E-7</v>
      </c>
      <c r="F110" s="18">
        <f t="shared" si="92"/>
        <v>2.0190319134138492E-4</v>
      </c>
      <c r="H110" s="12">
        <v>4.1666666666666664E-2</v>
      </c>
      <c r="I110" s="17">
        <f t="shared" ref="I110:M110" si="93">I53/I$59</f>
        <v>6.2529558417887015E-5</v>
      </c>
      <c r="J110" s="17">
        <f t="shared" si="93"/>
        <v>9.0430047696232878E-6</v>
      </c>
      <c r="K110" s="17">
        <f t="shared" si="93"/>
        <v>2.1886580364938819E-4</v>
      </c>
      <c r="L110" s="17">
        <f t="shared" si="93"/>
        <v>3.8375190894377045E-5</v>
      </c>
      <c r="M110" s="18">
        <f t="shared" si="93"/>
        <v>1.2974165683512931E-4</v>
      </c>
    </row>
    <row r="111" spans="1:13" x14ac:dyDescent="0.25">
      <c r="A111" s="12">
        <v>6.25E-2</v>
      </c>
      <c r="B111" s="18">
        <f t="shared" ref="B111:F111" si="94">B54/B$59</f>
        <v>6.0691191720785273E-6</v>
      </c>
      <c r="C111" s="18">
        <f t="shared" si="94"/>
        <v>3.8137855044533903E-4</v>
      </c>
      <c r="D111" s="18">
        <f t="shared" si="94"/>
        <v>7.4233908142891554E-5</v>
      </c>
      <c r="E111" s="18">
        <f t="shared" si="94"/>
        <v>1.5554370268309482E-8</v>
      </c>
      <c r="F111" s="18">
        <f t="shared" si="94"/>
        <v>8.9923951419918963E-5</v>
      </c>
      <c r="H111" s="12">
        <v>6.25E-2</v>
      </c>
      <c r="I111" s="17">
        <f t="shared" ref="I111:M111" si="95">I54/I$59</f>
        <v>2.6175565435469323E-5</v>
      </c>
      <c r="J111" s="17">
        <f t="shared" si="95"/>
        <v>3.2871252781974212E-6</v>
      </c>
      <c r="K111" s="17">
        <f t="shared" si="95"/>
        <v>8.6155149246474978E-5</v>
      </c>
      <c r="L111" s="17">
        <f t="shared" si="95"/>
        <v>1.5057436501082634E-5</v>
      </c>
      <c r="M111" s="18">
        <f t="shared" si="95"/>
        <v>5.146858772148477E-5</v>
      </c>
    </row>
    <row r="112" spans="1:13" x14ac:dyDescent="0.25">
      <c r="A112" s="12">
        <v>8.3333333333333329E-2</v>
      </c>
      <c r="B112" s="18">
        <f t="shared" ref="B112:F112" si="96">B55/B$59</f>
        <v>1.8340027309078149E-6</v>
      </c>
      <c r="C112" s="18">
        <f t="shared" si="96"/>
        <v>1.5248377420086289E-4</v>
      </c>
      <c r="D112" s="18">
        <f t="shared" si="96"/>
        <v>2.5264886608973302E-5</v>
      </c>
      <c r="E112" s="18">
        <f t="shared" si="96"/>
        <v>7.777185134154741E-10</v>
      </c>
      <c r="F112" s="18">
        <f t="shared" si="96"/>
        <v>3.3402250263702018E-5</v>
      </c>
      <c r="H112" s="12">
        <v>8.3333333333333329E-2</v>
      </c>
      <c r="I112" s="17">
        <f t="shared" ref="I112:M112" si="97">I55/I$59</f>
        <v>9.0735831207892691E-6</v>
      </c>
      <c r="J112" s="17">
        <f t="shared" si="97"/>
        <v>1.087203729415572E-6</v>
      </c>
      <c r="K112" s="17">
        <f t="shared" si="97"/>
        <v>2.8495615468951524E-5</v>
      </c>
      <c r="L112" s="17">
        <f t="shared" si="97"/>
        <v>5.1483348241543468E-6</v>
      </c>
      <c r="M112" s="18">
        <f t="shared" si="97"/>
        <v>1.7158244418726301E-5</v>
      </c>
    </row>
    <row r="113" spans="1:13" x14ac:dyDescent="0.25">
      <c r="A113" s="12">
        <v>0.10416666666666667</v>
      </c>
      <c r="B113" s="18">
        <f t="shared" ref="B113:F113" si="98">B56/B$59</f>
        <v>4.7181366276801264E-7</v>
      </c>
      <c r="C113" s="18">
        <f t="shared" si="98"/>
        <v>4.7626207346256532E-5</v>
      </c>
      <c r="D113" s="18">
        <f t="shared" si="98"/>
        <v>7.1347898093100086E-6</v>
      </c>
      <c r="E113" s="18">
        <f t="shared" si="98"/>
        <v>0</v>
      </c>
      <c r="F113" s="18">
        <f t="shared" si="98"/>
        <v>9.9958690806025495E-6</v>
      </c>
      <c r="H113" s="12">
        <v>0.10416666666666667</v>
      </c>
      <c r="I113" s="17">
        <f t="shared" ref="I113:M113" si="99">I56/I$59</f>
        <v>2.5199722334152697E-6</v>
      </c>
      <c r="J113" s="17">
        <f t="shared" si="99"/>
        <v>3.031668440068495E-7</v>
      </c>
      <c r="K113" s="17">
        <f t="shared" si="99"/>
        <v>7.6309161613236205E-6</v>
      </c>
      <c r="L113" s="17">
        <f t="shared" si="99"/>
        <v>1.4451757692132789E-6</v>
      </c>
      <c r="M113" s="18">
        <f t="shared" si="99"/>
        <v>4.6290060786387512E-6</v>
      </c>
    </row>
    <row r="114" spans="1:13" x14ac:dyDescent="0.25">
      <c r="A114" s="12">
        <v>0.125</v>
      </c>
      <c r="B114" s="18">
        <f t="shared" ref="B114:F114" si="100">B57/B$59</f>
        <v>9.6805099355547877E-8</v>
      </c>
      <c r="C114" s="18">
        <f t="shared" si="100"/>
        <v>1.1009221733969275E-5</v>
      </c>
      <c r="D114" s="18">
        <f t="shared" si="100"/>
        <v>1.5816625022742578E-6</v>
      </c>
      <c r="E114" s="18">
        <f t="shared" si="100"/>
        <v>0</v>
      </c>
      <c r="F114" s="18">
        <f t="shared" si="100"/>
        <v>2.2706033669600001E-6</v>
      </c>
      <c r="H114" s="12">
        <v>0.125</v>
      </c>
      <c r="I114" s="17">
        <f t="shared" ref="I114:M114" si="101">I57/I$59</f>
        <v>5.2914308421379795E-7</v>
      </c>
      <c r="J114" s="17">
        <f t="shared" si="101"/>
        <v>6.501132864765289E-8</v>
      </c>
      <c r="K114" s="17">
        <f t="shared" si="101"/>
        <v>1.5573801137673977E-6</v>
      </c>
      <c r="L114" s="17">
        <f t="shared" si="101"/>
        <v>3.0884583671485933E-7</v>
      </c>
      <c r="M114" s="18">
        <f t="shared" si="101"/>
        <v>9.5082791849615962E-7</v>
      </c>
    </row>
    <row r="115" spans="1:13" ht="15.75" thickBot="1" x14ac:dyDescent="0.3">
      <c r="A115" s="13" t="s">
        <v>34</v>
      </c>
      <c r="B115" s="20">
        <f t="shared" ref="B115:F115" si="102">B58/B$59</f>
        <v>0</v>
      </c>
      <c r="C115" s="20">
        <f t="shared" si="102"/>
        <v>0</v>
      </c>
      <c r="D115" s="20">
        <f t="shared" si="102"/>
        <v>0</v>
      </c>
      <c r="E115" s="20">
        <f t="shared" si="102"/>
        <v>0</v>
      </c>
      <c r="F115" s="20">
        <f t="shared" si="102"/>
        <v>0</v>
      </c>
      <c r="H115" s="13" t="s">
        <v>34</v>
      </c>
      <c r="I115" s="19">
        <f t="shared" ref="I115:M115" si="103">I58/I$59</f>
        <v>0</v>
      </c>
      <c r="J115" s="19">
        <f t="shared" si="103"/>
        <v>0</v>
      </c>
      <c r="K115" s="19">
        <f t="shared" si="103"/>
        <v>0</v>
      </c>
      <c r="L115" s="19">
        <f t="shared" si="103"/>
        <v>0</v>
      </c>
      <c r="M115" s="20">
        <f t="shared" si="103"/>
        <v>0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15"/>
  <sheetViews>
    <sheetView workbookViewId="0">
      <selection activeCell="A3" sqref="A3"/>
    </sheetView>
  </sheetViews>
  <sheetFormatPr defaultRowHeight="15" x14ac:dyDescent="0.25"/>
  <cols>
    <col min="1" max="1" width="12.7109375" customWidth="1" collapsed="1"/>
    <col min="2" max="6" width="10.7109375" customWidth="1" collapsed="1"/>
    <col min="7" max="7" width="6.42578125" customWidth="1" collapsed="1"/>
    <col min="8" max="8" width="12.7109375" customWidth="1" collapsed="1"/>
    <col min="9" max="13" width="10.7109375" customWidth="1" collapsed="1"/>
  </cols>
  <sheetData>
    <row r="1" spans="1:17" x14ac:dyDescent="0.25">
      <c r="A1" t="s">
        <v>10</v>
      </c>
    </row>
    <row r="2" spans="1:17" x14ac:dyDescent="0.25">
      <c r="A2" t="s">
        <v>59</v>
      </c>
    </row>
    <row r="3" spans="1:17" x14ac:dyDescent="0.25">
      <c r="A3" t="s">
        <v>7</v>
      </c>
    </row>
    <row r="6" spans="1:17" ht="15.75" thickBot="1" x14ac:dyDescent="0.3">
      <c r="A6" s="3" t="s">
        <v>49</v>
      </c>
      <c r="B6" s="1"/>
      <c r="C6" s="1"/>
      <c r="D6" s="1"/>
      <c r="E6" s="1"/>
      <c r="F6" s="1"/>
      <c r="H6" s="3" t="s">
        <v>11</v>
      </c>
      <c r="I6" s="1"/>
      <c r="J6" s="1"/>
      <c r="K6" s="1"/>
      <c r="L6" s="1"/>
      <c r="M6" s="1"/>
      <c r="O6" s="11"/>
      <c r="P6" s="5"/>
      <c r="Q6" s="5"/>
    </row>
    <row r="7" spans="1:17" x14ac:dyDescent="0.25">
      <c r="A7" s="2" t="s">
        <v>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</row>
    <row r="8" spans="1:17" x14ac:dyDescent="0.25">
      <c r="A8" t="s">
        <v>5</v>
      </c>
      <c r="B8" s="6">
        <v>0</v>
      </c>
      <c r="C8" s="6">
        <v>0</v>
      </c>
      <c r="D8" s="6">
        <v>0</v>
      </c>
      <c r="E8" s="6">
        <v>0</v>
      </c>
      <c r="F8" s="6">
        <f>SUM(B8:E8)</f>
        <v>0</v>
      </c>
      <c r="H8" t="s">
        <v>5</v>
      </c>
      <c r="I8" s="9">
        <v>20636</v>
      </c>
      <c r="J8" s="9">
        <v>13</v>
      </c>
      <c r="K8" s="9">
        <v>119</v>
      </c>
      <c r="L8" s="9">
        <v>132</v>
      </c>
      <c r="M8">
        <f>SUM(I8:L8)</f>
        <v>20900</v>
      </c>
      <c r="O8" s="5"/>
      <c r="P8" s="16"/>
      <c r="Q8" s="16"/>
    </row>
    <row r="9" spans="1:17" x14ac:dyDescent="0.25">
      <c r="A9" s="12">
        <v>0.125</v>
      </c>
      <c r="B9" s="6">
        <v>11.860858197402955</v>
      </c>
      <c r="C9" s="6">
        <v>3.1040471858978265</v>
      </c>
      <c r="D9" s="6">
        <v>748.74027162561401</v>
      </c>
      <c r="E9" s="6">
        <v>2.7699098006248466</v>
      </c>
      <c r="F9" s="6">
        <f t="shared" ref="F9:F58" si="0">SUM(B9:E9)</f>
        <v>766.47508680953968</v>
      </c>
      <c r="H9" s="12">
        <v>0.125</v>
      </c>
      <c r="I9" s="9">
        <v>13723.679146766663</v>
      </c>
      <c r="J9" s="9">
        <v>25.265847206115723</v>
      </c>
      <c r="K9" s="9">
        <v>698.00364685058594</v>
      </c>
      <c r="L9" s="9">
        <v>433.9671049118042</v>
      </c>
      <c r="M9">
        <f t="shared" ref="M9:M58" si="1">SUM(I9:L9)</f>
        <v>14880.915745735168</v>
      </c>
      <c r="O9" s="5"/>
      <c r="P9" s="16"/>
      <c r="Q9" s="16"/>
    </row>
    <row r="10" spans="1:17" x14ac:dyDescent="0.25">
      <c r="A10" s="12">
        <v>0.14583333333333334</v>
      </c>
      <c r="B10" s="6">
        <v>24.669009416389468</v>
      </c>
      <c r="C10" s="6">
        <v>5.2670149354934681</v>
      </c>
      <c r="D10" s="6">
        <v>1570.6204645274161</v>
      </c>
      <c r="E10" s="6">
        <v>7.0159040910720813</v>
      </c>
      <c r="F10" s="6">
        <f t="shared" si="0"/>
        <v>1607.5723929703711</v>
      </c>
      <c r="H10" s="12">
        <v>0.14583333333333334</v>
      </c>
      <c r="I10" s="9">
        <v>7955.446704864502</v>
      </c>
      <c r="J10" s="9">
        <v>32.89792537689209</v>
      </c>
      <c r="K10" s="9">
        <v>1079.3961963653564</v>
      </c>
      <c r="L10" s="9">
        <v>584.20503902435303</v>
      </c>
      <c r="M10">
        <f t="shared" si="1"/>
        <v>9651.9458656311035</v>
      </c>
      <c r="O10" s="5"/>
      <c r="P10" s="16"/>
      <c r="Q10" s="16"/>
    </row>
    <row r="11" spans="1:17" x14ac:dyDescent="0.25">
      <c r="A11" s="12">
        <v>0.16666666666666666</v>
      </c>
      <c r="B11" s="6">
        <v>40.501912220859523</v>
      </c>
      <c r="C11" s="6">
        <v>6.0534663443565364</v>
      </c>
      <c r="D11" s="6">
        <v>2580.9874275952334</v>
      </c>
      <c r="E11" s="6">
        <v>14.558411630535124</v>
      </c>
      <c r="F11" s="6">
        <f t="shared" si="0"/>
        <v>2642.1012177909843</v>
      </c>
      <c r="H11" s="12">
        <v>0.16666666666666666</v>
      </c>
      <c r="I11" s="9">
        <v>3951.9735431671143</v>
      </c>
      <c r="J11" s="9">
        <v>40.396215438842773</v>
      </c>
      <c r="K11" s="9">
        <v>1316.0454711914063</v>
      </c>
      <c r="L11" s="9">
        <v>543.54125690460205</v>
      </c>
      <c r="M11">
        <f t="shared" si="1"/>
        <v>5851.9564867019653</v>
      </c>
      <c r="O11" s="5"/>
      <c r="P11" s="16"/>
      <c r="Q11" s="16"/>
    </row>
    <row r="12" spans="1:17" x14ac:dyDescent="0.25">
      <c r="A12" s="12">
        <v>0.1875</v>
      </c>
      <c r="B12" s="6">
        <v>67.141523546123508</v>
      </c>
      <c r="C12" s="6">
        <v>5.7577257899284362</v>
      </c>
      <c r="D12" s="6">
        <v>3982.1124852575304</v>
      </c>
      <c r="E12" s="6">
        <v>28.59778157711029</v>
      </c>
      <c r="F12" s="6">
        <f t="shared" si="0"/>
        <v>4083.6095161706926</v>
      </c>
      <c r="H12" s="12">
        <v>0.1875</v>
      </c>
      <c r="I12" s="9">
        <v>1660.1411581039429</v>
      </c>
      <c r="J12" s="9">
        <v>67.709447860717773</v>
      </c>
      <c r="K12" s="9">
        <v>1818.4652805328369</v>
      </c>
      <c r="L12" s="9">
        <v>396.12742328643799</v>
      </c>
      <c r="M12">
        <f t="shared" si="1"/>
        <v>3942.4433097839355</v>
      </c>
      <c r="O12" s="5"/>
      <c r="P12" s="5"/>
      <c r="Q12" s="5"/>
    </row>
    <row r="13" spans="1:17" x14ac:dyDescent="0.25">
      <c r="A13" s="12">
        <v>0.20833333333333334</v>
      </c>
      <c r="B13" s="6">
        <v>125.34193425312043</v>
      </c>
      <c r="C13" s="6">
        <v>5.7391267498970038</v>
      </c>
      <c r="D13" s="6">
        <v>6089.824191972446</v>
      </c>
      <c r="E13" s="6">
        <v>55.466330255699155</v>
      </c>
      <c r="F13" s="6">
        <f t="shared" si="0"/>
        <v>6276.3715832311627</v>
      </c>
      <c r="H13" s="12">
        <v>0.20833333333333334</v>
      </c>
      <c r="I13" s="9">
        <v>601.93221473693848</v>
      </c>
      <c r="J13" s="9">
        <v>152.41386222839355</v>
      </c>
      <c r="K13" s="9">
        <v>3305.0647878646851</v>
      </c>
      <c r="L13" s="9">
        <v>273.72893524169922</v>
      </c>
      <c r="M13">
        <f t="shared" si="1"/>
        <v>4333.1398000717163</v>
      </c>
    </row>
    <row r="14" spans="1:17" x14ac:dyDescent="0.25">
      <c r="A14" s="12">
        <v>0.22916666666666666</v>
      </c>
      <c r="B14" s="6">
        <v>252.81649604158406</v>
      </c>
      <c r="C14" s="6">
        <v>10.221563792419435</v>
      </c>
      <c r="D14" s="6">
        <v>9299.4468046072961</v>
      </c>
      <c r="E14" s="6">
        <v>106.17602677383425</v>
      </c>
      <c r="F14" s="6">
        <f t="shared" si="0"/>
        <v>9668.6608912151332</v>
      </c>
      <c r="H14" s="12">
        <v>0.22916666666666666</v>
      </c>
      <c r="I14" s="9">
        <v>243.16959095001221</v>
      </c>
      <c r="J14" s="9">
        <v>345.09204387664795</v>
      </c>
      <c r="K14" s="9">
        <v>6644.9608459472656</v>
      </c>
      <c r="L14" s="9">
        <v>288.70713996887207</v>
      </c>
      <c r="M14">
        <f t="shared" si="1"/>
        <v>7521.9296207427979</v>
      </c>
    </row>
    <row r="15" spans="1:17" x14ac:dyDescent="0.25">
      <c r="A15" s="12">
        <v>0.25</v>
      </c>
      <c r="B15" s="6">
        <v>498.23511807527547</v>
      </c>
      <c r="C15" s="6">
        <v>31.603925664806365</v>
      </c>
      <c r="D15" s="6">
        <v>13960.547735930251</v>
      </c>
      <c r="E15" s="6">
        <v>196.48055437231068</v>
      </c>
      <c r="F15" s="6">
        <f t="shared" si="0"/>
        <v>14686.867334042643</v>
      </c>
      <c r="H15" s="12">
        <v>0.25</v>
      </c>
      <c r="I15" s="9">
        <v>215.48294639587402</v>
      </c>
      <c r="J15" s="9">
        <v>694.13388919830322</v>
      </c>
      <c r="K15" s="9">
        <v>12595.159267425537</v>
      </c>
      <c r="L15" s="9">
        <v>528.91159152984619</v>
      </c>
      <c r="M15">
        <f t="shared" si="1"/>
        <v>14033.687694549561</v>
      </c>
    </row>
    <row r="16" spans="1:17" x14ac:dyDescent="0.25">
      <c r="A16" s="12">
        <v>0.27083333333333331</v>
      </c>
      <c r="B16" s="6">
        <v>906.22820895957943</v>
      </c>
      <c r="C16" s="6">
        <v>100.15391604251863</v>
      </c>
      <c r="D16" s="6">
        <v>20183.677357735825</v>
      </c>
      <c r="E16" s="6">
        <v>345.12163239908222</v>
      </c>
      <c r="F16" s="6">
        <f t="shared" si="0"/>
        <v>21535.181115137006</v>
      </c>
      <c r="H16" s="12">
        <v>0.27083333333333331</v>
      </c>
      <c r="I16" s="9">
        <v>341.30545330047607</v>
      </c>
      <c r="J16" s="9">
        <v>1223.9682674407959</v>
      </c>
      <c r="K16" s="9">
        <v>21448.950517654419</v>
      </c>
      <c r="L16" s="9">
        <v>1086.7780609130859</v>
      </c>
      <c r="M16">
        <f t="shared" si="1"/>
        <v>24101.002299308777</v>
      </c>
    </row>
    <row r="17" spans="1:13" x14ac:dyDescent="0.25">
      <c r="A17" s="12">
        <v>0.29166666666666669</v>
      </c>
      <c r="B17" s="6">
        <v>1505.6049511196138</v>
      </c>
      <c r="C17" s="6">
        <v>273.3988158119202</v>
      </c>
      <c r="D17" s="6">
        <v>27667.599376918028</v>
      </c>
      <c r="E17" s="6">
        <v>571.77174206743246</v>
      </c>
      <c r="F17" s="6">
        <f t="shared" si="0"/>
        <v>30018.374885916994</v>
      </c>
      <c r="H17" s="12">
        <v>0.29166666666666669</v>
      </c>
      <c r="I17" s="9">
        <v>566.984787940979</v>
      </c>
      <c r="J17" s="9">
        <v>1923.6365585327148</v>
      </c>
      <c r="K17" s="9">
        <v>32747.676616668701</v>
      </c>
      <c r="L17" s="9">
        <v>2081.8295574188232</v>
      </c>
      <c r="M17">
        <f t="shared" si="1"/>
        <v>37320.127520561218</v>
      </c>
    </row>
    <row r="18" spans="1:13" x14ac:dyDescent="0.25">
      <c r="A18" s="12">
        <v>0.3125</v>
      </c>
      <c r="B18" s="6">
        <v>2313.6862255224228</v>
      </c>
      <c r="C18" s="6">
        <v>632.59357477569586</v>
      </c>
      <c r="D18" s="6">
        <v>35673.402813586334</v>
      </c>
      <c r="E18" s="6">
        <v>897.19267847585684</v>
      </c>
      <c r="F18" s="6">
        <f t="shared" si="0"/>
        <v>39516.87529236031</v>
      </c>
      <c r="H18" s="12">
        <v>0.3125</v>
      </c>
      <c r="I18" s="9">
        <v>907.05132865905762</v>
      </c>
      <c r="J18" s="9">
        <v>2761.5048112869263</v>
      </c>
      <c r="K18" s="9">
        <v>45270.284337997437</v>
      </c>
      <c r="L18" s="9">
        <v>3680.904613494873</v>
      </c>
      <c r="M18">
        <f t="shared" si="1"/>
        <v>52619.745091438293</v>
      </c>
    </row>
    <row r="19" spans="1:13" x14ac:dyDescent="0.25">
      <c r="A19" s="12">
        <v>0.33333333333333331</v>
      </c>
      <c r="B19" s="6">
        <v>3354.4616636529922</v>
      </c>
      <c r="C19" s="6">
        <v>1255.2642018658639</v>
      </c>
      <c r="D19" s="6">
        <v>43244.707669676965</v>
      </c>
      <c r="E19" s="6">
        <v>1347.1195920407297</v>
      </c>
      <c r="F19" s="6">
        <f t="shared" si="0"/>
        <v>49201.553127236548</v>
      </c>
      <c r="H19" s="12">
        <v>0.33333333333333331</v>
      </c>
      <c r="I19" s="9">
        <v>1424.4257259368896</v>
      </c>
      <c r="J19" s="9">
        <v>3718.2103366851807</v>
      </c>
      <c r="K19" s="9">
        <v>57362.808311462402</v>
      </c>
      <c r="L19" s="9">
        <v>6132.9676523208618</v>
      </c>
      <c r="M19">
        <f t="shared" si="1"/>
        <v>68638.412026405334</v>
      </c>
    </row>
    <row r="20" spans="1:13" x14ac:dyDescent="0.25">
      <c r="A20" s="12">
        <v>0.35416666666666669</v>
      </c>
      <c r="B20" s="6">
        <v>4675.4435414993295</v>
      </c>
      <c r="C20" s="6">
        <v>2174.0487672800068</v>
      </c>
      <c r="D20" s="6">
        <v>49641.35650306024</v>
      </c>
      <c r="E20" s="6">
        <v>1960.3181900420186</v>
      </c>
      <c r="F20" s="6">
        <f t="shared" si="0"/>
        <v>58451.167001881593</v>
      </c>
      <c r="H20" s="12">
        <v>0.35416666666666669</v>
      </c>
      <c r="I20" s="9">
        <v>2214.1513376235962</v>
      </c>
      <c r="J20" s="9">
        <v>4805.8888559341431</v>
      </c>
      <c r="K20" s="9">
        <v>67442.206729888916</v>
      </c>
      <c r="L20" s="9">
        <v>9775.6144466400146</v>
      </c>
      <c r="M20">
        <f t="shared" si="1"/>
        <v>84237.86137008667</v>
      </c>
    </row>
    <row r="21" spans="1:13" x14ac:dyDescent="0.25">
      <c r="A21" s="12">
        <v>0.375</v>
      </c>
      <c r="B21" s="6">
        <v>6355.5728169017793</v>
      </c>
      <c r="C21" s="6">
        <v>3355.5937292057993</v>
      </c>
      <c r="D21" s="6">
        <v>54747.880181478497</v>
      </c>
      <c r="E21" s="6">
        <v>2801.9784381204599</v>
      </c>
      <c r="F21" s="6">
        <f t="shared" si="0"/>
        <v>67261.025165706538</v>
      </c>
      <c r="H21" s="12">
        <v>0.375</v>
      </c>
      <c r="I21" s="9">
        <v>3358.2885131835938</v>
      </c>
      <c r="J21" s="9">
        <v>6049.4684228897095</v>
      </c>
      <c r="K21" s="9">
        <v>74427.646691322327</v>
      </c>
      <c r="L21" s="9">
        <v>14922.811767578125</v>
      </c>
      <c r="M21">
        <f t="shared" si="1"/>
        <v>98758.215394973755</v>
      </c>
    </row>
    <row r="22" spans="1:13" x14ac:dyDescent="0.25">
      <c r="A22" s="12">
        <v>0.39583333333333331</v>
      </c>
      <c r="B22" s="6">
        <v>8505.3067282722477</v>
      </c>
      <c r="C22" s="6">
        <v>4722.1098657499315</v>
      </c>
      <c r="D22" s="6">
        <v>59117.226699822713</v>
      </c>
      <c r="E22" s="6">
        <v>3978.4760705197332</v>
      </c>
      <c r="F22" s="6">
        <f t="shared" si="0"/>
        <v>76323.119364364626</v>
      </c>
      <c r="H22" s="12">
        <v>0.39583333333333331</v>
      </c>
      <c r="I22" s="9">
        <v>4863.9353971481323</v>
      </c>
      <c r="J22" s="9">
        <v>7444.9188766479492</v>
      </c>
      <c r="K22" s="9">
        <v>77947.374769210815</v>
      </c>
      <c r="L22" s="9">
        <v>21623.792666435242</v>
      </c>
      <c r="M22">
        <f t="shared" si="1"/>
        <v>111880.02170944214</v>
      </c>
    </row>
    <row r="23" spans="1:13" x14ac:dyDescent="0.25">
      <c r="A23" s="12">
        <v>0.41666666666666669</v>
      </c>
      <c r="B23" s="6">
        <v>11242.11341562853</v>
      </c>
      <c r="C23" s="6">
        <v>6196.0616571586597</v>
      </c>
      <c r="D23" s="6">
        <v>63513.161915192031</v>
      </c>
      <c r="E23" s="6">
        <v>5628.1337308394441</v>
      </c>
      <c r="F23" s="6">
        <f t="shared" si="0"/>
        <v>86579.470718818658</v>
      </c>
      <c r="H23" s="12">
        <v>0.41666666666666669</v>
      </c>
      <c r="I23" s="9">
        <v>6637.9244232177734</v>
      </c>
      <c r="J23" s="9">
        <v>8938.3138160705566</v>
      </c>
      <c r="K23" s="9">
        <v>78312.216002464294</v>
      </c>
      <c r="L23" s="9">
        <v>29447.096302032471</v>
      </c>
      <c r="M23">
        <f t="shared" si="1"/>
        <v>123335.5505437851</v>
      </c>
    </row>
    <row r="24" spans="1:13" x14ac:dyDescent="0.25">
      <c r="A24" s="12">
        <v>0.4375</v>
      </c>
      <c r="B24" s="6">
        <v>14614.207139444545</v>
      </c>
      <c r="C24" s="6">
        <v>7742.5481069693569</v>
      </c>
      <c r="D24" s="6">
        <v>68247.240993181898</v>
      </c>
      <c r="E24" s="6">
        <v>7844.4675939573299</v>
      </c>
      <c r="F24" s="6">
        <f t="shared" si="0"/>
        <v>98448.463833553134</v>
      </c>
      <c r="H24" s="12">
        <v>0.4375</v>
      </c>
      <c r="I24" s="9">
        <v>8538.7712478637695</v>
      </c>
      <c r="J24" s="9">
        <v>10452.053254127502</v>
      </c>
      <c r="K24" s="9">
        <v>76337.325176239014</v>
      </c>
      <c r="L24" s="9">
        <v>37481.468578338623</v>
      </c>
      <c r="M24">
        <f t="shared" si="1"/>
        <v>132809.61825656891</v>
      </c>
    </row>
    <row r="25" spans="1:13" x14ac:dyDescent="0.25">
      <c r="A25" s="12">
        <v>0.45833333333333331</v>
      </c>
      <c r="B25" s="6">
        <v>18508.417913786889</v>
      </c>
      <c r="C25" s="6">
        <v>9445.1452067938808</v>
      </c>
      <c r="D25" s="6">
        <v>72868.990929017455</v>
      </c>
      <c r="E25" s="6">
        <v>10526.713353036597</v>
      </c>
      <c r="F25" s="6">
        <f t="shared" si="0"/>
        <v>111349.26740263482</v>
      </c>
      <c r="H25" s="12">
        <v>0.45833333333333331</v>
      </c>
      <c r="I25" s="9">
        <v>10481.439506530762</v>
      </c>
      <c r="J25" s="9">
        <v>11940.55841255188</v>
      </c>
      <c r="K25" s="9">
        <v>73113.510270118713</v>
      </c>
      <c r="L25" s="9">
        <v>44568.84956741333</v>
      </c>
      <c r="M25">
        <f t="shared" si="1"/>
        <v>140104.35775661469</v>
      </c>
    </row>
    <row r="26" spans="1:13" x14ac:dyDescent="0.25">
      <c r="A26" s="12">
        <v>0.47916666666666669</v>
      </c>
      <c r="B26" s="6">
        <v>22672.456661578373</v>
      </c>
      <c r="C26" s="6">
        <v>11674.858584590816</v>
      </c>
      <c r="D26" s="6">
        <v>76524.362816553505</v>
      </c>
      <c r="E26" s="6">
        <v>13255.124206575967</v>
      </c>
      <c r="F26" s="6">
        <f t="shared" si="0"/>
        <v>124126.80226929867</v>
      </c>
      <c r="H26" s="12">
        <v>0.47916666666666669</v>
      </c>
      <c r="I26" s="9">
        <v>12524.414352416992</v>
      </c>
      <c r="J26" s="9">
        <v>13447.374777793884</v>
      </c>
      <c r="K26" s="9">
        <v>69800.12819480896</v>
      </c>
      <c r="L26" s="9">
        <v>49603.844913482666</v>
      </c>
      <c r="M26">
        <f t="shared" si="1"/>
        <v>145375.7622385025</v>
      </c>
    </row>
    <row r="27" spans="1:13" x14ac:dyDescent="0.25">
      <c r="A27" s="12">
        <v>0.5</v>
      </c>
      <c r="B27" s="6">
        <v>26950.256955573946</v>
      </c>
      <c r="C27" s="6">
        <v>15268.477774055673</v>
      </c>
      <c r="D27" s="6">
        <v>78709.36604278718</v>
      </c>
      <c r="E27" s="6">
        <v>15348.120319541838</v>
      </c>
      <c r="F27" s="6">
        <f t="shared" si="0"/>
        <v>136276.22109195864</v>
      </c>
      <c r="H27" s="12">
        <v>0.5</v>
      </c>
      <c r="I27" s="9">
        <v>14901.959030151367</v>
      </c>
      <c r="J27" s="9">
        <v>15174.161268234253</v>
      </c>
      <c r="K27" s="9">
        <v>67481.177242279053</v>
      </c>
      <c r="L27" s="9">
        <v>51768.897394180298</v>
      </c>
      <c r="M27">
        <f t="shared" si="1"/>
        <v>149326.19493484497</v>
      </c>
    </row>
    <row r="28" spans="1:13" x14ac:dyDescent="0.25">
      <c r="A28" s="12">
        <v>0.52083333333333337</v>
      </c>
      <c r="B28" s="6">
        <v>31625.091300573542</v>
      </c>
      <c r="C28" s="6">
        <v>21409.940102838897</v>
      </c>
      <c r="D28" s="6">
        <v>79776.805239157213</v>
      </c>
      <c r="E28" s="6">
        <v>16150.996295641711</v>
      </c>
      <c r="F28" s="6">
        <f t="shared" si="0"/>
        <v>148962.83293821136</v>
      </c>
      <c r="H28" s="12">
        <v>0.52083333333333337</v>
      </c>
      <c r="I28" s="9">
        <v>18042.642749786377</v>
      </c>
      <c r="J28" s="9">
        <v>17575.445914268494</v>
      </c>
      <c r="K28" s="9">
        <v>67121.523762702942</v>
      </c>
      <c r="L28" s="9">
        <v>50714.605605125427</v>
      </c>
      <c r="M28">
        <f t="shared" si="1"/>
        <v>153454.21803188324</v>
      </c>
    </row>
    <row r="29" spans="1:13" x14ac:dyDescent="0.25">
      <c r="A29" s="12">
        <v>0.54166666666666663</v>
      </c>
      <c r="B29" s="6">
        <v>37584.871520083041</v>
      </c>
      <c r="C29" s="6">
        <v>30934.090527940174</v>
      </c>
      <c r="D29" s="6">
        <v>80764.101864321332</v>
      </c>
      <c r="E29" s="6">
        <v>15389.022977920153</v>
      </c>
      <c r="F29" s="6">
        <f t="shared" si="0"/>
        <v>164672.08689026471</v>
      </c>
      <c r="H29" s="12">
        <v>0.54166666666666663</v>
      </c>
      <c r="I29" s="9">
        <v>22632.131422042847</v>
      </c>
      <c r="J29" s="9">
        <v>21372.261533737183</v>
      </c>
      <c r="K29" s="9">
        <v>69615.842185020447</v>
      </c>
      <c r="L29" s="9">
        <v>46690.930420875549</v>
      </c>
      <c r="M29">
        <f t="shared" si="1"/>
        <v>160311.16556167603</v>
      </c>
    </row>
    <row r="30" spans="1:13" x14ac:dyDescent="0.25">
      <c r="A30" s="12">
        <v>0.5625</v>
      </c>
      <c r="B30" s="6">
        <v>46081.920414796259</v>
      </c>
      <c r="C30" s="6">
        <v>43255.389003664961</v>
      </c>
      <c r="D30" s="6">
        <v>82669.554308252336</v>
      </c>
      <c r="E30" s="6">
        <v>13322.386546973994</v>
      </c>
      <c r="F30" s="6">
        <f t="shared" si="0"/>
        <v>185329.25027368756</v>
      </c>
      <c r="H30" s="12">
        <v>0.5625</v>
      </c>
      <c r="I30" s="9">
        <v>29674.850448608398</v>
      </c>
      <c r="J30" s="9">
        <v>27244.762816429138</v>
      </c>
      <c r="K30" s="9">
        <v>75779.294013023376</v>
      </c>
      <c r="L30" s="9">
        <v>40523.346567153931</v>
      </c>
      <c r="M30">
        <f t="shared" si="1"/>
        <v>173222.25384521484</v>
      </c>
    </row>
    <row r="31" spans="1:13" x14ac:dyDescent="0.25">
      <c r="A31" s="12">
        <v>0.58333333333333337</v>
      </c>
      <c r="B31" s="6">
        <v>58115.563839768409</v>
      </c>
      <c r="C31" s="6">
        <v>55750.60310034742</v>
      </c>
      <c r="D31" s="6">
        <v>85709.126141122048</v>
      </c>
      <c r="E31" s="6">
        <v>10592.067275917723</v>
      </c>
      <c r="F31" s="6">
        <f t="shared" si="0"/>
        <v>210167.36035715559</v>
      </c>
      <c r="H31" s="12">
        <v>0.58333333333333337</v>
      </c>
      <c r="I31" s="9">
        <v>40364.467248916626</v>
      </c>
      <c r="J31" s="9">
        <v>35136.254344940186</v>
      </c>
      <c r="K31" s="9">
        <v>86037.061815261841</v>
      </c>
      <c r="L31" s="9">
        <v>33357.216077804565</v>
      </c>
      <c r="M31">
        <f t="shared" si="1"/>
        <v>194894.99948692322</v>
      </c>
    </row>
    <row r="32" spans="1:13" x14ac:dyDescent="0.25">
      <c r="A32" s="12">
        <v>0.60416666666666663</v>
      </c>
      <c r="B32" s="6">
        <v>73700.205597088716</v>
      </c>
      <c r="C32" s="6">
        <v>64466.296076677798</v>
      </c>
      <c r="D32" s="6">
        <v>89085.963505927095</v>
      </c>
      <c r="E32" s="6">
        <v>7889.2012556910513</v>
      </c>
      <c r="F32" s="6">
        <f t="shared" si="0"/>
        <v>235141.66643538469</v>
      </c>
      <c r="H32" s="12">
        <v>0.60416666666666663</v>
      </c>
      <c r="I32" s="9">
        <v>55564.591103553772</v>
      </c>
      <c r="J32" s="9">
        <v>43644.404178619385</v>
      </c>
      <c r="K32" s="9">
        <v>99786.003657341003</v>
      </c>
      <c r="L32" s="9">
        <v>26284.127117156982</v>
      </c>
      <c r="M32">
        <f t="shared" si="1"/>
        <v>225279.12605667114</v>
      </c>
    </row>
    <row r="33" spans="1:13" x14ac:dyDescent="0.25">
      <c r="A33" s="12">
        <v>0.625</v>
      </c>
      <c r="B33" s="6">
        <v>91357.530112423599</v>
      </c>
      <c r="C33" s="6">
        <v>66098.325395800886</v>
      </c>
      <c r="D33" s="6">
        <v>91473.730483403022</v>
      </c>
      <c r="E33" s="6">
        <v>5675.7947218720437</v>
      </c>
      <c r="F33" s="6">
        <f t="shared" si="0"/>
        <v>254605.38071349956</v>
      </c>
      <c r="H33" s="12">
        <v>0.625</v>
      </c>
      <c r="I33" s="9">
        <v>74946.841796875</v>
      </c>
      <c r="J33" s="9">
        <v>50286.136241912842</v>
      </c>
      <c r="K33" s="9">
        <v>114857.84457874298</v>
      </c>
      <c r="L33" s="9">
        <v>20064.770133972168</v>
      </c>
      <c r="M33">
        <f t="shared" si="1"/>
        <v>260155.59275150299</v>
      </c>
    </row>
    <row r="34" spans="1:13" x14ac:dyDescent="0.25">
      <c r="A34" s="12">
        <v>0.64583333333333337</v>
      </c>
      <c r="B34" s="6">
        <v>108114.0155694602</v>
      </c>
      <c r="C34" s="6">
        <v>59959.530463903531</v>
      </c>
      <c r="D34" s="6">
        <v>91938.377054960918</v>
      </c>
      <c r="E34" s="6">
        <v>4089.6755917223927</v>
      </c>
      <c r="F34" s="6">
        <f t="shared" si="0"/>
        <v>264101.59868004709</v>
      </c>
      <c r="H34" s="12">
        <v>0.64583333333333337</v>
      </c>
      <c r="I34" s="9">
        <v>96236.503434181213</v>
      </c>
      <c r="J34" s="9">
        <v>52806.918360710144</v>
      </c>
      <c r="K34" s="9">
        <v>127720.77023506165</v>
      </c>
      <c r="L34" s="9">
        <v>15054.482427597046</v>
      </c>
      <c r="M34">
        <f t="shared" si="1"/>
        <v>291818.67445755005</v>
      </c>
    </row>
    <row r="35" spans="1:13" x14ac:dyDescent="0.25">
      <c r="A35" s="12">
        <v>0.66666666666666663</v>
      </c>
      <c r="B35" s="6">
        <v>120156.64071540968</v>
      </c>
      <c r="C35" s="6">
        <v>48394.970560929389</v>
      </c>
      <c r="D35" s="6">
        <v>90671.925585402583</v>
      </c>
      <c r="E35" s="6">
        <v>3021.5754802845954</v>
      </c>
      <c r="F35" s="6">
        <f t="shared" si="0"/>
        <v>262245.11234202626</v>
      </c>
      <c r="H35" s="12">
        <v>0.66666666666666663</v>
      </c>
      <c r="I35" s="9">
        <v>115250.92261791229</v>
      </c>
      <c r="J35" s="9">
        <v>50570.507084846497</v>
      </c>
      <c r="K35" s="9">
        <v>134645.45086574554</v>
      </c>
      <c r="L35" s="9">
        <v>11280.40956401825</v>
      </c>
      <c r="M35">
        <f t="shared" si="1"/>
        <v>311747.29013252258</v>
      </c>
    </row>
    <row r="36" spans="1:13" x14ac:dyDescent="0.25">
      <c r="A36" s="12">
        <v>0.6875</v>
      </c>
      <c r="B36" s="6">
        <v>124083.70799717637</v>
      </c>
      <c r="C36" s="6">
        <v>35303.001969103236</v>
      </c>
      <c r="D36" s="6">
        <v>88992.318122176453</v>
      </c>
      <c r="E36" s="6">
        <v>2270.8680673419003</v>
      </c>
      <c r="F36" s="6">
        <f t="shared" si="0"/>
        <v>250649.89615579799</v>
      </c>
      <c r="H36" s="12">
        <v>0.6875</v>
      </c>
      <c r="I36" s="9">
        <v>127138.54959583282</v>
      </c>
      <c r="J36" s="9">
        <v>44790.656247138977</v>
      </c>
      <c r="K36" s="9">
        <v>133289.5991230011</v>
      </c>
      <c r="L36" s="9">
        <v>8570.8403158187866</v>
      </c>
      <c r="M36">
        <f t="shared" si="1"/>
        <v>313789.64528179169</v>
      </c>
    </row>
    <row r="37" spans="1:13" x14ac:dyDescent="0.25">
      <c r="A37" s="12">
        <v>0.70833333333333337</v>
      </c>
      <c r="B37" s="6">
        <v>118337.20051338885</v>
      </c>
      <c r="C37" s="6">
        <v>23980.691699361705</v>
      </c>
      <c r="D37" s="6">
        <v>88582.024243987747</v>
      </c>
      <c r="E37" s="6">
        <v>1678.6659707979202</v>
      </c>
      <c r="F37" s="6">
        <f t="shared" si="0"/>
        <v>232578.58242753622</v>
      </c>
      <c r="H37" s="12">
        <v>0.70833333333333337</v>
      </c>
      <c r="I37" s="9">
        <v>128435.35092639923</v>
      </c>
      <c r="J37" s="9">
        <v>37471.569472312927</v>
      </c>
      <c r="K37" s="9">
        <v>123717.33916950226</v>
      </c>
      <c r="L37" s="9">
        <v>6671.2622032165527</v>
      </c>
      <c r="M37">
        <f t="shared" si="1"/>
        <v>296295.52177143097</v>
      </c>
    </row>
    <row r="38" spans="1:13" x14ac:dyDescent="0.25">
      <c r="A38" s="12">
        <v>0.72916666666666663</v>
      </c>
      <c r="B38" s="6">
        <v>104069.21839070378</v>
      </c>
      <c r="C38" s="6">
        <v>15877.640828186606</v>
      </c>
      <c r="D38" s="6">
        <v>90467.782002759835</v>
      </c>
      <c r="E38" s="6">
        <v>1178.5256009099007</v>
      </c>
      <c r="F38" s="6">
        <f t="shared" si="0"/>
        <v>211593.16682256013</v>
      </c>
      <c r="H38" s="12">
        <v>0.72916666666666663</v>
      </c>
      <c r="I38" s="9">
        <v>118786.78461933136</v>
      </c>
      <c r="J38" s="9">
        <v>30149.326056480408</v>
      </c>
      <c r="K38" s="9">
        <v>108219.59648132324</v>
      </c>
      <c r="L38" s="9">
        <v>5322.0433320999146</v>
      </c>
      <c r="M38">
        <f t="shared" si="1"/>
        <v>262477.75048923492</v>
      </c>
    </row>
    <row r="39" spans="1:13" x14ac:dyDescent="0.25">
      <c r="A39" s="12">
        <v>0.75</v>
      </c>
      <c r="B39" s="6">
        <v>84787.099841248608</v>
      </c>
      <c r="C39" s="6">
        <v>10787.591806917761</v>
      </c>
      <c r="D39" s="6">
        <v>94359.52668617497</v>
      </c>
      <c r="E39" s="6">
        <v>770.40664362239841</v>
      </c>
      <c r="F39" s="6">
        <f t="shared" si="0"/>
        <v>190704.62497796374</v>
      </c>
      <c r="H39" s="12">
        <v>0.75</v>
      </c>
      <c r="I39" s="9">
        <v>101175.04022216797</v>
      </c>
      <c r="J39" s="9">
        <v>23467.324848175049</v>
      </c>
      <c r="K39" s="9">
        <v>90163.943613052368</v>
      </c>
      <c r="L39" s="9">
        <v>4304.4029293060303</v>
      </c>
      <c r="M39">
        <f t="shared" si="1"/>
        <v>219110.71161270142</v>
      </c>
    </row>
    <row r="40" spans="1:13" x14ac:dyDescent="0.25">
      <c r="A40" s="12">
        <v>0.77083333333333337</v>
      </c>
      <c r="B40" s="6">
        <v>64839.070944362262</v>
      </c>
      <c r="C40" s="6">
        <v>7791.7084570805546</v>
      </c>
      <c r="D40" s="6">
        <v>98675.032050618844</v>
      </c>
      <c r="E40" s="6">
        <v>469.83949948558808</v>
      </c>
      <c r="F40" s="6">
        <f t="shared" si="0"/>
        <v>171775.65095154726</v>
      </c>
      <c r="H40" s="12">
        <v>0.77083333333333337</v>
      </c>
      <c r="I40" s="9">
        <v>80437.750832557678</v>
      </c>
      <c r="J40" s="9">
        <v>17560.917561531067</v>
      </c>
      <c r="K40" s="9">
        <v>72692.20613861084</v>
      </c>
      <c r="L40" s="9">
        <v>3475.6867332458496</v>
      </c>
      <c r="M40">
        <f t="shared" si="1"/>
        <v>174166.56126594543</v>
      </c>
    </row>
    <row r="41" spans="1:13" x14ac:dyDescent="0.25">
      <c r="A41" s="12">
        <v>0.79166666666666663</v>
      </c>
      <c r="B41" s="6">
        <v>47642.860730170156</v>
      </c>
      <c r="C41" s="6">
        <v>6025.1266764524462</v>
      </c>
      <c r="D41" s="6">
        <v>101176.77589003058</v>
      </c>
      <c r="E41" s="6">
        <v>278.47784452705389</v>
      </c>
      <c r="F41" s="6">
        <f t="shared" si="0"/>
        <v>155123.24114118022</v>
      </c>
      <c r="H41" s="12">
        <v>0.79166666666666663</v>
      </c>
      <c r="I41" s="9">
        <v>61052.944490432739</v>
      </c>
      <c r="J41" s="9">
        <v>12532.727491378784</v>
      </c>
      <c r="K41" s="9">
        <v>57926.185395240784</v>
      </c>
      <c r="L41" s="9">
        <v>2792.6361036300659</v>
      </c>
      <c r="M41">
        <f t="shared" si="1"/>
        <v>134304.49348068237</v>
      </c>
    </row>
    <row r="42" spans="1:13" x14ac:dyDescent="0.25">
      <c r="A42" s="12">
        <v>0.8125</v>
      </c>
      <c r="B42" s="6">
        <v>34713.608317620179</v>
      </c>
      <c r="C42" s="6">
        <v>4921.1933352644928</v>
      </c>
      <c r="D42" s="6">
        <v>99872.472192727568</v>
      </c>
      <c r="E42" s="6">
        <v>182.63919512195591</v>
      </c>
      <c r="F42" s="6">
        <f t="shared" si="0"/>
        <v>139689.91304073422</v>
      </c>
      <c r="H42" s="12">
        <v>0.8125</v>
      </c>
      <c r="I42" s="9">
        <v>45577.295301437378</v>
      </c>
      <c r="J42" s="9">
        <v>8551.4947681427002</v>
      </c>
      <c r="K42" s="9">
        <v>46774.604734420776</v>
      </c>
      <c r="L42" s="9">
        <v>2291.9558706283569</v>
      </c>
      <c r="M42">
        <f t="shared" si="1"/>
        <v>103195.35067462921</v>
      </c>
    </row>
    <row r="43" spans="1:13" x14ac:dyDescent="0.25">
      <c r="A43" s="12">
        <v>0.83333333333333337</v>
      </c>
      <c r="B43" s="6">
        <v>25856.414016638944</v>
      </c>
      <c r="C43" s="6">
        <v>4140.6313764746665</v>
      </c>
      <c r="D43" s="6">
        <v>93761.978144603636</v>
      </c>
      <c r="E43" s="6">
        <v>160.10894815959932</v>
      </c>
      <c r="F43" s="6">
        <f t="shared" si="0"/>
        <v>123919.13248587685</v>
      </c>
      <c r="H43" s="12">
        <v>0.83333333333333337</v>
      </c>
      <c r="I43" s="9">
        <v>34458.780287742615</v>
      </c>
      <c r="J43" s="9">
        <v>5689.8745374679565</v>
      </c>
      <c r="K43" s="9">
        <v>39103.506011962891</v>
      </c>
      <c r="L43" s="9">
        <v>2016.7205762863159</v>
      </c>
      <c r="M43">
        <f t="shared" si="1"/>
        <v>81268.881413459778</v>
      </c>
    </row>
    <row r="44" spans="1:13" x14ac:dyDescent="0.25">
      <c r="A44" s="12">
        <v>0.85416666666666663</v>
      </c>
      <c r="B44" s="6">
        <v>20046.498713067722</v>
      </c>
      <c r="C44" s="6">
        <v>3476.1030936215402</v>
      </c>
      <c r="D44" s="6">
        <v>83141.918951434622</v>
      </c>
      <c r="E44" s="6">
        <v>181.80345647392275</v>
      </c>
      <c r="F44" s="6">
        <f t="shared" si="0"/>
        <v>106846.3242145978</v>
      </c>
      <c r="H44" s="12">
        <v>0.85416666666666663</v>
      </c>
      <c r="I44" s="9">
        <v>26883.51491355896</v>
      </c>
      <c r="J44" s="9">
        <v>3819.7285757064819</v>
      </c>
      <c r="K44" s="9">
        <v>34080.485897064209</v>
      </c>
      <c r="L44" s="9">
        <v>1935.963981628418</v>
      </c>
      <c r="M44">
        <f t="shared" si="1"/>
        <v>66719.693367958069</v>
      </c>
    </row>
    <row r="45" spans="1:13" x14ac:dyDescent="0.25">
      <c r="A45" s="12">
        <v>0.875</v>
      </c>
      <c r="B45" s="6">
        <v>16242.435185546872</v>
      </c>
      <c r="C45" s="6">
        <v>2830.2003862343786</v>
      </c>
      <c r="D45" s="6">
        <v>69410.719978659065</v>
      </c>
      <c r="E45" s="6">
        <v>213.02620392789839</v>
      </c>
      <c r="F45" s="6">
        <f t="shared" si="0"/>
        <v>88696.381754368223</v>
      </c>
      <c r="H45" s="12">
        <v>0.875</v>
      </c>
      <c r="I45" s="9">
        <v>21767.979364395142</v>
      </c>
      <c r="J45" s="9">
        <v>2679.4265336990356</v>
      </c>
      <c r="K45" s="9">
        <v>30598.115516662598</v>
      </c>
      <c r="L45" s="9">
        <v>1928.4774150848389</v>
      </c>
      <c r="M45">
        <f t="shared" si="1"/>
        <v>56973.998829841614</v>
      </c>
    </row>
    <row r="46" spans="1:13" x14ac:dyDescent="0.25">
      <c r="A46" s="12">
        <v>0.89583333333333337</v>
      </c>
      <c r="B46" s="6">
        <v>13710.610974538515</v>
      </c>
      <c r="C46" s="6">
        <v>2213.6257348934168</v>
      </c>
      <c r="D46" s="6">
        <v>54520.498801927482</v>
      </c>
      <c r="E46" s="6">
        <v>222.78901642494199</v>
      </c>
      <c r="F46" s="6">
        <f t="shared" si="0"/>
        <v>70667.52452778435</v>
      </c>
      <c r="H46" s="12">
        <v>0.89583333333333337</v>
      </c>
      <c r="I46" s="9">
        <v>18257.012490272522</v>
      </c>
      <c r="J46" s="9">
        <v>2003.5741453170776</v>
      </c>
      <c r="K46" s="9">
        <v>27650.998023033142</v>
      </c>
      <c r="L46" s="9">
        <v>1849.3665361404419</v>
      </c>
      <c r="M46">
        <f t="shared" si="1"/>
        <v>49760.951194763184</v>
      </c>
    </row>
    <row r="47" spans="1:13" x14ac:dyDescent="0.25">
      <c r="A47" s="12">
        <v>0.91666666666666663</v>
      </c>
      <c r="B47" s="6">
        <v>11936.251257094478</v>
      </c>
      <c r="C47" s="6">
        <v>1700.3777991815566</v>
      </c>
      <c r="D47" s="6">
        <v>40332.255951431565</v>
      </c>
      <c r="E47" s="6">
        <v>197.45027097816464</v>
      </c>
      <c r="F47" s="6">
        <f t="shared" si="0"/>
        <v>54166.335278685765</v>
      </c>
      <c r="H47" s="12">
        <v>0.91666666666666663</v>
      </c>
      <c r="I47" s="9">
        <v>15709.801778793335</v>
      </c>
      <c r="J47" s="9">
        <v>1592.1185264587402</v>
      </c>
      <c r="K47" s="9">
        <v>24542.230114936829</v>
      </c>
      <c r="L47" s="9">
        <v>1620.3734359741211</v>
      </c>
      <c r="M47">
        <f t="shared" si="1"/>
        <v>43464.523856163025</v>
      </c>
    </row>
    <row r="48" spans="1:13" x14ac:dyDescent="0.25">
      <c r="A48" s="12">
        <v>0.9375</v>
      </c>
      <c r="B48" s="6">
        <v>10456.896130251216</v>
      </c>
      <c r="C48" s="6">
        <v>1345.3521027188299</v>
      </c>
      <c r="D48" s="6">
        <v>28137.491582407572</v>
      </c>
      <c r="E48" s="6">
        <v>145.64286827449797</v>
      </c>
      <c r="F48" s="6">
        <f t="shared" si="0"/>
        <v>40085.382683652111</v>
      </c>
      <c r="H48" s="12">
        <v>0.9375</v>
      </c>
      <c r="I48" s="9">
        <v>13553.763927459717</v>
      </c>
      <c r="J48" s="9">
        <v>1308.7201175689697</v>
      </c>
      <c r="K48" s="9">
        <v>20923.230603218079</v>
      </c>
      <c r="L48" s="9">
        <v>1266.2856636047363</v>
      </c>
      <c r="M48">
        <f t="shared" si="1"/>
        <v>37052.000311851501</v>
      </c>
    </row>
    <row r="49" spans="1:13" x14ac:dyDescent="0.25">
      <c r="A49" s="12">
        <v>0.95833333333333337</v>
      </c>
      <c r="B49" s="6">
        <v>8870.0115830231662</v>
      </c>
      <c r="C49" s="6">
        <v>1126.245944373989</v>
      </c>
      <c r="D49" s="6">
        <v>18503.376215776538</v>
      </c>
      <c r="E49" s="6">
        <v>88.481589449882478</v>
      </c>
      <c r="F49" s="6">
        <f t="shared" si="0"/>
        <v>28588.115332623576</v>
      </c>
      <c r="H49" s="12">
        <v>0.95833333333333337</v>
      </c>
      <c r="I49" s="9">
        <v>11313.381285667419</v>
      </c>
      <c r="J49" s="9">
        <v>1064.3127183914185</v>
      </c>
      <c r="K49" s="9">
        <v>16774.123413085938</v>
      </c>
      <c r="L49" s="9">
        <v>876.69546794891357</v>
      </c>
      <c r="M49">
        <f t="shared" si="1"/>
        <v>30028.512885093689</v>
      </c>
    </row>
    <row r="50" spans="1:13" x14ac:dyDescent="0.25">
      <c r="A50" s="12">
        <v>0.97916666666666663</v>
      </c>
      <c r="B50" s="6">
        <v>6990.472794848155</v>
      </c>
      <c r="C50" s="6">
        <v>959.40317738428098</v>
      </c>
      <c r="D50" s="6">
        <v>11413.364850509644</v>
      </c>
      <c r="E50" s="6">
        <v>43.768579598236073</v>
      </c>
      <c r="F50" s="6">
        <f t="shared" si="0"/>
        <v>19407.009402340318</v>
      </c>
      <c r="H50" s="12">
        <v>0.97916666666666663</v>
      </c>
      <c r="I50" s="9">
        <v>8788.0207777023315</v>
      </c>
      <c r="J50" s="9">
        <v>815.92946910858154</v>
      </c>
      <c r="K50" s="9">
        <v>12377.378196716309</v>
      </c>
      <c r="L50" s="9">
        <v>538.52395915985107</v>
      </c>
      <c r="M50">
        <f t="shared" si="1"/>
        <v>22519.852402687073</v>
      </c>
    </row>
    <row r="51" spans="1:13" x14ac:dyDescent="0.25">
      <c r="A51" s="12">
        <v>1</v>
      </c>
      <c r="B51" s="6">
        <v>4944.4563058439253</v>
      </c>
      <c r="C51" s="6">
        <v>769.96805756378171</v>
      </c>
      <c r="D51" s="6">
        <v>6529.6555330511092</v>
      </c>
      <c r="E51" s="6">
        <v>17.345875613117215</v>
      </c>
      <c r="F51" s="6">
        <f t="shared" si="0"/>
        <v>12261.425772071932</v>
      </c>
      <c r="H51" s="12">
        <v>1</v>
      </c>
      <c r="I51" s="9">
        <v>6141.5061101913452</v>
      </c>
      <c r="J51" s="9">
        <v>566.14387702941895</v>
      </c>
      <c r="K51" s="9">
        <v>8225.941086769104</v>
      </c>
      <c r="L51" s="9">
        <v>294.54023456573486</v>
      </c>
      <c r="M51">
        <f t="shared" si="1"/>
        <v>15228.131308555603</v>
      </c>
    </row>
    <row r="52" spans="1:13" x14ac:dyDescent="0.25">
      <c r="A52" s="12">
        <v>1.0208333333333333</v>
      </c>
      <c r="B52" s="6">
        <v>3057.5958280250543</v>
      </c>
      <c r="C52" s="6">
        <v>545.58299604625699</v>
      </c>
      <c r="D52" s="6">
        <v>3404.1314559889793</v>
      </c>
      <c r="E52" s="6">
        <v>5.3765924797058098</v>
      </c>
      <c r="F52" s="6">
        <f t="shared" si="0"/>
        <v>7012.6868725399963</v>
      </c>
      <c r="H52" s="12">
        <v>1.0208333333333333</v>
      </c>
      <c r="I52" s="9">
        <v>3758.5626029968262</v>
      </c>
      <c r="J52" s="9">
        <v>344.80969047546387</v>
      </c>
      <c r="K52" s="9">
        <v>4819.6806335449219</v>
      </c>
      <c r="L52" s="9">
        <v>143.53231525421143</v>
      </c>
      <c r="M52">
        <f t="shared" si="1"/>
        <v>9066.5852422714233</v>
      </c>
    </row>
    <row r="53" spans="1:13" x14ac:dyDescent="0.25">
      <c r="A53" s="12">
        <v>4.1666666666666664E-2</v>
      </c>
      <c r="B53" s="6">
        <v>1619.4750395393371</v>
      </c>
      <c r="C53" s="6">
        <v>327.67008387203208</v>
      </c>
      <c r="D53" s="6">
        <v>1580.9572896893501</v>
      </c>
      <c r="E53" s="6">
        <v>1.2559486387252807</v>
      </c>
      <c r="F53" s="6">
        <f t="shared" si="0"/>
        <v>3529.3583617394447</v>
      </c>
      <c r="H53" s="12">
        <v>4.1666666666666664E-2</v>
      </c>
      <c r="I53" s="9">
        <v>1969.6103935241699</v>
      </c>
      <c r="J53" s="9">
        <v>179.97989273071289</v>
      </c>
      <c r="K53" s="9">
        <v>2437.3693008422852</v>
      </c>
      <c r="L53" s="9">
        <v>61.916559219360352</v>
      </c>
      <c r="M53">
        <f t="shared" si="1"/>
        <v>4648.8761463165283</v>
      </c>
    </row>
    <row r="54" spans="1:13" x14ac:dyDescent="0.25">
      <c r="A54" s="12">
        <v>6.25E-2</v>
      </c>
      <c r="B54" s="6">
        <v>721.23396091432573</v>
      </c>
      <c r="C54" s="6">
        <v>162.42907241344449</v>
      </c>
      <c r="D54" s="6">
        <v>637.26035413799264</v>
      </c>
      <c r="E54" s="6">
        <v>0.20796890068054197</v>
      </c>
      <c r="F54" s="6">
        <f t="shared" si="0"/>
        <v>1521.1313563664435</v>
      </c>
      <c r="H54" s="12">
        <v>6.25E-2</v>
      </c>
      <c r="I54" s="9">
        <v>865.23970222473145</v>
      </c>
      <c r="J54" s="9">
        <v>78.790445327758789</v>
      </c>
      <c r="K54" s="9">
        <v>1040.7704725265503</v>
      </c>
      <c r="L54" s="9">
        <v>23.267074584960938</v>
      </c>
      <c r="M54">
        <f t="shared" si="1"/>
        <v>2008.0676946640015</v>
      </c>
    </row>
    <row r="55" spans="1:13" x14ac:dyDescent="0.25">
      <c r="A55" s="12">
        <v>8.3333333333333329E-2</v>
      </c>
      <c r="B55" s="6">
        <v>264.80063447570797</v>
      </c>
      <c r="C55" s="6">
        <v>64.965837886047353</v>
      </c>
      <c r="D55" s="6">
        <v>216.56808795471187</v>
      </c>
      <c r="E55" s="6">
        <v>2.1763253879547115E-2</v>
      </c>
      <c r="F55" s="6">
        <f t="shared" si="0"/>
        <v>546.3563235703466</v>
      </c>
      <c r="H55" s="12">
        <v>8.3333333333333329E-2</v>
      </c>
      <c r="I55" s="9">
        <v>311.28958988189697</v>
      </c>
      <c r="J55" s="9">
        <v>28.261311531066895</v>
      </c>
      <c r="K55" s="9">
        <v>366.10766696929932</v>
      </c>
      <c r="L55" s="9">
        <v>7.4211263656616211</v>
      </c>
      <c r="M55">
        <f t="shared" si="1"/>
        <v>713.0796947479248</v>
      </c>
    </row>
    <row r="56" spans="1:13" x14ac:dyDescent="0.25">
      <c r="A56" s="12">
        <v>0.10416666666666667</v>
      </c>
      <c r="B56" s="6">
        <v>78.20921848802567</v>
      </c>
      <c r="C56" s="6">
        <v>20.418438381576532</v>
      </c>
      <c r="D56" s="6">
        <v>59.997967500495896</v>
      </c>
      <c r="E56" s="6">
        <v>1.0823627471923827E-3</v>
      </c>
      <c r="F56" s="6">
        <f t="shared" si="0"/>
        <v>158.62670673284529</v>
      </c>
      <c r="H56" s="12">
        <v>0.10416666666666667</v>
      </c>
      <c r="I56" s="9">
        <v>89.064172744750977</v>
      </c>
      <c r="J56" s="9">
        <v>8.0656290054321289</v>
      </c>
      <c r="K56" s="9">
        <v>102.88588237762451</v>
      </c>
      <c r="L56" s="9">
        <v>1.9381122589111328</v>
      </c>
      <c r="M56">
        <f t="shared" si="1"/>
        <v>201.95379638671875</v>
      </c>
    </row>
    <row r="57" spans="1:13" x14ac:dyDescent="0.25">
      <c r="A57" s="12">
        <v>0.125</v>
      </c>
      <c r="B57" s="6">
        <v>17.63974053735733</v>
      </c>
      <c r="C57" s="6">
        <v>4.7745615210533128</v>
      </c>
      <c r="D57" s="6">
        <v>12.780800234031677</v>
      </c>
      <c r="E57" s="6">
        <v>0</v>
      </c>
      <c r="F57" s="6">
        <f t="shared" si="0"/>
        <v>35.195102292442314</v>
      </c>
      <c r="H57" s="12">
        <v>0.125</v>
      </c>
      <c r="I57" s="9">
        <v>19.159090042114258</v>
      </c>
      <c r="J57" s="9">
        <v>1.7316427230834961</v>
      </c>
      <c r="K57" s="9">
        <v>21.821893692016602</v>
      </c>
      <c r="L57" s="9">
        <v>0.38950634002685547</v>
      </c>
      <c r="M57">
        <f t="shared" si="1"/>
        <v>43.102132797241211</v>
      </c>
    </row>
    <row r="58" spans="1:13" x14ac:dyDescent="0.25">
      <c r="A58" s="21" t="s">
        <v>6</v>
      </c>
      <c r="B58" s="22">
        <v>0</v>
      </c>
      <c r="C58" s="22">
        <v>0</v>
      </c>
      <c r="D58" s="22">
        <v>0</v>
      </c>
      <c r="E58" s="22">
        <v>0</v>
      </c>
      <c r="F58" s="22">
        <f t="shared" si="0"/>
        <v>0</v>
      </c>
      <c r="G58" s="5"/>
      <c r="H58" s="21" t="s">
        <v>6</v>
      </c>
      <c r="I58" s="24">
        <v>0</v>
      </c>
      <c r="J58" s="24">
        <v>0</v>
      </c>
      <c r="K58" s="24">
        <v>0</v>
      </c>
      <c r="L58" s="24">
        <v>0</v>
      </c>
      <c r="M58" s="23">
        <f t="shared" si="1"/>
        <v>0</v>
      </c>
    </row>
    <row r="59" spans="1:13" ht="15.75" thickBot="1" x14ac:dyDescent="0.3">
      <c r="A59" s="1"/>
      <c r="B59" s="7">
        <f>SUM(B8:B58)</f>
        <v>1392645.9302607982</v>
      </c>
      <c r="C59" s="7">
        <f>SUM(C8:C58)</f>
        <v>577551.84973779949</v>
      </c>
      <c r="D59" s="7">
        <f>SUM(D8:D58)</f>
        <v>2454249.7240168555</v>
      </c>
      <c r="E59" s="7">
        <f>SUM(E8:E58)</f>
        <v>149153.02559848406</v>
      </c>
      <c r="F59" s="7">
        <f>SUM(F8:F58)</f>
        <v>4573600.5296139363</v>
      </c>
      <c r="H59" s="1"/>
      <c r="I59" s="7">
        <f>SUM(I8:I58)</f>
        <v>1394951.829706192</v>
      </c>
      <c r="J59" s="7">
        <f>SUM(J8:J58)</f>
        <v>582593.14092254639</v>
      </c>
      <c r="K59" s="7">
        <f>SUM(K8:K58)</f>
        <v>2400679.3108377457</v>
      </c>
      <c r="L59" s="7">
        <f>SUM(L8:L58)</f>
        <v>565320.17137718201</v>
      </c>
      <c r="M59" s="7">
        <f>SUM(M8:M58)</f>
        <v>4943544.4528436661</v>
      </c>
    </row>
    <row r="63" spans="1:13" ht="15.75" thickBot="1" x14ac:dyDescent="0.3">
      <c r="A63" s="3" t="s">
        <v>47</v>
      </c>
      <c r="B63" s="1"/>
      <c r="C63" s="1"/>
      <c r="D63" s="1"/>
      <c r="E63" s="1"/>
      <c r="F63" s="1"/>
      <c r="H63" s="3" t="s">
        <v>12</v>
      </c>
      <c r="I63" s="1"/>
      <c r="J63" s="1"/>
      <c r="K63" s="1"/>
      <c r="L63" s="1"/>
      <c r="M63" s="1"/>
    </row>
    <row r="64" spans="1:13" x14ac:dyDescent="0.25">
      <c r="A64" s="2" t="s">
        <v>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48</v>
      </c>
      <c r="H64" s="2" t="s">
        <v>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35</v>
      </c>
    </row>
    <row r="65" spans="1:13" x14ac:dyDescent="0.25">
      <c r="A65" t="s">
        <v>5</v>
      </c>
      <c r="B65" s="18">
        <f>B8/B$59</f>
        <v>0</v>
      </c>
      <c r="C65" s="18">
        <f t="shared" ref="C65:F65" si="2">C8/C$59</f>
        <v>0</v>
      </c>
      <c r="D65" s="18">
        <f t="shared" si="2"/>
        <v>0</v>
      </c>
      <c r="E65" s="18">
        <f t="shared" si="2"/>
        <v>0</v>
      </c>
      <c r="F65" s="18">
        <f t="shared" si="2"/>
        <v>0</v>
      </c>
      <c r="H65" t="s">
        <v>5</v>
      </c>
      <c r="I65" s="17">
        <f t="shared" ref="I65:M80" si="3">I8/I$59</f>
        <v>1.479334236533917E-2</v>
      </c>
      <c r="J65" s="17">
        <f t="shared" si="3"/>
        <v>2.2314028585050407E-5</v>
      </c>
      <c r="K65" s="17">
        <f t="shared" si="3"/>
        <v>4.9569302931374673E-5</v>
      </c>
      <c r="L65" s="17">
        <f t="shared" si="3"/>
        <v>2.334960022361019E-4</v>
      </c>
      <c r="M65" s="18">
        <f t="shared" si="3"/>
        <v>4.2277358278790698E-3</v>
      </c>
    </row>
    <row r="66" spans="1:13" x14ac:dyDescent="0.25">
      <c r="A66" s="12">
        <v>0.125</v>
      </c>
      <c r="B66" s="18">
        <f t="shared" ref="B66:F81" si="4">B9/B$59</f>
        <v>8.5167794194334771E-6</v>
      </c>
      <c r="C66" s="18">
        <f t="shared" si="4"/>
        <v>5.3744909436391218E-6</v>
      </c>
      <c r="D66" s="18">
        <f t="shared" si="4"/>
        <v>3.0507908966987898E-4</v>
      </c>
      <c r="E66" s="18">
        <f t="shared" si="4"/>
        <v>1.8570925997045271E-5</v>
      </c>
      <c r="F66" s="18">
        <f t="shared" si="4"/>
        <v>1.6758680209315064E-4</v>
      </c>
      <c r="H66" s="12">
        <v>0.125</v>
      </c>
      <c r="I66" s="17">
        <f t="shared" si="3"/>
        <v>9.8381025455604263E-3</v>
      </c>
      <c r="J66" s="17">
        <f t="shared" si="3"/>
        <v>4.3367910521752478E-5</v>
      </c>
      <c r="K66" s="17">
        <f t="shared" si="3"/>
        <v>2.9075255645328538E-4</v>
      </c>
      <c r="L66" s="17">
        <f t="shared" si="3"/>
        <v>7.6764836438546441E-4</v>
      </c>
      <c r="M66" s="18">
        <f t="shared" si="3"/>
        <v>3.0101713229614526E-3</v>
      </c>
    </row>
    <row r="67" spans="1:13" x14ac:dyDescent="0.25">
      <c r="A67" s="12">
        <v>0.14583333333333334</v>
      </c>
      <c r="B67" s="18">
        <f t="shared" si="4"/>
        <v>1.7713769796296858E-5</v>
      </c>
      <c r="C67" s="18">
        <f t="shared" si="4"/>
        <v>9.1195534009364181E-6</v>
      </c>
      <c r="D67" s="18">
        <f t="shared" si="4"/>
        <v>6.3995951559354405E-4</v>
      </c>
      <c r="E67" s="18">
        <f t="shared" si="4"/>
        <v>4.7038295488277299E-5</v>
      </c>
      <c r="F67" s="18">
        <f t="shared" si="4"/>
        <v>3.5148946274633834E-4</v>
      </c>
      <c r="H67" s="12">
        <v>0.14583333333333334</v>
      </c>
      <c r="I67" s="17">
        <f t="shared" si="3"/>
        <v>5.7030261084643303E-3</v>
      </c>
      <c r="J67" s="17">
        <f t="shared" si="3"/>
        <v>5.6468095942217328E-5</v>
      </c>
      <c r="K67" s="17">
        <f t="shared" si="3"/>
        <v>4.4962115160174736E-4</v>
      </c>
      <c r="L67" s="17">
        <f t="shared" si="3"/>
        <v>1.0334056143816086E-3</v>
      </c>
      <c r="M67" s="18">
        <f t="shared" si="3"/>
        <v>1.9524343227214295E-3</v>
      </c>
    </row>
    <row r="68" spans="1:13" x14ac:dyDescent="0.25">
      <c r="A68" s="12">
        <v>0.16666666666666666</v>
      </c>
      <c r="B68" s="18">
        <f t="shared" si="4"/>
        <v>2.9082706049537521E-5</v>
      </c>
      <c r="C68" s="18">
        <f t="shared" si="4"/>
        <v>1.048125176484973E-5</v>
      </c>
      <c r="D68" s="18">
        <f t="shared" si="4"/>
        <v>1.0516401009800043E-3</v>
      </c>
      <c r="E68" s="18">
        <f t="shared" si="4"/>
        <v>9.7607216294263969E-5</v>
      </c>
      <c r="F68" s="18">
        <f t="shared" si="4"/>
        <v>5.7768517400753568E-4</v>
      </c>
      <c r="H68" s="12">
        <v>0.16666666666666666</v>
      </c>
      <c r="I68" s="17">
        <f t="shared" si="3"/>
        <v>2.8330537721861608E-3</v>
      </c>
      <c r="J68" s="17">
        <f t="shared" si="3"/>
        <v>6.9338638925399397E-5</v>
      </c>
      <c r="K68" s="17">
        <f t="shared" si="3"/>
        <v>5.4819711456260956E-4</v>
      </c>
      <c r="L68" s="17">
        <f t="shared" si="3"/>
        <v>9.6147507983038334E-4</v>
      </c>
      <c r="M68" s="18">
        <f t="shared" si="3"/>
        <v>1.1837572297616855E-3</v>
      </c>
    </row>
    <row r="69" spans="1:13" x14ac:dyDescent="0.25">
      <c r="A69" s="12">
        <v>0.1875</v>
      </c>
      <c r="B69" s="18">
        <f t="shared" si="4"/>
        <v>4.8211481531095301E-5</v>
      </c>
      <c r="C69" s="18">
        <f t="shared" si="4"/>
        <v>9.9691928829288034E-6</v>
      </c>
      <c r="D69" s="18">
        <f t="shared" si="4"/>
        <v>1.6225376115108739E-3</v>
      </c>
      <c r="E69" s="18">
        <f t="shared" si="4"/>
        <v>1.917345052999109E-4</v>
      </c>
      <c r="F69" s="18">
        <f t="shared" si="4"/>
        <v>8.9286536717175769E-4</v>
      </c>
      <c r="H69" s="12">
        <v>0.1875</v>
      </c>
      <c r="I69" s="17">
        <f t="shared" si="3"/>
        <v>1.1901064414916792E-3</v>
      </c>
      <c r="J69" s="17">
        <f t="shared" si="3"/>
        <v>1.1622081192631049E-4</v>
      </c>
      <c r="K69" s="17">
        <f t="shared" si="3"/>
        <v>7.5747946521781027E-4</v>
      </c>
      <c r="L69" s="17">
        <f t="shared" si="3"/>
        <v>7.007134069202379E-4</v>
      </c>
      <c r="M69" s="18">
        <f t="shared" si="3"/>
        <v>7.9749324546199462E-4</v>
      </c>
    </row>
    <row r="70" spans="1:13" x14ac:dyDescent="0.25">
      <c r="A70" s="12">
        <v>0.20833333333333334</v>
      </c>
      <c r="B70" s="18">
        <f t="shared" si="4"/>
        <v>9.0002728999213666E-5</v>
      </c>
      <c r="C70" s="18">
        <f t="shared" si="4"/>
        <v>9.9369896443107019E-6</v>
      </c>
      <c r="D70" s="18">
        <f t="shared" si="4"/>
        <v>2.4813384442416348E-3</v>
      </c>
      <c r="E70" s="18">
        <f t="shared" si="4"/>
        <v>3.7187532759149671E-4</v>
      </c>
      <c r="F70" s="18">
        <f t="shared" si="4"/>
        <v>1.3723042803130338E-3</v>
      </c>
      <c r="H70" s="12">
        <v>0.20833333333333334</v>
      </c>
      <c r="I70" s="17">
        <f t="shared" si="3"/>
        <v>4.3150752729842923E-4</v>
      </c>
      <c r="J70" s="17">
        <f t="shared" si="3"/>
        <v>2.6161286757863907E-4</v>
      </c>
      <c r="K70" s="17">
        <f t="shared" si="3"/>
        <v>1.3767206527519676E-3</v>
      </c>
      <c r="L70" s="17">
        <f t="shared" si="3"/>
        <v>4.8420160663092114E-4</v>
      </c>
      <c r="M70" s="18">
        <f t="shared" si="3"/>
        <v>8.7652489856325099E-4</v>
      </c>
    </row>
    <row r="71" spans="1:13" x14ac:dyDescent="0.25">
      <c r="A71" s="12">
        <v>0.22916666666666666</v>
      </c>
      <c r="B71" s="18">
        <f t="shared" si="4"/>
        <v>1.8153680741682819E-4</v>
      </c>
      <c r="C71" s="18">
        <f t="shared" si="4"/>
        <v>1.7698088573449955E-5</v>
      </c>
      <c r="D71" s="18">
        <f t="shared" si="4"/>
        <v>3.7891200368098438E-3</v>
      </c>
      <c r="E71" s="18">
        <f t="shared" si="4"/>
        <v>7.1185969139947089E-4</v>
      </c>
      <c r="F71" s="18">
        <f t="shared" si="4"/>
        <v>2.1140151678334875E-3</v>
      </c>
      <c r="H71" s="12">
        <v>0.22916666666666666</v>
      </c>
      <c r="I71" s="17">
        <f t="shared" si="3"/>
        <v>1.743211383874303E-4</v>
      </c>
      <c r="J71" s="17">
        <f t="shared" si="3"/>
        <v>5.9233797934899932E-4</v>
      </c>
      <c r="K71" s="17">
        <f t="shared" si="3"/>
        <v>2.7679502280662498E-3</v>
      </c>
      <c r="L71" s="17">
        <f t="shared" si="3"/>
        <v>5.1069668939204805E-4</v>
      </c>
      <c r="M71" s="18">
        <f t="shared" si="3"/>
        <v>1.5215660934162272E-3</v>
      </c>
    </row>
    <row r="72" spans="1:13" x14ac:dyDescent="0.25">
      <c r="A72" s="12">
        <v>0.25</v>
      </c>
      <c r="B72" s="18">
        <f t="shared" si="4"/>
        <v>3.5776151514834207E-4</v>
      </c>
      <c r="C72" s="18">
        <f t="shared" si="4"/>
        <v>5.4720499430750863E-5</v>
      </c>
      <c r="D72" s="18">
        <f t="shared" si="4"/>
        <v>5.688315903355225E-3</v>
      </c>
      <c r="E72" s="18">
        <f t="shared" si="4"/>
        <v>1.3173085398966767E-3</v>
      </c>
      <c r="F72" s="18">
        <f t="shared" si="4"/>
        <v>3.2112265246922169E-3</v>
      </c>
      <c r="H72" s="12">
        <v>0.25</v>
      </c>
      <c r="I72" s="17">
        <f t="shared" si="3"/>
        <v>1.5447339600340145E-4</v>
      </c>
      <c r="J72" s="17">
        <f t="shared" si="3"/>
        <v>1.1914556496479345E-3</v>
      </c>
      <c r="K72" s="17">
        <f t="shared" si="3"/>
        <v>5.246498026856534E-3</v>
      </c>
      <c r="L72" s="17">
        <f t="shared" si="3"/>
        <v>9.3559653150419072E-4</v>
      </c>
      <c r="M72" s="18">
        <f t="shared" si="3"/>
        <v>2.8387906346178373E-3</v>
      </c>
    </row>
    <row r="73" spans="1:13" x14ac:dyDescent="0.25">
      <c r="A73" s="12">
        <v>0.27083333333333331</v>
      </c>
      <c r="B73" s="18">
        <f t="shared" si="4"/>
        <v>6.5072405646557396E-4</v>
      </c>
      <c r="C73" s="18">
        <f t="shared" si="4"/>
        <v>1.7341112505827333E-4</v>
      </c>
      <c r="D73" s="18">
        <f t="shared" si="4"/>
        <v>8.2239705113224277E-3</v>
      </c>
      <c r="E73" s="18">
        <f t="shared" si="4"/>
        <v>2.3138761752519886E-3</v>
      </c>
      <c r="F73" s="18">
        <f t="shared" si="4"/>
        <v>4.7085837461530158E-3</v>
      </c>
      <c r="H73" s="12">
        <v>0.27083333333333331</v>
      </c>
      <c r="I73" s="17">
        <f t="shared" si="3"/>
        <v>2.4467185606858024E-4</v>
      </c>
      <c r="J73" s="17">
        <f t="shared" si="3"/>
        <v>2.1008971466821955E-3</v>
      </c>
      <c r="K73" s="17">
        <f t="shared" si="3"/>
        <v>8.9345338299972894E-3</v>
      </c>
      <c r="L73" s="17">
        <f t="shared" si="3"/>
        <v>1.9224116101599121E-3</v>
      </c>
      <c r="M73" s="18">
        <f t="shared" si="3"/>
        <v>4.8752474118939505E-3</v>
      </c>
    </row>
    <row r="74" spans="1:13" x14ac:dyDescent="0.25">
      <c r="A74" s="12">
        <v>0.29166666666666669</v>
      </c>
      <c r="B74" s="18">
        <f t="shared" si="4"/>
        <v>1.0811110838759009E-3</v>
      </c>
      <c r="C74" s="18">
        <f t="shared" si="4"/>
        <v>4.73375361772349E-4</v>
      </c>
      <c r="D74" s="18">
        <f t="shared" si="4"/>
        <v>1.1273343175377702E-2</v>
      </c>
      <c r="E74" s="18">
        <f t="shared" si="4"/>
        <v>3.833457214650319E-3</v>
      </c>
      <c r="F74" s="18">
        <f t="shared" si="4"/>
        <v>6.5634011303673878E-3</v>
      </c>
      <c r="H74" s="12">
        <v>0.29166666666666669</v>
      </c>
      <c r="I74" s="17">
        <f t="shared" si="3"/>
        <v>4.0645474335869984E-4</v>
      </c>
      <c r="J74" s="17">
        <f t="shared" si="3"/>
        <v>3.3018523964882299E-3</v>
      </c>
      <c r="K74" s="17">
        <f t="shared" si="3"/>
        <v>1.3641004222776015E-2</v>
      </c>
      <c r="L74" s="17">
        <f t="shared" si="3"/>
        <v>3.6825672651079437E-3</v>
      </c>
      <c r="M74" s="18">
        <f t="shared" si="3"/>
        <v>7.5492650822819298E-3</v>
      </c>
    </row>
    <row r="75" spans="1:13" x14ac:dyDescent="0.25">
      <c r="A75" s="12">
        <v>0.3125</v>
      </c>
      <c r="B75" s="18">
        <f t="shared" si="4"/>
        <v>1.6613599876668889E-3</v>
      </c>
      <c r="C75" s="18">
        <f t="shared" si="4"/>
        <v>1.0953017898962397E-3</v>
      </c>
      <c r="D75" s="18">
        <f t="shared" si="4"/>
        <v>1.453535981464832E-2</v>
      </c>
      <c r="E75" s="18">
        <f t="shared" si="4"/>
        <v>6.0152496060728623E-3</v>
      </c>
      <c r="F75" s="18">
        <f t="shared" si="4"/>
        <v>8.6402113688088065E-3</v>
      </c>
      <c r="H75" s="12">
        <v>0.3125</v>
      </c>
      <c r="I75" s="17">
        <f t="shared" si="3"/>
        <v>6.5023845938114069E-4</v>
      </c>
      <c r="J75" s="17">
        <f t="shared" si="3"/>
        <v>4.7400228689854383E-3</v>
      </c>
      <c r="K75" s="17">
        <f t="shared" si="3"/>
        <v>1.8857280992770262E-2</v>
      </c>
      <c r="L75" s="17">
        <f t="shared" si="3"/>
        <v>6.5111856959354291E-3</v>
      </c>
      <c r="M75" s="18">
        <f t="shared" si="3"/>
        <v>1.0644133089805621E-2</v>
      </c>
    </row>
    <row r="76" spans="1:13" x14ac:dyDescent="0.25">
      <c r="A76" s="12">
        <v>0.33333333333333331</v>
      </c>
      <c r="B76" s="18">
        <f t="shared" si="4"/>
        <v>2.4086967051451537E-3</v>
      </c>
      <c r="C76" s="18">
        <f t="shared" si="4"/>
        <v>2.1734225289655575E-3</v>
      </c>
      <c r="D76" s="18">
        <f t="shared" si="4"/>
        <v>1.7620337183495174E-2</v>
      </c>
      <c r="E76" s="18">
        <f t="shared" si="4"/>
        <v>9.0317952762630476E-3</v>
      </c>
      <c r="F76" s="18">
        <f t="shared" si="4"/>
        <v>1.0757728579192227E-2</v>
      </c>
      <c r="H76" s="12">
        <v>0.33333333333333331</v>
      </c>
      <c r="I76" s="17">
        <f t="shared" si="3"/>
        <v>1.0211289706232405E-3</v>
      </c>
      <c r="J76" s="17">
        <f t="shared" si="3"/>
        <v>6.3821732106171553E-3</v>
      </c>
      <c r="K76" s="17">
        <f t="shared" si="3"/>
        <v>2.3894406909119804E-2</v>
      </c>
      <c r="L76" s="17">
        <f t="shared" si="3"/>
        <v>1.0848662338335247E-2</v>
      </c>
      <c r="M76" s="18">
        <f t="shared" si="3"/>
        <v>1.3884453286734903E-2</v>
      </c>
    </row>
    <row r="77" spans="1:13" x14ac:dyDescent="0.25">
      <c r="A77" s="12">
        <v>0.35416666666666669</v>
      </c>
      <c r="B77" s="18">
        <f t="shared" si="4"/>
        <v>3.3572377873705254E-3</v>
      </c>
      <c r="C77" s="18">
        <f t="shared" si="4"/>
        <v>3.7642486441122037E-3</v>
      </c>
      <c r="D77" s="18">
        <f t="shared" si="4"/>
        <v>2.0226693321905537E-2</v>
      </c>
      <c r="E77" s="18">
        <f t="shared" si="4"/>
        <v>1.3142999829712758E-2</v>
      </c>
      <c r="F77" s="18">
        <f t="shared" si="4"/>
        <v>1.2780120743692395E-2</v>
      </c>
      <c r="H77" s="12">
        <v>0.35416666666666669</v>
      </c>
      <c r="I77" s="17">
        <f t="shared" si="3"/>
        <v>1.587260069109301E-3</v>
      </c>
      <c r="J77" s="17">
        <f t="shared" si="3"/>
        <v>8.2491339467607432E-3</v>
      </c>
      <c r="K77" s="17">
        <f t="shared" si="3"/>
        <v>2.8092967863481172E-2</v>
      </c>
      <c r="L77" s="17">
        <f t="shared" si="3"/>
        <v>1.7292173429484296E-2</v>
      </c>
      <c r="M77" s="18">
        <f t="shared" si="3"/>
        <v>1.7039972467857687E-2</v>
      </c>
    </row>
    <row r="78" spans="1:13" x14ac:dyDescent="0.25">
      <c r="A78" s="12">
        <v>0.375</v>
      </c>
      <c r="B78" s="18">
        <f t="shared" si="4"/>
        <v>4.5636673893927823E-3</v>
      </c>
      <c r="C78" s="18">
        <f t="shared" si="4"/>
        <v>5.8100302695406345E-3</v>
      </c>
      <c r="D78" s="18">
        <f t="shared" si="4"/>
        <v>2.2307379581517475E-2</v>
      </c>
      <c r="E78" s="18">
        <f t="shared" si="4"/>
        <v>1.8785930938225219E-2</v>
      </c>
      <c r="F78" s="18">
        <f t="shared" si="4"/>
        <v>1.4706362029257533E-2</v>
      </c>
      <c r="H78" s="12">
        <v>0.375</v>
      </c>
      <c r="I78" s="17">
        <f t="shared" si="3"/>
        <v>2.4074584094354889E-3</v>
      </c>
      <c r="J78" s="17">
        <f t="shared" si="3"/>
        <v>1.0383693177901599E-2</v>
      </c>
      <c r="K78" s="17">
        <f t="shared" si="3"/>
        <v>3.1002744246314978E-2</v>
      </c>
      <c r="L78" s="17">
        <f t="shared" si="3"/>
        <v>2.6397097650389011E-2</v>
      </c>
      <c r="M78" s="18">
        <f t="shared" si="3"/>
        <v>1.9977207919747792E-2</v>
      </c>
    </row>
    <row r="79" spans="1:13" x14ac:dyDescent="0.25">
      <c r="A79" s="12">
        <v>0.39583333333333331</v>
      </c>
      <c r="B79" s="18">
        <f t="shared" si="4"/>
        <v>6.1073001711780929E-3</v>
      </c>
      <c r="C79" s="18">
        <f t="shared" si="4"/>
        <v>8.1760795466133546E-3</v>
      </c>
      <c r="D79" s="18">
        <f t="shared" si="4"/>
        <v>2.4087698216408847E-2</v>
      </c>
      <c r="E79" s="18">
        <f t="shared" si="4"/>
        <v>2.6673787236671173E-2</v>
      </c>
      <c r="F79" s="18">
        <f t="shared" si="4"/>
        <v>1.6687753744598931E-2</v>
      </c>
      <c r="H79" s="12">
        <v>0.39583333333333331</v>
      </c>
      <c r="I79" s="17">
        <f t="shared" si="3"/>
        <v>3.4868124429591131E-3</v>
      </c>
      <c r="J79" s="17">
        <f t="shared" si="3"/>
        <v>1.2778933278992592E-2</v>
      </c>
      <c r="K79" s="17">
        <f t="shared" si="3"/>
        <v>3.2468882627230272E-2</v>
      </c>
      <c r="L79" s="17">
        <f t="shared" si="3"/>
        <v>3.8250523793901266E-2</v>
      </c>
      <c r="M79" s="18">
        <f t="shared" si="3"/>
        <v>2.263153953133477E-2</v>
      </c>
    </row>
    <row r="80" spans="1:13" x14ac:dyDescent="0.25">
      <c r="A80" s="12">
        <v>0.41666666666666669</v>
      </c>
      <c r="B80" s="18">
        <f t="shared" si="4"/>
        <v>8.0724850239021206E-3</v>
      </c>
      <c r="C80" s="18">
        <f t="shared" si="4"/>
        <v>1.0728147888317881E-2</v>
      </c>
      <c r="D80" s="18">
        <f t="shared" si="4"/>
        <v>2.587885058870066E-2</v>
      </c>
      <c r="E80" s="18">
        <f t="shared" si="4"/>
        <v>3.7733956171899785E-2</v>
      </c>
      <c r="F80" s="18">
        <f t="shared" si="4"/>
        <v>1.8930265150666089E-2</v>
      </c>
      <c r="H80" s="12">
        <v>0.41666666666666669</v>
      </c>
      <c r="I80" s="17">
        <f t="shared" si="3"/>
        <v>4.7585330775299015E-3</v>
      </c>
      <c r="J80" s="17">
        <f t="shared" si="3"/>
        <v>1.5342291537996107E-2</v>
      </c>
      <c r="K80" s="17">
        <f t="shared" si="3"/>
        <v>3.2620856792045377E-2</v>
      </c>
      <c r="L80" s="17">
        <f t="shared" si="3"/>
        <v>5.2089236848379405E-2</v>
      </c>
      <c r="M80" s="18">
        <f t="shared" si="3"/>
        <v>2.4948809850964121E-2</v>
      </c>
    </row>
    <row r="81" spans="1:13" x14ac:dyDescent="0.25">
      <c r="A81" s="12">
        <v>0.4375</v>
      </c>
      <c r="B81" s="18">
        <f t="shared" si="4"/>
        <v>1.049384256392274E-2</v>
      </c>
      <c r="C81" s="18">
        <f t="shared" si="4"/>
        <v>1.3405806094265591E-2</v>
      </c>
      <c r="D81" s="18">
        <f t="shared" si="4"/>
        <v>2.7807781875383918E-2</v>
      </c>
      <c r="E81" s="18">
        <f t="shared" si="4"/>
        <v>5.2593419157814646E-2</v>
      </c>
      <c r="F81" s="18">
        <f t="shared" si="4"/>
        <v>2.1525374416961444E-2</v>
      </c>
      <c r="H81" s="12">
        <v>0.4375</v>
      </c>
      <c r="I81" s="17">
        <f t="shared" ref="I81:M96" si="5">I24/I$59</f>
        <v>6.1211943423610726E-3</v>
      </c>
      <c r="J81" s="17">
        <f t="shared" si="5"/>
        <v>1.7940570391159247E-2</v>
      </c>
      <c r="K81" s="17">
        <f t="shared" si="5"/>
        <v>3.1798218459091143E-2</v>
      </c>
      <c r="L81" s="17">
        <f t="shared" si="5"/>
        <v>6.6301311143788927E-2</v>
      </c>
      <c r="M81" s="18">
        <f t="shared" si="5"/>
        <v>2.6865262267475529E-2</v>
      </c>
    </row>
    <row r="82" spans="1:13" x14ac:dyDescent="0.25">
      <c r="A82" s="12">
        <v>0.45833333333333331</v>
      </c>
      <c r="B82" s="18">
        <f t="shared" ref="B82:F97" si="6">B25/B$59</f>
        <v>1.3290110222288053E-2</v>
      </c>
      <c r="C82" s="18">
        <f t="shared" si="6"/>
        <v>1.6353761503978985E-2</v>
      </c>
      <c r="D82" s="18">
        <f t="shared" si="6"/>
        <v>2.969094392307936E-2</v>
      </c>
      <c r="E82" s="18">
        <f t="shared" si="6"/>
        <v>7.0576599507771481E-2</v>
      </c>
      <c r="F82" s="18">
        <f t="shared" si="6"/>
        <v>2.4346085033367347E-2</v>
      </c>
      <c r="H82" s="12">
        <v>0.45833333333333331</v>
      </c>
      <c r="I82" s="17">
        <f t="shared" si="5"/>
        <v>7.5138361650368864E-3</v>
      </c>
      <c r="J82" s="17">
        <f t="shared" si="5"/>
        <v>2.0495535518395905E-2</v>
      </c>
      <c r="K82" s="17">
        <f t="shared" si="5"/>
        <v>3.0455342344165446E-2</v>
      </c>
      <c r="L82" s="17">
        <f t="shared" si="5"/>
        <v>7.8838243926160845E-2</v>
      </c>
      <c r="M82" s="18">
        <f t="shared" si="5"/>
        <v>2.8340871432039557E-2</v>
      </c>
    </row>
    <row r="83" spans="1:13" x14ac:dyDescent="0.25">
      <c r="A83" s="12">
        <v>0.47916666666666669</v>
      </c>
      <c r="B83" s="18">
        <f t="shared" si="6"/>
        <v>1.6280129908779143E-2</v>
      </c>
      <c r="C83" s="18">
        <f t="shared" si="6"/>
        <v>2.0214390430731092E-2</v>
      </c>
      <c r="D83" s="18">
        <f t="shared" si="6"/>
        <v>3.1180348954590712E-2</v>
      </c>
      <c r="E83" s="18">
        <f t="shared" si="6"/>
        <v>8.8869294829180365E-2</v>
      </c>
      <c r="F83" s="18">
        <f t="shared" si="6"/>
        <v>2.7139843426547874E-2</v>
      </c>
      <c r="H83" s="12">
        <v>0.47916666666666669</v>
      </c>
      <c r="I83" s="17">
        <f t="shared" si="5"/>
        <v>8.9783848343027821E-3</v>
      </c>
      <c r="J83" s="17">
        <f t="shared" si="5"/>
        <v>2.308193116812143E-2</v>
      </c>
      <c r="K83" s="17">
        <f t="shared" si="5"/>
        <v>2.9075157135607328E-2</v>
      </c>
      <c r="L83" s="17">
        <f t="shared" si="5"/>
        <v>8.774469305180152E-2</v>
      </c>
      <c r="M83" s="18">
        <f t="shared" si="5"/>
        <v>2.9407192273729482E-2</v>
      </c>
    </row>
    <row r="84" spans="1:13" x14ac:dyDescent="0.25">
      <c r="A84" s="12">
        <v>0.5</v>
      </c>
      <c r="B84" s="18">
        <f t="shared" si="6"/>
        <v>1.9351836938572765E-2</v>
      </c>
      <c r="C84" s="18">
        <f t="shared" si="6"/>
        <v>2.6436548997267256E-2</v>
      </c>
      <c r="D84" s="18">
        <f t="shared" si="6"/>
        <v>3.2070642719260058E-2</v>
      </c>
      <c r="E84" s="18">
        <f t="shared" si="6"/>
        <v>0.10290183694200455</v>
      </c>
      <c r="F84" s="18">
        <f t="shared" si="6"/>
        <v>2.979626668520215E-2</v>
      </c>
      <c r="H84" s="12">
        <v>0.5</v>
      </c>
      <c r="I84" s="17">
        <f t="shared" si="5"/>
        <v>1.0682776790428708E-2</v>
      </c>
      <c r="J84" s="17">
        <f t="shared" si="5"/>
        <v>2.6045897561041836E-2</v>
      </c>
      <c r="K84" s="17">
        <f t="shared" si="5"/>
        <v>2.8109200982254764E-2</v>
      </c>
      <c r="L84" s="17">
        <f t="shared" si="5"/>
        <v>9.1574474103879186E-2</v>
      </c>
      <c r="M84" s="18">
        <f t="shared" si="5"/>
        <v>3.0206301644349193E-2</v>
      </c>
    </row>
    <row r="85" spans="1:13" x14ac:dyDescent="0.25">
      <c r="A85" s="12">
        <v>0.52083333333333337</v>
      </c>
      <c r="B85" s="18">
        <f t="shared" si="6"/>
        <v>2.2708637287764285E-2</v>
      </c>
      <c r="C85" s="18">
        <f t="shared" si="6"/>
        <v>3.7070161081743068E-2</v>
      </c>
      <c r="D85" s="18">
        <f t="shared" si="6"/>
        <v>3.2505577757012849E-2</v>
      </c>
      <c r="E85" s="18">
        <f t="shared" si="6"/>
        <v>0.10828473797856276</v>
      </c>
      <c r="F85" s="18">
        <f t="shared" si="6"/>
        <v>3.2570145112954481E-2</v>
      </c>
      <c r="H85" s="12">
        <v>0.52083333333333337</v>
      </c>
      <c r="I85" s="17">
        <f t="shared" si="5"/>
        <v>1.2934240713951077E-2</v>
      </c>
      <c r="J85" s="17">
        <f t="shared" si="5"/>
        <v>3.0167615578922658E-2</v>
      </c>
      <c r="K85" s="17">
        <f t="shared" si="5"/>
        <v>2.7959387769822569E-2</v>
      </c>
      <c r="L85" s="17">
        <f t="shared" si="5"/>
        <v>8.9709527755889334E-2</v>
      </c>
      <c r="M85" s="18">
        <f t="shared" si="5"/>
        <v>3.1041334713519577E-2</v>
      </c>
    </row>
    <row r="86" spans="1:13" x14ac:dyDescent="0.25">
      <c r="A86" s="12">
        <v>0.54166666666666663</v>
      </c>
      <c r="B86" s="18">
        <f t="shared" si="6"/>
        <v>2.6988102792965183E-2</v>
      </c>
      <c r="C86" s="18">
        <f t="shared" si="6"/>
        <v>5.356071587682356E-2</v>
      </c>
      <c r="D86" s="18">
        <f t="shared" si="6"/>
        <v>3.2907858183288383E-2</v>
      </c>
      <c r="E86" s="18">
        <f t="shared" si="6"/>
        <v>0.10317606978585195</v>
      </c>
      <c r="F86" s="18">
        <f t="shared" si="6"/>
        <v>3.6004912502527825E-2</v>
      </c>
      <c r="H86" s="12">
        <v>0.54166666666666663</v>
      </c>
      <c r="I86" s="17">
        <f t="shared" si="5"/>
        <v>1.6224310359741725E-2</v>
      </c>
      <c r="J86" s="17">
        <f t="shared" si="5"/>
        <v>3.6684711906998825E-2</v>
      </c>
      <c r="K86" s="17">
        <f t="shared" si="5"/>
        <v>2.8998393025983619E-2</v>
      </c>
      <c r="L86" s="17">
        <f t="shared" si="5"/>
        <v>8.25920120754427E-2</v>
      </c>
      <c r="M86" s="18">
        <f t="shared" si="5"/>
        <v>3.2428385562399568E-2</v>
      </c>
    </row>
    <row r="87" spans="1:13" x14ac:dyDescent="0.25">
      <c r="A87" s="12">
        <v>0.5625</v>
      </c>
      <c r="B87" s="18">
        <f t="shared" si="6"/>
        <v>3.3089473363963076E-2</v>
      </c>
      <c r="C87" s="18">
        <f t="shared" si="6"/>
        <v>7.489438225035952E-2</v>
      </c>
      <c r="D87" s="18">
        <f t="shared" si="6"/>
        <v>3.3684247164932991E-2</v>
      </c>
      <c r="E87" s="18">
        <f t="shared" si="6"/>
        <v>8.9320256786727878E-2</v>
      </c>
      <c r="F87" s="18">
        <f t="shared" si="6"/>
        <v>4.0521521080314253E-2</v>
      </c>
      <c r="H87" s="12">
        <v>0.5625</v>
      </c>
      <c r="I87" s="17">
        <f t="shared" si="5"/>
        <v>2.1273028800470183E-2</v>
      </c>
      <c r="J87" s="17">
        <f t="shared" si="5"/>
        <v>4.6764647406055244E-2</v>
      </c>
      <c r="K87" s="17">
        <f t="shared" si="5"/>
        <v>3.1565771267708091E-2</v>
      </c>
      <c r="L87" s="17">
        <f t="shared" si="5"/>
        <v>7.1682116823170508E-2</v>
      </c>
      <c r="M87" s="18">
        <f t="shared" si="5"/>
        <v>3.504009228552047E-2</v>
      </c>
    </row>
    <row r="88" spans="1:13" x14ac:dyDescent="0.25">
      <c r="A88" s="12">
        <v>0.58333333333333337</v>
      </c>
      <c r="B88" s="18">
        <f t="shared" si="6"/>
        <v>4.1730322529923466E-2</v>
      </c>
      <c r="C88" s="18">
        <f t="shared" si="6"/>
        <v>9.6529174178313887E-2</v>
      </c>
      <c r="D88" s="18">
        <f t="shared" si="6"/>
        <v>3.492274046214109E-2</v>
      </c>
      <c r="E88" s="18">
        <f t="shared" si="6"/>
        <v>7.1014766434784118E-2</v>
      </c>
      <c r="F88" s="18">
        <f t="shared" si="6"/>
        <v>4.5952277422640603E-2</v>
      </c>
      <c r="H88" s="12">
        <v>0.58333333333333337</v>
      </c>
      <c r="I88" s="17">
        <f t="shared" si="5"/>
        <v>2.8936101153699538E-2</v>
      </c>
      <c r="J88" s="17">
        <f t="shared" si="5"/>
        <v>6.0310106448045915E-2</v>
      </c>
      <c r="K88" s="17">
        <f t="shared" si="5"/>
        <v>3.5838631768454816E-2</v>
      </c>
      <c r="L88" s="17">
        <f t="shared" si="5"/>
        <v>5.9005883332524163E-2</v>
      </c>
      <c r="M88" s="18">
        <f t="shared" si="5"/>
        <v>3.9424142201212355E-2</v>
      </c>
    </row>
    <row r="89" spans="1:13" x14ac:dyDescent="0.25">
      <c r="A89" s="12">
        <v>0.60416666666666663</v>
      </c>
      <c r="B89" s="18">
        <f t="shared" si="6"/>
        <v>5.2920993050464028E-2</v>
      </c>
      <c r="C89" s="18">
        <f t="shared" si="6"/>
        <v>0.11161992833361126</v>
      </c>
      <c r="D89" s="18">
        <f t="shared" si="6"/>
        <v>3.6298654792194761E-2</v>
      </c>
      <c r="E89" s="18">
        <f t="shared" si="6"/>
        <v>5.2893337054580235E-2</v>
      </c>
      <c r="F89" s="18">
        <f t="shared" si="6"/>
        <v>5.1412812490476363E-2</v>
      </c>
      <c r="H89" s="12">
        <v>0.60416666666666663</v>
      </c>
      <c r="I89" s="17">
        <f t="shared" si="5"/>
        <v>3.9832623550346474E-2</v>
      </c>
      <c r="J89" s="17">
        <f t="shared" si="5"/>
        <v>7.4914037109169718E-2</v>
      </c>
      <c r="K89" s="17">
        <f t="shared" si="5"/>
        <v>4.1565736500857119E-2</v>
      </c>
      <c r="L89" s="17">
        <f t="shared" si="5"/>
        <v>4.6494231849406618E-2</v>
      </c>
      <c r="M89" s="18">
        <f t="shared" si="5"/>
        <v>4.5570365191534637E-2</v>
      </c>
    </row>
    <row r="90" spans="1:13" x14ac:dyDescent="0.25">
      <c r="A90" s="12">
        <v>0.625</v>
      </c>
      <c r="B90" s="18">
        <f t="shared" si="6"/>
        <v>6.5599969186220394E-2</v>
      </c>
      <c r="C90" s="18">
        <f t="shared" si="6"/>
        <v>0.11444569942215337</v>
      </c>
      <c r="D90" s="18">
        <f t="shared" si="6"/>
        <v>3.727156596505124E-2</v>
      </c>
      <c r="E90" s="18">
        <f t="shared" si="6"/>
        <v>3.8053500417424523E-2</v>
      </c>
      <c r="F90" s="18">
        <f t="shared" si="6"/>
        <v>5.5668478054639182E-2</v>
      </c>
      <c r="H90" s="12">
        <v>0.625</v>
      </c>
      <c r="I90" s="17">
        <f t="shared" si="5"/>
        <v>5.3727189857631481E-2</v>
      </c>
      <c r="J90" s="17">
        <f t="shared" si="5"/>
        <v>8.6314329348752494E-2</v>
      </c>
      <c r="K90" s="17">
        <f t="shared" si="5"/>
        <v>4.7843893209819001E-2</v>
      </c>
      <c r="L90" s="17">
        <f t="shared" si="5"/>
        <v>3.5492754636885122E-2</v>
      </c>
      <c r="M90" s="18">
        <f t="shared" si="5"/>
        <v>5.2625316760700751E-2</v>
      </c>
    </row>
    <row r="91" spans="1:13" x14ac:dyDescent="0.25">
      <c r="A91" s="12">
        <v>0.64583333333333337</v>
      </c>
      <c r="B91" s="18">
        <f t="shared" si="6"/>
        <v>7.7632090986123004E-2</v>
      </c>
      <c r="C91" s="18">
        <f t="shared" si="6"/>
        <v>0.10381670579208485</v>
      </c>
      <c r="D91" s="18">
        <f t="shared" si="6"/>
        <v>3.7460889230328989E-2</v>
      </c>
      <c r="E91" s="18">
        <f t="shared" si="6"/>
        <v>2.7419327065692181E-2</v>
      </c>
      <c r="F91" s="18">
        <f t="shared" si="6"/>
        <v>5.7744789246458358E-2</v>
      </c>
      <c r="H91" s="12">
        <v>0.64583333333333337</v>
      </c>
      <c r="I91" s="17">
        <f t="shared" si="5"/>
        <v>6.8989123054127799E-2</v>
      </c>
      <c r="J91" s="17">
        <f t="shared" si="5"/>
        <v>9.0641160445331492E-2</v>
      </c>
      <c r="K91" s="17">
        <f t="shared" si="5"/>
        <v>5.3201928995044306E-2</v>
      </c>
      <c r="L91" s="17">
        <f t="shared" si="5"/>
        <v>2.6630011080133003E-2</v>
      </c>
      <c r="M91" s="18">
        <f t="shared" si="5"/>
        <v>5.9030251925759003E-2</v>
      </c>
    </row>
    <row r="92" spans="1:13" x14ac:dyDescent="0.25">
      <c r="A92" s="12">
        <v>0.66666666666666663</v>
      </c>
      <c r="B92" s="18">
        <f t="shared" si="6"/>
        <v>8.6279389545128801E-2</v>
      </c>
      <c r="C92" s="18">
        <f t="shared" si="6"/>
        <v>8.3793291602996395E-2</v>
      </c>
      <c r="D92" s="18">
        <f t="shared" si="6"/>
        <v>3.6944865348502678E-2</v>
      </c>
      <c r="E92" s="18">
        <f t="shared" si="6"/>
        <v>2.0258224519149853E-2</v>
      </c>
      <c r="F92" s="18">
        <f t="shared" si="6"/>
        <v>5.7338875715969607E-2</v>
      </c>
      <c r="H92" s="12">
        <v>0.66666666666666663</v>
      </c>
      <c r="I92" s="17">
        <f t="shared" si="5"/>
        <v>8.2620001754603031E-2</v>
      </c>
      <c r="J92" s="17">
        <f t="shared" si="5"/>
        <v>8.6802441588596832E-2</v>
      </c>
      <c r="K92" s="17">
        <f t="shared" si="5"/>
        <v>5.608639615374509E-2</v>
      </c>
      <c r="L92" s="17">
        <f t="shared" si="5"/>
        <v>1.9954019218061746E-2</v>
      </c>
      <c r="M92" s="18">
        <f t="shared" si="5"/>
        <v>6.3061492236242911E-2</v>
      </c>
    </row>
    <row r="93" spans="1:13" x14ac:dyDescent="0.25">
      <c r="A93" s="12">
        <v>0.6875</v>
      </c>
      <c r="B93" s="18">
        <f t="shared" si="6"/>
        <v>8.9099250068493327E-2</v>
      </c>
      <c r="C93" s="18">
        <f t="shared" si="6"/>
        <v>6.1125251326145533E-2</v>
      </c>
      <c r="D93" s="18">
        <f t="shared" si="6"/>
        <v>3.6260498371992592E-2</v>
      </c>
      <c r="E93" s="18">
        <f t="shared" si="6"/>
        <v>1.5225088852404619E-2</v>
      </c>
      <c r="F93" s="18">
        <f t="shared" si="6"/>
        <v>5.480362671222528E-2</v>
      </c>
      <c r="H93" s="12">
        <v>0.6875</v>
      </c>
      <c r="I93" s="17">
        <f t="shared" si="5"/>
        <v>9.1141892421196399E-2</v>
      </c>
      <c r="J93" s="17">
        <f t="shared" si="5"/>
        <v>7.6881537218601984E-2</v>
      </c>
      <c r="K93" s="17">
        <f t="shared" si="5"/>
        <v>5.5521617785962464E-2</v>
      </c>
      <c r="L93" s="17">
        <f t="shared" si="5"/>
        <v>1.5161037496573453E-2</v>
      </c>
      <c r="M93" s="18">
        <f t="shared" si="5"/>
        <v>6.3474628027526084E-2</v>
      </c>
    </row>
    <row r="94" spans="1:13" x14ac:dyDescent="0.25">
      <c r="A94" s="12">
        <v>0.70833333333333337</v>
      </c>
      <c r="B94" s="18">
        <f t="shared" si="6"/>
        <v>8.4972926672918267E-2</v>
      </c>
      <c r="C94" s="18">
        <f t="shared" si="6"/>
        <v>4.1521279362621046E-2</v>
      </c>
      <c r="D94" s="18">
        <f t="shared" si="6"/>
        <v>3.6093321464861404E-2</v>
      </c>
      <c r="E94" s="18">
        <f t="shared" si="6"/>
        <v>1.1254655841289093E-2</v>
      </c>
      <c r="F94" s="18">
        <f t="shared" si="6"/>
        <v>5.0852404122659241E-2</v>
      </c>
      <c r="H94" s="12">
        <v>0.70833333333333337</v>
      </c>
      <c r="I94" s="17">
        <f t="shared" si="5"/>
        <v>9.2071531210830823E-2</v>
      </c>
      <c r="J94" s="17">
        <f t="shared" si="5"/>
        <v>6.431859017937637E-2</v>
      </c>
      <c r="K94" s="17">
        <f t="shared" si="5"/>
        <v>5.1534304732409102E-2</v>
      </c>
      <c r="L94" s="17">
        <f t="shared" si="5"/>
        <v>1.180085647212026E-2</v>
      </c>
      <c r="M94" s="18">
        <f t="shared" si="5"/>
        <v>5.9935846556612521E-2</v>
      </c>
    </row>
    <row r="95" spans="1:13" x14ac:dyDescent="0.25">
      <c r="A95" s="12">
        <v>0.72916666666666663</v>
      </c>
      <c r="B95" s="18">
        <f t="shared" si="6"/>
        <v>7.4727693614998703E-2</v>
      </c>
      <c r="C95" s="18">
        <f t="shared" si="6"/>
        <v>2.7491282099425071E-2</v>
      </c>
      <c r="D95" s="18">
        <f t="shared" si="6"/>
        <v>3.6861685719044017E-2</v>
      </c>
      <c r="E95" s="18">
        <f t="shared" si="6"/>
        <v>7.9014528614555907E-3</v>
      </c>
      <c r="F95" s="18">
        <f t="shared" si="6"/>
        <v>4.6264024470983038E-2</v>
      </c>
      <c r="H95" s="12">
        <v>0.72916666666666663</v>
      </c>
      <c r="I95" s="17">
        <f t="shared" si="5"/>
        <v>8.5154757382805479E-2</v>
      </c>
      <c r="J95" s="17">
        <f t="shared" si="5"/>
        <v>5.1750224880331451E-2</v>
      </c>
      <c r="K95" s="17">
        <f t="shared" si="5"/>
        <v>4.5078739168855804E-2</v>
      </c>
      <c r="L95" s="17">
        <f t="shared" si="5"/>
        <v>9.4142109225199451E-3</v>
      </c>
      <c r="M95" s="18">
        <f t="shared" si="5"/>
        <v>5.3095052141839308E-2</v>
      </c>
    </row>
    <row r="96" spans="1:13" x14ac:dyDescent="0.25">
      <c r="A96" s="12">
        <v>0.75</v>
      </c>
      <c r="B96" s="18">
        <f t="shared" si="6"/>
        <v>6.0882021767995752E-2</v>
      </c>
      <c r="C96" s="18">
        <f t="shared" si="6"/>
        <v>1.8678135671827866E-2</v>
      </c>
      <c r="D96" s="18">
        <f t="shared" si="6"/>
        <v>3.8447402382401949E-2</v>
      </c>
      <c r="E96" s="18">
        <f t="shared" si="6"/>
        <v>5.1652096263626081E-3</v>
      </c>
      <c r="F96" s="18">
        <f t="shared" si="6"/>
        <v>4.1696825890926985E-2</v>
      </c>
      <c r="H96" s="12">
        <v>0.75</v>
      </c>
      <c r="I96" s="17">
        <f t="shared" si="5"/>
        <v>7.2529415043297726E-2</v>
      </c>
      <c r="J96" s="17">
        <f t="shared" si="5"/>
        <v>4.0280812113603209E-2</v>
      </c>
      <c r="K96" s="17">
        <f t="shared" si="5"/>
        <v>3.7557679281031743E-2</v>
      </c>
      <c r="L96" s="17">
        <f t="shared" si="5"/>
        <v>7.6140975455024577E-3</v>
      </c>
      <c r="M96" s="18">
        <f t="shared" si="5"/>
        <v>4.432259357689456E-2</v>
      </c>
    </row>
    <row r="97" spans="1:13" x14ac:dyDescent="0.25">
      <c r="A97" s="12">
        <v>0.77083333333333337</v>
      </c>
      <c r="B97" s="18">
        <f t="shared" si="6"/>
        <v>4.655818793239138E-2</v>
      </c>
      <c r="C97" s="18">
        <f t="shared" si="6"/>
        <v>1.3490924599441387E-2</v>
      </c>
      <c r="D97" s="18">
        <f t="shared" si="6"/>
        <v>4.0205783089227787E-2</v>
      </c>
      <c r="E97" s="18">
        <f t="shared" si="6"/>
        <v>3.1500500750845204E-3</v>
      </c>
      <c r="F97" s="18">
        <f t="shared" si="6"/>
        <v>3.7558079206809751E-2</v>
      </c>
      <c r="H97" s="12">
        <v>0.77083333333333337</v>
      </c>
      <c r="I97" s="17">
        <f t="shared" ref="I97:M112" si="7">I40/I$59</f>
        <v>5.766346128919711E-2</v>
      </c>
      <c r="J97" s="17">
        <f t="shared" si="7"/>
        <v>3.0142678188285994E-2</v>
      </c>
      <c r="K97" s="17">
        <f t="shared" si="7"/>
        <v>3.0279848628863314E-2</v>
      </c>
      <c r="L97" s="17">
        <f t="shared" si="7"/>
        <v>6.1481739184694141E-3</v>
      </c>
      <c r="M97" s="18">
        <f t="shared" si="7"/>
        <v>3.5231110578111603E-2</v>
      </c>
    </row>
    <row r="98" spans="1:13" x14ac:dyDescent="0.25">
      <c r="A98" s="12">
        <v>0.79166666666666663</v>
      </c>
      <c r="B98" s="18">
        <f t="shared" ref="B98:F113" si="8">B41/B$59</f>
        <v>3.4210318426915708E-2</v>
      </c>
      <c r="C98" s="18">
        <f t="shared" si="8"/>
        <v>1.0432183152365921E-2</v>
      </c>
      <c r="D98" s="18">
        <f t="shared" si="8"/>
        <v>4.1225134875205433E-2</v>
      </c>
      <c r="E98" s="18">
        <f t="shared" si="8"/>
        <v>1.8670613177952471E-3</v>
      </c>
      <c r="F98" s="18">
        <f t="shared" si="8"/>
        <v>3.3917094450370458E-2</v>
      </c>
      <c r="H98" s="12">
        <v>0.79166666666666663</v>
      </c>
      <c r="I98" s="17">
        <f t="shared" si="7"/>
        <v>4.3767062912338596E-2</v>
      </c>
      <c r="J98" s="17">
        <f t="shared" si="7"/>
        <v>2.1511972268559481E-2</v>
      </c>
      <c r="K98" s="17">
        <f t="shared" si="7"/>
        <v>2.4129080937106404E-2</v>
      </c>
      <c r="L98" s="17">
        <f t="shared" si="7"/>
        <v>4.9399194386198844E-3</v>
      </c>
      <c r="M98" s="18">
        <f t="shared" si="7"/>
        <v>2.7167651623609179E-2</v>
      </c>
    </row>
    <row r="99" spans="1:13" x14ac:dyDescent="0.25">
      <c r="A99" s="12">
        <v>0.8125</v>
      </c>
      <c r="B99" s="18">
        <f t="shared" si="8"/>
        <v>2.4926370417152208E-2</v>
      </c>
      <c r="C99" s="18">
        <f t="shared" si="8"/>
        <v>8.5207818787155585E-3</v>
      </c>
      <c r="D99" s="18">
        <f t="shared" si="8"/>
        <v>4.0693687857186314E-2</v>
      </c>
      <c r="E99" s="18">
        <f t="shared" si="8"/>
        <v>1.224508818303262E-3</v>
      </c>
      <c r="F99" s="18">
        <f t="shared" si="8"/>
        <v>3.054265717704157E-2</v>
      </c>
      <c r="H99" s="12">
        <v>0.8125</v>
      </c>
      <c r="I99" s="17">
        <f t="shared" si="7"/>
        <v>3.2673024495073047E-2</v>
      </c>
      <c r="J99" s="17">
        <f t="shared" si="7"/>
        <v>1.4678330669326554E-2</v>
      </c>
      <c r="K99" s="17">
        <f t="shared" si="7"/>
        <v>1.9483903794754752E-2</v>
      </c>
      <c r="L99" s="17">
        <f t="shared" si="7"/>
        <v>4.0542616143430738E-3</v>
      </c>
      <c r="M99" s="18">
        <f t="shared" si="7"/>
        <v>2.0874769441037055E-2</v>
      </c>
    </row>
    <row r="100" spans="1:13" x14ac:dyDescent="0.25">
      <c r="A100" s="12">
        <v>0.83333333333333337</v>
      </c>
      <c r="B100" s="18">
        <f t="shared" si="8"/>
        <v>1.8566394698612921E-2</v>
      </c>
      <c r="C100" s="18">
        <f t="shared" si="8"/>
        <v>7.1692807812051085E-3</v>
      </c>
      <c r="D100" s="18">
        <f t="shared" si="8"/>
        <v>3.8203927345724205E-2</v>
      </c>
      <c r="E100" s="18">
        <f t="shared" si="8"/>
        <v>1.0734542428298324E-3</v>
      </c>
      <c r="F100" s="18">
        <f t="shared" si="8"/>
        <v>2.709443723462596E-2</v>
      </c>
      <c r="H100" s="12">
        <v>0.83333333333333337</v>
      </c>
      <c r="I100" s="17">
        <f t="shared" si="7"/>
        <v>2.4702487608479214E-2</v>
      </c>
      <c r="J100" s="17">
        <f t="shared" si="7"/>
        <v>9.7664633134161884E-3</v>
      </c>
      <c r="K100" s="17">
        <f t="shared" si="7"/>
        <v>1.6288517102401843E-2</v>
      </c>
      <c r="L100" s="17">
        <f t="shared" si="7"/>
        <v>3.5673953953798661E-3</v>
      </c>
      <c r="M100" s="18">
        <f t="shared" si="7"/>
        <v>1.6439395293939681E-2</v>
      </c>
    </row>
    <row r="101" spans="1:13" x14ac:dyDescent="0.25">
      <c r="A101" s="12">
        <v>0.85416666666666663</v>
      </c>
      <c r="B101" s="18">
        <f t="shared" si="8"/>
        <v>1.4394540835884718E-2</v>
      </c>
      <c r="C101" s="18">
        <f t="shared" si="8"/>
        <v>6.0186857599012844E-3</v>
      </c>
      <c r="D101" s="18">
        <f t="shared" si="8"/>
        <v>3.3876715208653159E-2</v>
      </c>
      <c r="E101" s="18">
        <f t="shared" si="8"/>
        <v>1.2189055887027915E-3</v>
      </c>
      <c r="F101" s="18">
        <f t="shared" si="8"/>
        <v>2.3361533986794608E-2</v>
      </c>
      <c r="H101" s="12">
        <v>0.85416666666666663</v>
      </c>
      <c r="I101" s="17">
        <f t="shared" si="7"/>
        <v>1.9272002330877065E-2</v>
      </c>
      <c r="J101" s="17">
        <f t="shared" si="7"/>
        <v>6.5564255865729476E-3</v>
      </c>
      <c r="K101" s="17">
        <f t="shared" si="7"/>
        <v>1.4196184281344691E-2</v>
      </c>
      <c r="L101" s="17">
        <f t="shared" si="7"/>
        <v>3.4245443195706198E-3</v>
      </c>
      <c r="M101" s="18">
        <f t="shared" si="7"/>
        <v>1.3496327180709181E-2</v>
      </c>
    </row>
    <row r="102" spans="1:13" x14ac:dyDescent="0.25">
      <c r="A102" s="12">
        <v>0.875</v>
      </c>
      <c r="B102" s="18">
        <f t="shared" si="8"/>
        <v>1.1663004093585496E-2</v>
      </c>
      <c r="C102" s="18">
        <f t="shared" si="8"/>
        <v>4.9003399218948921E-3</v>
      </c>
      <c r="D102" s="18">
        <f t="shared" si="8"/>
        <v>2.82818489493624E-2</v>
      </c>
      <c r="E102" s="18">
        <f t="shared" si="8"/>
        <v>1.4282392400229225E-3</v>
      </c>
      <c r="F102" s="18">
        <f t="shared" si="8"/>
        <v>1.9393119530239165E-2</v>
      </c>
      <c r="H102" s="12">
        <v>0.875</v>
      </c>
      <c r="I102" s="17">
        <f t="shared" si="7"/>
        <v>1.5604825127889873E-2</v>
      </c>
      <c r="J102" s="17">
        <f t="shared" si="7"/>
        <v>4.5991384818848315E-3</v>
      </c>
      <c r="K102" s="17">
        <f t="shared" si="7"/>
        <v>1.2745607203148272E-2</v>
      </c>
      <c r="L102" s="17">
        <f t="shared" si="7"/>
        <v>3.4113012638251634E-3</v>
      </c>
      <c r="M102" s="18">
        <f t="shared" si="7"/>
        <v>1.1524929000500554E-2</v>
      </c>
    </row>
    <row r="103" spans="1:13" x14ac:dyDescent="0.25">
      <c r="A103" s="12">
        <v>0.89583333333333337</v>
      </c>
      <c r="B103" s="18">
        <f t="shared" si="8"/>
        <v>9.8450084667040631E-3</v>
      </c>
      <c r="C103" s="18">
        <f t="shared" si="8"/>
        <v>3.832774037341188E-3</v>
      </c>
      <c r="D103" s="18">
        <f t="shared" si="8"/>
        <v>2.2214731560688174E-2</v>
      </c>
      <c r="E103" s="18">
        <f t="shared" si="8"/>
        <v>1.4936942481118957E-3</v>
      </c>
      <c r="F103" s="18">
        <f t="shared" si="8"/>
        <v>1.5451179889938811E-2</v>
      </c>
      <c r="H103" s="12">
        <v>0.89583333333333337</v>
      </c>
      <c r="I103" s="17">
        <f t="shared" si="7"/>
        <v>1.3087916085330241E-2</v>
      </c>
      <c r="J103" s="17">
        <f t="shared" si="7"/>
        <v>3.4390623654517853E-3</v>
      </c>
      <c r="K103" s="17">
        <f t="shared" si="7"/>
        <v>1.1517989053433379E-2</v>
      </c>
      <c r="L103" s="17">
        <f t="shared" si="7"/>
        <v>3.2713613095304594E-3</v>
      </c>
      <c r="M103" s="18">
        <f t="shared" si="7"/>
        <v>1.0065844794040293E-2</v>
      </c>
    </row>
    <row r="104" spans="1:13" x14ac:dyDescent="0.25">
      <c r="A104" s="12">
        <v>0.91666666666666663</v>
      </c>
      <c r="B104" s="18">
        <f t="shared" si="8"/>
        <v>8.5709159792390285E-3</v>
      </c>
      <c r="C104" s="18">
        <f t="shared" si="8"/>
        <v>2.9441128098775973E-3</v>
      </c>
      <c r="D104" s="18">
        <f t="shared" si="8"/>
        <v>1.6433639803132994E-2</v>
      </c>
      <c r="E104" s="18">
        <f t="shared" si="8"/>
        <v>1.3238100278950792E-3</v>
      </c>
      <c r="F104" s="18">
        <f t="shared" si="8"/>
        <v>1.184325892214684E-2</v>
      </c>
      <c r="H104" s="12">
        <v>0.91666666666666663</v>
      </c>
      <c r="I104" s="17">
        <f t="shared" si="7"/>
        <v>1.1261895532336891E-2</v>
      </c>
      <c r="J104" s="17">
        <f t="shared" si="7"/>
        <v>2.7328137161683587E-3</v>
      </c>
      <c r="K104" s="17">
        <f t="shared" si="7"/>
        <v>1.0223035623351345E-2</v>
      </c>
      <c r="L104" s="17">
        <f t="shared" si="7"/>
        <v>2.8662933290116172E-3</v>
      </c>
      <c r="M104" s="18">
        <f t="shared" si="7"/>
        <v>8.7921782176270322E-3</v>
      </c>
    </row>
    <row r="105" spans="1:13" x14ac:dyDescent="0.25">
      <c r="A105" s="12">
        <v>0.9375</v>
      </c>
      <c r="B105" s="18">
        <f t="shared" si="8"/>
        <v>7.5086537812902475E-3</v>
      </c>
      <c r="C105" s="18">
        <f t="shared" si="8"/>
        <v>2.3294048894997063E-3</v>
      </c>
      <c r="D105" s="18">
        <f t="shared" si="8"/>
        <v>1.1464803808291811E-2</v>
      </c>
      <c r="E105" s="18">
        <f t="shared" si="8"/>
        <v>9.7646606691415472E-4</v>
      </c>
      <c r="F105" s="18">
        <f t="shared" si="8"/>
        <v>8.7645133028344674E-3</v>
      </c>
      <c r="H105" s="12">
        <v>0.9375</v>
      </c>
      <c r="I105" s="17">
        <f t="shared" si="7"/>
        <v>9.7162953148815477E-3</v>
      </c>
      <c r="J105" s="17">
        <f t="shared" si="7"/>
        <v>2.2463706240972705E-3</v>
      </c>
      <c r="K105" s="17">
        <f t="shared" si="7"/>
        <v>8.715545849360724E-3</v>
      </c>
      <c r="L105" s="17">
        <f t="shared" si="7"/>
        <v>2.2399442434893582E-3</v>
      </c>
      <c r="M105" s="18">
        <f t="shared" si="7"/>
        <v>7.495027235071821E-3</v>
      </c>
    </row>
    <row r="106" spans="1:13" x14ac:dyDescent="0.25">
      <c r="A106" s="12">
        <v>0.95833333333333337</v>
      </c>
      <c r="B106" s="18">
        <f t="shared" si="8"/>
        <v>6.3691792653729979E-3</v>
      </c>
      <c r="C106" s="18">
        <f t="shared" si="8"/>
        <v>1.9500343473668883E-3</v>
      </c>
      <c r="D106" s="18">
        <f t="shared" si="8"/>
        <v>7.5393208909043594E-3</v>
      </c>
      <c r="E106" s="18">
        <f t="shared" si="8"/>
        <v>5.9322691641584618E-4</v>
      </c>
      <c r="F106" s="18">
        <f t="shared" si="8"/>
        <v>6.2506804316459922E-3</v>
      </c>
      <c r="H106" s="12">
        <v>0.95833333333333337</v>
      </c>
      <c r="I106" s="17">
        <f t="shared" si="7"/>
        <v>8.1102307941703401E-3</v>
      </c>
      <c r="J106" s="17">
        <f t="shared" si="7"/>
        <v>1.8268541862783705E-3</v>
      </c>
      <c r="K106" s="17">
        <f t="shared" si="7"/>
        <v>6.9872403770716079E-3</v>
      </c>
      <c r="L106" s="17">
        <f t="shared" si="7"/>
        <v>1.5507945980649995E-3</v>
      </c>
      <c r="M106" s="18">
        <f t="shared" si="7"/>
        <v>6.0742880278583196E-3</v>
      </c>
    </row>
    <row r="107" spans="1:13" x14ac:dyDescent="0.25">
      <c r="A107" s="12">
        <v>0.97916666666666663</v>
      </c>
      <c r="B107" s="18">
        <f t="shared" si="8"/>
        <v>5.0195621463806394E-3</v>
      </c>
      <c r="C107" s="18">
        <f t="shared" si="8"/>
        <v>1.6611550596190396E-3</v>
      </c>
      <c r="D107" s="18">
        <f t="shared" si="8"/>
        <v>4.650449682776967E-3</v>
      </c>
      <c r="E107" s="18">
        <f t="shared" si="8"/>
        <v>2.9344748068376375E-4</v>
      </c>
      <c r="F107" s="18">
        <f t="shared" si="8"/>
        <v>4.2432672632164688E-3</v>
      </c>
      <c r="H107" s="12">
        <v>0.97916666666666663</v>
      </c>
      <c r="I107" s="17">
        <f t="shared" si="7"/>
        <v>6.2998740103830577E-3</v>
      </c>
      <c r="J107" s="17">
        <f t="shared" si="7"/>
        <v>1.4005133459287608E-3</v>
      </c>
      <c r="K107" s="17">
        <f t="shared" si="7"/>
        <v>5.1557815910018715E-3</v>
      </c>
      <c r="L107" s="17">
        <f t="shared" si="7"/>
        <v>9.5259993615290177E-4</v>
      </c>
      <c r="M107" s="18">
        <f t="shared" si="7"/>
        <v>4.5554060689659663E-3</v>
      </c>
    </row>
    <row r="108" spans="1:13" x14ac:dyDescent="0.25">
      <c r="A108" s="12">
        <v>1</v>
      </c>
      <c r="B108" s="18">
        <f t="shared" si="8"/>
        <v>3.5504044483998789E-3</v>
      </c>
      <c r="C108" s="18">
        <f t="shared" si="8"/>
        <v>1.3331583266737636E-3</v>
      </c>
      <c r="D108" s="18">
        <f t="shared" si="8"/>
        <v>2.6605505825886624E-3</v>
      </c>
      <c r="E108" s="18">
        <f t="shared" si="8"/>
        <v>1.1629583472085806E-4</v>
      </c>
      <c r="F108" s="18">
        <f t="shared" si="8"/>
        <v>2.6809131433057046E-3</v>
      </c>
      <c r="H108" s="12">
        <v>1</v>
      </c>
      <c r="I108" s="17">
        <f t="shared" si="7"/>
        <v>4.4026653676527911E-3</v>
      </c>
      <c r="J108" s="17">
        <f t="shared" si="7"/>
        <v>9.7176543502197816E-4</v>
      </c>
      <c r="K108" s="17">
        <f t="shared" si="7"/>
        <v>3.42650559349327E-3</v>
      </c>
      <c r="L108" s="17">
        <f t="shared" si="7"/>
        <v>5.2101490355138484E-4</v>
      </c>
      <c r="M108" s="18">
        <f t="shared" si="7"/>
        <v>3.0804074796568185E-3</v>
      </c>
    </row>
    <row r="109" spans="1:13" x14ac:dyDescent="0.25">
      <c r="A109" s="12">
        <v>1.0208333333333333</v>
      </c>
      <c r="B109" s="18">
        <f t="shared" si="8"/>
        <v>2.1955299344841111E-3</v>
      </c>
      <c r="C109" s="18">
        <f t="shared" si="8"/>
        <v>9.4464764729598576E-4</v>
      </c>
      <c r="D109" s="18">
        <f t="shared" si="8"/>
        <v>1.3870354848884157E-3</v>
      </c>
      <c r="E109" s="18">
        <f t="shared" si="8"/>
        <v>3.6047491883801623E-5</v>
      </c>
      <c r="F109" s="18">
        <f t="shared" si="8"/>
        <v>1.5332967597701294E-3</v>
      </c>
      <c r="H109" s="12">
        <v>1.0208333333333333</v>
      </c>
      <c r="I109" s="17">
        <f t="shared" si="7"/>
        <v>2.6944031492388259E-3</v>
      </c>
      <c r="J109" s="17">
        <f t="shared" si="7"/>
        <v>5.9185332997476034E-4</v>
      </c>
      <c r="K109" s="17">
        <f t="shared" si="7"/>
        <v>2.007632011400572E-3</v>
      </c>
      <c r="L109" s="17">
        <f t="shared" si="7"/>
        <v>2.538956197238654E-4</v>
      </c>
      <c r="M109" s="18">
        <f t="shared" si="7"/>
        <v>1.8340252280033748E-3</v>
      </c>
    </row>
    <row r="110" spans="1:13" x14ac:dyDescent="0.25">
      <c r="A110" s="12">
        <v>4.1666666666666664E-2</v>
      </c>
      <c r="B110" s="18">
        <f t="shared" si="8"/>
        <v>1.1628763667417324E-3</v>
      </c>
      <c r="C110" s="18">
        <f t="shared" si="8"/>
        <v>5.6734314680281903E-4</v>
      </c>
      <c r="D110" s="18">
        <f t="shared" si="8"/>
        <v>6.4417132218387585E-4</v>
      </c>
      <c r="E110" s="18">
        <f t="shared" si="8"/>
        <v>8.4205374559833647E-6</v>
      </c>
      <c r="F110" s="18">
        <f t="shared" si="8"/>
        <v>7.7168050398956954E-4</v>
      </c>
      <c r="H110" s="12">
        <v>4.1666666666666664E-2</v>
      </c>
      <c r="I110" s="17">
        <f t="shared" si="7"/>
        <v>1.41195584792273E-3</v>
      </c>
      <c r="J110" s="17">
        <f t="shared" si="7"/>
        <v>3.0892895931749489E-4</v>
      </c>
      <c r="K110" s="17">
        <f t="shared" si="7"/>
        <v>1.0152831699923035E-3</v>
      </c>
      <c r="L110" s="17">
        <f t="shared" si="7"/>
        <v>1.095247655298144E-4</v>
      </c>
      <c r="M110" s="18">
        <f t="shared" si="7"/>
        <v>9.4039331306960613E-4</v>
      </c>
    </row>
    <row r="111" spans="1:13" x14ac:dyDescent="0.25">
      <c r="A111" s="12">
        <v>6.25E-2</v>
      </c>
      <c r="B111" s="18">
        <f t="shared" si="8"/>
        <v>5.1788752994758806E-4</v>
      </c>
      <c r="C111" s="18">
        <f t="shared" si="8"/>
        <v>2.8123721270598482E-4</v>
      </c>
      <c r="D111" s="18">
        <f t="shared" si="8"/>
        <v>2.5965587279153996E-4</v>
      </c>
      <c r="E111" s="18">
        <f t="shared" si="8"/>
        <v>1.3943324303751547E-6</v>
      </c>
      <c r="F111" s="18">
        <f t="shared" si="8"/>
        <v>3.3258946567745921E-4</v>
      </c>
      <c r="H111" s="12">
        <v>6.25E-2</v>
      </c>
      <c r="I111" s="17">
        <f t="shared" si="7"/>
        <v>6.2026493230735451E-4</v>
      </c>
      <c r="J111" s="17">
        <f t="shared" si="7"/>
        <v>1.3524094225172777E-4</v>
      </c>
      <c r="K111" s="17">
        <f t="shared" si="7"/>
        <v>4.3353165407309692E-4</v>
      </c>
      <c r="L111" s="17">
        <f t="shared" si="7"/>
        <v>4.1157340146345368E-5</v>
      </c>
      <c r="M111" s="18">
        <f t="shared" si="7"/>
        <v>4.0619998744198695E-4</v>
      </c>
    </row>
    <row r="112" spans="1:13" x14ac:dyDescent="0.25">
      <c r="A112" s="12">
        <v>8.3333333333333329E-2</v>
      </c>
      <c r="B112" s="18">
        <f t="shared" si="8"/>
        <v>1.9014210914767061E-4</v>
      </c>
      <c r="C112" s="18">
        <f t="shared" si="8"/>
        <v>1.1248485813964744E-4</v>
      </c>
      <c r="D112" s="18">
        <f t="shared" si="8"/>
        <v>8.8242074893770872E-5</v>
      </c>
      <c r="E112" s="18">
        <f t="shared" si="8"/>
        <v>1.459122521465519E-7</v>
      </c>
      <c r="F112" s="18">
        <f t="shared" si="8"/>
        <v>1.1945868906405459E-4</v>
      </c>
      <c r="H112" s="12">
        <v>8.3333333333333329E-2</v>
      </c>
      <c r="I112" s="17">
        <f t="shared" si="7"/>
        <v>2.2315436508475099E-4</v>
      </c>
      <c r="J112" s="17">
        <f t="shared" si="7"/>
        <v>4.8509516411941644E-5</v>
      </c>
      <c r="K112" s="17">
        <f t="shared" si="7"/>
        <v>1.5250169621428599E-4</v>
      </c>
      <c r="L112" s="17">
        <f t="shared" si="7"/>
        <v>1.3127298018719096E-5</v>
      </c>
      <c r="M112" s="18">
        <f t="shared" si="7"/>
        <v>1.4424462074731447E-4</v>
      </c>
    </row>
    <row r="113" spans="1:13" x14ac:dyDescent="0.25">
      <c r="A113" s="12">
        <v>0.10416666666666667</v>
      </c>
      <c r="B113" s="18">
        <f t="shared" si="8"/>
        <v>5.6158724043648035E-5</v>
      </c>
      <c r="C113" s="18">
        <f t="shared" si="8"/>
        <v>3.535342911782937E-5</v>
      </c>
      <c r="D113" s="18">
        <f t="shared" si="8"/>
        <v>2.4446561779498784E-5</v>
      </c>
      <c r="E113" s="18">
        <f t="shared" si="8"/>
        <v>7.2567267264565867E-9</v>
      </c>
      <c r="F113" s="18">
        <f t="shared" si="8"/>
        <v>3.468311360070513E-5</v>
      </c>
      <c r="H113" s="12">
        <v>0.10416666666666667</v>
      </c>
      <c r="I113" s="17">
        <f t="shared" ref="I113:M115" si="9">I56/I$59</f>
        <v>6.3847489818705697E-5</v>
      </c>
      <c r="J113" s="17">
        <f t="shared" si="9"/>
        <v>1.3844359706432631E-5</v>
      </c>
      <c r="K113" s="17">
        <f t="shared" si="9"/>
        <v>4.285698715074162E-5</v>
      </c>
      <c r="L113" s="17">
        <f t="shared" si="9"/>
        <v>3.4283444268221999E-6</v>
      </c>
      <c r="M113" s="18">
        <f t="shared" si="9"/>
        <v>4.0852023950254806E-5</v>
      </c>
    </row>
    <row r="114" spans="1:13" x14ac:dyDescent="0.25">
      <c r="A114" s="12">
        <v>0.125</v>
      </c>
      <c r="B114" s="18">
        <f t="shared" ref="B114:F115" si="10">B57/B$59</f>
        <v>1.2666349826659794E-5</v>
      </c>
      <c r="C114" s="18">
        <f t="shared" si="10"/>
        <v>8.2668967699106104E-6</v>
      </c>
      <c r="D114" s="18">
        <f t="shared" si="10"/>
        <v>5.2076201166332084E-6</v>
      </c>
      <c r="E114" s="18">
        <f t="shared" si="10"/>
        <v>0</v>
      </c>
      <c r="F114" s="18">
        <f t="shared" si="10"/>
        <v>7.6952724805227319E-6</v>
      </c>
      <c r="H114" s="12">
        <v>0.125</v>
      </c>
      <c r="I114" s="17">
        <f t="shared" si="9"/>
        <v>1.3734588990180105E-5</v>
      </c>
      <c r="J114" s="17">
        <f t="shared" si="9"/>
        <v>2.9723019401522814E-6</v>
      </c>
      <c r="K114" s="17">
        <f t="shared" si="9"/>
        <v>9.0898828483682777E-6</v>
      </c>
      <c r="L114" s="17">
        <f t="shared" si="9"/>
        <v>6.8900131243853414E-7</v>
      </c>
      <c r="M114" s="18">
        <f t="shared" si="9"/>
        <v>8.7188723007128311E-6</v>
      </c>
    </row>
    <row r="115" spans="1:13" ht="15.75" thickBot="1" x14ac:dyDescent="0.3">
      <c r="A115" s="13" t="s">
        <v>34</v>
      </c>
      <c r="B115" s="20">
        <f t="shared" si="10"/>
        <v>0</v>
      </c>
      <c r="C115" s="20">
        <f t="shared" si="10"/>
        <v>0</v>
      </c>
      <c r="D115" s="20">
        <f t="shared" si="10"/>
        <v>0</v>
      </c>
      <c r="E115" s="20">
        <f t="shared" si="10"/>
        <v>0</v>
      </c>
      <c r="F115" s="20">
        <f t="shared" si="10"/>
        <v>0</v>
      </c>
      <c r="H115" s="13" t="s">
        <v>34</v>
      </c>
      <c r="I115" s="19">
        <f t="shared" si="9"/>
        <v>0</v>
      </c>
      <c r="J115" s="19">
        <f t="shared" si="9"/>
        <v>0</v>
      </c>
      <c r="K115" s="19">
        <f t="shared" si="9"/>
        <v>0</v>
      </c>
      <c r="L115" s="19">
        <f t="shared" si="9"/>
        <v>0</v>
      </c>
      <c r="M115" s="20">
        <f t="shared" si="9"/>
        <v>0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13"/>
  <sheetViews>
    <sheetView workbookViewId="0">
      <selection activeCell="A3" sqref="A3"/>
    </sheetView>
  </sheetViews>
  <sheetFormatPr defaultRowHeight="15" x14ac:dyDescent="0.25"/>
  <cols>
    <col min="1" max="1" width="12.7109375" customWidth="1" collapsed="1"/>
    <col min="2" max="6" width="10.7109375" customWidth="1" collapsed="1"/>
    <col min="7" max="7" width="6.42578125" customWidth="1" collapsed="1"/>
    <col min="8" max="8" width="12.7109375" customWidth="1" collapsed="1"/>
    <col min="9" max="13" width="10.7109375" customWidth="1" collapsed="1"/>
  </cols>
  <sheetData>
    <row r="1" spans="1:17" x14ac:dyDescent="0.25">
      <c r="A1" t="s">
        <v>10</v>
      </c>
    </row>
    <row r="2" spans="1:17" x14ac:dyDescent="0.25">
      <c r="A2" t="s">
        <v>46</v>
      </c>
    </row>
    <row r="3" spans="1:17" x14ac:dyDescent="0.25">
      <c r="A3" t="s">
        <v>7</v>
      </c>
    </row>
    <row r="5" spans="1:17" x14ac:dyDescent="0.25">
      <c r="O5" s="5"/>
      <c r="P5" s="5"/>
      <c r="Q5" s="5"/>
    </row>
    <row r="6" spans="1:17" ht="15.75" thickBot="1" x14ac:dyDescent="0.3">
      <c r="A6" s="3" t="s">
        <v>50</v>
      </c>
      <c r="B6" s="1"/>
      <c r="C6" s="1"/>
      <c r="D6" s="1"/>
      <c r="E6" s="1"/>
      <c r="F6" s="1"/>
      <c r="H6" s="3" t="s">
        <v>15</v>
      </c>
      <c r="I6" s="1"/>
      <c r="J6" s="1"/>
      <c r="K6" s="1"/>
      <c r="L6" s="1"/>
      <c r="M6" s="1"/>
      <c r="O6" s="11"/>
      <c r="P6" s="5"/>
      <c r="Q6" s="5"/>
    </row>
    <row r="7" spans="1:17" x14ac:dyDescent="0.25">
      <c r="A7" s="2" t="s">
        <v>14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14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</row>
    <row r="8" spans="1:17" x14ac:dyDescent="0.25">
      <c r="A8" s="15">
        <v>0</v>
      </c>
      <c r="B8" s="6">
        <v>24816.356200000002</v>
      </c>
      <c r="C8" s="6">
        <v>2206.0817000000002</v>
      </c>
      <c r="D8" s="6">
        <v>990763.99239999999</v>
      </c>
      <c r="E8" s="6">
        <v>82272.309500000003</v>
      </c>
      <c r="F8" s="6">
        <f>SUM(B8:E8)</f>
        <v>1100058.7398000001</v>
      </c>
      <c r="H8" s="15">
        <v>0</v>
      </c>
      <c r="I8" s="14">
        <v>18663</v>
      </c>
      <c r="J8" s="14">
        <v>26396</v>
      </c>
      <c r="K8" s="14">
        <v>1096473</v>
      </c>
      <c r="L8" s="14">
        <v>337656</v>
      </c>
      <c r="M8" s="14">
        <f>SUM(I8:L8)</f>
        <v>1479188</v>
      </c>
      <c r="O8" s="5"/>
      <c r="P8" s="14"/>
      <c r="Q8" s="14"/>
    </row>
    <row r="9" spans="1:17" x14ac:dyDescent="0.25">
      <c r="A9" s="12">
        <v>2.0833333333333332E-2</v>
      </c>
      <c r="B9" s="6">
        <v>25659.228420846564</v>
      </c>
      <c r="C9" s="6">
        <v>6358.0512689595207</v>
      </c>
      <c r="D9" s="6">
        <v>748914.8168015324</v>
      </c>
      <c r="E9" s="6">
        <v>58914.013703236102</v>
      </c>
      <c r="F9" s="6">
        <f t="shared" ref="F9:F56" si="0">SUM(B9:E9)</f>
        <v>839846.11019457458</v>
      </c>
      <c r="H9" s="12">
        <v>2.0833333333333332E-2</v>
      </c>
      <c r="I9" s="9">
        <v>17692.387254714966</v>
      </c>
      <c r="J9" s="9">
        <v>23090.480904579163</v>
      </c>
      <c r="K9" s="9">
        <v>809430.66530609131</v>
      </c>
      <c r="L9" s="9">
        <v>238923.21096801758</v>
      </c>
      <c r="M9" s="14">
        <f t="shared" ref="M9:M56" si="1">SUM(I9:L9)</f>
        <v>1089136.744433403</v>
      </c>
      <c r="O9" s="5"/>
      <c r="P9" s="16"/>
      <c r="Q9" s="16"/>
    </row>
    <row r="10" spans="1:17" x14ac:dyDescent="0.25">
      <c r="A10" s="12">
        <v>4.1666666666666664E-2</v>
      </c>
      <c r="B10" s="6">
        <v>26693.133159547906</v>
      </c>
      <c r="C10" s="6">
        <v>9952.7008882720947</v>
      </c>
      <c r="D10" s="6">
        <v>533378.50834587717</v>
      </c>
      <c r="E10" s="6">
        <v>38521.20323931866</v>
      </c>
      <c r="F10" s="6">
        <f t="shared" si="0"/>
        <v>608545.5456330158</v>
      </c>
      <c r="H10" s="12">
        <v>4.1666666666666664E-2</v>
      </c>
      <c r="I10" s="9">
        <v>17254.946761131287</v>
      </c>
      <c r="J10" s="9">
        <v>20439.834503173828</v>
      </c>
      <c r="K10" s="9">
        <v>557116.09706497192</v>
      </c>
      <c r="L10" s="9">
        <v>153779.40292263031</v>
      </c>
      <c r="M10" s="14">
        <f t="shared" si="1"/>
        <v>748590.28125190735</v>
      </c>
      <c r="O10" s="5"/>
      <c r="P10" s="16"/>
      <c r="Q10" s="16"/>
    </row>
    <row r="11" spans="1:17" x14ac:dyDescent="0.25">
      <c r="A11" s="12">
        <v>6.25E-2</v>
      </c>
      <c r="B11" s="6">
        <v>28052.39981008683</v>
      </c>
      <c r="C11" s="6">
        <v>12640.983510936259</v>
      </c>
      <c r="D11" s="6">
        <v>360692.4684659951</v>
      </c>
      <c r="E11" s="6">
        <v>22946.562678768922</v>
      </c>
      <c r="F11" s="6">
        <f t="shared" si="0"/>
        <v>424332.41446578712</v>
      </c>
      <c r="H11" s="12">
        <v>6.25E-2</v>
      </c>
      <c r="I11" s="9">
        <v>17681.795046806335</v>
      </c>
      <c r="J11" s="9">
        <v>18815.266932487488</v>
      </c>
      <c r="K11" s="9">
        <v>360715.34420013428</v>
      </c>
      <c r="L11" s="9">
        <v>90252.548261642456</v>
      </c>
      <c r="M11" s="14">
        <f t="shared" si="1"/>
        <v>487464.95444107056</v>
      </c>
      <c r="O11" s="5"/>
      <c r="P11" s="16"/>
      <c r="Q11" s="16"/>
    </row>
    <row r="12" spans="1:17" x14ac:dyDescent="0.25">
      <c r="A12" s="12">
        <v>8.3333333333333329E-2</v>
      </c>
      <c r="B12" s="6">
        <v>29793.860393695548</v>
      </c>
      <c r="C12" s="6">
        <v>14345.538449519636</v>
      </c>
      <c r="D12" s="6">
        <v>234209.63229103861</v>
      </c>
      <c r="E12" s="6">
        <v>12489.536185237408</v>
      </c>
      <c r="F12" s="6">
        <f t="shared" si="0"/>
        <v>290838.56731949118</v>
      </c>
      <c r="H12" s="12">
        <v>8.3333333333333329E-2</v>
      </c>
      <c r="I12" s="9">
        <v>19008.276665687561</v>
      </c>
      <c r="J12" s="9">
        <v>18231.636496543884</v>
      </c>
      <c r="K12" s="9">
        <v>223216.99149703979</v>
      </c>
      <c r="L12" s="9">
        <v>48912.615985870361</v>
      </c>
      <c r="M12" s="14">
        <f t="shared" si="1"/>
        <v>309369.5206451416</v>
      </c>
      <c r="O12" s="5"/>
      <c r="P12" s="16"/>
      <c r="Q12" s="16"/>
    </row>
    <row r="13" spans="1:17" x14ac:dyDescent="0.25">
      <c r="A13" s="12">
        <v>0.10416666666666667</v>
      </c>
      <c r="B13" s="6">
        <v>31884.019390417296</v>
      </c>
      <c r="C13" s="6">
        <v>15206.252621290494</v>
      </c>
      <c r="D13" s="6">
        <v>147645.18569382312</v>
      </c>
      <c r="E13" s="6">
        <v>6258.802414540768</v>
      </c>
      <c r="F13" s="6">
        <f t="shared" si="0"/>
        <v>200994.26012007167</v>
      </c>
      <c r="H13" s="12">
        <v>0.10416666666666667</v>
      </c>
      <c r="I13" s="9">
        <v>21012.184727668762</v>
      </c>
      <c r="J13" s="9">
        <v>18502.621766090393</v>
      </c>
      <c r="K13" s="9">
        <v>134562.74109554291</v>
      </c>
      <c r="L13" s="9">
        <v>25074.457569122314</v>
      </c>
      <c r="M13" s="14">
        <f t="shared" si="1"/>
        <v>199152.00515842438</v>
      </c>
      <c r="O13" s="5"/>
      <c r="P13" s="5"/>
      <c r="Q13" s="5"/>
    </row>
    <row r="14" spans="1:17" x14ac:dyDescent="0.25">
      <c r="A14" s="12">
        <v>0.125</v>
      </c>
      <c r="B14" s="6">
        <v>34156.660326589015</v>
      </c>
      <c r="C14" s="6">
        <v>15571.747903137495</v>
      </c>
      <c r="D14" s="6">
        <v>91129.859354594417</v>
      </c>
      <c r="E14" s="6">
        <v>2914.8299804816247</v>
      </c>
      <c r="F14" s="6">
        <f t="shared" si="0"/>
        <v>143773.09756480253</v>
      </c>
      <c r="H14" s="12">
        <v>0.125</v>
      </c>
      <c r="I14" s="9">
        <v>23342.737586021423</v>
      </c>
      <c r="J14" s="9">
        <v>19458.449803352356</v>
      </c>
      <c r="K14" s="9">
        <v>80399.253679275513</v>
      </c>
      <c r="L14" s="9">
        <v>12556.309361457825</v>
      </c>
      <c r="M14" s="14">
        <f t="shared" si="1"/>
        <v>135756.75043010712</v>
      </c>
    </row>
    <row r="15" spans="1:17" x14ac:dyDescent="0.25">
      <c r="A15" s="12">
        <v>0.14583333333333334</v>
      </c>
      <c r="B15" s="6">
        <v>36291.924847856339</v>
      </c>
      <c r="C15" s="6">
        <v>16138.44438552027</v>
      </c>
      <c r="D15" s="6">
        <v>55481.227330995847</v>
      </c>
      <c r="E15" s="6">
        <v>1268.8828538078308</v>
      </c>
      <c r="F15" s="6">
        <f t="shared" si="0"/>
        <v>109180.47941818029</v>
      </c>
      <c r="H15" s="12">
        <v>0.14583333333333334</v>
      </c>
      <c r="I15" s="9">
        <v>25703.006003379822</v>
      </c>
      <c r="J15" s="9">
        <v>21052.322595596313</v>
      </c>
      <c r="K15" s="9">
        <v>48227.076458930969</v>
      </c>
      <c r="L15" s="9">
        <v>6326.9945287704468</v>
      </c>
      <c r="M15" s="14">
        <f t="shared" si="1"/>
        <v>101309.39958667755</v>
      </c>
    </row>
    <row r="16" spans="1:17" x14ac:dyDescent="0.25">
      <c r="A16" s="12">
        <v>0.16666666666666666</v>
      </c>
      <c r="B16" s="6">
        <v>37936.228804152597</v>
      </c>
      <c r="C16" s="6">
        <v>18105.110380030539</v>
      </c>
      <c r="D16" s="6">
        <v>33678.241377353857</v>
      </c>
      <c r="E16" s="6">
        <v>515.51834375343321</v>
      </c>
      <c r="F16" s="6">
        <f t="shared" si="0"/>
        <v>90235.098905290419</v>
      </c>
      <c r="H16" s="12">
        <v>0.16666666666666666</v>
      </c>
      <c r="I16" s="9">
        <v>28055.710401535034</v>
      </c>
      <c r="J16" s="9">
        <v>23308.467143058777</v>
      </c>
      <c r="K16" s="9">
        <v>29330.728835105896</v>
      </c>
      <c r="L16" s="9">
        <v>3255.4197111129761</v>
      </c>
      <c r="M16" s="14">
        <f t="shared" si="1"/>
        <v>83950.326090812683</v>
      </c>
    </row>
    <row r="17" spans="1:13" x14ac:dyDescent="0.25">
      <c r="A17" s="12">
        <v>0.1875</v>
      </c>
      <c r="B17" s="6">
        <v>39006.727949758155</v>
      </c>
      <c r="C17" s="6">
        <v>22975.438891464142</v>
      </c>
      <c r="D17" s="6">
        <v>20740.753642683318</v>
      </c>
      <c r="E17" s="6">
        <v>194.40344358768465</v>
      </c>
      <c r="F17" s="6">
        <f t="shared" si="0"/>
        <v>82917.3239274933</v>
      </c>
      <c r="H17" s="12">
        <v>0.1875</v>
      </c>
      <c r="I17" s="9">
        <v>30783.660711288452</v>
      </c>
      <c r="J17" s="9">
        <v>26189.791600227356</v>
      </c>
      <c r="K17" s="9">
        <v>18242.213680267334</v>
      </c>
      <c r="L17" s="9">
        <v>1703.1054353713989</v>
      </c>
      <c r="M17" s="14">
        <f t="shared" si="1"/>
        <v>76918.771427154541</v>
      </c>
    </row>
    <row r="18" spans="1:13" x14ac:dyDescent="0.25">
      <c r="A18" s="12">
        <v>0.20833333333333334</v>
      </c>
      <c r="B18" s="6">
        <v>40055.36938928919</v>
      </c>
      <c r="C18" s="6">
        <v>31689.788998051739</v>
      </c>
      <c r="D18" s="6">
        <v>13236.795698190595</v>
      </c>
      <c r="E18" s="6">
        <v>68.096069974231725</v>
      </c>
      <c r="F18" s="6">
        <f t="shared" si="0"/>
        <v>85050.050155505756</v>
      </c>
      <c r="H18" s="12">
        <v>0.20833333333333334</v>
      </c>
      <c r="I18" s="9">
        <v>34710.51716709137</v>
      </c>
      <c r="J18" s="9">
        <v>29503.429526329041</v>
      </c>
      <c r="K18" s="9">
        <v>11677.020479202271</v>
      </c>
      <c r="L18" s="9">
        <v>890.06823635101318</v>
      </c>
      <c r="M18" s="14">
        <f t="shared" si="1"/>
        <v>76781.035408973694</v>
      </c>
    </row>
    <row r="19" spans="1:13" x14ac:dyDescent="0.25">
      <c r="A19" s="12">
        <v>0.22916666666666666</v>
      </c>
      <c r="B19" s="6">
        <v>42463.043241124338</v>
      </c>
      <c r="C19" s="6">
        <v>43360.581245209411</v>
      </c>
      <c r="D19" s="6">
        <v>8877.4020885715508</v>
      </c>
      <c r="E19" s="6">
        <v>22.451394916629791</v>
      </c>
      <c r="F19" s="6">
        <f t="shared" si="0"/>
        <v>94723.477969821921</v>
      </c>
      <c r="H19" s="12">
        <v>0.22916666666666666</v>
      </c>
      <c r="I19" s="9">
        <v>40939.776265144348</v>
      </c>
      <c r="J19" s="9">
        <v>32911.524483680725</v>
      </c>
      <c r="K19" s="9">
        <v>7714.6066265106201</v>
      </c>
      <c r="L19" s="9">
        <v>454.21259307861328</v>
      </c>
      <c r="M19" s="14">
        <f t="shared" si="1"/>
        <v>82020.119968414307</v>
      </c>
    </row>
    <row r="20" spans="1:13" x14ac:dyDescent="0.25">
      <c r="A20" s="12">
        <v>0.25</v>
      </c>
      <c r="B20" s="6">
        <v>48235.704678669543</v>
      </c>
      <c r="C20" s="6">
        <v>54713.769795648281</v>
      </c>
      <c r="D20" s="6">
        <v>6226.5432768478404</v>
      </c>
      <c r="E20" s="6">
        <v>7.0555288641929623</v>
      </c>
      <c r="F20" s="6">
        <f t="shared" si="0"/>
        <v>109183.07328002986</v>
      </c>
      <c r="H20" s="12">
        <v>0.25</v>
      </c>
      <c r="I20" s="9">
        <v>50543.409204483032</v>
      </c>
      <c r="J20" s="9">
        <v>36012.263251304626</v>
      </c>
      <c r="K20" s="9">
        <v>5258.5043449401855</v>
      </c>
      <c r="L20" s="9">
        <v>222.15300273895264</v>
      </c>
      <c r="M20" s="14">
        <f t="shared" si="1"/>
        <v>92036.329803466797</v>
      </c>
    </row>
    <row r="21" spans="1:13" x14ac:dyDescent="0.25">
      <c r="A21" s="12">
        <v>0.27083333333333331</v>
      </c>
      <c r="B21" s="6">
        <v>59223.197325630186</v>
      </c>
      <c r="C21" s="6">
        <v>61317.47871683626</v>
      </c>
      <c r="D21" s="6">
        <v>4472.6547261282931</v>
      </c>
      <c r="E21" s="6">
        <v>2.0752406969070432</v>
      </c>
      <c r="F21" s="6">
        <f t="shared" si="0"/>
        <v>125015.40600929166</v>
      </c>
      <c r="H21" s="12">
        <v>0.27083333333333331</v>
      </c>
      <c r="I21" s="9">
        <v>64124.703313827515</v>
      </c>
      <c r="J21" s="9">
        <v>38393.275289535522</v>
      </c>
      <c r="K21" s="9">
        <v>3687.7759113311768</v>
      </c>
      <c r="L21" s="9">
        <v>103.665358543396</v>
      </c>
      <c r="M21" s="14">
        <f t="shared" si="1"/>
        <v>106309.41987323761</v>
      </c>
    </row>
    <row r="22" spans="1:13" x14ac:dyDescent="0.25">
      <c r="A22" s="12">
        <v>0.29166666666666669</v>
      </c>
      <c r="B22" s="6">
        <v>75789.488947228354</v>
      </c>
      <c r="C22" s="6">
        <v>60195.575099903966</v>
      </c>
      <c r="D22" s="6">
        <v>3224.0879477268227</v>
      </c>
      <c r="E22" s="6">
        <v>0.53767148342132565</v>
      </c>
      <c r="F22" s="6">
        <f t="shared" si="0"/>
        <v>139209.68966634257</v>
      </c>
      <c r="H22" s="12">
        <v>0.29166666666666669</v>
      </c>
      <c r="I22" s="9">
        <v>81243.658584594727</v>
      </c>
      <c r="J22" s="9">
        <v>39622.210042953491</v>
      </c>
      <c r="K22" s="9">
        <v>2649.2997465133667</v>
      </c>
      <c r="L22" s="9">
        <v>46.928487777709961</v>
      </c>
      <c r="M22" s="14">
        <f t="shared" si="1"/>
        <v>123562.09686183929</v>
      </c>
    </row>
    <row r="23" spans="1:13" x14ac:dyDescent="0.25">
      <c r="A23" s="12">
        <v>0.3125</v>
      </c>
      <c r="B23" s="6">
        <v>95526.841537021086</v>
      </c>
      <c r="C23" s="6">
        <v>51783.953202224249</v>
      </c>
      <c r="D23" s="6">
        <v>2323.8996877687459</v>
      </c>
      <c r="E23" s="6">
        <v>0.11281093425750732</v>
      </c>
      <c r="F23" s="6">
        <f t="shared" si="0"/>
        <v>149634.80723794832</v>
      </c>
      <c r="H23" s="12">
        <v>0.3125</v>
      </c>
      <c r="I23" s="9">
        <v>99830.654683113098</v>
      </c>
      <c r="J23" s="9">
        <v>39268.726431846619</v>
      </c>
      <c r="K23" s="9">
        <v>1942.5850439071655</v>
      </c>
      <c r="L23" s="9">
        <v>21.33181095123291</v>
      </c>
      <c r="M23" s="14">
        <f t="shared" si="1"/>
        <v>141063.29796981812</v>
      </c>
    </row>
    <row r="24" spans="1:13" x14ac:dyDescent="0.25">
      <c r="A24" s="12">
        <v>0.33333333333333331</v>
      </c>
      <c r="B24" s="6">
        <v>113183.28803280888</v>
      </c>
      <c r="C24" s="6">
        <v>39491.768720743552</v>
      </c>
      <c r="D24" s="6">
        <v>1707.480159982872</v>
      </c>
      <c r="E24" s="6">
        <v>1.7421123123168944E-2</v>
      </c>
      <c r="F24" s="6">
        <f t="shared" si="0"/>
        <v>154382.55433465843</v>
      </c>
      <c r="H24" s="12">
        <v>0.33333333333333331</v>
      </c>
      <c r="I24" s="9">
        <v>116054.74599170685</v>
      </c>
      <c r="J24" s="9">
        <v>37057.106718063354</v>
      </c>
      <c r="K24" s="9">
        <v>1451.5053787231445</v>
      </c>
      <c r="L24" s="9">
        <v>10.049583435058594</v>
      </c>
      <c r="M24" s="14">
        <f t="shared" si="1"/>
        <v>154573.40767192841</v>
      </c>
    </row>
    <row r="25" spans="1:13" x14ac:dyDescent="0.25">
      <c r="A25" s="12">
        <v>0.35416666666666669</v>
      </c>
      <c r="B25" s="6">
        <v>122607.30587863151</v>
      </c>
      <c r="C25" s="6">
        <v>27345.05538694248</v>
      </c>
      <c r="D25" s="6">
        <v>1321.0646686262128</v>
      </c>
      <c r="E25" s="6">
        <v>1.7349501609802247E-3</v>
      </c>
      <c r="F25" s="6">
        <f t="shared" si="0"/>
        <v>151273.42766915038</v>
      </c>
      <c r="H25" s="12">
        <v>0.35416666666666669</v>
      </c>
      <c r="I25" s="9">
        <v>125240.78264045715</v>
      </c>
      <c r="J25" s="9">
        <v>33073.500685691833</v>
      </c>
      <c r="K25" s="9">
        <v>1101.8482751846313</v>
      </c>
      <c r="L25" s="9">
        <v>4.9246969223022461</v>
      </c>
      <c r="M25" s="14">
        <f t="shared" si="1"/>
        <v>159421.05629825592</v>
      </c>
    </row>
    <row r="26" spans="1:13" x14ac:dyDescent="0.25">
      <c r="A26" s="12">
        <v>0.375</v>
      </c>
      <c r="B26" s="6">
        <v>119912.98472428942</v>
      </c>
      <c r="C26" s="6">
        <v>17829.034674985021</v>
      </c>
      <c r="D26" s="6">
        <v>1094.5082796910283</v>
      </c>
      <c r="E26" s="6">
        <v>8.33414077758789E-5</v>
      </c>
      <c r="F26" s="6">
        <f t="shared" si="0"/>
        <v>138836.52776230688</v>
      </c>
      <c r="H26" s="12">
        <v>0.375</v>
      </c>
      <c r="I26" s="9">
        <v>123838.66947174072</v>
      </c>
      <c r="J26" s="9">
        <v>27820.34743976593</v>
      </c>
      <c r="K26" s="9">
        <v>841.16125392913818</v>
      </c>
      <c r="L26" s="9">
        <v>2.4447469711303711</v>
      </c>
      <c r="M26" s="14">
        <f t="shared" si="1"/>
        <v>152502.62291240692</v>
      </c>
    </row>
    <row r="27" spans="1:13" x14ac:dyDescent="0.25">
      <c r="A27" s="12">
        <v>0.39583333333333331</v>
      </c>
      <c r="B27" s="6">
        <v>105646.33382124892</v>
      </c>
      <c r="C27" s="6">
        <v>11399.161822025868</v>
      </c>
      <c r="D27" s="6">
        <v>949.99713986177426</v>
      </c>
      <c r="E27" s="6">
        <v>0</v>
      </c>
      <c r="F27" s="6">
        <f t="shared" si="0"/>
        <v>117995.49278313656</v>
      </c>
      <c r="H27" s="12">
        <v>0.39583333333333331</v>
      </c>
      <c r="I27" s="9">
        <v>111382.80793952942</v>
      </c>
      <c r="J27" s="9">
        <v>22032.311364173889</v>
      </c>
      <c r="K27" s="9">
        <v>634.90816497802734</v>
      </c>
      <c r="L27" s="9">
        <v>1.1829442977905273</v>
      </c>
      <c r="M27" s="14">
        <f t="shared" si="1"/>
        <v>134051.21041297913</v>
      </c>
    </row>
    <row r="28" spans="1:13" x14ac:dyDescent="0.25">
      <c r="A28" s="12">
        <v>0.41666666666666669</v>
      </c>
      <c r="B28" s="6">
        <v>84272.589113276568</v>
      </c>
      <c r="C28" s="6">
        <v>7336.628178221511</v>
      </c>
      <c r="D28" s="6">
        <v>828.05178812875738</v>
      </c>
      <c r="E28" s="6">
        <v>0</v>
      </c>
      <c r="F28" s="6">
        <f t="shared" si="0"/>
        <v>92437.269079626829</v>
      </c>
      <c r="H28" s="12">
        <v>0.41666666666666669</v>
      </c>
      <c r="I28" s="9">
        <v>90965.267170906067</v>
      </c>
      <c r="J28" s="9">
        <v>16405.018533706665</v>
      </c>
      <c r="K28" s="9">
        <v>466.43356513977051</v>
      </c>
      <c r="L28" s="9">
        <v>0.53760147094726563</v>
      </c>
      <c r="M28" s="14">
        <f t="shared" si="1"/>
        <v>107837.25687122345</v>
      </c>
    </row>
    <row r="29" spans="1:13" x14ac:dyDescent="0.25">
      <c r="A29" s="12">
        <v>0.4375</v>
      </c>
      <c r="B29" s="6">
        <v>61519.061913975427</v>
      </c>
      <c r="C29" s="6">
        <v>4758.7246019395825</v>
      </c>
      <c r="D29" s="6">
        <v>708.14865188703527</v>
      </c>
      <c r="E29" s="6">
        <v>0</v>
      </c>
      <c r="F29" s="6">
        <f t="shared" si="0"/>
        <v>66985.935167802047</v>
      </c>
      <c r="H29" s="12">
        <v>0.4375</v>
      </c>
      <c r="I29" s="9">
        <v>67730.155321121216</v>
      </c>
      <c r="J29" s="9">
        <v>11436.946769714355</v>
      </c>
      <c r="K29" s="9">
        <v>331.88209247589111</v>
      </c>
      <c r="L29" s="9">
        <v>0.22218227386474609</v>
      </c>
      <c r="M29" s="14">
        <f t="shared" si="1"/>
        <v>79499.206365585327</v>
      </c>
    </row>
    <row r="30" spans="1:13" x14ac:dyDescent="0.25">
      <c r="A30" s="12">
        <v>0.45833333333333331</v>
      </c>
      <c r="B30" s="6">
        <v>41706.4390417182</v>
      </c>
      <c r="C30" s="6">
        <v>3078.6066971189498</v>
      </c>
      <c r="D30" s="6">
        <v>603.15480120601649</v>
      </c>
      <c r="E30" s="6">
        <v>0</v>
      </c>
      <c r="F30" s="6">
        <f t="shared" si="0"/>
        <v>45388.200540043166</v>
      </c>
      <c r="H30" s="12">
        <v>0.45833333333333331</v>
      </c>
      <c r="I30" s="9">
        <v>46462.456425666809</v>
      </c>
      <c r="J30" s="9">
        <v>7416.4231300354004</v>
      </c>
      <c r="K30" s="9">
        <v>231.1231107711792</v>
      </c>
      <c r="L30" s="9">
        <v>8.112335205078125E-2</v>
      </c>
      <c r="M30" s="14">
        <f t="shared" si="1"/>
        <v>54110.083789825439</v>
      </c>
    </row>
    <row r="31" spans="1:13" x14ac:dyDescent="0.25">
      <c r="A31" s="12">
        <v>0.47916666666666669</v>
      </c>
      <c r="B31" s="6">
        <v>26692.930853305148</v>
      </c>
      <c r="C31" s="6">
        <v>1987.2836748225209</v>
      </c>
      <c r="D31" s="6">
        <v>529.48971736068722</v>
      </c>
      <c r="E31" s="6">
        <v>0</v>
      </c>
      <c r="F31" s="6">
        <f t="shared" si="0"/>
        <v>29209.704245488356</v>
      </c>
      <c r="H31" s="12">
        <v>0.47916666666666669</v>
      </c>
      <c r="I31" s="9">
        <v>29903.206823348999</v>
      </c>
      <c r="J31" s="9">
        <v>4451.8712167739868</v>
      </c>
      <c r="K31" s="9">
        <v>160.93484020233154</v>
      </c>
      <c r="L31" s="9">
        <v>2.5411605834960938E-2</v>
      </c>
      <c r="M31" s="14">
        <f t="shared" si="1"/>
        <v>34516.038291931152</v>
      </c>
    </row>
    <row r="32" spans="1:13" x14ac:dyDescent="0.25">
      <c r="A32" s="12">
        <v>0.5</v>
      </c>
      <c r="B32" s="6">
        <v>16389.762014454842</v>
      </c>
      <c r="C32" s="6">
        <v>1303.7531091070173</v>
      </c>
      <c r="D32" s="6">
        <v>481.04726943950652</v>
      </c>
      <c r="E32" s="6">
        <v>0</v>
      </c>
      <c r="F32" s="6">
        <f t="shared" si="0"/>
        <v>18174.562393001364</v>
      </c>
      <c r="H32" s="12">
        <v>0.5</v>
      </c>
      <c r="I32" s="9">
        <v>18542.982839584351</v>
      </c>
      <c r="J32" s="9">
        <v>2485.3069744110107</v>
      </c>
      <c r="K32" s="9">
        <v>113.9559965133667</v>
      </c>
      <c r="L32" s="9">
        <v>6.5946578979492188E-3</v>
      </c>
      <c r="M32" s="14">
        <f t="shared" si="1"/>
        <v>21142.252405166626</v>
      </c>
    </row>
    <row r="33" spans="1:13" x14ac:dyDescent="0.25">
      <c r="A33" s="12">
        <v>0.52083333333333337</v>
      </c>
      <c r="B33" s="6">
        <v>9810.6016165653218</v>
      </c>
      <c r="C33" s="6">
        <v>892.25371586589802</v>
      </c>
      <c r="D33" s="6">
        <v>431.59991888484956</v>
      </c>
      <c r="E33" s="6">
        <v>0</v>
      </c>
      <c r="F33" s="6">
        <f t="shared" si="0"/>
        <v>11134.455251316069</v>
      </c>
      <c r="H33" s="12">
        <v>0.52083333333333337</v>
      </c>
      <c r="I33" s="9">
        <v>11443.199174880981</v>
      </c>
      <c r="J33" s="9">
        <v>1321.1701126098633</v>
      </c>
      <c r="K33" s="9">
        <v>81.671293258666992</v>
      </c>
      <c r="L33" s="9">
        <v>1.3523101806640625E-3</v>
      </c>
      <c r="M33" s="14">
        <f t="shared" si="1"/>
        <v>12846.041933059692</v>
      </c>
    </row>
    <row r="34" spans="1:13" x14ac:dyDescent="0.25">
      <c r="A34" s="12">
        <v>0.54166666666666663</v>
      </c>
      <c r="B34" s="6">
        <v>5835.93354182043</v>
      </c>
      <c r="C34" s="6">
        <v>655.09472060184464</v>
      </c>
      <c r="D34" s="6">
        <v>359.20652577772142</v>
      </c>
      <c r="E34" s="6">
        <v>0</v>
      </c>
      <c r="F34" s="6">
        <f t="shared" si="0"/>
        <v>6850.2347881999958</v>
      </c>
      <c r="H34" s="12">
        <v>0.54166666666666663</v>
      </c>
      <c r="I34" s="9">
        <v>7224.4925298690796</v>
      </c>
      <c r="J34" s="9">
        <v>700.98226737976074</v>
      </c>
      <c r="K34" s="9">
        <v>57.620798110961914</v>
      </c>
      <c r="L34" s="9">
        <v>2.040863037109375E-4</v>
      </c>
      <c r="M34" s="14">
        <f t="shared" si="1"/>
        <v>7983.095799446106</v>
      </c>
    </row>
    <row r="35" spans="1:13" x14ac:dyDescent="0.25">
      <c r="A35" s="12">
        <v>0.5625</v>
      </c>
      <c r="B35" s="6">
        <v>3532.9376781624792</v>
      </c>
      <c r="C35" s="6">
        <v>540.16786462516779</v>
      </c>
      <c r="D35" s="6">
        <v>264.76385450935368</v>
      </c>
      <c r="E35" s="6">
        <v>0</v>
      </c>
      <c r="F35" s="6">
        <f t="shared" si="0"/>
        <v>4337.8693972970013</v>
      </c>
      <c r="H35" s="12">
        <v>0.5625</v>
      </c>
      <c r="I35" s="9">
        <v>4707.7716131210327</v>
      </c>
      <c r="J35" s="9">
        <v>391.80792617797852</v>
      </c>
      <c r="K35" s="9">
        <v>38.560237884521484</v>
      </c>
      <c r="L35" s="9">
        <v>2.002716064453125E-5</v>
      </c>
      <c r="M35" s="14">
        <f t="shared" si="1"/>
        <v>5138.1397972106934</v>
      </c>
    </row>
    <row r="36" spans="1:13" x14ac:dyDescent="0.25">
      <c r="A36" s="12">
        <v>0.58333333333333337</v>
      </c>
      <c r="B36" s="6">
        <v>2220.8058056115151</v>
      </c>
      <c r="C36" s="6">
        <v>524.03477828826897</v>
      </c>
      <c r="D36" s="6">
        <v>168.11357056379319</v>
      </c>
      <c r="E36" s="6">
        <v>0</v>
      </c>
      <c r="F36" s="6">
        <f t="shared" si="0"/>
        <v>2912.9541544635772</v>
      </c>
      <c r="H36" s="12">
        <v>0.58333333333333337</v>
      </c>
      <c r="I36" s="9">
        <v>3138.4865083694458</v>
      </c>
      <c r="J36" s="9">
        <v>236.56821727752686</v>
      </c>
      <c r="K36" s="9">
        <v>23.65231990814209</v>
      </c>
      <c r="L36" s="9">
        <v>9.5367431640625E-7</v>
      </c>
      <c r="M36" s="14">
        <f t="shared" si="1"/>
        <v>3398.7070465087891</v>
      </c>
    </row>
    <row r="37" spans="1:13" x14ac:dyDescent="0.25">
      <c r="A37" s="12">
        <v>0.60416666666666663</v>
      </c>
      <c r="B37" s="6">
        <v>1451.4497018095969</v>
      </c>
      <c r="C37" s="6">
        <v>577.35002258319855</v>
      </c>
      <c r="D37" s="6">
        <v>90.318759154415133</v>
      </c>
      <c r="E37" s="6">
        <v>0</v>
      </c>
      <c r="F37" s="6">
        <f t="shared" si="0"/>
        <v>2119.1184835472104</v>
      </c>
      <c r="H37" s="12">
        <v>0.60416666666666663</v>
      </c>
      <c r="I37" s="9">
        <v>2129.5497179031372</v>
      </c>
      <c r="J37" s="9">
        <v>152.59921836853027</v>
      </c>
      <c r="K37" s="9">
        <v>12.929336547851563</v>
      </c>
      <c r="L37" s="9">
        <v>0</v>
      </c>
      <c r="M37" s="14">
        <f t="shared" si="1"/>
        <v>2295.078272819519</v>
      </c>
    </row>
    <row r="38" spans="1:13" x14ac:dyDescent="0.25">
      <c r="A38" s="12">
        <v>0.625</v>
      </c>
      <c r="B38" s="6">
        <v>964.75671748170851</v>
      </c>
      <c r="C38" s="6">
        <v>645.25328376665118</v>
      </c>
      <c r="D38" s="6">
        <v>40.40727093343736</v>
      </c>
      <c r="E38" s="6">
        <v>0</v>
      </c>
      <c r="F38" s="6">
        <f t="shared" si="0"/>
        <v>1650.417272181797</v>
      </c>
      <c r="H38" s="12">
        <v>0.625</v>
      </c>
      <c r="I38" s="9">
        <v>1494.4443397521973</v>
      </c>
      <c r="J38" s="9">
        <v>103.53896713256836</v>
      </c>
      <c r="K38" s="9">
        <v>6.1503086090087891</v>
      </c>
      <c r="L38" s="9">
        <v>0</v>
      </c>
      <c r="M38" s="14">
        <f t="shared" si="1"/>
        <v>1604.1336154937744</v>
      </c>
    </row>
    <row r="39" spans="1:13" x14ac:dyDescent="0.25">
      <c r="A39" s="12">
        <v>0.64583333333333337</v>
      </c>
      <c r="B39" s="6">
        <v>631.70734536132818</v>
      </c>
      <c r="C39" s="6">
        <v>663.74964911527627</v>
      </c>
      <c r="D39" s="6">
        <v>14.769813288402561</v>
      </c>
      <c r="E39" s="6">
        <v>0</v>
      </c>
      <c r="F39" s="6">
        <f t="shared" si="0"/>
        <v>1310.2268077650069</v>
      </c>
      <c r="H39" s="12">
        <v>0.64583333333333337</v>
      </c>
      <c r="I39" s="9">
        <v>1109.7916069030762</v>
      </c>
      <c r="J39" s="9">
        <v>73.286005020141602</v>
      </c>
      <c r="K39" s="9">
        <v>2.489161491394043</v>
      </c>
      <c r="L39" s="9">
        <v>0</v>
      </c>
      <c r="M39" s="14">
        <f t="shared" si="1"/>
        <v>1185.5667734146118</v>
      </c>
    </row>
    <row r="40" spans="1:13" x14ac:dyDescent="0.25">
      <c r="A40" s="12">
        <v>0.66666666666666663</v>
      </c>
      <c r="B40" s="6">
        <v>398.47758939790725</v>
      </c>
      <c r="C40" s="6">
        <v>597.24339745082852</v>
      </c>
      <c r="D40" s="6">
        <v>4.2960849108695989</v>
      </c>
      <c r="E40" s="6">
        <v>0</v>
      </c>
      <c r="F40" s="6">
        <f t="shared" si="0"/>
        <v>1000.0170717596053</v>
      </c>
      <c r="H40" s="12">
        <v>0.66666666666666663</v>
      </c>
      <c r="I40" s="9">
        <v>865.9211311340332</v>
      </c>
      <c r="J40" s="9">
        <v>52.990097999572754</v>
      </c>
      <c r="K40" s="9">
        <v>0.83674812316894531</v>
      </c>
      <c r="L40" s="9">
        <v>0</v>
      </c>
      <c r="M40" s="14">
        <f t="shared" si="1"/>
        <v>919.7479772567749</v>
      </c>
    </row>
    <row r="41" spans="1:13" x14ac:dyDescent="0.25">
      <c r="A41" s="12">
        <v>0.6875</v>
      </c>
      <c r="B41" s="6">
        <v>243.67644263448716</v>
      </c>
      <c r="C41" s="6">
        <v>459.90396678724289</v>
      </c>
      <c r="D41" s="6">
        <v>0.95605771827697761</v>
      </c>
      <c r="E41" s="6">
        <v>0</v>
      </c>
      <c r="F41" s="6">
        <f t="shared" si="0"/>
        <v>704.53646714000706</v>
      </c>
      <c r="H41" s="12">
        <v>0.6875</v>
      </c>
      <c r="I41" s="9">
        <v>678.65721797943115</v>
      </c>
      <c r="J41" s="9">
        <v>37.525015830993652</v>
      </c>
      <c r="K41" s="9">
        <v>0.22701930999755859</v>
      </c>
      <c r="L41" s="9">
        <v>0</v>
      </c>
      <c r="M41" s="14">
        <f t="shared" si="1"/>
        <v>716.40925312042236</v>
      </c>
    </row>
    <row r="42" spans="1:13" x14ac:dyDescent="0.25">
      <c r="A42" s="12">
        <v>0.70833333333333337</v>
      </c>
      <c r="B42" s="6">
        <v>152.91484508552549</v>
      </c>
      <c r="C42" s="6">
        <v>300.25405129404066</v>
      </c>
      <c r="D42" s="6">
        <v>0.15278779344558716</v>
      </c>
      <c r="E42" s="6">
        <v>0</v>
      </c>
      <c r="F42" s="6">
        <f t="shared" si="0"/>
        <v>453.32168417301176</v>
      </c>
      <c r="H42" s="12">
        <v>0.70833333333333337</v>
      </c>
      <c r="I42" s="9">
        <v>506.70330333709717</v>
      </c>
      <c r="J42" s="9">
        <v>24.824997901916504</v>
      </c>
      <c r="K42" s="9">
        <v>4.7870635986328125E-2</v>
      </c>
      <c r="L42" s="9">
        <v>0</v>
      </c>
      <c r="M42" s="14">
        <f t="shared" si="1"/>
        <v>531.576171875</v>
      </c>
    </row>
    <row r="43" spans="1:13" x14ac:dyDescent="0.25">
      <c r="A43" s="12">
        <v>0.72916666666666663</v>
      </c>
      <c r="B43" s="6">
        <v>108.61764315891264</v>
      </c>
      <c r="C43" s="6">
        <v>165.38897200832366</v>
      </c>
      <c r="D43" s="6">
        <v>1.5600309181213376E-2</v>
      </c>
      <c r="E43" s="6">
        <v>0</v>
      </c>
      <c r="F43" s="6">
        <f t="shared" si="0"/>
        <v>274.0222154764175</v>
      </c>
      <c r="H43" s="12">
        <v>0.72916666666666663</v>
      </c>
      <c r="I43" s="9">
        <v>346.59455871582031</v>
      </c>
      <c r="J43" s="9">
        <v>14.780083656311035</v>
      </c>
      <c r="K43" s="9">
        <v>7.427215576171875E-3</v>
      </c>
      <c r="L43" s="9">
        <v>0</v>
      </c>
      <c r="M43" s="14">
        <f t="shared" si="1"/>
        <v>361.38206958770752</v>
      </c>
    </row>
    <row r="44" spans="1:13" x14ac:dyDescent="0.25">
      <c r="A44" s="12">
        <v>0.75</v>
      </c>
      <c r="B44" s="6">
        <v>90.249235316371909</v>
      </c>
      <c r="C44" s="6">
        <v>76.565313470268251</v>
      </c>
      <c r="D44" s="6">
        <v>7.6387453079223633E-4</v>
      </c>
      <c r="E44" s="6">
        <v>0</v>
      </c>
      <c r="F44" s="6">
        <f t="shared" si="0"/>
        <v>166.81531266117096</v>
      </c>
      <c r="H44" s="12">
        <v>0.75</v>
      </c>
      <c r="I44" s="9">
        <v>211.89331722259521</v>
      </c>
      <c r="J44" s="9">
        <v>7.7213134765625</v>
      </c>
      <c r="K44" s="9">
        <v>7.7533721923828125E-4</v>
      </c>
      <c r="L44" s="9">
        <v>0</v>
      </c>
      <c r="M44" s="14">
        <f t="shared" si="1"/>
        <v>219.61540603637695</v>
      </c>
    </row>
    <row r="45" spans="1:13" x14ac:dyDescent="0.25">
      <c r="A45" s="12">
        <v>0.77083333333333337</v>
      </c>
      <c r="B45" s="6">
        <v>79.542623853778821</v>
      </c>
      <c r="C45" s="6">
        <v>29.639670668601994</v>
      </c>
      <c r="D45" s="6">
        <v>0</v>
      </c>
      <c r="E45" s="6">
        <v>0</v>
      </c>
      <c r="F45" s="6">
        <f t="shared" si="0"/>
        <v>109.18229452238081</v>
      </c>
      <c r="H45" s="12">
        <v>0.77083333333333337</v>
      </c>
      <c r="I45" s="9">
        <v>113.88027286529541</v>
      </c>
      <c r="J45" s="9">
        <v>3.4795093536376953</v>
      </c>
      <c r="K45" s="9">
        <v>4.57763671875E-5</v>
      </c>
      <c r="L45" s="9">
        <v>0</v>
      </c>
      <c r="M45" s="14">
        <f t="shared" si="1"/>
        <v>117.35982799530029</v>
      </c>
    </row>
    <row r="46" spans="1:13" x14ac:dyDescent="0.25">
      <c r="A46" s="12">
        <v>0.79166666666666663</v>
      </c>
      <c r="B46" s="6">
        <v>65.801476960659016</v>
      </c>
      <c r="C46" s="6">
        <v>9.511005383682253</v>
      </c>
      <c r="D46" s="6">
        <v>0</v>
      </c>
      <c r="E46" s="6">
        <v>0</v>
      </c>
      <c r="F46" s="6">
        <f t="shared" si="0"/>
        <v>75.312482344341277</v>
      </c>
      <c r="H46" s="12">
        <v>0.79166666666666663</v>
      </c>
      <c r="I46" s="9">
        <v>53.171627998352051</v>
      </c>
      <c r="J46" s="9">
        <v>1.3356990814208984</v>
      </c>
      <c r="K46" s="9">
        <v>9.5367431640625E-7</v>
      </c>
      <c r="L46" s="9">
        <v>0</v>
      </c>
      <c r="M46" s="14">
        <f t="shared" si="1"/>
        <v>54.507328033447266</v>
      </c>
    </row>
    <row r="47" spans="1:13" x14ac:dyDescent="0.25">
      <c r="A47" s="12">
        <v>0.8125</v>
      </c>
      <c r="B47" s="6">
        <v>47.451287131118768</v>
      </c>
      <c r="C47" s="6">
        <v>2.487804083824158</v>
      </c>
      <c r="D47" s="6">
        <v>0</v>
      </c>
      <c r="E47" s="6">
        <v>0</v>
      </c>
      <c r="F47" s="6">
        <f t="shared" si="0"/>
        <v>49.939091214942927</v>
      </c>
      <c r="H47" s="12">
        <v>0.8125</v>
      </c>
      <c r="I47" s="9">
        <v>21.469822883605957</v>
      </c>
      <c r="J47" s="9">
        <v>0.43229770660400391</v>
      </c>
      <c r="K47" s="9">
        <v>0</v>
      </c>
      <c r="L47" s="9">
        <v>0</v>
      </c>
      <c r="M47" s="14">
        <f t="shared" si="1"/>
        <v>21.902120590209961</v>
      </c>
    </row>
    <row r="48" spans="1:13" x14ac:dyDescent="0.25">
      <c r="A48" s="12">
        <v>0.83333333333333337</v>
      </c>
      <c r="B48" s="6">
        <v>28.733014098644254</v>
      </c>
      <c r="C48" s="6">
        <v>0.51371567468643187</v>
      </c>
      <c r="D48" s="6">
        <v>0</v>
      </c>
      <c r="E48" s="6">
        <v>0</v>
      </c>
      <c r="F48" s="6">
        <f t="shared" si="0"/>
        <v>29.246729773330685</v>
      </c>
      <c r="H48" s="12">
        <v>0.83333333333333337</v>
      </c>
      <c r="I48" s="9">
        <v>7.62176513671875</v>
      </c>
      <c r="J48" s="9">
        <v>0.11680507659912109</v>
      </c>
      <c r="K48" s="9">
        <v>0</v>
      </c>
      <c r="L48" s="9">
        <v>0</v>
      </c>
      <c r="M48" s="14">
        <f t="shared" si="1"/>
        <v>7.7385702133178711</v>
      </c>
    </row>
    <row r="49" spans="1:13" x14ac:dyDescent="0.25">
      <c r="A49" s="12">
        <v>0.85416666666666663</v>
      </c>
      <c r="B49" s="6">
        <v>14.275101635074616</v>
      </c>
      <c r="C49" s="6">
        <v>7.8835553073883055E-2</v>
      </c>
      <c r="D49" s="6">
        <v>0</v>
      </c>
      <c r="E49" s="6">
        <v>0</v>
      </c>
      <c r="F49" s="6">
        <f t="shared" si="0"/>
        <v>14.3539371881485</v>
      </c>
      <c r="H49" s="12">
        <v>0.85416666666666663</v>
      </c>
      <c r="I49" s="9">
        <v>2.5533065795898438</v>
      </c>
      <c r="J49" s="9">
        <v>2.6017189025878906E-2</v>
      </c>
      <c r="K49" s="9">
        <v>0</v>
      </c>
      <c r="L49" s="9">
        <v>0</v>
      </c>
      <c r="M49" s="14">
        <f t="shared" si="1"/>
        <v>2.5793237686157227</v>
      </c>
    </row>
    <row r="50" spans="1:13" x14ac:dyDescent="0.25">
      <c r="A50" s="12">
        <v>0.875</v>
      </c>
      <c r="B50" s="6">
        <v>5.6969672863006604</v>
      </c>
      <c r="C50" s="6">
        <v>7.9840707778930653E-3</v>
      </c>
      <c r="D50" s="6">
        <v>0</v>
      </c>
      <c r="E50" s="6">
        <v>0</v>
      </c>
      <c r="F50" s="6">
        <f t="shared" si="0"/>
        <v>5.7049513570785537</v>
      </c>
      <c r="H50" s="12">
        <v>0.875</v>
      </c>
      <c r="I50" s="9">
        <v>0.93036556243896484</v>
      </c>
      <c r="J50" s="9">
        <v>4.6672821044921875E-3</v>
      </c>
      <c r="K50" s="9">
        <v>0</v>
      </c>
      <c r="L50" s="9">
        <v>0</v>
      </c>
      <c r="M50" s="14">
        <f t="shared" si="1"/>
        <v>0.93503284454345703</v>
      </c>
    </row>
    <row r="51" spans="1:13" x14ac:dyDescent="0.25">
      <c r="A51" s="12">
        <v>0.89583333333333337</v>
      </c>
      <c r="B51" s="6">
        <v>1.7790987452507021</v>
      </c>
      <c r="C51" s="6">
        <v>3.982509613037109E-4</v>
      </c>
      <c r="D51" s="6">
        <v>0</v>
      </c>
      <c r="E51" s="6">
        <v>0</v>
      </c>
      <c r="F51" s="6">
        <f t="shared" si="0"/>
        <v>1.7794969962120057</v>
      </c>
      <c r="H51" s="12">
        <v>0.89583333333333337</v>
      </c>
      <c r="I51" s="9">
        <v>0.39981269836425781</v>
      </c>
      <c r="J51" s="9">
        <v>6.40869140625E-4</v>
      </c>
      <c r="K51" s="9">
        <v>0</v>
      </c>
      <c r="L51" s="9">
        <v>0</v>
      </c>
      <c r="M51" s="14">
        <f t="shared" si="1"/>
        <v>0.40045356750488281</v>
      </c>
    </row>
    <row r="52" spans="1:13" x14ac:dyDescent="0.25">
      <c r="A52" s="12">
        <v>0.91666666666666663</v>
      </c>
      <c r="B52" s="6">
        <v>0.41855830764770507</v>
      </c>
      <c r="C52" s="6">
        <v>0</v>
      </c>
      <c r="D52" s="6">
        <v>0</v>
      </c>
      <c r="E52" s="6">
        <v>0</v>
      </c>
      <c r="F52" s="6">
        <f t="shared" si="0"/>
        <v>0.41855830764770507</v>
      </c>
      <c r="H52" s="12">
        <v>0.91666666666666663</v>
      </c>
      <c r="I52" s="9">
        <v>0.18132972717285156</v>
      </c>
      <c r="J52" s="9">
        <v>6.008148193359375E-5</v>
      </c>
      <c r="K52" s="9">
        <v>0</v>
      </c>
      <c r="L52" s="9">
        <v>0</v>
      </c>
      <c r="M52" s="14">
        <f t="shared" si="1"/>
        <v>0.18138980865478516</v>
      </c>
    </row>
    <row r="53" spans="1:13" x14ac:dyDescent="0.25">
      <c r="A53" s="12">
        <v>0.9375</v>
      </c>
      <c r="B53" s="6">
        <v>6.9759717941284188E-2</v>
      </c>
      <c r="C53" s="6">
        <v>0</v>
      </c>
      <c r="D53" s="6">
        <v>0</v>
      </c>
      <c r="E53" s="6">
        <v>0</v>
      </c>
      <c r="F53" s="6">
        <f t="shared" si="0"/>
        <v>6.9759717941284188E-2</v>
      </c>
      <c r="H53" s="12">
        <v>0.9375</v>
      </c>
      <c r="I53" s="9">
        <v>7.465362548828125E-2</v>
      </c>
      <c r="J53" s="9">
        <v>2.86102294921875E-6</v>
      </c>
      <c r="K53" s="9">
        <v>0</v>
      </c>
      <c r="L53" s="9">
        <v>0</v>
      </c>
      <c r="M53" s="14">
        <f t="shared" si="1"/>
        <v>7.4656486511230469E-2</v>
      </c>
    </row>
    <row r="54" spans="1:13" x14ac:dyDescent="0.25">
      <c r="A54" s="12">
        <v>0.95833333333333337</v>
      </c>
      <c r="B54" s="6">
        <v>7.3431282043457018E-3</v>
      </c>
      <c r="C54" s="6">
        <v>0</v>
      </c>
      <c r="D54" s="6">
        <v>0</v>
      </c>
      <c r="E54" s="6">
        <v>0</v>
      </c>
      <c r="F54" s="6">
        <f t="shared" si="0"/>
        <v>7.3431282043457018E-3</v>
      </c>
      <c r="H54" s="12">
        <v>0.95833333333333337</v>
      </c>
      <c r="I54" s="9">
        <v>2.5638580322265625E-2</v>
      </c>
      <c r="J54" s="9">
        <v>0</v>
      </c>
      <c r="K54" s="9">
        <v>0</v>
      </c>
      <c r="L54" s="9">
        <v>0</v>
      </c>
      <c r="M54" s="14">
        <f t="shared" si="1"/>
        <v>2.5638580322265625E-2</v>
      </c>
    </row>
    <row r="55" spans="1:13" x14ac:dyDescent="0.25">
      <c r="A55" s="12">
        <v>0.97916666666666663</v>
      </c>
      <c r="B55" s="6">
        <v>3.6715641021728516E-4</v>
      </c>
      <c r="C55" s="6">
        <v>0</v>
      </c>
      <c r="D55" s="6">
        <v>0</v>
      </c>
      <c r="E55" s="6">
        <v>0</v>
      </c>
      <c r="F55" s="6">
        <f t="shared" si="0"/>
        <v>3.6715641021728516E-4</v>
      </c>
      <c r="H55" s="12">
        <v>0.97916666666666663</v>
      </c>
      <c r="I55" s="9">
        <v>6.81304931640625E-3</v>
      </c>
      <c r="J55" s="9">
        <v>0</v>
      </c>
      <c r="K55" s="9">
        <v>0</v>
      </c>
      <c r="L55" s="9">
        <v>0</v>
      </c>
      <c r="M55" s="14">
        <f t="shared" si="1"/>
        <v>6.81304931640625E-3</v>
      </c>
    </row>
    <row r="56" spans="1:13" x14ac:dyDescent="0.25">
      <c r="A56" s="21" t="s">
        <v>13</v>
      </c>
      <c r="B56" s="22">
        <v>0</v>
      </c>
      <c r="C56" s="22">
        <v>0</v>
      </c>
      <c r="D56" s="22">
        <v>0</v>
      </c>
      <c r="E56" s="22">
        <v>0</v>
      </c>
      <c r="F56" s="22">
        <f t="shared" si="0"/>
        <v>0</v>
      </c>
      <c r="G56" s="5"/>
      <c r="H56" s="21" t="s">
        <v>13</v>
      </c>
      <c r="I56" s="24">
        <v>0</v>
      </c>
      <c r="J56" s="24">
        <v>0</v>
      </c>
      <c r="K56" s="24">
        <v>0</v>
      </c>
      <c r="L56" s="24">
        <v>0</v>
      </c>
      <c r="M56" s="27">
        <f t="shared" si="1"/>
        <v>0</v>
      </c>
    </row>
    <row r="57" spans="1:13" ht="15.75" thickBot="1" x14ac:dyDescent="0.3">
      <c r="A57" s="1"/>
      <c r="B57" s="7">
        <f>SUM(B8:B56)</f>
        <v>1393200.7835760484</v>
      </c>
      <c r="C57" s="7">
        <f>SUM(C8:C56)</f>
        <v>557231.01307245356</v>
      </c>
      <c r="D57" s="7">
        <f>SUM(D8:D56)</f>
        <v>3264593.6126130302</v>
      </c>
      <c r="E57" s="7">
        <f>SUM(E8:E56)</f>
        <v>226396.41029901674</v>
      </c>
      <c r="F57" s="7">
        <f>SUM(F8:F56)</f>
        <v>5441421.8195605483</v>
      </c>
      <c r="H57" s="1"/>
      <c r="I57" s="7">
        <f>SUM(I8:I56)</f>
        <v>1354769.3194284439</v>
      </c>
      <c r="J57" s="7">
        <f>SUM(J8:J56)</f>
        <v>596498.32352542877</v>
      </c>
      <c r="K57" s="7">
        <f>SUM(K8:K56)</f>
        <v>3396201.8499908447</v>
      </c>
      <c r="L57" s="7">
        <f>SUM(L8:L56)</f>
        <v>920197.90069580078</v>
      </c>
      <c r="M57" s="7">
        <f>SUM(M8:M56)</f>
        <v>6267667.3936405182</v>
      </c>
    </row>
    <row r="63" spans="1:13" ht="15.75" thickBot="1" x14ac:dyDescent="0.3">
      <c r="A63" s="3" t="s">
        <v>50</v>
      </c>
      <c r="B63" s="1"/>
      <c r="C63" s="1"/>
      <c r="D63" s="1"/>
      <c r="E63" s="1"/>
      <c r="F63" s="1"/>
      <c r="H63" s="3" t="s">
        <v>15</v>
      </c>
      <c r="I63" s="1"/>
      <c r="J63" s="1"/>
      <c r="K63" s="1"/>
      <c r="L63" s="1"/>
      <c r="M63" s="1"/>
    </row>
    <row r="64" spans="1:13" x14ac:dyDescent="0.25">
      <c r="A64" s="2" t="s">
        <v>14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0</v>
      </c>
      <c r="H64" s="2" t="s">
        <v>14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0</v>
      </c>
    </row>
    <row r="65" spans="1:13" x14ac:dyDescent="0.25">
      <c r="A65" s="15">
        <v>0</v>
      </c>
      <c r="B65" s="18">
        <f>B8/B$57</f>
        <v>1.7812476487632834E-2</v>
      </c>
      <c r="C65" s="18">
        <f t="shared" ref="C65:F65" si="2">C8/C$57</f>
        <v>3.9590073923490617E-3</v>
      </c>
      <c r="D65" s="18">
        <f t="shared" si="2"/>
        <v>0.30348769555025179</v>
      </c>
      <c r="E65" s="18">
        <f t="shared" si="2"/>
        <v>0.36339935510168869</v>
      </c>
      <c r="F65" s="18">
        <f t="shared" si="2"/>
        <v>0.20216384178222768</v>
      </c>
      <c r="G65" s="18"/>
      <c r="H65" s="15">
        <v>0</v>
      </c>
      <c r="I65" s="18">
        <f t="shared" ref="I65:M65" si="3">I8/I$57</f>
        <v>1.3775776977200539E-2</v>
      </c>
      <c r="J65" s="18">
        <f t="shared" si="3"/>
        <v>4.4251591260129897E-2</v>
      </c>
      <c r="K65" s="18">
        <f t="shared" si="3"/>
        <v>0.32285271854585318</v>
      </c>
      <c r="L65" s="18">
        <f t="shared" si="3"/>
        <v>0.36693845937344993</v>
      </c>
      <c r="M65" s="18">
        <f t="shared" si="3"/>
        <v>0.23600295087465178</v>
      </c>
    </row>
    <row r="66" spans="1:13" x14ac:dyDescent="0.25">
      <c r="A66" s="12">
        <v>2.0833333333333332E-2</v>
      </c>
      <c r="B66" s="18">
        <f t="shared" ref="B66:F66" si="4">B9/B$57</f>
        <v>1.8417466257078047E-2</v>
      </c>
      <c r="C66" s="18">
        <f t="shared" si="4"/>
        <v>1.1410081491879958E-2</v>
      </c>
      <c r="D66" s="18">
        <f t="shared" si="4"/>
        <v>0.22940522027245211</v>
      </c>
      <c r="E66" s="18">
        <f t="shared" si="4"/>
        <v>0.26022503459937574</v>
      </c>
      <c r="F66" s="18">
        <f t="shared" si="4"/>
        <v>0.15434313641620986</v>
      </c>
      <c r="G66" s="18"/>
      <c r="H66" s="12">
        <v>2.0833333333333332E-2</v>
      </c>
      <c r="I66" s="18">
        <f t="shared" ref="I66:M66" si="5">I9/I$57</f>
        <v>1.3059335638172784E-2</v>
      </c>
      <c r="J66" s="18">
        <f t="shared" si="5"/>
        <v>3.8710051636205167E-2</v>
      </c>
      <c r="K66" s="18">
        <f t="shared" si="5"/>
        <v>0.23833408644667964</v>
      </c>
      <c r="L66" s="18">
        <f t="shared" si="5"/>
        <v>0.25964329063058889</v>
      </c>
      <c r="M66" s="18">
        <f t="shared" si="5"/>
        <v>0.1737706671446054</v>
      </c>
    </row>
    <row r="67" spans="1:13" x14ac:dyDescent="0.25">
      <c r="A67" s="12">
        <v>4.1666666666666664E-2</v>
      </c>
      <c r="B67" s="18">
        <f t="shared" ref="B67:F67" si="6">B10/B$57</f>
        <v>1.9159573748610981E-2</v>
      </c>
      <c r="C67" s="18">
        <f t="shared" si="6"/>
        <v>1.7860995986915758E-2</v>
      </c>
      <c r="D67" s="18">
        <f t="shared" si="6"/>
        <v>0.16338281931482213</v>
      </c>
      <c r="E67" s="18">
        <f t="shared" si="6"/>
        <v>0.17014935523244892</v>
      </c>
      <c r="F67" s="18">
        <f t="shared" si="6"/>
        <v>0.1118357601767698</v>
      </c>
      <c r="G67" s="18"/>
      <c r="H67" s="12">
        <v>4.1666666666666664E-2</v>
      </c>
      <c r="I67" s="18">
        <f t="shared" ref="I67:M67" si="7">I10/I$57</f>
        <v>1.2736446355613426E-2</v>
      </c>
      <c r="J67" s="18">
        <f t="shared" si="7"/>
        <v>3.4266373763416749E-2</v>
      </c>
      <c r="K67" s="18">
        <f t="shared" si="7"/>
        <v>0.16404092620892771</v>
      </c>
      <c r="L67" s="18">
        <f t="shared" si="7"/>
        <v>0.16711557677576874</v>
      </c>
      <c r="M67" s="18">
        <f t="shared" si="7"/>
        <v>0.11943682302150616</v>
      </c>
    </row>
    <row r="68" spans="1:13" x14ac:dyDescent="0.25">
      <c r="A68" s="12">
        <v>6.25E-2</v>
      </c>
      <c r="B68" s="18">
        <f t="shared" ref="B68:F68" si="8">B11/B$57</f>
        <v>2.0135216790563612E-2</v>
      </c>
      <c r="C68" s="18">
        <f t="shared" si="8"/>
        <v>2.2685355291401602E-2</v>
      </c>
      <c r="D68" s="18">
        <f t="shared" si="8"/>
        <v>0.11048617722966485</v>
      </c>
      <c r="E68" s="18">
        <f t="shared" si="8"/>
        <v>0.1013556824883481</v>
      </c>
      <c r="F68" s="18">
        <f t="shared" si="8"/>
        <v>7.7981900418088959E-2</v>
      </c>
      <c r="G68" s="18"/>
      <c r="H68" s="12">
        <v>6.25E-2</v>
      </c>
      <c r="I68" s="18">
        <f t="shared" ref="I68:M68" si="9">I11/I$57</f>
        <v>1.3051517179519544E-2</v>
      </c>
      <c r="J68" s="18">
        <f t="shared" si="9"/>
        <v>3.1542866409557294E-2</v>
      </c>
      <c r="K68" s="18">
        <f t="shared" si="9"/>
        <v>0.10621139735881914</v>
      </c>
      <c r="L68" s="18">
        <f t="shared" si="9"/>
        <v>9.80794981094813E-2</v>
      </c>
      <c r="M68" s="18">
        <f t="shared" si="9"/>
        <v>7.7774540961710312E-2</v>
      </c>
    </row>
    <row r="69" spans="1:13" x14ac:dyDescent="0.25">
      <c r="A69" s="12">
        <v>8.3333333333333329E-2</v>
      </c>
      <c r="B69" s="18">
        <f t="shared" ref="B69:F69" si="10">B12/B$57</f>
        <v>2.1385187795560291E-2</v>
      </c>
      <c r="C69" s="18">
        <f t="shared" si="10"/>
        <v>2.5744328856395448E-2</v>
      </c>
      <c r="D69" s="18">
        <f t="shared" si="10"/>
        <v>7.1742354511186365E-2</v>
      </c>
      <c r="E69" s="18">
        <f t="shared" si="10"/>
        <v>5.5166670570181084E-2</v>
      </c>
      <c r="F69" s="18">
        <f t="shared" si="10"/>
        <v>5.3449002294583998E-2</v>
      </c>
      <c r="G69" s="18"/>
      <c r="H69" s="12">
        <v>8.3333333333333329E-2</v>
      </c>
      <c r="I69" s="18">
        <f t="shared" ref="I69:M69" si="11">I12/I$57</f>
        <v>1.4030637093041682E-2</v>
      </c>
      <c r="J69" s="18">
        <f t="shared" si="11"/>
        <v>3.0564438788010555E-2</v>
      </c>
      <c r="K69" s="18">
        <f t="shared" si="11"/>
        <v>6.5725478448120364E-2</v>
      </c>
      <c r="L69" s="18">
        <f t="shared" si="11"/>
        <v>5.3154452915927596E-2</v>
      </c>
      <c r="M69" s="18">
        <f t="shared" si="11"/>
        <v>4.9359594441632793E-2</v>
      </c>
    </row>
    <row r="70" spans="1:13" x14ac:dyDescent="0.25">
      <c r="A70" s="12">
        <v>0.10416666666666667</v>
      </c>
      <c r="B70" s="18">
        <f t="shared" ref="B70:F70" si="12">B13/B$57</f>
        <v>2.2885444629580122E-2</v>
      </c>
      <c r="C70" s="18">
        <f t="shared" si="12"/>
        <v>2.7288956042569212E-2</v>
      </c>
      <c r="D70" s="18">
        <f t="shared" si="12"/>
        <v>4.5226206754612155E-2</v>
      </c>
      <c r="E70" s="18">
        <f t="shared" si="12"/>
        <v>2.7645325322403977E-2</v>
      </c>
      <c r="F70" s="18">
        <f t="shared" si="12"/>
        <v>3.6937820074442247E-2</v>
      </c>
      <c r="G70" s="18"/>
      <c r="H70" s="12">
        <v>0.10416666666666667</v>
      </c>
      <c r="I70" s="18">
        <f t="shared" ref="I70:M70" si="13">I13/I$57</f>
        <v>1.5509787848261486E-2</v>
      </c>
      <c r="J70" s="18">
        <f t="shared" si="13"/>
        <v>3.1018732218283634E-2</v>
      </c>
      <c r="K70" s="18">
        <f t="shared" si="13"/>
        <v>3.962153812969204E-2</v>
      </c>
      <c r="L70" s="18">
        <f t="shared" si="13"/>
        <v>2.7248983669884978E-2</v>
      </c>
      <c r="M70" s="18">
        <f t="shared" si="13"/>
        <v>3.177450120606172E-2</v>
      </c>
    </row>
    <row r="71" spans="1:13" x14ac:dyDescent="0.25">
      <c r="A71" s="12">
        <v>0.125</v>
      </c>
      <c r="B71" s="18">
        <f t="shared" ref="B71:F71" si="14">B14/B$57</f>
        <v>2.4516681823072317E-2</v>
      </c>
      <c r="C71" s="18">
        <f t="shared" si="14"/>
        <v>2.7944869430863477E-2</v>
      </c>
      <c r="D71" s="18">
        <f t="shared" si="14"/>
        <v>2.79146105666894E-2</v>
      </c>
      <c r="E71" s="18">
        <f t="shared" si="14"/>
        <v>1.2874894865302041E-2</v>
      </c>
      <c r="F71" s="18">
        <f t="shared" si="14"/>
        <v>2.6421972479320436E-2</v>
      </c>
      <c r="G71" s="18"/>
      <c r="H71" s="12">
        <v>0.125</v>
      </c>
      <c r="I71" s="18">
        <f t="shared" ref="I71:M71" si="15">I14/I$57</f>
        <v>1.723004592093166E-2</v>
      </c>
      <c r="J71" s="18">
        <f t="shared" si="15"/>
        <v>3.2621130749117419E-2</v>
      </c>
      <c r="K71" s="18">
        <f t="shared" si="15"/>
        <v>2.3673284813590292E-2</v>
      </c>
      <c r="L71" s="18">
        <f t="shared" si="15"/>
        <v>1.3645227132080464E-2</v>
      </c>
      <c r="M71" s="18">
        <f t="shared" si="15"/>
        <v>2.1659852366743736E-2</v>
      </c>
    </row>
    <row r="72" spans="1:13" x14ac:dyDescent="0.25">
      <c r="A72" s="12">
        <v>0.14583333333333334</v>
      </c>
      <c r="B72" s="18">
        <f t="shared" ref="B72:F72" si="16">B15/B$57</f>
        <v>2.6049314123053197E-2</v>
      </c>
      <c r="C72" s="18">
        <f t="shared" si="16"/>
        <v>2.8961856046985455E-2</v>
      </c>
      <c r="D72" s="18">
        <f t="shared" si="16"/>
        <v>1.6994834247251938E-2</v>
      </c>
      <c r="E72" s="18">
        <f t="shared" si="16"/>
        <v>5.6046951103682829E-3</v>
      </c>
      <c r="F72" s="18">
        <f t="shared" si="16"/>
        <v>2.0064696882293488E-2</v>
      </c>
      <c r="G72" s="18"/>
      <c r="H72" s="12">
        <v>0.14583333333333334</v>
      </c>
      <c r="I72" s="18">
        <f t="shared" ref="I72:M72" si="17">I15/I$57</f>
        <v>1.8972238029588327E-2</v>
      </c>
      <c r="J72" s="18">
        <f t="shared" si="17"/>
        <v>3.5293179821818649E-2</v>
      </c>
      <c r="K72" s="18">
        <f t="shared" si="17"/>
        <v>1.4200297446708292E-2</v>
      </c>
      <c r="L72" s="18">
        <f t="shared" si="17"/>
        <v>6.8756889403750404E-3</v>
      </c>
      <c r="M72" s="18">
        <f t="shared" si="17"/>
        <v>1.6163812344201771E-2</v>
      </c>
    </row>
    <row r="73" spans="1:13" x14ac:dyDescent="0.25">
      <c r="A73" s="12">
        <v>0.16666666666666666</v>
      </c>
      <c r="B73" s="18">
        <f t="shared" ref="B73:F73" si="18">B16/B$57</f>
        <v>2.7229548857113338E-2</v>
      </c>
      <c r="C73" s="18">
        <f t="shared" si="18"/>
        <v>3.249121092561378E-2</v>
      </c>
      <c r="D73" s="18">
        <f t="shared" si="18"/>
        <v>1.0316212482691616E-2</v>
      </c>
      <c r="E73" s="18">
        <f t="shared" si="18"/>
        <v>2.277060590636371E-3</v>
      </c>
      <c r="F73" s="18">
        <f t="shared" si="18"/>
        <v>1.6583000160163626E-2</v>
      </c>
      <c r="G73" s="18"/>
      <c r="H73" s="12">
        <v>0.16666666666666666</v>
      </c>
      <c r="I73" s="18">
        <f t="shared" ref="I73:M73" si="19">I16/I$57</f>
        <v>2.0708846885734985E-2</v>
      </c>
      <c r="J73" s="18">
        <f t="shared" si="19"/>
        <v>3.9075494806592087E-2</v>
      </c>
      <c r="K73" s="18">
        <f t="shared" si="19"/>
        <v>8.6363326241003496E-3</v>
      </c>
      <c r="L73" s="18">
        <f t="shared" si="19"/>
        <v>3.5377386849626746E-3</v>
      </c>
      <c r="M73" s="18">
        <f t="shared" si="19"/>
        <v>1.3394189707002128E-2</v>
      </c>
    </row>
    <row r="74" spans="1:13" x14ac:dyDescent="0.25">
      <c r="A74" s="12">
        <v>0.1875</v>
      </c>
      <c r="B74" s="18">
        <f t="shared" ref="B74:F74" si="20">B17/B$57</f>
        <v>2.7997922775808544E-2</v>
      </c>
      <c r="C74" s="18">
        <f t="shared" si="20"/>
        <v>4.1231443247895426E-2</v>
      </c>
      <c r="D74" s="18">
        <f t="shared" si="20"/>
        <v>6.3532421194937346E-3</v>
      </c>
      <c r="E74" s="18">
        <f t="shared" si="20"/>
        <v>8.5868606896603676E-4</v>
      </c>
      <c r="F74" s="18">
        <f t="shared" si="20"/>
        <v>1.5238172425711658E-2</v>
      </c>
      <c r="G74" s="18"/>
      <c r="H74" s="12">
        <v>0.1875</v>
      </c>
      <c r="I74" s="18">
        <f t="shared" ref="I74:M74" si="21">I17/I$57</f>
        <v>2.2722437148396304E-2</v>
      </c>
      <c r="J74" s="18">
        <f t="shared" si="21"/>
        <v>4.3905893055055475E-2</v>
      </c>
      <c r="K74" s="18">
        <f t="shared" si="21"/>
        <v>5.3713573238635716E-3</v>
      </c>
      <c r="L74" s="18">
        <f t="shared" si="21"/>
        <v>1.8508034348737466E-3</v>
      </c>
      <c r="M74" s="18">
        <f t="shared" si="21"/>
        <v>1.2272312264878651E-2</v>
      </c>
    </row>
    <row r="75" spans="1:13" x14ac:dyDescent="0.25">
      <c r="A75" s="12">
        <v>0.20833333333333334</v>
      </c>
      <c r="B75" s="18">
        <f t="shared" ref="B75:F75" si="22">B18/B$57</f>
        <v>2.8750607853144917E-2</v>
      </c>
      <c r="C75" s="18">
        <f t="shared" si="22"/>
        <v>5.6870109980636158E-2</v>
      </c>
      <c r="D75" s="18">
        <f t="shared" si="22"/>
        <v>4.0546534328343743E-3</v>
      </c>
      <c r="E75" s="18">
        <f t="shared" si="22"/>
        <v>3.0078246330978803E-4</v>
      </c>
      <c r="F75" s="18">
        <f t="shared" si="22"/>
        <v>1.5630115248513196E-2</v>
      </c>
      <c r="G75" s="18"/>
      <c r="H75" s="12">
        <v>0.20833333333333334</v>
      </c>
      <c r="I75" s="18">
        <f t="shared" ref="I75:M75" si="23">I18/I$57</f>
        <v>2.562097965263577E-2</v>
      </c>
      <c r="J75" s="18">
        <f t="shared" si="23"/>
        <v>4.9461043497922436E-2</v>
      </c>
      <c r="K75" s="18">
        <f t="shared" si="23"/>
        <v>3.4382586768904057E-3</v>
      </c>
      <c r="L75" s="18">
        <f t="shared" si="23"/>
        <v>9.6725740808362496E-4</v>
      </c>
      <c r="M75" s="18">
        <f t="shared" si="23"/>
        <v>1.2250336622342067E-2</v>
      </c>
    </row>
    <row r="76" spans="1:13" x14ac:dyDescent="0.25">
      <c r="A76" s="12">
        <v>0.22916666666666666</v>
      </c>
      <c r="B76" s="18">
        <f t="shared" ref="B76:F76" si="24">B19/B$57</f>
        <v>3.0478767842873865E-2</v>
      </c>
      <c r="C76" s="18">
        <f t="shared" si="24"/>
        <v>7.7814371827814047E-2</v>
      </c>
      <c r="D76" s="18">
        <f t="shared" si="24"/>
        <v>2.7192977570846691E-3</v>
      </c>
      <c r="E76" s="18">
        <f t="shared" si="24"/>
        <v>9.9168511050933827E-5</v>
      </c>
      <c r="F76" s="18">
        <f t="shared" si="24"/>
        <v>1.7407854254069176E-2</v>
      </c>
      <c r="G76" s="18"/>
      <c r="H76" s="12">
        <v>0.22916666666666666</v>
      </c>
      <c r="I76" s="18">
        <f t="shared" ref="I76:M76" si="25">I19/I$57</f>
        <v>3.0219001624878988E-2</v>
      </c>
      <c r="J76" s="18">
        <f t="shared" si="25"/>
        <v>5.5174546491877446E-2</v>
      </c>
      <c r="K76" s="18">
        <f t="shared" si="25"/>
        <v>2.2715394924278181E-3</v>
      </c>
      <c r="L76" s="18">
        <f t="shared" si="25"/>
        <v>4.9360316159726488E-4</v>
      </c>
      <c r="M76" s="18">
        <f t="shared" si="25"/>
        <v>1.3086227270393437E-2</v>
      </c>
    </row>
    <row r="77" spans="1:13" x14ac:dyDescent="0.25">
      <c r="A77" s="12">
        <v>0.25</v>
      </c>
      <c r="B77" s="18">
        <f t="shared" ref="B77:F77" si="26">B20/B$57</f>
        <v>3.4622220463341118E-2</v>
      </c>
      <c r="C77" s="18">
        <f t="shared" si="26"/>
        <v>9.8188665942995829E-2</v>
      </c>
      <c r="D77" s="18">
        <f t="shared" si="26"/>
        <v>1.9072950620227492E-3</v>
      </c>
      <c r="E77" s="18">
        <f t="shared" si="26"/>
        <v>3.1164490880726673E-5</v>
      </c>
      <c r="F77" s="18">
        <f t="shared" si="26"/>
        <v>2.0065173570544385E-2</v>
      </c>
      <c r="G77" s="18"/>
      <c r="H77" s="12">
        <v>0.25</v>
      </c>
      <c r="I77" s="18">
        <f t="shared" ref="I77:M77" si="27">I20/I$57</f>
        <v>3.730776042803103E-2</v>
      </c>
      <c r="J77" s="18">
        <f t="shared" si="27"/>
        <v>6.0372782002914419E-2</v>
      </c>
      <c r="K77" s="18">
        <f t="shared" si="27"/>
        <v>1.5483485897501532E-3</v>
      </c>
      <c r="L77" s="18">
        <f t="shared" si="27"/>
        <v>2.4141872370168777E-4</v>
      </c>
      <c r="M77" s="18">
        <f t="shared" si="27"/>
        <v>1.4684303429510532E-2</v>
      </c>
    </row>
    <row r="78" spans="1:13" x14ac:dyDescent="0.25">
      <c r="A78" s="12">
        <v>0.27083333333333331</v>
      </c>
      <c r="B78" s="18">
        <f t="shared" ref="B78:F78" si="28">B21/B$57</f>
        <v>4.2508730991104457E-2</v>
      </c>
      <c r="C78" s="18">
        <f t="shared" si="28"/>
        <v>0.11003960167031029</v>
      </c>
      <c r="D78" s="18">
        <f t="shared" si="28"/>
        <v>1.3700494630779823E-3</v>
      </c>
      <c r="E78" s="18">
        <f t="shared" si="28"/>
        <v>9.1664028337116089E-6</v>
      </c>
      <c r="F78" s="18">
        <f t="shared" si="28"/>
        <v>2.297476838863927E-2</v>
      </c>
      <c r="G78" s="18"/>
      <c r="H78" s="12">
        <v>0.27083333333333331</v>
      </c>
      <c r="I78" s="18">
        <f t="shared" ref="I78:M78" si="29">I21/I$57</f>
        <v>4.7332562373704132E-2</v>
      </c>
      <c r="J78" s="18">
        <f t="shared" si="29"/>
        <v>6.4364431173290326E-2</v>
      </c>
      <c r="K78" s="18">
        <f t="shared" si="29"/>
        <v>1.0858529834853951E-3</v>
      </c>
      <c r="L78" s="18">
        <f t="shared" si="29"/>
        <v>1.1265550428338318E-4</v>
      </c>
      <c r="M78" s="18">
        <f t="shared" si="29"/>
        <v>1.6961560529058121E-2</v>
      </c>
    </row>
    <row r="79" spans="1:13" x14ac:dyDescent="0.25">
      <c r="A79" s="12">
        <v>0.29166666666666669</v>
      </c>
      <c r="B79" s="18">
        <f t="shared" ref="B79:F79" si="30">B22/B$57</f>
        <v>5.43995451629685E-2</v>
      </c>
      <c r="C79" s="18">
        <f t="shared" si="30"/>
        <v>0.10802624708197474</v>
      </c>
      <c r="D79" s="18">
        <f t="shared" si="30"/>
        <v>9.875924327212703E-4</v>
      </c>
      <c r="E79" s="18">
        <f t="shared" si="30"/>
        <v>2.374911698958421E-6</v>
      </c>
      <c r="F79" s="18">
        <f t="shared" si="30"/>
        <v>2.5583329924160375E-2</v>
      </c>
      <c r="G79" s="18"/>
      <c r="H79" s="12">
        <v>0.29166666666666669</v>
      </c>
      <c r="I79" s="18">
        <f t="shared" ref="I79:M79" si="31">I22/I$57</f>
        <v>5.9968628916744413E-2</v>
      </c>
      <c r="J79" s="18">
        <f t="shared" si="31"/>
        <v>6.6424679634936798E-2</v>
      </c>
      <c r="K79" s="18">
        <f t="shared" si="31"/>
        <v>7.8007723437301243E-4</v>
      </c>
      <c r="L79" s="18">
        <f t="shared" si="31"/>
        <v>5.0998255638515729E-5</v>
      </c>
      <c r="M79" s="18">
        <f t="shared" si="31"/>
        <v>1.9714207711023633E-2</v>
      </c>
    </row>
    <row r="80" spans="1:13" x14ac:dyDescent="0.25">
      <c r="A80" s="12">
        <v>0.3125</v>
      </c>
      <c r="B80" s="18">
        <f t="shared" ref="B80:F80" si="32">B23/B$57</f>
        <v>6.8566456940846759E-2</v>
      </c>
      <c r="C80" s="18">
        <f t="shared" si="32"/>
        <v>9.2930852711694059E-2</v>
      </c>
      <c r="D80" s="18">
        <f t="shared" si="32"/>
        <v>7.1184960933274059E-4</v>
      </c>
      <c r="E80" s="18">
        <f t="shared" si="32"/>
        <v>4.9828941240062264E-7</v>
      </c>
      <c r="F80" s="18">
        <f t="shared" si="32"/>
        <v>2.7499211088552016E-2</v>
      </c>
      <c r="G80" s="18"/>
      <c r="H80" s="12">
        <v>0.3125</v>
      </c>
      <c r="I80" s="18">
        <f t="shared" ref="I80:M80" si="33">I23/I$57</f>
        <v>7.3688304902881988E-2</v>
      </c>
      <c r="J80" s="18">
        <f t="shared" si="33"/>
        <v>6.583208180663494E-2</v>
      </c>
      <c r="K80" s="18">
        <f t="shared" si="33"/>
        <v>5.7198751125832001E-4</v>
      </c>
      <c r="L80" s="18">
        <f t="shared" si="33"/>
        <v>2.3181764417309603E-5</v>
      </c>
      <c r="M80" s="18">
        <f t="shared" si="33"/>
        <v>2.2506506665134759E-2</v>
      </c>
    </row>
    <row r="81" spans="1:13" x14ac:dyDescent="0.25">
      <c r="A81" s="12">
        <v>0.33333333333333331</v>
      </c>
      <c r="B81" s="18">
        <f t="shared" ref="B81:F81" si="34">B24/B$57</f>
        <v>8.1239753355788091E-2</v>
      </c>
      <c r="C81" s="18">
        <f t="shared" si="34"/>
        <v>7.0871447917075392E-2</v>
      </c>
      <c r="D81" s="18">
        <f t="shared" si="34"/>
        <v>5.2302992733486943E-4</v>
      </c>
      <c r="E81" s="18">
        <f t="shared" si="34"/>
        <v>7.694964376935002E-8</v>
      </c>
      <c r="F81" s="18">
        <f t="shared" si="34"/>
        <v>2.8371730671511594E-2</v>
      </c>
      <c r="G81" s="18"/>
      <c r="H81" s="12">
        <v>0.33333333333333331</v>
      </c>
      <c r="I81" s="18">
        <f t="shared" ref="I81:M81" si="35">I24/I$57</f>
        <v>8.5663842786658714E-2</v>
      </c>
      <c r="J81" s="18">
        <f t="shared" si="35"/>
        <v>6.2124410508060057E-2</v>
      </c>
      <c r="K81" s="18">
        <f t="shared" si="35"/>
        <v>4.2739078618871177E-4</v>
      </c>
      <c r="L81" s="18">
        <f t="shared" si="35"/>
        <v>1.0921111021291916E-5</v>
      </c>
      <c r="M81" s="18">
        <f t="shared" si="35"/>
        <v>2.466203101791364E-2</v>
      </c>
    </row>
    <row r="82" spans="1:13" x14ac:dyDescent="0.25">
      <c r="A82" s="12">
        <v>0.35416666666666669</v>
      </c>
      <c r="B82" s="18">
        <f t="shared" ref="B82:F82" si="36">B25/B$57</f>
        <v>8.8004046024094798E-2</v>
      </c>
      <c r="C82" s="18">
        <f t="shared" si="36"/>
        <v>4.907310387511931E-2</v>
      </c>
      <c r="D82" s="18">
        <f t="shared" si="36"/>
        <v>4.0466435501257153E-4</v>
      </c>
      <c r="E82" s="18">
        <f t="shared" si="36"/>
        <v>7.663328931270426E-9</v>
      </c>
      <c r="F82" s="18">
        <f t="shared" si="36"/>
        <v>2.7800349372908439E-2</v>
      </c>
      <c r="G82" s="18"/>
      <c r="H82" s="12">
        <v>0.35416666666666669</v>
      </c>
      <c r="I82" s="18">
        <f t="shared" ref="I82:M82" si="37">I25/I$57</f>
        <v>9.2444359969189649E-2</v>
      </c>
      <c r="J82" s="18">
        <f t="shared" si="37"/>
        <v>5.5446091600426614E-2</v>
      </c>
      <c r="K82" s="18">
        <f t="shared" si="37"/>
        <v>3.2443544990931611E-4</v>
      </c>
      <c r="L82" s="18">
        <f t="shared" si="37"/>
        <v>5.3517802187751929E-6</v>
      </c>
      <c r="M82" s="18">
        <f t="shared" si="37"/>
        <v>2.5435468458331455E-2</v>
      </c>
    </row>
    <row r="83" spans="1:13" x14ac:dyDescent="0.25">
      <c r="A83" s="12">
        <v>0.375</v>
      </c>
      <c r="B83" s="18">
        <f t="shared" ref="B83:F83" si="38">B26/B$57</f>
        <v>8.6070138732264018E-2</v>
      </c>
      <c r="C83" s="18">
        <f t="shared" si="38"/>
        <v>3.1995768822484429E-2</v>
      </c>
      <c r="D83" s="18">
        <f t="shared" si="38"/>
        <v>3.352663178235429E-4</v>
      </c>
      <c r="E83" s="18">
        <f t="shared" si="38"/>
        <v>3.6812159550500109E-10</v>
      </c>
      <c r="F83" s="18">
        <f t="shared" si="38"/>
        <v>2.5514751909735126E-2</v>
      </c>
      <c r="G83" s="18"/>
      <c r="H83" s="12">
        <v>0.375</v>
      </c>
      <c r="I83" s="18">
        <f t="shared" ref="I83:M83" si="39">I26/I$57</f>
        <v>9.1409413909658316E-2</v>
      </c>
      <c r="J83" s="18">
        <f t="shared" si="39"/>
        <v>4.6639439446102562E-2</v>
      </c>
      <c r="K83" s="18">
        <f t="shared" si="39"/>
        <v>2.4767704956388438E-4</v>
      </c>
      <c r="L83" s="18">
        <f t="shared" si="39"/>
        <v>2.6567621696178551E-6</v>
      </c>
      <c r="M83" s="18">
        <f t="shared" si="39"/>
        <v>2.4331639401788223E-2</v>
      </c>
    </row>
    <row r="84" spans="1:13" x14ac:dyDescent="0.25">
      <c r="A84" s="12">
        <v>0.39583333333333331</v>
      </c>
      <c r="B84" s="18">
        <f t="shared" ref="B84:F84" si="40">B27/B$57</f>
        <v>7.5829941431756434E-2</v>
      </c>
      <c r="C84" s="18">
        <f t="shared" si="40"/>
        <v>2.0456797189326036E-2</v>
      </c>
      <c r="D84" s="18">
        <f t="shared" si="40"/>
        <v>2.9100012209525283E-4</v>
      </c>
      <c r="E84" s="18">
        <f t="shared" si="40"/>
        <v>0</v>
      </c>
      <c r="F84" s="18">
        <f t="shared" si="40"/>
        <v>2.1684680345672214E-2</v>
      </c>
      <c r="G84" s="18"/>
      <c r="H84" s="12">
        <v>0.39583333333333331</v>
      </c>
      <c r="I84" s="18">
        <f t="shared" ref="I84:M84" si="41">I27/I$57</f>
        <v>8.2215330936576042E-2</v>
      </c>
      <c r="J84" s="18">
        <f t="shared" si="41"/>
        <v>3.6936082626281931E-2</v>
      </c>
      <c r="K84" s="18">
        <f t="shared" si="41"/>
        <v>1.8694653410536799E-4</v>
      </c>
      <c r="L84" s="18">
        <f t="shared" si="41"/>
        <v>1.2855324891483157E-6</v>
      </c>
      <c r="M84" s="18">
        <f t="shared" si="41"/>
        <v>2.1387735180235321E-2</v>
      </c>
    </row>
    <row r="85" spans="1:13" x14ac:dyDescent="0.25">
      <c r="A85" s="12">
        <v>0.41666666666666669</v>
      </c>
      <c r="B85" s="18">
        <f t="shared" ref="B85:F85" si="42">B28/B$57</f>
        <v>6.048847381277439E-2</v>
      </c>
      <c r="C85" s="18">
        <f t="shared" si="42"/>
        <v>1.3166223713516769E-2</v>
      </c>
      <c r="D85" s="18">
        <f t="shared" si="42"/>
        <v>2.5364620727355162E-4</v>
      </c>
      <c r="E85" s="18">
        <f t="shared" si="42"/>
        <v>0</v>
      </c>
      <c r="F85" s="18">
        <f t="shared" si="42"/>
        <v>1.6987705078723728E-2</v>
      </c>
      <c r="G85" s="18"/>
      <c r="H85" s="12">
        <v>0.41666666666666669</v>
      </c>
      <c r="I85" s="18">
        <f t="shared" ref="I85:M85" si="43">I28/I$57</f>
        <v>6.7144469443169041E-2</v>
      </c>
      <c r="J85" s="18">
        <f t="shared" si="43"/>
        <v>2.7502203923641569E-2</v>
      </c>
      <c r="K85" s="18">
        <f t="shared" si="43"/>
        <v>1.3733976534434426E-4</v>
      </c>
      <c r="L85" s="18">
        <f t="shared" si="43"/>
        <v>5.8422375289137505E-7</v>
      </c>
      <c r="M85" s="18">
        <f t="shared" si="43"/>
        <v>1.7205325378407986E-2</v>
      </c>
    </row>
    <row r="86" spans="1:13" x14ac:dyDescent="0.25">
      <c r="A86" s="12">
        <v>0.4375</v>
      </c>
      <c r="B86" s="18">
        <f t="shared" ref="B86:F86" si="44">B29/B$57</f>
        <v>4.4156637463316058E-2</v>
      </c>
      <c r="C86" s="18">
        <f t="shared" si="44"/>
        <v>8.5399493034333911E-3</v>
      </c>
      <c r="D86" s="18">
        <f t="shared" si="44"/>
        <v>2.1691785744818094E-4</v>
      </c>
      <c r="E86" s="18">
        <f t="shared" si="44"/>
        <v>0</v>
      </c>
      <c r="F86" s="18">
        <f t="shared" si="44"/>
        <v>1.2310373536380582E-2</v>
      </c>
      <c r="G86" s="18"/>
      <c r="H86" s="12">
        <v>0.4375</v>
      </c>
      <c r="I86" s="18">
        <f t="shared" ref="I86:M86" si="45">I29/I$57</f>
        <v>4.999386563440595E-2</v>
      </c>
      <c r="J86" s="18">
        <f t="shared" si="45"/>
        <v>1.9173476803957517E-2</v>
      </c>
      <c r="K86" s="18">
        <f t="shared" si="45"/>
        <v>9.7721545165752082E-5</v>
      </c>
      <c r="L86" s="18">
        <f t="shared" si="45"/>
        <v>2.4145053330022231E-7</v>
      </c>
      <c r="M86" s="18">
        <f t="shared" si="45"/>
        <v>1.2684018052114429E-2</v>
      </c>
    </row>
    <row r="87" spans="1:13" x14ac:dyDescent="0.25">
      <c r="A87" s="12">
        <v>0.45833333333333331</v>
      </c>
      <c r="B87" s="18">
        <f t="shared" ref="B87:F87" si="46">B30/B$57</f>
        <v>2.9935698811959243E-2</v>
      </c>
      <c r="C87" s="18">
        <f t="shared" si="46"/>
        <v>5.524830142070101E-3</v>
      </c>
      <c r="D87" s="18">
        <f t="shared" si="46"/>
        <v>1.8475647286562025E-4</v>
      </c>
      <c r="E87" s="18">
        <f t="shared" si="46"/>
        <v>0</v>
      </c>
      <c r="F87" s="18">
        <f t="shared" si="46"/>
        <v>8.3412391182179548E-3</v>
      </c>
      <c r="G87" s="18"/>
      <c r="H87" s="12">
        <v>0.45833333333333331</v>
      </c>
      <c r="I87" s="18">
        <f t="shared" ref="I87:M87" si="47">I30/I$57</f>
        <v>3.4295474336006215E-2</v>
      </c>
      <c r="J87" s="18">
        <f t="shared" si="47"/>
        <v>1.2433267349693126E-2</v>
      </c>
      <c r="K87" s="18">
        <f t="shared" si="47"/>
        <v>6.8053408183557247E-5</v>
      </c>
      <c r="L87" s="18">
        <f t="shared" si="47"/>
        <v>8.8158592830347078E-8</v>
      </c>
      <c r="M87" s="18">
        <f t="shared" si="47"/>
        <v>8.633209197528283E-3</v>
      </c>
    </row>
    <row r="88" spans="1:13" x14ac:dyDescent="0.25">
      <c r="A88" s="12">
        <v>0.47916666666666669</v>
      </c>
      <c r="B88" s="18">
        <f t="shared" ref="B88:F88" si="48">B31/B$57</f>
        <v>1.915942853892897E-2</v>
      </c>
      <c r="C88" s="18">
        <f t="shared" si="48"/>
        <v>3.5663551170008654E-3</v>
      </c>
      <c r="D88" s="18">
        <f t="shared" si="48"/>
        <v>1.621916171479842E-4</v>
      </c>
      <c r="E88" s="18">
        <f t="shared" si="48"/>
        <v>0</v>
      </c>
      <c r="F88" s="18">
        <f t="shared" si="48"/>
        <v>5.3680279188220228E-3</v>
      </c>
      <c r="G88" s="18"/>
      <c r="H88" s="12">
        <v>0.47916666666666669</v>
      </c>
      <c r="I88" s="18">
        <f t="shared" ref="I88:M88" si="49">I31/I$57</f>
        <v>2.2072545041073633E-2</v>
      </c>
      <c r="J88" s="18">
        <f t="shared" si="49"/>
        <v>7.4633423786717532E-3</v>
      </c>
      <c r="K88" s="18">
        <f t="shared" si="49"/>
        <v>4.7386712365981833E-5</v>
      </c>
      <c r="L88" s="18">
        <f t="shared" si="49"/>
        <v>2.7615370362990548E-8</v>
      </c>
      <c r="M88" s="18">
        <f t="shared" si="49"/>
        <v>5.5069990355507397E-3</v>
      </c>
    </row>
    <row r="89" spans="1:13" x14ac:dyDescent="0.25">
      <c r="A89" s="12">
        <v>0.5</v>
      </c>
      <c r="B89" s="18">
        <f t="shared" ref="B89:F89" si="50">B32/B$57</f>
        <v>1.1764106227665067E-2</v>
      </c>
      <c r="C89" s="18">
        <f t="shared" si="50"/>
        <v>2.3396994756598333E-3</v>
      </c>
      <c r="D89" s="18">
        <f t="shared" si="50"/>
        <v>1.4735287956851357E-4</v>
      </c>
      <c r="E89" s="18">
        <f t="shared" si="50"/>
        <v>0</v>
      </c>
      <c r="F89" s="18">
        <f t="shared" si="50"/>
        <v>3.3400392389482405E-3</v>
      </c>
      <c r="G89" s="18"/>
      <c r="H89" s="12">
        <v>0.5</v>
      </c>
      <c r="I89" s="18">
        <f t="shared" ref="I89:M89" si="51">I32/I$57</f>
        <v>1.3687188345398423E-2</v>
      </c>
      <c r="J89" s="18">
        <f t="shared" si="51"/>
        <v>4.1664944835424367E-3</v>
      </c>
      <c r="K89" s="18">
        <f t="shared" si="51"/>
        <v>3.3553952782186341E-5</v>
      </c>
      <c r="L89" s="18">
        <f t="shared" si="51"/>
        <v>7.1665648149846001E-9</v>
      </c>
      <c r="M89" s="18">
        <f t="shared" si="51"/>
        <v>3.3732250097729482E-3</v>
      </c>
    </row>
    <row r="90" spans="1:13" x14ac:dyDescent="0.25">
      <c r="A90" s="12">
        <v>0.52083333333333337</v>
      </c>
      <c r="B90" s="18">
        <f t="shared" ref="B90:F90" si="52">B33/B$57</f>
        <v>7.0417715323010414E-3</v>
      </c>
      <c r="C90" s="18">
        <f t="shared" si="52"/>
        <v>1.6012276684784653E-3</v>
      </c>
      <c r="D90" s="18">
        <f t="shared" si="52"/>
        <v>1.322063233896333E-4</v>
      </c>
      <c r="E90" s="18">
        <f t="shared" si="52"/>
        <v>0</v>
      </c>
      <c r="F90" s="18">
        <f t="shared" si="52"/>
        <v>2.0462400491155623E-3</v>
      </c>
      <c r="G90" s="18"/>
      <c r="H90" s="12">
        <v>0.52083333333333337</v>
      </c>
      <c r="I90" s="18">
        <f t="shared" ref="I90:M90" si="53">I33/I$57</f>
        <v>8.4466034259682594E-3</v>
      </c>
      <c r="J90" s="18">
        <f t="shared" si="53"/>
        <v>2.2148764891768247E-3</v>
      </c>
      <c r="K90" s="18">
        <f t="shared" si="53"/>
        <v>2.4047832509980866E-5</v>
      </c>
      <c r="L90" s="18">
        <f t="shared" si="53"/>
        <v>1.4695862483945282E-9</v>
      </c>
      <c r="M90" s="18">
        <f t="shared" si="53"/>
        <v>2.0495730111801903E-3</v>
      </c>
    </row>
    <row r="91" spans="1:13" x14ac:dyDescent="0.25">
      <c r="A91" s="12">
        <v>0.54166666666666663</v>
      </c>
      <c r="B91" s="18">
        <f t="shared" ref="B91:F91" si="54">B34/B$57</f>
        <v>4.1888675420070015E-3</v>
      </c>
      <c r="C91" s="18">
        <f t="shared" si="54"/>
        <v>1.1756250194866064E-3</v>
      </c>
      <c r="D91" s="18">
        <f t="shared" si="54"/>
        <v>1.1003100796065304E-4</v>
      </c>
      <c r="E91" s="18">
        <f t="shared" si="54"/>
        <v>0</v>
      </c>
      <c r="F91" s="18">
        <f t="shared" si="54"/>
        <v>1.258905303679108E-3</v>
      </c>
      <c r="G91" s="18"/>
      <c r="H91" s="12">
        <v>0.54166666666666663</v>
      </c>
      <c r="I91" s="18">
        <f t="shared" ref="I91:M91" si="55">I34/I$57</f>
        <v>5.3326366535352164E-3</v>
      </c>
      <c r="J91" s="18">
        <f t="shared" si="55"/>
        <v>1.1751621752041316E-3</v>
      </c>
      <c r="K91" s="18">
        <f t="shared" si="55"/>
        <v>1.6966246606077681E-5</v>
      </c>
      <c r="L91" s="18">
        <f t="shared" si="55"/>
        <v>2.2178523071680467E-10</v>
      </c>
      <c r="M91" s="18">
        <f t="shared" si="55"/>
        <v>1.2736948689310069E-3</v>
      </c>
    </row>
    <row r="92" spans="1:13" x14ac:dyDescent="0.25">
      <c r="A92" s="12">
        <v>0.5625</v>
      </c>
      <c r="B92" s="18">
        <f t="shared" ref="B92:F92" si="56">B35/B$57</f>
        <v>2.5358424426766284E-3</v>
      </c>
      <c r="C92" s="18">
        <f t="shared" si="56"/>
        <v>9.6937868128838846E-4</v>
      </c>
      <c r="D92" s="18">
        <f t="shared" si="56"/>
        <v>8.1101627316311711E-5</v>
      </c>
      <c r="E92" s="18">
        <f t="shared" si="56"/>
        <v>0</v>
      </c>
      <c r="F92" s="18">
        <f t="shared" si="56"/>
        <v>7.9719410498620927E-4</v>
      </c>
      <c r="G92" s="18"/>
      <c r="H92" s="12">
        <v>0.5625</v>
      </c>
      <c r="I92" s="18">
        <f t="shared" ref="I92:M92" si="57">I35/I$57</f>
        <v>3.4749617854552303E-3</v>
      </c>
      <c r="J92" s="18">
        <f t="shared" si="57"/>
        <v>6.5684665107239944E-4</v>
      </c>
      <c r="K92" s="18">
        <f t="shared" si="57"/>
        <v>1.1353929945190223E-5</v>
      </c>
      <c r="L92" s="18">
        <f t="shared" si="57"/>
        <v>2.1763971238564946E-11</v>
      </c>
      <c r="M92" s="18">
        <f t="shared" si="57"/>
        <v>8.1978501322902059E-4</v>
      </c>
    </row>
    <row r="93" spans="1:13" x14ac:dyDescent="0.25">
      <c r="A93" s="12">
        <v>0.58333333333333337</v>
      </c>
      <c r="B93" s="18">
        <f t="shared" ref="B93:F93" si="58">B36/B$57</f>
        <v>1.5940314072399396E-3</v>
      </c>
      <c r="C93" s="18">
        <f t="shared" si="58"/>
        <v>9.4042644073030399E-4</v>
      </c>
      <c r="D93" s="18">
        <f t="shared" si="58"/>
        <v>5.1496017732275273E-5</v>
      </c>
      <c r="E93" s="18">
        <f t="shared" si="58"/>
        <v>0</v>
      </c>
      <c r="F93" s="18">
        <f t="shared" si="58"/>
        <v>5.3532959786213173E-4</v>
      </c>
      <c r="G93" s="18"/>
      <c r="H93" s="12">
        <v>0.58333333333333337</v>
      </c>
      <c r="I93" s="18">
        <f t="shared" ref="I93:M93" si="59">I36/I$57</f>
        <v>2.3166205961126464E-3</v>
      </c>
      <c r="J93" s="18">
        <f t="shared" si="59"/>
        <v>3.9659494075248969E-4</v>
      </c>
      <c r="K93" s="18">
        <f t="shared" si="59"/>
        <v>6.9643445686851178E-6</v>
      </c>
      <c r="L93" s="18">
        <f t="shared" si="59"/>
        <v>1.036379582788807E-12</v>
      </c>
      <c r="M93" s="18">
        <f t="shared" si="59"/>
        <v>5.4226027532304662E-4</v>
      </c>
    </row>
    <row r="94" spans="1:13" x14ac:dyDescent="0.25">
      <c r="A94" s="12">
        <v>0.60416666666666663</v>
      </c>
      <c r="B94" s="18">
        <f t="shared" ref="B94:F94" si="60">B37/B$57</f>
        <v>1.0418094210972492E-3</v>
      </c>
      <c r="C94" s="18">
        <f t="shared" si="60"/>
        <v>1.0361053298161081E-3</v>
      </c>
      <c r="D94" s="18">
        <f t="shared" si="60"/>
        <v>2.766615691627315E-5</v>
      </c>
      <c r="E94" s="18">
        <f t="shared" si="60"/>
        <v>0</v>
      </c>
      <c r="F94" s="18">
        <f t="shared" si="60"/>
        <v>3.894420527975814E-4</v>
      </c>
      <c r="G94" s="18"/>
      <c r="H94" s="12">
        <v>0.60416666666666663</v>
      </c>
      <c r="I94" s="18">
        <f t="shared" ref="I94:M94" si="61">I37/I$57</f>
        <v>1.5718910130040154E-3</v>
      </c>
      <c r="J94" s="18">
        <f t="shared" si="61"/>
        <v>2.558250582610815E-4</v>
      </c>
      <c r="K94" s="18">
        <f t="shared" si="61"/>
        <v>3.8069988531118716E-6</v>
      </c>
      <c r="L94" s="18">
        <f t="shared" si="61"/>
        <v>0</v>
      </c>
      <c r="M94" s="18">
        <f t="shared" si="61"/>
        <v>3.6617741955296125E-4</v>
      </c>
    </row>
    <row r="95" spans="1:13" x14ac:dyDescent="0.25">
      <c r="A95" s="12">
        <v>0.625</v>
      </c>
      <c r="B95" s="18">
        <f t="shared" ref="B95:F95" si="62">B38/B$57</f>
        <v>6.9247500349905371E-4</v>
      </c>
      <c r="C95" s="18">
        <f t="shared" si="62"/>
        <v>1.1579636966163485E-3</v>
      </c>
      <c r="D95" s="18">
        <f t="shared" si="62"/>
        <v>1.2377427554020964E-5</v>
      </c>
      <c r="E95" s="18">
        <f t="shared" si="62"/>
        <v>0</v>
      </c>
      <c r="F95" s="18">
        <f t="shared" si="62"/>
        <v>3.0330625467207123E-4</v>
      </c>
      <c r="G95" s="18"/>
      <c r="H95" s="12">
        <v>0.625</v>
      </c>
      <c r="I95" s="18">
        <f t="shared" ref="I95:M95" si="63">I38/I$57</f>
        <v>1.1030987477504142E-3</v>
      </c>
      <c r="J95" s="18">
        <f t="shared" si="63"/>
        <v>1.7357796836817846E-4</v>
      </c>
      <c r="K95" s="18">
        <f t="shared" si="63"/>
        <v>1.8109373001564583E-6</v>
      </c>
      <c r="L95" s="18">
        <f t="shared" si="63"/>
        <v>0</v>
      </c>
      <c r="M95" s="18">
        <f t="shared" si="63"/>
        <v>2.5593789758553663E-4</v>
      </c>
    </row>
    <row r="96" spans="1:13" x14ac:dyDescent="0.25">
      <c r="A96" s="12">
        <v>0.64583333333333337</v>
      </c>
      <c r="B96" s="18">
        <f t="shared" ref="B96:F96" si="64">B39/B$57</f>
        <v>4.5342161216696314E-4</v>
      </c>
      <c r="C96" s="18">
        <f t="shared" si="64"/>
        <v>1.1911570489508499E-3</v>
      </c>
      <c r="D96" s="18">
        <f t="shared" si="64"/>
        <v>4.5242425370613221E-6</v>
      </c>
      <c r="E96" s="18">
        <f t="shared" si="64"/>
        <v>0</v>
      </c>
      <c r="F96" s="18">
        <f t="shared" si="64"/>
        <v>2.4078758295397533E-4</v>
      </c>
      <c r="G96" s="18"/>
      <c r="H96" s="12">
        <v>0.64583333333333337</v>
      </c>
      <c r="I96" s="18">
        <f t="shared" ref="I96:M96" si="65">I39/I$57</f>
        <v>8.1917385564302559E-4</v>
      </c>
      <c r="J96" s="18">
        <f t="shared" si="65"/>
        <v>1.2286037048185838E-4</v>
      </c>
      <c r="K96" s="18">
        <f t="shared" si="65"/>
        <v>7.3292507375577606E-7</v>
      </c>
      <c r="L96" s="18">
        <f t="shared" si="65"/>
        <v>0</v>
      </c>
      <c r="M96" s="18">
        <f t="shared" si="65"/>
        <v>1.8915598083866827E-4</v>
      </c>
    </row>
    <row r="97" spans="1:13" x14ac:dyDescent="0.25">
      <c r="A97" s="12">
        <v>0.66666666666666663</v>
      </c>
      <c r="B97" s="18">
        <f t="shared" ref="B97:F97" si="66">B40/B$57</f>
        <v>2.8601590962007678E-4</v>
      </c>
      <c r="C97" s="18">
        <f t="shared" si="66"/>
        <v>1.0718057384454522E-3</v>
      </c>
      <c r="D97" s="18">
        <f t="shared" si="66"/>
        <v>1.3159631551906845E-6</v>
      </c>
      <c r="E97" s="18">
        <f t="shared" si="66"/>
        <v>0</v>
      </c>
      <c r="F97" s="18">
        <f t="shared" si="66"/>
        <v>1.8377863450409128E-4</v>
      </c>
      <c r="G97" s="18"/>
      <c r="H97" s="12">
        <v>0.66666666666666663</v>
      </c>
      <c r="I97" s="18">
        <f t="shared" ref="I97:M97" si="67">I40/I$57</f>
        <v>6.3916499932206304E-4</v>
      </c>
      <c r="J97" s="18">
        <f t="shared" si="67"/>
        <v>8.8835284039677235E-5</v>
      </c>
      <c r="K97" s="18">
        <f t="shared" si="67"/>
        <v>2.4637761833007688E-7</v>
      </c>
      <c r="L97" s="18">
        <f t="shared" si="67"/>
        <v>0</v>
      </c>
      <c r="M97" s="18">
        <f t="shared" si="67"/>
        <v>1.4674486048669338E-4</v>
      </c>
    </row>
    <row r="98" spans="1:13" x14ac:dyDescent="0.25">
      <c r="A98" s="12">
        <v>0.6875</v>
      </c>
      <c r="B98" s="18">
        <f t="shared" ref="B98:F98" si="68">B41/B$57</f>
        <v>1.7490403788678746E-4</v>
      </c>
      <c r="C98" s="18">
        <f t="shared" si="68"/>
        <v>8.2533806625627315E-4</v>
      </c>
      <c r="D98" s="18">
        <f t="shared" si="68"/>
        <v>2.9285657932526999E-7</v>
      </c>
      <c r="E98" s="18">
        <f t="shared" si="68"/>
        <v>0</v>
      </c>
      <c r="F98" s="18">
        <f t="shared" si="68"/>
        <v>1.2947653949697024E-4</v>
      </c>
      <c r="G98" s="18"/>
      <c r="H98" s="12">
        <v>0.6875</v>
      </c>
      <c r="I98" s="18">
        <f t="shared" ref="I98:M98" si="69">I41/I$57</f>
        <v>5.0093931730439993E-4</v>
      </c>
      <c r="J98" s="18">
        <f t="shared" si="69"/>
        <v>6.2908837042848718E-5</v>
      </c>
      <c r="K98" s="18">
        <f t="shared" si="69"/>
        <v>6.6845058104591336E-8</v>
      </c>
      <c r="L98" s="18">
        <f t="shared" si="69"/>
        <v>0</v>
      </c>
      <c r="M98" s="18">
        <f t="shared" si="69"/>
        <v>1.1430237249783328E-4</v>
      </c>
    </row>
    <row r="99" spans="1:13" x14ac:dyDescent="0.25">
      <c r="A99" s="12">
        <v>0.70833333333333337</v>
      </c>
      <c r="B99" s="18">
        <f t="shared" ref="B99:F99" si="70">B42/B$57</f>
        <v>1.0975793789968003E-4</v>
      </c>
      <c r="C99" s="18">
        <f t="shared" si="70"/>
        <v>5.3883226929259294E-4</v>
      </c>
      <c r="D99" s="18">
        <f t="shared" si="70"/>
        <v>4.6801474111595005E-8</v>
      </c>
      <c r="E99" s="18">
        <f t="shared" si="70"/>
        <v>0</v>
      </c>
      <c r="F99" s="18">
        <f t="shared" si="70"/>
        <v>8.3309417870056291E-5</v>
      </c>
      <c r="G99" s="18"/>
      <c r="H99" s="12">
        <v>0.70833333333333337</v>
      </c>
      <c r="I99" s="18">
        <f t="shared" ref="I99:M99" si="71">I42/I$57</f>
        <v>3.7401445107338821E-4</v>
      </c>
      <c r="J99" s="18">
        <f t="shared" si="71"/>
        <v>4.1617883777435652E-5</v>
      </c>
      <c r="K99" s="18">
        <f t="shared" si="71"/>
        <v>1.4095344770646413E-8</v>
      </c>
      <c r="L99" s="18">
        <f t="shared" si="71"/>
        <v>0</v>
      </c>
      <c r="M99" s="18">
        <f t="shared" si="71"/>
        <v>8.4812441134697605E-5</v>
      </c>
    </row>
    <row r="100" spans="1:13" x14ac:dyDescent="0.25">
      <c r="A100" s="12">
        <v>0.72916666666666663</v>
      </c>
      <c r="B100" s="18">
        <f t="shared" ref="B100:F100" si="72">B43/B$57</f>
        <v>7.7962662983948648E-5</v>
      </c>
      <c r="C100" s="18">
        <f t="shared" si="72"/>
        <v>2.9680503799744376E-4</v>
      </c>
      <c r="D100" s="18">
        <f t="shared" si="72"/>
        <v>4.7786374147582343E-9</v>
      </c>
      <c r="E100" s="18">
        <f t="shared" si="72"/>
        <v>0</v>
      </c>
      <c r="F100" s="18">
        <f t="shared" si="72"/>
        <v>5.0358568874659979E-5</v>
      </c>
      <c r="G100" s="18"/>
      <c r="H100" s="12">
        <v>0.72916666666666663</v>
      </c>
      <c r="I100" s="18">
        <f t="shared" ref="I100:M100" si="73">I43/I$57</f>
        <v>2.5583289623213728E-4</v>
      </c>
      <c r="J100" s="18">
        <f t="shared" si="73"/>
        <v>2.4778080798211931E-5</v>
      </c>
      <c r="K100" s="18">
        <f t="shared" si="73"/>
        <v>2.1869181822016548E-9</v>
      </c>
      <c r="L100" s="18">
        <f t="shared" si="73"/>
        <v>0</v>
      </c>
      <c r="M100" s="18">
        <f t="shared" si="73"/>
        <v>5.7658144073564503E-5</v>
      </c>
    </row>
    <row r="101" spans="1:13" x14ac:dyDescent="0.25">
      <c r="A101" s="12">
        <v>0.75</v>
      </c>
      <c r="B101" s="18">
        <f t="shared" ref="B101:F101" si="74">B44/B$57</f>
        <v>6.477834091129451E-5</v>
      </c>
      <c r="C101" s="18">
        <f t="shared" si="74"/>
        <v>1.3740318050157216E-4</v>
      </c>
      <c r="D101" s="18">
        <f t="shared" si="74"/>
        <v>2.3398763259259691E-10</v>
      </c>
      <c r="E101" s="18">
        <f t="shared" si="74"/>
        <v>0</v>
      </c>
      <c r="F101" s="18">
        <f t="shared" si="74"/>
        <v>3.0656567013700667E-5</v>
      </c>
      <c r="G101" s="18"/>
      <c r="H101" s="12">
        <v>0.75</v>
      </c>
      <c r="I101" s="18">
        <f t="shared" ref="I101:M101" si="75">I44/I$57</f>
        <v>1.5640545898396171E-4</v>
      </c>
      <c r="J101" s="18">
        <f t="shared" si="75"/>
        <v>1.2944400968183676E-5</v>
      </c>
      <c r="K101" s="18">
        <f t="shared" si="75"/>
        <v>2.2829538804955639E-10</v>
      </c>
      <c r="L101" s="18">
        <f t="shared" si="75"/>
        <v>0</v>
      </c>
      <c r="M101" s="18">
        <f t="shared" si="75"/>
        <v>3.5039416140558049E-5</v>
      </c>
    </row>
    <row r="102" spans="1:13" x14ac:dyDescent="0.25">
      <c r="A102" s="12">
        <v>0.77083333333333337</v>
      </c>
      <c r="B102" s="18">
        <f t="shared" ref="B102:F102" si="76">B45/B$57</f>
        <v>5.7093438929606342E-5</v>
      </c>
      <c r="C102" s="18">
        <f t="shared" si="76"/>
        <v>5.3190992556525418E-5</v>
      </c>
      <c r="D102" s="18">
        <f t="shared" si="76"/>
        <v>0</v>
      </c>
      <c r="E102" s="18">
        <f t="shared" si="76"/>
        <v>0</v>
      </c>
      <c r="F102" s="18">
        <f t="shared" si="76"/>
        <v>2.0065030453970287E-5</v>
      </c>
      <c r="G102" s="18"/>
      <c r="H102" s="12">
        <v>0.77083333333333337</v>
      </c>
      <c r="I102" s="18">
        <f t="shared" ref="I102:M102" si="77">I45/I$57</f>
        <v>8.4058792321440906E-5</v>
      </c>
      <c r="J102" s="18">
        <f t="shared" si="77"/>
        <v>5.8332257047648915E-6</v>
      </c>
      <c r="K102" s="18">
        <f t="shared" si="77"/>
        <v>1.3478694497390784E-11</v>
      </c>
      <c r="L102" s="18">
        <f t="shared" si="77"/>
        <v>0</v>
      </c>
      <c r="M102" s="18">
        <f t="shared" si="77"/>
        <v>1.872464197994605E-5</v>
      </c>
    </row>
    <row r="103" spans="1:13" x14ac:dyDescent="0.25">
      <c r="A103" s="12">
        <v>0.79166666666666663</v>
      </c>
      <c r="B103" s="18">
        <f t="shared" ref="B103:F103" si="78">B46/B$57</f>
        <v>4.7230433499872643E-5</v>
      </c>
      <c r="C103" s="18">
        <f t="shared" si="78"/>
        <v>1.7068334605499768E-5</v>
      </c>
      <c r="D103" s="18">
        <f t="shared" si="78"/>
        <v>0</v>
      </c>
      <c r="E103" s="18">
        <f t="shared" si="78"/>
        <v>0</v>
      </c>
      <c r="F103" s="18">
        <f t="shared" si="78"/>
        <v>1.3840588883150313E-5</v>
      </c>
      <c r="G103" s="18"/>
      <c r="H103" s="12">
        <v>0.79166666666666663</v>
      </c>
      <c r="I103" s="18">
        <f t="shared" ref="I103:M103" si="79">I46/I$57</f>
        <v>3.9247735563412621E-5</v>
      </c>
      <c r="J103" s="18">
        <f t="shared" si="79"/>
        <v>2.2392335883303746E-6</v>
      </c>
      <c r="K103" s="18">
        <f t="shared" si="79"/>
        <v>2.80806135362308E-13</v>
      </c>
      <c r="L103" s="18">
        <f t="shared" si="79"/>
        <v>0</v>
      </c>
      <c r="M103" s="18">
        <f t="shared" si="79"/>
        <v>8.6965891152349706E-6</v>
      </c>
    </row>
    <row r="104" spans="1:13" x14ac:dyDescent="0.25">
      <c r="A104" s="12">
        <v>0.8125</v>
      </c>
      <c r="B104" s="18">
        <f t="shared" ref="B104:F104" si="80">B47/B$57</f>
        <v>3.4059187800139948E-5</v>
      </c>
      <c r="C104" s="18">
        <f t="shared" si="80"/>
        <v>4.4645829565496261E-6</v>
      </c>
      <c r="D104" s="18">
        <f t="shared" si="80"/>
        <v>0</v>
      </c>
      <c r="E104" s="18">
        <f t="shared" si="80"/>
        <v>0</v>
      </c>
      <c r="F104" s="18">
        <f t="shared" si="80"/>
        <v>9.1775813143955142E-6</v>
      </c>
      <c r="G104" s="18"/>
      <c r="H104" s="12">
        <v>0.8125</v>
      </c>
      <c r="I104" s="18">
        <f t="shared" ref="I104:M104" si="81">I47/I$57</f>
        <v>1.5847585692790666E-5</v>
      </c>
      <c r="J104" s="18">
        <f t="shared" si="81"/>
        <v>7.2472576963676084E-7</v>
      </c>
      <c r="K104" s="18">
        <f t="shared" si="81"/>
        <v>0</v>
      </c>
      <c r="L104" s="18">
        <f t="shared" si="81"/>
        <v>0</v>
      </c>
      <c r="M104" s="18">
        <f t="shared" si="81"/>
        <v>3.4944612109495348E-6</v>
      </c>
    </row>
    <row r="105" spans="1:13" x14ac:dyDescent="0.25">
      <c r="A105" s="12">
        <v>0.83333333333333337</v>
      </c>
      <c r="B105" s="18">
        <f t="shared" ref="B105:F105" si="82">B48/B$57</f>
        <v>2.0623742419159965E-5</v>
      </c>
      <c r="C105" s="18">
        <f t="shared" si="82"/>
        <v>9.2190790288916742E-7</v>
      </c>
      <c r="D105" s="18">
        <f t="shared" si="82"/>
        <v>0</v>
      </c>
      <c r="E105" s="18">
        <f t="shared" si="82"/>
        <v>0</v>
      </c>
      <c r="F105" s="18">
        <f t="shared" si="82"/>
        <v>5.3748323036078585E-6</v>
      </c>
      <c r="G105" s="18"/>
      <c r="H105" s="12">
        <v>0.83333333333333337</v>
      </c>
      <c r="I105" s="18">
        <f t="shared" ref="I105:M105" si="83">I48/I$57</f>
        <v>5.6258766916379937E-6</v>
      </c>
      <c r="J105" s="18">
        <f t="shared" si="83"/>
        <v>1.9581794615746592E-7</v>
      </c>
      <c r="K105" s="18">
        <f t="shared" si="83"/>
        <v>0</v>
      </c>
      <c r="L105" s="18">
        <f t="shared" si="83"/>
        <v>0</v>
      </c>
      <c r="M105" s="18">
        <f t="shared" si="83"/>
        <v>1.2346810587252609E-6</v>
      </c>
    </row>
    <row r="106" spans="1:13" x14ac:dyDescent="0.25">
      <c r="A106" s="12">
        <v>0.85416666666666663</v>
      </c>
      <c r="B106" s="18">
        <f t="shared" ref="B106:F106" si="84">B49/B$57</f>
        <v>1.024626299623051E-5</v>
      </c>
      <c r="C106" s="18">
        <f t="shared" si="84"/>
        <v>1.4147732488757319E-7</v>
      </c>
      <c r="D106" s="18">
        <f t="shared" si="84"/>
        <v>0</v>
      </c>
      <c r="E106" s="18">
        <f t="shared" si="84"/>
        <v>0</v>
      </c>
      <c r="F106" s="18">
        <f t="shared" si="84"/>
        <v>2.6379019425676008E-6</v>
      </c>
      <c r="G106" s="18"/>
      <c r="H106" s="12">
        <v>0.85416666666666663</v>
      </c>
      <c r="I106" s="18">
        <f t="shared" ref="I106:M106" si="85">I49/I$57</f>
        <v>1.8846799547151275E-6</v>
      </c>
      <c r="J106" s="18">
        <f t="shared" si="85"/>
        <v>4.3616533357733386E-8</v>
      </c>
      <c r="K106" s="18">
        <f t="shared" si="85"/>
        <v>0</v>
      </c>
      <c r="L106" s="18">
        <f t="shared" si="85"/>
        <v>0</v>
      </c>
      <c r="M106" s="18">
        <f t="shared" si="85"/>
        <v>4.1152850121447583E-7</v>
      </c>
    </row>
    <row r="107" spans="1:13" x14ac:dyDescent="0.25">
      <c r="A107" s="12">
        <v>0.875</v>
      </c>
      <c r="B107" s="18">
        <f t="shared" ref="B107:F107" si="86">B50/B$57</f>
        <v>4.0891215060027201E-6</v>
      </c>
      <c r="C107" s="18">
        <f t="shared" si="86"/>
        <v>1.4328116329833462E-8</v>
      </c>
      <c r="D107" s="18">
        <f t="shared" si="86"/>
        <v>0</v>
      </c>
      <c r="E107" s="18">
        <f t="shared" si="86"/>
        <v>0</v>
      </c>
      <c r="F107" s="18">
        <f t="shared" si="86"/>
        <v>1.0484302717665966E-6</v>
      </c>
      <c r="G107" s="18"/>
      <c r="H107" s="12">
        <v>0.875</v>
      </c>
      <c r="I107" s="18">
        <f t="shared" ref="I107:M107" si="87">I50/I$57</f>
        <v>6.8673356349069933E-7</v>
      </c>
      <c r="J107" s="18">
        <f t="shared" si="87"/>
        <v>7.8244681006102126E-9</v>
      </c>
      <c r="K107" s="18">
        <f t="shared" si="87"/>
        <v>0</v>
      </c>
      <c r="L107" s="18">
        <f t="shared" si="87"/>
        <v>0</v>
      </c>
      <c r="M107" s="18">
        <f t="shared" si="87"/>
        <v>1.4918354561893106E-7</v>
      </c>
    </row>
    <row r="108" spans="1:13" x14ac:dyDescent="0.25">
      <c r="A108" s="12">
        <v>0.89583333333333337</v>
      </c>
      <c r="B108" s="18">
        <f t="shared" ref="B108:F108" si="88">B51/B$57</f>
        <v>1.2769866097003881E-6</v>
      </c>
      <c r="C108" s="18">
        <f t="shared" si="88"/>
        <v>7.1469633233053486E-10</v>
      </c>
      <c r="D108" s="18">
        <f t="shared" si="88"/>
        <v>0</v>
      </c>
      <c r="E108" s="18">
        <f t="shared" si="88"/>
        <v>0</v>
      </c>
      <c r="F108" s="18">
        <f t="shared" si="88"/>
        <v>3.2702794512551111E-7</v>
      </c>
      <c r="G108" s="18"/>
      <c r="H108" s="12">
        <v>0.89583333333333337</v>
      </c>
      <c r="I108" s="18">
        <f t="shared" ref="I108:M108" si="89">I51/I$57</f>
        <v>2.951149635813517E-7</v>
      </c>
      <c r="J108" s="18">
        <f t="shared" si="89"/>
        <v>1.0743854850040994E-9</v>
      </c>
      <c r="K108" s="18">
        <f t="shared" si="89"/>
        <v>0</v>
      </c>
      <c r="L108" s="18">
        <f t="shared" si="89"/>
        <v>0</v>
      </c>
      <c r="M108" s="18">
        <f t="shared" si="89"/>
        <v>6.3891962089628839E-8</v>
      </c>
    </row>
    <row r="109" spans="1:13" x14ac:dyDescent="0.25">
      <c r="A109" s="12">
        <v>0.91666666666666663</v>
      </c>
      <c r="B109" s="18">
        <f t="shared" ref="B109:F109" si="90">B52/B$57</f>
        <v>3.0042927952807737E-7</v>
      </c>
      <c r="C109" s="18">
        <f t="shared" si="90"/>
        <v>0</v>
      </c>
      <c r="D109" s="18">
        <f t="shared" si="90"/>
        <v>0</v>
      </c>
      <c r="E109" s="18">
        <f t="shared" si="90"/>
        <v>0</v>
      </c>
      <c r="F109" s="18">
        <f t="shared" si="90"/>
        <v>7.6920761067096985E-8</v>
      </c>
      <c r="G109" s="18"/>
      <c r="H109" s="12">
        <v>0.91666666666666663</v>
      </c>
      <c r="I109" s="18">
        <f t="shared" ref="I109:M109" si="91">I52/I$57</f>
        <v>1.338454632625957E-7</v>
      </c>
      <c r="J109" s="18">
        <f t="shared" si="91"/>
        <v>1.0072363921913433E-10</v>
      </c>
      <c r="K109" s="18">
        <f t="shared" si="91"/>
        <v>0</v>
      </c>
      <c r="L109" s="18">
        <f t="shared" si="91"/>
        <v>0</v>
      </c>
      <c r="M109" s="18">
        <f t="shared" si="91"/>
        <v>2.8940560700274576E-8</v>
      </c>
    </row>
    <row r="110" spans="1:13" x14ac:dyDescent="0.25">
      <c r="A110" s="12">
        <v>0.9375</v>
      </c>
      <c r="B110" s="18">
        <f t="shared" ref="B110:F110" si="92">B53/B$57</f>
        <v>5.00715465880129E-8</v>
      </c>
      <c r="C110" s="18">
        <f t="shared" si="92"/>
        <v>0</v>
      </c>
      <c r="D110" s="18">
        <f t="shared" si="92"/>
        <v>0</v>
      </c>
      <c r="E110" s="18">
        <f t="shared" si="92"/>
        <v>0</v>
      </c>
      <c r="F110" s="18">
        <f t="shared" si="92"/>
        <v>1.2820126844516166E-8</v>
      </c>
      <c r="G110" s="18"/>
      <c r="H110" s="12">
        <v>0.9375</v>
      </c>
      <c r="I110" s="18">
        <f t="shared" ref="I110:M110" si="93">I53/I$57</f>
        <v>5.5104307735413179E-8</v>
      </c>
      <c r="J110" s="18">
        <f t="shared" si="93"/>
        <v>4.7963637723397299E-12</v>
      </c>
      <c r="K110" s="18">
        <f t="shared" si="93"/>
        <v>0</v>
      </c>
      <c r="L110" s="18">
        <f t="shared" si="93"/>
        <v>0</v>
      </c>
      <c r="M110" s="18">
        <f t="shared" si="93"/>
        <v>1.1911366992284975E-8</v>
      </c>
    </row>
    <row r="111" spans="1:13" x14ac:dyDescent="0.25">
      <c r="A111" s="12">
        <v>0.95833333333333337</v>
      </c>
      <c r="B111" s="18">
        <f t="shared" ref="B111:F111" si="94">B54/B$57</f>
        <v>5.270689114527672E-9</v>
      </c>
      <c r="C111" s="18">
        <f t="shared" si="94"/>
        <v>0</v>
      </c>
      <c r="D111" s="18">
        <f t="shared" si="94"/>
        <v>0</v>
      </c>
      <c r="E111" s="18">
        <f t="shared" si="94"/>
        <v>0</v>
      </c>
      <c r="F111" s="18">
        <f t="shared" si="94"/>
        <v>1.3494870362648592E-9</v>
      </c>
      <c r="G111" s="18"/>
      <c r="H111" s="12">
        <v>0.95833333333333337</v>
      </c>
      <c r="I111" s="18">
        <f t="shared" ref="I111:M111" si="95">I54/I$57</f>
        <v>1.8924683305555033E-8</v>
      </c>
      <c r="J111" s="18">
        <f t="shared" si="95"/>
        <v>0</v>
      </c>
      <c r="K111" s="18">
        <f t="shared" si="95"/>
        <v>0</v>
      </c>
      <c r="L111" s="18">
        <f t="shared" si="95"/>
        <v>0</v>
      </c>
      <c r="M111" s="18">
        <f t="shared" si="95"/>
        <v>4.0906095859968229E-9</v>
      </c>
    </row>
    <row r="112" spans="1:13" x14ac:dyDescent="0.25">
      <c r="A112" s="12">
        <v>0.97916666666666663</v>
      </c>
      <c r="B112" s="18">
        <f t="shared" ref="B112:F112" si="96">B55/B$57</f>
        <v>2.6353445572638365E-10</v>
      </c>
      <c r="C112" s="18">
        <f t="shared" si="96"/>
        <v>0</v>
      </c>
      <c r="D112" s="18">
        <f t="shared" si="96"/>
        <v>0</v>
      </c>
      <c r="E112" s="18">
        <f t="shared" si="96"/>
        <v>0</v>
      </c>
      <c r="F112" s="18">
        <f t="shared" si="96"/>
        <v>6.7474351813242967E-11</v>
      </c>
      <c r="G112" s="18"/>
      <c r="H112" s="12">
        <v>0.97916666666666663</v>
      </c>
      <c r="I112" s="18">
        <f t="shared" ref="I112:M112" si="97">I55/I$57</f>
        <v>5.028936822455183E-9</v>
      </c>
      <c r="J112" s="18">
        <f t="shared" si="97"/>
        <v>0</v>
      </c>
      <c r="K112" s="18">
        <f t="shared" si="97"/>
        <v>0</v>
      </c>
      <c r="L112" s="18">
        <f t="shared" si="97"/>
        <v>0</v>
      </c>
      <c r="M112" s="18">
        <f t="shared" si="97"/>
        <v>1.0870151347404144E-9</v>
      </c>
    </row>
    <row r="113" spans="1:13" ht="15.75" thickBot="1" x14ac:dyDescent="0.3">
      <c r="A113" s="13" t="s">
        <v>13</v>
      </c>
      <c r="B113" s="18">
        <f t="shared" ref="B113:F113" si="98">B56/B$57</f>
        <v>0</v>
      </c>
      <c r="C113" s="18">
        <f t="shared" si="98"/>
        <v>0</v>
      </c>
      <c r="D113" s="18">
        <f t="shared" si="98"/>
        <v>0</v>
      </c>
      <c r="E113" s="18">
        <f t="shared" si="98"/>
        <v>0</v>
      </c>
      <c r="F113" s="18">
        <f t="shared" si="98"/>
        <v>0</v>
      </c>
      <c r="G113" s="28"/>
      <c r="H113" s="13" t="s">
        <v>13</v>
      </c>
      <c r="I113" s="18">
        <f t="shared" ref="I113:M113" si="99">I56/I$57</f>
        <v>0</v>
      </c>
      <c r="J113" s="18">
        <f t="shared" si="99"/>
        <v>0</v>
      </c>
      <c r="K113" s="18">
        <f t="shared" si="99"/>
        <v>0</v>
      </c>
      <c r="L113" s="18">
        <f t="shared" si="99"/>
        <v>0</v>
      </c>
      <c r="M113" s="18">
        <f t="shared" si="99"/>
        <v>0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58"/>
  <sheetViews>
    <sheetView workbookViewId="0">
      <selection activeCell="A3" sqref="A3"/>
    </sheetView>
  </sheetViews>
  <sheetFormatPr defaultRowHeight="15" x14ac:dyDescent="0.25"/>
  <cols>
    <col min="1" max="1" width="12.7109375" customWidth="1" collapsed="1"/>
    <col min="2" max="10" width="10.7109375" customWidth="1" collapsed="1"/>
    <col min="11" max="11" width="6.42578125" customWidth="1" collapsed="1"/>
    <col min="12" max="12" width="12.7109375" customWidth="1" collapsed="1"/>
    <col min="13" max="21" width="10.7109375" customWidth="1" collapsed="1"/>
  </cols>
  <sheetData>
    <row r="1" spans="1:26" x14ac:dyDescent="0.25">
      <c r="A1" t="s">
        <v>25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r="6" spans="1:26" ht="15.75" thickBot="1" x14ac:dyDescent="0.3">
      <c r="A6" s="3" t="s">
        <v>51</v>
      </c>
      <c r="B6" s="1"/>
      <c r="C6" s="1"/>
      <c r="D6" s="1"/>
      <c r="E6" s="1"/>
      <c r="F6" s="1"/>
      <c r="G6" s="1"/>
      <c r="H6" s="1"/>
      <c r="I6" s="1"/>
      <c r="J6" s="1"/>
      <c r="L6" s="3" t="s">
        <v>26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>
        <v>0</v>
      </c>
      <c r="C8" s="6">
        <v>0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f>SUM(B8:I8)</f>
        <v>0</v>
      </c>
      <c r="L8" t="s">
        <v>5</v>
      </c>
      <c r="M8" s="9">
        <v>777</v>
      </c>
      <c r="N8" s="9">
        <v>379</v>
      </c>
      <c r="O8" s="9">
        <v>0</v>
      </c>
      <c r="P8" s="9">
        <v>0</v>
      </c>
      <c r="Q8" s="9">
        <v>400</v>
      </c>
      <c r="R8" s="9">
        <v>65</v>
      </c>
      <c r="S8" s="9">
        <v>0</v>
      </c>
      <c r="T8" s="9">
        <v>0</v>
      </c>
      <c r="U8">
        <f>SUM(M8:T8)</f>
        <v>1621</v>
      </c>
      <c r="W8" s="5"/>
      <c r="X8" s="16"/>
      <c r="Y8" s="16"/>
      <c r="Z8" s="5"/>
    </row>
    <row r="9" spans="1:26" x14ac:dyDescent="0.25">
      <c r="A9" s="12">
        <v>0.125</v>
      </c>
      <c r="B9" s="6">
        <v>2717.68045002079</v>
      </c>
      <c r="C9" s="6">
        <v>228.0805872364044</v>
      </c>
      <c r="D9" s="6">
        <v>0.56859137296676643</v>
      </c>
      <c r="E9" s="6">
        <v>8.6210773230552675</v>
      </c>
      <c r="F9" s="6">
        <v>115.79339453163146</v>
      </c>
      <c r="G9" s="6">
        <v>0</v>
      </c>
      <c r="H9" s="6">
        <v>0</v>
      </c>
      <c r="I9" s="6">
        <v>0</v>
      </c>
      <c r="J9" s="6">
        <f t="shared" ref="J9:J58" si="0">SUM(B9:I9)</f>
        <v>3070.7441004848479</v>
      </c>
      <c r="L9" s="12">
        <v>0.125</v>
      </c>
      <c r="M9" s="9">
        <v>1121.3825378417969</v>
      </c>
      <c r="N9" s="9">
        <v>283.28580951690674</v>
      </c>
      <c r="O9" s="9">
        <v>0</v>
      </c>
      <c r="P9" s="9">
        <v>0</v>
      </c>
      <c r="Q9" s="9">
        <v>277.02184200286865</v>
      </c>
      <c r="R9" s="9">
        <v>43.381814002990723</v>
      </c>
      <c r="S9" s="9">
        <v>0</v>
      </c>
      <c r="T9" s="9">
        <v>0</v>
      </c>
      <c r="U9">
        <f t="shared" ref="U9:U58" si="1">SUM(M9:T9)</f>
        <v>1725.072003364563</v>
      </c>
      <c r="W9" s="5"/>
      <c r="X9" s="16"/>
      <c r="Y9" s="16"/>
      <c r="Z9" s="5"/>
    </row>
    <row r="10" spans="1:26" x14ac:dyDescent="0.25">
      <c r="A10" s="12">
        <v>0.14583333333333334</v>
      </c>
      <c r="B10" s="6">
        <v>6518.8024752528181</v>
      </c>
      <c r="C10" s="6">
        <v>488.07565255117413</v>
      </c>
      <c r="D10" s="6">
        <v>2.2121850676536563</v>
      </c>
      <c r="E10" s="6">
        <v>22.152661748504638</v>
      </c>
      <c r="F10" s="6">
        <v>265.63019915838242</v>
      </c>
      <c r="G10" s="6">
        <v>0</v>
      </c>
      <c r="H10" s="6">
        <v>0</v>
      </c>
      <c r="I10" s="6">
        <v>0</v>
      </c>
      <c r="J10" s="6">
        <f t="shared" si="0"/>
        <v>7296.8731737785329</v>
      </c>
      <c r="L10" s="12">
        <v>0.14583333333333334</v>
      </c>
      <c r="M10" s="9">
        <v>2129.9015674591064</v>
      </c>
      <c r="N10" s="9">
        <v>247.31054306030273</v>
      </c>
      <c r="O10" s="9">
        <v>0</v>
      </c>
      <c r="P10" s="9">
        <v>0</v>
      </c>
      <c r="Q10" s="9">
        <v>187.99071788787842</v>
      </c>
      <c r="R10" s="9">
        <v>25.755850791931152</v>
      </c>
      <c r="S10" s="9">
        <v>0</v>
      </c>
      <c r="T10" s="9">
        <v>0</v>
      </c>
      <c r="U10">
        <f t="shared" si="1"/>
        <v>2590.9586791992188</v>
      </c>
      <c r="W10" s="5"/>
      <c r="X10" s="16"/>
      <c r="Y10" s="16"/>
      <c r="Z10" s="5"/>
    </row>
    <row r="11" spans="1:26" x14ac:dyDescent="0.25">
      <c r="A11" s="12">
        <v>0.16666666666666666</v>
      </c>
      <c r="B11" s="6">
        <v>12534.80468585844</v>
      </c>
      <c r="C11" s="6">
        <v>837.54292256488793</v>
      </c>
      <c r="D11" s="6">
        <v>7.0060076392173771</v>
      </c>
      <c r="E11" s="6">
        <v>47.480490105724343</v>
      </c>
      <c r="F11" s="6">
        <v>486.45559035053247</v>
      </c>
      <c r="G11" s="6">
        <v>0</v>
      </c>
      <c r="H11" s="6">
        <v>0</v>
      </c>
      <c r="I11" s="6">
        <v>0</v>
      </c>
      <c r="J11" s="6">
        <f t="shared" si="0"/>
        <v>13913.289696518801</v>
      </c>
      <c r="L11" s="12">
        <v>0.16666666666666666</v>
      </c>
      <c r="M11" s="9">
        <v>4876.8678312301636</v>
      </c>
      <c r="N11" s="9">
        <v>350.67009353637695</v>
      </c>
      <c r="O11" s="9">
        <v>0</v>
      </c>
      <c r="P11" s="9">
        <v>0</v>
      </c>
      <c r="Q11" s="9">
        <v>167.19930553436279</v>
      </c>
      <c r="R11" s="9">
        <v>14.763749122619629</v>
      </c>
      <c r="S11" s="9">
        <v>0</v>
      </c>
      <c r="T11" s="9">
        <v>0</v>
      </c>
      <c r="U11">
        <f t="shared" si="1"/>
        <v>5409.5009794235229</v>
      </c>
      <c r="W11" s="5"/>
      <c r="X11" s="16"/>
      <c r="Y11" s="16"/>
      <c r="Z11" s="5"/>
    </row>
    <row r="12" spans="1:26" x14ac:dyDescent="0.25">
      <c r="A12" s="12">
        <v>0.1875</v>
      </c>
      <c r="B12" s="6">
        <v>21842.952710917856</v>
      </c>
      <c r="C12" s="6">
        <v>1366.0525607289312</v>
      </c>
      <c r="D12" s="6">
        <v>19.275551996898653</v>
      </c>
      <c r="E12" s="6">
        <v>94.666998513793942</v>
      </c>
      <c r="F12" s="6">
        <v>816.48862270994186</v>
      </c>
      <c r="G12" s="6">
        <v>0</v>
      </c>
      <c r="H12" s="6">
        <v>0</v>
      </c>
      <c r="I12" s="6">
        <v>0</v>
      </c>
      <c r="J12" s="6">
        <f t="shared" si="0"/>
        <v>24139.436444867421</v>
      </c>
      <c r="L12" s="12">
        <v>0.1875</v>
      </c>
      <c r="M12" s="9">
        <v>11011.595554351807</v>
      </c>
      <c r="N12" s="9">
        <v>707.29177474975586</v>
      </c>
      <c r="O12" s="9">
        <v>0</v>
      </c>
      <c r="P12" s="9">
        <v>0</v>
      </c>
      <c r="Q12" s="9">
        <v>252.95260334014893</v>
      </c>
      <c r="R12" s="9">
        <v>11.472549438476563</v>
      </c>
      <c r="S12" s="9">
        <v>0</v>
      </c>
      <c r="T12" s="9">
        <v>0</v>
      </c>
      <c r="U12">
        <f t="shared" si="1"/>
        <v>11983.312481880188</v>
      </c>
      <c r="W12" s="5"/>
      <c r="X12" s="5"/>
      <c r="Y12" s="5"/>
      <c r="Z12" s="5"/>
    </row>
    <row r="13" spans="1:26" x14ac:dyDescent="0.25">
      <c r="A13" s="12">
        <v>0.20833333333333334</v>
      </c>
      <c r="B13" s="6">
        <v>35175.301031233408</v>
      </c>
      <c r="C13" s="6">
        <v>2173.2668664239882</v>
      </c>
      <c r="D13" s="6">
        <v>47.049615126323694</v>
      </c>
      <c r="E13" s="6">
        <v>176.23057113656995</v>
      </c>
      <c r="F13" s="6">
        <v>1281.9913881874083</v>
      </c>
      <c r="G13" s="6">
        <v>0</v>
      </c>
      <c r="H13" s="6">
        <v>0</v>
      </c>
      <c r="I13" s="6">
        <v>0</v>
      </c>
      <c r="J13" s="6">
        <f t="shared" si="0"/>
        <v>38853.839472107698</v>
      </c>
      <c r="L13" s="12">
        <v>0.20833333333333334</v>
      </c>
      <c r="M13" s="9">
        <v>22405.912888526917</v>
      </c>
      <c r="N13" s="9">
        <v>1457.851448059082</v>
      </c>
      <c r="O13" s="9">
        <v>0</v>
      </c>
      <c r="P13" s="9">
        <v>0</v>
      </c>
      <c r="Q13" s="9">
        <v>489.55037593841553</v>
      </c>
      <c r="R13" s="9">
        <v>16.196074485778809</v>
      </c>
      <c r="S13" s="9">
        <v>0</v>
      </c>
      <c r="T13" s="9">
        <v>0</v>
      </c>
      <c r="U13">
        <f t="shared" si="1"/>
        <v>24369.510787010193</v>
      </c>
    </row>
    <row r="14" spans="1:26" x14ac:dyDescent="0.25">
      <c r="A14" s="12">
        <v>0.22916666666666666</v>
      </c>
      <c r="B14" s="6">
        <v>52491.997068151482</v>
      </c>
      <c r="C14" s="6">
        <v>3327.3223531648632</v>
      </c>
      <c r="D14" s="6">
        <v>102.86055118131637</v>
      </c>
      <c r="E14" s="6">
        <v>303.74894261188501</v>
      </c>
      <c r="F14" s="6">
        <v>1871.905398446369</v>
      </c>
      <c r="G14" s="6">
        <v>0</v>
      </c>
      <c r="H14" s="6">
        <v>0</v>
      </c>
      <c r="I14" s="6">
        <v>0</v>
      </c>
      <c r="J14" s="6">
        <f t="shared" si="0"/>
        <v>58097.834313555912</v>
      </c>
      <c r="L14" s="12">
        <v>0.22916666666666666</v>
      </c>
      <c r="M14" s="9">
        <v>40177.325117111206</v>
      </c>
      <c r="N14" s="9">
        <v>2721.4921541213989</v>
      </c>
      <c r="O14" s="9">
        <v>0</v>
      </c>
      <c r="P14" s="9">
        <v>0</v>
      </c>
      <c r="Q14" s="9">
        <v>917.23137950897217</v>
      </c>
      <c r="R14" s="9">
        <v>29.238298416137695</v>
      </c>
      <c r="S14" s="9">
        <v>0</v>
      </c>
      <c r="T14" s="9">
        <v>0</v>
      </c>
      <c r="U14">
        <f t="shared" si="1"/>
        <v>43845.286949157715</v>
      </c>
    </row>
    <row r="15" spans="1:26" x14ac:dyDescent="0.25">
      <c r="A15" s="12">
        <v>0.25</v>
      </c>
      <c r="B15" s="6">
        <v>72513.007332226203</v>
      </c>
      <c r="C15" s="6">
        <v>4823.6914068780889</v>
      </c>
      <c r="D15" s="6">
        <v>201.94821625642777</v>
      </c>
      <c r="E15" s="6">
        <v>482.21169304485312</v>
      </c>
      <c r="F15" s="6">
        <v>2517.6430242871284</v>
      </c>
      <c r="G15" s="6">
        <v>0</v>
      </c>
      <c r="H15" s="6">
        <v>0</v>
      </c>
      <c r="I15" s="6">
        <v>0</v>
      </c>
      <c r="J15" s="6">
        <f t="shared" si="0"/>
        <v>80538.501672692699</v>
      </c>
      <c r="L15" s="12">
        <v>0.25</v>
      </c>
      <c r="M15" s="9">
        <v>63448.265488624573</v>
      </c>
      <c r="N15" s="9">
        <v>4512.1168460845947</v>
      </c>
      <c r="O15" s="9">
        <v>0</v>
      </c>
      <c r="P15" s="9">
        <v>0</v>
      </c>
      <c r="Q15" s="9">
        <v>1546.7081270217896</v>
      </c>
      <c r="R15" s="9">
        <v>50.628002166748047</v>
      </c>
      <c r="S15" s="9">
        <v>0</v>
      </c>
      <c r="T15" s="9">
        <v>0</v>
      </c>
      <c r="U15">
        <f t="shared" si="1"/>
        <v>69557.718463897705</v>
      </c>
    </row>
    <row r="16" spans="1:26" x14ac:dyDescent="0.25">
      <c r="A16" s="12">
        <v>0.27083333333333331</v>
      </c>
      <c r="B16" s="6">
        <v>92433.172421554191</v>
      </c>
      <c r="C16" s="6">
        <v>6559.7882538413996</v>
      </c>
      <c r="D16" s="6">
        <v>355.83063210954668</v>
      </c>
      <c r="E16" s="6">
        <v>703.84914662170399</v>
      </c>
      <c r="F16" s="6">
        <v>3103.276969439697</v>
      </c>
      <c r="G16" s="6">
        <v>0</v>
      </c>
      <c r="H16" s="6">
        <v>0</v>
      </c>
      <c r="I16" s="6">
        <v>0</v>
      </c>
      <c r="J16" s="6">
        <f t="shared" si="0"/>
        <v>103155.91742356654</v>
      </c>
      <c r="L16" s="12">
        <v>0.27083333333333331</v>
      </c>
      <c r="M16" s="9">
        <v>88683.013818740845</v>
      </c>
      <c r="N16" s="9">
        <v>6663.1336641311646</v>
      </c>
      <c r="O16" s="9">
        <v>0</v>
      </c>
      <c r="P16" s="9">
        <v>0</v>
      </c>
      <c r="Q16" s="9">
        <v>2330.5133085250854</v>
      </c>
      <c r="R16" s="9">
        <v>79.011687278747559</v>
      </c>
      <c r="S16" s="9">
        <v>0</v>
      </c>
      <c r="T16" s="9">
        <v>0</v>
      </c>
      <c r="U16">
        <f t="shared" si="1"/>
        <v>97755.672478675842</v>
      </c>
    </row>
    <row r="17" spans="1:21" x14ac:dyDescent="0.25">
      <c r="A17" s="12">
        <v>0.29166666666666669</v>
      </c>
      <c r="B17" s="6">
        <v>108251.2299023801</v>
      </c>
      <c r="C17" s="6">
        <v>8332.0016367626195</v>
      </c>
      <c r="D17" s="6">
        <v>561.72389876003263</v>
      </c>
      <c r="E17" s="6">
        <v>944.82785819454182</v>
      </c>
      <c r="F17" s="6">
        <v>3509.3375920705794</v>
      </c>
      <c r="G17" s="6">
        <v>0</v>
      </c>
      <c r="H17" s="6">
        <v>0</v>
      </c>
      <c r="I17" s="6">
        <v>0</v>
      </c>
      <c r="J17" s="6">
        <f t="shared" si="0"/>
        <v>121599.12088816788</v>
      </c>
      <c r="L17" s="12">
        <v>0.29166666666666669</v>
      </c>
      <c r="M17" s="9">
        <v>110389.51652431488</v>
      </c>
      <c r="N17" s="9">
        <v>8822.0796003341675</v>
      </c>
      <c r="O17" s="9">
        <v>0</v>
      </c>
      <c r="P17" s="9">
        <v>0</v>
      </c>
      <c r="Q17" s="9">
        <v>3153.4048557281494</v>
      </c>
      <c r="R17" s="9">
        <v>110.75415706634521</v>
      </c>
      <c r="S17" s="9">
        <v>0</v>
      </c>
      <c r="T17" s="9">
        <v>0</v>
      </c>
      <c r="U17">
        <f t="shared" si="1"/>
        <v>122475.75513744354</v>
      </c>
    </row>
    <row r="18" spans="1:21" x14ac:dyDescent="0.25">
      <c r="A18" s="12">
        <v>0.3125</v>
      </c>
      <c r="B18" s="6">
        <v>116022.31357957136</v>
      </c>
      <c r="C18" s="6">
        <v>9866.4052405151378</v>
      </c>
      <c r="D18" s="6">
        <v>793.25535633163452</v>
      </c>
      <c r="E18" s="6">
        <v>1169.07440793972</v>
      </c>
      <c r="F18" s="6">
        <v>3660.7069822957037</v>
      </c>
      <c r="G18" s="6">
        <v>0</v>
      </c>
      <c r="H18" s="6">
        <v>0</v>
      </c>
      <c r="I18" s="6">
        <v>0</v>
      </c>
      <c r="J18" s="6">
        <f t="shared" si="0"/>
        <v>131511.75556665356</v>
      </c>
      <c r="L18" s="12">
        <v>0.3125</v>
      </c>
      <c r="M18" s="9">
        <v>123157.97105979919</v>
      </c>
      <c r="N18" s="9">
        <v>10545.692284584045</v>
      </c>
      <c r="O18" s="9">
        <v>0</v>
      </c>
      <c r="P18" s="9">
        <v>0</v>
      </c>
      <c r="Q18" s="9">
        <v>3857.1894178390503</v>
      </c>
      <c r="R18" s="9">
        <v>140.24391841888428</v>
      </c>
      <c r="S18" s="9">
        <v>0</v>
      </c>
      <c r="T18" s="9">
        <v>0</v>
      </c>
      <c r="U18">
        <f t="shared" si="1"/>
        <v>137701.09668064117</v>
      </c>
    </row>
    <row r="19" spans="1:21" x14ac:dyDescent="0.25">
      <c r="A19" s="12">
        <v>0.33333333333333331</v>
      </c>
      <c r="B19" s="6">
        <v>113630.45613121416</v>
      </c>
      <c r="C19" s="6">
        <v>10894.767872969438</v>
      </c>
      <c r="D19" s="6">
        <v>1001.6298208447456</v>
      </c>
      <c r="E19" s="6">
        <v>1340.0982481595993</v>
      </c>
      <c r="F19" s="6">
        <v>3547.7500599971772</v>
      </c>
      <c r="G19" s="6">
        <v>0</v>
      </c>
      <c r="H19" s="6">
        <v>0</v>
      </c>
      <c r="I19" s="6">
        <v>0</v>
      </c>
      <c r="J19" s="6">
        <f t="shared" si="0"/>
        <v>130414.70213318513</v>
      </c>
      <c r="L19" s="12">
        <v>0.33333333333333331</v>
      </c>
      <c r="M19" s="9">
        <v>123975.03977584839</v>
      </c>
      <c r="N19" s="9">
        <v>11461.582319259644</v>
      </c>
      <c r="O19" s="9">
        <v>0</v>
      </c>
      <c r="P19" s="9">
        <v>0</v>
      </c>
      <c r="Q19" s="9">
        <v>4294.4151782989502</v>
      </c>
      <c r="R19" s="9">
        <v>161.5758228302002</v>
      </c>
      <c r="S19" s="9">
        <v>0</v>
      </c>
      <c r="T19" s="9">
        <v>0</v>
      </c>
      <c r="U19">
        <f t="shared" si="1"/>
        <v>139892.61309623718</v>
      </c>
    </row>
    <row r="20" spans="1:21" x14ac:dyDescent="0.25">
      <c r="A20" s="12">
        <v>0.35416666666666669</v>
      </c>
      <c r="B20" s="6">
        <v>101944.77079009687</v>
      </c>
      <c r="C20" s="6">
        <v>11254.445725128175</v>
      </c>
      <c r="D20" s="6">
        <v>1133.1165740412712</v>
      </c>
      <c r="E20" s="6">
        <v>1434.777748629856</v>
      </c>
      <c r="F20" s="6">
        <v>3220.4831227533341</v>
      </c>
      <c r="G20" s="6">
        <v>0</v>
      </c>
      <c r="H20" s="6">
        <v>0</v>
      </c>
      <c r="I20" s="6">
        <v>0</v>
      </c>
      <c r="J20" s="6">
        <f t="shared" si="0"/>
        <v>118987.59396064949</v>
      </c>
      <c r="L20" s="12">
        <v>0.35416666666666669</v>
      </c>
      <c r="M20" s="9">
        <v>113434.45233535767</v>
      </c>
      <c r="N20" s="9">
        <v>11414.847811698914</v>
      </c>
      <c r="O20" s="9">
        <v>0</v>
      </c>
      <c r="P20" s="9">
        <v>0</v>
      </c>
      <c r="Q20" s="9">
        <v>4385.7971229553223</v>
      </c>
      <c r="R20" s="9">
        <v>170.86155986785889</v>
      </c>
      <c r="S20" s="9">
        <v>0</v>
      </c>
      <c r="T20" s="9">
        <v>0</v>
      </c>
      <c r="U20">
        <f t="shared" si="1"/>
        <v>129405.95882987976</v>
      </c>
    </row>
    <row r="21" spans="1:21" x14ac:dyDescent="0.25">
      <c r="A21" s="12">
        <v>0.375</v>
      </c>
      <c r="B21" s="6">
        <v>84429.809690135677</v>
      </c>
      <c r="C21" s="6">
        <v>10949.238611079123</v>
      </c>
      <c r="D21" s="6">
        <v>1156.5689683667183</v>
      </c>
      <c r="E21" s="6">
        <v>1450.5881848708154</v>
      </c>
      <c r="F21" s="6">
        <v>2772.5367645845408</v>
      </c>
      <c r="G21" s="6">
        <v>3.2172670364379882E-4</v>
      </c>
      <c r="H21" s="6">
        <v>0</v>
      </c>
      <c r="I21" s="6">
        <v>0</v>
      </c>
      <c r="J21" s="6">
        <f t="shared" si="0"/>
        <v>100758.74254076357</v>
      </c>
      <c r="L21" s="12">
        <v>0.375</v>
      </c>
      <c r="M21" s="9">
        <v>95203.30108833313</v>
      </c>
      <c r="N21" s="9">
        <v>10524.035935401917</v>
      </c>
      <c r="O21" s="9">
        <v>0</v>
      </c>
      <c r="P21" s="9">
        <v>0</v>
      </c>
      <c r="Q21" s="9">
        <v>4151.9510087966919</v>
      </c>
      <c r="R21" s="9">
        <v>167.95975971221924</v>
      </c>
      <c r="S21" s="9">
        <v>0</v>
      </c>
      <c r="T21" s="9">
        <v>0</v>
      </c>
      <c r="U21">
        <f t="shared" si="1"/>
        <v>110047.24779224396</v>
      </c>
    </row>
    <row r="22" spans="1:21" x14ac:dyDescent="0.25">
      <c r="A22" s="12">
        <v>0.39583333333333331</v>
      </c>
      <c r="B22" s="6">
        <v>65450.532674474242</v>
      </c>
      <c r="C22" s="6">
        <v>10123.844335533046</v>
      </c>
      <c r="D22" s="6">
        <v>1082.1252592946053</v>
      </c>
      <c r="E22" s="6">
        <v>1403.9004501551628</v>
      </c>
      <c r="F22" s="6">
        <v>2318.1012354957579</v>
      </c>
      <c r="G22" s="6">
        <v>6.4345340728759757E-3</v>
      </c>
      <c r="H22" s="6">
        <v>0</v>
      </c>
      <c r="I22" s="6">
        <v>0</v>
      </c>
      <c r="J22" s="6">
        <f t="shared" si="0"/>
        <v>80378.51038948691</v>
      </c>
      <c r="L22" s="12">
        <v>0.39583333333333331</v>
      </c>
      <c r="M22" s="9">
        <v>74240.023466110229</v>
      </c>
      <c r="N22" s="9">
        <v>9121.4779968261719</v>
      </c>
      <c r="O22" s="9">
        <v>0</v>
      </c>
      <c r="P22" s="9">
        <v>0</v>
      </c>
      <c r="Q22" s="9">
        <v>3702.7269229888916</v>
      </c>
      <c r="R22" s="9">
        <v>156.6071252822876</v>
      </c>
      <c r="S22" s="9">
        <v>0</v>
      </c>
      <c r="T22" s="9">
        <v>0</v>
      </c>
      <c r="U22">
        <f t="shared" si="1"/>
        <v>87220.835511207581</v>
      </c>
    </row>
    <row r="23" spans="1:21" x14ac:dyDescent="0.25">
      <c r="A23" s="12">
        <v>0.41666666666666669</v>
      </c>
      <c r="B23" s="6">
        <v>48484.922933415794</v>
      </c>
      <c r="C23" s="6">
        <v>8979.9079675668709</v>
      </c>
      <c r="D23" s="6">
        <v>954.24753671636586</v>
      </c>
      <c r="E23" s="6">
        <v>1323.7214540843966</v>
      </c>
      <c r="F23" s="6">
        <v>1957.8626115125653</v>
      </c>
      <c r="G23" s="6">
        <v>6.1330957126617423E-2</v>
      </c>
      <c r="H23" s="6">
        <v>0</v>
      </c>
      <c r="I23" s="6">
        <v>0</v>
      </c>
      <c r="J23" s="6">
        <f t="shared" si="0"/>
        <v>61700.72383425312</v>
      </c>
      <c r="L23" s="12">
        <v>0.41666666666666669</v>
      </c>
      <c r="M23" s="9">
        <v>54864.905781745911</v>
      </c>
      <c r="N23" s="9">
        <v>7611.2619762420654</v>
      </c>
      <c r="O23" s="9">
        <v>0</v>
      </c>
      <c r="P23" s="9">
        <v>0</v>
      </c>
      <c r="Q23" s="9">
        <v>3188.8622894287109</v>
      </c>
      <c r="R23" s="9">
        <v>142.71681022644043</v>
      </c>
      <c r="S23" s="9">
        <v>0</v>
      </c>
      <c r="T23" s="9">
        <v>0</v>
      </c>
      <c r="U23">
        <f t="shared" si="1"/>
        <v>65807.746857643127</v>
      </c>
    </row>
    <row r="24" spans="1:21" x14ac:dyDescent="0.25">
      <c r="A24" s="12">
        <v>0.4375</v>
      </c>
      <c r="B24" s="6">
        <v>35282.54103392773</v>
      </c>
      <c r="C24" s="6">
        <v>7708.970814219856</v>
      </c>
      <c r="D24" s="6">
        <v>822.83398599901193</v>
      </c>
      <c r="E24" s="6">
        <v>1243.8559471744538</v>
      </c>
      <c r="F24" s="6">
        <v>1746.6779822517394</v>
      </c>
      <c r="G24" s="6">
        <v>0.37082611083984368</v>
      </c>
      <c r="H24" s="6">
        <v>0</v>
      </c>
      <c r="I24" s="6">
        <v>0</v>
      </c>
      <c r="J24" s="6">
        <f t="shared" si="0"/>
        <v>46805.250589683637</v>
      </c>
      <c r="L24" s="12">
        <v>0.4375</v>
      </c>
      <c r="M24" s="9">
        <v>39577.742007255554</v>
      </c>
      <c r="N24" s="9">
        <v>6315.1003313064575</v>
      </c>
      <c r="O24" s="9">
        <v>0</v>
      </c>
      <c r="P24" s="9">
        <v>0</v>
      </c>
      <c r="Q24" s="9">
        <v>2740.1491470336914</v>
      </c>
      <c r="R24" s="9">
        <v>131.69057369232178</v>
      </c>
      <c r="S24" s="9">
        <v>0</v>
      </c>
      <c r="T24" s="9">
        <v>0</v>
      </c>
      <c r="U24">
        <f t="shared" si="1"/>
        <v>48764.682059288025</v>
      </c>
    </row>
    <row r="25" spans="1:21" x14ac:dyDescent="0.25">
      <c r="A25" s="12">
        <v>0.45833333333333331</v>
      </c>
      <c r="B25" s="6">
        <v>26058.197147264866</v>
      </c>
      <c r="C25" s="6">
        <v>6476.7232734122272</v>
      </c>
      <c r="D25" s="6">
        <v>716.53672937164299</v>
      </c>
      <c r="E25" s="6">
        <v>1192.0037752140045</v>
      </c>
      <c r="F25" s="6">
        <v>1682.164589651394</v>
      </c>
      <c r="G25" s="6">
        <v>1.5975233453750608</v>
      </c>
      <c r="H25" s="6">
        <v>0</v>
      </c>
      <c r="I25" s="6">
        <v>0</v>
      </c>
      <c r="J25" s="6">
        <f t="shared" si="0"/>
        <v>36127.223038259508</v>
      </c>
      <c r="L25" s="12">
        <v>0.45833333333333331</v>
      </c>
      <c r="M25" s="9">
        <v>28903.7699842453</v>
      </c>
      <c r="N25" s="9">
        <v>5378.6448640823364</v>
      </c>
      <c r="O25" s="9">
        <v>0</v>
      </c>
      <c r="P25" s="9">
        <v>0</v>
      </c>
      <c r="Q25" s="9">
        <v>2421.7259607315063</v>
      </c>
      <c r="R25" s="9">
        <v>126.28810596466064</v>
      </c>
      <c r="S25" s="9">
        <v>0</v>
      </c>
      <c r="T25" s="9">
        <v>0</v>
      </c>
      <c r="U25">
        <f t="shared" si="1"/>
        <v>36830.428915023804</v>
      </c>
    </row>
    <row r="26" spans="1:21" x14ac:dyDescent="0.25">
      <c r="A26" s="12">
        <v>0.47916666666666669</v>
      </c>
      <c r="B26" s="6">
        <v>20143.568118645097</v>
      </c>
      <c r="C26" s="6">
        <v>5423.1794507940294</v>
      </c>
      <c r="D26" s="6">
        <v>638.69477384138099</v>
      </c>
      <c r="E26" s="6">
        <v>1177.0803585173608</v>
      </c>
      <c r="F26" s="6">
        <v>1713.4446077440264</v>
      </c>
      <c r="G26" s="6">
        <v>5.223530202484131</v>
      </c>
      <c r="H26" s="6">
        <v>0</v>
      </c>
      <c r="I26" s="6">
        <v>0</v>
      </c>
      <c r="J26" s="6">
        <f t="shared" si="0"/>
        <v>29101.190839744377</v>
      </c>
      <c r="L26" s="12">
        <v>0.47916666666666669</v>
      </c>
      <c r="M26" s="9">
        <v>22010.888374328613</v>
      </c>
      <c r="N26" s="9">
        <v>4775.0708885192871</v>
      </c>
      <c r="O26" s="9">
        <v>0</v>
      </c>
      <c r="P26" s="9">
        <v>0</v>
      </c>
      <c r="Q26" s="9">
        <v>2229.0084533691406</v>
      </c>
      <c r="R26" s="9">
        <v>126.25559711456299</v>
      </c>
      <c r="S26" s="9">
        <v>0</v>
      </c>
      <c r="T26" s="9">
        <v>0</v>
      </c>
      <c r="U26">
        <f t="shared" si="1"/>
        <v>29141.223313331604</v>
      </c>
    </row>
    <row r="27" spans="1:21" x14ac:dyDescent="0.25">
      <c r="A27" s="12">
        <v>0.5</v>
      </c>
      <c r="B27" s="6">
        <v>16574.658495555785</v>
      </c>
      <c r="C27" s="6">
        <v>4639.3981212483404</v>
      </c>
      <c r="D27" s="6">
        <v>581.3584851496696</v>
      </c>
      <c r="E27" s="6">
        <v>1183.1873183834075</v>
      </c>
      <c r="F27" s="6">
        <v>1757.9478571579934</v>
      </c>
      <c r="G27" s="6">
        <v>13.492923876285554</v>
      </c>
      <c r="H27" s="6">
        <v>8.8185291290283202E-4</v>
      </c>
      <c r="I27" s="6">
        <v>0</v>
      </c>
      <c r="J27" s="6">
        <f t="shared" si="0"/>
        <v>24750.044083224395</v>
      </c>
      <c r="L27" s="12">
        <v>0.5</v>
      </c>
      <c r="M27" s="9">
        <v>17589.175988197327</v>
      </c>
      <c r="N27" s="9">
        <v>4385.3083801269531</v>
      </c>
      <c r="O27" s="9">
        <v>0</v>
      </c>
      <c r="P27" s="9">
        <v>0</v>
      </c>
      <c r="Q27" s="9">
        <v>2117.14430809021</v>
      </c>
      <c r="R27" s="9">
        <v>129.66840839385986</v>
      </c>
      <c r="S27" s="9">
        <v>0</v>
      </c>
      <c r="T27" s="9">
        <v>0</v>
      </c>
      <c r="U27">
        <f t="shared" si="1"/>
        <v>24221.29708480835</v>
      </c>
    </row>
    <row r="28" spans="1:21" x14ac:dyDescent="0.25">
      <c r="A28" s="12">
        <v>0.52083333333333337</v>
      </c>
      <c r="B28" s="6">
        <v>14455.481619692897</v>
      </c>
      <c r="C28" s="6">
        <v>4137.1282571571346</v>
      </c>
      <c r="D28" s="6">
        <v>536.88489038190835</v>
      </c>
      <c r="E28" s="6">
        <v>1177.788069214344</v>
      </c>
      <c r="F28" s="6">
        <v>1727.700358690548</v>
      </c>
      <c r="G28" s="6">
        <v>28.3247184551239</v>
      </c>
      <c r="H28" s="6">
        <v>1.7637058258056639E-2</v>
      </c>
      <c r="I28" s="6">
        <v>0</v>
      </c>
      <c r="J28" s="6">
        <f t="shared" si="0"/>
        <v>22063.325550650217</v>
      </c>
      <c r="L28" s="12">
        <v>0.52083333333333337</v>
      </c>
      <c r="M28" s="9">
        <v>14528.558826446533</v>
      </c>
      <c r="N28" s="9">
        <v>4093.0922164916992</v>
      </c>
      <c r="O28" s="9">
        <v>0</v>
      </c>
      <c r="P28" s="9">
        <v>0</v>
      </c>
      <c r="Q28" s="9">
        <v>2040.1862640380859</v>
      </c>
      <c r="R28" s="9">
        <v>134.76611804962158</v>
      </c>
      <c r="S28" s="9">
        <v>0</v>
      </c>
      <c r="T28" s="9">
        <v>0</v>
      </c>
      <c r="U28">
        <f t="shared" si="1"/>
        <v>20796.60342502594</v>
      </c>
    </row>
    <row r="29" spans="1:21" x14ac:dyDescent="0.25">
      <c r="A29" s="12">
        <v>0.54166666666666663</v>
      </c>
      <c r="B29" s="6">
        <v>13127.419711609647</v>
      </c>
      <c r="C29" s="6">
        <v>3854.1382250010488</v>
      </c>
      <c r="D29" s="6">
        <v>497.55467975616455</v>
      </c>
      <c r="E29" s="6">
        <v>1130.9859110600471</v>
      </c>
      <c r="F29" s="6">
        <v>1569.1928826696394</v>
      </c>
      <c r="G29" s="6">
        <v>49.407253170490264</v>
      </c>
      <c r="H29" s="6">
        <v>0.16783401012420651</v>
      </c>
      <c r="I29" s="6">
        <v>0</v>
      </c>
      <c r="J29" s="6">
        <f t="shared" si="0"/>
        <v>20228.866497277166</v>
      </c>
      <c r="L29" s="12">
        <v>0.54166666666666663</v>
      </c>
      <c r="M29" s="9">
        <v>12182.627388000488</v>
      </c>
      <c r="N29" s="9">
        <v>3837.9824151992798</v>
      </c>
      <c r="O29" s="9">
        <v>0</v>
      </c>
      <c r="P29" s="9">
        <v>0</v>
      </c>
      <c r="Q29" s="9">
        <v>1974.2591972351074</v>
      </c>
      <c r="R29" s="9">
        <v>140.91001033782959</v>
      </c>
      <c r="S29" s="9">
        <v>0</v>
      </c>
      <c r="T29" s="9">
        <v>0</v>
      </c>
      <c r="U29">
        <f t="shared" si="1"/>
        <v>18135.779010772705</v>
      </c>
    </row>
    <row r="30" spans="1:21" x14ac:dyDescent="0.25">
      <c r="A30" s="12">
        <v>0.5625</v>
      </c>
      <c r="B30" s="6">
        <v>12176.853798725508</v>
      </c>
      <c r="C30" s="6">
        <v>3699.3071885791778</v>
      </c>
      <c r="D30" s="6">
        <v>452.96488650093079</v>
      </c>
      <c r="E30" s="6">
        <v>1033.8230694135666</v>
      </c>
      <c r="F30" s="6">
        <v>1296.0489452296256</v>
      </c>
      <c r="G30" s="6">
        <v>73.014591847991937</v>
      </c>
      <c r="H30" s="6">
        <v>1.0109514541625977</v>
      </c>
      <c r="I30" s="6">
        <v>0</v>
      </c>
      <c r="J30" s="6">
        <f t="shared" si="0"/>
        <v>18733.02343175096</v>
      </c>
      <c r="L30" s="12">
        <v>0.5625</v>
      </c>
      <c r="M30" s="9">
        <v>10291.359670639038</v>
      </c>
      <c r="N30" s="9">
        <v>3611.7892398834229</v>
      </c>
      <c r="O30" s="9">
        <v>0</v>
      </c>
      <c r="P30" s="9">
        <v>0</v>
      </c>
      <c r="Q30" s="9">
        <v>1916.5171022415161</v>
      </c>
      <c r="R30" s="9">
        <v>148.24503707885742</v>
      </c>
      <c r="S30" s="9">
        <v>0</v>
      </c>
      <c r="T30" s="9">
        <v>0</v>
      </c>
      <c r="U30">
        <f t="shared" si="1"/>
        <v>15967.911049842834</v>
      </c>
    </row>
    <row r="31" spans="1:21" x14ac:dyDescent="0.25">
      <c r="A31" s="12">
        <v>0.58333333333333337</v>
      </c>
      <c r="B31" s="6">
        <v>11337.720649502658</v>
      </c>
      <c r="C31" s="6">
        <v>3598.6808554851532</v>
      </c>
      <c r="D31" s="6">
        <v>395.48786814546588</v>
      </c>
      <c r="E31" s="6">
        <v>904.25606918125163</v>
      </c>
      <c r="F31" s="6">
        <v>982.44028763265612</v>
      </c>
      <c r="G31" s="6">
        <v>93.123625635719293</v>
      </c>
      <c r="H31" s="6">
        <v>4.3261491308212285</v>
      </c>
      <c r="I31" s="6">
        <v>0</v>
      </c>
      <c r="J31" s="6">
        <f t="shared" si="0"/>
        <v>17316.035504713727</v>
      </c>
      <c r="L31" s="12">
        <v>0.58333333333333337</v>
      </c>
      <c r="M31" s="9">
        <v>8779.1114454269409</v>
      </c>
      <c r="N31" s="9">
        <v>3424.7423801422119</v>
      </c>
      <c r="O31" s="9">
        <v>0</v>
      </c>
      <c r="P31" s="9">
        <v>0</v>
      </c>
      <c r="Q31" s="9">
        <v>1870.8006763458252</v>
      </c>
      <c r="R31" s="9">
        <v>156.79340839385986</v>
      </c>
      <c r="S31" s="9">
        <v>0</v>
      </c>
      <c r="T31" s="9">
        <v>0</v>
      </c>
      <c r="U31">
        <f t="shared" si="1"/>
        <v>14231.447910308838</v>
      </c>
    </row>
    <row r="32" spans="1:21" x14ac:dyDescent="0.25">
      <c r="A32" s="12">
        <v>0.60416666666666663</v>
      </c>
      <c r="B32" s="6">
        <v>10406.796980945683</v>
      </c>
      <c r="C32" s="6">
        <v>3511.4303225860594</v>
      </c>
      <c r="D32" s="6">
        <v>328.75115162000657</v>
      </c>
      <c r="E32" s="6">
        <v>777.46462649269108</v>
      </c>
      <c r="F32" s="6">
        <v>716.32544282522213</v>
      </c>
      <c r="G32" s="6">
        <v>104.37944046783448</v>
      </c>
      <c r="H32" s="6">
        <v>13.993678168487547</v>
      </c>
      <c r="I32" s="6">
        <v>0</v>
      </c>
      <c r="J32" s="6">
        <f t="shared" si="0"/>
        <v>15859.141643105982</v>
      </c>
      <c r="L32" s="12">
        <v>0.60416666666666663</v>
      </c>
      <c r="M32" s="9">
        <v>7603.9255056381226</v>
      </c>
      <c r="N32" s="9">
        <v>3277.1491899490356</v>
      </c>
      <c r="O32" s="9">
        <v>0</v>
      </c>
      <c r="P32" s="9">
        <v>0</v>
      </c>
      <c r="Q32" s="9">
        <v>1836.1277437210083</v>
      </c>
      <c r="R32" s="9">
        <v>165.97605037689209</v>
      </c>
      <c r="S32" s="9">
        <v>0</v>
      </c>
      <c r="T32" s="9">
        <v>0</v>
      </c>
      <c r="U32">
        <f t="shared" si="1"/>
        <v>12883.178489685059</v>
      </c>
    </row>
    <row r="33" spans="1:21" x14ac:dyDescent="0.25">
      <c r="A33" s="12">
        <v>0.625</v>
      </c>
      <c r="B33" s="6">
        <v>9253.7447895064361</v>
      </c>
      <c r="C33" s="6">
        <v>3418.5920456756594</v>
      </c>
      <c r="D33" s="6">
        <v>267.1712980187416</v>
      </c>
      <c r="E33" s="6">
        <v>686.65407985687261</v>
      </c>
      <c r="F33" s="6">
        <v>549.0368778536797</v>
      </c>
      <c r="G33" s="6">
        <v>104.57522249336242</v>
      </c>
      <c r="H33" s="6">
        <v>35.546698983192442</v>
      </c>
      <c r="I33" s="6">
        <v>0</v>
      </c>
      <c r="J33" s="6">
        <f t="shared" si="0"/>
        <v>14315.321012387945</v>
      </c>
      <c r="L33" s="12">
        <v>0.625</v>
      </c>
      <c r="M33" s="9">
        <v>6707.6714649200439</v>
      </c>
      <c r="N33" s="9">
        <v>3153.0288419723511</v>
      </c>
      <c r="O33" s="9">
        <v>0</v>
      </c>
      <c r="P33" s="9">
        <v>0</v>
      </c>
      <c r="Q33" s="9">
        <v>1805.1270580291748</v>
      </c>
      <c r="R33" s="9">
        <v>174.83056735992432</v>
      </c>
      <c r="S33" s="9">
        <v>0</v>
      </c>
      <c r="T33" s="9">
        <v>0</v>
      </c>
      <c r="U33">
        <f t="shared" si="1"/>
        <v>11840.657932281494</v>
      </c>
    </row>
    <row r="34" spans="1:21" x14ac:dyDescent="0.25">
      <c r="A34" s="12">
        <v>0.64583333333333337</v>
      </c>
      <c r="B34" s="6">
        <v>7879.3838023169519</v>
      </c>
      <c r="C34" s="6">
        <v>3302.644808633137</v>
      </c>
      <c r="D34" s="6">
        <v>224.76373239459991</v>
      </c>
      <c r="E34" s="6">
        <v>646.02216675624857</v>
      </c>
      <c r="F34" s="6">
        <v>476.39010561285022</v>
      </c>
      <c r="G34" s="6">
        <v>95.173310348510739</v>
      </c>
      <c r="H34" s="6">
        <v>72.73269406127929</v>
      </c>
      <c r="I34" s="6">
        <v>0</v>
      </c>
      <c r="J34" s="6">
        <f t="shared" si="0"/>
        <v>12697.110620123578</v>
      </c>
      <c r="L34" s="12">
        <v>0.64583333333333337</v>
      </c>
      <c r="M34" s="9">
        <v>6025.4100484848022</v>
      </c>
      <c r="N34" s="9">
        <v>3029.2157764434814</v>
      </c>
      <c r="O34" s="9">
        <v>0</v>
      </c>
      <c r="P34" s="9">
        <v>0</v>
      </c>
      <c r="Q34" s="9">
        <v>1768.4224729537964</v>
      </c>
      <c r="R34" s="9">
        <v>182.41649341583252</v>
      </c>
      <c r="S34" s="9">
        <v>0</v>
      </c>
      <c r="T34" s="9">
        <v>0</v>
      </c>
      <c r="U34">
        <f t="shared" si="1"/>
        <v>11005.464791297913</v>
      </c>
    </row>
    <row r="35" spans="1:21" x14ac:dyDescent="0.25">
      <c r="A35" s="12">
        <v>0.66666666666666663</v>
      </c>
      <c r="B35" s="6">
        <v>6415.973331032943</v>
      </c>
      <c r="C35" s="6">
        <v>3133.6238700303074</v>
      </c>
      <c r="D35" s="6">
        <v>203.73178414640427</v>
      </c>
      <c r="E35" s="6">
        <v>644.91292572269447</v>
      </c>
      <c r="F35" s="6">
        <v>455.40505248861314</v>
      </c>
      <c r="G35" s="6">
        <v>80.792399356269826</v>
      </c>
      <c r="H35" s="6">
        <v>122.01565207099915</v>
      </c>
      <c r="I35" s="6">
        <v>0</v>
      </c>
      <c r="J35" s="6">
        <f t="shared" si="0"/>
        <v>11056.45501484823</v>
      </c>
      <c r="L35" s="12">
        <v>0.66666666666666663</v>
      </c>
      <c r="M35" s="9">
        <v>5500.1530408859253</v>
      </c>
      <c r="N35" s="9">
        <v>2885.6132020950317</v>
      </c>
      <c r="O35" s="9">
        <v>0</v>
      </c>
      <c r="P35" s="9">
        <v>0</v>
      </c>
      <c r="Q35" s="9">
        <v>1718.0354785919189</v>
      </c>
      <c r="R35" s="9">
        <v>187.88211536407471</v>
      </c>
      <c r="S35" s="9">
        <v>0</v>
      </c>
      <c r="T35" s="9">
        <v>0</v>
      </c>
      <c r="U35">
        <f t="shared" si="1"/>
        <v>10291.683836936951</v>
      </c>
    </row>
    <row r="36" spans="1:21" x14ac:dyDescent="0.25">
      <c r="A36" s="12">
        <v>0.6875</v>
      </c>
      <c r="B36" s="6">
        <v>5042.1511090261465</v>
      </c>
      <c r="C36" s="6">
        <v>2874.3699173254963</v>
      </c>
      <c r="D36" s="6">
        <v>193.25687585115435</v>
      </c>
      <c r="E36" s="6">
        <v>654.14018258485805</v>
      </c>
      <c r="F36" s="6">
        <v>437.18402282657621</v>
      </c>
      <c r="G36" s="6">
        <v>68.842793222808837</v>
      </c>
      <c r="H36" s="6">
        <v>169.97329651641849</v>
      </c>
      <c r="I36" s="6">
        <v>0</v>
      </c>
      <c r="J36" s="6">
        <f t="shared" si="0"/>
        <v>9439.9181973534596</v>
      </c>
      <c r="L36" s="12">
        <v>0.6875</v>
      </c>
      <c r="M36" s="9">
        <v>5081.2935352325439</v>
      </c>
      <c r="N36" s="9">
        <v>2708.6970777511597</v>
      </c>
      <c r="O36" s="9">
        <v>0</v>
      </c>
      <c r="P36" s="9">
        <v>0</v>
      </c>
      <c r="Q36" s="9">
        <v>1647.2635164260864</v>
      </c>
      <c r="R36" s="9">
        <v>190.1932487487793</v>
      </c>
      <c r="S36" s="9">
        <v>0</v>
      </c>
      <c r="T36" s="9">
        <v>0</v>
      </c>
      <c r="U36">
        <f t="shared" si="1"/>
        <v>9627.4473781585693</v>
      </c>
    </row>
    <row r="37" spans="1:21" x14ac:dyDescent="0.25">
      <c r="A37" s="12">
        <v>0.70833333333333337</v>
      </c>
      <c r="B37" s="6">
        <v>3884.8718897738454</v>
      </c>
      <c r="C37" s="6">
        <v>2505.9328478225707</v>
      </c>
      <c r="D37" s="6">
        <v>178.60430905723575</v>
      </c>
      <c r="E37" s="6">
        <v>639.92346164426817</v>
      </c>
      <c r="F37" s="6">
        <v>393.66658890886305</v>
      </c>
      <c r="G37" s="6">
        <v>68.128818032741535</v>
      </c>
      <c r="H37" s="6">
        <v>198.44569883232117</v>
      </c>
      <c r="I37" s="6">
        <v>0</v>
      </c>
      <c r="J37" s="6">
        <f t="shared" si="0"/>
        <v>7869.5736140718454</v>
      </c>
      <c r="L37" s="12">
        <v>0.70833333333333337</v>
      </c>
      <c r="M37" s="9">
        <v>4714.1381578445435</v>
      </c>
      <c r="N37" s="9">
        <v>2489.7695198059082</v>
      </c>
      <c r="O37" s="9">
        <v>0</v>
      </c>
      <c r="P37" s="9">
        <v>0</v>
      </c>
      <c r="Q37" s="9">
        <v>1549.2966861724854</v>
      </c>
      <c r="R37" s="9">
        <v>187.9306468963623</v>
      </c>
      <c r="S37" s="9">
        <v>0</v>
      </c>
      <c r="T37" s="9">
        <v>0</v>
      </c>
      <c r="U37">
        <f t="shared" si="1"/>
        <v>8941.1350107192993</v>
      </c>
    </row>
    <row r="38" spans="1:21" x14ac:dyDescent="0.25">
      <c r="A38" s="12">
        <v>0.72916666666666663</v>
      </c>
      <c r="B38" s="6">
        <v>2980.9225856247899</v>
      </c>
      <c r="C38" s="6">
        <v>2052.1607967922205</v>
      </c>
      <c r="D38" s="6">
        <v>151.73730684785846</v>
      </c>
      <c r="E38" s="6">
        <v>579.75246068582533</v>
      </c>
      <c r="F38" s="6">
        <v>324.94300360183718</v>
      </c>
      <c r="G38" s="6">
        <v>84.36403131752013</v>
      </c>
      <c r="H38" s="6">
        <v>195.47345799255373</v>
      </c>
      <c r="I38" s="6">
        <v>0</v>
      </c>
      <c r="J38" s="6">
        <f t="shared" si="0"/>
        <v>6369.3536428626048</v>
      </c>
      <c r="L38" s="12">
        <v>0.72916666666666663</v>
      </c>
      <c r="M38" s="9">
        <v>4337.4276161193848</v>
      </c>
      <c r="N38" s="9">
        <v>2224.1166896820068</v>
      </c>
      <c r="O38" s="9">
        <v>0</v>
      </c>
      <c r="P38" s="9">
        <v>0</v>
      </c>
      <c r="Q38" s="9">
        <v>1418.0983695983887</v>
      </c>
      <c r="R38" s="9">
        <v>179.59249305725098</v>
      </c>
      <c r="S38" s="9">
        <v>0</v>
      </c>
      <c r="T38" s="9">
        <v>0</v>
      </c>
      <c r="U38">
        <f t="shared" si="1"/>
        <v>8159.2351684570313</v>
      </c>
    </row>
    <row r="39" spans="1:21" x14ac:dyDescent="0.25">
      <c r="A39" s="12">
        <v>0.75</v>
      </c>
      <c r="B39" s="6">
        <v>2299.9333736082076</v>
      </c>
      <c r="C39" s="6">
        <v>1576.8539059659001</v>
      </c>
      <c r="D39" s="6">
        <v>114.9547148013115</v>
      </c>
      <c r="E39" s="6">
        <v>473.54457237920764</v>
      </c>
      <c r="F39" s="6">
        <v>247.71908479862211</v>
      </c>
      <c r="G39" s="6">
        <v>114.14779405641556</v>
      </c>
      <c r="H39" s="6">
        <v>163.18019845390319</v>
      </c>
      <c r="I39" s="6">
        <v>0</v>
      </c>
      <c r="J39" s="6">
        <f t="shared" si="0"/>
        <v>4990.3336440635676</v>
      </c>
      <c r="L39" s="12">
        <v>0.75</v>
      </c>
      <c r="M39" s="9">
        <v>3899.050877571106</v>
      </c>
      <c r="N39" s="9">
        <v>1915.2133684158325</v>
      </c>
      <c r="O39" s="9">
        <v>0</v>
      </c>
      <c r="P39" s="9">
        <v>0</v>
      </c>
      <c r="Q39" s="9">
        <v>1252.9279508590698</v>
      </c>
      <c r="R39" s="9">
        <v>164.51033592224121</v>
      </c>
      <c r="S39" s="9">
        <v>0</v>
      </c>
      <c r="T39" s="9">
        <v>0</v>
      </c>
      <c r="U39">
        <f t="shared" si="1"/>
        <v>7231.7025327682495</v>
      </c>
    </row>
    <row r="40" spans="1:21" x14ac:dyDescent="0.25">
      <c r="A40" s="12">
        <v>0.77083333333333337</v>
      </c>
      <c r="B40" s="6">
        <v>1786.6990298919677</v>
      </c>
      <c r="C40" s="6">
        <v>1151.8328429671287</v>
      </c>
      <c r="D40" s="6">
        <v>76.645696743679053</v>
      </c>
      <c r="E40" s="6">
        <v>343.4499366547584</v>
      </c>
      <c r="F40" s="6">
        <v>178.0857256272316</v>
      </c>
      <c r="G40" s="6">
        <v>143.45966392669675</v>
      </c>
      <c r="H40" s="6">
        <v>115.71868054962158</v>
      </c>
      <c r="I40" s="6">
        <v>0</v>
      </c>
      <c r="J40" s="6">
        <f t="shared" si="0"/>
        <v>3795.8915763610835</v>
      </c>
      <c r="L40" s="12">
        <v>0.77083333333333337</v>
      </c>
      <c r="M40" s="9">
        <v>3382.4765243530273</v>
      </c>
      <c r="N40" s="9">
        <v>1581.0413408279419</v>
      </c>
      <c r="O40" s="9">
        <v>0</v>
      </c>
      <c r="P40" s="9">
        <v>0</v>
      </c>
      <c r="Q40" s="9">
        <v>1063.6766366958618</v>
      </c>
      <c r="R40" s="9">
        <v>143.85537433624268</v>
      </c>
      <c r="S40" s="9">
        <v>0</v>
      </c>
      <c r="T40" s="9">
        <v>0</v>
      </c>
      <c r="U40">
        <f t="shared" si="1"/>
        <v>6171.0498762130737</v>
      </c>
    </row>
    <row r="41" spans="1:21" x14ac:dyDescent="0.25">
      <c r="A41" s="12">
        <v>0.79166666666666663</v>
      </c>
      <c r="B41" s="6">
        <v>1392.0534780272485</v>
      </c>
      <c r="C41" s="6">
        <v>822.65939264850613</v>
      </c>
      <c r="D41" s="6">
        <v>44.655527974033362</v>
      </c>
      <c r="E41" s="6">
        <v>221.51764169158932</v>
      </c>
      <c r="F41" s="6">
        <v>122.63303336057663</v>
      </c>
      <c r="G41" s="6">
        <v>155.02374851856231</v>
      </c>
      <c r="H41" s="6">
        <v>69.6987009601593</v>
      </c>
      <c r="I41" s="6">
        <v>0</v>
      </c>
      <c r="J41" s="6">
        <f t="shared" si="0"/>
        <v>2828.2415231806754</v>
      </c>
      <c r="L41" s="12">
        <v>0.79166666666666663</v>
      </c>
      <c r="M41" s="9">
        <v>2820.2765045166016</v>
      </c>
      <c r="N41" s="9">
        <v>1253.900782585144</v>
      </c>
      <c r="O41" s="9">
        <v>0</v>
      </c>
      <c r="P41" s="9">
        <v>0</v>
      </c>
      <c r="Q41" s="9">
        <v>871.1528844833374</v>
      </c>
      <c r="R41" s="9">
        <v>120.75756549835205</v>
      </c>
      <c r="S41" s="9">
        <v>0</v>
      </c>
      <c r="T41" s="9">
        <v>0</v>
      </c>
      <c r="U41">
        <f t="shared" si="1"/>
        <v>5066.0877370834351</v>
      </c>
    </row>
    <row r="42" spans="1:21" x14ac:dyDescent="0.25">
      <c r="A42" s="12">
        <v>0.8125</v>
      </c>
      <c r="B42" s="6">
        <v>1086.9200749213219</v>
      </c>
      <c r="C42" s="6">
        <v>597.721639922142</v>
      </c>
      <c r="D42" s="6">
        <v>22.543092340850833</v>
      </c>
      <c r="E42" s="6">
        <v>133.23369571847911</v>
      </c>
      <c r="F42" s="6">
        <v>80.584206961345672</v>
      </c>
      <c r="G42" s="6">
        <v>140.21510869216917</v>
      </c>
      <c r="H42" s="6">
        <v>35.529528826904297</v>
      </c>
      <c r="I42" s="6">
        <v>0</v>
      </c>
      <c r="J42" s="6">
        <f t="shared" si="0"/>
        <v>2096.7473473832129</v>
      </c>
      <c r="L42" s="12">
        <v>0.8125</v>
      </c>
      <c r="M42" s="9">
        <v>2276.5895977020264</v>
      </c>
      <c r="N42" s="9">
        <v>968.77039432525635</v>
      </c>
      <c r="O42" s="9">
        <v>0</v>
      </c>
      <c r="P42" s="9">
        <v>0</v>
      </c>
      <c r="Q42" s="9">
        <v>699.124924659729</v>
      </c>
      <c r="R42" s="9">
        <v>99.035053253173828</v>
      </c>
      <c r="S42" s="9">
        <v>0</v>
      </c>
      <c r="T42" s="9">
        <v>0</v>
      </c>
      <c r="U42">
        <f t="shared" si="1"/>
        <v>4043.5199699401855</v>
      </c>
    </row>
    <row r="43" spans="1:21" x14ac:dyDescent="0.25">
      <c r="A43" s="12">
        <v>0.83333333333333337</v>
      </c>
      <c r="B43" s="6">
        <v>861.83724771327968</v>
      </c>
      <c r="C43" s="6">
        <v>460.22699040470121</v>
      </c>
      <c r="D43" s="6">
        <v>9.7226708676338234</v>
      </c>
      <c r="E43" s="6">
        <v>87.20166109685897</v>
      </c>
      <c r="F43" s="6">
        <v>49.48952133750916</v>
      </c>
      <c r="G43" s="6">
        <v>105.01909803743362</v>
      </c>
      <c r="H43" s="6">
        <v>15.201217995643617</v>
      </c>
      <c r="I43" s="6">
        <v>0</v>
      </c>
      <c r="J43" s="6">
        <f t="shared" si="0"/>
        <v>1588.6984074530601</v>
      </c>
      <c r="L43" s="12">
        <v>0.83333333333333337</v>
      </c>
      <c r="M43" s="9">
        <v>1808.3596210479736</v>
      </c>
      <c r="N43" s="9">
        <v>746.80906581878662</v>
      </c>
      <c r="O43" s="9">
        <v>0</v>
      </c>
      <c r="P43" s="9">
        <v>0</v>
      </c>
      <c r="Q43" s="9">
        <v>562.66303157806396</v>
      </c>
      <c r="R43" s="9">
        <v>81.291684150695801</v>
      </c>
      <c r="S43" s="9">
        <v>0</v>
      </c>
      <c r="T43" s="9">
        <v>0</v>
      </c>
      <c r="U43">
        <f t="shared" si="1"/>
        <v>3199.12340259552</v>
      </c>
    </row>
    <row r="44" spans="1:21" x14ac:dyDescent="0.25">
      <c r="A44" s="12">
        <v>0.85416666666666663</v>
      </c>
      <c r="B44" s="6">
        <v>713.41192278747565</v>
      </c>
      <c r="C44" s="6">
        <v>383.86390768728256</v>
      </c>
      <c r="D44" s="6">
        <v>3.5043421693801888</v>
      </c>
      <c r="E44" s="6">
        <v>75.052896770000444</v>
      </c>
      <c r="F44" s="6">
        <v>27.796861084556582</v>
      </c>
      <c r="G44" s="6">
        <v>64.606695997238162</v>
      </c>
      <c r="H44" s="6">
        <v>5.3767685737609874</v>
      </c>
      <c r="I44" s="6">
        <v>0</v>
      </c>
      <c r="J44" s="6">
        <f t="shared" si="0"/>
        <v>1273.6133950696944</v>
      </c>
      <c r="L44" s="12">
        <v>0.85416666666666663</v>
      </c>
      <c r="M44" s="9">
        <v>1436.2561140060425</v>
      </c>
      <c r="N44" s="9">
        <v>587.1116361618042</v>
      </c>
      <c r="O44" s="9">
        <v>0</v>
      </c>
      <c r="P44" s="9">
        <v>0</v>
      </c>
      <c r="Q44" s="9">
        <v>461.9416675567627</v>
      </c>
      <c r="R44" s="9">
        <v>67.860224723815918</v>
      </c>
      <c r="S44" s="9">
        <v>0</v>
      </c>
      <c r="T44" s="9">
        <v>0</v>
      </c>
      <c r="U44">
        <f t="shared" si="1"/>
        <v>2553.1696424484253</v>
      </c>
    </row>
    <row r="45" spans="1:21" x14ac:dyDescent="0.25">
      <c r="A45" s="12">
        <v>0.875</v>
      </c>
      <c r="B45" s="6">
        <v>626.19958083972938</v>
      </c>
      <c r="C45" s="6">
        <v>340.0843389813424</v>
      </c>
      <c r="D45" s="6">
        <v>1.0224207720756535</v>
      </c>
      <c r="E45" s="6">
        <v>78.854614169883718</v>
      </c>
      <c r="F45" s="6">
        <v>14.184642508029937</v>
      </c>
      <c r="G45" s="6">
        <v>32.301461475276952</v>
      </c>
      <c r="H45" s="6">
        <v>1.5336321325302125</v>
      </c>
      <c r="I45" s="6">
        <v>0</v>
      </c>
      <c r="J45" s="6">
        <f t="shared" si="0"/>
        <v>1094.1806908788683</v>
      </c>
      <c r="L45" s="12">
        <v>0.875</v>
      </c>
      <c r="M45" s="9">
        <v>1145.5830554962158</v>
      </c>
      <c r="N45" s="9">
        <v>472.71595191955566</v>
      </c>
      <c r="O45" s="9">
        <v>0</v>
      </c>
      <c r="P45" s="9">
        <v>0</v>
      </c>
      <c r="Q45" s="9">
        <v>386.02379989624023</v>
      </c>
      <c r="R45" s="9">
        <v>57.332077980041504</v>
      </c>
      <c r="S45" s="9">
        <v>0</v>
      </c>
      <c r="T45" s="9">
        <v>0</v>
      </c>
      <c r="U45">
        <f t="shared" si="1"/>
        <v>2061.6548852920532</v>
      </c>
    </row>
    <row r="46" spans="1:21" x14ac:dyDescent="0.25">
      <c r="A46" s="12">
        <v>0.89583333333333337</v>
      </c>
      <c r="B46" s="6">
        <v>566.67484805679328</v>
      </c>
      <c r="C46" s="6">
        <v>302.03398307056432</v>
      </c>
      <c r="D46" s="6">
        <v>0.23076383695602423</v>
      </c>
      <c r="E46" s="6">
        <v>81.078399734687821</v>
      </c>
      <c r="F46" s="6">
        <v>6.6902237449645989</v>
      </c>
      <c r="G46" s="6">
        <v>12.920500744628907</v>
      </c>
      <c r="H46" s="6">
        <v>0.33906766510009767</v>
      </c>
      <c r="I46" s="6">
        <v>0</v>
      </c>
      <c r="J46" s="6">
        <f t="shared" si="0"/>
        <v>969.96778685369509</v>
      </c>
      <c r="L46" s="12">
        <v>0.89583333333333337</v>
      </c>
      <c r="M46" s="9">
        <v>908.58124160766602</v>
      </c>
      <c r="N46" s="9">
        <v>383.97510242462158</v>
      </c>
      <c r="O46" s="9">
        <v>0</v>
      </c>
      <c r="P46" s="9">
        <v>0</v>
      </c>
      <c r="Q46" s="9">
        <v>322.14016914367676</v>
      </c>
      <c r="R46" s="9">
        <v>48.000103950500488</v>
      </c>
      <c r="S46" s="9">
        <v>0</v>
      </c>
      <c r="T46" s="9">
        <v>0</v>
      </c>
      <c r="U46">
        <f t="shared" si="1"/>
        <v>1662.6966171264648</v>
      </c>
    </row>
    <row r="47" spans="1:21" x14ac:dyDescent="0.25">
      <c r="A47" s="12">
        <v>0.91666666666666663</v>
      </c>
      <c r="B47" s="6">
        <v>497.82148578643796</v>
      </c>
      <c r="C47" s="6">
        <v>252.13639237585068</v>
      </c>
      <c r="D47" s="6">
        <v>3.7619639778137211E-2</v>
      </c>
      <c r="E47" s="6">
        <v>72.475228575134281</v>
      </c>
      <c r="F47" s="6">
        <v>3.0275172262191772</v>
      </c>
      <c r="G47" s="6">
        <v>4.0376564826965335</v>
      </c>
      <c r="H47" s="6">
        <v>5.4453620719909668E-2</v>
      </c>
      <c r="I47" s="6">
        <v>0</v>
      </c>
      <c r="J47" s="6">
        <f t="shared" si="0"/>
        <v>829.59035370683648</v>
      </c>
      <c r="L47" s="12">
        <v>0.91666666666666663</v>
      </c>
      <c r="M47" s="9">
        <v>704.89711761474609</v>
      </c>
      <c r="N47" s="9">
        <v>307.99652099609375</v>
      </c>
      <c r="O47" s="9">
        <v>0</v>
      </c>
      <c r="P47" s="9">
        <v>0</v>
      </c>
      <c r="Q47" s="9">
        <v>262.51263332366943</v>
      </c>
      <c r="R47" s="9">
        <v>38.950061798095703</v>
      </c>
      <c r="S47" s="9">
        <v>0</v>
      </c>
      <c r="T47" s="9">
        <v>0</v>
      </c>
      <c r="U47">
        <f t="shared" si="1"/>
        <v>1314.356333732605</v>
      </c>
    </row>
    <row r="48" spans="1:21" x14ac:dyDescent="0.25">
      <c r="A48" s="12">
        <v>0.9375</v>
      </c>
      <c r="B48" s="6">
        <v>401.64977798681258</v>
      </c>
      <c r="C48" s="6">
        <v>188.72187426490785</v>
      </c>
      <c r="D48" s="6">
        <v>3.9255123138427737E-3</v>
      </c>
      <c r="E48" s="6">
        <v>54.146115461349488</v>
      </c>
      <c r="F48" s="6">
        <v>1.3546005888938903</v>
      </c>
      <c r="G48" s="6">
        <v>0.95003681945800789</v>
      </c>
      <c r="H48" s="6">
        <v>5.6391334533691419E-3</v>
      </c>
      <c r="I48" s="6">
        <v>0</v>
      </c>
      <c r="J48" s="6">
        <f t="shared" si="0"/>
        <v>646.83196976718887</v>
      </c>
      <c r="L48" s="12">
        <v>0.9375</v>
      </c>
      <c r="M48" s="9">
        <v>527.09357929229736</v>
      </c>
      <c r="N48" s="9">
        <v>239.68154335021973</v>
      </c>
      <c r="O48" s="9">
        <v>0</v>
      </c>
      <c r="P48" s="9">
        <v>0</v>
      </c>
      <c r="Q48" s="9">
        <v>205.26276969909668</v>
      </c>
      <c r="R48" s="9">
        <v>30.183429718017578</v>
      </c>
      <c r="S48" s="9">
        <v>0</v>
      </c>
      <c r="T48" s="9">
        <v>0</v>
      </c>
      <c r="U48">
        <f t="shared" si="1"/>
        <v>1002.2213220596313</v>
      </c>
    </row>
    <row r="49" spans="1:21" x14ac:dyDescent="0.25">
      <c r="A49" s="12">
        <v>0.95833333333333337</v>
      </c>
      <c r="B49" s="6">
        <v>287.59886332788466</v>
      </c>
      <c r="C49" s="6">
        <v>123.17648468599319</v>
      </c>
      <c r="D49" s="6">
        <v>1.9627561569213867E-4</v>
      </c>
      <c r="E49" s="6">
        <v>33.294287924385074</v>
      </c>
      <c r="F49" s="6">
        <v>0.59115239820480348</v>
      </c>
      <c r="G49" s="6">
        <v>0.15833946990966799</v>
      </c>
      <c r="H49" s="6">
        <v>2.8195667266845705E-4</v>
      </c>
      <c r="I49" s="6">
        <v>0</v>
      </c>
      <c r="J49" s="6">
        <f t="shared" si="0"/>
        <v>444.81960603866577</v>
      </c>
      <c r="L49" s="12">
        <v>0.95833333333333337</v>
      </c>
      <c r="M49" s="9">
        <v>375.2907247543335</v>
      </c>
      <c r="N49" s="9">
        <v>178.23134803771973</v>
      </c>
      <c r="O49" s="9">
        <v>0</v>
      </c>
      <c r="P49" s="9">
        <v>0</v>
      </c>
      <c r="Q49" s="9">
        <v>151.83260726928711</v>
      </c>
      <c r="R49" s="9">
        <v>22.12393856048584</v>
      </c>
      <c r="S49" s="9">
        <v>0</v>
      </c>
      <c r="T49" s="9">
        <v>0</v>
      </c>
      <c r="U49">
        <f t="shared" si="1"/>
        <v>727.47861862182617</v>
      </c>
    </row>
    <row r="50" spans="1:21" x14ac:dyDescent="0.25">
      <c r="A50" s="12">
        <v>0.97916666666666663</v>
      </c>
      <c r="B50" s="6">
        <v>179.89403793172838</v>
      </c>
      <c r="C50" s="6">
        <v>69.04620360059738</v>
      </c>
      <c r="D50" s="6">
        <v>0</v>
      </c>
      <c r="E50" s="6">
        <v>16.644976878929139</v>
      </c>
      <c r="F50" s="6">
        <v>0.23808880996704102</v>
      </c>
      <c r="G50" s="6">
        <v>1.6667312622070312E-2</v>
      </c>
      <c r="H50" s="6">
        <v>0</v>
      </c>
      <c r="I50" s="6">
        <v>0</v>
      </c>
      <c r="J50" s="6">
        <f t="shared" si="0"/>
        <v>265.83997453384404</v>
      </c>
      <c r="L50" s="12">
        <v>0.97916666666666663</v>
      </c>
      <c r="M50" s="9">
        <v>251.02989673614502</v>
      </c>
      <c r="N50" s="9">
        <v>124.38515377044678</v>
      </c>
      <c r="O50" s="9">
        <v>0</v>
      </c>
      <c r="P50" s="9">
        <v>0</v>
      </c>
      <c r="Q50" s="9">
        <v>104.60184097290039</v>
      </c>
      <c r="R50" s="9">
        <v>15.170628547668457</v>
      </c>
      <c r="S50" s="9">
        <v>0</v>
      </c>
      <c r="T50" s="9">
        <v>0</v>
      </c>
      <c r="U50">
        <f t="shared" si="1"/>
        <v>495.18752002716064</v>
      </c>
    </row>
    <row r="51" spans="1:21" x14ac:dyDescent="0.25">
      <c r="A51" s="12">
        <v>1</v>
      </c>
      <c r="B51" s="6">
        <v>97.919329717636117</v>
      </c>
      <c r="C51" s="6">
        <v>32.928740052509305</v>
      </c>
      <c r="D51" s="6">
        <v>0</v>
      </c>
      <c r="E51" s="6">
        <v>6.6579035430908196</v>
      </c>
      <c r="F51" s="6">
        <v>8.3042868614196769E-2</v>
      </c>
      <c r="G51" s="6">
        <v>8.3336563110351567E-4</v>
      </c>
      <c r="H51" s="6">
        <v>0</v>
      </c>
      <c r="I51" s="6">
        <v>0</v>
      </c>
      <c r="J51" s="6">
        <f t="shared" si="0"/>
        <v>137.58984954748155</v>
      </c>
      <c r="L51" s="12">
        <v>1</v>
      </c>
      <c r="M51" s="9">
        <v>154.90142822265625</v>
      </c>
      <c r="N51" s="9">
        <v>79.613693237304688</v>
      </c>
      <c r="O51" s="9">
        <v>0</v>
      </c>
      <c r="P51" s="9">
        <v>0</v>
      </c>
      <c r="Q51" s="9">
        <v>65.824193000793457</v>
      </c>
      <c r="R51" s="9">
        <v>9.5676326751708984</v>
      </c>
      <c r="S51" s="9">
        <v>0</v>
      </c>
      <c r="T51" s="9">
        <v>0</v>
      </c>
      <c r="U51">
        <f t="shared" si="1"/>
        <v>309.90694713592529</v>
      </c>
    </row>
    <row r="52" spans="1:21" x14ac:dyDescent="0.25">
      <c r="A52" s="12">
        <v>1.0208333333333333</v>
      </c>
      <c r="B52" s="6">
        <v>46.536811591148378</v>
      </c>
      <c r="C52" s="6">
        <v>13.243684243106841</v>
      </c>
      <c r="D52" s="6">
        <v>0</v>
      </c>
      <c r="E52" s="6">
        <v>2.0805948572158814</v>
      </c>
      <c r="F52" s="6">
        <v>2.3743114471435546E-2</v>
      </c>
      <c r="G52" s="6">
        <v>0</v>
      </c>
      <c r="H52" s="6">
        <v>0</v>
      </c>
      <c r="I52" s="6">
        <v>0</v>
      </c>
      <c r="J52" s="6">
        <f t="shared" si="0"/>
        <v>61.884833805942534</v>
      </c>
      <c r="L52" s="12">
        <v>1.0208333333333333</v>
      </c>
      <c r="M52" s="9">
        <v>86.160220146179199</v>
      </c>
      <c r="N52" s="9">
        <v>45.533007621765137</v>
      </c>
      <c r="O52" s="9">
        <v>0</v>
      </c>
      <c r="P52" s="9">
        <v>0</v>
      </c>
      <c r="Q52" s="9">
        <v>36.990995407104492</v>
      </c>
      <c r="R52" s="9">
        <v>5.4238119125366211</v>
      </c>
      <c r="S52" s="9">
        <v>0</v>
      </c>
      <c r="T52" s="9">
        <v>0</v>
      </c>
      <c r="U52">
        <f t="shared" si="1"/>
        <v>174.10803508758545</v>
      </c>
    </row>
    <row r="53" spans="1:21" x14ac:dyDescent="0.25">
      <c r="A53" s="12">
        <v>4.1666666666666664E-2</v>
      </c>
      <c r="B53" s="6">
        <v>19.425108483886717</v>
      </c>
      <c r="C53" s="6">
        <v>4.434838808059693</v>
      </c>
      <c r="D53" s="6">
        <v>0</v>
      </c>
      <c r="E53" s="6">
        <v>0.48955173110961914</v>
      </c>
      <c r="F53" s="6">
        <v>5.2778635025024405E-3</v>
      </c>
      <c r="G53" s="6">
        <v>0</v>
      </c>
      <c r="H53" s="6">
        <v>0</v>
      </c>
      <c r="I53" s="6">
        <v>0</v>
      </c>
      <c r="J53" s="6">
        <f t="shared" si="0"/>
        <v>24.354776886558533</v>
      </c>
      <c r="L53" s="12">
        <v>4.1666666666666664E-2</v>
      </c>
      <c r="M53" s="9">
        <v>42.087045669555664</v>
      </c>
      <c r="N53" s="9">
        <v>22.662861824035645</v>
      </c>
      <c r="O53" s="9">
        <v>0</v>
      </c>
      <c r="P53" s="9">
        <v>0</v>
      </c>
      <c r="Q53" s="9">
        <v>18.122979164123535</v>
      </c>
      <c r="R53" s="9">
        <v>2.6924171447753906</v>
      </c>
      <c r="S53" s="9">
        <v>0</v>
      </c>
      <c r="T53" s="9">
        <v>0</v>
      </c>
      <c r="U53">
        <f t="shared" si="1"/>
        <v>85.565303802490234</v>
      </c>
    </row>
    <row r="54" spans="1:21" x14ac:dyDescent="0.25">
      <c r="A54" s="12">
        <v>6.25E-2</v>
      </c>
      <c r="B54" s="6">
        <v>7.1330054206848139</v>
      </c>
      <c r="C54" s="6">
        <v>1.2097619132995605</v>
      </c>
      <c r="D54" s="6">
        <v>0</v>
      </c>
      <c r="E54" s="6">
        <v>8.1591955184936518E-2</v>
      </c>
      <c r="F54" s="6">
        <v>8.5121154785156245E-4</v>
      </c>
      <c r="G54" s="6">
        <v>0</v>
      </c>
      <c r="H54" s="6">
        <v>0</v>
      </c>
      <c r="I54" s="6">
        <v>0</v>
      </c>
      <c r="J54" s="6">
        <f t="shared" si="0"/>
        <v>8.4252105007171636</v>
      </c>
      <c r="L54" s="12">
        <v>6.25E-2</v>
      </c>
      <c r="M54" s="9">
        <v>17.565097808837891</v>
      </c>
      <c r="N54" s="9">
        <v>9.5643730163574219</v>
      </c>
      <c r="O54" s="9">
        <v>0</v>
      </c>
      <c r="P54" s="9">
        <v>0</v>
      </c>
      <c r="Q54" s="9">
        <v>7.5503597259521484</v>
      </c>
      <c r="R54" s="9">
        <v>1.1387529373168945</v>
      </c>
      <c r="S54" s="9">
        <v>0</v>
      </c>
      <c r="T54" s="9">
        <v>0</v>
      </c>
      <c r="U54">
        <f t="shared" si="1"/>
        <v>35.818583488464355</v>
      </c>
    </row>
    <row r="55" spans="1:21" x14ac:dyDescent="0.25">
      <c r="A55" s="12">
        <v>8.3333333333333329E-2</v>
      </c>
      <c r="B55" s="6">
        <v>2.2783664628982541</v>
      </c>
      <c r="C55" s="6">
        <v>0.25893706226348878</v>
      </c>
      <c r="D55" s="6">
        <v>0</v>
      </c>
      <c r="E55" s="6">
        <v>8.5886268615722652E-3</v>
      </c>
      <c r="F55" s="6">
        <v>8.8348388671874973E-5</v>
      </c>
      <c r="G55" s="6">
        <v>0</v>
      </c>
      <c r="H55" s="6">
        <v>0</v>
      </c>
      <c r="I55" s="6">
        <v>0</v>
      </c>
      <c r="J55" s="6">
        <f t="shared" si="0"/>
        <v>2.5459805004119875</v>
      </c>
      <c r="L55" s="12">
        <v>8.3333333333333329E-2</v>
      </c>
      <c r="M55" s="9">
        <v>6.0829200744628906</v>
      </c>
      <c r="N55" s="9">
        <v>3.3309230804443359</v>
      </c>
      <c r="O55" s="9">
        <v>0</v>
      </c>
      <c r="P55" s="9">
        <v>0</v>
      </c>
      <c r="Q55" s="9">
        <v>2.6037635803222656</v>
      </c>
      <c r="R55" s="9">
        <v>0.39866352081298828</v>
      </c>
      <c r="S55" s="9">
        <v>0</v>
      </c>
      <c r="T55" s="9">
        <v>0</v>
      </c>
      <c r="U55">
        <f t="shared" si="1"/>
        <v>12.41627025604248</v>
      </c>
    </row>
    <row r="56" spans="1:21" x14ac:dyDescent="0.25">
      <c r="A56" s="12">
        <v>0.10416666666666667</v>
      </c>
      <c r="B56" s="6">
        <v>0.61377573223114013</v>
      </c>
      <c r="C56" s="6">
        <v>4.0766753005981447E-2</v>
      </c>
      <c r="D56" s="6">
        <v>0</v>
      </c>
      <c r="E56" s="6">
        <v>4.2943134307861329E-4</v>
      </c>
      <c r="F56" s="6">
        <v>4.4174194335937497E-6</v>
      </c>
      <c r="G56" s="6">
        <v>0</v>
      </c>
      <c r="H56" s="6">
        <v>0</v>
      </c>
      <c r="I56" s="6">
        <v>0</v>
      </c>
      <c r="J56" s="6">
        <f t="shared" si="0"/>
        <v>0.65497633399963373</v>
      </c>
      <c r="L56" s="12">
        <v>0.10416666666666667</v>
      </c>
      <c r="M56" s="9">
        <v>1.6896886825561523</v>
      </c>
      <c r="N56" s="9">
        <v>0.9272308349609375</v>
      </c>
      <c r="O56" s="9">
        <v>0</v>
      </c>
      <c r="P56" s="9">
        <v>0</v>
      </c>
      <c r="Q56" s="9">
        <v>0.71968269348144531</v>
      </c>
      <c r="R56" s="9">
        <v>0.11172199249267578</v>
      </c>
      <c r="S56" s="9">
        <v>0</v>
      </c>
      <c r="T56" s="9">
        <v>0</v>
      </c>
      <c r="U56">
        <f t="shared" si="1"/>
        <v>3.4483242034912109</v>
      </c>
    </row>
    <row r="57" spans="1:21" x14ac:dyDescent="0.25">
      <c r="A57" s="12">
        <v>0.125</v>
      </c>
      <c r="B57" s="6">
        <v>0.1302007409095764</v>
      </c>
      <c r="C57" s="6">
        <v>4.1850433349609377E-3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f t="shared" si="0"/>
        <v>0.13438578424453734</v>
      </c>
      <c r="L57" s="12">
        <v>0.125</v>
      </c>
      <c r="M57" s="9">
        <v>0.3550262451171875</v>
      </c>
      <c r="N57" s="9">
        <v>0.19487857818603516</v>
      </c>
      <c r="O57" s="9">
        <v>0</v>
      </c>
      <c r="P57" s="9">
        <v>0</v>
      </c>
      <c r="Q57" s="9">
        <v>0.15053176879882813</v>
      </c>
      <c r="R57" s="9">
        <v>2.3641586303710938E-2</v>
      </c>
      <c r="S57" s="9">
        <v>0</v>
      </c>
      <c r="T57" s="9">
        <v>0</v>
      </c>
      <c r="U57">
        <f t="shared" si="1"/>
        <v>0.72407817840576172</v>
      </c>
    </row>
    <row r="58" spans="1:21" ht="15.75" thickBot="1" x14ac:dyDescent="0.3">
      <c r="A58" s="13" t="s">
        <v>6</v>
      </c>
      <c r="B58" s="7">
        <v>0</v>
      </c>
      <c r="C58" s="7">
        <v>0</v>
      </c>
      <c r="D58" s="7">
        <v>0</v>
      </c>
      <c r="E58" s="7">
        <v>0</v>
      </c>
      <c r="F58" s="7">
        <v>0</v>
      </c>
      <c r="G58" s="7">
        <v>0</v>
      </c>
      <c r="H58" s="7">
        <v>0</v>
      </c>
      <c r="I58" s="7">
        <v>0</v>
      </c>
      <c r="J58" s="7">
        <f t="shared" si="0"/>
        <v>0</v>
      </c>
      <c r="L58" s="13" t="s">
        <v>6</v>
      </c>
      <c r="M58" s="10">
        <v>0</v>
      </c>
      <c r="N58" s="10">
        <v>0</v>
      </c>
      <c r="O58" s="10">
        <v>0</v>
      </c>
      <c r="P58" s="10">
        <v>0</v>
      </c>
      <c r="Q58" s="10">
        <v>0</v>
      </c>
      <c r="R58" s="10">
        <v>0</v>
      </c>
      <c r="S58" s="10">
        <v>0</v>
      </c>
      <c r="T58" s="10">
        <v>0</v>
      </c>
      <c r="U58" s="1">
        <f t="shared" si="1"/>
        <v>0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58"/>
  <sheetViews>
    <sheetView workbookViewId="0">
      <selection activeCell="A3" sqref="A3"/>
    </sheetView>
  </sheetViews>
  <sheetFormatPr defaultRowHeight="15" x14ac:dyDescent="0.25"/>
  <cols>
    <col min="1" max="1" width="12.7109375" customWidth="1" collapsed="1"/>
    <col min="2" max="10" width="10.7109375" customWidth="1" collapsed="1"/>
    <col min="11" max="11" width="6.42578125" customWidth="1" collapsed="1"/>
    <col min="12" max="12" width="12.7109375" customWidth="1" collapsed="1"/>
    <col min="13" max="21" width="10.7109375" customWidth="1" collapsed="1"/>
  </cols>
  <sheetData>
    <row r="1" spans="1:26" x14ac:dyDescent="0.25">
      <c r="A1" t="s">
        <v>32</v>
      </c>
    </row>
    <row r="2" spans="1:26" x14ac:dyDescent="0.25">
      <c r="A2" t="s">
        <v>60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r="6" spans="1:26" ht="15.75" thickBot="1" x14ac:dyDescent="0.3">
      <c r="A6" s="3" t="s">
        <v>52</v>
      </c>
      <c r="B6" s="1"/>
      <c r="C6" s="1"/>
      <c r="D6" s="1"/>
      <c r="E6" s="1"/>
      <c r="F6" s="1"/>
      <c r="G6" s="1"/>
      <c r="H6" s="1"/>
      <c r="I6" s="1"/>
      <c r="J6" s="1"/>
      <c r="L6" s="3" t="s">
        <v>27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>
        <v>0</v>
      </c>
      <c r="C8" s="6">
        <v>0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f>SUM(B8:I8)</f>
        <v>0</v>
      </c>
      <c r="L8" t="s">
        <v>5</v>
      </c>
      <c r="M8" s="9">
        <v>6</v>
      </c>
      <c r="N8" s="9">
        <v>0</v>
      </c>
      <c r="O8" s="9">
        <v>0</v>
      </c>
      <c r="P8" s="9">
        <v>0</v>
      </c>
      <c r="Q8" s="9">
        <v>7</v>
      </c>
      <c r="R8" s="9">
        <v>0</v>
      </c>
      <c r="S8" s="9">
        <v>0</v>
      </c>
      <c r="T8" s="9">
        <v>0</v>
      </c>
      <c r="U8">
        <f>SUM(M8:T8)</f>
        <v>13</v>
      </c>
      <c r="W8" s="5"/>
      <c r="X8" s="16"/>
      <c r="Y8" s="16"/>
      <c r="Z8" s="5"/>
    </row>
    <row r="9" spans="1:26" x14ac:dyDescent="0.25">
      <c r="A9" s="12">
        <v>0.125</v>
      </c>
      <c r="B9" s="6">
        <v>1.901590347290039E-4</v>
      </c>
      <c r="C9" s="6">
        <v>3.4793657879829407</v>
      </c>
      <c r="D9" s="6">
        <v>0</v>
      </c>
      <c r="E9" s="6">
        <v>1.8257994615554811</v>
      </c>
      <c r="F9" s="6">
        <v>5.2732618747711193</v>
      </c>
      <c r="G9" s="6">
        <v>15.069812956142426</v>
      </c>
      <c r="H9" s="6">
        <v>51.36231292009353</v>
      </c>
      <c r="I9" s="6">
        <v>0</v>
      </c>
      <c r="J9" s="6">
        <f t="shared" ref="J9:J58" si="0">SUM(B9:I9)</f>
        <v>77.01074315958023</v>
      </c>
      <c r="L9" s="12">
        <v>0.125</v>
      </c>
      <c r="M9" s="9">
        <v>8.1629114151000977</v>
      </c>
      <c r="N9" s="9">
        <v>0</v>
      </c>
      <c r="O9" s="9">
        <v>0</v>
      </c>
      <c r="P9" s="9">
        <v>0</v>
      </c>
      <c r="Q9" s="9">
        <v>16.34173583984375</v>
      </c>
      <c r="R9" s="9">
        <v>19.182957649230957</v>
      </c>
      <c r="S9" s="9">
        <v>33.325213432312012</v>
      </c>
      <c r="T9" s="9">
        <v>0</v>
      </c>
      <c r="U9">
        <f t="shared" ref="U9:U58" si="1">SUM(M9:T9)</f>
        <v>77.012818336486816</v>
      </c>
      <c r="W9" s="5"/>
      <c r="X9" s="16"/>
      <c r="Y9" s="16"/>
      <c r="Z9" s="5"/>
    </row>
    <row r="10" spans="1:26" x14ac:dyDescent="0.25">
      <c r="A10" s="12">
        <v>0.14583333333333334</v>
      </c>
      <c r="B10" s="6">
        <v>4.2490143775939931E-3</v>
      </c>
      <c r="C10" s="6">
        <v>16.821535507392888</v>
      </c>
      <c r="D10" s="6">
        <v>0</v>
      </c>
      <c r="E10" s="6">
        <v>10.456964677333831</v>
      </c>
      <c r="F10" s="6">
        <v>10.480165403747561</v>
      </c>
      <c r="G10" s="6">
        <v>65.671009490489951</v>
      </c>
      <c r="H10" s="6">
        <v>155.06110315036773</v>
      </c>
      <c r="I10" s="6">
        <v>0</v>
      </c>
      <c r="J10" s="6">
        <f t="shared" si="0"/>
        <v>258.49502724370956</v>
      </c>
      <c r="L10" s="12">
        <v>0.14583333333333334</v>
      </c>
      <c r="M10" s="9">
        <v>10.461079597473145</v>
      </c>
      <c r="N10" s="9">
        <v>0</v>
      </c>
      <c r="O10" s="9">
        <v>0</v>
      </c>
      <c r="P10" s="9">
        <v>0</v>
      </c>
      <c r="Q10" s="9">
        <v>28.377823829650879</v>
      </c>
      <c r="R10" s="9">
        <v>81.294676780700684</v>
      </c>
      <c r="S10" s="9">
        <v>156.37322616577148</v>
      </c>
      <c r="T10" s="9">
        <v>0</v>
      </c>
      <c r="U10">
        <f t="shared" si="1"/>
        <v>276.50680637359619</v>
      </c>
      <c r="W10" s="5"/>
      <c r="X10" s="16"/>
      <c r="Y10" s="16"/>
      <c r="Z10" s="5"/>
    </row>
    <row r="11" spans="1:26" x14ac:dyDescent="0.25">
      <c r="A11" s="12">
        <v>0.16666666666666666</v>
      </c>
      <c r="B11" s="6">
        <v>4.5553991603851318E-2</v>
      </c>
      <c r="C11" s="6">
        <v>61.230645519161243</v>
      </c>
      <c r="D11" s="6">
        <v>0</v>
      </c>
      <c r="E11" s="6">
        <v>44.268488869190215</v>
      </c>
      <c r="F11" s="6">
        <v>19.060551490497595</v>
      </c>
      <c r="G11" s="6">
        <v>226.75170460023878</v>
      </c>
      <c r="H11" s="6">
        <v>481.85329555282595</v>
      </c>
      <c r="I11" s="6">
        <v>0</v>
      </c>
      <c r="J11" s="6">
        <f t="shared" si="0"/>
        <v>833.2102400235176</v>
      </c>
      <c r="L11" s="12">
        <v>0.16666666666666666</v>
      </c>
      <c r="M11" s="9">
        <v>16.492266654968262</v>
      </c>
      <c r="N11" s="9">
        <v>0</v>
      </c>
      <c r="O11" s="9">
        <v>0</v>
      </c>
      <c r="P11" s="9">
        <v>0</v>
      </c>
      <c r="Q11" s="9">
        <v>59.456119537353516</v>
      </c>
      <c r="R11" s="9">
        <v>282.55599880218506</v>
      </c>
      <c r="S11" s="9">
        <v>589.30221080780029</v>
      </c>
      <c r="T11" s="9">
        <v>0</v>
      </c>
      <c r="U11">
        <f t="shared" si="1"/>
        <v>947.80659580230713</v>
      </c>
      <c r="W11" s="5"/>
      <c r="X11" s="16"/>
      <c r="Y11" s="16"/>
      <c r="Z11" s="5"/>
    </row>
    <row r="12" spans="1:26" x14ac:dyDescent="0.25">
      <c r="A12" s="12">
        <v>0.1875</v>
      </c>
      <c r="B12" s="6">
        <v>0.31163172626495356</v>
      </c>
      <c r="C12" s="6">
        <v>177.04677896556859</v>
      </c>
      <c r="D12" s="6">
        <v>3.5665893554687498E-4</v>
      </c>
      <c r="E12" s="6">
        <v>146.07782728338242</v>
      </c>
      <c r="F12" s="6">
        <v>42.797776053237918</v>
      </c>
      <c r="G12" s="6">
        <v>645.08728933763496</v>
      </c>
      <c r="H12" s="6">
        <v>1482.8611081165313</v>
      </c>
      <c r="I12" s="6">
        <v>0</v>
      </c>
      <c r="J12" s="6">
        <f t="shared" si="0"/>
        <v>2494.1827681415557</v>
      </c>
      <c r="L12" s="12">
        <v>0.1875</v>
      </c>
      <c r="M12" s="9">
        <v>36.165305137634277</v>
      </c>
      <c r="N12" s="9">
        <v>0</v>
      </c>
      <c r="O12" s="9">
        <v>0</v>
      </c>
      <c r="P12" s="9">
        <v>0</v>
      </c>
      <c r="Q12" s="9">
        <v>152.23256015777588</v>
      </c>
      <c r="R12" s="9">
        <v>819.1871395111084</v>
      </c>
      <c r="S12" s="9">
        <v>1819.0978240966797</v>
      </c>
      <c r="T12" s="9">
        <v>0</v>
      </c>
      <c r="U12">
        <f t="shared" si="1"/>
        <v>2826.6828289031982</v>
      </c>
      <c r="W12" s="5"/>
      <c r="X12" s="5"/>
      <c r="Y12" s="5"/>
      <c r="Z12" s="5"/>
    </row>
    <row r="13" spans="1:26" x14ac:dyDescent="0.25">
      <c r="A13" s="12">
        <v>0.20833333333333334</v>
      </c>
      <c r="B13" s="6">
        <v>1.5263022320747373</v>
      </c>
      <c r="C13" s="6">
        <v>417.87692684669497</v>
      </c>
      <c r="D13" s="6">
        <v>7.1331787109374994E-3</v>
      </c>
      <c r="E13" s="6">
        <v>387.24004079751967</v>
      </c>
      <c r="F13" s="6">
        <v>108.03077542552948</v>
      </c>
      <c r="G13" s="6">
        <v>1527.2608655182837</v>
      </c>
      <c r="H13" s="6">
        <v>4024.1794761025426</v>
      </c>
      <c r="I13" s="6">
        <v>0</v>
      </c>
      <c r="J13" s="6">
        <f t="shared" si="0"/>
        <v>6466.1215201013565</v>
      </c>
      <c r="L13" s="12">
        <v>0.20833333333333334</v>
      </c>
      <c r="M13" s="9">
        <v>86.33367919921875</v>
      </c>
      <c r="N13" s="9">
        <v>0</v>
      </c>
      <c r="O13" s="9">
        <v>0</v>
      </c>
      <c r="P13" s="9">
        <v>0</v>
      </c>
      <c r="Q13" s="9">
        <v>379.76188278198242</v>
      </c>
      <c r="R13" s="9">
        <v>1977.8752279281616</v>
      </c>
      <c r="S13" s="9">
        <v>4631.5434465408325</v>
      </c>
      <c r="T13" s="9">
        <v>0</v>
      </c>
      <c r="U13">
        <f t="shared" si="1"/>
        <v>7075.5142364501953</v>
      </c>
    </row>
    <row r="14" spans="1:26" x14ac:dyDescent="0.25">
      <c r="A14" s="12">
        <v>0.22916666666666666</v>
      </c>
      <c r="B14" s="6">
        <v>5.6940857027053831</v>
      </c>
      <c r="C14" s="6">
        <v>821.51798045978546</v>
      </c>
      <c r="D14" s="6">
        <v>6.7765197753906228E-2</v>
      </c>
      <c r="E14" s="6">
        <v>843.18508965930926</v>
      </c>
      <c r="F14" s="6">
        <v>258.44511976614001</v>
      </c>
      <c r="G14" s="6">
        <v>3030.9715730633739</v>
      </c>
      <c r="H14" s="6">
        <v>9267.186750094319</v>
      </c>
      <c r="I14" s="6">
        <v>0</v>
      </c>
      <c r="J14" s="6">
        <f t="shared" si="0"/>
        <v>14227.068363943386</v>
      </c>
      <c r="L14" s="12">
        <v>0.22916666666666666</v>
      </c>
      <c r="M14" s="9">
        <v>186.34689712524414</v>
      </c>
      <c r="N14" s="9">
        <v>0</v>
      </c>
      <c r="O14" s="9">
        <v>0</v>
      </c>
      <c r="P14" s="9">
        <v>0</v>
      </c>
      <c r="Q14" s="9">
        <v>826.37596416473389</v>
      </c>
      <c r="R14" s="9">
        <v>3997.1271772384644</v>
      </c>
      <c r="S14" s="9">
        <v>9835.5506553649902</v>
      </c>
      <c r="T14" s="9">
        <v>0</v>
      </c>
      <c r="U14">
        <f t="shared" si="1"/>
        <v>14845.400693893433</v>
      </c>
    </row>
    <row r="15" spans="1:26" x14ac:dyDescent="0.25">
      <c r="A15" s="12">
        <v>0.25</v>
      </c>
      <c r="B15" s="6">
        <v>16.814610087108612</v>
      </c>
      <c r="C15" s="6">
        <v>1367.7363171528816</v>
      </c>
      <c r="D15" s="6">
        <v>0.40659118652343745</v>
      </c>
      <c r="E15" s="6">
        <v>1535.1941547759054</v>
      </c>
      <c r="F15" s="6">
        <v>543.74600094375614</v>
      </c>
      <c r="G15" s="6">
        <v>5072.573878138448</v>
      </c>
      <c r="H15" s="6">
        <v>18071.102593386175</v>
      </c>
      <c r="I15" s="6">
        <v>0</v>
      </c>
      <c r="J15" s="6">
        <f t="shared" si="0"/>
        <v>26607.574145670798</v>
      </c>
      <c r="L15" s="12">
        <v>0.25</v>
      </c>
      <c r="M15" s="9">
        <v>347.32269954681396</v>
      </c>
      <c r="N15" s="9">
        <v>0</v>
      </c>
      <c r="O15" s="9">
        <v>0</v>
      </c>
      <c r="P15" s="9">
        <v>0</v>
      </c>
      <c r="Q15" s="9">
        <v>1539.1949625015259</v>
      </c>
      <c r="R15" s="9">
        <v>6811.9453687667847</v>
      </c>
      <c r="S15" s="9">
        <v>17635.804014205933</v>
      </c>
      <c r="T15" s="9">
        <v>0</v>
      </c>
      <c r="U15">
        <f t="shared" si="1"/>
        <v>26334.267045021057</v>
      </c>
    </row>
    <row r="16" spans="1:26" x14ac:dyDescent="0.25">
      <c r="A16" s="12">
        <v>0.27083333333333331</v>
      </c>
      <c r="B16" s="6">
        <v>40.353731395912178</v>
      </c>
      <c r="C16" s="6">
        <v>1958.5497941001893</v>
      </c>
      <c r="D16" s="6">
        <v>1.7280125427246091</v>
      </c>
      <c r="E16" s="6">
        <v>2375.3818624793053</v>
      </c>
      <c r="F16" s="6">
        <v>987.49377150945668</v>
      </c>
      <c r="G16" s="6">
        <v>7195.2682135294936</v>
      </c>
      <c r="H16" s="6">
        <v>30045.122969923879</v>
      </c>
      <c r="I16" s="6">
        <v>0</v>
      </c>
      <c r="J16" s="6">
        <f t="shared" si="0"/>
        <v>42603.89835548096</v>
      </c>
      <c r="L16" s="12">
        <v>0.27083333333333331</v>
      </c>
      <c r="M16" s="9">
        <v>560.30081081390381</v>
      </c>
      <c r="N16" s="9">
        <v>0</v>
      </c>
      <c r="O16" s="9">
        <v>0</v>
      </c>
      <c r="P16" s="9">
        <v>0</v>
      </c>
      <c r="Q16" s="9">
        <v>2474.5869340896606</v>
      </c>
      <c r="R16" s="9">
        <v>9869.29749584198</v>
      </c>
      <c r="S16" s="9">
        <v>27036.701742172241</v>
      </c>
      <c r="T16" s="9">
        <v>0</v>
      </c>
      <c r="U16">
        <f t="shared" si="1"/>
        <v>39940.886982917786</v>
      </c>
    </row>
    <row r="17" spans="1:21" x14ac:dyDescent="0.25">
      <c r="A17" s="12">
        <v>0.29166666666666669</v>
      </c>
      <c r="B17" s="6">
        <v>80.309545448780071</v>
      </c>
      <c r="C17" s="6">
        <v>2452.2920248171808</v>
      </c>
      <c r="D17" s="6">
        <v>5.5296401367187498</v>
      </c>
      <c r="E17" s="6">
        <v>3177.2321475827221</v>
      </c>
      <c r="F17" s="6">
        <v>1548.4173671111109</v>
      </c>
      <c r="G17" s="6">
        <v>8687.3713372888596</v>
      </c>
      <c r="H17" s="6">
        <v>42905.750650657646</v>
      </c>
      <c r="I17" s="6">
        <v>0</v>
      </c>
      <c r="J17" s="6">
        <f t="shared" si="0"/>
        <v>58856.902713043019</v>
      </c>
      <c r="L17" s="12">
        <v>0.29166666666666669</v>
      </c>
      <c r="M17" s="9">
        <v>793.4414234161377</v>
      </c>
      <c r="N17" s="9">
        <v>0</v>
      </c>
      <c r="O17" s="9">
        <v>0</v>
      </c>
      <c r="P17" s="9">
        <v>0</v>
      </c>
      <c r="Q17" s="9">
        <v>3486.8399934768677</v>
      </c>
      <c r="R17" s="9">
        <v>12260.49224281311</v>
      </c>
      <c r="S17" s="9">
        <v>35904.991129875183</v>
      </c>
      <c r="T17" s="9">
        <v>0</v>
      </c>
      <c r="U17">
        <f t="shared" si="1"/>
        <v>52445.764789581299</v>
      </c>
    </row>
    <row r="18" spans="1:21" x14ac:dyDescent="0.25">
      <c r="A18" s="12">
        <v>0.3125</v>
      </c>
      <c r="B18" s="6">
        <v>134.9439865436554</v>
      </c>
      <c r="C18" s="6">
        <v>2735.8141668486601</v>
      </c>
      <c r="D18" s="6">
        <v>13.824100341796871</v>
      </c>
      <c r="E18" s="6">
        <v>3749.73158448391</v>
      </c>
      <c r="F18" s="6">
        <v>2111.0124178661345</v>
      </c>
      <c r="G18" s="6">
        <v>8961.2372523363138</v>
      </c>
      <c r="H18" s="6">
        <v>52924.782872189608</v>
      </c>
      <c r="I18" s="6">
        <v>0</v>
      </c>
      <c r="J18" s="6">
        <f t="shared" si="0"/>
        <v>70631.346380610077</v>
      </c>
      <c r="L18" s="12">
        <v>0.3125</v>
      </c>
      <c r="M18" s="9">
        <v>1003.4055652618408</v>
      </c>
      <c r="N18" s="9">
        <v>0</v>
      </c>
      <c r="O18" s="9">
        <v>0</v>
      </c>
      <c r="P18" s="9">
        <v>0</v>
      </c>
      <c r="Q18" s="9">
        <v>4382.0399408340454</v>
      </c>
      <c r="R18" s="9">
        <v>13184.183974266052</v>
      </c>
      <c r="S18" s="9">
        <v>41894.430850028992</v>
      </c>
      <c r="T18" s="9">
        <v>0</v>
      </c>
      <c r="U18">
        <f t="shared" si="1"/>
        <v>60464.06033039093</v>
      </c>
    </row>
    <row r="19" spans="1:21" x14ac:dyDescent="0.25">
      <c r="A19" s="12">
        <v>0.33333333333333331</v>
      </c>
      <c r="B19" s="6">
        <v>195.24431637983324</v>
      </c>
      <c r="C19" s="6">
        <v>2776.0712897964486</v>
      </c>
      <c r="D19" s="6">
        <v>27.64820068359375</v>
      </c>
      <c r="E19" s="6">
        <v>4005.3282521864899</v>
      </c>
      <c r="F19" s="6">
        <v>2530.2104241443635</v>
      </c>
      <c r="G19" s="6">
        <v>7927.3013203678147</v>
      </c>
      <c r="H19" s="6">
        <v>56585.028559276092</v>
      </c>
      <c r="I19" s="6">
        <v>0</v>
      </c>
      <c r="J19" s="6">
        <f t="shared" si="0"/>
        <v>74046.832362834626</v>
      </c>
      <c r="L19" s="12">
        <v>0.33333333333333331</v>
      </c>
      <c r="M19" s="9">
        <v>1153.7286281585693</v>
      </c>
      <c r="N19" s="9">
        <v>0</v>
      </c>
      <c r="O19" s="9">
        <v>0</v>
      </c>
      <c r="P19" s="9">
        <v>0</v>
      </c>
      <c r="Q19" s="9">
        <v>5002.4072256088257</v>
      </c>
      <c r="R19" s="9">
        <v>12409.760015487671</v>
      </c>
      <c r="S19" s="9">
        <v>43623.32429599762</v>
      </c>
      <c r="T19" s="9">
        <v>0</v>
      </c>
      <c r="U19">
        <f t="shared" si="1"/>
        <v>62189.220165252686</v>
      </c>
    </row>
    <row r="20" spans="1:21" x14ac:dyDescent="0.25">
      <c r="A20" s="12">
        <v>0.35416666666666669</v>
      </c>
      <c r="B20" s="6">
        <v>249.40923310852048</v>
      </c>
      <c r="C20" s="6">
        <v>2611.1841874750139</v>
      </c>
      <c r="D20" s="6">
        <v>44.928326110839841</v>
      </c>
      <c r="E20" s="6">
        <v>3984.8552221185691</v>
      </c>
      <c r="F20" s="6">
        <v>2707.4254223875046</v>
      </c>
      <c r="G20" s="6">
        <v>6046.2900606332787</v>
      </c>
      <c r="H20" s="6">
        <v>52507.210967691411</v>
      </c>
      <c r="I20" s="6">
        <v>0</v>
      </c>
      <c r="J20" s="6">
        <f t="shared" si="0"/>
        <v>68151.303419525138</v>
      </c>
      <c r="L20" s="12">
        <v>0.35416666666666669</v>
      </c>
      <c r="M20" s="9">
        <v>1227.3670949935913</v>
      </c>
      <c r="N20" s="9">
        <v>0</v>
      </c>
      <c r="O20" s="9">
        <v>0</v>
      </c>
      <c r="P20" s="9">
        <v>0</v>
      </c>
      <c r="Q20" s="9">
        <v>5280.756365776062</v>
      </c>
      <c r="R20" s="9">
        <v>10363.239621162415</v>
      </c>
      <c r="S20" s="9">
        <v>41214.505942344666</v>
      </c>
      <c r="T20" s="9">
        <v>0</v>
      </c>
      <c r="U20">
        <f t="shared" si="1"/>
        <v>58085.869024276733</v>
      </c>
    </row>
    <row r="21" spans="1:21" x14ac:dyDescent="0.25">
      <c r="A21" s="12">
        <v>0.375</v>
      </c>
      <c r="B21" s="6">
        <v>290.39581092147824</v>
      </c>
      <c r="C21" s="6">
        <v>2305.6842555619241</v>
      </c>
      <c r="D21" s="6">
        <v>59.904434814453126</v>
      </c>
      <c r="E21" s="6">
        <v>3785.0260639275557</v>
      </c>
      <c r="F21" s="6">
        <v>2639.6095313250535</v>
      </c>
      <c r="G21" s="6">
        <v>4020.0068436562542</v>
      </c>
      <c r="H21" s="6">
        <v>42272.715165904141</v>
      </c>
      <c r="I21" s="6">
        <v>0</v>
      </c>
      <c r="J21" s="6">
        <f t="shared" si="0"/>
        <v>55373.34210611086</v>
      </c>
      <c r="L21" s="12">
        <v>0.375</v>
      </c>
      <c r="M21" s="9">
        <v>1227.9272136688232</v>
      </c>
      <c r="N21" s="9">
        <v>0</v>
      </c>
      <c r="O21" s="9">
        <v>0</v>
      </c>
      <c r="P21" s="9">
        <v>0</v>
      </c>
      <c r="Q21" s="9">
        <v>5240.7235412597656</v>
      </c>
      <c r="R21" s="9">
        <v>7801.3997230529785</v>
      </c>
      <c r="S21" s="9">
        <v>35920.4888048172</v>
      </c>
      <c r="T21" s="9">
        <v>0</v>
      </c>
      <c r="U21">
        <f t="shared" si="1"/>
        <v>50190.539282798767</v>
      </c>
    </row>
    <row r="22" spans="1:21" x14ac:dyDescent="0.25">
      <c r="A22" s="12">
        <v>0.39583333333333331</v>
      </c>
      <c r="B22" s="6">
        <v>318.45967332315445</v>
      </c>
      <c r="C22" s="6">
        <v>1923.3191906409265</v>
      </c>
      <c r="D22" s="6">
        <v>65.894878295898437</v>
      </c>
      <c r="E22" s="6">
        <v>3474.1513924587252</v>
      </c>
      <c r="F22" s="6">
        <v>2405.6906870262142</v>
      </c>
      <c r="G22" s="6">
        <v>2392.8825497188564</v>
      </c>
      <c r="H22" s="6">
        <v>29502.305855209543</v>
      </c>
      <c r="I22" s="6">
        <v>0</v>
      </c>
      <c r="J22" s="6">
        <f t="shared" si="0"/>
        <v>40082.704226673319</v>
      </c>
      <c r="L22" s="12">
        <v>0.39583333333333331</v>
      </c>
      <c r="M22" s="9">
        <v>1173.816593170166</v>
      </c>
      <c r="N22" s="9">
        <v>0</v>
      </c>
      <c r="O22" s="9">
        <v>0</v>
      </c>
      <c r="P22" s="9">
        <v>0</v>
      </c>
      <c r="Q22" s="9">
        <v>4965.8987045288086</v>
      </c>
      <c r="R22" s="9">
        <v>5387.4742622375488</v>
      </c>
      <c r="S22" s="9">
        <v>29329.861285209656</v>
      </c>
      <c r="T22" s="9">
        <v>0</v>
      </c>
      <c r="U22">
        <f t="shared" si="1"/>
        <v>40857.050845146179</v>
      </c>
    </row>
    <row r="23" spans="1:21" x14ac:dyDescent="0.25">
      <c r="A23" s="12">
        <v>0.41666666666666669</v>
      </c>
      <c r="B23" s="6">
        <v>335.21022887086872</v>
      </c>
      <c r="C23" s="6">
        <v>1529.700372086525</v>
      </c>
      <c r="D23" s="6">
        <v>59.904748636341097</v>
      </c>
      <c r="E23" s="6">
        <v>3078.5979887785916</v>
      </c>
      <c r="F23" s="6">
        <v>2112.7130628024101</v>
      </c>
      <c r="G23" s="6">
        <v>1355.9776125289916</v>
      </c>
      <c r="H23" s="6">
        <v>17882.504376634501</v>
      </c>
      <c r="I23" s="6">
        <v>0</v>
      </c>
      <c r="J23" s="6">
        <f t="shared" si="0"/>
        <v>26354.608390338231</v>
      </c>
      <c r="L23" s="12">
        <v>0.41666666666666669</v>
      </c>
      <c r="M23" s="9">
        <v>1090.6548748016357</v>
      </c>
      <c r="N23" s="9">
        <v>0</v>
      </c>
      <c r="O23" s="9">
        <v>0</v>
      </c>
      <c r="P23" s="9">
        <v>0</v>
      </c>
      <c r="Q23" s="9">
        <v>4565.9415311813354</v>
      </c>
      <c r="R23" s="9">
        <v>3472.7879600524902</v>
      </c>
      <c r="S23" s="9">
        <v>22765.732233047485</v>
      </c>
      <c r="T23" s="9">
        <v>0</v>
      </c>
      <c r="U23">
        <f t="shared" si="1"/>
        <v>31895.116599082947</v>
      </c>
    </row>
    <row r="24" spans="1:21" x14ac:dyDescent="0.25">
      <c r="A24" s="12">
        <v>0.4375</v>
      </c>
      <c r="B24" s="6">
        <v>336.57301689357757</v>
      </c>
      <c r="C24" s="6">
        <v>1191.1481601537705</v>
      </c>
      <c r="D24" s="6">
        <v>44.934602548599237</v>
      </c>
      <c r="E24" s="6">
        <v>2628.2135713320736</v>
      </c>
      <c r="F24" s="6">
        <v>1849.5297310756685</v>
      </c>
      <c r="G24" s="6">
        <v>810.93624993610376</v>
      </c>
      <c r="H24" s="6">
        <v>9548.1486464550962</v>
      </c>
      <c r="I24" s="6">
        <v>0</v>
      </c>
      <c r="J24" s="6">
        <f t="shared" si="0"/>
        <v>16409.483978394892</v>
      </c>
      <c r="L24" s="12">
        <v>0.4375</v>
      </c>
      <c r="M24" s="9">
        <v>1003.2951040267944</v>
      </c>
      <c r="N24" s="9">
        <v>0</v>
      </c>
      <c r="O24" s="9">
        <v>0</v>
      </c>
      <c r="P24" s="9">
        <v>0</v>
      </c>
      <c r="Q24" s="9">
        <v>4145.4232606887817</v>
      </c>
      <c r="R24" s="9">
        <v>2124.6992244720459</v>
      </c>
      <c r="S24" s="9">
        <v>17059.865307807922</v>
      </c>
      <c r="T24" s="9">
        <v>0</v>
      </c>
      <c r="U24">
        <f t="shared" si="1"/>
        <v>24333.282896995544</v>
      </c>
    </row>
    <row r="25" spans="1:21" x14ac:dyDescent="0.25">
      <c r="A25" s="12">
        <v>0.45833333333333331</v>
      </c>
      <c r="B25" s="6">
        <v>314.66029596519468</v>
      </c>
      <c r="C25" s="6">
        <v>950.43878637981413</v>
      </c>
      <c r="D25" s="6">
        <v>27.707826842308041</v>
      </c>
      <c r="E25" s="6">
        <v>2185.2813670815467</v>
      </c>
      <c r="F25" s="6">
        <v>1668.092515974522</v>
      </c>
      <c r="G25" s="6">
        <v>551.16364389743808</v>
      </c>
      <c r="H25" s="6">
        <v>4730.8725157236095</v>
      </c>
      <c r="I25" s="6">
        <v>0</v>
      </c>
      <c r="J25" s="6">
        <f t="shared" si="0"/>
        <v>10428.216951864433</v>
      </c>
      <c r="L25" s="12">
        <v>0.45833333333333331</v>
      </c>
      <c r="M25" s="9">
        <v>928.49020195007324</v>
      </c>
      <c r="N25" s="9">
        <v>0</v>
      </c>
      <c r="O25" s="9">
        <v>0</v>
      </c>
      <c r="P25" s="9">
        <v>0</v>
      </c>
      <c r="Q25" s="9">
        <v>3775.4782419204712</v>
      </c>
      <c r="R25" s="9">
        <v>1257.0622520446777</v>
      </c>
      <c r="S25" s="9">
        <v>12561.285257339478</v>
      </c>
      <c r="T25" s="9">
        <v>0</v>
      </c>
      <c r="U25">
        <f t="shared" si="1"/>
        <v>18522.3159532547</v>
      </c>
    </row>
    <row r="26" spans="1:21" x14ac:dyDescent="0.25">
      <c r="A26" s="12">
        <v>0.47916666666666669</v>
      </c>
      <c r="B26" s="6">
        <v>267.44696121759409</v>
      </c>
      <c r="C26" s="6">
        <v>804.37374086227419</v>
      </c>
      <c r="D26" s="6">
        <v>14.18185729408264</v>
      </c>
      <c r="E26" s="6">
        <v>1816.3403615485192</v>
      </c>
      <c r="F26" s="6">
        <v>1579.1262101262096</v>
      </c>
      <c r="G26" s="6">
        <v>406.4941309260368</v>
      </c>
      <c r="H26" s="6">
        <v>2478.337838268661</v>
      </c>
      <c r="I26" s="6">
        <v>0</v>
      </c>
      <c r="J26" s="6">
        <f t="shared" si="0"/>
        <v>7366.3011002433777</v>
      </c>
      <c r="L26" s="12">
        <v>0.47916666666666669</v>
      </c>
      <c r="M26" s="9">
        <v>871.64037132263184</v>
      </c>
      <c r="N26" s="9">
        <v>0</v>
      </c>
      <c r="O26" s="9">
        <v>0</v>
      </c>
      <c r="P26" s="9">
        <v>0</v>
      </c>
      <c r="Q26" s="9">
        <v>3479.8376550674438</v>
      </c>
      <c r="R26" s="9">
        <v>738.14206504821777</v>
      </c>
      <c r="S26" s="9">
        <v>9244.714545249939</v>
      </c>
      <c r="T26" s="9">
        <v>0</v>
      </c>
      <c r="U26">
        <f t="shared" si="1"/>
        <v>14334.334636688232</v>
      </c>
    </row>
    <row r="27" spans="1:21" x14ac:dyDescent="0.25">
      <c r="A27" s="12">
        <v>0.5</v>
      </c>
      <c r="B27" s="6">
        <v>204.52823757705687</v>
      </c>
      <c r="C27" s="6">
        <v>712.47985815486913</v>
      </c>
      <c r="D27" s="6">
        <v>7.0503205307960508</v>
      </c>
      <c r="E27" s="6">
        <v>1542.1621876087193</v>
      </c>
      <c r="F27" s="6">
        <v>1551.9787648086551</v>
      </c>
      <c r="G27" s="6">
        <v>295.04849369478222</v>
      </c>
      <c r="H27" s="6">
        <v>1610.9634021693225</v>
      </c>
      <c r="I27" s="6">
        <v>0</v>
      </c>
      <c r="J27" s="6">
        <f t="shared" si="0"/>
        <v>5924.2112645442012</v>
      </c>
      <c r="L27" s="12">
        <v>0.5</v>
      </c>
      <c r="M27" s="9">
        <v>829.65389251708984</v>
      </c>
      <c r="N27" s="9">
        <v>0</v>
      </c>
      <c r="O27" s="9">
        <v>0</v>
      </c>
      <c r="P27" s="9">
        <v>0</v>
      </c>
      <c r="Q27" s="9">
        <v>3245.1466808319092</v>
      </c>
      <c r="R27" s="9">
        <v>445.82137966156006</v>
      </c>
      <c r="S27" s="9">
        <v>6873.2567300796509</v>
      </c>
      <c r="T27" s="9">
        <v>0</v>
      </c>
      <c r="U27">
        <f t="shared" si="1"/>
        <v>11393.87868309021</v>
      </c>
    </row>
    <row r="28" spans="1:21" x14ac:dyDescent="0.25">
      <c r="A28" s="12">
        <v>0.52083333333333337</v>
      </c>
      <c r="B28" s="6">
        <v>141.80443843564987</v>
      </c>
      <c r="C28" s="6">
        <v>629.42093759269721</v>
      </c>
      <c r="D28" s="6">
        <v>6.5979819628715513</v>
      </c>
      <c r="E28" s="6">
        <v>1326.1780091519358</v>
      </c>
      <c r="F28" s="6">
        <v>1528.6052688494685</v>
      </c>
      <c r="G28" s="6">
        <v>204.68542522726059</v>
      </c>
      <c r="H28" s="6">
        <v>1287.8481380210874</v>
      </c>
      <c r="I28" s="6">
        <v>0</v>
      </c>
      <c r="J28" s="6">
        <f t="shared" si="0"/>
        <v>5125.1401992409701</v>
      </c>
      <c r="L28" s="12">
        <v>0.52083333333333337</v>
      </c>
      <c r="M28" s="9">
        <v>796.99777984619141</v>
      </c>
      <c r="N28" s="9">
        <v>0</v>
      </c>
      <c r="O28" s="9">
        <v>0</v>
      </c>
      <c r="P28" s="9">
        <v>0</v>
      </c>
      <c r="Q28" s="9">
        <v>3046.2135276794434</v>
      </c>
      <c r="R28" s="9">
        <v>288.01322841644287</v>
      </c>
      <c r="S28" s="9">
        <v>5166.6604747772217</v>
      </c>
      <c r="T28" s="9">
        <v>0</v>
      </c>
      <c r="U28">
        <f t="shared" si="1"/>
        <v>9297.8850107192993</v>
      </c>
    </row>
    <row r="29" spans="1:21" x14ac:dyDescent="0.25">
      <c r="A29" s="12">
        <v>0.54166666666666663</v>
      </c>
      <c r="B29" s="6">
        <v>91.236802685928353</v>
      </c>
      <c r="C29" s="6">
        <v>531.56237849226</v>
      </c>
      <c r="D29" s="6">
        <v>12.615022104263307</v>
      </c>
      <c r="E29" s="6">
        <v>1115.8421554968836</v>
      </c>
      <c r="F29" s="6">
        <v>1458.0301281169893</v>
      </c>
      <c r="G29" s="6">
        <v>149.4998154978752</v>
      </c>
      <c r="H29" s="6">
        <v>1102.5484432209014</v>
      </c>
      <c r="I29" s="6">
        <v>0</v>
      </c>
      <c r="J29" s="6">
        <f t="shared" si="0"/>
        <v>4461.3347456151005</v>
      </c>
      <c r="L29" s="12">
        <v>0.54166666666666663</v>
      </c>
      <c r="M29" s="9">
        <v>769.7894811630249</v>
      </c>
      <c r="N29" s="9">
        <v>0</v>
      </c>
      <c r="O29" s="9">
        <v>0</v>
      </c>
      <c r="P29" s="9">
        <v>0</v>
      </c>
      <c r="Q29" s="9">
        <v>2864.9930648803711</v>
      </c>
      <c r="R29" s="9">
        <v>205.18271350860596</v>
      </c>
      <c r="S29" s="9">
        <v>3907.6434211730957</v>
      </c>
      <c r="T29" s="9">
        <v>0</v>
      </c>
      <c r="U29">
        <f t="shared" si="1"/>
        <v>7747.6086807250977</v>
      </c>
    </row>
    <row r="30" spans="1:21" x14ac:dyDescent="0.25">
      <c r="A30" s="12">
        <v>0.5625</v>
      </c>
      <c r="B30" s="6">
        <v>56.166929909706113</v>
      </c>
      <c r="C30" s="6">
        <v>422.48065861892707</v>
      </c>
      <c r="D30" s="6">
        <v>24.677960419654848</v>
      </c>
      <c r="E30" s="6">
        <v>893.49010480699553</v>
      </c>
      <c r="F30" s="6">
        <v>1331.0282647881509</v>
      </c>
      <c r="G30" s="6">
        <v>136.25579471120835</v>
      </c>
      <c r="H30" s="6">
        <v>939.25915803384783</v>
      </c>
      <c r="I30" s="6">
        <v>0</v>
      </c>
      <c r="J30" s="6">
        <f t="shared" si="0"/>
        <v>3803.3588712884903</v>
      </c>
      <c r="L30" s="12">
        <v>0.5625</v>
      </c>
      <c r="M30" s="9">
        <v>745.80636024475098</v>
      </c>
      <c r="N30" s="9">
        <v>0</v>
      </c>
      <c r="O30" s="9">
        <v>0</v>
      </c>
      <c r="P30" s="9">
        <v>0</v>
      </c>
      <c r="Q30" s="9">
        <v>2691.8974657058716</v>
      </c>
      <c r="R30" s="9">
        <v>163.46755313873291</v>
      </c>
      <c r="S30" s="9">
        <v>2962.5975093841553</v>
      </c>
      <c r="T30" s="9">
        <v>0</v>
      </c>
      <c r="U30">
        <f t="shared" si="1"/>
        <v>6563.7688884735107</v>
      </c>
    </row>
    <row r="31" spans="1:21" x14ac:dyDescent="0.25">
      <c r="A31" s="12">
        <v>0.58333333333333337</v>
      </c>
      <c r="B31" s="6">
        <v>34.655154304313662</v>
      </c>
      <c r="C31" s="6">
        <v>322.97937259836203</v>
      </c>
      <c r="D31" s="6">
        <v>40.80998421382904</v>
      </c>
      <c r="E31" s="6">
        <v>687.02852320432669</v>
      </c>
      <c r="F31" s="6">
        <v>1184.3865777346614</v>
      </c>
      <c r="G31" s="6">
        <v>154.03213353624344</v>
      </c>
      <c r="H31" s="6">
        <v>802.01712104225169</v>
      </c>
      <c r="I31" s="6">
        <v>0</v>
      </c>
      <c r="J31" s="6">
        <f t="shared" si="0"/>
        <v>3225.9088666339881</v>
      </c>
      <c r="L31" s="12">
        <v>0.58333333333333337</v>
      </c>
      <c r="M31" s="9">
        <v>722.70774078369141</v>
      </c>
      <c r="N31" s="9">
        <v>0</v>
      </c>
      <c r="O31" s="9">
        <v>0</v>
      </c>
      <c r="P31" s="9">
        <v>0</v>
      </c>
      <c r="Q31" s="9">
        <v>2516.894757270813</v>
      </c>
      <c r="R31" s="9">
        <v>144.94769477844238</v>
      </c>
      <c r="S31" s="9">
        <v>2252.4786186218262</v>
      </c>
      <c r="T31" s="9">
        <v>0</v>
      </c>
      <c r="U31">
        <f t="shared" si="1"/>
        <v>5637.0288114547729</v>
      </c>
    </row>
    <row r="32" spans="1:21" x14ac:dyDescent="0.25">
      <c r="A32" s="12">
        <v>0.60416666666666663</v>
      </c>
      <c r="B32" s="6">
        <v>25.328189245128634</v>
      </c>
      <c r="C32" s="6">
        <v>255.37880522403722</v>
      </c>
      <c r="D32" s="6">
        <v>57.025040316677092</v>
      </c>
      <c r="E32" s="6">
        <v>537.4225328134537</v>
      </c>
      <c r="F32" s="6">
        <v>1070.0009830056192</v>
      </c>
      <c r="G32" s="6">
        <v>181.75634627695084</v>
      </c>
      <c r="H32" s="6">
        <v>706.61829119558342</v>
      </c>
      <c r="I32" s="6">
        <v>0</v>
      </c>
      <c r="J32" s="6">
        <f t="shared" si="0"/>
        <v>2833.53018807745</v>
      </c>
      <c r="L32" s="12">
        <v>0.60416666666666663</v>
      </c>
      <c r="M32" s="9">
        <v>698.07505512237549</v>
      </c>
      <c r="N32" s="9">
        <v>0</v>
      </c>
      <c r="O32" s="9">
        <v>0</v>
      </c>
      <c r="P32" s="9">
        <v>0</v>
      </c>
      <c r="Q32" s="9">
        <v>2326.0130710601807</v>
      </c>
      <c r="R32" s="9">
        <v>139.93885326385498</v>
      </c>
      <c r="S32" s="9">
        <v>1721.7645483016968</v>
      </c>
      <c r="T32" s="9">
        <v>0</v>
      </c>
      <c r="U32">
        <f t="shared" si="1"/>
        <v>4885.7915277481079</v>
      </c>
    </row>
    <row r="33" spans="1:21" x14ac:dyDescent="0.25">
      <c r="A33" s="12">
        <v>0.625</v>
      </c>
      <c r="B33" s="6">
        <v>30.537080344581597</v>
      </c>
      <c r="C33" s="6">
        <v>228.95231720809937</v>
      </c>
      <c r="D33" s="6">
        <v>69.473575835037224</v>
      </c>
      <c r="E33" s="6">
        <v>462.22522570657725</v>
      </c>
      <c r="F33" s="6">
        <v>1017.9425519443513</v>
      </c>
      <c r="G33" s="6">
        <v>200.87666561527254</v>
      </c>
      <c r="H33" s="6">
        <v>644.79521502113346</v>
      </c>
      <c r="I33" s="6">
        <v>0</v>
      </c>
      <c r="J33" s="6">
        <f t="shared" si="0"/>
        <v>2654.8026316750529</v>
      </c>
      <c r="L33" s="12">
        <v>0.625</v>
      </c>
      <c r="M33" s="9">
        <v>672.34760570526123</v>
      </c>
      <c r="N33" s="9">
        <v>0</v>
      </c>
      <c r="O33" s="9">
        <v>0</v>
      </c>
      <c r="P33" s="9">
        <v>0</v>
      </c>
      <c r="Q33" s="9">
        <v>2109.9489641189575</v>
      </c>
      <c r="R33" s="9">
        <v>142.60154151916504</v>
      </c>
      <c r="S33" s="9">
        <v>1325.5973300933838</v>
      </c>
      <c r="T33" s="9">
        <v>0</v>
      </c>
      <c r="U33">
        <f t="shared" si="1"/>
        <v>4250.4954414367676</v>
      </c>
    </row>
    <row r="34" spans="1:21" x14ac:dyDescent="0.25">
      <c r="A34" s="12">
        <v>0.64583333333333337</v>
      </c>
      <c r="B34" s="6">
        <v>55.769808365821817</v>
      </c>
      <c r="C34" s="6">
        <v>233.79025384359363</v>
      </c>
      <c r="D34" s="6">
        <v>77.307609855651847</v>
      </c>
      <c r="E34" s="6">
        <v>447.66347131805418</v>
      </c>
      <c r="F34" s="6">
        <v>1024.1854365604399</v>
      </c>
      <c r="G34" s="6">
        <v>203.02942807960508</v>
      </c>
      <c r="H34" s="6">
        <v>595.47264216756821</v>
      </c>
      <c r="I34" s="6">
        <v>0</v>
      </c>
      <c r="J34" s="6">
        <f t="shared" si="0"/>
        <v>2637.2186501907345</v>
      </c>
      <c r="L34" s="12">
        <v>0.64583333333333337</v>
      </c>
      <c r="M34" s="9">
        <v>651.89484405517578</v>
      </c>
      <c r="N34" s="9">
        <v>0</v>
      </c>
      <c r="O34" s="9">
        <v>0</v>
      </c>
      <c r="P34" s="9">
        <v>0</v>
      </c>
      <c r="Q34" s="9">
        <v>1875.8825635910034</v>
      </c>
      <c r="R34" s="9">
        <v>148.77173709869385</v>
      </c>
      <c r="S34" s="9">
        <v>1029.0411128997803</v>
      </c>
      <c r="T34" s="9">
        <v>0</v>
      </c>
      <c r="U34">
        <f t="shared" si="1"/>
        <v>3705.5902576446533</v>
      </c>
    </row>
    <row r="35" spans="1:21" x14ac:dyDescent="0.25">
      <c r="A35" s="12">
        <v>0.66666666666666663</v>
      </c>
      <c r="B35" s="6">
        <v>106.0915525697708</v>
      </c>
      <c r="C35" s="6">
        <v>247.59336269941335</v>
      </c>
      <c r="D35" s="6">
        <v>82.526321030616757</v>
      </c>
      <c r="E35" s="6">
        <v>464.871998815155</v>
      </c>
      <c r="F35" s="6">
        <v>1062.8909218400954</v>
      </c>
      <c r="G35" s="6">
        <v>189.36833728809356</v>
      </c>
      <c r="H35" s="6">
        <v>546.58841125717163</v>
      </c>
      <c r="I35" s="6">
        <v>0</v>
      </c>
      <c r="J35" s="6">
        <f t="shared" si="0"/>
        <v>2699.9309055003164</v>
      </c>
      <c r="L35" s="12">
        <v>0.66666666666666663</v>
      </c>
      <c r="M35" s="9">
        <v>647.77118873596191</v>
      </c>
      <c r="N35" s="9">
        <v>0</v>
      </c>
      <c r="O35" s="9">
        <v>0</v>
      </c>
      <c r="P35" s="9">
        <v>0</v>
      </c>
      <c r="Q35" s="9">
        <v>1647.8033895492554</v>
      </c>
      <c r="R35" s="9">
        <v>154.89450931549072</v>
      </c>
      <c r="S35" s="9">
        <v>807.03503036499023</v>
      </c>
      <c r="T35" s="9">
        <v>0</v>
      </c>
      <c r="U35">
        <f t="shared" si="1"/>
        <v>3257.5041179656982</v>
      </c>
    </row>
    <row r="36" spans="1:21" x14ac:dyDescent="0.25">
      <c r="A36" s="12">
        <v>0.6875</v>
      </c>
      <c r="B36" s="6">
        <v>180.4984725847244</v>
      </c>
      <c r="C36" s="6">
        <v>249.9777507432938</v>
      </c>
      <c r="D36" s="6">
        <v>86.354381262779228</v>
      </c>
      <c r="E36" s="6">
        <v>487.11116511840828</v>
      </c>
      <c r="F36" s="6">
        <v>1100.2903355340954</v>
      </c>
      <c r="G36" s="6">
        <v>164.92088846473692</v>
      </c>
      <c r="H36" s="6">
        <v>501.71000266265872</v>
      </c>
      <c r="I36" s="6">
        <v>0</v>
      </c>
      <c r="J36" s="6">
        <f t="shared" si="0"/>
        <v>2770.8629963706967</v>
      </c>
      <c r="L36" s="12">
        <v>0.6875</v>
      </c>
      <c r="M36" s="9">
        <v>668.34189128875732</v>
      </c>
      <c r="N36" s="9">
        <v>0</v>
      </c>
      <c r="O36" s="9">
        <v>0</v>
      </c>
      <c r="P36" s="9">
        <v>0</v>
      </c>
      <c r="Q36" s="9">
        <v>1451.1853818893433</v>
      </c>
      <c r="R36" s="9">
        <v>157.69586277008057</v>
      </c>
      <c r="S36" s="9">
        <v>640.986572265625</v>
      </c>
      <c r="T36" s="9">
        <v>0</v>
      </c>
      <c r="U36">
        <f t="shared" si="1"/>
        <v>2918.2097082138062</v>
      </c>
    </row>
    <row r="37" spans="1:21" x14ac:dyDescent="0.25">
      <c r="A37" s="12">
        <v>0.70833333333333337</v>
      </c>
      <c r="B37" s="6">
        <v>266.6181824651718</v>
      </c>
      <c r="C37" s="6">
        <v>232.43656634969713</v>
      </c>
      <c r="D37" s="6">
        <v>86.505075270080553</v>
      </c>
      <c r="E37" s="6">
        <v>496.67320869016658</v>
      </c>
      <c r="F37" s="6">
        <v>1099.1603227837561</v>
      </c>
      <c r="G37" s="6">
        <v>134.12155777311324</v>
      </c>
      <c r="H37" s="6">
        <v>469.48273825979231</v>
      </c>
      <c r="I37" s="6">
        <v>0</v>
      </c>
      <c r="J37" s="6">
        <f t="shared" si="0"/>
        <v>2784.9976515917774</v>
      </c>
      <c r="L37" s="12">
        <v>0.70833333333333337</v>
      </c>
      <c r="M37" s="9">
        <v>709.920334815979</v>
      </c>
      <c r="N37" s="9">
        <v>0</v>
      </c>
      <c r="O37" s="9">
        <v>0</v>
      </c>
      <c r="P37" s="9">
        <v>0</v>
      </c>
      <c r="Q37" s="9">
        <v>1294.0445203781128</v>
      </c>
      <c r="R37" s="9">
        <v>154.47186183929443</v>
      </c>
      <c r="S37" s="9">
        <v>514.68321895599365</v>
      </c>
      <c r="T37" s="9">
        <v>0</v>
      </c>
      <c r="U37">
        <f t="shared" si="1"/>
        <v>2673.1199359893799</v>
      </c>
    </row>
    <row r="38" spans="1:21" x14ac:dyDescent="0.25">
      <c r="A38" s="12">
        <v>0.72916666666666663</v>
      </c>
      <c r="B38" s="6">
        <v>340.58598531427378</v>
      </c>
      <c r="C38" s="6">
        <v>197.89749327602391</v>
      </c>
      <c r="D38" s="6">
        <v>79.115882126998883</v>
      </c>
      <c r="E38" s="6">
        <v>485.26338815240865</v>
      </c>
      <c r="F38" s="6">
        <v>1026.23514627285</v>
      </c>
      <c r="G38" s="6">
        <v>100.43721552734375</v>
      </c>
      <c r="H38" s="6">
        <v>450.07627766399389</v>
      </c>
      <c r="I38" s="6">
        <v>0</v>
      </c>
      <c r="J38" s="6">
        <f t="shared" si="0"/>
        <v>2679.6113883338926</v>
      </c>
      <c r="L38" s="12">
        <v>0.72916666666666663</v>
      </c>
      <c r="M38" s="9">
        <v>753.90468788146973</v>
      </c>
      <c r="N38" s="9">
        <v>0</v>
      </c>
      <c r="O38" s="9">
        <v>0</v>
      </c>
      <c r="P38" s="9">
        <v>0</v>
      </c>
      <c r="Q38" s="9">
        <v>1161.3801784515381</v>
      </c>
      <c r="R38" s="9">
        <v>143.72873973846436</v>
      </c>
      <c r="S38" s="9">
        <v>413.10380077362061</v>
      </c>
      <c r="T38" s="9">
        <v>0</v>
      </c>
      <c r="U38">
        <f t="shared" si="1"/>
        <v>2472.1174068450928</v>
      </c>
    </row>
    <row r="39" spans="1:21" x14ac:dyDescent="0.25">
      <c r="A39" s="12">
        <v>0.75</v>
      </c>
      <c r="B39" s="6">
        <v>375.98664388847345</v>
      </c>
      <c r="C39" s="6">
        <v>154.35251296281817</v>
      </c>
      <c r="D39" s="6">
        <v>63.319997263431539</v>
      </c>
      <c r="E39" s="6">
        <v>451.93872506656652</v>
      </c>
      <c r="F39" s="6">
        <v>871.10097456102358</v>
      </c>
      <c r="G39" s="6">
        <v>67.763287762641909</v>
      </c>
      <c r="H39" s="6">
        <v>431.34738626689915</v>
      </c>
      <c r="I39" s="6">
        <v>0</v>
      </c>
      <c r="J39" s="6">
        <f t="shared" si="0"/>
        <v>2415.8095277718544</v>
      </c>
      <c r="L39" s="12">
        <v>0.75</v>
      </c>
      <c r="M39" s="9">
        <v>775.84506130218506</v>
      </c>
      <c r="N39" s="9">
        <v>0</v>
      </c>
      <c r="O39" s="9">
        <v>0</v>
      </c>
      <c r="P39" s="9">
        <v>0</v>
      </c>
      <c r="Q39" s="9">
        <v>1028.4938955307007</v>
      </c>
      <c r="R39" s="9">
        <v>125.80681037902832</v>
      </c>
      <c r="S39" s="9">
        <v>324.65929985046387</v>
      </c>
      <c r="T39" s="9">
        <v>0</v>
      </c>
      <c r="U39">
        <f t="shared" si="1"/>
        <v>2254.8050670623779</v>
      </c>
    </row>
    <row r="40" spans="1:21" x14ac:dyDescent="0.25">
      <c r="A40" s="12">
        <v>0.77083333333333337</v>
      </c>
      <c r="B40" s="6">
        <v>358.9470506504058</v>
      </c>
      <c r="C40" s="6">
        <v>109.79862487068176</v>
      </c>
      <c r="D40" s="6">
        <v>43.089575188636772</v>
      </c>
      <c r="E40" s="6">
        <v>399.09619499807354</v>
      </c>
      <c r="F40" s="6">
        <v>660.18116399583801</v>
      </c>
      <c r="G40" s="6">
        <v>40.273958648681635</v>
      </c>
      <c r="H40" s="6">
        <v>396.3759859571457</v>
      </c>
      <c r="I40" s="6">
        <v>0</v>
      </c>
      <c r="J40" s="6">
        <f t="shared" si="0"/>
        <v>2007.7625543094632</v>
      </c>
      <c r="L40" s="12">
        <v>0.77083333333333337</v>
      </c>
      <c r="M40" s="9">
        <v>761.39335060119629</v>
      </c>
      <c r="N40" s="9">
        <v>0</v>
      </c>
      <c r="O40" s="9">
        <v>0</v>
      </c>
      <c r="P40" s="9">
        <v>0</v>
      </c>
      <c r="Q40" s="9">
        <v>881.72732257843018</v>
      </c>
      <c r="R40" s="9">
        <v>103.06491565704346</v>
      </c>
      <c r="S40" s="9">
        <v>244.12064552307129</v>
      </c>
      <c r="T40" s="9">
        <v>0</v>
      </c>
      <c r="U40">
        <f t="shared" si="1"/>
        <v>1990.3062343597412</v>
      </c>
    </row>
    <row r="41" spans="1:21" x14ac:dyDescent="0.25">
      <c r="A41" s="12">
        <v>0.79166666666666663</v>
      </c>
      <c r="B41" s="6">
        <v>298.42474213123319</v>
      </c>
      <c r="C41" s="6">
        <v>70.471462644004816</v>
      </c>
      <c r="D41" s="6">
        <v>24.447824057579034</v>
      </c>
      <c r="E41" s="6">
        <v>329.57318363513946</v>
      </c>
      <c r="F41" s="6">
        <v>445.09685012006753</v>
      </c>
      <c r="G41" s="6">
        <v>20.659015580654142</v>
      </c>
      <c r="H41" s="6">
        <v>335.4461871484757</v>
      </c>
      <c r="I41" s="6">
        <v>0</v>
      </c>
      <c r="J41" s="6">
        <f t="shared" si="0"/>
        <v>1524.1192653171538</v>
      </c>
      <c r="L41" s="12">
        <v>0.79166666666666663</v>
      </c>
      <c r="M41" s="9">
        <v>715.58125782012939</v>
      </c>
      <c r="N41" s="9">
        <v>0</v>
      </c>
      <c r="O41" s="9">
        <v>0</v>
      </c>
      <c r="P41" s="9">
        <v>0</v>
      </c>
      <c r="Q41" s="9">
        <v>728.59169387817383</v>
      </c>
      <c r="R41" s="9">
        <v>79.230448722839355</v>
      </c>
      <c r="S41" s="9">
        <v>172.79626083374023</v>
      </c>
      <c r="T41" s="9">
        <v>0</v>
      </c>
      <c r="U41">
        <f t="shared" si="1"/>
        <v>1696.1996612548828</v>
      </c>
    </row>
    <row r="42" spans="1:21" x14ac:dyDescent="0.25">
      <c r="A42" s="12">
        <v>0.8125</v>
      </c>
      <c r="B42" s="6">
        <v>221.40276919784546</v>
      </c>
      <c r="C42" s="6">
        <v>40.269257647609713</v>
      </c>
      <c r="D42" s="6">
        <v>11.373442947006223</v>
      </c>
      <c r="E42" s="6">
        <v>248.40407195062639</v>
      </c>
      <c r="F42" s="6">
        <v>271.73738319578166</v>
      </c>
      <c r="G42" s="6">
        <v>8.969006037712095</v>
      </c>
      <c r="H42" s="6">
        <v>253.97264894618991</v>
      </c>
      <c r="I42" s="6">
        <v>0</v>
      </c>
      <c r="J42" s="6">
        <f t="shared" si="0"/>
        <v>1056.1285799227715</v>
      </c>
      <c r="L42" s="12">
        <v>0.8125</v>
      </c>
      <c r="M42" s="9">
        <v>656.17119121551514</v>
      </c>
      <c r="N42" s="9">
        <v>0</v>
      </c>
      <c r="O42" s="9">
        <v>0</v>
      </c>
      <c r="P42" s="9">
        <v>0</v>
      </c>
      <c r="Q42" s="9">
        <v>589.18740367889404</v>
      </c>
      <c r="R42" s="9">
        <v>57.955657005310059</v>
      </c>
      <c r="S42" s="9">
        <v>115.02406406402588</v>
      </c>
      <c r="T42" s="9">
        <v>0</v>
      </c>
      <c r="U42">
        <f t="shared" si="1"/>
        <v>1418.3383159637451</v>
      </c>
    </row>
    <row r="43" spans="1:21" x14ac:dyDescent="0.25">
      <c r="A43" s="12">
        <v>0.83333333333333337</v>
      </c>
      <c r="B43" s="6">
        <v>155.19199592485427</v>
      </c>
      <c r="C43" s="6">
        <v>20.24080701379776</v>
      </c>
      <c r="D43" s="6">
        <v>4.2577540715217586</v>
      </c>
      <c r="E43" s="6">
        <v>165.92148881559373</v>
      </c>
      <c r="F43" s="6">
        <v>157.61195073537826</v>
      </c>
      <c r="G43" s="6">
        <v>3.2240578834533684</v>
      </c>
      <c r="H43" s="6">
        <v>172.19422357702257</v>
      </c>
      <c r="I43" s="6">
        <v>0</v>
      </c>
      <c r="J43" s="6">
        <f t="shared" si="0"/>
        <v>678.64227802162168</v>
      </c>
      <c r="L43" s="12">
        <v>0.83333333333333337</v>
      </c>
      <c r="M43" s="9">
        <v>596.93271541595459</v>
      </c>
      <c r="N43" s="9">
        <v>0</v>
      </c>
      <c r="O43" s="9">
        <v>0</v>
      </c>
      <c r="P43" s="9">
        <v>0</v>
      </c>
      <c r="Q43" s="9">
        <v>477.98213291168213</v>
      </c>
      <c r="R43" s="9">
        <v>41.35018253326416</v>
      </c>
      <c r="S43" s="9">
        <v>73.484910011291504</v>
      </c>
      <c r="T43" s="9">
        <v>0</v>
      </c>
      <c r="U43">
        <f t="shared" si="1"/>
        <v>1189.7499408721924</v>
      </c>
    </row>
    <row r="44" spans="1:21" x14ac:dyDescent="0.25">
      <c r="A44" s="12">
        <v>0.85416666666666663</v>
      </c>
      <c r="B44" s="6">
        <v>111.56792201051711</v>
      </c>
      <c r="C44" s="6">
        <v>8.8613730356216429</v>
      </c>
      <c r="D44" s="6">
        <v>1.2506450171470642</v>
      </c>
      <c r="E44" s="6">
        <v>95.575033804798139</v>
      </c>
      <c r="F44" s="6">
        <v>93.430938340854638</v>
      </c>
      <c r="G44" s="6">
        <v>0.93261413097381585</v>
      </c>
      <c r="H44" s="6">
        <v>119.60528827304839</v>
      </c>
      <c r="I44" s="6">
        <v>0</v>
      </c>
      <c r="J44" s="6">
        <f t="shared" si="0"/>
        <v>431.22381461296084</v>
      </c>
      <c r="L44" s="12">
        <v>0.85416666666666663</v>
      </c>
      <c r="M44" s="9">
        <v>536.8447790145874</v>
      </c>
      <c r="N44" s="9">
        <v>0</v>
      </c>
      <c r="O44" s="9">
        <v>0</v>
      </c>
      <c r="P44" s="9">
        <v>0</v>
      </c>
      <c r="Q44" s="9">
        <v>392.91955757141113</v>
      </c>
      <c r="R44" s="9">
        <v>29.475850105285645</v>
      </c>
      <c r="S44" s="9">
        <v>46.823917388916016</v>
      </c>
      <c r="T44" s="9">
        <v>0</v>
      </c>
      <c r="U44">
        <f t="shared" si="1"/>
        <v>1006.0641040802002</v>
      </c>
    </row>
    <row r="45" spans="1:21" x14ac:dyDescent="0.25">
      <c r="A45" s="12">
        <v>0.875</v>
      </c>
      <c r="B45" s="6">
        <v>85.389514629268632</v>
      </c>
      <c r="C45" s="6">
        <v>3.346269244480133</v>
      </c>
      <c r="D45" s="6">
        <v>0.27757816123962398</v>
      </c>
      <c r="E45" s="6">
        <v>46.873303788375864</v>
      </c>
      <c r="F45" s="6">
        <v>59.673412508392332</v>
      </c>
      <c r="G45" s="6">
        <v>0.20834120178222654</v>
      </c>
      <c r="H45" s="6">
        <v>129.75024254179002</v>
      </c>
      <c r="I45" s="6">
        <v>0</v>
      </c>
      <c r="J45" s="6">
        <f t="shared" si="0"/>
        <v>325.51866207532885</v>
      </c>
      <c r="L45" s="12">
        <v>0.875</v>
      </c>
      <c r="M45" s="9">
        <v>464.88176822662354</v>
      </c>
      <c r="N45" s="9">
        <v>0</v>
      </c>
      <c r="O45" s="9">
        <v>0</v>
      </c>
      <c r="P45" s="9">
        <v>0</v>
      </c>
      <c r="Q45" s="9">
        <v>320.22581195831299</v>
      </c>
      <c r="R45" s="9">
        <v>21.056798934936523</v>
      </c>
      <c r="S45" s="9">
        <v>30.722573280334473</v>
      </c>
      <c r="T45" s="9">
        <v>0</v>
      </c>
      <c r="U45">
        <f t="shared" si="1"/>
        <v>836.88695240020752</v>
      </c>
    </row>
    <row r="46" spans="1:21" x14ac:dyDescent="0.25">
      <c r="A46" s="12">
        <v>0.89583333333333337</v>
      </c>
      <c r="B46" s="6">
        <v>65.611811762809751</v>
      </c>
      <c r="C46" s="6">
        <v>1.0745265422821044</v>
      </c>
      <c r="D46" s="6">
        <v>4.3773980140686036E-2</v>
      </c>
      <c r="E46" s="6">
        <v>20.714197758769991</v>
      </c>
      <c r="F46" s="6">
        <v>40.555327986717224</v>
      </c>
      <c r="G46" s="6">
        <v>3.3675444221496577E-2</v>
      </c>
      <c r="H46" s="6">
        <v>233.17898663291933</v>
      </c>
      <c r="I46" s="6">
        <v>0</v>
      </c>
      <c r="J46" s="6">
        <f t="shared" si="0"/>
        <v>361.21230010786059</v>
      </c>
      <c r="L46" s="12">
        <v>0.89583333333333337</v>
      </c>
      <c r="M46" s="9">
        <v>374.27099609375</v>
      </c>
      <c r="N46" s="9">
        <v>0</v>
      </c>
      <c r="O46" s="9">
        <v>0</v>
      </c>
      <c r="P46" s="9">
        <v>0</v>
      </c>
      <c r="Q46" s="9">
        <v>247.98988819122314</v>
      </c>
      <c r="R46" s="9">
        <v>14.686202049255371</v>
      </c>
      <c r="S46" s="9">
        <v>20.609901428222656</v>
      </c>
      <c r="T46" s="9">
        <v>0</v>
      </c>
      <c r="U46">
        <f t="shared" si="1"/>
        <v>657.55698776245117</v>
      </c>
    </row>
    <row r="47" spans="1:21" x14ac:dyDescent="0.25">
      <c r="A47" s="12">
        <v>0.91666666666666663</v>
      </c>
      <c r="B47" s="6">
        <v>46.120567254161827</v>
      </c>
      <c r="C47" s="6">
        <v>0.28621980628967281</v>
      </c>
      <c r="D47" s="6">
        <v>4.3719829559326169E-3</v>
      </c>
      <c r="E47" s="6">
        <v>11.167611398506164</v>
      </c>
      <c r="F47" s="6">
        <v>27.975417427730562</v>
      </c>
      <c r="G47" s="6">
        <v>3.4975013732910149E-3</v>
      </c>
      <c r="H47" s="6">
        <v>438.70181791572571</v>
      </c>
      <c r="I47" s="6">
        <v>0</v>
      </c>
      <c r="J47" s="6">
        <f t="shared" si="0"/>
        <v>524.25950328674321</v>
      </c>
      <c r="L47" s="12">
        <v>0.91666666666666663</v>
      </c>
      <c r="M47" s="9">
        <v>271.83087635040283</v>
      </c>
      <c r="N47" s="9">
        <v>0</v>
      </c>
      <c r="O47" s="9">
        <v>0</v>
      </c>
      <c r="P47" s="9">
        <v>0</v>
      </c>
      <c r="Q47" s="9">
        <v>175.19026470184326</v>
      </c>
      <c r="R47" s="9">
        <v>9.5937328338623047</v>
      </c>
      <c r="S47" s="9">
        <v>13.541830062866211</v>
      </c>
      <c r="T47" s="9">
        <v>0</v>
      </c>
      <c r="U47">
        <f t="shared" si="1"/>
        <v>470.15670394897461</v>
      </c>
    </row>
    <row r="48" spans="1:21" x14ac:dyDescent="0.25">
      <c r="A48" s="12">
        <v>0.9375</v>
      </c>
      <c r="B48" s="6">
        <v>27.773202118015288</v>
      </c>
      <c r="C48" s="6">
        <v>6.0625219535827633E-2</v>
      </c>
      <c r="D48" s="6">
        <v>2.0793180465698241E-4</v>
      </c>
      <c r="E48" s="6">
        <v>10.462387824535369</v>
      </c>
      <c r="F48" s="6">
        <v>18.995820310783387</v>
      </c>
      <c r="G48" s="6">
        <v>1.7487506866455078E-4</v>
      </c>
      <c r="H48" s="6">
        <v>706.09201987457288</v>
      </c>
      <c r="I48" s="6">
        <v>0</v>
      </c>
      <c r="J48" s="6">
        <f t="shared" si="0"/>
        <v>763.38443815431606</v>
      </c>
      <c r="L48" s="12">
        <v>0.9375</v>
      </c>
      <c r="M48" s="9">
        <v>174.50770378112793</v>
      </c>
      <c r="N48" s="9">
        <v>0</v>
      </c>
      <c r="O48" s="9">
        <v>0</v>
      </c>
      <c r="P48" s="9">
        <v>0</v>
      </c>
      <c r="Q48" s="9">
        <v>109.73794460296631</v>
      </c>
      <c r="R48" s="9">
        <v>5.6416263580322266</v>
      </c>
      <c r="S48" s="9">
        <v>8.3375997543334961</v>
      </c>
      <c r="T48" s="9">
        <v>0</v>
      </c>
      <c r="U48">
        <f t="shared" si="1"/>
        <v>298.22487449645996</v>
      </c>
    </row>
    <row r="49" spans="1:21" x14ac:dyDescent="0.25">
      <c r="A49" s="12">
        <v>0.95833333333333337</v>
      </c>
      <c r="B49" s="6">
        <v>13.800322419071197</v>
      </c>
      <c r="C49" s="6">
        <v>9.5192502021789558E-3</v>
      </c>
      <c r="D49" s="6">
        <v>0</v>
      </c>
      <c r="E49" s="6">
        <v>12.442117864036559</v>
      </c>
      <c r="F49" s="6">
        <v>12.572634904193878</v>
      </c>
      <c r="G49" s="6">
        <v>0</v>
      </c>
      <c r="H49" s="6">
        <v>940.16226305971168</v>
      </c>
      <c r="I49" s="6">
        <v>0</v>
      </c>
      <c r="J49" s="6">
        <f t="shared" si="0"/>
        <v>978.98685749721551</v>
      </c>
      <c r="L49" s="12">
        <v>0.95833333333333337</v>
      </c>
      <c r="M49" s="9">
        <v>97.992377281188965</v>
      </c>
      <c r="N49" s="9">
        <v>0</v>
      </c>
      <c r="O49" s="9">
        <v>0</v>
      </c>
      <c r="P49" s="9">
        <v>0</v>
      </c>
      <c r="Q49" s="9">
        <v>60.040534019470215</v>
      </c>
      <c r="R49" s="9">
        <v>2.8930139541625977</v>
      </c>
      <c r="S49" s="9">
        <v>4.7060976028442383</v>
      </c>
      <c r="T49" s="9">
        <v>0</v>
      </c>
      <c r="U49">
        <f t="shared" si="1"/>
        <v>165.63202285766602</v>
      </c>
    </row>
    <row r="50" spans="1:21" x14ac:dyDescent="0.25">
      <c r="A50" s="12">
        <v>0.97916666666666663</v>
      </c>
      <c r="B50" s="6">
        <v>5.512305627441406</v>
      </c>
      <c r="C50" s="6">
        <v>9.7747611999511727E-4</v>
      </c>
      <c r="D50" s="6">
        <v>0</v>
      </c>
      <c r="E50" s="6">
        <v>13.472738531494141</v>
      </c>
      <c r="F50" s="6">
        <v>8.0178011426925657</v>
      </c>
      <c r="G50" s="6">
        <v>0</v>
      </c>
      <c r="H50" s="6">
        <v>1034.0003118194581</v>
      </c>
      <c r="I50" s="6">
        <v>0</v>
      </c>
      <c r="J50" s="6">
        <f t="shared" si="0"/>
        <v>1061.0041345972063</v>
      </c>
      <c r="L50" s="12">
        <v>0.97916666666666663</v>
      </c>
      <c r="M50" s="9">
        <v>48.157726287841797</v>
      </c>
      <c r="N50" s="9">
        <v>0</v>
      </c>
      <c r="O50" s="9">
        <v>0</v>
      </c>
      <c r="P50" s="9">
        <v>0</v>
      </c>
      <c r="Q50" s="9">
        <v>28.65955638885498</v>
      </c>
      <c r="R50" s="9">
        <v>1.2602605819702148</v>
      </c>
      <c r="S50" s="9">
        <v>2.4484491348266602</v>
      </c>
      <c r="T50" s="9">
        <v>0</v>
      </c>
      <c r="U50">
        <f t="shared" si="1"/>
        <v>80.525992393493652</v>
      </c>
    </row>
    <row r="51" spans="1:21" x14ac:dyDescent="0.25">
      <c r="A51" s="12">
        <v>1</v>
      </c>
      <c r="B51" s="6">
        <v>1.7222548727989198</v>
      </c>
      <c r="C51" s="6">
        <v>4.8873805999755861E-5</v>
      </c>
      <c r="D51" s="6">
        <v>0</v>
      </c>
      <c r="E51" s="6">
        <v>12.228547573947903</v>
      </c>
      <c r="F51" s="6">
        <v>4.7943591146469124</v>
      </c>
      <c r="G51" s="6">
        <v>0</v>
      </c>
      <c r="H51" s="6">
        <v>939.9845208024027</v>
      </c>
      <c r="I51" s="6">
        <v>0</v>
      </c>
      <c r="J51" s="6">
        <f t="shared" si="0"/>
        <v>958.72973123760244</v>
      </c>
      <c r="L51" s="12">
        <v>1</v>
      </c>
      <c r="M51" s="9">
        <v>21.023078918457031</v>
      </c>
      <c r="N51" s="9">
        <v>0</v>
      </c>
      <c r="O51" s="9">
        <v>0</v>
      </c>
      <c r="P51" s="9">
        <v>0</v>
      </c>
      <c r="Q51" s="9">
        <v>12.143694877624512</v>
      </c>
      <c r="R51" s="9">
        <v>0.45490360260009766</v>
      </c>
      <c r="S51" s="9">
        <v>1.2052679061889648</v>
      </c>
      <c r="T51" s="9">
        <v>0</v>
      </c>
      <c r="U51">
        <f t="shared" si="1"/>
        <v>34.826945304870605</v>
      </c>
    </row>
    <row r="52" spans="1:21" x14ac:dyDescent="0.25">
      <c r="A52" s="12">
        <v>1.0208333333333333</v>
      </c>
      <c r="B52" s="6">
        <v>0.40523644065856934</v>
      </c>
      <c r="C52" s="6">
        <v>0</v>
      </c>
      <c r="D52" s="6">
        <v>0</v>
      </c>
      <c r="E52" s="6">
        <v>9.1705640058517446</v>
      </c>
      <c r="F52" s="6">
        <v>2.5886777925491335</v>
      </c>
      <c r="G52" s="6">
        <v>0</v>
      </c>
      <c r="H52" s="6">
        <v>704.98771913337714</v>
      </c>
      <c r="I52" s="6">
        <v>0</v>
      </c>
      <c r="J52" s="6">
        <f t="shared" si="0"/>
        <v>717.1521973724366</v>
      </c>
      <c r="L52" s="12">
        <v>1.0208333333333333</v>
      </c>
      <c r="M52" s="9">
        <v>8.4031295776367188</v>
      </c>
      <c r="N52" s="9">
        <v>0</v>
      </c>
      <c r="O52" s="9">
        <v>0</v>
      </c>
      <c r="P52" s="9">
        <v>0</v>
      </c>
      <c r="Q52" s="9">
        <v>4.753178596496582</v>
      </c>
      <c r="R52" s="9">
        <v>0.13230514526367188</v>
      </c>
      <c r="S52" s="9">
        <v>0.57500171661376953</v>
      </c>
      <c r="T52" s="9">
        <v>0</v>
      </c>
      <c r="U52">
        <f t="shared" si="1"/>
        <v>13.863615036010742</v>
      </c>
    </row>
    <row r="53" spans="1:21" x14ac:dyDescent="0.25">
      <c r="A53" s="12">
        <v>4.1666666666666664E-2</v>
      </c>
      <c r="B53" s="6">
        <v>6.7539406776428224E-2</v>
      </c>
      <c r="C53" s="6">
        <v>0</v>
      </c>
      <c r="D53" s="6">
        <v>0</v>
      </c>
      <c r="E53" s="6">
        <v>5.6434240036010745</v>
      </c>
      <c r="F53" s="6">
        <v>1.2160606431961059</v>
      </c>
      <c r="G53" s="6">
        <v>0</v>
      </c>
      <c r="H53" s="6">
        <v>433.83859638977054</v>
      </c>
      <c r="I53" s="6">
        <v>0</v>
      </c>
      <c r="J53" s="6">
        <f t="shared" si="0"/>
        <v>440.76562044334418</v>
      </c>
      <c r="L53" s="12">
        <v>4.1666666666666664E-2</v>
      </c>
      <c r="M53" s="9">
        <v>3.1752777099609375</v>
      </c>
      <c r="N53" s="9">
        <v>0</v>
      </c>
      <c r="O53" s="9">
        <v>0</v>
      </c>
      <c r="P53" s="9">
        <v>0</v>
      </c>
      <c r="Q53" s="9">
        <v>1.7998342514038086</v>
      </c>
      <c r="R53" s="9">
        <v>2.9909133911132813E-2</v>
      </c>
      <c r="S53" s="9">
        <v>0.26324176788330078</v>
      </c>
      <c r="T53" s="9">
        <v>0</v>
      </c>
      <c r="U53">
        <f t="shared" si="1"/>
        <v>5.2682628631591797</v>
      </c>
    </row>
    <row r="54" spans="1:21" x14ac:dyDescent="0.25">
      <c r="A54" s="12">
        <v>6.25E-2</v>
      </c>
      <c r="B54" s="6">
        <v>7.1094112396240241E-3</v>
      </c>
      <c r="C54" s="6">
        <v>0</v>
      </c>
      <c r="D54" s="6">
        <v>0</v>
      </c>
      <c r="E54" s="6">
        <v>2.8217120018005373</v>
      </c>
      <c r="F54" s="6">
        <v>0.48134694290161123</v>
      </c>
      <c r="G54" s="6">
        <v>0</v>
      </c>
      <c r="H54" s="6">
        <v>216.91929819488527</v>
      </c>
      <c r="I54" s="6">
        <v>0</v>
      </c>
      <c r="J54" s="6">
        <f t="shared" si="0"/>
        <v>220.22946655082706</v>
      </c>
      <c r="L54" s="12">
        <v>6.25E-2</v>
      </c>
      <c r="M54" s="9">
        <v>1.1364097595214844</v>
      </c>
      <c r="N54" s="9">
        <v>0</v>
      </c>
      <c r="O54" s="9">
        <v>0</v>
      </c>
      <c r="P54" s="9">
        <v>0</v>
      </c>
      <c r="Q54" s="9">
        <v>0.66351509094238281</v>
      </c>
      <c r="R54" s="9">
        <v>4.9905776977539063E-3</v>
      </c>
      <c r="S54" s="9">
        <v>0.11009407043457031</v>
      </c>
      <c r="T54" s="9">
        <v>0</v>
      </c>
      <c r="U54">
        <f t="shared" si="1"/>
        <v>1.9150094985961914</v>
      </c>
    </row>
    <row r="55" spans="1:21" x14ac:dyDescent="0.25">
      <c r="A55" s="12">
        <v>8.3333333333333329E-2</v>
      </c>
      <c r="B55" s="6">
        <v>3.554705619812012E-4</v>
      </c>
      <c r="C55" s="6">
        <v>0</v>
      </c>
      <c r="D55" s="6">
        <v>0</v>
      </c>
      <c r="E55" s="6">
        <v>1.1286848007202148</v>
      </c>
      <c r="F55" s="6">
        <v>0.15596447181701656</v>
      </c>
      <c r="G55" s="6">
        <v>0</v>
      </c>
      <c r="H55" s="6">
        <v>86.767719277954114</v>
      </c>
      <c r="I55" s="6">
        <v>0</v>
      </c>
      <c r="J55" s="6">
        <f t="shared" si="0"/>
        <v>88.052724021053322</v>
      </c>
      <c r="L55" s="12">
        <v>8.3333333333333329E-2</v>
      </c>
      <c r="M55" s="9">
        <v>0.36830615997314453</v>
      </c>
      <c r="N55" s="9">
        <v>0</v>
      </c>
      <c r="O55" s="9">
        <v>0</v>
      </c>
      <c r="P55" s="9">
        <v>0</v>
      </c>
      <c r="Q55" s="9">
        <v>0.22502899169921875</v>
      </c>
      <c r="R55" s="9">
        <v>5.6552886962890625E-4</v>
      </c>
      <c r="S55" s="9">
        <v>3.9481163024902344E-2</v>
      </c>
      <c r="T55" s="9">
        <v>0</v>
      </c>
      <c r="U55">
        <f t="shared" si="1"/>
        <v>0.63338184356689453</v>
      </c>
    </row>
    <row r="56" spans="1:21" x14ac:dyDescent="0.25">
      <c r="A56" s="12">
        <v>0.10416666666666667</v>
      </c>
      <c r="B56" s="6">
        <v>0</v>
      </c>
      <c r="C56" s="6">
        <v>0</v>
      </c>
      <c r="D56" s="6">
        <v>0</v>
      </c>
      <c r="E56" s="6">
        <v>0.35264120063781734</v>
      </c>
      <c r="F56" s="6">
        <v>4.0098961830139147E-2</v>
      </c>
      <c r="G56" s="6">
        <v>0</v>
      </c>
      <c r="H56" s="6">
        <v>27.109315801239013</v>
      </c>
      <c r="I56" s="6">
        <v>0</v>
      </c>
      <c r="J56" s="6">
        <f t="shared" si="0"/>
        <v>27.502055963706969</v>
      </c>
      <c r="L56" s="12">
        <v>0.10416666666666667</v>
      </c>
      <c r="M56" s="9">
        <v>0.10064220428466797</v>
      </c>
      <c r="N56" s="9">
        <v>0</v>
      </c>
      <c r="O56" s="9">
        <v>0</v>
      </c>
      <c r="P56" s="9">
        <v>0</v>
      </c>
      <c r="Q56" s="9">
        <v>6.4493179321289063E-2</v>
      </c>
      <c r="R56" s="9">
        <v>3.719329833984375E-5</v>
      </c>
      <c r="S56" s="9">
        <v>1.1445999145507813E-2</v>
      </c>
      <c r="T56" s="9">
        <v>0</v>
      </c>
      <c r="U56">
        <f t="shared" si="1"/>
        <v>0.17661857604980469</v>
      </c>
    </row>
    <row r="57" spans="1:21" x14ac:dyDescent="0.25">
      <c r="A57" s="12">
        <v>0.125</v>
      </c>
      <c r="B57" s="6">
        <v>0</v>
      </c>
      <c r="C57" s="6">
        <v>0</v>
      </c>
      <c r="D57" s="6">
        <v>0</v>
      </c>
      <c r="E57" s="6">
        <v>8.1535537719726561E-2</v>
      </c>
      <c r="F57" s="6">
        <v>7.7595891952514633E-3</v>
      </c>
      <c r="G57" s="6">
        <v>0</v>
      </c>
      <c r="H57" s="6">
        <v>6.2680498962402353</v>
      </c>
      <c r="I57" s="6">
        <v>0</v>
      </c>
      <c r="J57" s="6">
        <f t="shared" si="0"/>
        <v>6.3573450231552133</v>
      </c>
      <c r="L57" s="12">
        <v>0.125</v>
      </c>
      <c r="M57" s="9">
        <v>2.1195411682128906E-2</v>
      </c>
      <c r="N57" s="9">
        <v>0</v>
      </c>
      <c r="O57" s="9">
        <v>0</v>
      </c>
      <c r="P57" s="9">
        <v>0</v>
      </c>
      <c r="Q57" s="9">
        <v>1.4181137084960938E-2</v>
      </c>
      <c r="R57" s="9">
        <v>9.5367431640625E-7</v>
      </c>
      <c r="S57" s="9">
        <v>2.4967193603515625E-3</v>
      </c>
      <c r="T57" s="9">
        <v>0</v>
      </c>
      <c r="U57">
        <f t="shared" si="1"/>
        <v>3.7874221801757813E-2</v>
      </c>
    </row>
    <row r="58" spans="1:21" ht="15.75" thickBot="1" x14ac:dyDescent="0.3">
      <c r="A58" s="13" t="s">
        <v>6</v>
      </c>
      <c r="B58" s="7">
        <v>0</v>
      </c>
      <c r="C58" s="7">
        <v>0</v>
      </c>
      <c r="D58" s="7">
        <v>0</v>
      </c>
      <c r="E58" s="7">
        <v>0</v>
      </c>
      <c r="F58" s="7">
        <v>0</v>
      </c>
      <c r="G58" s="7">
        <v>0</v>
      </c>
      <c r="H58" s="7">
        <v>0</v>
      </c>
      <c r="I58" s="7">
        <v>0</v>
      </c>
      <c r="J58" s="7">
        <f t="shared" si="0"/>
        <v>0</v>
      </c>
      <c r="L58" s="13" t="s">
        <v>6</v>
      </c>
      <c r="M58" s="10">
        <v>0</v>
      </c>
      <c r="N58" s="10">
        <v>0</v>
      </c>
      <c r="O58" s="10">
        <v>0</v>
      </c>
      <c r="P58" s="10">
        <v>0</v>
      </c>
      <c r="Q58" s="10">
        <v>0</v>
      </c>
      <c r="R58" s="10">
        <v>0</v>
      </c>
      <c r="S58" s="10">
        <v>0</v>
      </c>
      <c r="T58" s="10">
        <v>0</v>
      </c>
      <c r="U58" s="1">
        <f t="shared" si="1"/>
        <v>0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58"/>
  <sheetViews>
    <sheetView workbookViewId="0">
      <selection activeCell="A3" sqref="A3"/>
    </sheetView>
  </sheetViews>
  <sheetFormatPr defaultRowHeight="15" x14ac:dyDescent="0.25"/>
  <cols>
    <col min="1" max="1" width="12.7109375" customWidth="1" collapsed="1"/>
    <col min="2" max="10" width="10.7109375" customWidth="1" collapsed="1"/>
    <col min="11" max="11" width="6.42578125" customWidth="1" collapsed="1"/>
    <col min="12" max="12" width="12.7109375" customWidth="1" collapsed="1"/>
    <col min="13" max="21" width="10.7109375" customWidth="1" collapsed="1"/>
  </cols>
  <sheetData>
    <row r="1" spans="1:26" x14ac:dyDescent="0.25">
      <c r="A1" t="s">
        <v>29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r="6" spans="1:26" ht="15.75" thickBot="1" x14ac:dyDescent="0.3">
      <c r="A6" s="3" t="s">
        <v>53</v>
      </c>
      <c r="B6" s="1"/>
      <c r="C6" s="1"/>
      <c r="D6" s="1"/>
      <c r="E6" s="1"/>
      <c r="F6" s="1"/>
      <c r="G6" s="1"/>
      <c r="H6" s="1"/>
      <c r="I6" s="1"/>
      <c r="J6" s="1"/>
      <c r="L6" s="3" t="s">
        <v>28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>
        <v>0</v>
      </c>
      <c r="C8" s="6">
        <v>0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f>SUM(B8:I8)</f>
        <v>0</v>
      </c>
      <c r="L8" t="s">
        <v>5</v>
      </c>
      <c r="M8" s="9">
        <v>60</v>
      </c>
      <c r="N8" s="9">
        <v>9</v>
      </c>
      <c r="O8" s="9">
        <v>1</v>
      </c>
      <c r="P8" s="9">
        <v>10</v>
      </c>
      <c r="Q8" s="9">
        <v>16</v>
      </c>
      <c r="R8" s="9">
        <v>0</v>
      </c>
      <c r="S8" s="9">
        <v>12</v>
      </c>
      <c r="T8" s="9">
        <v>0</v>
      </c>
      <c r="U8">
        <f>SUM(M8:T8)</f>
        <v>108</v>
      </c>
      <c r="W8" s="5"/>
      <c r="X8" s="16"/>
      <c r="Y8" s="16"/>
      <c r="Z8" s="5"/>
    </row>
    <row r="9" spans="1:26" x14ac:dyDescent="0.25">
      <c r="A9" s="12">
        <v>0.125</v>
      </c>
      <c r="B9" s="6">
        <v>637.08429207344057</v>
      </c>
      <c r="C9" s="6">
        <v>141.00671880321499</v>
      </c>
      <c r="D9" s="6">
        <v>63.581421686553952</v>
      </c>
      <c r="E9" s="6">
        <v>254.20902184963222</v>
      </c>
      <c r="F9" s="6">
        <v>33.863853815937041</v>
      </c>
      <c r="G9" s="6">
        <v>3.9018478393554687E-4</v>
      </c>
      <c r="H9" s="6">
        <v>178.35907814674377</v>
      </c>
      <c r="I9" s="6">
        <v>0</v>
      </c>
      <c r="J9" s="6">
        <f t="shared" ref="J9:J58" si="0">SUM(B9:I9)</f>
        <v>1308.1047765603066</v>
      </c>
      <c r="L9" s="12">
        <v>0.125</v>
      </c>
      <c r="M9" s="9">
        <v>355.28983211517334</v>
      </c>
      <c r="N9" s="9">
        <v>49.301628112792969</v>
      </c>
      <c r="O9" s="9">
        <v>33.963700294494629</v>
      </c>
      <c r="P9" s="9">
        <v>104.41543769836426</v>
      </c>
      <c r="Q9" s="9">
        <v>58.348311424255371</v>
      </c>
      <c r="R9" s="9">
        <v>11.510100364685059</v>
      </c>
      <c r="S9" s="9">
        <v>105.71016883850098</v>
      </c>
      <c r="T9" s="9">
        <v>0</v>
      </c>
      <c r="U9">
        <f t="shared" ref="U9:U58" si="1">SUM(M9:T9)</f>
        <v>718.5391788482666</v>
      </c>
      <c r="W9" s="5"/>
      <c r="X9" s="16"/>
      <c r="Y9" s="16"/>
      <c r="Z9" s="5"/>
    </row>
    <row r="10" spans="1:26" x14ac:dyDescent="0.25">
      <c r="A10" s="12">
        <v>0.14583333333333334</v>
      </c>
      <c r="B10" s="6">
        <v>1329.2625960775376</v>
      </c>
      <c r="C10" s="6">
        <v>264.3413536747932</v>
      </c>
      <c r="D10" s="6">
        <v>148.8510476568222</v>
      </c>
      <c r="E10" s="6">
        <v>524.90721667213427</v>
      </c>
      <c r="F10" s="6">
        <v>69.351784952926636</v>
      </c>
      <c r="G10" s="6">
        <v>8.6229646682739244E-3</v>
      </c>
      <c r="H10" s="6">
        <v>328.6522231302261</v>
      </c>
      <c r="I10" s="6">
        <v>0</v>
      </c>
      <c r="J10" s="6">
        <f t="shared" si="0"/>
        <v>2665.3748451291081</v>
      </c>
      <c r="L10" s="12">
        <v>0.14583333333333334</v>
      </c>
      <c r="M10" s="9">
        <v>573.76729679107666</v>
      </c>
      <c r="N10" s="9">
        <v>83.39378833770752</v>
      </c>
      <c r="O10" s="9">
        <v>65.055438041687012</v>
      </c>
      <c r="P10" s="9">
        <v>177.99069213867188</v>
      </c>
      <c r="Q10" s="9">
        <v>82.448986053466797</v>
      </c>
      <c r="R10" s="9">
        <v>18.922932624816895</v>
      </c>
      <c r="S10" s="9">
        <v>165.43050575256348</v>
      </c>
      <c r="T10" s="9">
        <v>0</v>
      </c>
      <c r="U10">
        <f t="shared" si="1"/>
        <v>1167.0096397399902</v>
      </c>
      <c r="W10" s="5"/>
      <c r="X10" s="16"/>
      <c r="Y10" s="16"/>
      <c r="Z10" s="5"/>
    </row>
    <row r="11" spans="1:26" x14ac:dyDescent="0.25">
      <c r="A11" s="12">
        <v>0.16666666666666666</v>
      </c>
      <c r="B11" s="6">
        <v>2133.9259363366127</v>
      </c>
      <c r="C11" s="6">
        <v>387.67471253204349</v>
      </c>
      <c r="D11" s="6">
        <v>288.13134855718613</v>
      </c>
      <c r="E11" s="6">
        <v>847.29867801990486</v>
      </c>
      <c r="F11" s="6">
        <v>107.19044428033828</v>
      </c>
      <c r="G11" s="6">
        <v>9.0520488739013666E-2</v>
      </c>
      <c r="H11" s="6">
        <v>425.25461945590962</v>
      </c>
      <c r="I11" s="6">
        <v>0</v>
      </c>
      <c r="J11" s="6">
        <f t="shared" si="0"/>
        <v>4189.5662596707343</v>
      </c>
      <c r="L11" s="12">
        <v>0.16666666666666666</v>
      </c>
      <c r="M11" s="9">
        <v>772.87832164764404</v>
      </c>
      <c r="N11" s="9">
        <v>133.23210048675537</v>
      </c>
      <c r="O11" s="9">
        <v>121.99250984191895</v>
      </c>
      <c r="P11" s="9">
        <v>272.92655181884766</v>
      </c>
      <c r="Q11" s="9">
        <v>88.466143608093262</v>
      </c>
      <c r="R11" s="9">
        <v>22.726160049438477</v>
      </c>
      <c r="S11" s="9">
        <v>198.76049041748047</v>
      </c>
      <c r="T11" s="9">
        <v>0</v>
      </c>
      <c r="U11">
        <f t="shared" si="1"/>
        <v>1610.9822778701782</v>
      </c>
      <c r="W11" s="5"/>
      <c r="X11" s="16"/>
      <c r="Y11" s="16"/>
      <c r="Z11" s="5"/>
    </row>
    <row r="12" spans="1:26" x14ac:dyDescent="0.25">
      <c r="A12" s="12">
        <v>0.1875</v>
      </c>
      <c r="B12" s="6">
        <v>3119.6051356148723</v>
      </c>
      <c r="C12" s="6">
        <v>577.42357036600106</v>
      </c>
      <c r="D12" s="6">
        <v>528.96544470405581</v>
      </c>
      <c r="E12" s="6">
        <v>1301.4157583493231</v>
      </c>
      <c r="F12" s="6">
        <v>148.89779711141588</v>
      </c>
      <c r="G12" s="6">
        <v>0.60060519790649414</v>
      </c>
      <c r="H12" s="6">
        <v>460.76941243104932</v>
      </c>
      <c r="I12" s="6">
        <v>0</v>
      </c>
      <c r="J12" s="6">
        <f t="shared" si="0"/>
        <v>6137.6777237746237</v>
      </c>
      <c r="L12" s="12">
        <v>0.1875</v>
      </c>
      <c r="M12" s="9">
        <v>1196.6953067779541</v>
      </c>
      <c r="N12" s="9">
        <v>270.56855583190918</v>
      </c>
      <c r="O12" s="9">
        <v>290.69751071929932</v>
      </c>
      <c r="P12" s="9">
        <v>542.96322536468506</v>
      </c>
      <c r="Q12" s="9">
        <v>100.43294715881348</v>
      </c>
      <c r="R12" s="9">
        <v>29.464529037475586</v>
      </c>
      <c r="S12" s="9">
        <v>270.08486938476563</v>
      </c>
      <c r="T12" s="9">
        <v>0</v>
      </c>
      <c r="U12">
        <f t="shared" si="1"/>
        <v>2700.9069442749023</v>
      </c>
      <c r="W12" s="5"/>
      <c r="X12" s="5"/>
      <c r="Y12" s="5"/>
      <c r="Z12" s="5"/>
    </row>
    <row r="13" spans="1:26" x14ac:dyDescent="0.25">
      <c r="A13" s="12">
        <v>0.20833333333333334</v>
      </c>
      <c r="B13" s="6">
        <v>4371.3901727058419</v>
      </c>
      <c r="C13" s="6">
        <v>933.68238885459903</v>
      </c>
      <c r="D13" s="6">
        <v>934.71378699150068</v>
      </c>
      <c r="E13" s="6">
        <v>2042.1967968188283</v>
      </c>
      <c r="F13" s="6">
        <v>201.24371196537021</v>
      </c>
      <c r="G13" s="6">
        <v>2.8270806503295898</v>
      </c>
      <c r="H13" s="6">
        <v>467.46239250040048</v>
      </c>
      <c r="I13" s="6">
        <v>0</v>
      </c>
      <c r="J13" s="6">
        <f t="shared" si="0"/>
        <v>8953.5163304868693</v>
      </c>
      <c r="L13" s="12">
        <v>0.20833333333333334</v>
      </c>
      <c r="M13" s="9">
        <v>2217.329231262207</v>
      </c>
      <c r="N13" s="9">
        <v>624.69443988800049</v>
      </c>
      <c r="O13" s="9">
        <v>736.15730762481689</v>
      </c>
      <c r="P13" s="9">
        <v>1276.1444044113159</v>
      </c>
      <c r="Q13" s="9">
        <v>158.72755146026611</v>
      </c>
      <c r="R13" s="9">
        <v>49.730818748474121</v>
      </c>
      <c r="S13" s="9">
        <v>485.21884441375732</v>
      </c>
      <c r="T13" s="9">
        <v>0</v>
      </c>
      <c r="U13">
        <f t="shared" si="1"/>
        <v>5548.0025978088379</v>
      </c>
    </row>
    <row r="14" spans="1:26" x14ac:dyDescent="0.25">
      <c r="A14" s="12">
        <v>0.22916666666666666</v>
      </c>
      <c r="B14" s="6">
        <v>5969.4361119555479</v>
      </c>
      <c r="C14" s="6">
        <v>1556.2230812715529</v>
      </c>
      <c r="D14" s="6">
        <v>1589.2329811463353</v>
      </c>
      <c r="E14" s="6">
        <v>3312.7624966608996</v>
      </c>
      <c r="F14" s="6">
        <v>279.39482072982787</v>
      </c>
      <c r="G14" s="6">
        <v>10.044526207923891</v>
      </c>
      <c r="H14" s="6">
        <v>523.53683825330722</v>
      </c>
      <c r="I14" s="6">
        <v>0</v>
      </c>
      <c r="J14" s="6">
        <f t="shared" si="0"/>
        <v>13240.630856225394</v>
      </c>
      <c r="L14" s="12">
        <v>0.22916666666666666</v>
      </c>
      <c r="M14" s="9">
        <v>4176.9686498641968</v>
      </c>
      <c r="N14" s="9">
        <v>1362.2071380615234</v>
      </c>
      <c r="O14" s="9">
        <v>1693.6530323028564</v>
      </c>
      <c r="P14" s="9">
        <v>2865.6170778274536</v>
      </c>
      <c r="Q14" s="9">
        <v>307.22356033325195</v>
      </c>
      <c r="R14" s="9">
        <v>94.090134620666504</v>
      </c>
      <c r="S14" s="9">
        <v>954.65488433837891</v>
      </c>
      <c r="T14" s="9">
        <v>0</v>
      </c>
      <c r="U14">
        <f t="shared" si="1"/>
        <v>11454.414477348328</v>
      </c>
    </row>
    <row r="15" spans="1:26" x14ac:dyDescent="0.25">
      <c r="A15" s="12">
        <v>0.25</v>
      </c>
      <c r="B15" s="6">
        <v>7929.8241242300046</v>
      </c>
      <c r="C15" s="6">
        <v>2506.5108611367223</v>
      </c>
      <c r="D15" s="6">
        <v>2607.3691096858024</v>
      </c>
      <c r="E15" s="6">
        <v>5404.4035567817682</v>
      </c>
      <c r="F15" s="6">
        <v>402.4152940365791</v>
      </c>
      <c r="G15" s="6">
        <v>27.985604275035865</v>
      </c>
      <c r="H15" s="6">
        <v>732.65051692028044</v>
      </c>
      <c r="I15" s="6">
        <v>0</v>
      </c>
      <c r="J15" s="6">
        <f t="shared" si="0"/>
        <v>19611.15906706619</v>
      </c>
      <c r="L15" s="12">
        <v>0.25</v>
      </c>
      <c r="M15" s="9">
        <v>7172.0744581222534</v>
      </c>
      <c r="N15" s="9">
        <v>2624.4966306686401</v>
      </c>
      <c r="O15" s="9">
        <v>3400.8762741088867</v>
      </c>
      <c r="P15" s="9">
        <v>5688.7366962432861</v>
      </c>
      <c r="Q15" s="9">
        <v>578.41429710388184</v>
      </c>
      <c r="R15" s="9">
        <v>168.1000509262085</v>
      </c>
      <c r="S15" s="9">
        <v>1742.4256153106689</v>
      </c>
      <c r="T15" s="9">
        <v>0</v>
      </c>
      <c r="U15">
        <f t="shared" si="1"/>
        <v>21375.124022483826</v>
      </c>
    </row>
    <row r="16" spans="1:26" x14ac:dyDescent="0.25">
      <c r="A16" s="12">
        <v>0.27083333333333331</v>
      </c>
      <c r="B16" s="6">
        <v>10134.429887833883</v>
      </c>
      <c r="C16" s="6">
        <v>3777.8439695624352</v>
      </c>
      <c r="D16" s="6">
        <v>4136.2243782371515</v>
      </c>
      <c r="E16" s="6">
        <v>8531.9972610849363</v>
      </c>
      <c r="F16" s="6">
        <v>579.87225378446567</v>
      </c>
      <c r="G16" s="6">
        <v>62.727426746559146</v>
      </c>
      <c r="H16" s="6">
        <v>1181.0065419203759</v>
      </c>
      <c r="I16" s="6">
        <v>0</v>
      </c>
      <c r="J16" s="6">
        <f t="shared" si="0"/>
        <v>28404.101719169805</v>
      </c>
      <c r="L16" s="12">
        <v>0.27083333333333331</v>
      </c>
      <c r="M16" s="9">
        <v>10887.067260742188</v>
      </c>
      <c r="N16" s="9">
        <v>4435.0461435317993</v>
      </c>
      <c r="O16" s="9">
        <v>5970.054069519043</v>
      </c>
      <c r="P16" s="9">
        <v>9897.6871738433838</v>
      </c>
      <c r="Q16" s="9">
        <v>976.42895793914795</v>
      </c>
      <c r="R16" s="9">
        <v>267.91079711914063</v>
      </c>
      <c r="S16" s="9">
        <v>2814.8259563446045</v>
      </c>
      <c r="T16" s="9">
        <v>0</v>
      </c>
      <c r="U16">
        <f t="shared" si="1"/>
        <v>35249.020359039307</v>
      </c>
    </row>
    <row r="17" spans="1:21" x14ac:dyDescent="0.25">
      <c r="A17" s="12">
        <v>0.29166666666666669</v>
      </c>
      <c r="B17" s="6">
        <v>12305.88465443211</v>
      </c>
      <c r="C17" s="6">
        <v>5282.452399111271</v>
      </c>
      <c r="D17" s="6">
        <v>6320.02360653286</v>
      </c>
      <c r="E17" s="6">
        <v>12648.476731853865</v>
      </c>
      <c r="F17" s="6">
        <v>798.64608902053806</v>
      </c>
      <c r="G17" s="6">
        <v>115.23538964033129</v>
      </c>
      <c r="H17" s="6">
        <v>1885.9475315020563</v>
      </c>
      <c r="I17" s="6">
        <v>0</v>
      </c>
      <c r="J17" s="6">
        <f t="shared" si="0"/>
        <v>39356.666402093026</v>
      </c>
      <c r="L17" s="12">
        <v>0.29166666666666669</v>
      </c>
      <c r="M17" s="9">
        <v>14626.001099586487</v>
      </c>
      <c r="N17" s="9">
        <v>6629.2634181976318</v>
      </c>
      <c r="O17" s="9">
        <v>9259.1411828994751</v>
      </c>
      <c r="P17" s="9">
        <v>15220.904609680176</v>
      </c>
      <c r="Q17" s="9">
        <v>1464.0466527938843</v>
      </c>
      <c r="R17" s="9">
        <v>379.32397937774658</v>
      </c>
      <c r="S17" s="9">
        <v>4021.5857267379761</v>
      </c>
      <c r="T17" s="9">
        <v>0</v>
      </c>
      <c r="U17">
        <f t="shared" si="1"/>
        <v>51600.266669273376</v>
      </c>
    </row>
    <row r="18" spans="1:21" x14ac:dyDescent="0.25">
      <c r="A18" s="12">
        <v>0.3125</v>
      </c>
      <c r="B18" s="6">
        <v>14073.601297019388</v>
      </c>
      <c r="C18" s="6">
        <v>6862.7227106431001</v>
      </c>
      <c r="D18" s="6">
        <v>9212.3934245333676</v>
      </c>
      <c r="E18" s="6">
        <v>17317.857747260092</v>
      </c>
      <c r="F18" s="6">
        <v>1023.1803544859883</v>
      </c>
      <c r="G18" s="6">
        <v>176.2710915565491</v>
      </c>
      <c r="H18" s="6">
        <v>2759.7716801908496</v>
      </c>
      <c r="I18" s="6">
        <v>0</v>
      </c>
      <c r="J18" s="6">
        <f t="shared" si="0"/>
        <v>51425.798305689328</v>
      </c>
      <c r="L18" s="12">
        <v>0.3125</v>
      </c>
      <c r="M18" s="9">
        <v>17586.392462730408</v>
      </c>
      <c r="N18" s="9">
        <v>8868.572657585144</v>
      </c>
      <c r="O18" s="9">
        <v>12837.983682632446</v>
      </c>
      <c r="P18" s="9">
        <v>20929.364943504333</v>
      </c>
      <c r="Q18" s="9">
        <v>1965.6190118789673</v>
      </c>
      <c r="R18" s="9">
        <v>482.46440505981445</v>
      </c>
      <c r="S18" s="9">
        <v>5137.58216381073</v>
      </c>
      <c r="T18" s="9">
        <v>0</v>
      </c>
      <c r="U18">
        <f t="shared" si="1"/>
        <v>67807.979327201843</v>
      </c>
    </row>
    <row r="19" spans="1:21" x14ac:dyDescent="0.25">
      <c r="A19" s="12">
        <v>0.33333333333333331</v>
      </c>
      <c r="B19" s="6">
        <v>15123.966663680078</v>
      </c>
      <c r="C19" s="6">
        <v>8328.8524353405955</v>
      </c>
      <c r="D19" s="6">
        <v>12663.719756637098</v>
      </c>
      <c r="E19" s="6">
        <v>21804.463874492736</v>
      </c>
      <c r="F19" s="6">
        <v>1212.969888989162</v>
      </c>
      <c r="G19" s="6">
        <v>228.63487079658506</v>
      </c>
      <c r="H19" s="6">
        <v>3620.4400809702879</v>
      </c>
      <c r="I19" s="6">
        <v>0</v>
      </c>
      <c r="J19" s="6">
        <f t="shared" si="0"/>
        <v>62983.047570906536</v>
      </c>
      <c r="L19" s="12">
        <v>0.33333333333333331</v>
      </c>
      <c r="M19" s="9">
        <v>19217.107788085938</v>
      </c>
      <c r="N19" s="9">
        <v>10753.014155387878</v>
      </c>
      <c r="O19" s="9">
        <v>16106.002217292786</v>
      </c>
      <c r="P19" s="9">
        <v>26048.130242347717</v>
      </c>
      <c r="Q19" s="9">
        <v>2391.0431442260742</v>
      </c>
      <c r="R19" s="9">
        <v>560.21707820892334</v>
      </c>
      <c r="S19" s="9">
        <v>5952.4385862350464</v>
      </c>
      <c r="T19" s="9">
        <v>0</v>
      </c>
      <c r="U19">
        <f t="shared" si="1"/>
        <v>81027.953211784363</v>
      </c>
    </row>
    <row r="20" spans="1:21" x14ac:dyDescent="0.25">
      <c r="A20" s="12">
        <v>0.35416666666666669</v>
      </c>
      <c r="B20" s="6">
        <v>15358.770583464811</v>
      </c>
      <c r="C20" s="6">
        <v>9513.0393925921453</v>
      </c>
      <c r="D20" s="6">
        <v>16267.189254904937</v>
      </c>
      <c r="E20" s="6">
        <v>25401.580572484112</v>
      </c>
      <c r="F20" s="6">
        <v>1346.4232380840297</v>
      </c>
      <c r="G20" s="6">
        <v>259.14050553531649</v>
      </c>
      <c r="H20" s="6">
        <v>4263.2159673301694</v>
      </c>
      <c r="I20" s="6">
        <v>0</v>
      </c>
      <c r="J20" s="6">
        <f t="shared" si="0"/>
        <v>72409.359514395517</v>
      </c>
      <c r="L20" s="12">
        <v>0.35416666666666669</v>
      </c>
      <c r="M20" s="9">
        <v>19419.789627075195</v>
      </c>
      <c r="N20" s="9">
        <v>11975.878357887268</v>
      </c>
      <c r="O20" s="9">
        <v>18515.942909240723</v>
      </c>
      <c r="P20" s="9">
        <v>29724.578211784363</v>
      </c>
      <c r="Q20" s="9">
        <v>2670.2747354507446</v>
      </c>
      <c r="R20" s="9">
        <v>605.14306831359863</v>
      </c>
      <c r="S20" s="9">
        <v>6355.3704433441162</v>
      </c>
      <c r="T20" s="9">
        <v>0</v>
      </c>
      <c r="U20">
        <f t="shared" si="1"/>
        <v>89266.977353096008</v>
      </c>
    </row>
    <row r="21" spans="1:21" x14ac:dyDescent="0.25">
      <c r="A21" s="12">
        <v>0.375</v>
      </c>
      <c r="B21" s="6">
        <v>14952.59685852909</v>
      </c>
      <c r="C21" s="6">
        <v>10317.094946771051</v>
      </c>
      <c r="D21" s="6">
        <v>19450.942675496961</v>
      </c>
      <c r="E21" s="6">
        <v>27780.59768312387</v>
      </c>
      <c r="F21" s="6">
        <v>1434.3211157595629</v>
      </c>
      <c r="G21" s="6">
        <v>271.83036760959624</v>
      </c>
      <c r="H21" s="6">
        <v>4559.4105450046545</v>
      </c>
      <c r="I21" s="6">
        <v>0</v>
      </c>
      <c r="J21" s="6">
        <f t="shared" si="0"/>
        <v>78766.794192294779</v>
      </c>
      <c r="L21" s="12">
        <v>0.375</v>
      </c>
      <c r="M21" s="9">
        <v>18491.018726348877</v>
      </c>
      <c r="N21" s="9">
        <v>12431.377216339111</v>
      </c>
      <c r="O21" s="9">
        <v>19776.691383361816</v>
      </c>
      <c r="P21" s="9">
        <v>31542.387192726135</v>
      </c>
      <c r="Q21" s="9">
        <v>2778.4811153411865</v>
      </c>
      <c r="R21" s="9">
        <v>620.6898775100708</v>
      </c>
      <c r="S21" s="9">
        <v>6365.3633270263672</v>
      </c>
      <c r="T21" s="9">
        <v>0</v>
      </c>
      <c r="U21">
        <f t="shared" si="1"/>
        <v>92006.008838653564</v>
      </c>
    </row>
    <row r="22" spans="1:21" x14ac:dyDescent="0.25">
      <c r="A22" s="12">
        <v>0.39583333333333331</v>
      </c>
      <c r="B22" s="6">
        <v>14251.042871329879</v>
      </c>
      <c r="C22" s="6">
        <v>10731.391021954538</v>
      </c>
      <c r="D22" s="6">
        <v>21707.790782729149</v>
      </c>
      <c r="E22" s="6">
        <v>29064.695764163684</v>
      </c>
      <c r="F22" s="6">
        <v>1512.3275335842131</v>
      </c>
      <c r="G22" s="6">
        <v>288.69215500450133</v>
      </c>
      <c r="H22" s="6">
        <v>4515.0271882943161</v>
      </c>
      <c r="I22" s="6">
        <v>0</v>
      </c>
      <c r="J22" s="6">
        <f t="shared" si="0"/>
        <v>82070.967317060306</v>
      </c>
      <c r="L22" s="12">
        <v>0.39583333333333331</v>
      </c>
      <c r="M22" s="9">
        <v>16906.238935470581</v>
      </c>
      <c r="N22" s="9">
        <v>12221.540147781372</v>
      </c>
      <c r="O22" s="9">
        <v>19924.387420654297</v>
      </c>
      <c r="P22" s="9">
        <v>31611.323784828186</v>
      </c>
      <c r="Q22" s="9">
        <v>2738.4240217208862</v>
      </c>
      <c r="R22" s="9">
        <v>617.16212749481201</v>
      </c>
      <c r="S22" s="9">
        <v>6098.8814105987549</v>
      </c>
      <c r="T22" s="9">
        <v>0</v>
      </c>
      <c r="U22">
        <f t="shared" si="1"/>
        <v>90117.957848548889</v>
      </c>
    </row>
    <row r="23" spans="1:21" x14ac:dyDescent="0.25">
      <c r="A23" s="12">
        <v>0.41666666666666669</v>
      </c>
      <c r="B23" s="6">
        <v>13568.692108170317</v>
      </c>
      <c r="C23" s="6">
        <v>10822.436793856334</v>
      </c>
      <c r="D23" s="6">
        <v>22825.397337941835</v>
      </c>
      <c r="E23" s="6">
        <v>29579.025643516543</v>
      </c>
      <c r="F23" s="6">
        <v>1615.0768732086181</v>
      </c>
      <c r="G23" s="6">
        <v>333.12950070180898</v>
      </c>
      <c r="H23" s="6">
        <v>4250.1235759369856</v>
      </c>
      <c r="I23" s="6">
        <v>0</v>
      </c>
      <c r="J23" s="6">
        <f t="shared" si="0"/>
        <v>82993.881833332431</v>
      </c>
      <c r="L23" s="12">
        <v>0.41666666666666669</v>
      </c>
      <c r="M23" s="9">
        <v>15119.794907569885</v>
      </c>
      <c r="N23" s="9">
        <v>11580.975953102112</v>
      </c>
      <c r="O23" s="9">
        <v>19252.849968910217</v>
      </c>
      <c r="P23" s="9">
        <v>30433.682683944702</v>
      </c>
      <c r="Q23" s="9">
        <v>2603.5011911392212</v>
      </c>
      <c r="R23" s="9">
        <v>606.61716938018799</v>
      </c>
      <c r="S23" s="9">
        <v>5709.250696182251</v>
      </c>
      <c r="T23" s="9">
        <v>0</v>
      </c>
      <c r="U23">
        <f t="shared" si="1"/>
        <v>85306.672570228577</v>
      </c>
    </row>
    <row r="24" spans="1:21" x14ac:dyDescent="0.25">
      <c r="A24" s="12">
        <v>0.4375</v>
      </c>
      <c r="B24" s="6">
        <v>13029.863285742664</v>
      </c>
      <c r="C24" s="6">
        <v>10705.563422952937</v>
      </c>
      <c r="D24" s="6">
        <v>22960.619511507222</v>
      </c>
      <c r="E24" s="6">
        <v>29558.60622610569</v>
      </c>
      <c r="F24" s="6">
        <v>1748.8036150341986</v>
      </c>
      <c r="G24" s="6">
        <v>407.70495976772315</v>
      </c>
      <c r="H24" s="6">
        <v>3927.020051852227</v>
      </c>
      <c r="I24" s="6">
        <v>0</v>
      </c>
      <c r="J24" s="6">
        <f t="shared" si="0"/>
        <v>82338.181072962674</v>
      </c>
      <c r="L24" s="12">
        <v>0.4375</v>
      </c>
      <c r="M24" s="9">
        <v>13478.443922042847</v>
      </c>
      <c r="N24" s="9">
        <v>10784.814147949219</v>
      </c>
      <c r="O24" s="9">
        <v>18184.40623664856</v>
      </c>
      <c r="P24" s="9">
        <v>28688.490361213684</v>
      </c>
      <c r="Q24" s="9">
        <v>2436.7210779190063</v>
      </c>
      <c r="R24" s="9">
        <v>600.51242256164551</v>
      </c>
      <c r="S24" s="9">
        <v>5340.5385131835938</v>
      </c>
      <c r="T24" s="9">
        <v>0</v>
      </c>
      <c r="U24">
        <f t="shared" si="1"/>
        <v>79513.926681518555</v>
      </c>
    </row>
    <row r="25" spans="1:21" x14ac:dyDescent="0.25">
      <c r="A25" s="12">
        <v>0.45833333333333331</v>
      </c>
      <c r="B25" s="6">
        <v>12564.308633008384</v>
      </c>
      <c r="C25" s="6">
        <v>10519.203608933734</v>
      </c>
      <c r="D25" s="6">
        <v>22520.36913141355</v>
      </c>
      <c r="E25" s="6">
        <v>29108.362414277843</v>
      </c>
      <c r="F25" s="6">
        <v>1886.0224854318619</v>
      </c>
      <c r="G25" s="6">
        <v>485.61348653020866</v>
      </c>
      <c r="H25" s="6">
        <v>3686.7955716732026</v>
      </c>
      <c r="I25" s="6">
        <v>0</v>
      </c>
      <c r="J25" s="6">
        <f t="shared" si="0"/>
        <v>80770.675331268794</v>
      </c>
      <c r="L25" s="12">
        <v>0.45833333333333331</v>
      </c>
      <c r="M25" s="9">
        <v>12231.306657791138</v>
      </c>
      <c r="N25" s="9">
        <v>10089.516422271729</v>
      </c>
      <c r="O25" s="9">
        <v>17160.711484909058</v>
      </c>
      <c r="P25" s="9">
        <v>27062.798470497131</v>
      </c>
      <c r="Q25" s="9">
        <v>2297.5904312133789</v>
      </c>
      <c r="R25" s="9">
        <v>610.36646270751953</v>
      </c>
      <c r="S25" s="9">
        <v>5113.217921257019</v>
      </c>
      <c r="T25" s="9">
        <v>0</v>
      </c>
      <c r="U25">
        <f t="shared" si="1"/>
        <v>74565.507850646973</v>
      </c>
    </row>
    <row r="26" spans="1:21" x14ac:dyDescent="0.25">
      <c r="A26" s="12">
        <v>0.47916666666666669</v>
      </c>
      <c r="B26" s="6">
        <v>12050.585413138104</v>
      </c>
      <c r="C26" s="6">
        <v>10403.789526102257</v>
      </c>
      <c r="D26" s="6">
        <v>21936.122352605438</v>
      </c>
      <c r="E26" s="6">
        <v>28388.560281966213</v>
      </c>
      <c r="F26" s="6">
        <v>1991.7316964887621</v>
      </c>
      <c r="G26" s="6">
        <v>526.57694349117287</v>
      </c>
      <c r="H26" s="6">
        <v>3619.7281080791477</v>
      </c>
      <c r="I26" s="6">
        <v>0</v>
      </c>
      <c r="J26" s="6">
        <f t="shared" si="0"/>
        <v>78917.094321871089</v>
      </c>
      <c r="L26" s="12">
        <v>0.47916666666666669</v>
      </c>
      <c r="M26" s="9">
        <v>11560.772703170776</v>
      </c>
      <c r="N26" s="9">
        <v>9704.2979307174683</v>
      </c>
      <c r="O26" s="9">
        <v>16563.897119522095</v>
      </c>
      <c r="P26" s="9">
        <v>26141.99903011322</v>
      </c>
      <c r="Q26" s="9">
        <v>2236.086820602417</v>
      </c>
      <c r="R26" s="9">
        <v>648.39517688751221</v>
      </c>
      <c r="S26" s="9">
        <v>5126.0957307815552</v>
      </c>
      <c r="T26" s="9">
        <v>0</v>
      </c>
      <c r="U26">
        <f t="shared" si="1"/>
        <v>71981.544511795044</v>
      </c>
    </row>
    <row r="27" spans="1:21" x14ac:dyDescent="0.25">
      <c r="A27" s="12">
        <v>0.5</v>
      </c>
      <c r="B27" s="6">
        <v>11491.551173408603</v>
      </c>
      <c r="C27" s="6">
        <v>10479.964932489585</v>
      </c>
      <c r="D27" s="6">
        <v>21452.950887503623</v>
      </c>
      <c r="E27" s="6">
        <v>27742.170730031114</v>
      </c>
      <c r="F27" s="6">
        <v>2060.0372676759721</v>
      </c>
      <c r="G27" s="6">
        <v>508.15039087352761</v>
      </c>
      <c r="H27" s="6">
        <v>3754.3578644433983</v>
      </c>
      <c r="I27" s="6">
        <v>0</v>
      </c>
      <c r="J27" s="6">
        <f t="shared" si="0"/>
        <v>77489.183246425833</v>
      </c>
      <c r="L27" s="12">
        <v>0.5</v>
      </c>
      <c r="M27" s="9">
        <v>11577.202595710754</v>
      </c>
      <c r="N27" s="9">
        <v>9762.9085264205933</v>
      </c>
      <c r="O27" s="9">
        <v>16636.120752334595</v>
      </c>
      <c r="P27" s="9">
        <v>26301.804389953613</v>
      </c>
      <c r="Q27" s="9">
        <v>2285.9276247024536</v>
      </c>
      <c r="R27" s="9">
        <v>725.25953388214111</v>
      </c>
      <c r="S27" s="9">
        <v>5449.9552974700928</v>
      </c>
      <c r="T27" s="9">
        <v>0</v>
      </c>
      <c r="U27">
        <f t="shared" si="1"/>
        <v>72739.178720474243</v>
      </c>
    </row>
    <row r="28" spans="1:21" x14ac:dyDescent="0.25">
      <c r="A28" s="12">
        <v>0.52083333333333337</v>
      </c>
      <c r="B28" s="6">
        <v>11086.661033391665</v>
      </c>
      <c r="C28" s="6">
        <v>10822.81328317318</v>
      </c>
      <c r="D28" s="6">
        <v>21036.168886552619</v>
      </c>
      <c r="E28" s="6">
        <v>27572.081735558037</v>
      </c>
      <c r="F28" s="6">
        <v>2123.3836587067603</v>
      </c>
      <c r="G28" s="6">
        <v>448.72833410863882</v>
      </c>
      <c r="H28" s="6">
        <v>4057.3237216506004</v>
      </c>
      <c r="I28" s="6">
        <v>0</v>
      </c>
      <c r="J28" s="6">
        <f t="shared" si="0"/>
        <v>77147.160653141502</v>
      </c>
      <c r="L28" s="12">
        <v>0.52083333333333337</v>
      </c>
      <c r="M28" s="9">
        <v>12284.506156921387</v>
      </c>
      <c r="N28" s="9">
        <v>10288.822974205017</v>
      </c>
      <c r="O28" s="9">
        <v>17400.673740386963</v>
      </c>
      <c r="P28" s="9">
        <v>27599.695072174072</v>
      </c>
      <c r="Q28" s="9">
        <v>2455.6424045562744</v>
      </c>
      <c r="R28" s="9">
        <v>845.8169527053833</v>
      </c>
      <c r="S28" s="9">
        <v>6109.9269552230835</v>
      </c>
      <c r="T28" s="9">
        <v>0</v>
      </c>
      <c r="U28">
        <f t="shared" si="1"/>
        <v>76985.08425617218</v>
      </c>
    </row>
    <row r="29" spans="1:21" x14ac:dyDescent="0.25">
      <c r="A29" s="12">
        <v>0.54166666666666663</v>
      </c>
      <c r="B29" s="6">
        <v>11144.798391371343</v>
      </c>
      <c r="C29" s="6">
        <v>11433.361206514455</v>
      </c>
      <c r="D29" s="6">
        <v>20456.512858238031</v>
      </c>
      <c r="E29" s="6">
        <v>28061.698181328302</v>
      </c>
      <c r="F29" s="6">
        <v>2219.5936486229898</v>
      </c>
      <c r="G29" s="6">
        <v>402.84848496608743</v>
      </c>
      <c r="H29" s="6">
        <v>4462.459453164387</v>
      </c>
      <c r="I29" s="6">
        <v>0</v>
      </c>
      <c r="J29" s="6">
        <f t="shared" si="0"/>
        <v>78181.27222420559</v>
      </c>
      <c r="L29" s="12">
        <v>0.54166666666666663</v>
      </c>
      <c r="M29" s="9">
        <v>13571.640205383301</v>
      </c>
      <c r="N29" s="9">
        <v>11184.084477424622</v>
      </c>
      <c r="O29" s="9">
        <v>18643.422898292542</v>
      </c>
      <c r="P29" s="9">
        <v>29749.531202316284</v>
      </c>
      <c r="Q29" s="9">
        <v>2725.7810039520264</v>
      </c>
      <c r="R29" s="9">
        <v>1007.2747478485107</v>
      </c>
      <c r="S29" s="9">
        <v>7078.6139554977417</v>
      </c>
      <c r="T29" s="9">
        <v>0</v>
      </c>
      <c r="U29">
        <f t="shared" si="1"/>
        <v>83960.348490715027</v>
      </c>
    </row>
    <row r="30" spans="1:21" x14ac:dyDescent="0.25">
      <c r="A30" s="12">
        <v>0.5625</v>
      </c>
      <c r="B30" s="6">
        <v>11906.341949986265</v>
      </c>
      <c r="C30" s="6">
        <v>12214.1679912817</v>
      </c>
      <c r="D30" s="6">
        <v>19505.134665570356</v>
      </c>
      <c r="E30" s="6">
        <v>28992.878435859682</v>
      </c>
      <c r="F30" s="6">
        <v>2346.9357530137063</v>
      </c>
      <c r="G30" s="6">
        <v>430.26306322011953</v>
      </c>
      <c r="H30" s="6">
        <v>4934.9584206157688</v>
      </c>
      <c r="I30" s="6">
        <v>0</v>
      </c>
      <c r="J30" s="6">
        <f t="shared" si="0"/>
        <v>80330.680279547611</v>
      </c>
      <c r="L30" s="12">
        <v>0.5625</v>
      </c>
      <c r="M30" s="9">
        <v>15265.626742362976</v>
      </c>
      <c r="N30" s="9">
        <v>12267.349133491516</v>
      </c>
      <c r="O30" s="9">
        <v>19997.259353637695</v>
      </c>
      <c r="P30" s="9">
        <v>32237.650791168213</v>
      </c>
      <c r="Q30" s="9">
        <v>3059.016001701355</v>
      </c>
      <c r="R30" s="9">
        <v>1202.6975173950195</v>
      </c>
      <c r="S30" s="9">
        <v>8296.1451950073242</v>
      </c>
      <c r="T30" s="9">
        <v>0</v>
      </c>
      <c r="U30">
        <f t="shared" si="1"/>
        <v>92325.744734764099</v>
      </c>
    </row>
    <row r="31" spans="1:21" x14ac:dyDescent="0.25">
      <c r="A31" s="12">
        <v>0.58333333333333337</v>
      </c>
      <c r="B31" s="6">
        <v>13421.8633439888</v>
      </c>
      <c r="C31" s="6">
        <v>12968.84772949505</v>
      </c>
      <c r="D31" s="6">
        <v>18168.77657191801</v>
      </c>
      <c r="E31" s="6">
        <v>29832.708391391661</v>
      </c>
      <c r="F31" s="6">
        <v>2454.8211029000286</v>
      </c>
      <c r="G31" s="6">
        <v>559.37917534551639</v>
      </c>
      <c r="H31" s="6">
        <v>5533.799862228203</v>
      </c>
      <c r="I31" s="6">
        <v>0</v>
      </c>
      <c r="J31" s="6">
        <f t="shared" si="0"/>
        <v>82940.196177267266</v>
      </c>
      <c r="L31" s="12">
        <v>0.58333333333333337</v>
      </c>
      <c r="M31" s="9">
        <v>17214.159637451172</v>
      </c>
      <c r="N31" s="9">
        <v>13339.860904693604</v>
      </c>
      <c r="O31" s="9">
        <v>21084.583585739136</v>
      </c>
      <c r="P31" s="9">
        <v>34510.213548660278</v>
      </c>
      <c r="Q31" s="9">
        <v>3416.7290058135986</v>
      </c>
      <c r="R31" s="9">
        <v>1426.4682903289795</v>
      </c>
      <c r="S31" s="9">
        <v>9697.6927785873413</v>
      </c>
      <c r="T31" s="9">
        <v>0</v>
      </c>
      <c r="U31">
        <f t="shared" si="1"/>
        <v>100689.70775127411</v>
      </c>
    </row>
    <row r="32" spans="1:21" x14ac:dyDescent="0.25">
      <c r="A32" s="12">
        <v>0.60416666666666663</v>
      </c>
      <c r="B32" s="6">
        <v>15594.804777963065</v>
      </c>
      <c r="C32" s="6">
        <v>13456.971737881757</v>
      </c>
      <c r="D32" s="6">
        <v>16625.348561191655</v>
      </c>
      <c r="E32" s="6">
        <v>30044.936573899555</v>
      </c>
      <c r="F32" s="6">
        <v>2484.3381863430022</v>
      </c>
      <c r="G32" s="6">
        <v>768.60485452299145</v>
      </c>
      <c r="H32" s="6">
        <v>6418.544528562833</v>
      </c>
      <c r="I32" s="6">
        <v>0</v>
      </c>
      <c r="J32" s="6">
        <f t="shared" si="0"/>
        <v>85393.549220364846</v>
      </c>
      <c r="L32" s="12">
        <v>0.60416666666666663</v>
      </c>
      <c r="M32" s="9">
        <v>19329.277798652649</v>
      </c>
      <c r="N32" s="9">
        <v>14228.873482704163</v>
      </c>
      <c r="O32" s="9">
        <v>21618.711999893188</v>
      </c>
      <c r="P32" s="9">
        <v>36093.184125900269</v>
      </c>
      <c r="Q32" s="9">
        <v>3767.2824850082397</v>
      </c>
      <c r="R32" s="9">
        <v>1673.8652000427246</v>
      </c>
      <c r="S32" s="9">
        <v>11207.322752952576</v>
      </c>
      <c r="T32" s="9">
        <v>0</v>
      </c>
      <c r="U32">
        <f t="shared" si="1"/>
        <v>107918.51784515381</v>
      </c>
    </row>
    <row r="33" spans="1:21" x14ac:dyDescent="0.25">
      <c r="A33" s="12">
        <v>0.625</v>
      </c>
      <c r="B33" s="6">
        <v>18353.443711578748</v>
      </c>
      <c r="C33" s="6">
        <v>13512.586570261288</v>
      </c>
      <c r="D33" s="6">
        <v>15102.623447321412</v>
      </c>
      <c r="E33" s="6">
        <v>29411.467407643315</v>
      </c>
      <c r="F33" s="6">
        <v>2423.0913678259849</v>
      </c>
      <c r="G33" s="6">
        <v>997.34032593870188</v>
      </c>
      <c r="H33" s="6">
        <v>7776.6366660622607</v>
      </c>
      <c r="I33" s="6">
        <v>0</v>
      </c>
      <c r="J33" s="6">
        <f t="shared" si="0"/>
        <v>87577.189496631705</v>
      </c>
      <c r="L33" s="12">
        <v>0.625</v>
      </c>
      <c r="M33" s="9">
        <v>21562.218739509583</v>
      </c>
      <c r="N33" s="9">
        <v>14787.467980384827</v>
      </c>
      <c r="O33" s="9">
        <v>21417.370185852051</v>
      </c>
      <c r="P33" s="9">
        <v>36597.684020042419</v>
      </c>
      <c r="Q33" s="9">
        <v>4079.8545379638672</v>
      </c>
      <c r="R33" s="9">
        <v>1931.5902252197266</v>
      </c>
      <c r="S33" s="9">
        <v>12688.057188987732</v>
      </c>
      <c r="T33" s="9">
        <v>0</v>
      </c>
      <c r="U33">
        <f t="shared" si="1"/>
        <v>113064.24287796021</v>
      </c>
    </row>
    <row r="34" spans="1:21" x14ac:dyDescent="0.25">
      <c r="A34" s="12">
        <v>0.64583333333333337</v>
      </c>
      <c r="B34" s="6">
        <v>21786.751473744109</v>
      </c>
      <c r="C34" s="6">
        <v>13164.876253798011</v>
      </c>
      <c r="D34" s="6">
        <v>13758.740129234597</v>
      </c>
      <c r="E34" s="6">
        <v>28147.692402083205</v>
      </c>
      <c r="F34" s="6">
        <v>2324.7830596572871</v>
      </c>
      <c r="G34" s="6">
        <v>1180.2658210345271</v>
      </c>
      <c r="H34" s="6">
        <v>9698.8694107569718</v>
      </c>
      <c r="I34" s="6">
        <v>0</v>
      </c>
      <c r="J34" s="6">
        <f t="shared" si="0"/>
        <v>90061.978550308704</v>
      </c>
      <c r="L34" s="12">
        <v>0.64583333333333337</v>
      </c>
      <c r="M34" s="9">
        <v>23845.558511734009</v>
      </c>
      <c r="N34" s="9">
        <v>14883.171140670776</v>
      </c>
      <c r="O34" s="9">
        <v>20378.680717468262</v>
      </c>
      <c r="P34" s="9">
        <v>35705.843445777893</v>
      </c>
      <c r="Q34" s="9">
        <v>4314.7410268783569</v>
      </c>
      <c r="R34" s="9">
        <v>2167.5281982421875</v>
      </c>
      <c r="S34" s="9">
        <v>13900.548245429993</v>
      </c>
      <c r="T34" s="9">
        <v>0</v>
      </c>
      <c r="U34">
        <f t="shared" si="1"/>
        <v>115196.07128620148</v>
      </c>
    </row>
    <row r="35" spans="1:21" x14ac:dyDescent="0.25">
      <c r="A35" s="12">
        <v>0.66666666666666663</v>
      </c>
      <c r="B35" s="6">
        <v>26083.06698817787</v>
      </c>
      <c r="C35" s="6">
        <v>12647.585329366304</v>
      </c>
      <c r="D35" s="6">
        <v>12663.609996221352</v>
      </c>
      <c r="E35" s="6">
        <v>26748.387768584154</v>
      </c>
      <c r="F35" s="6">
        <v>2276.4157294611928</v>
      </c>
      <c r="G35" s="6">
        <v>1282.4215984870912</v>
      </c>
      <c r="H35" s="6">
        <v>12067.619038741399</v>
      </c>
      <c r="I35" s="6">
        <v>0</v>
      </c>
      <c r="J35" s="6">
        <f t="shared" si="0"/>
        <v>93769.106449039376</v>
      </c>
      <c r="L35" s="12">
        <v>0.66666666666666663</v>
      </c>
      <c r="M35" s="9">
        <v>26053.426951408386</v>
      </c>
      <c r="N35" s="9">
        <v>14418.377548217773</v>
      </c>
      <c r="O35" s="9">
        <v>18494.095691680908</v>
      </c>
      <c r="P35" s="9">
        <v>33246.077983856201</v>
      </c>
      <c r="Q35" s="9">
        <v>4426.0490064620972</v>
      </c>
      <c r="R35" s="9">
        <v>2333.4150581359863</v>
      </c>
      <c r="S35" s="9">
        <v>14543.051293373108</v>
      </c>
      <c r="T35" s="9">
        <v>0</v>
      </c>
      <c r="U35">
        <f t="shared" si="1"/>
        <v>113514.49353313446</v>
      </c>
    </row>
    <row r="36" spans="1:21" x14ac:dyDescent="0.25">
      <c r="A36" s="12">
        <v>0.6875</v>
      </c>
      <c r="B36" s="6">
        <v>31263.692947121523</v>
      </c>
      <c r="C36" s="6">
        <v>12242.057688848116</v>
      </c>
      <c r="D36" s="6">
        <v>11825.154130563642</v>
      </c>
      <c r="E36" s="6">
        <v>25672.245579615119</v>
      </c>
      <c r="F36" s="6">
        <v>2339.4439815326687</v>
      </c>
      <c r="G36" s="6">
        <v>1310.1645646279335</v>
      </c>
      <c r="H36" s="6">
        <v>14522.56099145565</v>
      </c>
      <c r="I36" s="6">
        <v>0</v>
      </c>
      <c r="J36" s="6">
        <f t="shared" si="0"/>
        <v>99175.319883764663</v>
      </c>
      <c r="L36" s="12">
        <v>0.6875</v>
      </c>
      <c r="M36" s="9">
        <v>27987.280532836914</v>
      </c>
      <c r="N36" s="9">
        <v>13379.542405128479</v>
      </c>
      <c r="O36" s="9">
        <v>15899.294950485229</v>
      </c>
      <c r="P36" s="9">
        <v>29331.538608551025</v>
      </c>
      <c r="Q36" s="9">
        <v>4378.6986951828003</v>
      </c>
      <c r="R36" s="9">
        <v>2384.0725116729736</v>
      </c>
      <c r="S36" s="9">
        <v>14379.368023872375</v>
      </c>
      <c r="T36" s="9">
        <v>0</v>
      </c>
      <c r="U36">
        <f t="shared" si="1"/>
        <v>107739.7957277298</v>
      </c>
    </row>
    <row r="37" spans="1:21" x14ac:dyDescent="0.25">
      <c r="A37" s="12">
        <v>0.70833333333333337</v>
      </c>
      <c r="B37" s="6">
        <v>36883.166219281004</v>
      </c>
      <c r="C37" s="6">
        <v>12052.017182657624</v>
      </c>
      <c r="D37" s="6">
        <v>11189.443652676679</v>
      </c>
      <c r="E37" s="6">
        <v>25050.852469028378</v>
      </c>
      <c r="F37" s="6">
        <v>2507.6859453721045</v>
      </c>
      <c r="G37" s="6">
        <v>1292.2429423350334</v>
      </c>
      <c r="H37" s="6">
        <v>16534.813270736027</v>
      </c>
      <c r="I37" s="6">
        <v>0</v>
      </c>
      <c r="J37" s="6">
        <f t="shared" si="0"/>
        <v>105510.22168208688</v>
      </c>
      <c r="L37" s="12">
        <v>0.70833333333333337</v>
      </c>
      <c r="M37" s="9">
        <v>29370.428098678589</v>
      </c>
      <c r="N37" s="9">
        <v>11866.841977119446</v>
      </c>
      <c r="O37" s="9">
        <v>12889.72841835022</v>
      </c>
      <c r="P37" s="9">
        <v>24416.637117385864</v>
      </c>
      <c r="Q37" s="9">
        <v>4165.1697444915771</v>
      </c>
      <c r="R37" s="9">
        <v>2300.0710306167603</v>
      </c>
      <c r="S37" s="9">
        <v>13367.081563949585</v>
      </c>
      <c r="T37" s="9">
        <v>0</v>
      </c>
      <c r="U37">
        <f t="shared" si="1"/>
        <v>98375.957950592041</v>
      </c>
    </row>
    <row r="38" spans="1:21" x14ac:dyDescent="0.25">
      <c r="A38" s="12">
        <v>0.72916666666666663</v>
      </c>
      <c r="B38" s="6">
        <v>41932.550126155846</v>
      </c>
      <c r="C38" s="6">
        <v>11901.905119540597</v>
      </c>
      <c r="D38" s="6">
        <v>10623.19340632658</v>
      </c>
      <c r="E38" s="6">
        <v>24588.698944218544</v>
      </c>
      <c r="F38" s="6">
        <v>2707.4671383576392</v>
      </c>
      <c r="G38" s="6">
        <v>1251.7821747169494</v>
      </c>
      <c r="H38" s="6">
        <v>17574.116593517017</v>
      </c>
      <c r="I38" s="6">
        <v>0</v>
      </c>
      <c r="J38" s="6">
        <f t="shared" si="0"/>
        <v>110579.71350283317</v>
      </c>
      <c r="L38" s="12">
        <v>0.72916666666666663</v>
      </c>
      <c r="M38" s="9">
        <v>29878.347244262695</v>
      </c>
      <c r="N38" s="9">
        <v>10068.891839027405</v>
      </c>
      <c r="O38" s="9">
        <v>9847.0196018218994</v>
      </c>
      <c r="P38" s="9">
        <v>19174.086389541626</v>
      </c>
      <c r="Q38" s="9">
        <v>3808.8023061752319</v>
      </c>
      <c r="R38" s="9">
        <v>2096.5502920150757</v>
      </c>
      <c r="S38" s="9">
        <v>11685.381372451782</v>
      </c>
      <c r="T38" s="9">
        <v>0</v>
      </c>
      <c r="U38">
        <f t="shared" si="1"/>
        <v>86559.079045295715</v>
      </c>
    </row>
    <row r="39" spans="1:21" x14ac:dyDescent="0.25">
      <c r="A39" s="12">
        <v>0.75</v>
      </c>
      <c r="B39" s="6">
        <v>45088.941836378275</v>
      </c>
      <c r="C39" s="6">
        <v>11459.557568188571</v>
      </c>
      <c r="D39" s="6">
        <v>9931.6089045348162</v>
      </c>
      <c r="E39" s="6">
        <v>23728.022476707363</v>
      </c>
      <c r="F39" s="6">
        <v>2835.0766636730195</v>
      </c>
      <c r="G39" s="6">
        <v>1195.4492957118032</v>
      </c>
      <c r="H39" s="6">
        <v>17308.597711822797</v>
      </c>
      <c r="I39" s="6">
        <v>0</v>
      </c>
      <c r="J39" s="6">
        <f t="shared" si="0"/>
        <v>111547.25445701665</v>
      </c>
      <c r="L39" s="12">
        <v>0.75</v>
      </c>
      <c r="M39" s="9">
        <v>29264.480863571167</v>
      </c>
      <c r="N39" s="9">
        <v>8201.442268371582</v>
      </c>
      <c r="O39" s="9">
        <v>7112.0401792526245</v>
      </c>
      <c r="P39" s="9">
        <v>14259.277599334717</v>
      </c>
      <c r="Q39" s="9">
        <v>3356.1732044219971</v>
      </c>
      <c r="R39" s="9">
        <v>1814.4458847045898</v>
      </c>
      <c r="S39" s="9">
        <v>9650.7761859893799</v>
      </c>
      <c r="T39" s="9">
        <v>0</v>
      </c>
      <c r="U39">
        <f t="shared" si="1"/>
        <v>73658.636185646057</v>
      </c>
    </row>
    <row r="40" spans="1:21" x14ac:dyDescent="0.25">
      <c r="A40" s="12">
        <v>0.77083333333333337</v>
      </c>
      <c r="B40" s="6">
        <v>45249.682745972532</v>
      </c>
      <c r="C40" s="6">
        <v>10483.551216383934</v>
      </c>
      <c r="D40" s="6">
        <v>8935.5184479310992</v>
      </c>
      <c r="E40" s="6">
        <v>21992.43929812956</v>
      </c>
      <c r="F40" s="6">
        <v>2806.9179339022639</v>
      </c>
      <c r="G40" s="6">
        <v>1123.8347477168081</v>
      </c>
      <c r="H40" s="6">
        <v>15743.591895866775</v>
      </c>
      <c r="I40" s="6">
        <v>0</v>
      </c>
      <c r="J40" s="6">
        <f t="shared" si="0"/>
        <v>106335.53628590297</v>
      </c>
      <c r="L40" s="12">
        <v>0.77083333333333337</v>
      </c>
      <c r="M40" s="9">
        <v>27550.183384895325</v>
      </c>
      <c r="N40" s="9">
        <v>6455.179874420166</v>
      </c>
      <c r="O40" s="9">
        <v>4891.3591299057007</v>
      </c>
      <c r="P40" s="9">
        <v>10121.050905227661</v>
      </c>
      <c r="Q40" s="9">
        <v>2867.9942483901978</v>
      </c>
      <c r="R40" s="9">
        <v>1504.3114633560181</v>
      </c>
      <c r="S40" s="9">
        <v>7595.5336408615112</v>
      </c>
      <c r="T40" s="9">
        <v>0</v>
      </c>
      <c r="U40">
        <f t="shared" si="1"/>
        <v>60985.61264705658</v>
      </c>
    </row>
    <row r="41" spans="1:21" x14ac:dyDescent="0.25">
      <c r="A41" s="12">
        <v>0.79166666666666663</v>
      </c>
      <c r="B41" s="6">
        <v>42072.550945720657</v>
      </c>
      <c r="C41" s="6">
        <v>8990.6967835369105</v>
      </c>
      <c r="D41" s="6">
        <v>7575.5783840255735</v>
      </c>
      <c r="E41" s="6">
        <v>19280.731430791093</v>
      </c>
      <c r="F41" s="6">
        <v>2596.2204029401787</v>
      </c>
      <c r="G41" s="6">
        <v>1044.6106299423216</v>
      </c>
      <c r="H41" s="6">
        <v>13218.251028077317</v>
      </c>
      <c r="I41" s="6">
        <v>0</v>
      </c>
      <c r="J41" s="6">
        <f t="shared" si="0"/>
        <v>94778.639605034041</v>
      </c>
      <c r="L41" s="12">
        <v>0.79166666666666663</v>
      </c>
      <c r="M41" s="9">
        <v>25102.603991508484</v>
      </c>
      <c r="N41" s="9">
        <v>4969.3127660751343</v>
      </c>
      <c r="O41" s="9">
        <v>3243.0399198532104</v>
      </c>
      <c r="P41" s="9">
        <v>6947.8026542663574</v>
      </c>
      <c r="Q41" s="9">
        <v>2408.3870048522949</v>
      </c>
      <c r="R41" s="9">
        <v>1212.2139196395874</v>
      </c>
      <c r="S41" s="9">
        <v>5778.7676315307617</v>
      </c>
      <c r="T41" s="9">
        <v>0</v>
      </c>
      <c r="U41">
        <f t="shared" si="1"/>
        <v>49662.12788772583</v>
      </c>
    </row>
    <row r="42" spans="1:21" x14ac:dyDescent="0.25">
      <c r="A42" s="12">
        <v>0.8125</v>
      </c>
      <c r="B42" s="6">
        <v>36175.110004917995</v>
      </c>
      <c r="C42" s="6">
        <v>7228.3047359460834</v>
      </c>
      <c r="D42" s="6">
        <v>5971.6753284637452</v>
      </c>
      <c r="E42" s="6">
        <v>15908.82010715294</v>
      </c>
      <c r="F42" s="6">
        <v>2240.1807965150838</v>
      </c>
      <c r="G42" s="6">
        <v>972.3879251886367</v>
      </c>
      <c r="H42" s="6">
        <v>10257.855448762226</v>
      </c>
      <c r="I42" s="6">
        <v>0</v>
      </c>
      <c r="J42" s="6">
        <f t="shared" si="0"/>
        <v>78754.334346946722</v>
      </c>
      <c r="L42" s="12">
        <v>0.8125</v>
      </c>
      <c r="M42" s="9">
        <v>22453.075293540955</v>
      </c>
      <c r="N42" s="9">
        <v>3815.0116891860962</v>
      </c>
      <c r="O42" s="9">
        <v>2116.9839134216309</v>
      </c>
      <c r="P42" s="9">
        <v>4714.2411413192749</v>
      </c>
      <c r="Q42" s="9">
        <v>2026.355749130249</v>
      </c>
      <c r="R42" s="9">
        <v>969.05674934387207</v>
      </c>
      <c r="S42" s="9">
        <v>4342.8410968780518</v>
      </c>
      <c r="T42" s="9">
        <v>0</v>
      </c>
      <c r="U42">
        <f t="shared" si="1"/>
        <v>40437.565632820129</v>
      </c>
    </row>
    <row r="43" spans="1:21" x14ac:dyDescent="0.25">
      <c r="A43" s="12">
        <v>0.83333333333333337</v>
      </c>
      <c r="B43" s="6">
        <v>28847.380144999304</v>
      </c>
      <c r="C43" s="6">
        <v>5509.7986287450785</v>
      </c>
      <c r="D43" s="6">
        <v>4376.5860788246155</v>
      </c>
      <c r="E43" s="6">
        <v>12403.816184052945</v>
      </c>
      <c r="F43" s="6">
        <v>1816.3995163999562</v>
      </c>
      <c r="G43" s="6">
        <v>917.2522381124495</v>
      </c>
      <c r="H43" s="6">
        <v>7373.1066414566039</v>
      </c>
      <c r="I43" s="6">
        <v>0</v>
      </c>
      <c r="J43" s="6">
        <f t="shared" si="0"/>
        <v>61244.339432590947</v>
      </c>
      <c r="L43" s="12">
        <v>0.83333333333333337</v>
      </c>
      <c r="M43" s="9">
        <v>19960.417781829834</v>
      </c>
      <c r="N43" s="9">
        <v>2982.3974618911743</v>
      </c>
      <c r="O43" s="9">
        <v>1403.9789381027222</v>
      </c>
      <c r="P43" s="9">
        <v>3256.2753648757935</v>
      </c>
      <c r="Q43" s="9">
        <v>1735.1955213546753</v>
      </c>
      <c r="R43" s="9">
        <v>783.59247779846191</v>
      </c>
      <c r="S43" s="9">
        <v>3303.7157049179077</v>
      </c>
      <c r="T43" s="9">
        <v>0</v>
      </c>
      <c r="U43">
        <f t="shared" si="1"/>
        <v>33425.573250770569</v>
      </c>
    </row>
    <row r="44" spans="1:21" x14ac:dyDescent="0.25">
      <c r="A44" s="12">
        <v>0.85416666666666663</v>
      </c>
      <c r="B44" s="6">
        <v>21478.018261709403</v>
      </c>
      <c r="C44" s="6">
        <v>4058.338752721691</v>
      </c>
      <c r="D44" s="6">
        <v>3039.3902354795455</v>
      </c>
      <c r="E44" s="6">
        <v>9235.3551063240047</v>
      </c>
      <c r="F44" s="6">
        <v>1403.6933397747994</v>
      </c>
      <c r="G44" s="6">
        <v>874.07156827173219</v>
      </c>
      <c r="H44" s="6">
        <v>4917.1840782932286</v>
      </c>
      <c r="I44" s="6">
        <v>0</v>
      </c>
      <c r="J44" s="6">
        <f t="shared" si="0"/>
        <v>45006.051342574407</v>
      </c>
      <c r="L44" s="12">
        <v>0.85416666666666663</v>
      </c>
      <c r="M44" s="9">
        <v>17618.594655036926</v>
      </c>
      <c r="N44" s="9">
        <v>2390.3544311523438</v>
      </c>
      <c r="O44" s="9">
        <v>974.50021648406982</v>
      </c>
      <c r="P44" s="9">
        <v>2344.0922985076904</v>
      </c>
      <c r="Q44" s="9">
        <v>1508.233642578125</v>
      </c>
      <c r="R44" s="9">
        <v>643.5505952835083</v>
      </c>
      <c r="S44" s="9">
        <v>2576.9647560119629</v>
      </c>
      <c r="T44" s="9">
        <v>0</v>
      </c>
      <c r="U44">
        <f t="shared" si="1"/>
        <v>28056.290595054626</v>
      </c>
    </row>
    <row r="45" spans="1:21" x14ac:dyDescent="0.25">
      <c r="A45" s="12">
        <v>0.875</v>
      </c>
      <c r="B45" s="6">
        <v>15069.269498005675</v>
      </c>
      <c r="C45" s="6">
        <v>2951.1757508297919</v>
      </c>
      <c r="D45" s="6">
        <v>2077.1147536337853</v>
      </c>
      <c r="E45" s="6">
        <v>6657.6671126417168</v>
      </c>
      <c r="F45" s="6">
        <v>1051.022427278042</v>
      </c>
      <c r="G45" s="6">
        <v>821.87889126548771</v>
      </c>
      <c r="H45" s="6">
        <v>3046.0184728272438</v>
      </c>
      <c r="I45" s="6">
        <v>0</v>
      </c>
      <c r="J45" s="6">
        <f t="shared" si="0"/>
        <v>31674.146906481743</v>
      </c>
      <c r="L45" s="12">
        <v>0.875</v>
      </c>
      <c r="M45" s="9">
        <v>15184.329977989197</v>
      </c>
      <c r="N45" s="9">
        <v>1930.5273504257202</v>
      </c>
      <c r="O45" s="9">
        <v>710.08034896850586</v>
      </c>
      <c r="P45" s="9">
        <v>1753.328896522522</v>
      </c>
      <c r="Q45" s="9">
        <v>1299.8858976364136</v>
      </c>
      <c r="R45" s="9">
        <v>527.02750587463379</v>
      </c>
      <c r="S45" s="9">
        <v>2037.927318572998</v>
      </c>
      <c r="T45" s="9">
        <v>0</v>
      </c>
      <c r="U45">
        <f t="shared" si="1"/>
        <v>23443.10729598999</v>
      </c>
    </row>
    <row r="46" spans="1:21" x14ac:dyDescent="0.25">
      <c r="A46" s="12">
        <v>0.89583333333333337</v>
      </c>
      <c r="B46" s="6">
        <v>10070.369538358784</v>
      </c>
      <c r="C46" s="6">
        <v>2154.9783154750826</v>
      </c>
      <c r="D46" s="6">
        <v>1448.8523124831199</v>
      </c>
      <c r="E46" s="6">
        <v>4700.7530264081961</v>
      </c>
      <c r="F46" s="6">
        <v>770.47816495428094</v>
      </c>
      <c r="G46" s="6">
        <v>735.64040643968588</v>
      </c>
      <c r="H46" s="6">
        <v>1754.5447391193388</v>
      </c>
      <c r="I46" s="6">
        <v>0</v>
      </c>
      <c r="J46" s="6">
        <f t="shared" si="0"/>
        <v>21635.616503238485</v>
      </c>
      <c r="L46" s="12">
        <v>0.89583333333333337</v>
      </c>
      <c r="M46" s="9">
        <v>12484.156294822693</v>
      </c>
      <c r="N46" s="9">
        <v>1521.8402900695801</v>
      </c>
      <c r="O46" s="9">
        <v>526.35589027404785</v>
      </c>
      <c r="P46" s="9">
        <v>1321.5245485305786</v>
      </c>
      <c r="Q46" s="9">
        <v>1077.3180637359619</v>
      </c>
      <c r="R46" s="9">
        <v>417.40277004241943</v>
      </c>
      <c r="S46" s="9">
        <v>1586.9904718399048</v>
      </c>
      <c r="T46" s="9">
        <v>0</v>
      </c>
      <c r="U46">
        <f t="shared" si="1"/>
        <v>18935.588329315186</v>
      </c>
    </row>
    <row r="47" spans="1:21" x14ac:dyDescent="0.25">
      <c r="A47" s="12">
        <v>0.91666666666666663</v>
      </c>
      <c r="B47" s="6">
        <v>6484.4370218840604</v>
      </c>
      <c r="C47" s="6">
        <v>1589.7332490213394</v>
      </c>
      <c r="D47" s="6">
        <v>1032.4786548601151</v>
      </c>
      <c r="E47" s="6">
        <v>3254.6029214125638</v>
      </c>
      <c r="F47" s="6">
        <v>551.3225668633462</v>
      </c>
      <c r="G47" s="6">
        <v>604.37556555500032</v>
      </c>
      <c r="H47" s="6">
        <v>941.39821698322294</v>
      </c>
      <c r="I47" s="6">
        <v>0</v>
      </c>
      <c r="J47" s="6">
        <f t="shared" si="0"/>
        <v>14458.348196579649</v>
      </c>
      <c r="L47" s="12">
        <v>0.91666666666666663</v>
      </c>
      <c r="M47" s="9">
        <v>9608.7678556442261</v>
      </c>
      <c r="N47" s="9">
        <v>1137.752405166626</v>
      </c>
      <c r="O47" s="9">
        <v>380.03806018829346</v>
      </c>
      <c r="P47" s="9">
        <v>967.26947212219238</v>
      </c>
      <c r="Q47" s="9">
        <v>838.1601505279541</v>
      </c>
      <c r="R47" s="9">
        <v>311.22331142425537</v>
      </c>
      <c r="S47" s="9">
        <v>1181.9204769134521</v>
      </c>
      <c r="T47" s="9">
        <v>0</v>
      </c>
      <c r="U47">
        <f t="shared" si="1"/>
        <v>14425.131731987</v>
      </c>
    </row>
    <row r="48" spans="1:21" x14ac:dyDescent="0.25">
      <c r="A48" s="12">
        <v>0.9375</v>
      </c>
      <c r="B48" s="6">
        <v>4070.089053046132</v>
      </c>
      <c r="C48" s="6">
        <v>1175.0120774850848</v>
      </c>
      <c r="D48" s="6">
        <v>722.15862824640271</v>
      </c>
      <c r="E48" s="6">
        <v>2176.6118160462383</v>
      </c>
      <c r="F48" s="6">
        <v>378.91841055345537</v>
      </c>
      <c r="G48" s="6">
        <v>442.10749730672842</v>
      </c>
      <c r="H48" s="6">
        <v>471.15273919486998</v>
      </c>
      <c r="I48" s="6">
        <v>0</v>
      </c>
      <c r="J48" s="6">
        <f t="shared" si="0"/>
        <v>9436.0502218789115</v>
      </c>
      <c r="L48" s="12">
        <v>0.9375</v>
      </c>
      <c r="M48" s="9">
        <v>6854.2675085067749</v>
      </c>
      <c r="N48" s="9">
        <v>793.40354347229004</v>
      </c>
      <c r="O48" s="9">
        <v>258.70657157897949</v>
      </c>
      <c r="P48" s="9">
        <v>669.8960132598877</v>
      </c>
      <c r="Q48" s="9">
        <v>604.13241004943848</v>
      </c>
      <c r="R48" s="9">
        <v>215.12618064880371</v>
      </c>
      <c r="S48" s="9">
        <v>826.6061372756958</v>
      </c>
      <c r="T48" s="9">
        <v>0</v>
      </c>
      <c r="U48">
        <f t="shared" si="1"/>
        <v>10222.13836479187</v>
      </c>
    </row>
    <row r="49" spans="1:21" x14ac:dyDescent="0.25">
      <c r="A49" s="12">
        <v>0.95833333333333337</v>
      </c>
      <c r="B49" s="6">
        <v>2510.3858546868323</v>
      </c>
      <c r="C49" s="6">
        <v>851.07400419034968</v>
      </c>
      <c r="D49" s="6">
        <v>472.23275027418129</v>
      </c>
      <c r="E49" s="6">
        <v>1366.4981157100679</v>
      </c>
      <c r="F49" s="6">
        <v>244.80033556900025</v>
      </c>
      <c r="G49" s="6">
        <v>281.12139742965701</v>
      </c>
      <c r="H49" s="6">
        <v>219.29887986431117</v>
      </c>
      <c r="I49" s="6">
        <v>0</v>
      </c>
      <c r="J49" s="6">
        <f t="shared" si="0"/>
        <v>5945.4113377243993</v>
      </c>
      <c r="L49" s="12">
        <v>0.95833333333333337</v>
      </c>
      <c r="M49" s="9">
        <v>4519.3182239532471</v>
      </c>
      <c r="N49" s="9">
        <v>513.28135681152344</v>
      </c>
      <c r="O49" s="9">
        <v>163.3088207244873</v>
      </c>
      <c r="P49" s="9">
        <v>433.36205768585205</v>
      </c>
      <c r="Q49" s="9">
        <v>401.44666767120361</v>
      </c>
      <c r="R49" s="9">
        <v>137.21820735931396</v>
      </c>
      <c r="S49" s="9">
        <v>538.89626216888428</v>
      </c>
      <c r="T49" s="9">
        <v>0</v>
      </c>
      <c r="U49">
        <f t="shared" si="1"/>
        <v>6706.8315963745117</v>
      </c>
    </row>
    <row r="50" spans="1:21" x14ac:dyDescent="0.25">
      <c r="A50" s="12">
        <v>0.97916666666666663</v>
      </c>
      <c r="B50" s="6">
        <v>1517.6846360583306</v>
      </c>
      <c r="C50" s="6">
        <v>585.20982004222878</v>
      </c>
      <c r="D50" s="6">
        <v>280.19388387727736</v>
      </c>
      <c r="E50" s="6">
        <v>779.27455941724781</v>
      </c>
      <c r="F50" s="6">
        <v>145.82724976243972</v>
      </c>
      <c r="G50" s="6">
        <v>152.28342021512987</v>
      </c>
      <c r="H50" s="6">
        <v>93.737745317649825</v>
      </c>
      <c r="I50" s="6">
        <v>0</v>
      </c>
      <c r="J50" s="6">
        <f t="shared" si="0"/>
        <v>3554.2113146903043</v>
      </c>
      <c r="L50" s="12">
        <v>0.97916666666666663</v>
      </c>
      <c r="M50" s="9">
        <v>2753.7334251403809</v>
      </c>
      <c r="N50" s="9">
        <v>307.98260307312012</v>
      </c>
      <c r="O50" s="9">
        <v>95.004985809326172</v>
      </c>
      <c r="P50" s="9">
        <v>260.2221622467041</v>
      </c>
      <c r="Q50" s="9">
        <v>245.45279026031494</v>
      </c>
      <c r="R50" s="9">
        <v>80.855430603027344</v>
      </c>
      <c r="S50" s="9">
        <v>326.69879627227783</v>
      </c>
      <c r="T50" s="9">
        <v>0</v>
      </c>
      <c r="U50">
        <f t="shared" si="1"/>
        <v>4069.9501934051514</v>
      </c>
    </row>
    <row r="51" spans="1:21" x14ac:dyDescent="0.25">
      <c r="A51" s="12">
        <v>1</v>
      </c>
      <c r="B51" s="6">
        <v>882.9185798022271</v>
      </c>
      <c r="C51" s="6">
        <v>368.89826607885368</v>
      </c>
      <c r="D51" s="6">
        <v>150.20267390127179</v>
      </c>
      <c r="E51" s="6">
        <v>391.91068854141241</v>
      </c>
      <c r="F51" s="6">
        <v>79.001956978225707</v>
      </c>
      <c r="G51" s="6">
        <v>68.923703096771249</v>
      </c>
      <c r="H51" s="6">
        <v>35.891366966152184</v>
      </c>
      <c r="I51" s="6">
        <v>0</v>
      </c>
      <c r="J51" s="6">
        <f t="shared" si="0"/>
        <v>1977.7472353649141</v>
      </c>
      <c r="L51" s="12">
        <v>1</v>
      </c>
      <c r="M51" s="9">
        <v>1544.8246097564697</v>
      </c>
      <c r="N51" s="9">
        <v>170.92885589599609</v>
      </c>
      <c r="O51" s="9">
        <v>50.747063636779785</v>
      </c>
      <c r="P51" s="9">
        <v>143.96788692474365</v>
      </c>
      <c r="Q51" s="9">
        <v>137.45003604888916</v>
      </c>
      <c r="R51" s="9">
        <v>44.004615783691406</v>
      </c>
      <c r="S51" s="9">
        <v>183.25668716430664</v>
      </c>
      <c r="T51" s="9">
        <v>0</v>
      </c>
      <c r="U51">
        <f t="shared" si="1"/>
        <v>2275.1797552108765</v>
      </c>
    </row>
    <row r="52" spans="1:21" x14ac:dyDescent="0.25">
      <c r="A52" s="12">
        <v>1.0208333333333333</v>
      </c>
      <c r="B52" s="6">
        <v>478.92011969766622</v>
      </c>
      <c r="C52" s="6">
        <v>206.2492149559975</v>
      </c>
      <c r="D52" s="6">
        <v>74.071126146030409</v>
      </c>
      <c r="E52" s="6">
        <v>169.73573936443333</v>
      </c>
      <c r="F52" s="6">
        <v>38.552400110149385</v>
      </c>
      <c r="G52" s="6">
        <v>25.49916354722977</v>
      </c>
      <c r="H52" s="6">
        <v>11.880310072135924</v>
      </c>
      <c r="I52" s="6">
        <v>0</v>
      </c>
      <c r="J52" s="6">
        <f t="shared" si="0"/>
        <v>1004.9080738936426</v>
      </c>
      <c r="L52" s="12">
        <v>1.0208333333333333</v>
      </c>
      <c r="M52" s="9">
        <v>788.47860240936279</v>
      </c>
      <c r="N52" s="9">
        <v>86.757403373718262</v>
      </c>
      <c r="O52" s="9">
        <v>24.68705940246582</v>
      </c>
      <c r="P52" s="9">
        <v>72.385321617126465</v>
      </c>
      <c r="Q52" s="9">
        <v>69.699173927307129</v>
      </c>
      <c r="R52" s="9">
        <v>21.941036224365234</v>
      </c>
      <c r="S52" s="9">
        <v>93.886429786682129</v>
      </c>
      <c r="T52" s="9">
        <v>0</v>
      </c>
      <c r="U52">
        <f t="shared" si="1"/>
        <v>1157.8350267410278</v>
      </c>
    </row>
    <row r="53" spans="1:21" x14ac:dyDescent="0.25">
      <c r="A53" s="12">
        <v>4.1666666666666664E-2</v>
      </c>
      <c r="B53" s="6">
        <v>233.61778366508486</v>
      </c>
      <c r="C53" s="6">
        <v>99.297751207160957</v>
      </c>
      <c r="D53" s="6">
        <v>34.51956952848434</v>
      </c>
      <c r="E53" s="6">
        <v>62.094981964302079</v>
      </c>
      <c r="F53" s="6">
        <v>16.787735665225981</v>
      </c>
      <c r="G53" s="6">
        <v>7.4970927193641668</v>
      </c>
      <c r="H53" s="6">
        <v>3.2540964472770688</v>
      </c>
      <c r="I53" s="6">
        <v>0</v>
      </c>
      <c r="J53" s="6">
        <f t="shared" si="0"/>
        <v>457.0690111968994</v>
      </c>
      <c r="L53" s="12">
        <v>4.1666666666666664E-2</v>
      </c>
      <c r="M53" s="9">
        <v>358.61391925811768</v>
      </c>
      <c r="N53" s="9">
        <v>39.419081687927246</v>
      </c>
      <c r="O53" s="9">
        <v>10.75898265838623</v>
      </c>
      <c r="P53" s="9">
        <v>32.381730079650879</v>
      </c>
      <c r="Q53" s="9">
        <v>31.398175239562988</v>
      </c>
      <c r="R53" s="9">
        <v>9.835453987121582</v>
      </c>
      <c r="S53" s="9">
        <v>42.975475311279297</v>
      </c>
      <c r="T53" s="9">
        <v>0</v>
      </c>
      <c r="U53">
        <f t="shared" si="1"/>
        <v>525.3828182220459</v>
      </c>
    </row>
    <row r="54" spans="1:21" x14ac:dyDescent="0.25">
      <c r="A54" s="12">
        <v>6.25E-2</v>
      </c>
      <c r="B54" s="6">
        <v>99.022509687423707</v>
      </c>
      <c r="C54" s="6">
        <v>40.059770033168803</v>
      </c>
      <c r="D54" s="6">
        <v>15.338079767704009</v>
      </c>
      <c r="E54" s="6">
        <v>18.846798268413551</v>
      </c>
      <c r="F54" s="6">
        <v>6.4298622113227841</v>
      </c>
      <c r="G54" s="6">
        <v>1.6827836027145386</v>
      </c>
      <c r="H54" s="6">
        <v>0.69914134759902946</v>
      </c>
      <c r="I54" s="6">
        <v>0</v>
      </c>
      <c r="J54" s="6">
        <f t="shared" si="0"/>
        <v>182.07894491834645</v>
      </c>
      <c r="L54" s="12">
        <v>6.25E-2</v>
      </c>
      <c r="M54" s="9">
        <v>141.4090461730957</v>
      </c>
      <c r="N54" s="9">
        <v>15.577113151550293</v>
      </c>
      <c r="O54" s="9">
        <v>4.0972127914428711</v>
      </c>
      <c r="P54" s="9">
        <v>12.546075820922852</v>
      </c>
      <c r="Q54" s="9">
        <v>12.248492240905762</v>
      </c>
      <c r="R54" s="9">
        <v>3.8549556732177734</v>
      </c>
      <c r="S54" s="9">
        <v>17.080751419067383</v>
      </c>
      <c r="T54" s="9">
        <v>0</v>
      </c>
      <c r="U54">
        <f t="shared" si="1"/>
        <v>206.81364727020264</v>
      </c>
    </row>
    <row r="55" spans="1:21" x14ac:dyDescent="0.25">
      <c r="A55" s="12">
        <v>8.3333333333333329E-2</v>
      </c>
      <c r="B55" s="6">
        <v>35.346287705135346</v>
      </c>
      <c r="C55" s="6">
        <v>13.169675222110749</v>
      </c>
      <c r="D55" s="6">
        <v>6.3110217198371892</v>
      </c>
      <c r="E55" s="6">
        <v>4.6468652872085583</v>
      </c>
      <c r="F55" s="6">
        <v>2.1150942882537844</v>
      </c>
      <c r="G55" s="6">
        <v>0.27059627246856688</v>
      </c>
      <c r="H55" s="6">
        <v>0.10949781007766721</v>
      </c>
      <c r="I55" s="6">
        <v>0</v>
      </c>
      <c r="J55" s="6">
        <f t="shared" si="0"/>
        <v>61.969038305091857</v>
      </c>
      <c r="L55" s="12">
        <v>8.3333333333333329E-2</v>
      </c>
      <c r="M55" s="9">
        <v>46.827531814575195</v>
      </c>
      <c r="N55" s="9">
        <v>5.1780996322631836</v>
      </c>
      <c r="O55" s="9">
        <v>1.3208818435668945</v>
      </c>
      <c r="P55" s="9">
        <v>4.0807342529296875</v>
      </c>
      <c r="Q55" s="9">
        <v>4.0135536193847656</v>
      </c>
      <c r="R55" s="9">
        <v>1.2774171829223633</v>
      </c>
      <c r="S55" s="9">
        <v>5.7049150466918945</v>
      </c>
      <c r="T55" s="9">
        <v>0</v>
      </c>
      <c r="U55">
        <f t="shared" si="1"/>
        <v>68.403133392333984</v>
      </c>
    </row>
    <row r="56" spans="1:21" x14ac:dyDescent="0.25">
      <c r="A56" s="12">
        <v>0.10416666666666667</v>
      </c>
      <c r="B56" s="6">
        <v>10.299154216861726</v>
      </c>
      <c r="C56" s="6">
        <v>3.4140977109909061</v>
      </c>
      <c r="D56" s="6">
        <v>2.2697984104156497</v>
      </c>
      <c r="E56" s="6">
        <v>0.90184397764205937</v>
      </c>
      <c r="F56" s="6">
        <v>0.57633515214920039</v>
      </c>
      <c r="G56" s="6">
        <v>2.7739007854461671E-2</v>
      </c>
      <c r="H56" s="6">
        <v>1.1053187942504882E-2</v>
      </c>
      <c r="I56" s="6">
        <v>0</v>
      </c>
      <c r="J56" s="6">
        <f t="shared" si="0"/>
        <v>17.500021663856508</v>
      </c>
      <c r="L56" s="12">
        <v>0.10416666666666667</v>
      </c>
      <c r="M56" s="9">
        <v>12.550517082214355</v>
      </c>
      <c r="N56" s="9">
        <v>1.3939638137817383</v>
      </c>
      <c r="O56" s="9">
        <v>0.34699440002441406</v>
      </c>
      <c r="P56" s="9">
        <v>1.0744638442993164</v>
      </c>
      <c r="Q56" s="9">
        <v>1.0653924942016602</v>
      </c>
      <c r="R56" s="9">
        <v>0.34424114227294922</v>
      </c>
      <c r="S56" s="9">
        <v>1.5422830581665039</v>
      </c>
      <c r="T56" s="9">
        <v>0</v>
      </c>
      <c r="U56">
        <f t="shared" si="1"/>
        <v>18.317855834960938</v>
      </c>
    </row>
    <row r="57" spans="1:21" x14ac:dyDescent="0.25">
      <c r="A57" s="12">
        <v>0.125</v>
      </c>
      <c r="B57" s="6">
        <v>2.3184332538604737</v>
      </c>
      <c r="C57" s="6">
        <v>0.66015759410858155</v>
      </c>
      <c r="D57" s="6">
        <v>0.64756298208236696</v>
      </c>
      <c r="E57" s="6">
        <v>0.12968237409591676</v>
      </c>
      <c r="F57" s="6">
        <v>0.12172440977096557</v>
      </c>
      <c r="G57" s="6">
        <v>1.3610713005065918E-3</v>
      </c>
      <c r="H57" s="6">
        <v>5.3780755996704101E-4</v>
      </c>
      <c r="I57" s="6">
        <v>0</v>
      </c>
      <c r="J57" s="6">
        <f t="shared" si="0"/>
        <v>3.8794594927787784</v>
      </c>
      <c r="L57" s="12">
        <v>0.125</v>
      </c>
      <c r="M57" s="9">
        <v>2.5628414154052734</v>
      </c>
      <c r="N57" s="9">
        <v>0.28587722778320313</v>
      </c>
      <c r="O57" s="9">
        <v>6.9828987121582031E-2</v>
      </c>
      <c r="P57" s="9">
        <v>0.21575164794921875</v>
      </c>
      <c r="Q57" s="9">
        <v>0.21574592590332031</v>
      </c>
      <c r="R57" s="9">
        <v>7.0890426635742188E-2</v>
      </c>
      <c r="S57" s="9">
        <v>0.31752300262451172</v>
      </c>
      <c r="T57" s="9">
        <v>0</v>
      </c>
      <c r="U57">
        <f t="shared" si="1"/>
        <v>3.7384586334228516</v>
      </c>
    </row>
    <row r="58" spans="1:21" ht="15.75" thickBot="1" x14ac:dyDescent="0.3">
      <c r="A58" s="13" t="s">
        <v>6</v>
      </c>
      <c r="B58" s="7">
        <v>0</v>
      </c>
      <c r="C58" s="7">
        <v>0</v>
      </c>
      <c r="D58" s="7">
        <v>0</v>
      </c>
      <c r="E58" s="7">
        <v>0</v>
      </c>
      <c r="F58" s="7">
        <v>0</v>
      </c>
      <c r="G58" s="7">
        <v>0</v>
      </c>
      <c r="H58" s="7">
        <v>0</v>
      </c>
      <c r="I58" s="7">
        <v>0</v>
      </c>
      <c r="J58" s="7">
        <f t="shared" si="0"/>
        <v>0</v>
      </c>
      <c r="L58" s="13" t="s">
        <v>6</v>
      </c>
      <c r="M58" s="10">
        <v>0</v>
      </c>
      <c r="N58" s="10">
        <v>0</v>
      </c>
      <c r="O58" s="10">
        <v>0</v>
      </c>
      <c r="P58" s="10">
        <v>0</v>
      </c>
      <c r="Q58" s="10">
        <v>0</v>
      </c>
      <c r="R58" s="10">
        <v>0</v>
      </c>
      <c r="S58" s="10">
        <v>0</v>
      </c>
      <c r="T58" s="10">
        <v>0</v>
      </c>
      <c r="U58" s="1">
        <f t="shared" si="1"/>
        <v>0</v>
      </c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58"/>
  <sheetViews>
    <sheetView workbookViewId="0">
      <selection activeCell="A3" sqref="A3"/>
    </sheetView>
  </sheetViews>
  <sheetFormatPr defaultRowHeight="15" x14ac:dyDescent="0.25"/>
  <cols>
    <col min="1" max="1" width="12.7109375" customWidth="1" collapsed="1"/>
    <col min="2" max="10" width="10.7109375" customWidth="1" collapsed="1"/>
    <col min="11" max="11" width="6.42578125" customWidth="1" collapsed="1"/>
    <col min="12" max="12" width="12.7109375" customWidth="1" collapsed="1"/>
    <col min="13" max="21" width="10.7109375" customWidth="1" collapsed="1"/>
  </cols>
  <sheetData>
    <row r="1" spans="1:26" x14ac:dyDescent="0.25">
      <c r="A1" t="s">
        <v>30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r="6" spans="1:26" ht="15.75" thickBot="1" x14ac:dyDescent="0.3">
      <c r="A6" s="3" t="s">
        <v>54</v>
      </c>
      <c r="B6" s="1"/>
      <c r="C6" s="1"/>
      <c r="D6" s="1"/>
      <c r="E6" s="1"/>
      <c r="F6" s="1"/>
      <c r="G6" s="1"/>
      <c r="H6" s="1"/>
      <c r="I6" s="1"/>
      <c r="J6" s="1"/>
      <c r="L6" s="3" t="s">
        <v>31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>
        <v>0</v>
      </c>
      <c r="C8" s="6">
        <v>0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f>SUM(B8:I8)</f>
        <v>0</v>
      </c>
      <c r="L8" t="s">
        <v>5</v>
      </c>
      <c r="M8" s="9">
        <v>45</v>
      </c>
      <c r="N8" s="9">
        <v>34</v>
      </c>
      <c r="O8" s="9">
        <v>0</v>
      </c>
      <c r="P8" s="9">
        <v>0</v>
      </c>
      <c r="Q8" s="9">
        <v>49</v>
      </c>
      <c r="R8" s="9">
        <v>4</v>
      </c>
      <c r="S8" s="9">
        <v>0</v>
      </c>
      <c r="T8" s="9">
        <v>0</v>
      </c>
      <c r="U8">
        <f>SUM(M8:T8)</f>
        <v>132</v>
      </c>
      <c r="W8" s="5"/>
      <c r="X8" s="16"/>
      <c r="Y8" s="16"/>
      <c r="Z8" s="5"/>
    </row>
    <row r="9" spans="1:26" x14ac:dyDescent="0.25">
      <c r="A9" s="12">
        <v>0.125</v>
      </c>
      <c r="B9" s="6">
        <v>0.96327110548019423</v>
      </c>
      <c r="C9" s="6">
        <v>2.5071904174804689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f t="shared" ref="J9:J58" si="0">SUM(B9:I9)</f>
        <v>3.470461522960663</v>
      </c>
      <c r="L9" s="12">
        <v>0.125</v>
      </c>
      <c r="M9" s="9">
        <v>338.17982196807861</v>
      </c>
      <c r="N9" s="9">
        <v>33.537369728088379</v>
      </c>
      <c r="O9" s="9">
        <v>0</v>
      </c>
      <c r="P9" s="9">
        <v>0</v>
      </c>
      <c r="Q9" s="9">
        <v>59.663459777832031</v>
      </c>
      <c r="R9" s="9">
        <v>2.7668647766113281</v>
      </c>
      <c r="S9" s="9">
        <v>0</v>
      </c>
      <c r="T9" s="9">
        <v>0</v>
      </c>
      <c r="U9">
        <f t="shared" ref="U9:U58" si="1">SUM(M9:T9)</f>
        <v>434.14751625061035</v>
      </c>
      <c r="W9" s="5"/>
      <c r="X9" s="16"/>
      <c r="Y9" s="16"/>
      <c r="Z9" s="5"/>
    </row>
    <row r="10" spans="1:26" x14ac:dyDescent="0.25">
      <c r="A10" s="12">
        <v>0.14583333333333334</v>
      </c>
      <c r="B10" s="6">
        <v>4.075054500102997</v>
      </c>
      <c r="C10" s="6">
        <v>5.7913228986740108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f t="shared" si="0"/>
        <v>9.8663773987770078</v>
      </c>
      <c r="L10" s="12">
        <v>0.14583333333333334</v>
      </c>
      <c r="M10" s="9">
        <v>492.99472999572754</v>
      </c>
      <c r="N10" s="9">
        <v>30.129003524780273</v>
      </c>
      <c r="O10" s="9">
        <v>0</v>
      </c>
      <c r="P10" s="9">
        <v>0</v>
      </c>
      <c r="Q10" s="9">
        <v>60.607011795043945</v>
      </c>
      <c r="R10" s="9">
        <v>1.7075214385986328</v>
      </c>
      <c r="S10" s="9">
        <v>0</v>
      </c>
      <c r="T10" s="9">
        <v>0</v>
      </c>
      <c r="U10">
        <f t="shared" si="1"/>
        <v>585.43826675415039</v>
      </c>
      <c r="W10" s="5"/>
      <c r="X10" s="16"/>
      <c r="Y10" s="16"/>
      <c r="Z10" s="5"/>
    </row>
    <row r="11" spans="1:26" x14ac:dyDescent="0.25">
      <c r="A11" s="12">
        <v>0.16666666666666666</v>
      </c>
      <c r="B11" s="6">
        <v>13.263395465278625</v>
      </c>
      <c r="C11" s="6">
        <v>10.142271302318573</v>
      </c>
      <c r="D11" s="6">
        <v>0</v>
      </c>
      <c r="E11" s="6">
        <v>0</v>
      </c>
      <c r="F11" s="6">
        <v>9.6834278106689453E-5</v>
      </c>
      <c r="G11" s="6">
        <v>0</v>
      </c>
      <c r="H11" s="6">
        <v>0</v>
      </c>
      <c r="I11" s="6">
        <v>0</v>
      </c>
      <c r="J11" s="6">
        <f t="shared" si="0"/>
        <v>23.405763601875304</v>
      </c>
      <c r="L11" s="12">
        <v>0.16666666666666666</v>
      </c>
      <c r="M11" s="9">
        <v>474.87218189239502</v>
      </c>
      <c r="N11" s="9">
        <v>24.036887168884277</v>
      </c>
      <c r="O11" s="9">
        <v>0</v>
      </c>
      <c r="P11" s="9">
        <v>0</v>
      </c>
      <c r="Q11" s="9">
        <v>49.937224388122559</v>
      </c>
      <c r="R11" s="9">
        <v>0.93279838562011719</v>
      </c>
      <c r="S11" s="9">
        <v>0</v>
      </c>
      <c r="T11" s="9">
        <v>0</v>
      </c>
      <c r="U11">
        <f t="shared" si="1"/>
        <v>549.77909183502197</v>
      </c>
      <c r="W11" s="5"/>
      <c r="X11" s="16"/>
      <c r="Y11" s="16"/>
      <c r="Z11" s="5"/>
    </row>
    <row r="12" spans="1:26" x14ac:dyDescent="0.25">
      <c r="A12" s="12">
        <v>0.1875</v>
      </c>
      <c r="B12" s="6">
        <v>35.526322604846953</v>
      </c>
      <c r="C12" s="6">
        <v>15.403658356189728</v>
      </c>
      <c r="D12" s="6">
        <v>0</v>
      </c>
      <c r="E12" s="6">
        <v>0</v>
      </c>
      <c r="F12" s="6">
        <v>1.936685562133789E-3</v>
      </c>
      <c r="G12" s="6">
        <v>0</v>
      </c>
      <c r="H12" s="6">
        <v>0</v>
      </c>
      <c r="I12" s="6">
        <v>0</v>
      </c>
      <c r="J12" s="6">
        <f t="shared" si="0"/>
        <v>50.931917646598819</v>
      </c>
      <c r="L12" s="12">
        <v>0.1875</v>
      </c>
      <c r="M12" s="9">
        <v>366.63881206512451</v>
      </c>
      <c r="N12" s="9">
        <v>19.678312301635742</v>
      </c>
      <c r="O12" s="9">
        <v>0</v>
      </c>
      <c r="P12" s="9">
        <v>0</v>
      </c>
      <c r="Q12" s="9">
        <v>34.135439872741699</v>
      </c>
      <c r="R12" s="9">
        <v>0.47116184234619141</v>
      </c>
      <c r="S12" s="9">
        <v>0</v>
      </c>
      <c r="T12" s="9">
        <v>0</v>
      </c>
      <c r="U12">
        <f t="shared" si="1"/>
        <v>420.92372608184814</v>
      </c>
      <c r="W12" s="5"/>
      <c r="X12" s="5"/>
      <c r="Y12" s="5"/>
      <c r="Z12" s="5"/>
    </row>
    <row r="13" spans="1:26" x14ac:dyDescent="0.25">
      <c r="A13" s="12">
        <v>0.20833333333333334</v>
      </c>
      <c r="B13" s="6">
        <v>81.786331768989569</v>
      </c>
      <c r="C13" s="6">
        <v>21.498348230457307</v>
      </c>
      <c r="D13" s="6">
        <v>0</v>
      </c>
      <c r="E13" s="6">
        <v>0</v>
      </c>
      <c r="F13" s="6">
        <v>1.8861275196075441E-2</v>
      </c>
      <c r="G13" s="6">
        <v>0</v>
      </c>
      <c r="H13" s="6">
        <v>0</v>
      </c>
      <c r="I13" s="6">
        <v>0</v>
      </c>
      <c r="J13" s="6">
        <f t="shared" si="0"/>
        <v>103.30354127464295</v>
      </c>
      <c r="L13" s="12">
        <v>0.20833333333333334</v>
      </c>
      <c r="M13" s="9">
        <v>306.00655555725098</v>
      </c>
      <c r="N13" s="9">
        <v>25.009137153625488</v>
      </c>
      <c r="O13" s="9">
        <v>0</v>
      </c>
      <c r="P13" s="9">
        <v>0</v>
      </c>
      <c r="Q13" s="9">
        <v>22.539856910705566</v>
      </c>
      <c r="R13" s="9">
        <v>0.30530261993408203</v>
      </c>
      <c r="S13" s="9">
        <v>0</v>
      </c>
      <c r="T13" s="9">
        <v>0</v>
      </c>
      <c r="U13">
        <f t="shared" si="1"/>
        <v>353.86085224151611</v>
      </c>
    </row>
    <row r="14" spans="1:26" x14ac:dyDescent="0.25">
      <c r="A14" s="12">
        <v>0.22916666666666666</v>
      </c>
      <c r="B14" s="6">
        <v>168.48608648481368</v>
      </c>
      <c r="C14" s="6">
        <v>28.694313148880006</v>
      </c>
      <c r="D14" s="6">
        <v>0</v>
      </c>
      <c r="E14" s="6">
        <v>0</v>
      </c>
      <c r="F14" s="6">
        <v>0.11964632415771484</v>
      </c>
      <c r="G14" s="6">
        <v>0</v>
      </c>
      <c r="H14" s="6">
        <v>0</v>
      </c>
      <c r="I14" s="6">
        <v>0</v>
      </c>
      <c r="J14" s="6">
        <f t="shared" si="0"/>
        <v>197.30004595785141</v>
      </c>
      <c r="L14" s="12">
        <v>0.22916666666666666</v>
      </c>
      <c r="M14" s="9">
        <v>429.57230758666992</v>
      </c>
      <c r="N14" s="9">
        <v>51.418753623962402</v>
      </c>
      <c r="O14" s="9">
        <v>0</v>
      </c>
      <c r="P14" s="9">
        <v>0</v>
      </c>
      <c r="Q14" s="9">
        <v>22.62147331237793</v>
      </c>
      <c r="R14" s="9">
        <v>0.43964481353759766</v>
      </c>
      <c r="S14" s="9">
        <v>0</v>
      </c>
      <c r="T14" s="9">
        <v>0</v>
      </c>
      <c r="U14">
        <f t="shared" si="1"/>
        <v>504.05217933654785</v>
      </c>
    </row>
    <row r="15" spans="1:26" x14ac:dyDescent="0.25">
      <c r="A15" s="12">
        <v>0.25</v>
      </c>
      <c r="B15" s="6">
        <v>320.52110305166241</v>
      </c>
      <c r="C15" s="6">
        <v>37.058488990592963</v>
      </c>
      <c r="D15" s="6">
        <v>0</v>
      </c>
      <c r="E15" s="6">
        <v>0</v>
      </c>
      <c r="F15" s="6">
        <v>0.55719088735580435</v>
      </c>
      <c r="G15" s="6">
        <v>0</v>
      </c>
      <c r="H15" s="6">
        <v>0</v>
      </c>
      <c r="I15" s="6">
        <v>0</v>
      </c>
      <c r="J15" s="6">
        <f t="shared" si="0"/>
        <v>358.13678292961123</v>
      </c>
      <c r="L15" s="12">
        <v>0.25</v>
      </c>
      <c r="M15" s="9">
        <v>864.13134860992432</v>
      </c>
      <c r="N15" s="9">
        <v>113.97373485565186</v>
      </c>
      <c r="O15" s="9">
        <v>0</v>
      </c>
      <c r="P15" s="9">
        <v>0</v>
      </c>
      <c r="Q15" s="9">
        <v>39.685563087463379</v>
      </c>
      <c r="R15" s="9">
        <v>0.95736408233642578</v>
      </c>
      <c r="S15" s="9">
        <v>0</v>
      </c>
      <c r="T15" s="9">
        <v>0</v>
      </c>
      <c r="U15">
        <f t="shared" si="1"/>
        <v>1018.748010635376</v>
      </c>
    </row>
    <row r="16" spans="1:26" x14ac:dyDescent="0.25">
      <c r="A16" s="12">
        <v>0.27083333333333331</v>
      </c>
      <c r="B16" s="6">
        <v>571.65198999223708</v>
      </c>
      <c r="C16" s="6">
        <v>45.856498009300232</v>
      </c>
      <c r="D16" s="6">
        <v>0</v>
      </c>
      <c r="E16" s="6">
        <v>0</v>
      </c>
      <c r="F16" s="6">
        <v>2.0324764618873594</v>
      </c>
      <c r="G16" s="6">
        <v>0</v>
      </c>
      <c r="H16" s="6">
        <v>0</v>
      </c>
      <c r="I16" s="6">
        <v>0</v>
      </c>
      <c r="J16" s="6">
        <f t="shared" si="0"/>
        <v>619.54096446342464</v>
      </c>
      <c r="L16" s="12">
        <v>0.27083333333333331</v>
      </c>
      <c r="M16" s="9">
        <v>1735.7154083251953</v>
      </c>
      <c r="N16" s="9">
        <v>229.8016471862793</v>
      </c>
      <c r="O16" s="9">
        <v>0</v>
      </c>
      <c r="P16" s="9">
        <v>0</v>
      </c>
      <c r="Q16" s="9">
        <v>78.864240646362305</v>
      </c>
      <c r="R16" s="9">
        <v>2.0422372817993164</v>
      </c>
      <c r="S16" s="9">
        <v>0</v>
      </c>
      <c r="T16" s="9">
        <v>0</v>
      </c>
      <c r="U16">
        <f t="shared" si="1"/>
        <v>2046.4235334396362</v>
      </c>
    </row>
    <row r="17" spans="1:21" x14ac:dyDescent="0.25">
      <c r="A17" s="12">
        <v>0.29166666666666669</v>
      </c>
      <c r="B17" s="6">
        <v>955.32711270856839</v>
      </c>
      <c r="C17" s="6">
        <v>54.308714720630647</v>
      </c>
      <c r="D17" s="6">
        <v>0</v>
      </c>
      <c r="E17" s="6">
        <v>0</v>
      </c>
      <c r="F17" s="6">
        <v>6.0469427871704093</v>
      </c>
      <c r="G17" s="6">
        <v>0</v>
      </c>
      <c r="H17" s="6">
        <v>0</v>
      </c>
      <c r="I17" s="6">
        <v>0</v>
      </c>
      <c r="J17" s="6">
        <f t="shared" si="0"/>
        <v>1015.6827702163695</v>
      </c>
      <c r="L17" s="12">
        <v>0.29166666666666669</v>
      </c>
      <c r="M17" s="9">
        <v>3169.6356515884399</v>
      </c>
      <c r="N17" s="9">
        <v>414.87612819671631</v>
      </c>
      <c r="O17" s="9">
        <v>0</v>
      </c>
      <c r="P17" s="9">
        <v>0</v>
      </c>
      <c r="Q17" s="9">
        <v>146.67677402496338</v>
      </c>
      <c r="R17" s="9">
        <v>3.9807443618774414</v>
      </c>
      <c r="S17" s="9">
        <v>0</v>
      </c>
      <c r="T17" s="9">
        <v>0</v>
      </c>
      <c r="U17">
        <f t="shared" si="1"/>
        <v>3735.1692981719971</v>
      </c>
    </row>
    <row r="18" spans="1:21" x14ac:dyDescent="0.25">
      <c r="A18" s="12">
        <v>0.3125</v>
      </c>
      <c r="B18" s="6">
        <v>1487.0542464180944</v>
      </c>
      <c r="C18" s="6">
        <v>63.536133450603486</v>
      </c>
      <c r="D18" s="6">
        <v>0</v>
      </c>
      <c r="E18" s="6">
        <v>0</v>
      </c>
      <c r="F18" s="6">
        <v>15.115259439468382</v>
      </c>
      <c r="G18" s="6">
        <v>0</v>
      </c>
      <c r="H18" s="6">
        <v>0</v>
      </c>
      <c r="I18" s="6">
        <v>0</v>
      </c>
      <c r="J18" s="6">
        <f t="shared" si="0"/>
        <v>1565.7056393081664</v>
      </c>
      <c r="L18" s="12">
        <v>0.3125</v>
      </c>
      <c r="M18" s="9">
        <v>5307.8734064102173</v>
      </c>
      <c r="N18" s="9">
        <v>683.8087043762207</v>
      </c>
      <c r="O18" s="9">
        <v>0</v>
      </c>
      <c r="P18" s="9">
        <v>0</v>
      </c>
      <c r="Q18" s="9">
        <v>252.66096591949463</v>
      </c>
      <c r="R18" s="9">
        <v>7.181304931640625</v>
      </c>
      <c r="S18" s="9">
        <v>0</v>
      </c>
      <c r="T18" s="9">
        <v>0</v>
      </c>
      <c r="U18">
        <f t="shared" si="1"/>
        <v>6251.5243816375732</v>
      </c>
    </row>
    <row r="19" spans="1:21" x14ac:dyDescent="0.25">
      <c r="A19" s="12">
        <v>0.33333333333333331</v>
      </c>
      <c r="B19" s="6">
        <v>2157.3758164155956</v>
      </c>
      <c r="C19" s="6">
        <v>77.465564116668702</v>
      </c>
      <c r="D19" s="6">
        <v>0</v>
      </c>
      <c r="E19" s="6">
        <v>0</v>
      </c>
      <c r="F19" s="6">
        <v>32.623693569564814</v>
      </c>
      <c r="G19" s="6">
        <v>0</v>
      </c>
      <c r="H19" s="6">
        <v>0</v>
      </c>
      <c r="I19" s="6">
        <v>0</v>
      </c>
      <c r="J19" s="6">
        <f t="shared" si="0"/>
        <v>2267.465074101829</v>
      </c>
      <c r="L19" s="12">
        <v>0.33333333333333331</v>
      </c>
      <c r="M19" s="9">
        <v>8362.3670816421509</v>
      </c>
      <c r="N19" s="9">
        <v>1054.8353900909424</v>
      </c>
      <c r="O19" s="9">
        <v>0</v>
      </c>
      <c r="P19" s="9">
        <v>0</v>
      </c>
      <c r="Q19" s="9">
        <v>411.73506641387939</v>
      </c>
      <c r="R19" s="9">
        <v>12.192423820495605</v>
      </c>
      <c r="S19" s="9">
        <v>0</v>
      </c>
      <c r="T19" s="9">
        <v>0</v>
      </c>
      <c r="U19">
        <f t="shared" si="1"/>
        <v>9841.1299619674683</v>
      </c>
    </row>
    <row r="20" spans="1:21" x14ac:dyDescent="0.25">
      <c r="A20" s="12">
        <v>0.35416666666666669</v>
      </c>
      <c r="B20" s="6">
        <v>2960.0206203825946</v>
      </c>
      <c r="C20" s="6">
        <v>101.15355136528015</v>
      </c>
      <c r="D20" s="6">
        <v>0</v>
      </c>
      <c r="E20" s="6">
        <v>0</v>
      </c>
      <c r="F20" s="6">
        <v>62.644050613212585</v>
      </c>
      <c r="G20" s="6">
        <v>0</v>
      </c>
      <c r="H20" s="6">
        <v>0</v>
      </c>
      <c r="I20" s="6">
        <v>0</v>
      </c>
      <c r="J20" s="6">
        <f t="shared" si="0"/>
        <v>3123.8182223610875</v>
      </c>
      <c r="L20" s="12">
        <v>0.35416666666666669</v>
      </c>
      <c r="M20" s="9">
        <v>12625.739890098572</v>
      </c>
      <c r="N20" s="9">
        <v>1551.344783782959</v>
      </c>
      <c r="O20" s="9">
        <v>0</v>
      </c>
      <c r="P20" s="9">
        <v>0</v>
      </c>
      <c r="Q20" s="9">
        <v>643.48516750335693</v>
      </c>
      <c r="R20" s="9">
        <v>19.597779273986816</v>
      </c>
      <c r="S20" s="9">
        <v>0</v>
      </c>
      <c r="T20" s="9">
        <v>0</v>
      </c>
      <c r="U20">
        <f t="shared" si="1"/>
        <v>14840.167620658875</v>
      </c>
    </row>
    <row r="21" spans="1:21" x14ac:dyDescent="0.25">
      <c r="A21" s="12">
        <v>0.375</v>
      </c>
      <c r="B21" s="6">
        <v>3951.2962248910903</v>
      </c>
      <c r="C21" s="6">
        <v>138.04669598426818</v>
      </c>
      <c r="D21" s="6">
        <v>0</v>
      </c>
      <c r="E21" s="6">
        <v>0</v>
      </c>
      <c r="F21" s="6">
        <v>110.40835469007492</v>
      </c>
      <c r="G21" s="6">
        <v>0</v>
      </c>
      <c r="H21" s="6">
        <v>0</v>
      </c>
      <c r="I21" s="6">
        <v>0</v>
      </c>
      <c r="J21" s="6">
        <f t="shared" si="0"/>
        <v>4199.7512755654334</v>
      </c>
      <c r="L21" s="12">
        <v>0.375</v>
      </c>
      <c r="M21" s="9">
        <v>18317.635228157043</v>
      </c>
      <c r="N21" s="9">
        <v>2186.8425922393799</v>
      </c>
      <c r="O21" s="9">
        <v>0</v>
      </c>
      <c r="P21" s="9">
        <v>0</v>
      </c>
      <c r="Q21" s="9">
        <v>963.06227588653564</v>
      </c>
      <c r="R21" s="9">
        <v>29.688953399658203</v>
      </c>
      <c r="S21" s="9">
        <v>0</v>
      </c>
      <c r="T21" s="9">
        <v>0</v>
      </c>
      <c r="U21">
        <f t="shared" si="1"/>
        <v>21497.229049682617</v>
      </c>
    </row>
    <row r="22" spans="1:21" x14ac:dyDescent="0.25">
      <c r="A22" s="12">
        <v>0.39583333333333331</v>
      </c>
      <c r="B22" s="6">
        <v>5284.9180506768225</v>
      </c>
      <c r="C22" s="6">
        <v>188.96424572296144</v>
      </c>
      <c r="D22" s="6">
        <v>0</v>
      </c>
      <c r="E22" s="6">
        <v>0</v>
      </c>
      <c r="F22" s="6">
        <v>182.71549770040511</v>
      </c>
      <c r="G22" s="6">
        <v>0</v>
      </c>
      <c r="H22" s="6">
        <v>0</v>
      </c>
      <c r="I22" s="6">
        <v>0</v>
      </c>
      <c r="J22" s="6">
        <f t="shared" si="0"/>
        <v>5656.5977941001884</v>
      </c>
      <c r="L22" s="12">
        <v>0.39583333333333331</v>
      </c>
      <c r="M22" s="9">
        <v>25292.152165412903</v>
      </c>
      <c r="N22" s="9">
        <v>2936.3835573196411</v>
      </c>
      <c r="O22" s="9">
        <v>0</v>
      </c>
      <c r="P22" s="9">
        <v>0</v>
      </c>
      <c r="Q22" s="9">
        <v>1366.0149736404419</v>
      </c>
      <c r="R22" s="9">
        <v>42.063690185546875</v>
      </c>
      <c r="S22" s="9">
        <v>0</v>
      </c>
      <c r="T22" s="9">
        <v>0</v>
      </c>
      <c r="U22">
        <f t="shared" si="1"/>
        <v>29636.614386558533</v>
      </c>
    </row>
    <row r="23" spans="1:21" x14ac:dyDescent="0.25">
      <c r="A23" s="12">
        <v>0.41666666666666669</v>
      </c>
      <c r="B23" s="6">
        <v>7142.4715733148569</v>
      </c>
      <c r="C23" s="6">
        <v>253.11245035829546</v>
      </c>
      <c r="D23" s="6">
        <v>0</v>
      </c>
      <c r="E23" s="6">
        <v>0</v>
      </c>
      <c r="F23" s="6">
        <v>284.72842401218412</v>
      </c>
      <c r="G23" s="6">
        <v>0</v>
      </c>
      <c r="H23" s="6">
        <v>0</v>
      </c>
      <c r="I23" s="6">
        <v>0</v>
      </c>
      <c r="J23" s="6">
        <f t="shared" si="0"/>
        <v>7680.3124476853363</v>
      </c>
      <c r="L23" s="12">
        <v>0.41666666666666669</v>
      </c>
      <c r="M23" s="9">
        <v>32836.52830696106</v>
      </c>
      <c r="N23" s="9">
        <v>3719.231595993042</v>
      </c>
      <c r="O23" s="9">
        <v>0</v>
      </c>
      <c r="P23" s="9">
        <v>0</v>
      </c>
      <c r="Q23" s="9">
        <v>1818.3858203887939</v>
      </c>
      <c r="R23" s="9">
        <v>55.497519493103027</v>
      </c>
      <c r="S23" s="9">
        <v>0</v>
      </c>
      <c r="T23" s="9">
        <v>0</v>
      </c>
      <c r="U23">
        <f t="shared" si="1"/>
        <v>38429.643242835999</v>
      </c>
    </row>
    <row r="24" spans="1:21" x14ac:dyDescent="0.25">
      <c r="A24" s="12">
        <v>0.4375</v>
      </c>
      <c r="B24" s="6">
        <v>9541.7454737748139</v>
      </c>
      <c r="C24" s="6">
        <v>328.48573800935753</v>
      </c>
      <c r="D24" s="6">
        <v>0</v>
      </c>
      <c r="E24" s="6">
        <v>0</v>
      </c>
      <c r="F24" s="6">
        <v>410.71858811388017</v>
      </c>
      <c r="G24" s="6">
        <v>0</v>
      </c>
      <c r="H24" s="6">
        <v>0</v>
      </c>
      <c r="I24" s="6">
        <v>0</v>
      </c>
      <c r="J24" s="6">
        <f t="shared" si="0"/>
        <v>10280.949799898051</v>
      </c>
      <c r="L24" s="12">
        <v>0.4375</v>
      </c>
      <c r="M24" s="9">
        <v>39762.710538864136</v>
      </c>
      <c r="N24" s="9">
        <v>4412.9284696578979</v>
      </c>
      <c r="O24" s="9">
        <v>0</v>
      </c>
      <c r="P24" s="9">
        <v>0</v>
      </c>
      <c r="Q24" s="9">
        <v>2260.2026309967041</v>
      </c>
      <c r="R24" s="9">
        <v>68.227865219116211</v>
      </c>
      <c r="S24" s="9">
        <v>0</v>
      </c>
      <c r="T24" s="9">
        <v>0</v>
      </c>
      <c r="U24">
        <f t="shared" si="1"/>
        <v>46504.069504737854</v>
      </c>
    </row>
    <row r="25" spans="1:21" x14ac:dyDescent="0.25">
      <c r="A25" s="12">
        <v>0.45833333333333331</v>
      </c>
      <c r="B25" s="6">
        <v>12143.380083648013</v>
      </c>
      <c r="C25" s="6">
        <v>409.49493954286578</v>
      </c>
      <c r="D25" s="6">
        <v>0</v>
      </c>
      <c r="E25" s="6">
        <v>0</v>
      </c>
      <c r="F25" s="6">
        <v>534.8883293239594</v>
      </c>
      <c r="G25" s="6">
        <v>0</v>
      </c>
      <c r="H25" s="6">
        <v>0</v>
      </c>
      <c r="I25" s="6">
        <v>0</v>
      </c>
      <c r="J25" s="6">
        <f t="shared" si="0"/>
        <v>13087.763352514839</v>
      </c>
      <c r="L25" s="12">
        <v>0.45833333333333331</v>
      </c>
      <c r="M25" s="9">
        <v>44737.127974510193</v>
      </c>
      <c r="N25" s="9">
        <v>4889.7380380630493</v>
      </c>
      <c r="O25" s="9">
        <v>0</v>
      </c>
      <c r="P25" s="9">
        <v>0</v>
      </c>
      <c r="Q25" s="9">
        <v>2618.5733776092529</v>
      </c>
      <c r="R25" s="9">
        <v>78.387104988098145</v>
      </c>
      <c r="S25" s="9">
        <v>0</v>
      </c>
      <c r="T25" s="9">
        <v>0</v>
      </c>
      <c r="U25">
        <f t="shared" si="1"/>
        <v>52323.826495170593</v>
      </c>
    </row>
    <row r="26" spans="1:21" x14ac:dyDescent="0.25">
      <c r="A26" s="12">
        <v>0.47916666666666669</v>
      </c>
      <c r="B26" s="6">
        <v>14261.360087638188</v>
      </c>
      <c r="C26" s="6">
        <v>483.32579770145418</v>
      </c>
      <c r="D26" s="6">
        <v>0</v>
      </c>
      <c r="E26" s="6">
        <v>0</v>
      </c>
      <c r="F26" s="6">
        <v>615.62444468641274</v>
      </c>
      <c r="G26" s="6">
        <v>0</v>
      </c>
      <c r="H26" s="6">
        <v>0</v>
      </c>
      <c r="I26" s="6">
        <v>0</v>
      </c>
      <c r="J26" s="6">
        <f t="shared" si="0"/>
        <v>15360.310330026055</v>
      </c>
      <c r="L26" s="12">
        <v>0.47916666666666669</v>
      </c>
      <c r="M26" s="9">
        <v>46657.536458015442</v>
      </c>
      <c r="N26" s="9">
        <v>5052.5894756317139</v>
      </c>
      <c r="O26" s="9">
        <v>0</v>
      </c>
      <c r="P26" s="9">
        <v>0</v>
      </c>
      <c r="Q26" s="9">
        <v>2824.0414123535156</v>
      </c>
      <c r="R26" s="9">
        <v>84.34315299987793</v>
      </c>
      <c r="S26" s="9">
        <v>0</v>
      </c>
      <c r="T26" s="9">
        <v>0</v>
      </c>
      <c r="U26">
        <f t="shared" si="1"/>
        <v>54618.510499000549</v>
      </c>
    </row>
    <row r="27" spans="1:21" x14ac:dyDescent="0.25">
      <c r="A27" s="12">
        <v>0.5</v>
      </c>
      <c r="B27" s="6">
        <v>15166.442158504296</v>
      </c>
      <c r="C27" s="6">
        <v>529.91826581697467</v>
      </c>
      <c r="D27" s="6">
        <v>0</v>
      </c>
      <c r="E27" s="6">
        <v>0</v>
      </c>
      <c r="F27" s="6">
        <v>617.9708634770393</v>
      </c>
      <c r="G27" s="6">
        <v>0</v>
      </c>
      <c r="H27" s="6">
        <v>0</v>
      </c>
      <c r="I27" s="6">
        <v>0</v>
      </c>
      <c r="J27" s="6">
        <f t="shared" si="0"/>
        <v>16314.33128779831</v>
      </c>
      <c r="L27" s="12">
        <v>0.5</v>
      </c>
      <c r="M27" s="9">
        <v>44997.077907562256</v>
      </c>
      <c r="N27" s="9">
        <v>4863.4039220809937</v>
      </c>
      <c r="O27" s="9">
        <v>0</v>
      </c>
      <c r="P27" s="9">
        <v>0</v>
      </c>
      <c r="Q27" s="9">
        <v>2831.6618041992188</v>
      </c>
      <c r="R27" s="9">
        <v>85.105038642883301</v>
      </c>
      <c r="S27" s="9">
        <v>0</v>
      </c>
      <c r="T27" s="9">
        <v>0</v>
      </c>
      <c r="U27">
        <f t="shared" si="1"/>
        <v>52777.248672485352</v>
      </c>
    </row>
    <row r="28" spans="1:21" x14ac:dyDescent="0.25">
      <c r="A28" s="12">
        <v>0.52083333333333337</v>
      </c>
      <c r="B28" s="6">
        <v>14504.327191461753</v>
      </c>
      <c r="C28" s="6">
        <v>529.76438061285023</v>
      </c>
      <c r="D28" s="6">
        <v>0</v>
      </c>
      <c r="E28" s="6">
        <v>0</v>
      </c>
      <c r="F28" s="6">
        <v>538.51835043334961</v>
      </c>
      <c r="G28" s="6">
        <v>0</v>
      </c>
      <c r="H28" s="6">
        <v>0</v>
      </c>
      <c r="I28" s="6">
        <v>0</v>
      </c>
      <c r="J28" s="6">
        <f t="shared" si="0"/>
        <v>15572.609922507952</v>
      </c>
      <c r="L28" s="12">
        <v>0.52083333333333337</v>
      </c>
      <c r="M28" s="9">
        <v>40083.43585395813</v>
      </c>
      <c r="N28" s="9">
        <v>4365.3046655654907</v>
      </c>
      <c r="O28" s="9">
        <v>0</v>
      </c>
      <c r="P28" s="9">
        <v>0</v>
      </c>
      <c r="Q28" s="9">
        <v>2645.2793664932251</v>
      </c>
      <c r="R28" s="9">
        <v>80.914728164672852</v>
      </c>
      <c r="S28" s="9">
        <v>0</v>
      </c>
      <c r="T28" s="9">
        <v>0</v>
      </c>
      <c r="U28">
        <f t="shared" si="1"/>
        <v>47174.934614181519</v>
      </c>
    </row>
    <row r="29" spans="1:21" x14ac:dyDescent="0.25">
      <c r="A29" s="12">
        <v>0.54166666666666663</v>
      </c>
      <c r="B29" s="6">
        <v>12507.097706584165</v>
      </c>
      <c r="C29" s="6">
        <v>477.08966981277467</v>
      </c>
      <c r="D29" s="6">
        <v>0</v>
      </c>
      <c r="E29" s="6">
        <v>0</v>
      </c>
      <c r="F29" s="6">
        <v>409.31508118619922</v>
      </c>
      <c r="G29" s="6">
        <v>0</v>
      </c>
      <c r="H29" s="6">
        <v>0</v>
      </c>
      <c r="I29" s="6">
        <v>0</v>
      </c>
      <c r="J29" s="6">
        <f t="shared" si="0"/>
        <v>13393.502457583139</v>
      </c>
      <c r="L29" s="12">
        <v>0.54166666666666663</v>
      </c>
      <c r="M29" s="9">
        <v>33117.764771461487</v>
      </c>
      <c r="N29" s="9">
        <v>3682.3082418441772</v>
      </c>
      <c r="O29" s="9">
        <v>0</v>
      </c>
      <c r="P29" s="9">
        <v>0</v>
      </c>
      <c r="Q29" s="9">
        <v>2326.7099342346191</v>
      </c>
      <c r="R29" s="9">
        <v>73.530494689941406</v>
      </c>
      <c r="S29" s="9">
        <v>0</v>
      </c>
      <c r="T29" s="9">
        <v>0</v>
      </c>
      <c r="U29">
        <f t="shared" si="1"/>
        <v>39200.313442230225</v>
      </c>
    </row>
    <row r="30" spans="1:21" x14ac:dyDescent="0.25">
      <c r="A30" s="12">
        <v>0.5625</v>
      </c>
      <c r="B30" s="6">
        <v>9839.7431435141552</v>
      </c>
      <c r="C30" s="6">
        <v>387.84460503282548</v>
      </c>
      <c r="D30" s="6">
        <v>0</v>
      </c>
      <c r="E30" s="6">
        <v>0</v>
      </c>
      <c r="F30" s="6">
        <v>276.17093489818575</v>
      </c>
      <c r="G30" s="6">
        <v>0</v>
      </c>
      <c r="H30" s="6">
        <v>0</v>
      </c>
      <c r="I30" s="6">
        <v>0</v>
      </c>
      <c r="J30" s="6">
        <f t="shared" si="0"/>
        <v>10503.758683445167</v>
      </c>
      <c r="L30" s="12">
        <v>0.5625</v>
      </c>
      <c r="M30" s="9">
        <v>25732.352473258972</v>
      </c>
      <c r="N30" s="9">
        <v>2975.547908782959</v>
      </c>
      <c r="O30" s="9">
        <v>0</v>
      </c>
      <c r="P30" s="9">
        <v>0</v>
      </c>
      <c r="Q30" s="9">
        <v>1970.9605140686035</v>
      </c>
      <c r="R30" s="9">
        <v>65.560681343078613</v>
      </c>
      <c r="S30" s="9">
        <v>0</v>
      </c>
      <c r="T30" s="9">
        <v>0</v>
      </c>
      <c r="U30">
        <f t="shared" si="1"/>
        <v>30744.421577453613</v>
      </c>
    </row>
    <row r="31" spans="1:21" x14ac:dyDescent="0.25">
      <c r="A31" s="12">
        <v>0.58333333333333337</v>
      </c>
      <c r="B31" s="6">
        <v>7226.6078922285069</v>
      </c>
      <c r="C31" s="6">
        <v>292.67730357398989</v>
      </c>
      <c r="D31" s="6">
        <v>0</v>
      </c>
      <c r="E31" s="6">
        <v>0</v>
      </c>
      <c r="F31" s="6">
        <v>171.30934249448779</v>
      </c>
      <c r="G31" s="6">
        <v>0</v>
      </c>
      <c r="H31" s="6">
        <v>0</v>
      </c>
      <c r="I31" s="6">
        <v>0</v>
      </c>
      <c r="J31" s="6">
        <f t="shared" si="0"/>
        <v>7690.5945382969849</v>
      </c>
      <c r="L31" s="12">
        <v>0.58333333333333337</v>
      </c>
      <c r="M31" s="9">
        <v>19270.568434715271</v>
      </c>
      <c r="N31" s="9">
        <v>2372.53564453125</v>
      </c>
      <c r="O31" s="9">
        <v>0</v>
      </c>
      <c r="P31" s="9">
        <v>0</v>
      </c>
      <c r="Q31" s="9">
        <v>1658.5757369995117</v>
      </c>
      <c r="R31" s="9">
        <v>59.10391902923584</v>
      </c>
      <c r="S31" s="9">
        <v>0</v>
      </c>
      <c r="T31" s="9">
        <v>0</v>
      </c>
      <c r="U31">
        <f t="shared" si="1"/>
        <v>23360.783735275269</v>
      </c>
    </row>
    <row r="32" spans="1:21" x14ac:dyDescent="0.25">
      <c r="A32" s="12">
        <v>0.60416666666666663</v>
      </c>
      <c r="B32" s="6">
        <v>5134.9953251333227</v>
      </c>
      <c r="C32" s="6">
        <v>218.13831083450319</v>
      </c>
      <c r="D32" s="6">
        <v>0</v>
      </c>
      <c r="E32" s="6">
        <v>0</v>
      </c>
      <c r="F32" s="6">
        <v>102.43764861936569</v>
      </c>
      <c r="G32" s="6">
        <v>0</v>
      </c>
      <c r="H32" s="6">
        <v>0</v>
      </c>
      <c r="I32" s="6">
        <v>0</v>
      </c>
      <c r="J32" s="6">
        <f t="shared" si="0"/>
        <v>5455.5712845871922</v>
      </c>
      <c r="L32" s="12">
        <v>0.60416666666666663</v>
      </c>
      <c r="M32" s="9">
        <v>14307.603729248047</v>
      </c>
      <c r="N32" s="9">
        <v>1921.2842512130737</v>
      </c>
      <c r="O32" s="9">
        <v>0</v>
      </c>
      <c r="P32" s="9">
        <v>0</v>
      </c>
      <c r="Q32" s="9">
        <v>1422.3755359649658</v>
      </c>
      <c r="R32" s="9">
        <v>54.820464134216309</v>
      </c>
      <c r="S32" s="9">
        <v>0</v>
      </c>
      <c r="T32" s="9">
        <v>0</v>
      </c>
      <c r="U32">
        <f t="shared" si="1"/>
        <v>17706.083980560303</v>
      </c>
    </row>
    <row r="33" spans="1:21" x14ac:dyDescent="0.25">
      <c r="A33" s="12">
        <v>0.625</v>
      </c>
      <c r="B33" s="6">
        <v>3679.0546895504949</v>
      </c>
      <c r="C33" s="6">
        <v>171.79546514463425</v>
      </c>
      <c r="D33" s="6">
        <v>0</v>
      </c>
      <c r="E33" s="6">
        <v>0</v>
      </c>
      <c r="F33" s="6">
        <v>60.902150630950928</v>
      </c>
      <c r="G33" s="6">
        <v>0</v>
      </c>
      <c r="H33" s="6">
        <v>0</v>
      </c>
      <c r="I33" s="6">
        <v>0</v>
      </c>
      <c r="J33" s="6">
        <f t="shared" si="0"/>
        <v>3911.7523053260802</v>
      </c>
      <c r="L33" s="12">
        <v>0.625</v>
      </c>
      <c r="M33" s="9">
        <v>10723.263506889343</v>
      </c>
      <c r="N33" s="9">
        <v>1601.0121688842773</v>
      </c>
      <c r="O33" s="9">
        <v>0</v>
      </c>
      <c r="P33" s="9">
        <v>0</v>
      </c>
      <c r="Q33" s="9">
        <v>1252.2203512191772</v>
      </c>
      <c r="R33" s="9">
        <v>52.180096626281738</v>
      </c>
      <c r="S33" s="9">
        <v>0</v>
      </c>
      <c r="T33" s="9">
        <v>0</v>
      </c>
      <c r="U33">
        <f t="shared" si="1"/>
        <v>13628.67612361908</v>
      </c>
    </row>
    <row r="34" spans="1:21" x14ac:dyDescent="0.25">
      <c r="A34" s="12">
        <v>0.64583333333333337</v>
      </c>
      <c r="B34" s="6">
        <v>2721.6824685866359</v>
      </c>
      <c r="C34" s="6">
        <v>143.40952636480333</v>
      </c>
      <c r="D34" s="6">
        <v>0</v>
      </c>
      <c r="E34" s="6">
        <v>0</v>
      </c>
      <c r="F34" s="6">
        <v>35.364018812751773</v>
      </c>
      <c r="G34" s="6">
        <v>0</v>
      </c>
      <c r="H34" s="6">
        <v>0</v>
      </c>
      <c r="I34" s="6">
        <v>0</v>
      </c>
      <c r="J34" s="6">
        <f t="shared" si="0"/>
        <v>2900.4560137641911</v>
      </c>
      <c r="L34" s="12">
        <v>0.64583333333333337</v>
      </c>
      <c r="M34" s="9">
        <v>8122.1832036972046</v>
      </c>
      <c r="N34" s="9">
        <v>1367.7000827789307</v>
      </c>
      <c r="O34" s="9">
        <v>0</v>
      </c>
      <c r="P34" s="9">
        <v>0</v>
      </c>
      <c r="Q34" s="9">
        <v>1124.2534828186035</v>
      </c>
      <c r="R34" s="9">
        <v>50.449928283691406</v>
      </c>
      <c r="S34" s="9">
        <v>0</v>
      </c>
      <c r="T34" s="9">
        <v>0</v>
      </c>
      <c r="U34">
        <f t="shared" si="1"/>
        <v>10664.58669757843</v>
      </c>
    </row>
    <row r="35" spans="1:21" x14ac:dyDescent="0.25">
      <c r="A35" s="12">
        <v>0.66666666666666663</v>
      </c>
      <c r="B35" s="6">
        <v>2052.3908350782394</v>
      </c>
      <c r="C35" s="6">
        <v>118.39623728141785</v>
      </c>
      <c r="D35" s="6">
        <v>0</v>
      </c>
      <c r="E35" s="6">
        <v>0</v>
      </c>
      <c r="F35" s="6">
        <v>18.954326679420468</v>
      </c>
      <c r="G35" s="6">
        <v>0</v>
      </c>
      <c r="H35" s="6">
        <v>0</v>
      </c>
      <c r="I35" s="6">
        <v>0</v>
      </c>
      <c r="J35" s="6">
        <f t="shared" si="0"/>
        <v>2189.7413990390778</v>
      </c>
      <c r="L35" s="12">
        <v>0.66666666666666663</v>
      </c>
      <c r="M35" s="9">
        <v>6181.6361465454102</v>
      </c>
      <c r="N35" s="9">
        <v>1189.6489334106445</v>
      </c>
      <c r="O35" s="9">
        <v>0</v>
      </c>
      <c r="P35" s="9">
        <v>0</v>
      </c>
      <c r="Q35" s="9">
        <v>1023.9614343643188</v>
      </c>
      <c r="R35" s="9">
        <v>49.392216682434082</v>
      </c>
      <c r="S35" s="9">
        <v>0</v>
      </c>
      <c r="T35" s="9">
        <v>0</v>
      </c>
      <c r="U35">
        <f t="shared" si="1"/>
        <v>8444.6387310028076</v>
      </c>
    </row>
    <row r="36" spans="1:21" x14ac:dyDescent="0.25">
      <c r="A36" s="12">
        <v>0.6875</v>
      </c>
      <c r="B36" s="6">
        <v>1522.2766288752555</v>
      </c>
      <c r="C36" s="6">
        <v>89.760121706199641</v>
      </c>
      <c r="D36" s="6">
        <v>0</v>
      </c>
      <c r="E36" s="6">
        <v>0</v>
      </c>
      <c r="F36" s="6">
        <v>8.8302599836349476</v>
      </c>
      <c r="G36" s="6">
        <v>0</v>
      </c>
      <c r="H36" s="6">
        <v>0</v>
      </c>
      <c r="I36" s="6">
        <v>0</v>
      </c>
      <c r="J36" s="6">
        <f t="shared" si="0"/>
        <v>1620.8670105650901</v>
      </c>
      <c r="L36" s="12">
        <v>0.6875</v>
      </c>
      <c r="M36" s="9">
        <v>4733.2704162597656</v>
      </c>
      <c r="N36" s="9">
        <v>1052.2176761627197</v>
      </c>
      <c r="O36" s="9">
        <v>0</v>
      </c>
      <c r="P36" s="9">
        <v>0</v>
      </c>
      <c r="Q36" s="9">
        <v>947.6347713470459</v>
      </c>
      <c r="R36" s="9">
        <v>49.117258071899414</v>
      </c>
      <c r="S36" s="9">
        <v>0</v>
      </c>
      <c r="T36" s="9">
        <v>0</v>
      </c>
      <c r="U36">
        <f t="shared" si="1"/>
        <v>6782.2401218414307</v>
      </c>
    </row>
    <row r="37" spans="1:21" x14ac:dyDescent="0.25">
      <c r="A37" s="12">
        <v>0.70833333333333337</v>
      </c>
      <c r="B37" s="6">
        <v>1081.0362211803435</v>
      </c>
      <c r="C37" s="6">
        <v>59.815243431854249</v>
      </c>
      <c r="D37" s="6">
        <v>0</v>
      </c>
      <c r="E37" s="6">
        <v>0</v>
      </c>
      <c r="F37" s="6">
        <v>3.4076219723701477</v>
      </c>
      <c r="G37" s="6">
        <v>0</v>
      </c>
      <c r="H37" s="6">
        <v>0</v>
      </c>
      <c r="I37" s="6">
        <v>0</v>
      </c>
      <c r="J37" s="6">
        <f t="shared" si="0"/>
        <v>1144.259086584568</v>
      </c>
      <c r="L37" s="12">
        <v>0.70833333333333337</v>
      </c>
      <c r="M37" s="9">
        <v>3679.3743276596069</v>
      </c>
      <c r="N37" s="9">
        <v>944.23537063598633</v>
      </c>
      <c r="O37" s="9">
        <v>0</v>
      </c>
      <c r="P37" s="9">
        <v>0</v>
      </c>
      <c r="Q37" s="9">
        <v>890.26186561584473</v>
      </c>
      <c r="R37" s="9">
        <v>49.404633522033691</v>
      </c>
      <c r="S37" s="9">
        <v>0</v>
      </c>
      <c r="T37" s="9">
        <v>0</v>
      </c>
      <c r="U37">
        <f t="shared" si="1"/>
        <v>5563.2761974334717</v>
      </c>
    </row>
    <row r="38" spans="1:21" x14ac:dyDescent="0.25">
      <c r="A38" s="12">
        <v>0.72916666666666663</v>
      </c>
      <c r="B38" s="6">
        <v>737.69671459836945</v>
      </c>
      <c r="C38" s="6">
        <v>34.407105349159245</v>
      </c>
      <c r="D38" s="6">
        <v>0</v>
      </c>
      <c r="E38" s="6">
        <v>0</v>
      </c>
      <c r="F38" s="6">
        <v>1.0454490771293641</v>
      </c>
      <c r="G38" s="6">
        <v>0</v>
      </c>
      <c r="H38" s="6">
        <v>0</v>
      </c>
      <c r="I38" s="6">
        <v>0</v>
      </c>
      <c r="J38" s="6">
        <f t="shared" si="0"/>
        <v>773.149269024658</v>
      </c>
      <c r="L38" s="12">
        <v>0.72916666666666663</v>
      </c>
      <c r="M38" s="9">
        <v>2914.93971824646</v>
      </c>
      <c r="N38" s="9">
        <v>848.44389915466309</v>
      </c>
      <c r="O38" s="9">
        <v>0</v>
      </c>
      <c r="P38" s="9">
        <v>0</v>
      </c>
      <c r="Q38" s="9">
        <v>837.17576885223389</v>
      </c>
      <c r="R38" s="9">
        <v>49.297078132629395</v>
      </c>
      <c r="S38" s="9">
        <v>0</v>
      </c>
      <c r="T38" s="9">
        <v>0</v>
      </c>
      <c r="U38">
        <f t="shared" si="1"/>
        <v>4649.8564643859863</v>
      </c>
    </row>
    <row r="39" spans="1:21" x14ac:dyDescent="0.25">
      <c r="A39" s="12">
        <v>0.75</v>
      </c>
      <c r="B39" s="6">
        <v>505.21983398637764</v>
      </c>
      <c r="C39" s="6">
        <v>17.280668607234958</v>
      </c>
      <c r="D39" s="6">
        <v>0</v>
      </c>
      <c r="E39" s="6">
        <v>0</v>
      </c>
      <c r="F39" s="6">
        <v>0.24367234840393065</v>
      </c>
      <c r="G39" s="6">
        <v>0</v>
      </c>
      <c r="H39" s="6">
        <v>0</v>
      </c>
      <c r="I39" s="6">
        <v>0</v>
      </c>
      <c r="J39" s="6">
        <f t="shared" si="0"/>
        <v>522.74417494201657</v>
      </c>
      <c r="L39" s="12">
        <v>0.75</v>
      </c>
      <c r="M39" s="9">
        <v>2326.7027673721313</v>
      </c>
      <c r="N39" s="9">
        <v>746.340576171875</v>
      </c>
      <c r="O39" s="9">
        <v>0</v>
      </c>
      <c r="P39" s="9">
        <v>0</v>
      </c>
      <c r="Q39" s="9">
        <v>769.76839160919189</v>
      </c>
      <c r="R39" s="9">
        <v>47.55558967590332</v>
      </c>
      <c r="S39" s="9">
        <v>0</v>
      </c>
      <c r="T39" s="9">
        <v>0</v>
      </c>
      <c r="U39">
        <f t="shared" si="1"/>
        <v>3890.3673248291016</v>
      </c>
    </row>
    <row r="40" spans="1:21" x14ac:dyDescent="0.25">
      <c r="A40" s="12">
        <v>0.77083333333333337</v>
      </c>
      <c r="B40" s="6">
        <v>371.49044792003633</v>
      </c>
      <c r="C40" s="6">
        <v>8.6691251225471504</v>
      </c>
      <c r="D40" s="6">
        <v>0</v>
      </c>
      <c r="E40" s="6">
        <v>0</v>
      </c>
      <c r="F40" s="6">
        <v>4.0425759029388421E-2</v>
      </c>
      <c r="G40" s="6">
        <v>0</v>
      </c>
      <c r="H40" s="6">
        <v>0</v>
      </c>
      <c r="I40" s="6">
        <v>0</v>
      </c>
      <c r="J40" s="6">
        <f t="shared" si="0"/>
        <v>380.19999880161288</v>
      </c>
      <c r="L40" s="12">
        <v>0.77083333333333337</v>
      </c>
      <c r="M40" s="9">
        <v>1837.7358903884888</v>
      </c>
      <c r="N40" s="9">
        <v>631.09088516235352</v>
      </c>
      <c r="O40" s="9">
        <v>0</v>
      </c>
      <c r="P40" s="9">
        <v>0</v>
      </c>
      <c r="Q40" s="9">
        <v>680.8596305847168</v>
      </c>
      <c r="R40" s="9">
        <v>43.733663558959961</v>
      </c>
      <c r="S40" s="9">
        <v>0</v>
      </c>
      <c r="T40" s="9">
        <v>0</v>
      </c>
      <c r="U40">
        <f t="shared" si="1"/>
        <v>3193.420069694519</v>
      </c>
    </row>
    <row r="41" spans="1:21" x14ac:dyDescent="0.25">
      <c r="A41" s="12">
        <v>0.79166666666666663</v>
      </c>
      <c r="B41" s="6">
        <v>301.21221360044478</v>
      </c>
      <c r="C41" s="6">
        <v>6.8413492107391356</v>
      </c>
      <c r="D41" s="6">
        <v>0</v>
      </c>
      <c r="E41" s="6">
        <v>0</v>
      </c>
      <c r="F41" s="6">
        <v>4.2478313446044913E-3</v>
      </c>
      <c r="G41" s="6">
        <v>0</v>
      </c>
      <c r="H41" s="6">
        <v>0</v>
      </c>
      <c r="I41" s="6">
        <v>0</v>
      </c>
      <c r="J41" s="6">
        <f t="shared" si="0"/>
        <v>308.05781064252852</v>
      </c>
      <c r="L41" s="12">
        <v>0.79166666666666663</v>
      </c>
      <c r="M41" s="9">
        <v>1434.835765838623</v>
      </c>
      <c r="N41" s="9">
        <v>514.04820537567139</v>
      </c>
      <c r="O41" s="9">
        <v>0</v>
      </c>
      <c r="P41" s="9">
        <v>0</v>
      </c>
      <c r="Q41" s="9">
        <v>584.19116878509521</v>
      </c>
      <c r="R41" s="9">
        <v>38.837227821350098</v>
      </c>
      <c r="S41" s="9">
        <v>0</v>
      </c>
      <c r="T41" s="9">
        <v>0</v>
      </c>
      <c r="U41">
        <f t="shared" si="1"/>
        <v>2571.9123678207397</v>
      </c>
    </row>
    <row r="42" spans="1:21" x14ac:dyDescent="0.25">
      <c r="A42" s="12">
        <v>0.8125</v>
      </c>
      <c r="B42" s="6">
        <v>253.91379481391908</v>
      </c>
      <c r="C42" s="6">
        <v>9.6418649354934693</v>
      </c>
      <c r="D42" s="6">
        <v>0</v>
      </c>
      <c r="E42" s="6">
        <v>0</v>
      </c>
      <c r="F42" s="6">
        <v>2.123915672302246E-4</v>
      </c>
      <c r="G42" s="6">
        <v>0</v>
      </c>
      <c r="H42" s="6">
        <v>0</v>
      </c>
      <c r="I42" s="6">
        <v>0</v>
      </c>
      <c r="J42" s="6">
        <f t="shared" si="0"/>
        <v>263.55587214097977</v>
      </c>
      <c r="L42" s="12">
        <v>0.8125</v>
      </c>
      <c r="M42" s="9">
        <v>1145.1611776351929</v>
      </c>
      <c r="N42" s="9">
        <v>416.22477149963379</v>
      </c>
      <c r="O42" s="9">
        <v>0</v>
      </c>
      <c r="P42" s="9">
        <v>0</v>
      </c>
      <c r="Q42" s="9">
        <v>505.70058727264404</v>
      </c>
      <c r="R42" s="9">
        <v>34.712120056152344</v>
      </c>
      <c r="S42" s="9">
        <v>0</v>
      </c>
      <c r="T42" s="9">
        <v>0</v>
      </c>
      <c r="U42">
        <f t="shared" si="1"/>
        <v>2101.798656463623</v>
      </c>
    </row>
    <row r="43" spans="1:21" x14ac:dyDescent="0.25">
      <c r="A43" s="12">
        <v>0.83333333333333337</v>
      </c>
      <c r="B43" s="6">
        <v>202.83212997760771</v>
      </c>
      <c r="C43" s="6">
        <v>14.752926436424257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f t="shared" si="0"/>
        <v>217.58505641403195</v>
      </c>
      <c r="L43" s="12">
        <v>0.83333333333333337</v>
      </c>
      <c r="M43" s="9">
        <v>981.30725383758545</v>
      </c>
      <c r="N43" s="9">
        <v>350.78077697753906</v>
      </c>
      <c r="O43" s="9">
        <v>0</v>
      </c>
      <c r="P43" s="9">
        <v>0</v>
      </c>
      <c r="Q43" s="9">
        <v>461.5098295211792</v>
      </c>
      <c r="R43" s="9">
        <v>32.521525382995605</v>
      </c>
      <c r="S43" s="9">
        <v>0</v>
      </c>
      <c r="T43" s="9">
        <v>0</v>
      </c>
      <c r="U43">
        <f t="shared" si="1"/>
        <v>1826.1193857192993</v>
      </c>
    </row>
    <row r="44" spans="1:21" x14ac:dyDescent="0.25">
      <c r="A44" s="12">
        <v>0.85416666666666663</v>
      </c>
      <c r="B44" s="6">
        <v>143.20015897283554</v>
      </c>
      <c r="C44" s="6">
        <v>19.505444191551213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f t="shared" si="0"/>
        <v>162.70560316438676</v>
      </c>
      <c r="L44" s="12">
        <v>0.85416666666666663</v>
      </c>
      <c r="M44" s="9">
        <v>905.23159217834473</v>
      </c>
      <c r="N44" s="9">
        <v>312.06770515441895</v>
      </c>
      <c r="O44" s="9">
        <v>0</v>
      </c>
      <c r="P44" s="9">
        <v>0</v>
      </c>
      <c r="Q44" s="9">
        <v>442.49100589752197</v>
      </c>
      <c r="R44" s="9">
        <v>31.707316398620605</v>
      </c>
      <c r="S44" s="9">
        <v>0</v>
      </c>
      <c r="T44" s="9">
        <v>0</v>
      </c>
      <c r="U44">
        <f t="shared" si="1"/>
        <v>1691.4976196289063</v>
      </c>
    </row>
    <row r="45" spans="1:21" x14ac:dyDescent="0.25">
      <c r="A45" s="12">
        <v>0.875</v>
      </c>
      <c r="B45" s="6">
        <v>85.703429457283022</v>
      </c>
      <c r="C45" s="6">
        <v>21.433790480804443</v>
      </c>
      <c r="D45" s="6">
        <v>0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f t="shared" si="0"/>
        <v>107.13721993808747</v>
      </c>
      <c r="L45" s="12">
        <v>0.875</v>
      </c>
      <c r="M45" s="9">
        <v>843.22518825531006</v>
      </c>
      <c r="N45" s="9">
        <v>280.83570194244385</v>
      </c>
      <c r="O45" s="9">
        <v>0</v>
      </c>
      <c r="P45" s="9">
        <v>0</v>
      </c>
      <c r="Q45" s="9">
        <v>420.66701030731201</v>
      </c>
      <c r="R45" s="9">
        <v>30.449721336364746</v>
      </c>
      <c r="S45" s="9">
        <v>0</v>
      </c>
      <c r="T45" s="9">
        <v>0</v>
      </c>
      <c r="U45">
        <f t="shared" si="1"/>
        <v>1575.1776218414307</v>
      </c>
    </row>
    <row r="46" spans="1:21" x14ac:dyDescent="0.25">
      <c r="A46" s="12">
        <v>0.89583333333333337</v>
      </c>
      <c r="B46" s="6">
        <v>42.315661705207823</v>
      </c>
      <c r="C46" s="6">
        <v>19.483295795917513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f t="shared" si="0"/>
        <v>61.798957501125336</v>
      </c>
      <c r="L46" s="12">
        <v>0.89583333333333337</v>
      </c>
      <c r="M46" s="9">
        <v>735.15025997161865</v>
      </c>
      <c r="N46" s="9">
        <v>239.90410900115967</v>
      </c>
      <c r="O46" s="9">
        <v>0</v>
      </c>
      <c r="P46" s="9">
        <v>0</v>
      </c>
      <c r="Q46" s="9">
        <v>371.8234224319458</v>
      </c>
      <c r="R46" s="9">
        <v>27.190038681030273</v>
      </c>
      <c r="S46" s="9">
        <v>0</v>
      </c>
      <c r="T46" s="9">
        <v>0</v>
      </c>
      <c r="U46">
        <f t="shared" si="1"/>
        <v>1374.0678300857544</v>
      </c>
    </row>
    <row r="47" spans="1:21" x14ac:dyDescent="0.25">
      <c r="A47" s="12">
        <v>0.91666666666666663</v>
      </c>
      <c r="B47" s="6">
        <v>16.833846380901335</v>
      </c>
      <c r="C47" s="6">
        <v>14.61238593006134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f t="shared" si="0"/>
        <v>31.446232310962674</v>
      </c>
      <c r="L47" s="12">
        <v>0.91666666666666663</v>
      </c>
      <c r="M47" s="9">
        <v>571.23834991455078</v>
      </c>
      <c r="N47" s="9">
        <v>185.8265323638916</v>
      </c>
      <c r="O47" s="9">
        <v>0</v>
      </c>
      <c r="P47" s="9">
        <v>0</v>
      </c>
      <c r="Q47" s="9">
        <v>293.46916103363037</v>
      </c>
      <c r="R47" s="9">
        <v>21.810609817504883</v>
      </c>
      <c r="S47" s="9">
        <v>0</v>
      </c>
      <c r="T47" s="9">
        <v>0</v>
      </c>
      <c r="U47">
        <f t="shared" si="1"/>
        <v>1072.3446531295776</v>
      </c>
    </row>
    <row r="48" spans="1:21" x14ac:dyDescent="0.25">
      <c r="A48" s="12">
        <v>0.9375</v>
      </c>
      <c r="B48" s="6">
        <v>5.2489890631675715</v>
      </c>
      <c r="C48" s="6">
        <v>8.9922374954223638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f t="shared" si="0"/>
        <v>14.241226558589936</v>
      </c>
      <c r="L48" s="12">
        <v>0.9375</v>
      </c>
      <c r="M48" s="9">
        <v>386.82112312316895</v>
      </c>
      <c r="N48" s="9">
        <v>127.85054492950439</v>
      </c>
      <c r="O48" s="9">
        <v>0</v>
      </c>
      <c r="P48" s="9">
        <v>0</v>
      </c>
      <c r="Q48" s="9">
        <v>203.45737457275391</v>
      </c>
      <c r="R48" s="9">
        <v>15.533538818359375</v>
      </c>
      <c r="S48" s="9">
        <v>0</v>
      </c>
      <c r="T48" s="9">
        <v>0</v>
      </c>
      <c r="U48">
        <f t="shared" si="1"/>
        <v>733.66258144378662</v>
      </c>
    </row>
    <row r="49" spans="1:21" x14ac:dyDescent="0.25">
      <c r="A49" s="12">
        <v>0.95833333333333337</v>
      </c>
      <c r="B49" s="6">
        <v>1.2341163040161132</v>
      </c>
      <c r="C49" s="6">
        <v>4.4961187477111819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f t="shared" si="0"/>
        <v>5.7302350517272949</v>
      </c>
      <c r="L49" s="12">
        <v>0.95833333333333337</v>
      </c>
      <c r="M49" s="9">
        <v>227.15436935424805</v>
      </c>
      <c r="N49" s="9">
        <v>78.080783843994141</v>
      </c>
      <c r="O49" s="9">
        <v>0</v>
      </c>
      <c r="P49" s="9">
        <v>0</v>
      </c>
      <c r="Q49" s="9">
        <v>124.04082298278809</v>
      </c>
      <c r="R49" s="9">
        <v>9.8745555877685547</v>
      </c>
      <c r="S49" s="9">
        <v>0</v>
      </c>
      <c r="T49" s="9">
        <v>0</v>
      </c>
      <c r="U49">
        <f t="shared" si="1"/>
        <v>439.15053176879883</v>
      </c>
    </row>
    <row r="50" spans="1:21" x14ac:dyDescent="0.25">
      <c r="A50" s="12">
        <v>0.97916666666666663</v>
      </c>
      <c r="B50" s="6">
        <v>0.20564892196655271</v>
      </c>
      <c r="C50" s="6">
        <v>1.7984474990844728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f t="shared" si="0"/>
        <v>2.0040964210510257</v>
      </c>
      <c r="L50" s="12">
        <v>0.97916666666666663</v>
      </c>
      <c r="M50" s="9">
        <v>116.76952743530273</v>
      </c>
      <c r="N50" s="9">
        <v>42.963069915771484</v>
      </c>
      <c r="O50" s="9">
        <v>0</v>
      </c>
      <c r="P50" s="9">
        <v>0</v>
      </c>
      <c r="Q50" s="9">
        <v>67.545013427734375</v>
      </c>
      <c r="R50" s="9">
        <v>5.7037506103515625</v>
      </c>
      <c r="S50" s="9">
        <v>0</v>
      </c>
      <c r="T50" s="9">
        <v>0</v>
      </c>
      <c r="U50">
        <f t="shared" si="1"/>
        <v>232.98136138916016</v>
      </c>
    </row>
    <row r="51" spans="1:21" x14ac:dyDescent="0.25">
      <c r="A51" s="12">
        <v>1</v>
      </c>
      <c r="B51" s="6">
        <v>2.1647254943847654E-2</v>
      </c>
      <c r="C51" s="6">
        <v>0.56201484346389774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f t="shared" si="0"/>
        <v>0.58366209840774541</v>
      </c>
      <c r="L51" s="12">
        <v>1</v>
      </c>
      <c r="M51" s="9">
        <v>53.84450626373291</v>
      </c>
      <c r="N51" s="9">
        <v>21.822384834289551</v>
      </c>
      <c r="O51" s="9">
        <v>0</v>
      </c>
      <c r="P51" s="9">
        <v>0</v>
      </c>
      <c r="Q51" s="9">
        <v>33.716068267822266</v>
      </c>
      <c r="R51" s="9">
        <v>3.0619411468505859</v>
      </c>
      <c r="S51" s="9">
        <v>0</v>
      </c>
      <c r="T51" s="9">
        <v>0</v>
      </c>
      <c r="U51">
        <f t="shared" si="1"/>
        <v>112.44490051269531</v>
      </c>
    </row>
    <row r="52" spans="1:21" x14ac:dyDescent="0.25">
      <c r="A52" s="12">
        <v>1.0208333333333333</v>
      </c>
      <c r="B52" s="6">
        <v>1.0823627471923827E-3</v>
      </c>
      <c r="C52" s="6">
        <v>0.1322387866973877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f t="shared" si="0"/>
        <v>0.13332114944458009</v>
      </c>
      <c r="L52" s="12">
        <v>1.0208333333333333</v>
      </c>
      <c r="M52" s="9">
        <v>23.055928230285645</v>
      </c>
      <c r="N52" s="9">
        <v>10.426897048950195</v>
      </c>
      <c r="O52" s="9">
        <v>0</v>
      </c>
      <c r="P52" s="9">
        <v>0</v>
      </c>
      <c r="Q52" s="9">
        <v>15.78797435760498</v>
      </c>
      <c r="R52" s="9">
        <v>1.5458154678344727</v>
      </c>
      <c r="S52" s="9">
        <v>0</v>
      </c>
      <c r="T52" s="9">
        <v>0</v>
      </c>
      <c r="U52">
        <f t="shared" si="1"/>
        <v>50.816615104675293</v>
      </c>
    </row>
    <row r="53" spans="1:21" x14ac:dyDescent="0.25">
      <c r="A53" s="12">
        <v>4.1666666666666664E-2</v>
      </c>
      <c r="B53" s="6">
        <v>0</v>
      </c>
      <c r="C53" s="6">
        <v>2.2039797782897951E-2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f t="shared" si="0"/>
        <v>2.2039797782897951E-2</v>
      </c>
      <c r="L53" s="12">
        <v>4.1666666666666664E-2</v>
      </c>
      <c r="M53" s="9">
        <v>9.3806495666503906</v>
      </c>
      <c r="N53" s="9">
        <v>4.659306526184082</v>
      </c>
      <c r="O53" s="9">
        <v>0</v>
      </c>
      <c r="P53" s="9">
        <v>0</v>
      </c>
      <c r="Q53" s="9">
        <v>6.9301576614379883</v>
      </c>
      <c r="R53" s="9">
        <v>0.72415637969970703</v>
      </c>
      <c r="S53" s="9">
        <v>0</v>
      </c>
      <c r="T53" s="9">
        <v>0</v>
      </c>
      <c r="U53">
        <f t="shared" si="1"/>
        <v>21.694270133972168</v>
      </c>
    </row>
    <row r="54" spans="1:21" x14ac:dyDescent="0.25">
      <c r="A54" s="12">
        <v>6.25E-2</v>
      </c>
      <c r="B54" s="6">
        <v>0</v>
      </c>
      <c r="C54" s="6">
        <v>2.3199787139892578E-3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f t="shared" si="0"/>
        <v>2.3199787139892578E-3</v>
      </c>
      <c r="L54" s="12">
        <v>6.25E-2</v>
      </c>
      <c r="M54" s="9">
        <v>3.5697116851806641</v>
      </c>
      <c r="N54" s="9">
        <v>1.879948616027832</v>
      </c>
      <c r="O54" s="9">
        <v>0</v>
      </c>
      <c r="P54" s="9">
        <v>0</v>
      </c>
      <c r="Q54" s="9">
        <v>2.7592802047729492</v>
      </c>
      <c r="R54" s="9">
        <v>0.30333232879638672</v>
      </c>
      <c r="S54" s="9">
        <v>0</v>
      </c>
      <c r="T54" s="9">
        <v>0</v>
      </c>
      <c r="U54">
        <f t="shared" si="1"/>
        <v>8.512272834777832</v>
      </c>
    </row>
    <row r="55" spans="1:21" x14ac:dyDescent="0.25">
      <c r="A55" s="12">
        <v>8.3333333333333329E-2</v>
      </c>
      <c r="B55" s="6">
        <v>0</v>
      </c>
      <c r="C55" s="6">
        <v>1.159989356994629E-4</v>
      </c>
      <c r="D55" s="6">
        <v>0</v>
      </c>
      <c r="E55" s="6">
        <v>0</v>
      </c>
      <c r="F55" s="6">
        <v>0</v>
      </c>
      <c r="G55" s="6">
        <v>0</v>
      </c>
      <c r="H55" s="6">
        <v>0</v>
      </c>
      <c r="I55" s="6">
        <v>0</v>
      </c>
      <c r="J55" s="6">
        <f t="shared" si="0"/>
        <v>1.159989356994629E-4</v>
      </c>
      <c r="L55" s="12">
        <v>8.3333333333333329E-2</v>
      </c>
      <c r="M55" s="9">
        <v>1.2044153213500977</v>
      </c>
      <c r="N55" s="9">
        <v>0.65123748779296875</v>
      </c>
      <c r="O55" s="9">
        <v>0</v>
      </c>
      <c r="P55" s="9">
        <v>0</v>
      </c>
      <c r="Q55" s="9">
        <v>0.94643115997314453</v>
      </c>
      <c r="R55" s="9">
        <v>0.10837364196777344</v>
      </c>
      <c r="S55" s="9">
        <v>0</v>
      </c>
      <c r="T55" s="9">
        <v>0</v>
      </c>
      <c r="U55">
        <f t="shared" si="1"/>
        <v>2.9104576110839844</v>
      </c>
    </row>
    <row r="56" spans="1:21" x14ac:dyDescent="0.25">
      <c r="A56" s="12">
        <v>0.10416666666666667</v>
      </c>
      <c r="B56" s="6">
        <v>0</v>
      </c>
      <c r="C56" s="6">
        <v>0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f t="shared" si="0"/>
        <v>0</v>
      </c>
      <c r="L56" s="12">
        <v>0.10416666666666667</v>
      </c>
      <c r="M56" s="9">
        <v>0.33711051940917969</v>
      </c>
      <c r="N56" s="9">
        <v>0.18371868133544922</v>
      </c>
      <c r="O56" s="9">
        <v>0</v>
      </c>
      <c r="P56" s="9">
        <v>0</v>
      </c>
      <c r="Q56" s="9">
        <v>0.26470279693603516</v>
      </c>
      <c r="R56" s="9">
        <v>3.1455039978027344E-2</v>
      </c>
      <c r="S56" s="9">
        <v>0</v>
      </c>
      <c r="T56" s="9">
        <v>0</v>
      </c>
      <c r="U56">
        <f t="shared" si="1"/>
        <v>0.81698703765869141</v>
      </c>
    </row>
    <row r="57" spans="1:21" x14ac:dyDescent="0.25">
      <c r="A57" s="12">
        <v>0.125</v>
      </c>
      <c r="B57" s="6">
        <v>0</v>
      </c>
      <c r="C57" s="6">
        <v>0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f t="shared" si="0"/>
        <v>0</v>
      </c>
      <c r="L57" s="12">
        <v>0.125</v>
      </c>
      <c r="M57" s="9">
        <v>7.213592529296875E-2</v>
      </c>
      <c r="N57" s="9">
        <v>3.9337158203125E-2</v>
      </c>
      <c r="O57" s="9">
        <v>0</v>
      </c>
      <c r="P57" s="9">
        <v>0</v>
      </c>
      <c r="Q57" s="9">
        <v>5.6199073791503906E-2</v>
      </c>
      <c r="R57" s="9">
        <v>6.9246292114257813E-3</v>
      </c>
      <c r="S57" s="9">
        <v>0</v>
      </c>
      <c r="T57" s="9">
        <v>0</v>
      </c>
      <c r="U57">
        <f t="shared" si="1"/>
        <v>0.17459678649902344</v>
      </c>
    </row>
    <row r="58" spans="1:21" ht="15.75" thickBot="1" x14ac:dyDescent="0.3">
      <c r="A58" s="13" t="s">
        <v>6</v>
      </c>
      <c r="B58" s="7">
        <v>0</v>
      </c>
      <c r="C58" s="7">
        <v>0</v>
      </c>
      <c r="D58" s="7">
        <v>0</v>
      </c>
      <c r="E58" s="7">
        <v>0</v>
      </c>
      <c r="F58" s="7">
        <v>0</v>
      </c>
      <c r="G58" s="7">
        <v>0</v>
      </c>
      <c r="H58" s="7">
        <v>0</v>
      </c>
      <c r="I58" s="7">
        <v>0</v>
      </c>
      <c r="J58" s="7">
        <f t="shared" si="0"/>
        <v>0</v>
      </c>
      <c r="L58" s="13" t="s">
        <v>6</v>
      </c>
      <c r="M58" s="10">
        <v>0</v>
      </c>
      <c r="N58" s="10">
        <v>0</v>
      </c>
      <c r="O58" s="10">
        <v>0</v>
      </c>
      <c r="P58" s="10">
        <v>0</v>
      </c>
      <c r="Q58" s="10">
        <v>0</v>
      </c>
      <c r="R58" s="10">
        <v>0</v>
      </c>
      <c r="S58" s="10">
        <v>0</v>
      </c>
      <c r="T58" s="10">
        <v>0</v>
      </c>
      <c r="U58" s="1">
        <f t="shared" si="1"/>
        <v>0</v>
      </c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58"/>
  <sheetViews>
    <sheetView workbookViewId="0">
      <selection activeCell="A3" sqref="A3"/>
    </sheetView>
  </sheetViews>
  <sheetFormatPr defaultRowHeight="15" x14ac:dyDescent="0.25"/>
  <cols>
    <col min="1" max="1" width="12.7109375" customWidth="1" collapsed="1"/>
    <col min="2" max="10" width="10.7109375" customWidth="1" collapsed="1"/>
    <col min="11" max="11" width="6.42578125" customWidth="1" collapsed="1"/>
    <col min="12" max="12" width="12.7109375" customWidth="1" collapsed="1"/>
    <col min="13" max="21" width="10.7109375" customWidth="1" collapsed="1"/>
  </cols>
  <sheetData>
    <row r="1" spans="1:26" x14ac:dyDescent="0.25">
      <c r="A1" t="s">
        <v>38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r="6" spans="1:26" ht="15.75" thickBot="1" x14ac:dyDescent="0.3">
      <c r="A6" s="3" t="s">
        <v>55</v>
      </c>
      <c r="B6" s="1"/>
      <c r="C6" s="1"/>
      <c r="D6" s="1"/>
      <c r="E6" s="1"/>
      <c r="F6" s="1"/>
      <c r="G6" s="1"/>
      <c r="H6" s="1"/>
      <c r="I6" s="1"/>
      <c r="J6" s="1"/>
      <c r="L6" s="3" t="s">
        <v>39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>
        <v>0</v>
      </c>
      <c r="C8" s="6">
        <v>0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f>SUM(B8:I8)</f>
        <v>0</v>
      </c>
      <c r="L8" t="s">
        <v>5</v>
      </c>
      <c r="M8" s="9">
        <v>14728</v>
      </c>
      <c r="N8" s="9">
        <v>2580</v>
      </c>
      <c r="O8" s="9">
        <v>0</v>
      </c>
      <c r="P8" s="9">
        <v>0</v>
      </c>
      <c r="Q8" s="9">
        <v>2958</v>
      </c>
      <c r="R8" s="9">
        <v>370</v>
      </c>
      <c r="S8" s="9">
        <v>0</v>
      </c>
      <c r="T8" s="9">
        <v>0</v>
      </c>
      <c r="U8">
        <f>SUM(M8:T8)</f>
        <v>20636</v>
      </c>
      <c r="W8" s="5"/>
      <c r="X8" s="16"/>
      <c r="Y8" s="16"/>
      <c r="Z8" s="5"/>
    </row>
    <row r="9" spans="1:26" x14ac:dyDescent="0.25">
      <c r="A9" s="12">
        <v>0.125</v>
      </c>
      <c r="B9" s="6">
        <v>0.42430678005218497</v>
      </c>
      <c r="C9" s="6">
        <v>5.5842196415901189</v>
      </c>
      <c r="D9" s="6">
        <v>0</v>
      </c>
      <c r="E9" s="6">
        <v>5.5748645670890813</v>
      </c>
      <c r="F9" s="6">
        <v>0.27746720867156982</v>
      </c>
      <c r="G9" s="6">
        <v>0</v>
      </c>
      <c r="H9" s="6">
        <v>0</v>
      </c>
      <c r="I9" s="6">
        <v>0</v>
      </c>
      <c r="J9" s="6">
        <f t="shared" ref="J9:J58" si="0">SUM(B9:I9)</f>
        <v>11.860858197402955</v>
      </c>
      <c r="L9" s="12">
        <v>0.125</v>
      </c>
      <c r="M9" s="9">
        <v>9798.1340484619141</v>
      </c>
      <c r="N9" s="9">
        <v>1714.0288372039795</v>
      </c>
      <c r="O9" s="9">
        <v>0</v>
      </c>
      <c r="P9" s="9">
        <v>0</v>
      </c>
      <c r="Q9" s="9">
        <v>1965.9192066192627</v>
      </c>
      <c r="R9" s="9">
        <v>245.59705448150635</v>
      </c>
      <c r="S9" s="9">
        <v>0</v>
      </c>
      <c r="T9" s="9">
        <v>0</v>
      </c>
      <c r="U9">
        <f t="shared" ref="U9:U58" si="1">SUM(M9:T9)</f>
        <v>13723.679146766663</v>
      </c>
      <c r="W9" s="5"/>
      <c r="X9" s="16"/>
      <c r="Y9" s="16"/>
      <c r="Z9" s="5"/>
    </row>
    <row r="10" spans="1:26" x14ac:dyDescent="0.25">
      <c r="A10" s="12">
        <v>0.14583333333333334</v>
      </c>
      <c r="B10" s="6">
        <v>2.0231192562103271</v>
      </c>
      <c r="C10" s="6">
        <v>10.991575440979007</v>
      </c>
      <c r="D10" s="6">
        <v>0</v>
      </c>
      <c r="E10" s="6">
        <v>10.900640842437745</v>
      </c>
      <c r="F10" s="6">
        <v>0.75367387676239006</v>
      </c>
      <c r="G10" s="6">
        <v>0</v>
      </c>
      <c r="H10" s="6">
        <v>0</v>
      </c>
      <c r="I10" s="6">
        <v>0</v>
      </c>
      <c r="J10" s="6">
        <f t="shared" si="0"/>
        <v>24.669009416389471</v>
      </c>
      <c r="L10" s="12">
        <v>0.14583333333333334</v>
      </c>
      <c r="M10" s="9">
        <v>5683.2063131332397</v>
      </c>
      <c r="N10" s="9">
        <v>991.98037433624268</v>
      </c>
      <c r="O10" s="9">
        <v>0</v>
      </c>
      <c r="P10" s="9">
        <v>0</v>
      </c>
      <c r="Q10" s="9">
        <v>1138.3478231430054</v>
      </c>
      <c r="R10" s="9">
        <v>141.91219425201416</v>
      </c>
      <c r="S10" s="9">
        <v>0</v>
      </c>
      <c r="T10" s="9">
        <v>0</v>
      </c>
      <c r="U10">
        <f t="shared" si="1"/>
        <v>7955.446704864502</v>
      </c>
      <c r="W10" s="5"/>
      <c r="X10" s="16"/>
      <c r="Y10" s="16"/>
      <c r="Z10" s="5"/>
    </row>
    <row r="11" spans="1:26" x14ac:dyDescent="0.25">
      <c r="A11" s="12">
        <v>0.16666666666666666</v>
      </c>
      <c r="B11" s="6">
        <v>7.4501203782081591</v>
      </c>
      <c r="C11" s="6">
        <v>15.689325598430635</v>
      </c>
      <c r="D11" s="6">
        <v>0</v>
      </c>
      <c r="E11" s="6">
        <v>15.123084786415102</v>
      </c>
      <c r="F11" s="6">
        <v>2.2393814578056332</v>
      </c>
      <c r="G11" s="6">
        <v>0</v>
      </c>
      <c r="H11" s="6">
        <v>0</v>
      </c>
      <c r="I11" s="6">
        <v>0</v>
      </c>
      <c r="J11" s="6">
        <f t="shared" si="0"/>
        <v>40.501912220859531</v>
      </c>
      <c r="L11" s="12">
        <v>0.16666666666666666</v>
      </c>
      <c r="M11" s="9">
        <v>2825.6776323318481</v>
      </c>
      <c r="N11" s="9">
        <v>491.92332458496094</v>
      </c>
      <c r="O11" s="9">
        <v>0</v>
      </c>
      <c r="P11" s="9">
        <v>0</v>
      </c>
      <c r="Q11" s="9">
        <v>564.26297283172607</v>
      </c>
      <c r="R11" s="9">
        <v>70.109613418579102</v>
      </c>
      <c r="S11" s="9">
        <v>0</v>
      </c>
      <c r="T11" s="9">
        <v>0</v>
      </c>
      <c r="U11">
        <f t="shared" si="1"/>
        <v>3951.9735431671143</v>
      </c>
      <c r="W11" s="5"/>
      <c r="X11" s="16"/>
      <c r="Y11" s="16"/>
      <c r="Z11" s="5"/>
    </row>
    <row r="12" spans="1:26" x14ac:dyDescent="0.25">
      <c r="A12" s="12">
        <v>0.1875</v>
      </c>
      <c r="B12" s="6">
        <v>22.528955358695981</v>
      </c>
      <c r="C12" s="6">
        <v>19.905836049556733</v>
      </c>
      <c r="D12" s="6">
        <v>0</v>
      </c>
      <c r="E12" s="6">
        <v>17.362332114505772</v>
      </c>
      <c r="F12" s="6">
        <v>7.3444000233650195</v>
      </c>
      <c r="G12" s="6">
        <v>0</v>
      </c>
      <c r="H12" s="6">
        <v>0</v>
      </c>
      <c r="I12" s="6">
        <v>0</v>
      </c>
      <c r="J12" s="6">
        <f t="shared" si="0"/>
        <v>67.141523546123508</v>
      </c>
      <c r="L12" s="12">
        <v>0.1875</v>
      </c>
      <c r="M12" s="9">
        <v>1188.21022605896</v>
      </c>
      <c r="N12" s="9">
        <v>207.49209785461426</v>
      </c>
      <c r="O12" s="9">
        <v>0</v>
      </c>
      <c r="P12" s="9">
        <v>0</v>
      </c>
      <c r="Q12" s="9">
        <v>235.37155246734619</v>
      </c>
      <c r="R12" s="9">
        <v>29.067281723022461</v>
      </c>
      <c r="S12" s="9">
        <v>0</v>
      </c>
      <c r="T12" s="9">
        <v>0</v>
      </c>
      <c r="U12">
        <f t="shared" si="1"/>
        <v>1660.1411581039429</v>
      </c>
      <c r="W12" s="5"/>
      <c r="X12" s="5"/>
      <c r="Y12" s="5"/>
      <c r="Z12" s="5"/>
    </row>
    <row r="13" spans="1:26" x14ac:dyDescent="0.25">
      <c r="A13" s="12">
        <v>0.20833333333333334</v>
      </c>
      <c r="B13" s="6">
        <v>57.929776965618139</v>
      </c>
      <c r="C13" s="6">
        <v>27.192846402645113</v>
      </c>
      <c r="D13" s="6">
        <v>1.2225962638854981E-3</v>
      </c>
      <c r="E13" s="6">
        <v>18.384570884418494</v>
      </c>
      <c r="F13" s="6">
        <v>21.833517404174803</v>
      </c>
      <c r="G13" s="6">
        <v>0</v>
      </c>
      <c r="H13" s="6">
        <v>0</v>
      </c>
      <c r="I13" s="6">
        <v>0</v>
      </c>
      <c r="J13" s="6">
        <f t="shared" si="0"/>
        <v>125.34193425312043</v>
      </c>
      <c r="L13" s="12">
        <v>0.20833333333333334</v>
      </c>
      <c r="M13" s="9">
        <v>430.36455154418945</v>
      </c>
      <c r="N13" s="9">
        <v>79.737225532531738</v>
      </c>
      <c r="O13" s="9">
        <v>0</v>
      </c>
      <c r="P13" s="9">
        <v>0</v>
      </c>
      <c r="Q13" s="9">
        <v>81.90679931640625</v>
      </c>
      <c r="R13" s="9">
        <v>9.9236383438110352</v>
      </c>
      <c r="S13" s="9">
        <v>0</v>
      </c>
      <c r="T13" s="9">
        <v>0</v>
      </c>
      <c r="U13">
        <f t="shared" si="1"/>
        <v>601.93221473693848</v>
      </c>
    </row>
    <row r="14" spans="1:26" x14ac:dyDescent="0.25">
      <c r="A14" s="12">
        <v>0.22916666666666666</v>
      </c>
      <c r="B14" s="6">
        <v>130.40795495176314</v>
      </c>
      <c r="C14" s="6">
        <v>46.478600453758247</v>
      </c>
      <c r="D14" s="6">
        <v>2.486917848587036E-2</v>
      </c>
      <c r="E14" s="6">
        <v>21.896065754699713</v>
      </c>
      <c r="F14" s="6">
        <v>54.009005702877047</v>
      </c>
      <c r="G14" s="6">
        <v>0</v>
      </c>
      <c r="H14" s="6">
        <v>0</v>
      </c>
      <c r="I14" s="6">
        <v>0</v>
      </c>
      <c r="J14" s="6">
        <f t="shared" si="0"/>
        <v>252.816496041584</v>
      </c>
      <c r="L14" s="12">
        <v>0.22916666666666666</v>
      </c>
      <c r="M14" s="9">
        <v>170.95028781890869</v>
      </c>
      <c r="N14" s="9">
        <v>43.711793899536133</v>
      </c>
      <c r="O14" s="9">
        <v>0</v>
      </c>
      <c r="P14" s="9">
        <v>0</v>
      </c>
      <c r="Q14" s="9">
        <v>25.718388557434082</v>
      </c>
      <c r="R14" s="9">
        <v>2.7891206741333008</v>
      </c>
      <c r="S14" s="9">
        <v>0</v>
      </c>
      <c r="T14" s="9">
        <v>0</v>
      </c>
      <c r="U14">
        <f t="shared" si="1"/>
        <v>243.16959095001221</v>
      </c>
    </row>
    <row r="15" spans="1:26" x14ac:dyDescent="0.25">
      <c r="A15" s="12">
        <v>0.25</v>
      </c>
      <c r="B15" s="6">
        <v>263.6262516350746</v>
      </c>
      <c r="C15" s="6">
        <v>90.92288903760911</v>
      </c>
      <c r="D15" s="6">
        <v>0.24063835430145264</v>
      </c>
      <c r="E15" s="6">
        <v>33.716400269794462</v>
      </c>
      <c r="F15" s="6">
        <v>109.72893877849579</v>
      </c>
      <c r="G15" s="6">
        <v>0</v>
      </c>
      <c r="H15" s="6">
        <v>0</v>
      </c>
      <c r="I15" s="6">
        <v>0</v>
      </c>
      <c r="J15" s="6">
        <f t="shared" si="0"/>
        <v>498.23511807527541</v>
      </c>
      <c r="L15" s="12">
        <v>0.25</v>
      </c>
      <c r="M15" s="9">
        <v>146.44674873352051</v>
      </c>
      <c r="N15" s="9">
        <v>55.875828742980957</v>
      </c>
      <c r="O15" s="9">
        <v>0</v>
      </c>
      <c r="P15" s="9">
        <v>0</v>
      </c>
      <c r="Q15" s="9">
        <v>12.374808311462402</v>
      </c>
      <c r="R15" s="9">
        <v>0.78556060791015625</v>
      </c>
      <c r="S15" s="9">
        <v>0</v>
      </c>
      <c r="T15" s="9">
        <v>0</v>
      </c>
      <c r="U15">
        <f t="shared" si="1"/>
        <v>215.48294639587402</v>
      </c>
    </row>
    <row r="16" spans="1:26" x14ac:dyDescent="0.25">
      <c r="A16" s="12">
        <v>0.27083333333333331</v>
      </c>
      <c r="B16" s="6">
        <v>488.400823739624</v>
      </c>
      <c r="C16" s="6">
        <v>172.87158202791213</v>
      </c>
      <c r="D16" s="6">
        <v>1.473290114402771</v>
      </c>
      <c r="E16" s="6">
        <v>58.498711052989947</v>
      </c>
      <c r="F16" s="6">
        <v>184.98380202465054</v>
      </c>
      <c r="G16" s="6">
        <v>0</v>
      </c>
      <c r="H16" s="6">
        <v>0</v>
      </c>
      <c r="I16" s="6">
        <v>0</v>
      </c>
      <c r="J16" s="6">
        <f t="shared" si="0"/>
        <v>906.22820895957943</v>
      </c>
      <c r="L16" s="12">
        <v>0.27083333333333331</v>
      </c>
      <c r="M16" s="9">
        <v>229.48120403289795</v>
      </c>
      <c r="N16" s="9">
        <v>96.343801498413086</v>
      </c>
      <c r="O16" s="9">
        <v>0</v>
      </c>
      <c r="P16" s="9">
        <v>0</v>
      </c>
      <c r="Q16" s="9">
        <v>14.970869064331055</v>
      </c>
      <c r="R16" s="9">
        <v>0.50957870483398438</v>
      </c>
      <c r="S16" s="9">
        <v>0</v>
      </c>
      <c r="T16" s="9">
        <v>0</v>
      </c>
      <c r="U16">
        <f t="shared" si="1"/>
        <v>341.30545330047607</v>
      </c>
    </row>
    <row r="17" spans="1:21" x14ac:dyDescent="0.25">
      <c r="A17" s="12">
        <v>0.29166666666666669</v>
      </c>
      <c r="B17" s="6">
        <v>839.82626287117012</v>
      </c>
      <c r="C17" s="6">
        <v>298.57592026758198</v>
      </c>
      <c r="D17" s="6">
        <v>6.4054084470748904</v>
      </c>
      <c r="E17" s="6">
        <v>96.387923428249337</v>
      </c>
      <c r="F17" s="6">
        <v>264.4094361055374</v>
      </c>
      <c r="G17" s="6">
        <v>0</v>
      </c>
      <c r="H17" s="6">
        <v>0</v>
      </c>
      <c r="I17" s="6">
        <v>0</v>
      </c>
      <c r="J17" s="6">
        <f t="shared" si="0"/>
        <v>1505.604951119614</v>
      </c>
      <c r="L17" s="12">
        <v>0.29166666666666669</v>
      </c>
      <c r="M17" s="9">
        <v>381.76972675323486</v>
      </c>
      <c r="N17" s="9">
        <v>160.25427150726318</v>
      </c>
      <c r="O17" s="9">
        <v>0</v>
      </c>
      <c r="P17" s="9">
        <v>0</v>
      </c>
      <c r="Q17" s="9">
        <v>24.20485782623291</v>
      </c>
      <c r="R17" s="9">
        <v>0.75593185424804688</v>
      </c>
      <c r="S17" s="9">
        <v>0</v>
      </c>
      <c r="T17" s="9">
        <v>0</v>
      </c>
      <c r="U17">
        <f t="shared" si="1"/>
        <v>566.984787940979</v>
      </c>
    </row>
    <row r="18" spans="1:21" x14ac:dyDescent="0.25">
      <c r="A18" s="12">
        <v>0.3125</v>
      </c>
      <c r="B18" s="6">
        <v>1347.8202303202629</v>
      </c>
      <c r="C18" s="6">
        <v>468.6145403193475</v>
      </c>
      <c r="D18" s="6">
        <v>21.049517767238616</v>
      </c>
      <c r="E18" s="6">
        <v>143.52780117540357</v>
      </c>
      <c r="F18" s="6">
        <v>332.67413594017023</v>
      </c>
      <c r="G18" s="6">
        <v>0</v>
      </c>
      <c r="H18" s="6">
        <v>0</v>
      </c>
      <c r="I18" s="6">
        <v>0</v>
      </c>
      <c r="J18" s="6">
        <f t="shared" si="0"/>
        <v>2313.6862255224228</v>
      </c>
      <c r="L18" s="12">
        <v>0.3125</v>
      </c>
      <c r="M18" s="9">
        <v>614.66842269897461</v>
      </c>
      <c r="N18" s="9">
        <v>252.06264972686768</v>
      </c>
      <c r="O18" s="9">
        <v>0</v>
      </c>
      <c r="P18" s="9">
        <v>0</v>
      </c>
      <c r="Q18" s="9">
        <v>39.037948608398438</v>
      </c>
      <c r="R18" s="9">
        <v>1.2823076248168945</v>
      </c>
      <c r="S18" s="9">
        <v>0</v>
      </c>
      <c r="T18" s="9">
        <v>0</v>
      </c>
      <c r="U18">
        <f t="shared" si="1"/>
        <v>907.05132865905762</v>
      </c>
    </row>
    <row r="19" spans="1:21" x14ac:dyDescent="0.25">
      <c r="A19" s="12">
        <v>0.33333333333333331</v>
      </c>
      <c r="B19" s="6">
        <v>2026.4573221307755</v>
      </c>
      <c r="C19" s="6">
        <v>684.97601464824686</v>
      </c>
      <c r="D19" s="6">
        <v>54.388612074756622</v>
      </c>
      <c r="E19" s="6">
        <v>197.11068033037182</v>
      </c>
      <c r="F19" s="6">
        <v>391.52903446884142</v>
      </c>
      <c r="G19" s="6">
        <v>0</v>
      </c>
      <c r="H19" s="6">
        <v>0</v>
      </c>
      <c r="I19" s="6">
        <v>0</v>
      </c>
      <c r="J19" s="6">
        <f t="shared" si="0"/>
        <v>3354.4616636529922</v>
      </c>
      <c r="L19" s="12">
        <v>0.33333333333333331</v>
      </c>
      <c r="M19" s="9">
        <v>975.02235794067383</v>
      </c>
      <c r="N19" s="9">
        <v>384.96972370147705</v>
      </c>
      <c r="O19" s="9">
        <v>0</v>
      </c>
      <c r="P19" s="9">
        <v>0</v>
      </c>
      <c r="Q19" s="9">
        <v>62.261053085327148</v>
      </c>
      <c r="R19" s="9">
        <v>2.1725912094116211</v>
      </c>
      <c r="S19" s="9">
        <v>0</v>
      </c>
      <c r="T19" s="9">
        <v>0</v>
      </c>
      <c r="U19">
        <f t="shared" si="1"/>
        <v>1424.4257259368896</v>
      </c>
    </row>
    <row r="20" spans="1:21" x14ac:dyDescent="0.25">
      <c r="A20" s="12">
        <v>0.35416666666666669</v>
      </c>
      <c r="B20" s="6">
        <v>2881.7007095077511</v>
      </c>
      <c r="C20" s="6">
        <v>957.51615606355676</v>
      </c>
      <c r="D20" s="6">
        <v>113.70402160491946</v>
      </c>
      <c r="E20" s="6">
        <v>259.38943815374364</v>
      </c>
      <c r="F20" s="6">
        <v>463.13321616935724</v>
      </c>
      <c r="G20" s="6">
        <v>0</v>
      </c>
      <c r="H20" s="6">
        <v>0</v>
      </c>
      <c r="I20" s="6">
        <v>0</v>
      </c>
      <c r="J20" s="6">
        <f t="shared" si="0"/>
        <v>4675.4435414993277</v>
      </c>
      <c r="L20" s="12">
        <v>0.35416666666666669</v>
      </c>
      <c r="M20" s="9">
        <v>1533.4661540985107</v>
      </c>
      <c r="N20" s="9">
        <v>578.48687934875488</v>
      </c>
      <c r="O20" s="9">
        <v>0</v>
      </c>
      <c r="P20" s="9">
        <v>0</v>
      </c>
      <c r="Q20" s="9">
        <v>98.607915878295898</v>
      </c>
      <c r="R20" s="9">
        <v>3.590388298034668</v>
      </c>
      <c r="S20" s="9">
        <v>0</v>
      </c>
      <c r="T20" s="9">
        <v>0</v>
      </c>
      <c r="U20">
        <f t="shared" si="1"/>
        <v>2214.1513376235962</v>
      </c>
    </row>
    <row r="21" spans="1:21" x14ac:dyDescent="0.25">
      <c r="A21" s="12">
        <v>0.375</v>
      </c>
      <c r="B21" s="6">
        <v>3949.752582710933</v>
      </c>
      <c r="C21" s="6">
        <v>1303.3683382236482</v>
      </c>
      <c r="D21" s="6">
        <v>197.19855970029838</v>
      </c>
      <c r="E21" s="6">
        <v>334.47855267076488</v>
      </c>
      <c r="F21" s="6">
        <v>570.77478359613417</v>
      </c>
      <c r="G21" s="6">
        <v>0</v>
      </c>
      <c r="H21" s="6">
        <v>0</v>
      </c>
      <c r="I21" s="6">
        <v>0</v>
      </c>
      <c r="J21" s="6">
        <f t="shared" si="0"/>
        <v>6355.5728169017793</v>
      </c>
      <c r="L21" s="12">
        <v>0.375</v>
      </c>
      <c r="M21" s="9">
        <v>2352.3761138916016</v>
      </c>
      <c r="N21" s="9">
        <v>847.85637950897217</v>
      </c>
      <c r="O21" s="9">
        <v>0</v>
      </c>
      <c r="P21" s="9">
        <v>0</v>
      </c>
      <c r="Q21" s="9">
        <v>152.40848255157471</v>
      </c>
      <c r="R21" s="9">
        <v>5.6475372314453125</v>
      </c>
      <c r="S21" s="9">
        <v>0</v>
      </c>
      <c r="T21" s="9">
        <v>0</v>
      </c>
      <c r="U21">
        <f t="shared" si="1"/>
        <v>3358.2885131835938</v>
      </c>
    </row>
    <row r="22" spans="1:21" x14ac:dyDescent="0.25">
      <c r="A22" s="12">
        <v>0.39583333333333331</v>
      </c>
      <c r="B22" s="6">
        <v>5334.4695134026524</v>
      </c>
      <c r="C22" s="6">
        <v>1743.570481688118</v>
      </c>
      <c r="D22" s="6">
        <v>291.7298217682839</v>
      </c>
      <c r="E22" s="6">
        <v>420.61012051038745</v>
      </c>
      <c r="F22" s="6">
        <v>714.92679090280524</v>
      </c>
      <c r="G22" s="6">
        <v>0</v>
      </c>
      <c r="H22" s="6">
        <v>0</v>
      </c>
      <c r="I22" s="6">
        <v>0</v>
      </c>
      <c r="J22" s="6">
        <f t="shared" si="0"/>
        <v>8505.3067282722477</v>
      </c>
      <c r="L22" s="12">
        <v>0.39583333333333331</v>
      </c>
      <c r="M22" s="9">
        <v>3441.9869699478149</v>
      </c>
      <c r="N22" s="9">
        <v>1189.1703481674194</v>
      </c>
      <c r="O22" s="9">
        <v>0</v>
      </c>
      <c r="P22" s="9">
        <v>0</v>
      </c>
      <c r="Q22" s="9">
        <v>224.46328353881836</v>
      </c>
      <c r="R22" s="9">
        <v>8.3147954940795898</v>
      </c>
      <c r="S22" s="9">
        <v>0</v>
      </c>
      <c r="T22" s="9">
        <v>0</v>
      </c>
      <c r="U22">
        <f t="shared" si="1"/>
        <v>4863.9353971481323</v>
      </c>
    </row>
    <row r="23" spans="1:21" x14ac:dyDescent="0.25">
      <c r="A23" s="12">
        <v>0.41666666666666669</v>
      </c>
      <c r="B23" s="6">
        <v>7177.4403416506766</v>
      </c>
      <c r="C23" s="6">
        <v>2303.1637570281982</v>
      </c>
      <c r="D23" s="6">
        <v>382.1571083208085</v>
      </c>
      <c r="E23" s="6">
        <v>507.81852824068068</v>
      </c>
      <c r="F23" s="6">
        <v>871.53368038816438</v>
      </c>
      <c r="G23" s="6">
        <v>0</v>
      </c>
      <c r="H23" s="6">
        <v>0</v>
      </c>
      <c r="I23" s="6">
        <v>0</v>
      </c>
      <c r="J23" s="6">
        <f t="shared" si="0"/>
        <v>11242.11341562853</v>
      </c>
      <c r="L23" s="12">
        <v>0.41666666666666669</v>
      </c>
      <c r="M23" s="9">
        <v>4742.5705490112305</v>
      </c>
      <c r="N23" s="9">
        <v>1573.4157972335815</v>
      </c>
      <c r="O23" s="9">
        <v>0</v>
      </c>
      <c r="P23" s="9">
        <v>0</v>
      </c>
      <c r="Q23" s="9">
        <v>310.49786472320557</v>
      </c>
      <c r="R23" s="9">
        <v>11.440212249755859</v>
      </c>
      <c r="S23" s="9">
        <v>0</v>
      </c>
      <c r="T23" s="9">
        <v>0</v>
      </c>
      <c r="U23">
        <f t="shared" si="1"/>
        <v>6637.9244232177734</v>
      </c>
    </row>
    <row r="24" spans="1:21" x14ac:dyDescent="0.25">
      <c r="A24" s="12">
        <v>0.4375</v>
      </c>
      <c r="B24" s="6">
        <v>9540.8771478711133</v>
      </c>
      <c r="C24" s="6">
        <v>3007.2875830783842</v>
      </c>
      <c r="D24" s="6">
        <v>465.93632044830326</v>
      </c>
      <c r="E24" s="6">
        <v>585.37998037405009</v>
      </c>
      <c r="F24" s="6">
        <v>1014.7261076726912</v>
      </c>
      <c r="G24" s="6">
        <v>0</v>
      </c>
      <c r="H24" s="6">
        <v>0</v>
      </c>
      <c r="I24" s="6">
        <v>0</v>
      </c>
      <c r="J24" s="6">
        <f t="shared" si="0"/>
        <v>14614.207139444543</v>
      </c>
      <c r="L24" s="12">
        <v>0.4375</v>
      </c>
      <c r="M24" s="9">
        <v>6161.6116933822632</v>
      </c>
      <c r="N24" s="9">
        <v>1958.7971391677856</v>
      </c>
      <c r="O24" s="9">
        <v>0</v>
      </c>
      <c r="P24" s="9">
        <v>0</v>
      </c>
      <c r="Q24" s="9">
        <v>403.4587869644165</v>
      </c>
      <c r="R24" s="9">
        <v>14.903628349304199</v>
      </c>
      <c r="S24" s="9">
        <v>0</v>
      </c>
      <c r="T24" s="9">
        <v>0</v>
      </c>
      <c r="U24">
        <f t="shared" si="1"/>
        <v>8538.7712478637695</v>
      </c>
    </row>
    <row r="25" spans="1:21" x14ac:dyDescent="0.25">
      <c r="A25" s="12">
        <v>0.45833333333333331</v>
      </c>
      <c r="B25" s="6">
        <v>12300.086602234838</v>
      </c>
      <c r="C25" s="6">
        <v>3862.0736470411302</v>
      </c>
      <c r="D25" s="6">
        <v>556.07355108480454</v>
      </c>
      <c r="E25" s="6">
        <v>652.04860148811338</v>
      </c>
      <c r="F25" s="6">
        <v>1138.1355119379996</v>
      </c>
      <c r="G25" s="6">
        <v>0</v>
      </c>
      <c r="H25" s="6">
        <v>0</v>
      </c>
      <c r="I25" s="6">
        <v>0</v>
      </c>
      <c r="J25" s="6">
        <f t="shared" si="0"/>
        <v>18508.417913786885</v>
      </c>
      <c r="L25" s="12">
        <v>0.45833333333333331</v>
      </c>
      <c r="M25" s="9">
        <v>7649.3561134338379</v>
      </c>
      <c r="N25" s="9">
        <v>2314.5459108352661</v>
      </c>
      <c r="O25" s="9">
        <v>0</v>
      </c>
      <c r="P25" s="9">
        <v>0</v>
      </c>
      <c r="Q25" s="9">
        <v>498.74531841278076</v>
      </c>
      <c r="R25" s="9">
        <v>18.792163848876953</v>
      </c>
      <c r="S25" s="9">
        <v>0</v>
      </c>
      <c r="T25" s="9">
        <v>0</v>
      </c>
      <c r="U25">
        <f t="shared" si="1"/>
        <v>10481.439506530762</v>
      </c>
    </row>
    <row r="26" spans="1:21" x14ac:dyDescent="0.25">
      <c r="A26" s="12">
        <v>0.47916666666666669</v>
      </c>
      <c r="B26" s="6">
        <v>15199.550669476888</v>
      </c>
      <c r="C26" s="6">
        <v>4833.0547161394115</v>
      </c>
      <c r="D26" s="6">
        <v>665.03252626638414</v>
      </c>
      <c r="E26" s="6">
        <v>720.44928574275968</v>
      </c>
      <c r="F26" s="6">
        <v>1254.3694639529228</v>
      </c>
      <c r="G26" s="6">
        <v>0</v>
      </c>
      <c r="H26" s="6">
        <v>0</v>
      </c>
      <c r="I26" s="6">
        <v>0</v>
      </c>
      <c r="J26" s="6">
        <f t="shared" si="0"/>
        <v>22672.456661578366</v>
      </c>
      <c r="L26" s="12">
        <v>0.47916666666666669</v>
      </c>
      <c r="M26" s="9">
        <v>9263.9873170852661</v>
      </c>
      <c r="N26" s="9">
        <v>2638.3736534118652</v>
      </c>
      <c r="O26" s="9">
        <v>0</v>
      </c>
      <c r="P26" s="9">
        <v>0</v>
      </c>
      <c r="Q26" s="9">
        <v>598.62432384490967</v>
      </c>
      <c r="R26" s="9">
        <v>23.429058074951172</v>
      </c>
      <c r="S26" s="9">
        <v>0</v>
      </c>
      <c r="T26" s="9">
        <v>0</v>
      </c>
      <c r="U26">
        <f t="shared" si="1"/>
        <v>12524.414352416992</v>
      </c>
    </row>
    <row r="27" spans="1:21" x14ac:dyDescent="0.25">
      <c r="A27" s="12">
        <v>0.5</v>
      </c>
      <c r="B27" s="6">
        <v>18117.305864133068</v>
      </c>
      <c r="C27" s="6">
        <v>5852.3134921025267</v>
      </c>
      <c r="D27" s="6">
        <v>785.0070113891602</v>
      </c>
      <c r="E27" s="6">
        <v>813.57503137025833</v>
      </c>
      <c r="F27" s="6">
        <v>1382.0555565789223</v>
      </c>
      <c r="G27" s="6">
        <v>0</v>
      </c>
      <c r="H27" s="6">
        <v>0</v>
      </c>
      <c r="I27" s="6">
        <v>0</v>
      </c>
      <c r="J27" s="6">
        <f t="shared" si="0"/>
        <v>26950.256955573936</v>
      </c>
      <c r="L27" s="12">
        <v>0.5</v>
      </c>
      <c r="M27" s="9">
        <v>11202.029763221741</v>
      </c>
      <c r="N27" s="9">
        <v>2957.4335050582886</v>
      </c>
      <c r="O27" s="9">
        <v>0</v>
      </c>
      <c r="P27" s="9">
        <v>0</v>
      </c>
      <c r="Q27" s="9">
        <v>713.24279880523682</v>
      </c>
      <c r="R27" s="9">
        <v>29.252963066101074</v>
      </c>
      <c r="S27" s="9">
        <v>0</v>
      </c>
      <c r="T27" s="9">
        <v>0</v>
      </c>
      <c r="U27">
        <f t="shared" si="1"/>
        <v>14901.959030151367</v>
      </c>
    </row>
    <row r="28" spans="1:21" x14ac:dyDescent="0.25">
      <c r="A28" s="12">
        <v>0.52083333333333337</v>
      </c>
      <c r="B28" s="6">
        <v>21381.656793583483</v>
      </c>
      <c r="C28" s="6">
        <v>6859.0666173589707</v>
      </c>
      <c r="D28" s="6">
        <v>887.61620959033962</v>
      </c>
      <c r="E28" s="6">
        <v>953.96597625951767</v>
      </c>
      <c r="F28" s="6">
        <v>1542.7857037812232</v>
      </c>
      <c r="G28" s="6">
        <v>0</v>
      </c>
      <c r="H28" s="6">
        <v>0</v>
      </c>
      <c r="I28" s="6">
        <v>0</v>
      </c>
      <c r="J28" s="6">
        <f t="shared" si="0"/>
        <v>31625.091300573535</v>
      </c>
      <c r="L28" s="12">
        <v>0.52083333333333337</v>
      </c>
      <c r="M28" s="9">
        <v>13825.429468154907</v>
      </c>
      <c r="N28" s="9">
        <v>3320.6177825927734</v>
      </c>
      <c r="O28" s="9">
        <v>0</v>
      </c>
      <c r="P28" s="9">
        <v>0</v>
      </c>
      <c r="Q28" s="9">
        <v>859.81830406188965</v>
      </c>
      <c r="R28" s="9">
        <v>36.777194976806641</v>
      </c>
      <c r="S28" s="9">
        <v>0</v>
      </c>
      <c r="T28" s="9">
        <v>0</v>
      </c>
      <c r="U28">
        <f t="shared" si="1"/>
        <v>18042.642749786377</v>
      </c>
    </row>
    <row r="29" spans="1:21" x14ac:dyDescent="0.25">
      <c r="A29" s="12">
        <v>0.54166666666666663</v>
      </c>
      <c r="B29" s="6">
        <v>25891.301596172139</v>
      </c>
      <c r="C29" s="6">
        <v>7831.8793324720391</v>
      </c>
      <c r="D29" s="6">
        <v>945.638684569931</v>
      </c>
      <c r="E29" s="6">
        <v>1146.1722326467514</v>
      </c>
      <c r="F29" s="6">
        <v>1769.8791496120452</v>
      </c>
      <c r="G29" s="6">
        <v>5.2461013793945305E-4</v>
      </c>
      <c r="H29" s="6">
        <v>0</v>
      </c>
      <c r="I29" s="6">
        <v>0</v>
      </c>
      <c r="J29" s="6">
        <f t="shared" si="0"/>
        <v>37584.871520083041</v>
      </c>
      <c r="L29" s="12">
        <v>0.54166666666666663</v>
      </c>
      <c r="M29" s="9">
        <v>17725.750105857849</v>
      </c>
      <c r="N29" s="9">
        <v>3796.1510677337646</v>
      </c>
      <c r="O29" s="9">
        <v>0</v>
      </c>
      <c r="P29" s="9">
        <v>0</v>
      </c>
      <c r="Q29" s="9">
        <v>1063.3848991394043</v>
      </c>
      <c r="R29" s="9">
        <v>46.845349311828613</v>
      </c>
      <c r="S29" s="9">
        <v>0</v>
      </c>
      <c r="T29" s="9">
        <v>0</v>
      </c>
      <c r="U29">
        <f t="shared" si="1"/>
        <v>22632.131422042847</v>
      </c>
    </row>
    <row r="30" spans="1:21" x14ac:dyDescent="0.25">
      <c r="A30" s="12">
        <v>0.5625</v>
      </c>
      <c r="B30" s="6">
        <v>32892.57369502497</v>
      </c>
      <c r="C30" s="6">
        <v>8768.6012588576323</v>
      </c>
      <c r="D30" s="6">
        <v>954.05509348373403</v>
      </c>
      <c r="E30" s="6">
        <v>1361.1222068100928</v>
      </c>
      <c r="F30" s="6">
        <v>2105.5576684170724</v>
      </c>
      <c r="G30" s="6">
        <v>1.0492202758789064E-2</v>
      </c>
      <c r="H30" s="6">
        <v>0</v>
      </c>
      <c r="I30" s="6">
        <v>0</v>
      </c>
      <c r="J30" s="6">
        <f t="shared" si="0"/>
        <v>46081.920414796266</v>
      </c>
      <c r="L30" s="12">
        <v>0.5625</v>
      </c>
      <c r="M30" s="9">
        <v>23781.948035240173</v>
      </c>
      <c r="N30" s="9">
        <v>4473.3652544021606</v>
      </c>
      <c r="O30" s="9">
        <v>0</v>
      </c>
      <c r="P30" s="9">
        <v>0</v>
      </c>
      <c r="Q30" s="9">
        <v>1358.4908685684204</v>
      </c>
      <c r="R30" s="9">
        <v>61.046290397644043</v>
      </c>
      <c r="S30" s="9">
        <v>0</v>
      </c>
      <c r="T30" s="9">
        <v>0</v>
      </c>
      <c r="U30">
        <f t="shared" si="1"/>
        <v>29674.850448608398</v>
      </c>
    </row>
    <row r="31" spans="1:21" x14ac:dyDescent="0.25">
      <c r="A31" s="12">
        <v>0.58333333333333337</v>
      </c>
      <c r="B31" s="6">
        <v>43452.797038681987</v>
      </c>
      <c r="C31" s="6">
        <v>9625.0226523937235</v>
      </c>
      <c r="D31" s="6">
        <v>928.73634047803864</v>
      </c>
      <c r="E31" s="6">
        <v>1540.498454839802</v>
      </c>
      <c r="F31" s="6">
        <v>2568.4096774486543</v>
      </c>
      <c r="G31" s="6">
        <v>9.967592620849608E-2</v>
      </c>
      <c r="H31" s="6">
        <v>0</v>
      </c>
      <c r="I31" s="6">
        <v>0</v>
      </c>
      <c r="J31" s="6">
        <f t="shared" si="0"/>
        <v>58115.563839768409</v>
      </c>
      <c r="L31" s="12">
        <v>0.58333333333333337</v>
      </c>
      <c r="M31" s="9">
        <v>33049.947338104248</v>
      </c>
      <c r="N31" s="9">
        <v>5447.7635593414307</v>
      </c>
      <c r="O31" s="9">
        <v>0</v>
      </c>
      <c r="P31" s="9">
        <v>0</v>
      </c>
      <c r="Q31" s="9">
        <v>1784.9892854690552</v>
      </c>
      <c r="R31" s="9">
        <v>81.76706600189209</v>
      </c>
      <c r="S31" s="9">
        <v>0</v>
      </c>
      <c r="T31" s="9">
        <v>0</v>
      </c>
      <c r="U31">
        <f t="shared" si="1"/>
        <v>40364.467248916626</v>
      </c>
    </row>
    <row r="32" spans="1:21" x14ac:dyDescent="0.25">
      <c r="A32" s="12">
        <v>0.60416666666666663</v>
      </c>
      <c r="B32" s="6">
        <v>57798.789859152224</v>
      </c>
      <c r="C32" s="6">
        <v>10275.323426545334</v>
      </c>
      <c r="D32" s="6">
        <v>887.34602796516413</v>
      </c>
      <c r="E32" s="6">
        <v>1629.3428832309723</v>
      </c>
      <c r="F32" s="6">
        <v>3108.8042293154722</v>
      </c>
      <c r="G32" s="6">
        <v>0.59888892288208007</v>
      </c>
      <c r="H32" s="6">
        <v>2.8195667266845705E-4</v>
      </c>
      <c r="I32" s="6">
        <v>0</v>
      </c>
      <c r="J32" s="6">
        <f t="shared" si="0"/>
        <v>73700.205597088716</v>
      </c>
      <c r="L32" s="12">
        <v>0.60416666666666663</v>
      </c>
      <c r="M32" s="9">
        <v>46312.18318271637</v>
      </c>
      <c r="N32" s="9">
        <v>6770.6237125396729</v>
      </c>
      <c r="O32" s="9">
        <v>0</v>
      </c>
      <c r="P32" s="9">
        <v>0</v>
      </c>
      <c r="Q32" s="9">
        <v>2370.4108629226685</v>
      </c>
      <c r="R32" s="9">
        <v>111.37334537506104</v>
      </c>
      <c r="S32" s="9">
        <v>0</v>
      </c>
      <c r="T32" s="9">
        <v>0</v>
      </c>
      <c r="U32">
        <f t="shared" si="1"/>
        <v>55564.591103553772</v>
      </c>
    </row>
    <row r="33" spans="1:21" x14ac:dyDescent="0.25">
      <c r="A33" s="12">
        <v>0.625</v>
      </c>
      <c r="B33" s="6">
        <v>74758.862532624058</v>
      </c>
      <c r="C33" s="6">
        <v>10546.73533856573</v>
      </c>
      <c r="D33" s="6">
        <v>835.54086638793933</v>
      </c>
      <c r="E33" s="6">
        <v>1615.7396072014812</v>
      </c>
      <c r="F33" s="6">
        <v>3598.087515466309</v>
      </c>
      <c r="G33" s="6">
        <v>2.5586130446434017</v>
      </c>
      <c r="H33" s="6">
        <v>5.6391334533691419E-3</v>
      </c>
      <c r="I33" s="6">
        <v>0</v>
      </c>
      <c r="J33" s="6">
        <f t="shared" si="0"/>
        <v>91357.530112423614</v>
      </c>
      <c r="L33" s="12">
        <v>0.625</v>
      </c>
      <c r="M33" s="9">
        <v>63320.033796310425</v>
      </c>
      <c r="N33" s="9">
        <v>8375.6216020584106</v>
      </c>
      <c r="O33" s="9">
        <v>0</v>
      </c>
      <c r="P33" s="9">
        <v>0</v>
      </c>
      <c r="Q33" s="9">
        <v>3100.6583757400513</v>
      </c>
      <c r="R33" s="9">
        <v>150.52802276611328</v>
      </c>
      <c r="S33" s="9">
        <v>0</v>
      </c>
      <c r="T33" s="9">
        <v>0</v>
      </c>
      <c r="U33">
        <f t="shared" si="1"/>
        <v>74946.841796875</v>
      </c>
    </row>
    <row r="34" spans="1:21" x14ac:dyDescent="0.25">
      <c r="A34" s="12">
        <v>0.64583333333333337</v>
      </c>
      <c r="B34" s="6">
        <v>91600.494848661445</v>
      </c>
      <c r="C34" s="6">
        <v>10314.653600697038</v>
      </c>
      <c r="D34" s="6">
        <v>770.88734949054719</v>
      </c>
      <c r="E34" s="6">
        <v>1539.9975869679456</v>
      </c>
      <c r="F34" s="6">
        <v>3879.6316426999097</v>
      </c>
      <c r="G34" s="6">
        <v>8.2960873226165752</v>
      </c>
      <c r="H34" s="6">
        <v>5.4453620719909668E-2</v>
      </c>
      <c r="I34" s="6">
        <v>0</v>
      </c>
      <c r="J34" s="6">
        <f t="shared" si="0"/>
        <v>108114.01556946021</v>
      </c>
      <c r="L34" s="12">
        <v>0.64583333333333337</v>
      </c>
      <c r="M34" s="9">
        <v>82114.062656402588</v>
      </c>
      <c r="N34" s="9">
        <v>10031.074269294739</v>
      </c>
      <c r="O34" s="9">
        <v>0</v>
      </c>
      <c r="P34" s="9">
        <v>0</v>
      </c>
      <c r="Q34" s="9">
        <v>3894.9638814926147</v>
      </c>
      <c r="R34" s="9">
        <v>196.40262699127197</v>
      </c>
      <c r="S34" s="9">
        <v>0</v>
      </c>
      <c r="T34" s="9">
        <v>0</v>
      </c>
      <c r="U34">
        <f t="shared" si="1"/>
        <v>96236.503434181213</v>
      </c>
    </row>
    <row r="35" spans="1:21" x14ac:dyDescent="0.25">
      <c r="A35" s="12">
        <v>0.66666666666666663</v>
      </c>
      <c r="B35" s="6">
        <v>104540.14717489082</v>
      </c>
      <c r="C35" s="6">
        <v>9587.633808160399</v>
      </c>
      <c r="D35" s="6">
        <v>694.43882490129477</v>
      </c>
      <c r="E35" s="6">
        <v>1459.4361229290012</v>
      </c>
      <c r="F35" s="6">
        <v>3853.3219644931796</v>
      </c>
      <c r="G35" s="6">
        <v>21.323752369880669</v>
      </c>
      <c r="H35" s="6">
        <v>0.33906766510009767</v>
      </c>
      <c r="I35" s="6">
        <v>0</v>
      </c>
      <c r="J35" s="6">
        <f t="shared" si="0"/>
        <v>120156.6407154097</v>
      </c>
      <c r="L35" s="12">
        <v>0.66666666666666663</v>
      </c>
      <c r="M35" s="9">
        <v>99029.032843589783</v>
      </c>
      <c r="N35" s="9">
        <v>11371.730317115784</v>
      </c>
      <c r="O35" s="9">
        <v>0</v>
      </c>
      <c r="P35" s="9">
        <v>0</v>
      </c>
      <c r="Q35" s="9">
        <v>4608.1205987930298</v>
      </c>
      <c r="R35" s="9">
        <v>242.03885841369629</v>
      </c>
      <c r="S35" s="9">
        <v>0</v>
      </c>
      <c r="T35" s="9">
        <v>0</v>
      </c>
      <c r="U35">
        <f t="shared" si="1"/>
        <v>115250.92261791229</v>
      </c>
    </row>
    <row r="36" spans="1:21" x14ac:dyDescent="0.25">
      <c r="A36" s="12">
        <v>0.6875</v>
      </c>
      <c r="B36" s="6">
        <v>109977.39149290571</v>
      </c>
      <c r="C36" s="6">
        <v>8518.2662086958881</v>
      </c>
      <c r="D36" s="6">
        <v>614.73724959983826</v>
      </c>
      <c r="E36" s="6">
        <v>1399.5337172513964</v>
      </c>
      <c r="F36" s="6">
        <v>3527.3013025918963</v>
      </c>
      <c r="G36" s="6">
        <v>44.944393999099717</v>
      </c>
      <c r="H36" s="6">
        <v>1.5336321325302125</v>
      </c>
      <c r="I36" s="6">
        <v>0</v>
      </c>
      <c r="J36" s="6">
        <f t="shared" si="0"/>
        <v>124083.70799717636</v>
      </c>
      <c r="L36" s="12">
        <v>0.6875</v>
      </c>
      <c r="M36" s="9">
        <v>109764.44081306458</v>
      </c>
      <c r="N36" s="9">
        <v>12023.439690589905</v>
      </c>
      <c r="O36" s="9">
        <v>0</v>
      </c>
      <c r="P36" s="9">
        <v>0</v>
      </c>
      <c r="Q36" s="9">
        <v>5072.7416524887085</v>
      </c>
      <c r="R36" s="9">
        <v>277.92743968963623</v>
      </c>
      <c r="S36" s="9">
        <v>0</v>
      </c>
      <c r="T36" s="9">
        <v>0</v>
      </c>
      <c r="U36">
        <f t="shared" si="1"/>
        <v>127138.54959583282</v>
      </c>
    </row>
    <row r="37" spans="1:21" x14ac:dyDescent="0.25">
      <c r="A37" s="12">
        <v>0.70833333333333337</v>
      </c>
      <c r="B37" s="6">
        <v>106037.83625853481</v>
      </c>
      <c r="C37" s="6">
        <v>7335.1679682679178</v>
      </c>
      <c r="D37" s="6">
        <v>541.89978222885122</v>
      </c>
      <c r="E37" s="6">
        <v>1337.8994876805307</v>
      </c>
      <c r="F37" s="6">
        <v>2998.999029882908</v>
      </c>
      <c r="G37" s="6">
        <v>80.021218220043181</v>
      </c>
      <c r="H37" s="6">
        <v>5.3767685737609865</v>
      </c>
      <c r="I37" s="6">
        <v>0</v>
      </c>
      <c r="J37" s="6">
        <f t="shared" si="0"/>
        <v>118337.20051338883</v>
      </c>
      <c r="L37" s="12">
        <v>0.70833333333333337</v>
      </c>
      <c r="M37" s="9">
        <v>111202.40882301331</v>
      </c>
      <c r="N37" s="9">
        <v>11768.696647644043</v>
      </c>
      <c r="O37" s="9">
        <v>0</v>
      </c>
      <c r="P37" s="9">
        <v>0</v>
      </c>
      <c r="Q37" s="9">
        <v>5168.5133419036865</v>
      </c>
      <c r="R37" s="9">
        <v>295.7321138381958</v>
      </c>
      <c r="S37" s="9">
        <v>0</v>
      </c>
      <c r="T37" s="9">
        <v>0</v>
      </c>
      <c r="U37">
        <f t="shared" si="1"/>
        <v>128435.35092639923</v>
      </c>
    </row>
    <row r="38" spans="1:21" x14ac:dyDescent="0.25">
      <c r="A38" s="12">
        <v>0.72916666666666663</v>
      </c>
      <c r="B38" s="6">
        <v>93576.680968497662</v>
      </c>
      <c r="C38" s="6">
        <v>6246.4667140721331</v>
      </c>
      <c r="D38" s="6">
        <v>479.65480886697765</v>
      </c>
      <c r="E38" s="6">
        <v>1233.9861371720317</v>
      </c>
      <c r="F38" s="6">
        <v>2393.5639225920677</v>
      </c>
      <c r="G38" s="6">
        <v>123.66462150726318</v>
      </c>
      <c r="H38" s="6">
        <v>15.201217995643617</v>
      </c>
      <c r="I38" s="6">
        <v>0</v>
      </c>
      <c r="J38" s="6">
        <f t="shared" si="0"/>
        <v>104069.21839070377</v>
      </c>
      <c r="L38" s="12">
        <v>0.72916666666666663</v>
      </c>
      <c r="M38" s="9">
        <v>102955.26505851746</v>
      </c>
      <c r="N38" s="9">
        <v>10658.086942672729</v>
      </c>
      <c r="O38" s="9">
        <v>0</v>
      </c>
      <c r="P38" s="9">
        <v>0</v>
      </c>
      <c r="Q38" s="9">
        <v>4881.044379234314</v>
      </c>
      <c r="R38" s="9">
        <v>292.38823890686035</v>
      </c>
      <c r="S38" s="9">
        <v>0</v>
      </c>
      <c r="T38" s="9">
        <v>0</v>
      </c>
      <c r="U38">
        <f t="shared" si="1"/>
        <v>118786.78461933136</v>
      </c>
    </row>
    <row r="39" spans="1:21" x14ac:dyDescent="0.25">
      <c r="A39" s="12">
        <v>0.75</v>
      </c>
      <c r="B39" s="6">
        <v>75898.49167199622</v>
      </c>
      <c r="C39" s="6">
        <v>5373.6184636780745</v>
      </c>
      <c r="D39" s="6">
        <v>422.33514111690522</v>
      </c>
      <c r="E39" s="6">
        <v>1072.0085385704042</v>
      </c>
      <c r="F39" s="6">
        <v>1815.4644954983712</v>
      </c>
      <c r="G39" s="6">
        <v>169.65200156173708</v>
      </c>
      <c r="H39" s="6">
        <v>35.529528826904297</v>
      </c>
      <c r="I39" s="6">
        <v>0</v>
      </c>
      <c r="J39" s="6">
        <f t="shared" si="0"/>
        <v>84787.099841248608</v>
      </c>
      <c r="L39" s="12">
        <v>0.75</v>
      </c>
      <c r="M39" s="9">
        <v>87598.405327796936</v>
      </c>
      <c r="N39" s="9">
        <v>8992.982852935791</v>
      </c>
      <c r="O39" s="9">
        <v>0</v>
      </c>
      <c r="P39" s="9">
        <v>0</v>
      </c>
      <c r="Q39" s="9">
        <v>4311.7854242324829</v>
      </c>
      <c r="R39" s="9">
        <v>271.86661720275879</v>
      </c>
      <c r="S39" s="9">
        <v>0</v>
      </c>
      <c r="T39" s="9">
        <v>0</v>
      </c>
      <c r="U39">
        <f t="shared" si="1"/>
        <v>101175.04022216797</v>
      </c>
    </row>
    <row r="40" spans="1:21" x14ac:dyDescent="0.25">
      <c r="A40" s="12">
        <v>0.77083333333333337</v>
      </c>
      <c r="B40" s="6">
        <v>57250.731592751989</v>
      </c>
      <c r="C40" s="6">
        <v>4739.5759741332058</v>
      </c>
      <c r="D40" s="6">
        <v>359.30979030876165</v>
      </c>
      <c r="E40" s="6">
        <v>876.6829997366907</v>
      </c>
      <c r="F40" s="6">
        <v>1333.7300447661401</v>
      </c>
      <c r="G40" s="6">
        <v>209.34184170532228</v>
      </c>
      <c r="H40" s="6">
        <v>69.6987009601593</v>
      </c>
      <c r="I40" s="6">
        <v>0</v>
      </c>
      <c r="J40" s="6">
        <f t="shared" si="0"/>
        <v>64839.070944362269</v>
      </c>
      <c r="L40" s="12">
        <v>0.77083333333333337</v>
      </c>
      <c r="M40" s="9">
        <v>69380.465999603271</v>
      </c>
      <c r="N40" s="9">
        <v>7184.799973487854</v>
      </c>
      <c r="O40" s="9">
        <v>0</v>
      </c>
      <c r="P40" s="9">
        <v>0</v>
      </c>
      <c r="Q40" s="9">
        <v>3629.4372234344482</v>
      </c>
      <c r="R40" s="9">
        <v>243.04763603210449</v>
      </c>
      <c r="S40" s="9">
        <v>0</v>
      </c>
      <c r="T40" s="9">
        <v>0</v>
      </c>
      <c r="U40">
        <f t="shared" si="1"/>
        <v>80437.750832557678</v>
      </c>
    </row>
    <row r="41" spans="1:21" x14ac:dyDescent="0.25">
      <c r="A41" s="12">
        <v>0.79166666666666663</v>
      </c>
      <c r="B41" s="6">
        <v>41041.715211143404</v>
      </c>
      <c r="C41" s="6">
        <v>4294.0694290272713</v>
      </c>
      <c r="D41" s="6">
        <v>284.61451110038757</v>
      </c>
      <c r="E41" s="6">
        <v>693.51773587751404</v>
      </c>
      <c r="F41" s="6">
        <v>980.76289361686713</v>
      </c>
      <c r="G41" s="6">
        <v>232.46226885509495</v>
      </c>
      <c r="H41" s="6">
        <v>115.71868054962158</v>
      </c>
      <c r="I41" s="6">
        <v>0</v>
      </c>
      <c r="J41" s="6">
        <f t="shared" si="0"/>
        <v>47642.860730170163</v>
      </c>
      <c r="L41" s="12">
        <v>0.79166666666666663</v>
      </c>
      <c r="M41" s="9">
        <v>52267.0237865448</v>
      </c>
      <c r="N41" s="9">
        <v>5578.1442241668701</v>
      </c>
      <c r="O41" s="9">
        <v>0</v>
      </c>
      <c r="P41" s="9">
        <v>0</v>
      </c>
      <c r="Q41" s="9">
        <v>2992.7881317138672</v>
      </c>
      <c r="R41" s="9">
        <v>214.98834800720215</v>
      </c>
      <c r="S41" s="9">
        <v>0</v>
      </c>
      <c r="T41" s="9">
        <v>0</v>
      </c>
      <c r="U41">
        <f t="shared" si="1"/>
        <v>61052.944490432739</v>
      </c>
    </row>
    <row r="42" spans="1:21" x14ac:dyDescent="0.25">
      <c r="A42" s="12">
        <v>0.8125</v>
      </c>
      <c r="B42" s="6">
        <v>28861.335667838768</v>
      </c>
      <c r="C42" s="6">
        <v>3947.5352775692941</v>
      </c>
      <c r="D42" s="6">
        <v>204.2317474211693</v>
      </c>
      <c r="E42" s="6">
        <v>557.39903810873034</v>
      </c>
      <c r="F42" s="6">
        <v>750.08259195680614</v>
      </c>
      <c r="G42" s="6">
        <v>229.84379627151492</v>
      </c>
      <c r="H42" s="6">
        <v>163.18019845390322</v>
      </c>
      <c r="I42" s="6">
        <v>0</v>
      </c>
      <c r="J42" s="6">
        <f t="shared" si="0"/>
        <v>34713.608317620186</v>
      </c>
      <c r="L42" s="12">
        <v>0.8125</v>
      </c>
      <c r="M42" s="9">
        <v>38548.966661453247</v>
      </c>
      <c r="N42" s="9">
        <v>4342.3981676101685</v>
      </c>
      <c r="O42" s="9">
        <v>0</v>
      </c>
      <c r="P42" s="9">
        <v>0</v>
      </c>
      <c r="Q42" s="9">
        <v>2492.984411239624</v>
      </c>
      <c r="R42" s="9">
        <v>192.94606113433838</v>
      </c>
      <c r="S42" s="9">
        <v>0</v>
      </c>
      <c r="T42" s="9">
        <v>0</v>
      </c>
      <c r="U42">
        <f t="shared" si="1"/>
        <v>45577.295301437378</v>
      </c>
    </row>
    <row r="43" spans="1:21" x14ac:dyDescent="0.25">
      <c r="A43" s="12">
        <v>0.83333333333333337</v>
      </c>
      <c r="B43" s="6">
        <v>20644.190064123533</v>
      </c>
      <c r="C43" s="6">
        <v>3604.1126638860701</v>
      </c>
      <c r="D43" s="6">
        <v>133.52250822200776</v>
      </c>
      <c r="E43" s="6">
        <v>475.84685932607658</v>
      </c>
      <c r="F43" s="6">
        <v>604.23509311990733</v>
      </c>
      <c r="G43" s="6">
        <v>199.0333699687958</v>
      </c>
      <c r="H43" s="6">
        <v>195.47345799255373</v>
      </c>
      <c r="I43" s="6">
        <v>0</v>
      </c>
      <c r="J43" s="6">
        <f t="shared" si="0"/>
        <v>25856.414016638944</v>
      </c>
      <c r="L43" s="12">
        <v>0.83333333333333337</v>
      </c>
      <c r="M43" s="9">
        <v>28659.674556732178</v>
      </c>
      <c r="N43" s="9">
        <v>3476.6401023864746</v>
      </c>
      <c r="O43" s="9">
        <v>0</v>
      </c>
      <c r="P43" s="9">
        <v>0</v>
      </c>
      <c r="Q43" s="9">
        <v>2144.7513036727905</v>
      </c>
      <c r="R43" s="9">
        <v>177.71432495117188</v>
      </c>
      <c r="S43" s="9">
        <v>0</v>
      </c>
      <c r="T43" s="9">
        <v>0</v>
      </c>
      <c r="U43">
        <f t="shared" si="1"/>
        <v>34458.780287742615</v>
      </c>
    </row>
    <row r="44" spans="1:21" x14ac:dyDescent="0.25">
      <c r="A44" s="12">
        <v>0.85416666666666663</v>
      </c>
      <c r="B44" s="6">
        <v>15481.749230400084</v>
      </c>
      <c r="C44" s="6">
        <v>3197.1648127729422</v>
      </c>
      <c r="D44" s="6">
        <v>86.195207391548166</v>
      </c>
      <c r="E44" s="6">
        <v>433.98571150074008</v>
      </c>
      <c r="F44" s="6">
        <v>500.63871020307545</v>
      </c>
      <c r="G44" s="6">
        <v>148.31934196701053</v>
      </c>
      <c r="H44" s="6">
        <v>198.44569883232117</v>
      </c>
      <c r="I44" s="6">
        <v>0</v>
      </c>
      <c r="J44" s="6">
        <f t="shared" si="0"/>
        <v>20046.498713067722</v>
      </c>
      <c r="L44" s="12">
        <v>0.85416666666666663</v>
      </c>
      <c r="M44" s="9">
        <v>21907.257124900818</v>
      </c>
      <c r="N44" s="9">
        <v>2890.7940559387207</v>
      </c>
      <c r="O44" s="9">
        <v>0</v>
      </c>
      <c r="P44" s="9">
        <v>0</v>
      </c>
      <c r="Q44" s="9">
        <v>1917.6654691696167</v>
      </c>
      <c r="R44" s="9">
        <v>167.79826354980469</v>
      </c>
      <c r="S44" s="9">
        <v>0</v>
      </c>
      <c r="T44" s="9">
        <v>0</v>
      </c>
      <c r="U44">
        <f t="shared" si="1"/>
        <v>26883.51491355896</v>
      </c>
    </row>
    <row r="45" spans="1:21" x14ac:dyDescent="0.25">
      <c r="A45" s="12">
        <v>0.875</v>
      </c>
      <c r="B45" s="6">
        <v>12370.208253874112</v>
      </c>
      <c r="C45" s="6">
        <v>2717.2442288792608</v>
      </c>
      <c r="D45" s="6">
        <v>64.651242767429352</v>
      </c>
      <c r="E45" s="6">
        <v>410.03210197248461</v>
      </c>
      <c r="F45" s="6">
        <v>416.77678331699371</v>
      </c>
      <c r="G45" s="6">
        <v>93.549278220176717</v>
      </c>
      <c r="H45" s="6">
        <v>169.97329651641846</v>
      </c>
      <c r="I45" s="6">
        <v>0</v>
      </c>
      <c r="J45" s="6">
        <f t="shared" si="0"/>
        <v>16242.435185546878</v>
      </c>
      <c r="L45" s="12">
        <v>0.875</v>
      </c>
      <c r="M45" s="9">
        <v>17345.528283119202</v>
      </c>
      <c r="N45" s="9">
        <v>2487.8698959350586</v>
      </c>
      <c r="O45" s="9">
        <v>0</v>
      </c>
      <c r="P45" s="9">
        <v>0</v>
      </c>
      <c r="Q45" s="9">
        <v>1772.9144515991211</v>
      </c>
      <c r="R45" s="9">
        <v>161.66673374176025</v>
      </c>
      <c r="S45" s="9">
        <v>0</v>
      </c>
      <c r="T45" s="9">
        <v>0</v>
      </c>
      <c r="U45">
        <f t="shared" si="1"/>
        <v>21767.979364395142</v>
      </c>
    </row>
    <row r="46" spans="1:21" x14ac:dyDescent="0.25">
      <c r="A46" s="12">
        <v>0.89583333333333337</v>
      </c>
      <c r="B46" s="6">
        <v>10532.389695436859</v>
      </c>
      <c r="C46" s="6">
        <v>2209.2284231543545</v>
      </c>
      <c r="D46" s="6">
        <v>59.611653621387489</v>
      </c>
      <c r="E46" s="6">
        <v>386.53469730176926</v>
      </c>
      <c r="F46" s="6">
        <v>351.6822911474228</v>
      </c>
      <c r="G46" s="6">
        <v>49.148561805725109</v>
      </c>
      <c r="H46" s="6">
        <v>122.01565207099915</v>
      </c>
      <c r="I46" s="6">
        <v>0</v>
      </c>
      <c r="J46" s="6">
        <f t="shared" si="0"/>
        <v>13710.610974538517</v>
      </c>
      <c r="L46" s="12">
        <v>0.89583333333333337</v>
      </c>
      <c r="M46" s="9">
        <v>14224.165195465088</v>
      </c>
      <c r="N46" s="9">
        <v>2197.4736032485962</v>
      </c>
      <c r="O46" s="9">
        <v>0</v>
      </c>
      <c r="P46" s="9">
        <v>0</v>
      </c>
      <c r="Q46" s="9">
        <v>1677.428352355957</v>
      </c>
      <c r="R46" s="9">
        <v>157.94533920288086</v>
      </c>
      <c r="S46" s="9">
        <v>0</v>
      </c>
      <c r="T46" s="9">
        <v>0</v>
      </c>
      <c r="U46">
        <f t="shared" si="1"/>
        <v>18257.012490272522</v>
      </c>
    </row>
    <row r="47" spans="1:21" x14ac:dyDescent="0.25">
      <c r="A47" s="12">
        <v>0.91666666666666663</v>
      </c>
      <c r="B47" s="6">
        <v>9390.3721874760631</v>
      </c>
      <c r="C47" s="6">
        <v>1734.4066678839681</v>
      </c>
      <c r="D47" s="6">
        <v>57.859561299228666</v>
      </c>
      <c r="E47" s="6">
        <v>352.39548607025148</v>
      </c>
      <c r="F47" s="6">
        <v>307.33985643939968</v>
      </c>
      <c r="G47" s="6">
        <v>21.144803864288335</v>
      </c>
      <c r="H47" s="6">
        <v>72.73269406127929</v>
      </c>
      <c r="I47" s="6">
        <v>0</v>
      </c>
      <c r="J47" s="6">
        <f t="shared" si="0"/>
        <v>11936.251257094478</v>
      </c>
      <c r="L47" s="12">
        <v>0.91666666666666663</v>
      </c>
      <c r="M47" s="9">
        <v>11994.242429733276</v>
      </c>
      <c r="N47" s="9">
        <v>1965.3479976654053</v>
      </c>
      <c r="O47" s="9">
        <v>0</v>
      </c>
      <c r="P47" s="9">
        <v>0</v>
      </c>
      <c r="Q47" s="9">
        <v>1596.1051502227783</v>
      </c>
      <c r="R47" s="9">
        <v>154.106201171875</v>
      </c>
      <c r="S47" s="9">
        <v>0</v>
      </c>
      <c r="T47" s="9">
        <v>0</v>
      </c>
      <c r="U47">
        <f t="shared" si="1"/>
        <v>15709.801778793335</v>
      </c>
    </row>
    <row r="48" spans="1:21" x14ac:dyDescent="0.25">
      <c r="A48" s="12">
        <v>0.9375</v>
      </c>
      <c r="B48" s="6">
        <v>8459.0432730146404</v>
      </c>
      <c r="C48" s="6">
        <v>1327.9599884448053</v>
      </c>
      <c r="D48" s="6">
        <v>50.815749373435978</v>
      </c>
      <c r="E48" s="6">
        <v>301.65857484731674</v>
      </c>
      <c r="F48" s="6">
        <v>274.57384602499008</v>
      </c>
      <c r="G48" s="6">
        <v>7.2979995628356935</v>
      </c>
      <c r="H48" s="6">
        <v>35.546698983192442</v>
      </c>
      <c r="I48" s="6">
        <v>0</v>
      </c>
      <c r="J48" s="6">
        <f t="shared" si="0"/>
        <v>10456.896130251218</v>
      </c>
      <c r="L48" s="12">
        <v>0.9375</v>
      </c>
      <c r="M48" s="9">
        <v>10184.651342391968</v>
      </c>
      <c r="N48" s="9">
        <v>1737.7176532745361</v>
      </c>
      <c r="O48" s="9">
        <v>0</v>
      </c>
      <c r="P48" s="9">
        <v>0</v>
      </c>
      <c r="Q48" s="9">
        <v>1485.3567876815796</v>
      </c>
      <c r="R48" s="9">
        <v>146.0381441116333</v>
      </c>
      <c r="S48" s="9">
        <v>0</v>
      </c>
      <c r="T48" s="9">
        <v>0</v>
      </c>
      <c r="U48">
        <f t="shared" si="1"/>
        <v>13553.763927459717</v>
      </c>
    </row>
    <row r="49" spans="1:21" x14ac:dyDescent="0.25">
      <c r="A49" s="12">
        <v>0.95833333333333337</v>
      </c>
      <c r="B49" s="6">
        <v>7355.760205842209</v>
      </c>
      <c r="C49" s="6">
        <v>987.76298129138945</v>
      </c>
      <c r="D49" s="6">
        <v>37.796469260215758</v>
      </c>
      <c r="E49" s="6">
        <v>235.06531459636687</v>
      </c>
      <c r="F49" s="6">
        <v>237.66679403572084</v>
      </c>
      <c r="G49" s="6">
        <v>1.9661398287773135</v>
      </c>
      <c r="H49" s="6">
        <v>13.993678168487548</v>
      </c>
      <c r="I49" s="6">
        <v>0</v>
      </c>
      <c r="J49" s="6">
        <f t="shared" si="0"/>
        <v>8870.0115830231662</v>
      </c>
      <c r="L49" s="12">
        <v>0.95833333333333337</v>
      </c>
      <c r="M49" s="9">
        <v>8407.9843282699585</v>
      </c>
      <c r="N49" s="9">
        <v>1469.1704950332642</v>
      </c>
      <c r="O49" s="9">
        <v>0</v>
      </c>
      <c r="P49" s="9">
        <v>0</v>
      </c>
      <c r="Q49" s="9">
        <v>1306.3087635040283</v>
      </c>
      <c r="R49" s="9">
        <v>129.91769886016846</v>
      </c>
      <c r="S49" s="9">
        <v>0</v>
      </c>
      <c r="T49" s="9">
        <v>0</v>
      </c>
      <c r="U49">
        <f t="shared" si="1"/>
        <v>11313.381285667419</v>
      </c>
    </row>
    <row r="50" spans="1:21" x14ac:dyDescent="0.25">
      <c r="A50" s="12">
        <v>0.97916666666666663</v>
      </c>
      <c r="B50" s="6">
        <v>5915.4995939831733</v>
      </c>
      <c r="C50" s="6">
        <v>697.03210193443306</v>
      </c>
      <c r="D50" s="6">
        <v>23.219426803684236</v>
      </c>
      <c r="E50" s="6">
        <v>161.82185409221648</v>
      </c>
      <c r="F50" s="6">
        <v>188.17636981058121</v>
      </c>
      <c r="G50" s="6">
        <v>0.39729909324645996</v>
      </c>
      <c r="H50" s="6">
        <v>4.3261491308212277</v>
      </c>
      <c r="I50" s="6">
        <v>0</v>
      </c>
      <c r="J50" s="6">
        <f t="shared" si="0"/>
        <v>6990.4727948481559</v>
      </c>
      <c r="L50" s="12">
        <v>0.97916666666666663</v>
      </c>
      <c r="M50" s="9">
        <v>6485.7016105651855</v>
      </c>
      <c r="N50" s="9">
        <v>1146.9281787872314</v>
      </c>
      <c r="O50" s="9">
        <v>0</v>
      </c>
      <c r="P50" s="9">
        <v>0</v>
      </c>
      <c r="Q50" s="9">
        <v>1050.276442527771</v>
      </c>
      <c r="R50" s="9">
        <v>105.11454582214355</v>
      </c>
      <c r="S50" s="9">
        <v>0</v>
      </c>
      <c r="T50" s="9">
        <v>0</v>
      </c>
      <c r="U50">
        <f t="shared" si="1"/>
        <v>8788.0207777023315</v>
      </c>
    </row>
    <row r="51" spans="1:21" x14ac:dyDescent="0.25">
      <c r="A51" s="12">
        <v>1</v>
      </c>
      <c r="B51" s="6">
        <v>4254.4707445170397</v>
      </c>
      <c r="C51" s="6">
        <v>450.41482639579777</v>
      </c>
      <c r="D51" s="6">
        <v>11.60649073638916</v>
      </c>
      <c r="E51" s="6">
        <v>95.85598802652359</v>
      </c>
      <c r="F51" s="6">
        <v>131.04081079750063</v>
      </c>
      <c r="G51" s="6">
        <v>5.6493916511535652E-2</v>
      </c>
      <c r="H51" s="6">
        <v>1.0109514541625977</v>
      </c>
      <c r="I51" s="6">
        <v>0</v>
      </c>
      <c r="J51" s="6">
        <f t="shared" si="0"/>
        <v>4944.4563058439253</v>
      </c>
      <c r="L51" s="12">
        <v>1</v>
      </c>
      <c r="M51" s="9">
        <v>4513.367621421814</v>
      </c>
      <c r="N51" s="9">
        <v>801.94858264923096</v>
      </c>
      <c r="O51" s="9">
        <v>0</v>
      </c>
      <c r="P51" s="9">
        <v>0</v>
      </c>
      <c r="Q51" s="9">
        <v>750.8153715133667</v>
      </c>
      <c r="R51" s="9">
        <v>75.374534606933594</v>
      </c>
      <c r="S51" s="9">
        <v>0</v>
      </c>
      <c r="T51" s="9">
        <v>0</v>
      </c>
      <c r="U51">
        <f t="shared" si="1"/>
        <v>6141.5061101913452</v>
      </c>
    </row>
    <row r="52" spans="1:21" x14ac:dyDescent="0.25">
      <c r="A52" s="12">
        <v>1.0208333333333333</v>
      </c>
      <c r="B52" s="6">
        <v>2669.3688197722436</v>
      </c>
      <c r="C52" s="6">
        <v>257.24908261222839</v>
      </c>
      <c r="D52" s="6">
        <v>4.6424719619750974</v>
      </c>
      <c r="E52" s="6">
        <v>47.750701473331446</v>
      </c>
      <c r="F52" s="6">
        <v>78.411892555427571</v>
      </c>
      <c r="G52" s="6">
        <v>5.025639724731446E-3</v>
      </c>
      <c r="H52" s="6">
        <v>0.16783401012420654</v>
      </c>
      <c r="I52" s="6">
        <v>0</v>
      </c>
      <c r="J52" s="6">
        <f t="shared" si="0"/>
        <v>3057.5958280250552</v>
      </c>
      <c r="L52" s="12">
        <v>1.0208333333333333</v>
      </c>
      <c r="M52" s="9">
        <v>2755.1956367492676</v>
      </c>
      <c r="N52" s="9">
        <v>489.89882946014404</v>
      </c>
      <c r="O52" s="9">
        <v>0</v>
      </c>
      <c r="P52" s="9">
        <v>0</v>
      </c>
      <c r="Q52" s="9">
        <v>466.55966663360596</v>
      </c>
      <c r="R52" s="9">
        <v>46.908470153808594</v>
      </c>
      <c r="S52" s="9">
        <v>0</v>
      </c>
      <c r="T52" s="9">
        <v>0</v>
      </c>
      <c r="U52">
        <f t="shared" si="1"/>
        <v>3758.5626029968262</v>
      </c>
    </row>
    <row r="53" spans="1:21" x14ac:dyDescent="0.25">
      <c r="A53" s="12">
        <v>4.1666666666666664E-2</v>
      </c>
      <c r="B53" s="6">
        <v>1432.7613302523614</v>
      </c>
      <c r="C53" s="6">
        <v>125.9902056473732</v>
      </c>
      <c r="D53" s="6">
        <v>1.4507724881172182</v>
      </c>
      <c r="E53" s="6">
        <v>19.57326133651733</v>
      </c>
      <c r="F53" s="6">
        <v>39.681623143005382</v>
      </c>
      <c r="G53" s="6">
        <v>2.0961370468139647E-4</v>
      </c>
      <c r="H53" s="6">
        <v>1.7637058258056639E-2</v>
      </c>
      <c r="I53" s="6">
        <v>0</v>
      </c>
      <c r="J53" s="6">
        <f t="shared" si="0"/>
        <v>1619.4750395393376</v>
      </c>
      <c r="L53" s="12">
        <v>4.1666666666666664E-2</v>
      </c>
      <c r="M53" s="9">
        <v>1441.6994123458862</v>
      </c>
      <c r="N53" s="9">
        <v>255.95911884307861</v>
      </c>
      <c r="O53" s="9">
        <v>0</v>
      </c>
      <c r="P53" s="9">
        <v>0</v>
      </c>
      <c r="Q53" s="9">
        <v>247.08329486846924</v>
      </c>
      <c r="R53" s="9">
        <v>24.86856746673584</v>
      </c>
      <c r="S53" s="9">
        <v>0</v>
      </c>
      <c r="T53" s="9">
        <v>0</v>
      </c>
      <c r="U53">
        <f t="shared" si="1"/>
        <v>1969.6103935241699</v>
      </c>
    </row>
    <row r="54" spans="1:21" x14ac:dyDescent="0.25">
      <c r="A54" s="12">
        <v>6.25E-2</v>
      </c>
      <c r="B54" s="6">
        <v>646.17034800643921</v>
      </c>
      <c r="C54" s="6">
        <v>51.545014467334738</v>
      </c>
      <c r="D54" s="6">
        <v>0.34135823249816899</v>
      </c>
      <c r="E54" s="6">
        <v>6.4461946838378896</v>
      </c>
      <c r="F54" s="6">
        <v>16.730163671302801</v>
      </c>
      <c r="G54" s="6">
        <v>0</v>
      </c>
      <c r="H54" s="6">
        <v>8.8185291290283202E-4</v>
      </c>
      <c r="I54" s="6">
        <v>0</v>
      </c>
      <c r="J54" s="6">
        <f t="shared" si="0"/>
        <v>721.23396091432562</v>
      </c>
      <c r="L54" s="12">
        <v>6.25E-2</v>
      </c>
      <c r="M54" s="9">
        <v>632.82649421691895</v>
      </c>
      <c r="N54" s="9">
        <v>112.04411506652832</v>
      </c>
      <c r="O54" s="9">
        <v>0</v>
      </c>
      <c r="P54" s="9">
        <v>0</v>
      </c>
      <c r="Q54" s="9">
        <v>109.34922885894775</v>
      </c>
      <c r="R54" s="9">
        <v>11.019864082336426</v>
      </c>
      <c r="S54" s="9">
        <v>0</v>
      </c>
      <c r="T54" s="9">
        <v>0</v>
      </c>
      <c r="U54">
        <f t="shared" si="1"/>
        <v>865.23970222473145</v>
      </c>
    </row>
    <row r="55" spans="1:21" x14ac:dyDescent="0.25">
      <c r="A55" s="12">
        <v>8.3333333333333329E-2</v>
      </c>
      <c r="B55" s="6">
        <v>240.15422689752577</v>
      </c>
      <c r="C55" s="6">
        <v>17.165897592258453</v>
      </c>
      <c r="D55" s="6">
        <v>5.6893038749694827E-2</v>
      </c>
      <c r="E55" s="6">
        <v>1.6551156220436094</v>
      </c>
      <c r="F55" s="6">
        <v>5.7685013251304635</v>
      </c>
      <c r="G55" s="6">
        <v>0</v>
      </c>
      <c r="H55" s="6">
        <v>0</v>
      </c>
      <c r="I55" s="6">
        <v>0</v>
      </c>
      <c r="J55" s="6">
        <f t="shared" si="0"/>
        <v>264.80063447570797</v>
      </c>
      <c r="L55" s="12">
        <v>8.3333333333333329E-2</v>
      </c>
      <c r="M55" s="9">
        <v>227.59144687652588</v>
      </c>
      <c r="N55" s="9">
        <v>40.158487319946289</v>
      </c>
      <c r="O55" s="9">
        <v>0</v>
      </c>
      <c r="P55" s="9">
        <v>0</v>
      </c>
      <c r="Q55" s="9">
        <v>39.547120094299316</v>
      </c>
      <c r="R55" s="9">
        <v>3.9925355911254883</v>
      </c>
      <c r="S55" s="9">
        <v>0</v>
      </c>
      <c r="T55" s="9">
        <v>0</v>
      </c>
      <c r="U55">
        <f t="shared" si="1"/>
        <v>311.28958988189697</v>
      </c>
    </row>
    <row r="56" spans="1:21" x14ac:dyDescent="0.25">
      <c r="A56" s="12">
        <v>0.10416666666666667</v>
      </c>
      <c r="B56" s="6">
        <v>71.786931831932066</v>
      </c>
      <c r="C56" s="6">
        <v>4.5140753407478327</v>
      </c>
      <c r="D56" s="6">
        <v>5.9887409210205083E-3</v>
      </c>
      <c r="E56" s="6">
        <v>0.31750210685729979</v>
      </c>
      <c r="F56" s="6">
        <v>1.5847204675674442</v>
      </c>
      <c r="G56" s="6">
        <v>0</v>
      </c>
      <c r="H56" s="6">
        <v>0</v>
      </c>
      <c r="I56" s="6">
        <v>0</v>
      </c>
      <c r="J56" s="6">
        <f t="shared" si="0"/>
        <v>78.209218488025684</v>
      </c>
      <c r="L56" s="12">
        <v>0.10416666666666667</v>
      </c>
      <c r="M56" s="9">
        <v>65.112325668334961</v>
      </c>
      <c r="N56" s="9">
        <v>11.446029663085938</v>
      </c>
      <c r="O56" s="9">
        <v>0</v>
      </c>
      <c r="P56" s="9">
        <v>0</v>
      </c>
      <c r="Q56" s="9">
        <v>11.356570243835449</v>
      </c>
      <c r="R56" s="9">
        <v>1.1492471694946289</v>
      </c>
      <c r="S56" s="9">
        <v>0</v>
      </c>
      <c r="T56" s="9">
        <v>0</v>
      </c>
      <c r="U56">
        <f t="shared" si="1"/>
        <v>89.064172744750977</v>
      </c>
    </row>
    <row r="57" spans="1:21" x14ac:dyDescent="0.25">
      <c r="A57" s="12">
        <v>0.125</v>
      </c>
      <c r="B57" s="6">
        <v>16.379807059955596</v>
      </c>
      <c r="C57" s="6">
        <v>0.88833451366424554</v>
      </c>
      <c r="D57" s="6">
        <v>2.9943704605102541E-4</v>
      </c>
      <c r="E57" s="6">
        <v>4.241513290405273E-2</v>
      </c>
      <c r="F57" s="6">
        <v>0.3288843937873841</v>
      </c>
      <c r="G57" s="6">
        <v>0</v>
      </c>
      <c r="H57" s="6">
        <v>0</v>
      </c>
      <c r="I57" s="6">
        <v>0</v>
      </c>
      <c r="J57" s="6">
        <f t="shared" si="0"/>
        <v>17.63974053735733</v>
      </c>
      <c r="L57" s="12">
        <v>0.125</v>
      </c>
      <c r="M57" s="9">
        <v>14.008236885070801</v>
      </c>
      <c r="N57" s="9">
        <v>2.4532308578491211</v>
      </c>
      <c r="O57" s="9">
        <v>0</v>
      </c>
      <c r="P57" s="9">
        <v>0</v>
      </c>
      <c r="Q57" s="9">
        <v>2.4490785598754883</v>
      </c>
      <c r="R57" s="9">
        <v>0.24854373931884766</v>
      </c>
      <c r="S57" s="9">
        <v>0</v>
      </c>
      <c r="T57" s="9">
        <v>0</v>
      </c>
      <c r="U57">
        <f t="shared" si="1"/>
        <v>19.159090042114258</v>
      </c>
    </row>
    <row r="58" spans="1:21" ht="15.75" thickBot="1" x14ac:dyDescent="0.3">
      <c r="A58" s="13" t="s">
        <v>6</v>
      </c>
      <c r="B58" s="7">
        <v>0</v>
      </c>
      <c r="C58" s="7">
        <v>0</v>
      </c>
      <c r="D58" s="7">
        <v>0</v>
      </c>
      <c r="E58" s="7">
        <v>0</v>
      </c>
      <c r="F58" s="7">
        <v>0</v>
      </c>
      <c r="G58" s="7">
        <v>0</v>
      </c>
      <c r="H58" s="7">
        <v>0</v>
      </c>
      <c r="I58" s="7">
        <v>0</v>
      </c>
      <c r="J58" s="7">
        <f t="shared" si="0"/>
        <v>0</v>
      </c>
      <c r="L58" s="13" t="s">
        <v>6</v>
      </c>
      <c r="M58" s="10">
        <v>0</v>
      </c>
      <c r="N58" s="10">
        <v>0</v>
      </c>
      <c r="O58" s="10">
        <v>0</v>
      </c>
      <c r="P58" s="10">
        <v>0</v>
      </c>
      <c r="Q58" s="10">
        <v>0</v>
      </c>
      <c r="R58" s="10">
        <v>0</v>
      </c>
      <c r="S58" s="10">
        <v>0</v>
      </c>
      <c r="T58" s="10">
        <v>0</v>
      </c>
      <c r="U58" s="1">
        <f t="shared" si="1"/>
        <v>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58"/>
  <sheetViews>
    <sheetView workbookViewId="0">
      <selection activeCell="A3" sqref="A3"/>
    </sheetView>
  </sheetViews>
  <sheetFormatPr defaultRowHeight="15" x14ac:dyDescent="0.25"/>
  <cols>
    <col min="1" max="1" width="12.7109375" customWidth="1" collapsed="1"/>
    <col min="2" max="10" width="10.7109375" customWidth="1" collapsed="1"/>
    <col min="11" max="11" width="6.42578125" customWidth="1" collapsed="1"/>
    <col min="12" max="12" width="12.7109375" customWidth="1" collapsed="1"/>
    <col min="13" max="21" width="10.7109375" customWidth="1" collapsed="1"/>
  </cols>
  <sheetData>
    <row r="1" spans="1:26" x14ac:dyDescent="0.25">
      <c r="A1" t="s">
        <v>40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r="6" spans="1:26" ht="15.75" thickBot="1" x14ac:dyDescent="0.3">
      <c r="A6" s="3" t="s">
        <v>56</v>
      </c>
      <c r="B6" s="1"/>
      <c r="C6" s="1"/>
      <c r="D6" s="1"/>
      <c r="E6" s="1"/>
      <c r="F6" s="1"/>
      <c r="G6" s="1"/>
      <c r="H6" s="1"/>
      <c r="I6" s="1"/>
      <c r="J6" s="1"/>
      <c r="L6" s="3" t="s">
        <v>41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>
        <v>0</v>
      </c>
      <c r="C8" s="6">
        <v>0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f>SUM(B8:I8)</f>
        <v>0</v>
      </c>
      <c r="L8" t="s">
        <v>5</v>
      </c>
      <c r="M8" s="9">
        <v>6</v>
      </c>
      <c r="N8" s="9">
        <v>0</v>
      </c>
      <c r="O8" s="9">
        <v>0</v>
      </c>
      <c r="P8" s="9">
        <v>0</v>
      </c>
      <c r="Q8" s="9">
        <v>7</v>
      </c>
      <c r="R8" s="9">
        <v>0</v>
      </c>
      <c r="S8" s="9">
        <v>0</v>
      </c>
      <c r="T8" s="9">
        <v>0</v>
      </c>
      <c r="U8">
        <f>SUM(M8:T8)</f>
        <v>13</v>
      </c>
      <c r="W8" s="5"/>
      <c r="X8" s="16"/>
      <c r="Y8" s="16"/>
      <c r="Z8" s="5"/>
    </row>
    <row r="9" spans="1:26" x14ac:dyDescent="0.25">
      <c r="A9" s="12">
        <v>0.125</v>
      </c>
      <c r="B9" s="6">
        <v>0</v>
      </c>
      <c r="C9" s="6">
        <v>0</v>
      </c>
      <c r="D9" s="6">
        <v>0</v>
      </c>
      <c r="E9" s="6">
        <v>0</v>
      </c>
      <c r="F9" s="6">
        <v>3.1040471858978265</v>
      </c>
      <c r="G9" s="6">
        <v>0</v>
      </c>
      <c r="H9" s="6">
        <v>0</v>
      </c>
      <c r="I9" s="6">
        <v>0</v>
      </c>
      <c r="J9" s="6">
        <f t="shared" ref="J9:J58" si="0">SUM(B9:I9)</f>
        <v>3.1040471858978265</v>
      </c>
      <c r="L9" s="12">
        <v>0.125</v>
      </c>
      <c r="M9" s="9">
        <v>7.7111139297485352</v>
      </c>
      <c r="N9" s="9">
        <v>0</v>
      </c>
      <c r="O9" s="9">
        <v>0</v>
      </c>
      <c r="P9" s="9">
        <v>0</v>
      </c>
      <c r="Q9" s="9">
        <v>14.312463760375977</v>
      </c>
      <c r="R9" s="9">
        <v>1.3738613128662109</v>
      </c>
      <c r="S9" s="9">
        <v>1.868408203125</v>
      </c>
      <c r="T9" s="9">
        <v>0</v>
      </c>
      <c r="U9">
        <f t="shared" ref="U9:U58" si="1">SUM(M9:T9)</f>
        <v>25.265847206115723</v>
      </c>
      <c r="W9" s="5"/>
      <c r="X9" s="16"/>
      <c r="Y9" s="16"/>
      <c r="Z9" s="5"/>
    </row>
    <row r="10" spans="1:26" x14ac:dyDescent="0.25">
      <c r="A10" s="12">
        <v>0.14583333333333334</v>
      </c>
      <c r="B10" s="6">
        <v>0</v>
      </c>
      <c r="C10" s="6">
        <v>5.3261470794677735E-5</v>
      </c>
      <c r="D10" s="6">
        <v>0</v>
      </c>
      <c r="E10" s="6">
        <v>0</v>
      </c>
      <c r="F10" s="6">
        <v>5.266333127021789</v>
      </c>
      <c r="G10" s="6">
        <v>0</v>
      </c>
      <c r="H10" s="6">
        <v>6.2854700088500986E-4</v>
      </c>
      <c r="I10" s="6">
        <v>0</v>
      </c>
      <c r="J10" s="6">
        <f t="shared" si="0"/>
        <v>5.267014935493469</v>
      </c>
      <c r="L10" s="12">
        <v>0.14583333333333334</v>
      </c>
      <c r="M10" s="9">
        <v>8.155609130859375</v>
      </c>
      <c r="N10" s="9">
        <v>0</v>
      </c>
      <c r="O10" s="9">
        <v>0</v>
      </c>
      <c r="P10" s="9">
        <v>0</v>
      </c>
      <c r="Q10" s="9">
        <v>18.04127311706543</v>
      </c>
      <c r="R10" s="9">
        <v>2.881831169128418</v>
      </c>
      <c r="S10" s="9">
        <v>3.8192119598388672</v>
      </c>
      <c r="T10" s="9">
        <v>0</v>
      </c>
      <c r="U10">
        <f t="shared" si="1"/>
        <v>32.89792537689209</v>
      </c>
      <c r="W10" s="5"/>
      <c r="X10" s="16"/>
      <c r="Y10" s="16"/>
      <c r="Z10" s="5"/>
    </row>
    <row r="11" spans="1:26" x14ac:dyDescent="0.25">
      <c r="A11" s="12">
        <v>0.16666666666666666</v>
      </c>
      <c r="B11" s="6">
        <v>0</v>
      </c>
      <c r="C11" s="6">
        <v>1.0652294158935546E-3</v>
      </c>
      <c r="D11" s="6">
        <v>0</v>
      </c>
      <c r="E11" s="6">
        <v>1.3406600952148436E-4</v>
      </c>
      <c r="F11" s="6">
        <v>6.0385626039504992</v>
      </c>
      <c r="G11" s="6">
        <v>5.9569740295410158E-4</v>
      </c>
      <c r="H11" s="6">
        <v>1.3108747577667241E-2</v>
      </c>
      <c r="I11" s="6">
        <v>0</v>
      </c>
      <c r="J11" s="6">
        <f t="shared" si="0"/>
        <v>6.0534663443565355</v>
      </c>
      <c r="L11" s="12">
        <v>0.16666666666666666</v>
      </c>
      <c r="M11" s="9">
        <v>7.326451301574707</v>
      </c>
      <c r="N11" s="9">
        <v>0</v>
      </c>
      <c r="O11" s="9">
        <v>0</v>
      </c>
      <c r="P11" s="9">
        <v>0</v>
      </c>
      <c r="Q11" s="9">
        <v>18.379117965698242</v>
      </c>
      <c r="R11" s="9">
        <v>6.2824029922485352</v>
      </c>
      <c r="S11" s="9">
        <v>8.4082431793212891</v>
      </c>
      <c r="T11" s="9">
        <v>0</v>
      </c>
      <c r="U11">
        <f t="shared" si="1"/>
        <v>40.396215438842773</v>
      </c>
      <c r="W11" s="5"/>
      <c r="X11" s="16"/>
      <c r="Y11" s="16"/>
      <c r="Z11" s="5"/>
    </row>
    <row r="12" spans="1:26" x14ac:dyDescent="0.25">
      <c r="A12" s="12">
        <v>0.1875</v>
      </c>
      <c r="B12" s="6">
        <v>0</v>
      </c>
      <c r="C12" s="6">
        <v>1.2025425815582276E-2</v>
      </c>
      <c r="D12" s="6">
        <v>0</v>
      </c>
      <c r="E12" s="6">
        <v>3.4791445732116691E-3</v>
      </c>
      <c r="F12" s="6">
        <v>5.5992185550689699</v>
      </c>
      <c r="G12" s="6">
        <v>1.2822583103179932E-2</v>
      </c>
      <c r="H12" s="6">
        <v>0.13018008136749271</v>
      </c>
      <c r="I12" s="6">
        <v>0</v>
      </c>
      <c r="J12" s="6">
        <f t="shared" si="0"/>
        <v>5.7577257899284362</v>
      </c>
      <c r="L12" s="12">
        <v>0.1875</v>
      </c>
      <c r="M12" s="9">
        <v>6.7810392379760742</v>
      </c>
      <c r="N12" s="9">
        <v>0</v>
      </c>
      <c r="O12" s="9">
        <v>0</v>
      </c>
      <c r="P12" s="9">
        <v>0</v>
      </c>
      <c r="Q12" s="9">
        <v>20.67714786529541</v>
      </c>
      <c r="R12" s="9">
        <v>16.501943588256836</v>
      </c>
      <c r="S12" s="9">
        <v>23.749317169189453</v>
      </c>
      <c r="T12" s="9">
        <v>0</v>
      </c>
      <c r="U12">
        <f t="shared" si="1"/>
        <v>67.709447860717773</v>
      </c>
      <c r="W12" s="5"/>
      <c r="X12" s="5"/>
      <c r="Y12" s="5"/>
      <c r="Z12" s="5"/>
    </row>
    <row r="13" spans="1:26" x14ac:dyDescent="0.25">
      <c r="A13" s="12">
        <v>0.20833333333333334</v>
      </c>
      <c r="B13" s="6">
        <v>0</v>
      </c>
      <c r="C13" s="6">
        <v>9.901856298446654E-2</v>
      </c>
      <c r="D13" s="6">
        <v>0</v>
      </c>
      <c r="E13" s="6">
        <v>4.225528345108031E-2</v>
      </c>
      <c r="F13" s="6">
        <v>4.6477706786155704</v>
      </c>
      <c r="G13" s="6">
        <v>0.13135520744323731</v>
      </c>
      <c r="H13" s="6">
        <v>0.81872701740264908</v>
      </c>
      <c r="I13" s="6">
        <v>0</v>
      </c>
      <c r="J13" s="6">
        <f t="shared" si="0"/>
        <v>5.7391267498970029</v>
      </c>
      <c r="L13" s="12">
        <v>0.20833333333333334</v>
      </c>
      <c r="M13" s="9">
        <v>9.0359401702880859</v>
      </c>
      <c r="N13" s="9">
        <v>0</v>
      </c>
      <c r="O13" s="9">
        <v>0</v>
      </c>
      <c r="P13" s="9">
        <v>0</v>
      </c>
      <c r="Q13" s="9">
        <v>34.462782859802246</v>
      </c>
      <c r="R13" s="9">
        <v>42.188343048095703</v>
      </c>
      <c r="S13" s="9">
        <v>66.72679615020752</v>
      </c>
      <c r="T13" s="9">
        <v>0</v>
      </c>
      <c r="U13">
        <f t="shared" si="1"/>
        <v>152.41386222839355</v>
      </c>
    </row>
    <row r="14" spans="1:26" x14ac:dyDescent="0.25">
      <c r="A14" s="12">
        <v>0.22916666666666666</v>
      </c>
      <c r="B14" s="6">
        <v>1.5631036758422852E-4</v>
      </c>
      <c r="C14" s="6">
        <v>0.62489331035614004</v>
      </c>
      <c r="D14" s="6">
        <v>0</v>
      </c>
      <c r="E14" s="6">
        <v>0.32143282842636106</v>
      </c>
      <c r="F14" s="6">
        <v>4.7626475399971016</v>
      </c>
      <c r="G14" s="6">
        <v>0.85173569774627689</v>
      </c>
      <c r="H14" s="6">
        <v>3.6606981055259711</v>
      </c>
      <c r="I14" s="6">
        <v>0</v>
      </c>
      <c r="J14" s="6">
        <f t="shared" si="0"/>
        <v>10.221563792419435</v>
      </c>
      <c r="L14" s="12">
        <v>0.22916666666666666</v>
      </c>
      <c r="M14" s="9">
        <v>16.690505027770996</v>
      </c>
      <c r="N14" s="9">
        <v>0</v>
      </c>
      <c r="O14" s="9">
        <v>0</v>
      </c>
      <c r="P14" s="9">
        <v>0</v>
      </c>
      <c r="Q14" s="9">
        <v>71.308403968811035</v>
      </c>
      <c r="R14" s="9">
        <v>93.459734916687012</v>
      </c>
      <c r="S14" s="9">
        <v>163.63339996337891</v>
      </c>
      <c r="T14" s="9">
        <v>0</v>
      </c>
      <c r="U14">
        <f t="shared" si="1"/>
        <v>345.09204387664795</v>
      </c>
    </row>
    <row r="15" spans="1:26" x14ac:dyDescent="0.25">
      <c r="A15" s="12">
        <v>0.25</v>
      </c>
      <c r="B15" s="6">
        <v>3.1262073516845697E-3</v>
      </c>
      <c r="C15" s="6">
        <v>3.0548192656517021</v>
      </c>
      <c r="D15" s="6">
        <v>0</v>
      </c>
      <c r="E15" s="6">
        <v>1.7283667605400086</v>
      </c>
      <c r="F15" s="6">
        <v>10.494924405860901</v>
      </c>
      <c r="G15" s="6">
        <v>3.9225094835281373</v>
      </c>
      <c r="H15" s="6">
        <v>12.400179541873934</v>
      </c>
      <c r="I15" s="6">
        <v>0</v>
      </c>
      <c r="J15" s="6">
        <f t="shared" si="0"/>
        <v>31.603925664806368</v>
      </c>
      <c r="L15" s="12">
        <v>0.25</v>
      </c>
      <c r="M15" s="9">
        <v>31.596961975097656</v>
      </c>
      <c r="N15" s="9">
        <v>0</v>
      </c>
      <c r="O15" s="9">
        <v>0</v>
      </c>
      <c r="P15" s="9">
        <v>0</v>
      </c>
      <c r="Q15" s="9">
        <v>141.73843002319336</v>
      </c>
      <c r="R15" s="9">
        <v>176.12754344940186</v>
      </c>
      <c r="S15" s="9">
        <v>344.67095375061035</v>
      </c>
      <c r="T15" s="9">
        <v>0</v>
      </c>
      <c r="U15">
        <f t="shared" si="1"/>
        <v>694.13388919830322</v>
      </c>
    </row>
    <row r="16" spans="1:26" x14ac:dyDescent="0.25">
      <c r="A16" s="12">
        <v>0.27083333333333331</v>
      </c>
      <c r="B16" s="6">
        <v>2.9931696605682373E-2</v>
      </c>
      <c r="C16" s="6">
        <v>11.719288545894621</v>
      </c>
      <c r="D16" s="6">
        <v>0</v>
      </c>
      <c r="E16" s="6">
        <v>7.0322754704475399</v>
      </c>
      <c r="F16" s="6">
        <v>34.506378589439393</v>
      </c>
      <c r="G16" s="6">
        <v>13.648997086429596</v>
      </c>
      <c r="H16" s="6">
        <v>33.217044653701784</v>
      </c>
      <c r="I16" s="6">
        <v>0</v>
      </c>
      <c r="J16" s="6">
        <f t="shared" si="0"/>
        <v>100.1539160425186</v>
      </c>
      <c r="L16" s="12">
        <v>0.27083333333333331</v>
      </c>
      <c r="M16" s="9">
        <v>54.144257545471191</v>
      </c>
      <c r="N16" s="9">
        <v>0</v>
      </c>
      <c r="O16" s="9">
        <v>0</v>
      </c>
      <c r="P16" s="9">
        <v>0</v>
      </c>
      <c r="Q16" s="9">
        <v>251.28532218933105</v>
      </c>
      <c r="R16" s="9">
        <v>285.67617893218994</v>
      </c>
      <c r="S16" s="9">
        <v>632.86250877380371</v>
      </c>
      <c r="T16" s="9">
        <v>0</v>
      </c>
      <c r="U16">
        <f t="shared" si="1"/>
        <v>1223.9682674407959</v>
      </c>
    </row>
    <row r="17" spans="1:21" x14ac:dyDescent="0.25">
      <c r="A17" s="12">
        <v>0.29166666666666669</v>
      </c>
      <c r="B17" s="6">
        <v>0.18306187057495119</v>
      </c>
      <c r="C17" s="6">
        <v>35.912375983333575</v>
      </c>
      <c r="D17" s="6">
        <v>3.5665893554687498E-4</v>
      </c>
      <c r="E17" s="6">
        <v>22.6604187666893</v>
      </c>
      <c r="F17" s="6">
        <v>104.32447645378114</v>
      </c>
      <c r="G17" s="6">
        <v>37.289503863620766</v>
      </c>
      <c r="H17" s="6">
        <v>73.028622214984892</v>
      </c>
      <c r="I17" s="6">
        <v>0</v>
      </c>
      <c r="J17" s="6">
        <f t="shared" si="0"/>
        <v>273.39881581192014</v>
      </c>
      <c r="L17" s="12">
        <v>0.29166666666666669</v>
      </c>
      <c r="M17" s="9">
        <v>83.072422981262207</v>
      </c>
      <c r="N17" s="9">
        <v>0</v>
      </c>
      <c r="O17" s="9">
        <v>0</v>
      </c>
      <c r="P17" s="9">
        <v>0</v>
      </c>
      <c r="Q17" s="9">
        <v>397.95459079742432</v>
      </c>
      <c r="R17" s="9">
        <v>407.35695457458496</v>
      </c>
      <c r="S17" s="9">
        <v>1035.2525901794434</v>
      </c>
      <c r="T17" s="9">
        <v>0</v>
      </c>
      <c r="U17">
        <f t="shared" si="1"/>
        <v>1923.6365585327148</v>
      </c>
    </row>
    <row r="18" spans="1:21" x14ac:dyDescent="0.25">
      <c r="A18" s="12">
        <v>0.3125</v>
      </c>
      <c r="B18" s="6">
        <v>0.80594941568374634</v>
      </c>
      <c r="C18" s="6">
        <v>89.634963933086382</v>
      </c>
      <c r="D18" s="6">
        <v>7.1331787109374994E-3</v>
      </c>
      <c r="E18" s="6">
        <v>59.879077560329442</v>
      </c>
      <c r="F18" s="6">
        <v>262.54247055139547</v>
      </c>
      <c r="G18" s="6">
        <v>82.139674319171917</v>
      </c>
      <c r="H18" s="6">
        <v>137.58430581731798</v>
      </c>
      <c r="I18" s="6">
        <v>0</v>
      </c>
      <c r="J18" s="6">
        <f t="shared" si="0"/>
        <v>632.59357477569586</v>
      </c>
      <c r="L18" s="12">
        <v>0.3125</v>
      </c>
      <c r="M18" s="9">
        <v>116.29677391052246</v>
      </c>
      <c r="N18" s="9">
        <v>0</v>
      </c>
      <c r="O18" s="9">
        <v>0</v>
      </c>
      <c r="P18" s="9">
        <v>0</v>
      </c>
      <c r="Q18" s="9">
        <v>574.10785102844238</v>
      </c>
      <c r="R18" s="9">
        <v>525.27157115936279</v>
      </c>
      <c r="S18" s="9">
        <v>1545.8286151885986</v>
      </c>
      <c r="T18" s="9">
        <v>0</v>
      </c>
      <c r="U18">
        <f t="shared" si="1"/>
        <v>2761.5048112869263</v>
      </c>
    </row>
    <row r="19" spans="1:21" x14ac:dyDescent="0.25">
      <c r="A19" s="12">
        <v>0.33333333333333331</v>
      </c>
      <c r="B19" s="6">
        <v>2.7324041625022888</v>
      </c>
      <c r="C19" s="6">
        <v>185.96816043834684</v>
      </c>
      <c r="D19" s="6">
        <v>6.7765197753906228E-2</v>
      </c>
      <c r="E19" s="6">
        <v>133.62985375766755</v>
      </c>
      <c r="F19" s="6">
        <v>548.40090091257105</v>
      </c>
      <c r="G19" s="6">
        <v>149.00274042167663</v>
      </c>
      <c r="H19" s="6">
        <v>235.46237697534562</v>
      </c>
      <c r="I19" s="6">
        <v>0</v>
      </c>
      <c r="J19" s="6">
        <f t="shared" si="0"/>
        <v>1255.2642018658639</v>
      </c>
      <c r="L19" s="12">
        <v>0.33333333333333331</v>
      </c>
      <c r="M19" s="9">
        <v>152.33406925201416</v>
      </c>
      <c r="N19" s="9">
        <v>0</v>
      </c>
      <c r="O19" s="9">
        <v>0</v>
      </c>
      <c r="P19" s="9">
        <v>0</v>
      </c>
      <c r="Q19" s="9">
        <v>772.12564468383789</v>
      </c>
      <c r="R19" s="9">
        <v>634.48249244689941</v>
      </c>
      <c r="S19" s="9">
        <v>2159.2681303024292</v>
      </c>
      <c r="T19" s="9">
        <v>0</v>
      </c>
      <c r="U19">
        <f t="shared" si="1"/>
        <v>3718.2103366851807</v>
      </c>
    </row>
    <row r="20" spans="1:21" x14ac:dyDescent="0.25">
      <c r="A20" s="12">
        <v>0.35416666666666669</v>
      </c>
      <c r="B20" s="6">
        <v>7.4625643754005431</v>
      </c>
      <c r="C20" s="6">
        <v>327.88269949760434</v>
      </c>
      <c r="D20" s="6">
        <v>0.40659118652343745</v>
      </c>
      <c r="E20" s="6">
        <v>258.52848039503095</v>
      </c>
      <c r="F20" s="6">
        <v>960.95652523784656</v>
      </c>
      <c r="G20" s="6">
        <v>227.42472395505905</v>
      </c>
      <c r="H20" s="6">
        <v>391.38718263254168</v>
      </c>
      <c r="I20" s="6">
        <v>0</v>
      </c>
      <c r="J20" s="6">
        <f t="shared" si="0"/>
        <v>2174.0487672800064</v>
      </c>
      <c r="L20" s="12">
        <v>0.35416666666666669</v>
      </c>
      <c r="M20" s="9">
        <v>191.02802085876465</v>
      </c>
      <c r="N20" s="9">
        <v>0</v>
      </c>
      <c r="O20" s="9">
        <v>0</v>
      </c>
      <c r="P20" s="9">
        <v>0</v>
      </c>
      <c r="Q20" s="9">
        <v>988.4741849899292</v>
      </c>
      <c r="R20" s="9">
        <v>745.46633720397949</v>
      </c>
      <c r="S20" s="9">
        <v>2880.9203128814697</v>
      </c>
      <c r="T20" s="9">
        <v>0</v>
      </c>
      <c r="U20">
        <f t="shared" si="1"/>
        <v>4805.8888559341431</v>
      </c>
    </row>
    <row r="21" spans="1:21" x14ac:dyDescent="0.25">
      <c r="A21" s="12">
        <v>0.375</v>
      </c>
      <c r="B21" s="6">
        <v>16.982119935798647</v>
      </c>
      <c r="C21" s="6">
        <v>503.81767123661041</v>
      </c>
      <c r="D21" s="6">
        <v>1.7280125427246091</v>
      </c>
      <c r="E21" s="6">
        <v>443.53850783348071</v>
      </c>
      <c r="F21" s="6">
        <v>1431.0497252874377</v>
      </c>
      <c r="G21" s="6">
        <v>300.82314511566165</v>
      </c>
      <c r="H21" s="6">
        <v>657.65454725408563</v>
      </c>
      <c r="I21" s="6">
        <v>0</v>
      </c>
      <c r="J21" s="6">
        <f t="shared" si="0"/>
        <v>3355.5937292057993</v>
      </c>
      <c r="L21" s="12">
        <v>0.375</v>
      </c>
      <c r="M21" s="9">
        <v>232.7371826171875</v>
      </c>
      <c r="N21" s="9">
        <v>0</v>
      </c>
      <c r="O21" s="9">
        <v>0</v>
      </c>
      <c r="P21" s="9">
        <v>0</v>
      </c>
      <c r="Q21" s="9">
        <v>1221.3727235794067</v>
      </c>
      <c r="R21" s="9">
        <v>876.33860206604004</v>
      </c>
      <c r="S21" s="9">
        <v>3719.0199146270752</v>
      </c>
      <c r="T21" s="9">
        <v>0</v>
      </c>
      <c r="U21">
        <f t="shared" si="1"/>
        <v>6049.4684228897095</v>
      </c>
    </row>
    <row r="22" spans="1:21" x14ac:dyDescent="0.25">
      <c r="A22" s="12">
        <v>0.39583333333333331</v>
      </c>
      <c r="B22" s="6">
        <v>33.080975211811065</v>
      </c>
      <c r="C22" s="6">
        <v>694.30900780258185</v>
      </c>
      <c r="D22" s="6">
        <v>5.5296401367187498</v>
      </c>
      <c r="E22" s="6">
        <v>687.04019447460166</v>
      </c>
      <c r="F22" s="6">
        <v>1839.5129523013118</v>
      </c>
      <c r="G22" s="6">
        <v>362.1426902593613</v>
      </c>
      <c r="H22" s="6">
        <v>1100.4944055635453</v>
      </c>
      <c r="I22" s="6">
        <v>0</v>
      </c>
      <c r="J22" s="6">
        <f t="shared" si="0"/>
        <v>4722.1098657499315</v>
      </c>
      <c r="L22" s="12">
        <v>0.39583333333333331</v>
      </c>
      <c r="M22" s="9">
        <v>276.76557064056396</v>
      </c>
      <c r="N22" s="9">
        <v>0</v>
      </c>
      <c r="O22" s="9">
        <v>0</v>
      </c>
      <c r="P22" s="9">
        <v>0</v>
      </c>
      <c r="Q22" s="9">
        <v>1464.0586280822754</v>
      </c>
      <c r="R22" s="9">
        <v>1039.7094230651855</v>
      </c>
      <c r="S22" s="9">
        <v>4664.3852548599243</v>
      </c>
      <c r="T22" s="9">
        <v>0</v>
      </c>
      <c r="U22">
        <f t="shared" si="1"/>
        <v>7444.9188766479492</v>
      </c>
    </row>
    <row r="23" spans="1:21" x14ac:dyDescent="0.25">
      <c r="A23" s="12">
        <v>0.41666666666666669</v>
      </c>
      <c r="B23" s="6">
        <v>56.377951146984103</v>
      </c>
      <c r="C23" s="6">
        <v>883.84844133529668</v>
      </c>
      <c r="D23" s="6">
        <v>13.824100341796871</v>
      </c>
      <c r="E23" s="6">
        <v>973.80209497938142</v>
      </c>
      <c r="F23" s="6">
        <v>2083.4198142577175</v>
      </c>
      <c r="G23" s="6">
        <v>428.57046667547229</v>
      </c>
      <c r="H23" s="6">
        <v>1756.2187884220125</v>
      </c>
      <c r="I23" s="6">
        <v>0</v>
      </c>
      <c r="J23" s="6">
        <f t="shared" si="0"/>
        <v>6196.0616571586615</v>
      </c>
      <c r="L23" s="12">
        <v>0.41666666666666669</v>
      </c>
      <c r="M23" s="9">
        <v>320.80315494537354</v>
      </c>
      <c r="N23" s="9">
        <v>0</v>
      </c>
      <c r="O23" s="9">
        <v>0</v>
      </c>
      <c r="P23" s="9">
        <v>0</v>
      </c>
      <c r="Q23" s="9">
        <v>1701.4072170257568</v>
      </c>
      <c r="R23" s="9">
        <v>1235.7499523162842</v>
      </c>
      <c r="S23" s="9">
        <v>5680.3534917831421</v>
      </c>
      <c r="T23" s="9">
        <v>0</v>
      </c>
      <c r="U23">
        <f t="shared" si="1"/>
        <v>8938.3138160705566</v>
      </c>
    </row>
    <row r="24" spans="1:21" x14ac:dyDescent="0.25">
      <c r="A24" s="12">
        <v>0.4375</v>
      </c>
      <c r="B24" s="6">
        <v>85.467070274257665</v>
      </c>
      <c r="C24" s="6">
        <v>1065.8362285685539</v>
      </c>
      <c r="D24" s="6">
        <v>27.64820068359375</v>
      </c>
      <c r="E24" s="6">
        <v>1278.3192971339226</v>
      </c>
      <c r="F24" s="6">
        <v>2138.2209301382068</v>
      </c>
      <c r="G24" s="6">
        <v>544.17649425058369</v>
      </c>
      <c r="H24" s="6">
        <v>2602.8798859202384</v>
      </c>
      <c r="I24" s="6">
        <v>0</v>
      </c>
      <c r="J24" s="6">
        <f t="shared" si="0"/>
        <v>7742.548106969356</v>
      </c>
      <c r="L24" s="12">
        <v>0.4375</v>
      </c>
      <c r="M24" s="9">
        <v>362.23703670501709</v>
      </c>
      <c r="N24" s="9">
        <v>0</v>
      </c>
      <c r="O24" s="9">
        <v>0</v>
      </c>
      <c r="P24" s="9">
        <v>0</v>
      </c>
      <c r="Q24" s="9">
        <v>1915.0268049240112</v>
      </c>
      <c r="R24" s="9">
        <v>1456.4241600036621</v>
      </c>
      <c r="S24" s="9">
        <v>6718.365252494812</v>
      </c>
      <c r="T24" s="9">
        <v>0</v>
      </c>
      <c r="U24">
        <f t="shared" si="1"/>
        <v>10452.053254127502</v>
      </c>
    </row>
    <row r="25" spans="1:21" x14ac:dyDescent="0.25">
      <c r="A25" s="12">
        <v>0.45833333333333331</v>
      </c>
      <c r="B25" s="6">
        <v>116.58820682621004</v>
      </c>
      <c r="C25" s="6">
        <v>1238.8865344513893</v>
      </c>
      <c r="D25" s="6">
        <v>44.928326110839841</v>
      </c>
      <c r="E25" s="6">
        <v>1580.023336274719</v>
      </c>
      <c r="F25" s="6">
        <v>2059.2069576270105</v>
      </c>
      <c r="G25" s="6">
        <v>775.92419344291682</v>
      </c>
      <c r="H25" s="6">
        <v>3629.5876520607944</v>
      </c>
      <c r="I25" s="6">
        <v>0</v>
      </c>
      <c r="J25" s="6">
        <f t="shared" si="0"/>
        <v>9445.1452067938808</v>
      </c>
      <c r="L25" s="12">
        <v>0.45833333333333331</v>
      </c>
      <c r="M25" s="9">
        <v>400.37630653381348</v>
      </c>
      <c r="N25" s="9">
        <v>0</v>
      </c>
      <c r="O25" s="9">
        <v>0</v>
      </c>
      <c r="P25" s="9">
        <v>0</v>
      </c>
      <c r="Q25" s="9">
        <v>2093.6476402282715</v>
      </c>
      <c r="R25" s="9">
        <v>1695.9169702529907</v>
      </c>
      <c r="S25" s="9">
        <v>7750.6174955368042</v>
      </c>
      <c r="T25" s="9">
        <v>0</v>
      </c>
      <c r="U25">
        <f t="shared" si="1"/>
        <v>11940.55841255188</v>
      </c>
    </row>
    <row r="26" spans="1:21" x14ac:dyDescent="0.25">
      <c r="A26" s="12">
        <v>0.47916666666666669</v>
      </c>
      <c r="B26" s="6">
        <v>144.38985395593647</v>
      </c>
      <c r="C26" s="6">
        <v>1404.2245616401674</v>
      </c>
      <c r="D26" s="6">
        <v>59.904434814453126</v>
      </c>
      <c r="E26" s="6">
        <v>1884.1933400957107</v>
      </c>
      <c r="F26" s="6">
        <v>1926.3729774683</v>
      </c>
      <c r="G26" s="6">
        <v>1216.8436448219297</v>
      </c>
      <c r="H26" s="6">
        <v>5038.9297717943182</v>
      </c>
      <c r="I26" s="6">
        <v>0</v>
      </c>
      <c r="J26" s="6">
        <f t="shared" si="0"/>
        <v>11674.858584590816</v>
      </c>
      <c r="L26" s="12">
        <v>0.47916666666666669</v>
      </c>
      <c r="M26" s="9">
        <v>438.23714923858643</v>
      </c>
      <c r="N26" s="9">
        <v>0</v>
      </c>
      <c r="O26" s="9">
        <v>0</v>
      </c>
      <c r="P26" s="9">
        <v>0</v>
      </c>
      <c r="Q26" s="9">
        <v>2242.516058921814</v>
      </c>
      <c r="R26" s="9">
        <v>1960.9045400619507</v>
      </c>
      <c r="S26" s="9">
        <v>8805.7170295715332</v>
      </c>
      <c r="T26" s="9">
        <v>0</v>
      </c>
      <c r="U26">
        <f t="shared" si="1"/>
        <v>13447.374777793884</v>
      </c>
    </row>
    <row r="27" spans="1:21" x14ac:dyDescent="0.25">
      <c r="A27" s="12">
        <v>0.5</v>
      </c>
      <c r="B27" s="6">
        <v>164.57265014734273</v>
      </c>
      <c r="C27" s="6">
        <v>1567.3436367721556</v>
      </c>
      <c r="D27" s="6">
        <v>65.894878295898437</v>
      </c>
      <c r="E27" s="6">
        <v>2224.8970084403991</v>
      </c>
      <c r="F27" s="6">
        <v>1791.3577971722602</v>
      </c>
      <c r="G27" s="6">
        <v>1985.5550310129167</v>
      </c>
      <c r="H27" s="6">
        <v>7468.8567722146981</v>
      </c>
      <c r="I27" s="6">
        <v>0</v>
      </c>
      <c r="J27" s="6">
        <f t="shared" si="0"/>
        <v>15268.477774055671</v>
      </c>
      <c r="L27" s="12">
        <v>0.5</v>
      </c>
      <c r="M27" s="9">
        <v>484.12719440460205</v>
      </c>
      <c r="N27" s="9">
        <v>0</v>
      </c>
      <c r="O27" s="9">
        <v>0</v>
      </c>
      <c r="P27" s="9">
        <v>0</v>
      </c>
      <c r="Q27" s="9">
        <v>2391.5111064910889</v>
      </c>
      <c r="R27" s="9">
        <v>2282.4390411376953</v>
      </c>
      <c r="S27" s="9">
        <v>10016.083926200867</v>
      </c>
      <c r="T27" s="9">
        <v>0</v>
      </c>
      <c r="U27">
        <f t="shared" si="1"/>
        <v>15174.161268234253</v>
      </c>
    </row>
    <row r="28" spans="1:21" x14ac:dyDescent="0.25">
      <c r="A28" s="12">
        <v>0.52083333333333337</v>
      </c>
      <c r="B28" s="6">
        <v>178.10156243057253</v>
      </c>
      <c r="C28" s="6">
        <v>1734.2340971530916</v>
      </c>
      <c r="D28" s="6">
        <v>59.904434814453126</v>
      </c>
      <c r="E28" s="6">
        <v>2630.9506491300581</v>
      </c>
      <c r="F28" s="6">
        <v>1669.4001998752594</v>
      </c>
      <c r="G28" s="6">
        <v>3177.1733963885313</v>
      </c>
      <c r="H28" s="6">
        <v>11960.175763046933</v>
      </c>
      <c r="I28" s="6">
        <v>0</v>
      </c>
      <c r="J28" s="6">
        <f t="shared" si="0"/>
        <v>21409.940102838897</v>
      </c>
      <c r="L28" s="12">
        <v>0.52083333333333337</v>
      </c>
      <c r="M28" s="9">
        <v>553.83011722564697</v>
      </c>
      <c r="N28" s="9">
        <v>0</v>
      </c>
      <c r="O28" s="9">
        <v>0</v>
      </c>
      <c r="P28" s="9">
        <v>0</v>
      </c>
      <c r="Q28" s="9">
        <v>2604.4340791702271</v>
      </c>
      <c r="R28" s="9">
        <v>2732.8814649581909</v>
      </c>
      <c r="S28" s="9">
        <v>11684.300252914429</v>
      </c>
      <c r="T28" s="9">
        <v>0</v>
      </c>
      <c r="U28">
        <f t="shared" si="1"/>
        <v>17575.445914268494</v>
      </c>
    </row>
    <row r="29" spans="1:21" x14ac:dyDescent="0.25">
      <c r="A29" s="12">
        <v>0.54166666666666663</v>
      </c>
      <c r="B29" s="6">
        <v>193.60951641807557</v>
      </c>
      <c r="C29" s="6">
        <v>1897.9908105522156</v>
      </c>
      <c r="D29" s="6">
        <v>44.928326110839841</v>
      </c>
      <c r="E29" s="6">
        <v>3073.0929308041568</v>
      </c>
      <c r="F29" s="6">
        <v>1562.4933655867576</v>
      </c>
      <c r="G29" s="6">
        <v>4744.1571378466615</v>
      </c>
      <c r="H29" s="6">
        <v>19417.818440621471</v>
      </c>
      <c r="I29" s="6">
        <v>0</v>
      </c>
      <c r="J29" s="6">
        <f t="shared" si="0"/>
        <v>30934.090527940178</v>
      </c>
      <c r="L29" s="12">
        <v>0.54166666666666663</v>
      </c>
      <c r="M29" s="9">
        <v>670.50372505187988</v>
      </c>
      <c r="N29" s="9">
        <v>0</v>
      </c>
      <c r="O29" s="9">
        <v>0</v>
      </c>
      <c r="P29" s="9">
        <v>0</v>
      </c>
      <c r="Q29" s="9">
        <v>2977.7629384994507</v>
      </c>
      <c r="R29" s="9">
        <v>3430.4848966598511</v>
      </c>
      <c r="S29" s="9">
        <v>14293.509973526001</v>
      </c>
      <c r="T29" s="9">
        <v>0</v>
      </c>
      <c r="U29">
        <f t="shared" si="1"/>
        <v>21372.261533737183</v>
      </c>
    </row>
    <row r="30" spans="1:21" x14ac:dyDescent="0.25">
      <c r="A30" s="12">
        <v>0.5625</v>
      </c>
      <c r="B30" s="6">
        <v>222.93732350015642</v>
      </c>
      <c r="C30" s="6">
        <v>2029.7663601949694</v>
      </c>
      <c r="D30" s="6">
        <v>27.648200683593746</v>
      </c>
      <c r="E30" s="6">
        <v>3444.6521151687625</v>
      </c>
      <c r="F30" s="6">
        <v>1475.6054369934081</v>
      </c>
      <c r="G30" s="6">
        <v>6385.7277475615501</v>
      </c>
      <c r="H30" s="6">
        <v>29669.05181956253</v>
      </c>
      <c r="I30" s="6">
        <v>0</v>
      </c>
      <c r="J30" s="6">
        <f t="shared" si="0"/>
        <v>43255.389003664968</v>
      </c>
      <c r="L30" s="12">
        <v>0.5625</v>
      </c>
      <c r="M30" s="9">
        <v>855.04376316070557</v>
      </c>
      <c r="N30" s="9">
        <v>0</v>
      </c>
      <c r="O30" s="9">
        <v>0</v>
      </c>
      <c r="P30" s="9">
        <v>0</v>
      </c>
      <c r="Q30" s="9">
        <v>3600.4541921615601</v>
      </c>
      <c r="R30" s="9">
        <v>4489.733494758606</v>
      </c>
      <c r="S30" s="9">
        <v>18299.531366348267</v>
      </c>
      <c r="T30" s="9">
        <v>0</v>
      </c>
      <c r="U30">
        <f t="shared" si="1"/>
        <v>27244.762816429138</v>
      </c>
    </row>
    <row r="31" spans="1:21" x14ac:dyDescent="0.25">
      <c r="A31" s="12">
        <v>0.58333333333333337</v>
      </c>
      <c r="B31" s="6">
        <v>269.71938549098968</v>
      </c>
      <c r="C31" s="6">
        <v>2089.8367832913405</v>
      </c>
      <c r="D31" s="6">
        <v>13.824100341796873</v>
      </c>
      <c r="E31" s="6">
        <v>3611.3699510520937</v>
      </c>
      <c r="F31" s="6">
        <v>1412.6318288316727</v>
      </c>
      <c r="G31" s="6">
        <v>7593.3593096224795</v>
      </c>
      <c r="H31" s="6">
        <v>40759.861741717054</v>
      </c>
      <c r="I31" s="6">
        <v>0</v>
      </c>
      <c r="J31" s="6">
        <f t="shared" si="0"/>
        <v>55750.603100347427</v>
      </c>
      <c r="L31" s="12">
        <v>0.58333333333333337</v>
      </c>
      <c r="M31" s="9">
        <v>1104.954888343811</v>
      </c>
      <c r="N31" s="9">
        <v>0</v>
      </c>
      <c r="O31" s="9">
        <v>0</v>
      </c>
      <c r="P31" s="9">
        <v>0</v>
      </c>
      <c r="Q31" s="9">
        <v>4467.8574085235596</v>
      </c>
      <c r="R31" s="9">
        <v>5903.0297708511353</v>
      </c>
      <c r="S31" s="9">
        <v>23660.41227722168</v>
      </c>
      <c r="T31" s="9">
        <v>0</v>
      </c>
      <c r="U31">
        <f t="shared" si="1"/>
        <v>35136.254344940186</v>
      </c>
    </row>
    <row r="32" spans="1:21" x14ac:dyDescent="0.25">
      <c r="A32" s="12">
        <v>0.60416666666666663</v>
      </c>
      <c r="B32" s="6">
        <v>320.548958007431</v>
      </c>
      <c r="C32" s="6">
        <v>2053.0650486558916</v>
      </c>
      <c r="D32" s="6">
        <v>5.5296401367187489</v>
      </c>
      <c r="E32" s="6">
        <v>3501.5915082696915</v>
      </c>
      <c r="F32" s="6">
        <v>1367.8463760158538</v>
      </c>
      <c r="G32" s="6">
        <v>7902.2168747035039</v>
      </c>
      <c r="H32" s="6">
        <v>49315.497670888704</v>
      </c>
      <c r="I32" s="6">
        <v>0</v>
      </c>
      <c r="J32" s="6">
        <f t="shared" si="0"/>
        <v>64466.296076677798</v>
      </c>
      <c r="L32" s="12">
        <v>0.60416666666666663</v>
      </c>
      <c r="M32" s="9">
        <v>1376.7142314910889</v>
      </c>
      <c r="N32" s="9">
        <v>0</v>
      </c>
      <c r="O32" s="9">
        <v>0</v>
      </c>
      <c r="P32" s="9">
        <v>0</v>
      </c>
      <c r="Q32" s="9">
        <v>5409.533745765686</v>
      </c>
      <c r="R32" s="9">
        <v>7432.8667116165161</v>
      </c>
      <c r="S32" s="9">
        <v>29425.289489746094</v>
      </c>
      <c r="T32" s="9">
        <v>0</v>
      </c>
      <c r="U32">
        <f t="shared" si="1"/>
        <v>43644.404178619385</v>
      </c>
    </row>
    <row r="33" spans="1:21" x14ac:dyDescent="0.25">
      <c r="A33" s="12">
        <v>0.625</v>
      </c>
      <c r="B33" s="6">
        <v>350.33926685361854</v>
      </c>
      <c r="C33" s="6">
        <v>1924.7718226615907</v>
      </c>
      <c r="D33" s="6">
        <v>1.7283263646125793</v>
      </c>
      <c r="E33" s="6">
        <v>3160.1135920379643</v>
      </c>
      <c r="F33" s="6">
        <v>1328.4289486397743</v>
      </c>
      <c r="G33" s="6">
        <v>7185.4452076935777</v>
      </c>
      <c r="H33" s="6">
        <v>52147.49823154974</v>
      </c>
      <c r="I33" s="6">
        <v>0</v>
      </c>
      <c r="J33" s="6">
        <f t="shared" si="0"/>
        <v>66098.325395800872</v>
      </c>
      <c r="L33" s="12">
        <v>0.625</v>
      </c>
      <c r="M33" s="9">
        <v>1595.8524503707886</v>
      </c>
      <c r="N33" s="9">
        <v>0</v>
      </c>
      <c r="O33" s="9">
        <v>0</v>
      </c>
      <c r="P33" s="9">
        <v>0</v>
      </c>
      <c r="Q33" s="9">
        <v>6126.6639204025269</v>
      </c>
      <c r="R33" s="9">
        <v>8650.7223424911499</v>
      </c>
      <c r="S33" s="9">
        <v>33912.897528648376</v>
      </c>
      <c r="T33" s="9">
        <v>0</v>
      </c>
      <c r="U33">
        <f t="shared" si="1"/>
        <v>50286.136241912842</v>
      </c>
    </row>
    <row r="34" spans="1:21" x14ac:dyDescent="0.25">
      <c r="A34" s="12">
        <v>0.64583333333333337</v>
      </c>
      <c r="B34" s="6">
        <v>340.58991089954367</v>
      </c>
      <c r="C34" s="6">
        <v>1732.213328077793</v>
      </c>
      <c r="D34" s="6">
        <v>0.41328890295028686</v>
      </c>
      <c r="E34" s="6">
        <v>2716.7100322480205</v>
      </c>
      <c r="F34" s="6">
        <v>1285.4364353883741</v>
      </c>
      <c r="G34" s="6">
        <v>5741.6451140406607</v>
      </c>
      <c r="H34" s="6">
        <v>48142.522354346176</v>
      </c>
      <c r="I34" s="6">
        <v>0</v>
      </c>
      <c r="J34" s="6">
        <f t="shared" si="0"/>
        <v>59959.530463903517</v>
      </c>
      <c r="L34" s="12">
        <v>0.64583333333333337</v>
      </c>
      <c r="M34" s="9">
        <v>1698.8383207321167</v>
      </c>
      <c r="N34" s="9">
        <v>0</v>
      </c>
      <c r="O34" s="9">
        <v>0</v>
      </c>
      <c r="P34" s="9">
        <v>0</v>
      </c>
      <c r="Q34" s="9">
        <v>6356.1507911682129</v>
      </c>
      <c r="R34" s="9">
        <v>9157.1788635253906</v>
      </c>
      <c r="S34" s="9">
        <v>35594.750385284424</v>
      </c>
      <c r="T34" s="9">
        <v>0</v>
      </c>
      <c r="U34">
        <f t="shared" si="1"/>
        <v>52806.918360710144</v>
      </c>
    </row>
    <row r="35" spans="1:21" x14ac:dyDescent="0.25">
      <c r="A35" s="12">
        <v>0.66666666666666663</v>
      </c>
      <c r="B35" s="6">
        <v>294.05515948677055</v>
      </c>
      <c r="C35" s="6">
        <v>1503.6257573231696</v>
      </c>
      <c r="D35" s="6">
        <v>0.1358169298171997</v>
      </c>
      <c r="E35" s="6">
        <v>2300.9316758193972</v>
      </c>
      <c r="F35" s="6">
        <v>1240.3978091965673</v>
      </c>
      <c r="G35" s="6">
        <v>4097.4716013549805</v>
      </c>
      <c r="H35" s="6">
        <v>38958.352740818693</v>
      </c>
      <c r="I35" s="6">
        <v>0</v>
      </c>
      <c r="J35" s="6">
        <f t="shared" si="0"/>
        <v>48394.970560929396</v>
      </c>
      <c r="L35" s="12">
        <v>0.66666666666666663</v>
      </c>
      <c r="M35" s="9">
        <v>1674.9390382766724</v>
      </c>
      <c r="N35" s="9">
        <v>0</v>
      </c>
      <c r="O35" s="9">
        <v>0</v>
      </c>
      <c r="P35" s="9">
        <v>0</v>
      </c>
      <c r="Q35" s="9">
        <v>6039.1969785690308</v>
      </c>
      <c r="R35" s="9">
        <v>8822.6118278503418</v>
      </c>
      <c r="S35" s="9">
        <v>34033.759240150452</v>
      </c>
      <c r="T35" s="9">
        <v>0</v>
      </c>
      <c r="U35">
        <f t="shared" si="1"/>
        <v>50570.507084846497</v>
      </c>
    </row>
    <row r="36" spans="1:21" x14ac:dyDescent="0.25">
      <c r="A36" s="12">
        <v>0.6875</v>
      </c>
      <c r="B36" s="6">
        <v>231.75778457593913</v>
      </c>
      <c r="C36" s="6">
        <v>1258.0936992538452</v>
      </c>
      <c r="D36" s="6">
        <v>0.44493307781219477</v>
      </c>
      <c r="E36" s="6">
        <v>1979.7672711148266</v>
      </c>
      <c r="F36" s="6">
        <v>1201.0433685227395</v>
      </c>
      <c r="G36" s="6">
        <v>2699.1212980834007</v>
      </c>
      <c r="H36" s="6">
        <v>27932.773614474674</v>
      </c>
      <c r="I36" s="6">
        <v>0</v>
      </c>
      <c r="J36" s="6">
        <f t="shared" si="0"/>
        <v>35303.001969103236</v>
      </c>
      <c r="L36" s="12">
        <v>0.6875</v>
      </c>
      <c r="M36" s="9">
        <v>1568.5687627792358</v>
      </c>
      <c r="N36" s="9">
        <v>0</v>
      </c>
      <c r="O36" s="9">
        <v>0</v>
      </c>
      <c r="P36" s="9">
        <v>0</v>
      </c>
      <c r="Q36" s="9">
        <v>5341.8343706130981</v>
      </c>
      <c r="R36" s="9">
        <v>7835.8747310638428</v>
      </c>
      <c r="S36" s="9">
        <v>30044.3783826828</v>
      </c>
      <c r="T36" s="9">
        <v>0</v>
      </c>
      <c r="U36">
        <f t="shared" si="1"/>
        <v>44790.656247138977</v>
      </c>
    </row>
    <row r="37" spans="1:21" x14ac:dyDescent="0.25">
      <c r="A37" s="12">
        <v>0.70833333333333337</v>
      </c>
      <c r="B37" s="6">
        <v>177.02474785413739</v>
      </c>
      <c r="C37" s="6">
        <v>1011.8137392232894</v>
      </c>
      <c r="D37" s="6">
        <v>2.0010813870429995</v>
      </c>
      <c r="E37" s="6">
        <v>1757.2623572638513</v>
      </c>
      <c r="F37" s="6">
        <v>1172.1389767598153</v>
      </c>
      <c r="G37" s="6">
        <v>1730.1025249097825</v>
      </c>
      <c r="H37" s="6">
        <v>18130.348271963783</v>
      </c>
      <c r="I37" s="6">
        <v>0</v>
      </c>
      <c r="J37" s="6">
        <f t="shared" si="0"/>
        <v>23980.691699361701</v>
      </c>
      <c r="L37" s="12">
        <v>0.70833333333333337</v>
      </c>
      <c r="M37" s="9">
        <v>1439.7185840606689</v>
      </c>
      <c r="N37" s="9">
        <v>0</v>
      </c>
      <c r="O37" s="9">
        <v>0</v>
      </c>
      <c r="P37" s="9">
        <v>0</v>
      </c>
      <c r="Q37" s="9">
        <v>4514.5422639846802</v>
      </c>
      <c r="R37" s="9">
        <v>6533.3034410476685</v>
      </c>
      <c r="S37" s="9">
        <v>24984.00518321991</v>
      </c>
      <c r="T37" s="9">
        <v>0</v>
      </c>
      <c r="U37">
        <f t="shared" si="1"/>
        <v>37471.569472312927</v>
      </c>
    </row>
    <row r="38" spans="1:21" x14ac:dyDescent="0.25">
      <c r="A38" s="12">
        <v>0.72916666666666663</v>
      </c>
      <c r="B38" s="6">
        <v>143.19104909725189</v>
      </c>
      <c r="C38" s="6">
        <v>785.03248326444623</v>
      </c>
      <c r="D38" s="6">
        <v>6.9065896948814389</v>
      </c>
      <c r="E38" s="6">
        <v>1608.7022864144324</v>
      </c>
      <c r="F38" s="6">
        <v>1151.9393379022599</v>
      </c>
      <c r="G38" s="6">
        <v>1137.976347934723</v>
      </c>
      <c r="H38" s="6">
        <v>11043.892733878612</v>
      </c>
      <c r="I38" s="6">
        <v>0</v>
      </c>
      <c r="J38" s="6">
        <f t="shared" si="0"/>
        <v>15877.640828186608</v>
      </c>
      <c r="L38" s="12">
        <v>0.72916666666666663</v>
      </c>
      <c r="M38" s="9">
        <v>1321.3179368972778</v>
      </c>
      <c r="N38" s="9">
        <v>0</v>
      </c>
      <c r="O38" s="9">
        <v>0</v>
      </c>
      <c r="P38" s="9">
        <v>0</v>
      </c>
      <c r="Q38" s="9">
        <v>3731.103874206543</v>
      </c>
      <c r="R38" s="9">
        <v>5189.0758638381958</v>
      </c>
      <c r="S38" s="9">
        <v>19907.828381538391</v>
      </c>
      <c r="T38" s="9">
        <v>0</v>
      </c>
      <c r="U38">
        <f t="shared" si="1"/>
        <v>30149.326056480408</v>
      </c>
    </row>
    <row r="39" spans="1:21" x14ac:dyDescent="0.25">
      <c r="A39" s="12">
        <v>0.75</v>
      </c>
      <c r="B39" s="6">
        <v>133.65279693021773</v>
      </c>
      <c r="C39" s="6">
        <v>597.24869628982549</v>
      </c>
      <c r="D39" s="6">
        <v>18.695240837860108</v>
      </c>
      <c r="E39" s="6">
        <v>1504.7579592781067</v>
      </c>
      <c r="F39" s="6">
        <v>1137.3942841640473</v>
      </c>
      <c r="G39" s="6">
        <v>776.26375883836749</v>
      </c>
      <c r="H39" s="6">
        <v>6619.5790705793379</v>
      </c>
      <c r="I39" s="6">
        <v>0</v>
      </c>
      <c r="J39" s="6">
        <f t="shared" si="0"/>
        <v>10787.591806917762</v>
      </c>
      <c r="L39" s="12">
        <v>0.75</v>
      </c>
      <c r="M39" s="9">
        <v>1210.5421075820923</v>
      </c>
      <c r="N39" s="9">
        <v>0</v>
      </c>
      <c r="O39" s="9">
        <v>0</v>
      </c>
      <c r="P39" s="9">
        <v>0</v>
      </c>
      <c r="Q39" s="9">
        <v>3039.4850263595581</v>
      </c>
      <c r="R39" s="9">
        <v>3939.5455837249756</v>
      </c>
      <c r="S39" s="9">
        <v>15277.752130508423</v>
      </c>
      <c r="T39" s="9">
        <v>0</v>
      </c>
      <c r="U39">
        <f t="shared" si="1"/>
        <v>23467.324848175049</v>
      </c>
    </row>
    <row r="40" spans="1:21" x14ac:dyDescent="0.25">
      <c r="A40" s="12">
        <v>0.77083333333333337</v>
      </c>
      <c r="B40" s="6">
        <v>148.07420582342147</v>
      </c>
      <c r="C40" s="6">
        <v>457.14824634609226</v>
      </c>
      <c r="D40" s="6">
        <v>40.656233905792242</v>
      </c>
      <c r="E40" s="6">
        <v>1415.4342012407305</v>
      </c>
      <c r="F40" s="6">
        <v>1130.7228377635004</v>
      </c>
      <c r="G40" s="6">
        <v>525.99989706649774</v>
      </c>
      <c r="H40" s="6">
        <v>4073.6728349345208</v>
      </c>
      <c r="I40" s="6">
        <v>0</v>
      </c>
      <c r="J40" s="6">
        <f t="shared" si="0"/>
        <v>7791.7084570805555</v>
      </c>
      <c r="L40" s="12">
        <v>0.77083333333333337</v>
      </c>
      <c r="M40" s="9">
        <v>1092.3240022659302</v>
      </c>
      <c r="N40" s="9">
        <v>0</v>
      </c>
      <c r="O40" s="9">
        <v>0</v>
      </c>
      <c r="P40" s="9">
        <v>0</v>
      </c>
      <c r="Q40" s="9">
        <v>2422.427303314209</v>
      </c>
      <c r="R40" s="9">
        <v>2837.5590887069702</v>
      </c>
      <c r="S40" s="9">
        <v>11208.607167243958</v>
      </c>
      <c r="T40" s="9">
        <v>0</v>
      </c>
      <c r="U40">
        <f t="shared" si="1"/>
        <v>17560.917561531067</v>
      </c>
    </row>
    <row r="41" spans="1:21" x14ac:dyDescent="0.25">
      <c r="A41" s="12">
        <v>0.79166666666666663</v>
      </c>
      <c r="B41" s="6">
        <v>184.98300897140501</v>
      </c>
      <c r="C41" s="6">
        <v>359.90389806270599</v>
      </c>
      <c r="D41" s="6">
        <v>72.189665528297425</v>
      </c>
      <c r="E41" s="6">
        <v>1311.2676360937121</v>
      </c>
      <c r="F41" s="6">
        <v>1137.6460733077049</v>
      </c>
      <c r="G41" s="6">
        <v>334.81689741115565</v>
      </c>
      <c r="H41" s="6">
        <v>2624.3194970774648</v>
      </c>
      <c r="I41" s="6">
        <v>0</v>
      </c>
      <c r="J41" s="6">
        <f t="shared" si="0"/>
        <v>6025.1266764524462</v>
      </c>
      <c r="L41" s="12">
        <v>0.79166666666666663</v>
      </c>
      <c r="M41" s="9">
        <v>964.17837715148926</v>
      </c>
      <c r="N41" s="9">
        <v>0</v>
      </c>
      <c r="O41" s="9">
        <v>0</v>
      </c>
      <c r="P41" s="9">
        <v>0</v>
      </c>
      <c r="Q41" s="9">
        <v>1871.4859199523926</v>
      </c>
      <c r="R41" s="9">
        <v>1920.2719793319702</v>
      </c>
      <c r="S41" s="9">
        <v>7776.7912149429321</v>
      </c>
      <c r="T41" s="9">
        <v>0</v>
      </c>
      <c r="U41">
        <f t="shared" si="1"/>
        <v>12532.727491378784</v>
      </c>
    </row>
    <row r="42" spans="1:21" x14ac:dyDescent="0.25">
      <c r="A42" s="12">
        <v>0.8125</v>
      </c>
      <c r="B42" s="6">
        <v>238.7970039444923</v>
      </c>
      <c r="C42" s="6">
        <v>293.42004577131274</v>
      </c>
      <c r="D42" s="6">
        <v>105.77799804210663</v>
      </c>
      <c r="E42" s="6">
        <v>1171.330751258278</v>
      </c>
      <c r="F42" s="6">
        <v>1155.8434786884309</v>
      </c>
      <c r="G42" s="6">
        <v>194.51216185798643</v>
      </c>
      <c r="H42" s="6">
        <v>1761.5118957018854</v>
      </c>
      <c r="I42" s="6">
        <v>0</v>
      </c>
      <c r="J42" s="6">
        <f t="shared" si="0"/>
        <v>4921.1933352644919</v>
      </c>
      <c r="L42" s="12">
        <v>0.8125</v>
      </c>
      <c r="M42" s="9">
        <v>839.40605449676514</v>
      </c>
      <c r="N42" s="9">
        <v>0</v>
      </c>
      <c r="O42" s="9">
        <v>0</v>
      </c>
      <c r="P42" s="9">
        <v>0</v>
      </c>
      <c r="Q42" s="9">
        <v>1405.8466825485229</v>
      </c>
      <c r="R42" s="9">
        <v>1219.5023145675659</v>
      </c>
      <c r="S42" s="9">
        <v>5086.7397165298462</v>
      </c>
      <c r="T42" s="9">
        <v>0</v>
      </c>
      <c r="U42">
        <f t="shared" si="1"/>
        <v>8551.4947681427002</v>
      </c>
    </row>
    <row r="43" spans="1:21" x14ac:dyDescent="0.25">
      <c r="A43" s="12">
        <v>0.83333333333333337</v>
      </c>
      <c r="B43" s="6">
        <v>296.3116939290046</v>
      </c>
      <c r="C43" s="6">
        <v>245.72673143749239</v>
      </c>
      <c r="D43" s="6">
        <v>128.7384417186737</v>
      </c>
      <c r="E43" s="6">
        <v>991.0324420520783</v>
      </c>
      <c r="F43" s="6">
        <v>1163.8470439246178</v>
      </c>
      <c r="G43" s="6">
        <v>106.21784250965118</v>
      </c>
      <c r="H43" s="6">
        <v>1208.7571809031485</v>
      </c>
      <c r="I43" s="6">
        <v>0</v>
      </c>
      <c r="J43" s="6">
        <f t="shared" si="0"/>
        <v>4140.6313764746665</v>
      </c>
      <c r="L43" s="12">
        <v>0.83333333333333337</v>
      </c>
      <c r="M43" s="9">
        <v>733.55744552612305</v>
      </c>
      <c r="N43" s="9">
        <v>0</v>
      </c>
      <c r="O43" s="9">
        <v>0</v>
      </c>
      <c r="P43" s="9">
        <v>0</v>
      </c>
      <c r="Q43" s="9">
        <v>1046.8247947692871</v>
      </c>
      <c r="R43" s="9">
        <v>737.77164936065674</v>
      </c>
      <c r="S43" s="9">
        <v>3171.7206478118896</v>
      </c>
      <c r="T43" s="9">
        <v>0</v>
      </c>
      <c r="U43">
        <f t="shared" si="1"/>
        <v>5689.8745374679565</v>
      </c>
    </row>
    <row r="44" spans="1:21" x14ac:dyDescent="0.25">
      <c r="A44" s="12">
        <v>0.85416666666666663</v>
      </c>
      <c r="B44" s="6">
        <v>337.85019266605377</v>
      </c>
      <c r="C44" s="6">
        <v>208.06172649221423</v>
      </c>
      <c r="D44" s="6">
        <v>130.54328578681947</v>
      </c>
      <c r="E44" s="6">
        <v>782.868174698639</v>
      </c>
      <c r="F44" s="6">
        <v>1124.8183824745179</v>
      </c>
      <c r="G44" s="6">
        <v>62.913821991634364</v>
      </c>
      <c r="H44" s="6">
        <v>829.04750951166147</v>
      </c>
      <c r="I44" s="6">
        <v>0</v>
      </c>
      <c r="J44" s="6">
        <f t="shared" si="0"/>
        <v>3476.1030936215402</v>
      </c>
      <c r="L44" s="12">
        <v>0.85416666666666663</v>
      </c>
      <c r="M44" s="9">
        <v>653.13780689239502</v>
      </c>
      <c r="N44" s="9">
        <v>0</v>
      </c>
      <c r="O44" s="9">
        <v>0</v>
      </c>
      <c r="P44" s="9">
        <v>0</v>
      </c>
      <c r="Q44" s="9">
        <v>794.55387210845947</v>
      </c>
      <c r="R44" s="9">
        <v>439.40896892547607</v>
      </c>
      <c r="S44" s="9">
        <v>1932.6279277801514</v>
      </c>
      <c r="T44" s="9">
        <v>0</v>
      </c>
      <c r="U44">
        <f t="shared" si="1"/>
        <v>3819.7285757064819</v>
      </c>
    </row>
    <row r="45" spans="1:21" x14ac:dyDescent="0.25">
      <c r="A45" s="12">
        <v>0.875</v>
      </c>
      <c r="B45" s="6">
        <v>344.54893926334381</v>
      </c>
      <c r="C45" s="6">
        <v>174.5421775856972</v>
      </c>
      <c r="D45" s="6">
        <v>110.290108212471</v>
      </c>
      <c r="E45" s="6">
        <v>571.01510901241306</v>
      </c>
      <c r="F45" s="6">
        <v>1009.0252353729247</v>
      </c>
      <c r="G45" s="6">
        <v>50.492467966747284</v>
      </c>
      <c r="H45" s="6">
        <v>570.28634882078177</v>
      </c>
      <c r="I45" s="6">
        <v>0</v>
      </c>
      <c r="J45" s="6">
        <f t="shared" si="0"/>
        <v>2830.200386234379</v>
      </c>
      <c r="L45" s="12">
        <v>0.875</v>
      </c>
      <c r="M45" s="9">
        <v>595.47797584533691</v>
      </c>
      <c r="N45" s="9">
        <v>0</v>
      </c>
      <c r="O45" s="9">
        <v>0</v>
      </c>
      <c r="P45" s="9">
        <v>0</v>
      </c>
      <c r="Q45" s="9">
        <v>629.21170520782471</v>
      </c>
      <c r="R45" s="9">
        <v>268.98758029937744</v>
      </c>
      <c r="S45" s="9">
        <v>1185.7492723464966</v>
      </c>
      <c r="T45" s="9">
        <v>0</v>
      </c>
      <c r="U45">
        <f t="shared" si="1"/>
        <v>2679.4265336990356</v>
      </c>
    </row>
    <row r="46" spans="1:21" x14ac:dyDescent="0.25">
      <c r="A46" s="12">
        <v>0.89583333333333337</v>
      </c>
      <c r="B46" s="6">
        <v>308.56300432472233</v>
      </c>
      <c r="C46" s="6">
        <v>141.47263151683808</v>
      </c>
      <c r="D46" s="6">
        <v>77.395946494102461</v>
      </c>
      <c r="E46" s="6">
        <v>382.27593830785753</v>
      </c>
      <c r="F46" s="6">
        <v>819.09035315713879</v>
      </c>
      <c r="G46" s="6">
        <v>55.400119381809233</v>
      </c>
      <c r="H46" s="6">
        <v>429.42774171094891</v>
      </c>
      <c r="I46" s="6">
        <v>0</v>
      </c>
      <c r="J46" s="6">
        <f t="shared" si="0"/>
        <v>2213.6257348934173</v>
      </c>
      <c r="L46" s="12">
        <v>0.89583333333333337</v>
      </c>
      <c r="M46" s="9">
        <v>553.27788352966309</v>
      </c>
      <c r="N46" s="9">
        <v>0</v>
      </c>
      <c r="O46" s="9">
        <v>0</v>
      </c>
      <c r="P46" s="9">
        <v>0</v>
      </c>
      <c r="Q46" s="9">
        <v>524.44603824615479</v>
      </c>
      <c r="R46" s="9">
        <v>175.81254959106445</v>
      </c>
      <c r="S46" s="9">
        <v>750.03767395019531</v>
      </c>
      <c r="T46" s="9">
        <v>0</v>
      </c>
      <c r="U46">
        <f t="shared" si="1"/>
        <v>2003.5741453170776</v>
      </c>
    </row>
    <row r="47" spans="1:21" x14ac:dyDescent="0.25">
      <c r="A47" s="12">
        <v>0.91666666666666663</v>
      </c>
      <c r="B47" s="6">
        <v>239.0557844921112</v>
      </c>
      <c r="C47" s="6">
        <v>107.60052870655059</v>
      </c>
      <c r="D47" s="6">
        <v>44.821258678436266</v>
      </c>
      <c r="E47" s="6">
        <v>235.76517073030473</v>
      </c>
      <c r="F47" s="6">
        <v>594.09430555782308</v>
      </c>
      <c r="G47" s="6">
        <v>68.818397905635834</v>
      </c>
      <c r="H47" s="6">
        <v>410.22235311069494</v>
      </c>
      <c r="I47" s="6">
        <v>0</v>
      </c>
      <c r="J47" s="6">
        <f t="shared" si="0"/>
        <v>1700.3777991815566</v>
      </c>
      <c r="L47" s="12">
        <v>0.91666666666666663</v>
      </c>
      <c r="M47" s="9">
        <v>516.15059375762939</v>
      </c>
      <c r="N47" s="9">
        <v>0</v>
      </c>
      <c r="O47" s="9">
        <v>0</v>
      </c>
      <c r="P47" s="9">
        <v>0</v>
      </c>
      <c r="Q47" s="9">
        <v>455.26247215270996</v>
      </c>
      <c r="R47" s="9">
        <v>125.15019512176514</v>
      </c>
      <c r="S47" s="9">
        <v>495.55526542663574</v>
      </c>
      <c r="T47" s="9">
        <v>0</v>
      </c>
      <c r="U47">
        <f t="shared" si="1"/>
        <v>1592.1185264587402</v>
      </c>
    </row>
    <row r="48" spans="1:21" x14ac:dyDescent="0.25">
      <c r="A48" s="12">
        <v>0.9375</v>
      </c>
      <c r="B48" s="6">
        <v>157.99563564977643</v>
      </c>
      <c r="C48" s="6">
        <v>74.484005481624607</v>
      </c>
      <c r="D48" s="6">
        <v>21.194255701446526</v>
      </c>
      <c r="E48" s="6">
        <v>136.4129752343178</v>
      </c>
      <c r="F48" s="6">
        <v>386.24772266883843</v>
      </c>
      <c r="G48" s="6">
        <v>84.911324596595776</v>
      </c>
      <c r="H48" s="6">
        <v>484.1061833862305</v>
      </c>
      <c r="I48" s="6">
        <v>0</v>
      </c>
      <c r="J48" s="6">
        <f t="shared" si="0"/>
        <v>1345.3521027188301</v>
      </c>
      <c r="L48" s="12">
        <v>0.9375</v>
      </c>
      <c r="M48" s="9">
        <v>470.98684978485107</v>
      </c>
      <c r="N48" s="9">
        <v>0</v>
      </c>
      <c r="O48" s="9">
        <v>0</v>
      </c>
      <c r="P48" s="9">
        <v>0</v>
      </c>
      <c r="Q48" s="9">
        <v>399.08332347869873</v>
      </c>
      <c r="R48" s="9">
        <v>96.116714477539063</v>
      </c>
      <c r="S48" s="9">
        <v>342.53322982788086</v>
      </c>
      <c r="T48" s="9">
        <v>0</v>
      </c>
      <c r="U48">
        <f t="shared" si="1"/>
        <v>1308.7201175689697</v>
      </c>
    </row>
    <row r="49" spans="1:21" x14ac:dyDescent="0.25">
      <c r="A49" s="12">
        <v>0.95833333333333337</v>
      </c>
      <c r="B49" s="6">
        <v>87.801053599834432</v>
      </c>
      <c r="C49" s="6">
        <v>45.580722420215608</v>
      </c>
      <c r="D49" s="6">
        <v>8.0519715073585498</v>
      </c>
      <c r="E49" s="6">
        <v>76.486606451511392</v>
      </c>
      <c r="F49" s="6">
        <v>230.40329819612501</v>
      </c>
      <c r="G49" s="6">
        <v>97.235669876098655</v>
      </c>
      <c r="H49" s="6">
        <v>580.68662232284544</v>
      </c>
      <c r="I49" s="6">
        <v>0</v>
      </c>
      <c r="J49" s="6">
        <f t="shared" si="0"/>
        <v>1126.245944373989</v>
      </c>
      <c r="L49" s="12">
        <v>0.95833333333333337</v>
      </c>
      <c r="M49" s="9">
        <v>406.60768699645996</v>
      </c>
      <c r="N49" s="9">
        <v>0</v>
      </c>
      <c r="O49" s="9">
        <v>0</v>
      </c>
      <c r="P49" s="9">
        <v>0</v>
      </c>
      <c r="Q49" s="9">
        <v>338.22037887573242</v>
      </c>
      <c r="R49" s="9">
        <v>76.215909957885742</v>
      </c>
      <c r="S49" s="9">
        <v>243.26874256134033</v>
      </c>
      <c r="T49" s="9">
        <v>0</v>
      </c>
      <c r="U49">
        <f t="shared" si="1"/>
        <v>1064.3127183914185</v>
      </c>
    </row>
    <row r="50" spans="1:21" x14ac:dyDescent="0.25">
      <c r="A50" s="12">
        <v>0.97916666666666663</v>
      </c>
      <c r="B50" s="6">
        <v>40.358697688579561</v>
      </c>
      <c r="C50" s="6">
        <v>24.009064598274232</v>
      </c>
      <c r="D50" s="6">
        <v>2.39885209608078</v>
      </c>
      <c r="E50" s="6">
        <v>42.930850567817686</v>
      </c>
      <c r="F50" s="6">
        <v>131.5666341849327</v>
      </c>
      <c r="G50" s="6">
        <v>98.810988977241536</v>
      </c>
      <c r="H50" s="6">
        <v>619.32808927135466</v>
      </c>
      <c r="I50" s="6">
        <v>0</v>
      </c>
      <c r="J50" s="6">
        <f t="shared" si="0"/>
        <v>959.40317738428121</v>
      </c>
      <c r="L50" s="12">
        <v>0.97916666666666663</v>
      </c>
      <c r="M50" s="9">
        <v>321.37936115264893</v>
      </c>
      <c r="N50" s="9">
        <v>0</v>
      </c>
      <c r="O50" s="9">
        <v>0</v>
      </c>
      <c r="P50" s="9">
        <v>0</v>
      </c>
      <c r="Q50" s="9">
        <v>265.50021839141846</v>
      </c>
      <c r="R50" s="9">
        <v>58.620163917541504</v>
      </c>
      <c r="S50" s="9">
        <v>170.42972564697266</v>
      </c>
      <c r="T50" s="9">
        <v>0</v>
      </c>
      <c r="U50">
        <f t="shared" si="1"/>
        <v>815.92946910858154</v>
      </c>
    </row>
    <row r="51" spans="1:21" x14ac:dyDescent="0.25">
      <c r="A51" s="12">
        <v>1</v>
      </c>
      <c r="B51" s="6">
        <v>15.03641592092514</v>
      </c>
      <c r="C51" s="6">
        <v>10.613656071758271</v>
      </c>
      <c r="D51" s="6">
        <v>0.53988383960723874</v>
      </c>
      <c r="E51" s="6">
        <v>24.280837410545349</v>
      </c>
      <c r="F51" s="6">
        <v>74.842251662445051</v>
      </c>
      <c r="G51" s="6">
        <v>86.37684743423462</v>
      </c>
      <c r="H51" s="6">
        <v>558.2781652242661</v>
      </c>
      <c r="I51" s="6">
        <v>0</v>
      </c>
      <c r="J51" s="6">
        <f t="shared" si="0"/>
        <v>769.96805756378171</v>
      </c>
      <c r="L51" s="12">
        <v>1</v>
      </c>
      <c r="M51" s="9">
        <v>226.20191192626953</v>
      </c>
      <c r="N51" s="9">
        <v>0</v>
      </c>
      <c r="O51" s="9">
        <v>0</v>
      </c>
      <c r="P51" s="9">
        <v>0</v>
      </c>
      <c r="Q51" s="9">
        <v>186.54461288452148</v>
      </c>
      <c r="R51" s="9">
        <v>41.34150505065918</v>
      </c>
      <c r="S51" s="9">
        <v>112.05584716796875</v>
      </c>
      <c r="T51" s="9">
        <v>0</v>
      </c>
      <c r="U51">
        <f t="shared" si="1"/>
        <v>566.14387702941895</v>
      </c>
    </row>
    <row r="52" spans="1:21" x14ac:dyDescent="0.25">
      <c r="A52" s="12">
        <v>1.0208333333333333</v>
      </c>
      <c r="B52" s="6">
        <v>4.4189366884231562</v>
      </c>
      <c r="C52" s="6">
        <v>3.835542779541016</v>
      </c>
      <c r="D52" s="6">
        <v>8.6319384574890134E-2</v>
      </c>
      <c r="E52" s="6">
        <v>13.416784898376463</v>
      </c>
      <c r="F52" s="6">
        <v>42.423324638271325</v>
      </c>
      <c r="G52" s="6">
        <v>63.596457984924321</v>
      </c>
      <c r="H52" s="6">
        <v>417.80562967214587</v>
      </c>
      <c r="I52" s="6">
        <v>0</v>
      </c>
      <c r="J52" s="6">
        <f t="shared" si="0"/>
        <v>545.58299604625699</v>
      </c>
      <c r="L52" s="12">
        <v>1.0208333333333333</v>
      </c>
      <c r="M52" s="9">
        <v>138.61558628082275</v>
      </c>
      <c r="N52" s="9">
        <v>0</v>
      </c>
      <c r="O52" s="9">
        <v>0</v>
      </c>
      <c r="P52" s="9">
        <v>0</v>
      </c>
      <c r="Q52" s="9">
        <v>114.33368492126465</v>
      </c>
      <c r="R52" s="9">
        <v>25.675127029418945</v>
      </c>
      <c r="S52" s="9">
        <v>66.18529224395752</v>
      </c>
      <c r="T52" s="9">
        <v>0</v>
      </c>
      <c r="U52">
        <f t="shared" si="1"/>
        <v>344.80969047546387</v>
      </c>
    </row>
    <row r="53" spans="1:21" x14ac:dyDescent="0.25">
      <c r="A53" s="12">
        <v>4.1666666666666664E-2</v>
      </c>
      <c r="B53" s="6">
        <v>0.98478465700149531</v>
      </c>
      <c r="C53" s="6">
        <v>1.0984101081848145</v>
      </c>
      <c r="D53" s="6">
        <v>8.7393952369689918E-3</v>
      </c>
      <c r="E53" s="6">
        <v>6.8757316117286678</v>
      </c>
      <c r="F53" s="6">
        <v>22.901921107578275</v>
      </c>
      <c r="G53" s="6">
        <v>38.814242671966554</v>
      </c>
      <c r="H53" s="6">
        <v>256.98625432033543</v>
      </c>
      <c r="I53" s="6">
        <v>0</v>
      </c>
      <c r="J53" s="6">
        <f t="shared" si="0"/>
        <v>327.67008387203219</v>
      </c>
      <c r="L53" s="12">
        <v>4.1666666666666664E-2</v>
      </c>
      <c r="M53" s="9">
        <v>72.512069702148438</v>
      </c>
      <c r="N53" s="9">
        <v>0</v>
      </c>
      <c r="O53" s="9">
        <v>0</v>
      </c>
      <c r="P53" s="9">
        <v>0</v>
      </c>
      <c r="Q53" s="9">
        <v>59.865124702453613</v>
      </c>
      <c r="R53" s="9">
        <v>13.649002075195313</v>
      </c>
      <c r="S53" s="9">
        <v>33.953696250915527</v>
      </c>
      <c r="T53" s="9">
        <v>0</v>
      </c>
      <c r="U53">
        <f t="shared" si="1"/>
        <v>179.97989273071289</v>
      </c>
    </row>
    <row r="54" spans="1:21" x14ac:dyDescent="0.25">
      <c r="A54" s="12">
        <v>6.25E-2</v>
      </c>
      <c r="B54" s="6">
        <v>0.15627955770492558</v>
      </c>
      <c r="C54" s="6">
        <v>0.23905384550094605</v>
      </c>
      <c r="D54" s="6">
        <v>4.2127866744995118E-4</v>
      </c>
      <c r="E54" s="6">
        <v>3.1004463709831231</v>
      </c>
      <c r="F54" s="6">
        <v>11.110216830539702</v>
      </c>
      <c r="G54" s="6">
        <v>19.340668809890747</v>
      </c>
      <c r="H54" s="6">
        <v>128.48198572015764</v>
      </c>
      <c r="I54" s="6">
        <v>0</v>
      </c>
      <c r="J54" s="6">
        <f t="shared" si="0"/>
        <v>162.42907241344454</v>
      </c>
      <c r="L54" s="12">
        <v>6.25E-2</v>
      </c>
      <c r="M54" s="9">
        <v>31.751480102539063</v>
      </c>
      <c r="N54" s="9">
        <v>0</v>
      </c>
      <c r="O54" s="9">
        <v>0</v>
      </c>
      <c r="P54" s="9">
        <v>0</v>
      </c>
      <c r="Q54" s="9">
        <v>26.250182151794434</v>
      </c>
      <c r="R54" s="9">
        <v>6.0688276290893555</v>
      </c>
      <c r="S54" s="9">
        <v>14.719955444335938</v>
      </c>
      <c r="T54" s="9">
        <v>0</v>
      </c>
      <c r="U54">
        <f t="shared" si="1"/>
        <v>78.790445327758789</v>
      </c>
    </row>
    <row r="55" spans="1:21" x14ac:dyDescent="0.25">
      <c r="A55" s="12">
        <v>8.3333333333333329E-2</v>
      </c>
      <c r="B55" s="6">
        <v>1.5725835800170902E-2</v>
      </c>
      <c r="C55" s="6">
        <v>3.7072422981262204E-2</v>
      </c>
      <c r="D55" s="6">
        <v>0</v>
      </c>
      <c r="E55" s="6">
        <v>1.1742882359504698</v>
      </c>
      <c r="F55" s="6">
        <v>4.6199625462532037</v>
      </c>
      <c r="G55" s="6">
        <v>7.7264745201110836</v>
      </c>
      <c r="H55" s="6">
        <v>51.392314324951172</v>
      </c>
      <c r="I55" s="6">
        <v>0</v>
      </c>
      <c r="J55" s="6">
        <f t="shared" si="0"/>
        <v>64.965837886047368</v>
      </c>
      <c r="L55" s="12">
        <v>8.3333333333333329E-2</v>
      </c>
      <c r="M55" s="9">
        <v>11.379535675048828</v>
      </c>
      <c r="N55" s="9">
        <v>0</v>
      </c>
      <c r="O55" s="9">
        <v>0</v>
      </c>
      <c r="P55" s="9">
        <v>0</v>
      </c>
      <c r="Q55" s="9">
        <v>9.4254970550537109</v>
      </c>
      <c r="R55" s="9">
        <v>2.2044172286987305</v>
      </c>
      <c r="S55" s="9">
        <v>5.251861572265625</v>
      </c>
      <c r="T55" s="9">
        <v>0</v>
      </c>
      <c r="U55">
        <f t="shared" si="1"/>
        <v>28.261311531066895</v>
      </c>
    </row>
    <row r="56" spans="1:21" x14ac:dyDescent="0.25">
      <c r="A56" s="12">
        <v>0.10416666666666667</v>
      </c>
      <c r="B56" s="6">
        <v>7.5390586853027344E-4</v>
      </c>
      <c r="C56" s="6">
        <v>3.6445830345153809E-3</v>
      </c>
      <c r="D56" s="6">
        <v>0</v>
      </c>
      <c r="E56" s="6">
        <v>0.35741045341491695</v>
      </c>
      <c r="F56" s="6">
        <v>1.5867389250755308</v>
      </c>
      <c r="G56" s="6">
        <v>2.4131070653915407</v>
      </c>
      <c r="H56" s="6">
        <v>16.056783448791506</v>
      </c>
      <c r="I56" s="6">
        <v>0</v>
      </c>
      <c r="J56" s="6">
        <f t="shared" si="0"/>
        <v>20.418438381576543</v>
      </c>
      <c r="L56" s="12">
        <v>0.10416666666666667</v>
      </c>
      <c r="M56" s="9">
        <v>3.2428770065307617</v>
      </c>
      <c r="N56" s="9">
        <v>0</v>
      </c>
      <c r="O56" s="9">
        <v>0</v>
      </c>
      <c r="P56" s="9">
        <v>0</v>
      </c>
      <c r="Q56" s="9">
        <v>2.6924419403076172</v>
      </c>
      <c r="R56" s="9">
        <v>0.63538932800292969</v>
      </c>
      <c r="S56" s="9">
        <v>1.4949207305908203</v>
      </c>
      <c r="T56" s="9">
        <v>0</v>
      </c>
      <c r="U56">
        <f t="shared" si="1"/>
        <v>8.0656290054321289</v>
      </c>
    </row>
    <row r="57" spans="1:21" x14ac:dyDescent="0.25">
      <c r="A57" s="12">
        <v>0.125</v>
      </c>
      <c r="B57" s="6">
        <v>0</v>
      </c>
      <c r="C57" s="6">
        <v>1.7056779861450194E-4</v>
      </c>
      <c r="D57" s="6">
        <v>0</v>
      </c>
      <c r="E57" s="6">
        <v>8.1774000358581539E-2</v>
      </c>
      <c r="F57" s="6">
        <v>0.42216246986389161</v>
      </c>
      <c r="G57" s="6">
        <v>0.55790339660644539</v>
      </c>
      <c r="H57" s="6">
        <v>3.7125510864257816</v>
      </c>
      <c r="I57" s="6">
        <v>0</v>
      </c>
      <c r="J57" s="6">
        <f t="shared" si="0"/>
        <v>4.7745615210533146</v>
      </c>
      <c r="L57" s="12">
        <v>0.125</v>
      </c>
      <c r="M57" s="9">
        <v>0.69494724273681641</v>
      </c>
      <c r="N57" s="9">
        <v>0</v>
      </c>
      <c r="O57" s="9">
        <v>0</v>
      </c>
      <c r="P57" s="9">
        <v>0</v>
      </c>
      <c r="Q57" s="9">
        <v>0.57860755920410156</v>
      </c>
      <c r="R57" s="9">
        <v>0.1374359130859375</v>
      </c>
      <c r="S57" s="9">
        <v>0.32065200805664063</v>
      </c>
      <c r="T57" s="9">
        <v>0</v>
      </c>
      <c r="U57">
        <f t="shared" si="1"/>
        <v>1.7316427230834961</v>
      </c>
    </row>
    <row r="58" spans="1:21" ht="15.75" thickBot="1" x14ac:dyDescent="0.3">
      <c r="A58" s="13" t="s">
        <v>6</v>
      </c>
      <c r="B58" s="7">
        <v>0</v>
      </c>
      <c r="C58" s="7">
        <v>0</v>
      </c>
      <c r="D58" s="7">
        <v>0</v>
      </c>
      <c r="E58" s="7">
        <v>0</v>
      </c>
      <c r="F58" s="7">
        <v>0</v>
      </c>
      <c r="G58" s="7">
        <v>0</v>
      </c>
      <c r="H58" s="7">
        <v>0</v>
      </c>
      <c r="I58" s="7">
        <v>0</v>
      </c>
      <c r="J58" s="7">
        <f t="shared" si="0"/>
        <v>0</v>
      </c>
      <c r="L58" s="13" t="s">
        <v>6</v>
      </c>
      <c r="M58" s="10">
        <v>0</v>
      </c>
      <c r="N58" s="10">
        <v>0</v>
      </c>
      <c r="O58" s="10">
        <v>0</v>
      </c>
      <c r="P58" s="10">
        <v>0</v>
      </c>
      <c r="Q58" s="10">
        <v>0</v>
      </c>
      <c r="R58" s="10">
        <v>0</v>
      </c>
      <c r="S58" s="10">
        <v>0</v>
      </c>
      <c r="T58" s="10">
        <v>0</v>
      </c>
      <c r="U58" s="1">
        <f t="shared" si="1"/>
        <v>0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58"/>
  <sheetViews>
    <sheetView workbookViewId="0">
      <selection activeCell="A3" sqref="A3"/>
    </sheetView>
  </sheetViews>
  <sheetFormatPr defaultRowHeight="15" x14ac:dyDescent="0.25"/>
  <cols>
    <col min="1" max="1" width="12.7109375" customWidth="1" collapsed="1"/>
    <col min="2" max="10" width="10.7109375" customWidth="1" collapsed="1"/>
    <col min="11" max="11" width="6.42578125" customWidth="1" collapsed="1"/>
    <col min="12" max="12" width="12.7109375" customWidth="1" collapsed="1"/>
    <col min="13" max="21" width="10.7109375" customWidth="1" collapsed="1"/>
  </cols>
  <sheetData>
    <row r="1" spans="1:26" x14ac:dyDescent="0.25">
      <c r="A1" t="s">
        <v>42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r="6" spans="1:26" ht="15.75" thickBot="1" x14ac:dyDescent="0.3">
      <c r="A6" s="3" t="s">
        <v>57</v>
      </c>
      <c r="B6" s="1"/>
      <c r="C6" s="1"/>
      <c r="D6" s="1"/>
      <c r="E6" s="1"/>
      <c r="F6" s="1"/>
      <c r="G6" s="1"/>
      <c r="H6" s="1"/>
      <c r="I6" s="1"/>
      <c r="J6" s="1"/>
      <c r="L6" s="3" t="s">
        <v>43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>
        <v>0</v>
      </c>
      <c r="C8" s="6">
        <v>0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f>SUM(B8:I8)</f>
        <v>0</v>
      </c>
      <c r="L8" t="s">
        <v>5</v>
      </c>
      <c r="M8" s="9">
        <v>65</v>
      </c>
      <c r="N8" s="9">
        <v>9</v>
      </c>
      <c r="O8" s="9">
        <v>1</v>
      </c>
      <c r="P8" s="9">
        <v>13</v>
      </c>
      <c r="Q8" s="9">
        <v>17</v>
      </c>
      <c r="R8" s="9">
        <v>0</v>
      </c>
      <c r="S8" s="9">
        <v>14</v>
      </c>
      <c r="T8" s="9">
        <v>0</v>
      </c>
      <c r="U8">
        <f>SUM(M8:T8)</f>
        <v>119</v>
      </c>
      <c r="W8" s="5"/>
      <c r="X8" s="16"/>
      <c r="Y8" s="16"/>
      <c r="Z8" s="5"/>
    </row>
    <row r="9" spans="1:26" x14ac:dyDescent="0.25">
      <c r="A9" s="12">
        <v>0.125</v>
      </c>
      <c r="B9" s="6">
        <v>360.89918767290123</v>
      </c>
      <c r="C9" s="6">
        <v>67.170499753570553</v>
      </c>
      <c r="D9" s="6">
        <v>4.2948508059501647</v>
      </c>
      <c r="E9" s="6">
        <v>132.97231736478807</v>
      </c>
      <c r="F9" s="6">
        <v>22.760864030838015</v>
      </c>
      <c r="G9" s="6">
        <v>0</v>
      </c>
      <c r="H9" s="6">
        <v>160.64255199756622</v>
      </c>
      <c r="I9" s="6">
        <v>0</v>
      </c>
      <c r="J9" s="6">
        <f t="shared" ref="J9:J58" si="0">SUM(B9:I9)</f>
        <v>748.74027162561413</v>
      </c>
      <c r="L9" s="12">
        <v>0.125</v>
      </c>
      <c r="M9" s="9">
        <v>344.754319190979</v>
      </c>
      <c r="N9" s="9">
        <v>46.174907684326172</v>
      </c>
      <c r="O9" s="9">
        <v>31.078563690185547</v>
      </c>
      <c r="P9" s="9">
        <v>101.79003715515137</v>
      </c>
      <c r="Q9" s="9">
        <v>58.360727310180664</v>
      </c>
      <c r="R9" s="9">
        <v>11.13527774810791</v>
      </c>
      <c r="S9" s="9">
        <v>104.70981407165527</v>
      </c>
      <c r="T9" s="9">
        <v>0</v>
      </c>
      <c r="U9">
        <f t="shared" ref="U9:U58" si="1">SUM(M9:T9)</f>
        <v>698.00364685058594</v>
      </c>
      <c r="W9" s="5"/>
      <c r="X9" s="16"/>
      <c r="Y9" s="16"/>
      <c r="Z9" s="5"/>
    </row>
    <row r="10" spans="1:26" x14ac:dyDescent="0.25">
      <c r="A10" s="12">
        <v>0.14583333333333334</v>
      </c>
      <c r="B10" s="6">
        <v>782.73477479848862</v>
      </c>
      <c r="C10" s="6">
        <v>138.74160718975065</v>
      </c>
      <c r="D10" s="6">
        <v>16.973357324790957</v>
      </c>
      <c r="E10" s="6">
        <v>280.50037534999848</v>
      </c>
      <c r="F10" s="6">
        <v>45.389021210002895</v>
      </c>
      <c r="G10" s="6">
        <v>3.9018478393554687E-4</v>
      </c>
      <c r="H10" s="6">
        <v>306.2809384696007</v>
      </c>
      <c r="I10" s="6">
        <v>0</v>
      </c>
      <c r="J10" s="6">
        <f t="shared" si="0"/>
        <v>1570.6204645274163</v>
      </c>
      <c r="L10" s="12">
        <v>0.14583333333333334</v>
      </c>
      <c r="M10" s="9">
        <v>538.02382469177246</v>
      </c>
      <c r="N10" s="9">
        <v>72.482907295227051</v>
      </c>
      <c r="O10" s="9">
        <v>52.268637657165527</v>
      </c>
      <c r="P10" s="9">
        <v>159.56270027160645</v>
      </c>
      <c r="Q10" s="9">
        <v>80.435565948486328</v>
      </c>
      <c r="R10" s="9">
        <v>17.986556053161621</v>
      </c>
      <c r="S10" s="9">
        <v>158.63600444793701</v>
      </c>
      <c r="T10" s="9">
        <v>0</v>
      </c>
      <c r="U10">
        <f t="shared" si="1"/>
        <v>1079.3961963653564</v>
      </c>
      <c r="W10" s="5"/>
      <c r="X10" s="16"/>
      <c r="Y10" s="16"/>
      <c r="Z10" s="5"/>
    </row>
    <row r="11" spans="1:26" x14ac:dyDescent="0.25">
      <c r="A11" s="12">
        <v>0.16666666666666666</v>
      </c>
      <c r="B11" s="6">
        <v>1347.179300506878</v>
      </c>
      <c r="C11" s="6">
        <v>231.27419550733566</v>
      </c>
      <c r="D11" s="6">
        <v>54.045449444293979</v>
      </c>
      <c r="E11" s="6">
        <v>465.66211019906996</v>
      </c>
      <c r="F11" s="6">
        <v>68.86898863182067</v>
      </c>
      <c r="G11" s="6">
        <v>8.374376106262205E-3</v>
      </c>
      <c r="H11" s="6">
        <v>413.94900892972947</v>
      </c>
      <c r="I11" s="6">
        <v>0</v>
      </c>
      <c r="J11" s="6">
        <f t="shared" si="0"/>
        <v>2580.9874275952343</v>
      </c>
      <c r="L11" s="12">
        <v>0.16666666666666666</v>
      </c>
      <c r="M11" s="9">
        <v>670.94318771362305</v>
      </c>
      <c r="N11" s="9">
        <v>96.681946754455566</v>
      </c>
      <c r="O11" s="9">
        <v>72.548134803771973</v>
      </c>
      <c r="P11" s="9">
        <v>200.33426189422607</v>
      </c>
      <c r="Q11" s="9">
        <v>80.193285942077637</v>
      </c>
      <c r="R11" s="9">
        <v>20.230807304382324</v>
      </c>
      <c r="S11" s="9">
        <v>175.11384677886963</v>
      </c>
      <c r="T11" s="9">
        <v>0</v>
      </c>
      <c r="U11">
        <f t="shared" si="1"/>
        <v>1316.0454711914063</v>
      </c>
      <c r="W11" s="5"/>
      <c r="X11" s="16"/>
      <c r="Y11" s="16"/>
      <c r="Z11" s="5"/>
    </row>
    <row r="12" spans="1:26" x14ac:dyDescent="0.25">
      <c r="A12" s="12">
        <v>0.1875</v>
      </c>
      <c r="B12" s="6">
        <v>2159.1815791086201</v>
      </c>
      <c r="C12" s="6">
        <v>379.13493565893179</v>
      </c>
      <c r="D12" s="6">
        <v>145.18247331504821</v>
      </c>
      <c r="E12" s="6">
        <v>737.67737920141235</v>
      </c>
      <c r="F12" s="6">
        <v>96.580198989868165</v>
      </c>
      <c r="G12" s="6">
        <v>8.5682153701782227E-2</v>
      </c>
      <c r="H12" s="6">
        <v>464.27023682994837</v>
      </c>
      <c r="I12" s="6">
        <v>0</v>
      </c>
      <c r="J12" s="6">
        <f t="shared" si="0"/>
        <v>3982.1124852575308</v>
      </c>
      <c r="L12" s="12">
        <v>0.1875</v>
      </c>
      <c r="M12" s="9">
        <v>921.67149066925049</v>
      </c>
      <c r="N12" s="9">
        <v>159.71710586547852</v>
      </c>
      <c r="O12" s="9">
        <v>129.94651412963867</v>
      </c>
      <c r="P12" s="9">
        <v>310.57919120788574</v>
      </c>
      <c r="Q12" s="9">
        <v>73.975464820861816</v>
      </c>
      <c r="R12" s="9">
        <v>22.47014331817627</v>
      </c>
      <c r="S12" s="9">
        <v>200.10537052154541</v>
      </c>
      <c r="T12" s="9">
        <v>0</v>
      </c>
      <c r="U12">
        <f t="shared" si="1"/>
        <v>1818.4652805328369</v>
      </c>
      <c r="W12" s="5"/>
      <c r="X12" s="5"/>
      <c r="Y12" s="5"/>
      <c r="Z12" s="5"/>
    </row>
    <row r="13" spans="1:26" x14ac:dyDescent="0.25">
      <c r="A13" s="12">
        <v>0.20833333333333334</v>
      </c>
      <c r="B13" s="6">
        <v>3322.1625865670212</v>
      </c>
      <c r="C13" s="6">
        <v>634.9965260653496</v>
      </c>
      <c r="D13" s="6">
        <v>334.33905439891822</v>
      </c>
      <c r="E13" s="6">
        <v>1196.5516287749292</v>
      </c>
      <c r="F13" s="6">
        <v>135.50124818725587</v>
      </c>
      <c r="G13" s="6">
        <v>0.55613462028503424</v>
      </c>
      <c r="H13" s="6">
        <v>465.71701335868829</v>
      </c>
      <c r="I13" s="6">
        <v>0</v>
      </c>
      <c r="J13" s="6">
        <f t="shared" si="0"/>
        <v>6089.8241919724478</v>
      </c>
      <c r="L13" s="12">
        <v>0.20833333333333334</v>
      </c>
      <c r="M13" s="9">
        <v>1572.6982040405273</v>
      </c>
      <c r="N13" s="9">
        <v>338.60623264312744</v>
      </c>
      <c r="O13" s="9">
        <v>302.5131778717041</v>
      </c>
      <c r="P13" s="9">
        <v>659.17756462097168</v>
      </c>
      <c r="Q13" s="9">
        <v>88.746026039123535</v>
      </c>
      <c r="R13" s="9">
        <v>32.234130859375</v>
      </c>
      <c r="S13" s="9">
        <v>311.08945178985596</v>
      </c>
      <c r="T13" s="9">
        <v>0</v>
      </c>
      <c r="U13">
        <f t="shared" si="1"/>
        <v>3305.0647878646851</v>
      </c>
    </row>
    <row r="14" spans="1:26" x14ac:dyDescent="0.25">
      <c r="A14" s="12">
        <v>0.22916666666666666</v>
      </c>
      <c r="B14" s="6">
        <v>4888.8009193518646</v>
      </c>
      <c r="C14" s="6">
        <v>1066.084966119957</v>
      </c>
      <c r="D14" s="6">
        <v>673.29565772247327</v>
      </c>
      <c r="E14" s="6">
        <v>2006.6828271852496</v>
      </c>
      <c r="F14" s="6">
        <v>196.5329333235741</v>
      </c>
      <c r="G14" s="6">
        <v>2.5712832550048832</v>
      </c>
      <c r="H14" s="6">
        <v>465.47821764917364</v>
      </c>
      <c r="I14" s="6">
        <v>0</v>
      </c>
      <c r="J14" s="6">
        <f t="shared" si="0"/>
        <v>9299.446804607298</v>
      </c>
      <c r="L14" s="12">
        <v>0.22916666666666666</v>
      </c>
      <c r="M14" s="9">
        <v>2901.5360946655273</v>
      </c>
      <c r="N14" s="9">
        <v>739.31253910064697</v>
      </c>
      <c r="O14" s="9">
        <v>712.64021873474121</v>
      </c>
      <c r="P14" s="9">
        <v>1490.7454042434692</v>
      </c>
      <c r="Q14" s="9">
        <v>152.05363368988037</v>
      </c>
      <c r="R14" s="9">
        <v>56.985727310180664</v>
      </c>
      <c r="S14" s="9">
        <v>591.68722820281982</v>
      </c>
      <c r="T14" s="9">
        <v>0</v>
      </c>
      <c r="U14">
        <f t="shared" si="1"/>
        <v>6644.9608459472656</v>
      </c>
    </row>
    <row r="15" spans="1:26" x14ac:dyDescent="0.25">
      <c r="A15" s="12">
        <v>0.25</v>
      </c>
      <c r="B15" s="6">
        <v>6802.8342466919912</v>
      </c>
      <c r="C15" s="6">
        <v>1737.5611469876292</v>
      </c>
      <c r="D15" s="6">
        <v>1215.4222651115419</v>
      </c>
      <c r="E15" s="6">
        <v>3371.6713784170151</v>
      </c>
      <c r="F15" s="6">
        <v>292.00599928474435</v>
      </c>
      <c r="G15" s="6">
        <v>9.0172251764297489</v>
      </c>
      <c r="H15" s="6">
        <v>532.03547426090233</v>
      </c>
      <c r="I15" s="6">
        <v>0</v>
      </c>
      <c r="J15" s="6">
        <f t="shared" si="0"/>
        <v>13960.547735930253</v>
      </c>
      <c r="L15" s="12">
        <v>0.25</v>
      </c>
      <c r="M15" s="9">
        <v>5038.0591907501221</v>
      </c>
      <c r="N15" s="9">
        <v>1470.7232818603516</v>
      </c>
      <c r="O15" s="9">
        <v>1513.3509330749512</v>
      </c>
      <c r="P15" s="9">
        <v>3082.5516109466553</v>
      </c>
      <c r="Q15" s="9">
        <v>286.08829212188721</v>
      </c>
      <c r="R15" s="9">
        <v>101.2587833404541</v>
      </c>
      <c r="S15" s="9">
        <v>1103.1271753311157</v>
      </c>
      <c r="T15" s="9">
        <v>0</v>
      </c>
      <c r="U15">
        <f t="shared" si="1"/>
        <v>12595.159267425537</v>
      </c>
    </row>
    <row r="16" spans="1:26" x14ac:dyDescent="0.25">
      <c r="A16" s="12">
        <v>0.27083333333333331</v>
      </c>
      <c r="B16" s="6">
        <v>8860.7714039909388</v>
      </c>
      <c r="C16" s="6">
        <v>2676.6878985211379</v>
      </c>
      <c r="D16" s="6">
        <v>2020.1877774324416</v>
      </c>
      <c r="E16" s="6">
        <v>5451.5581031876563</v>
      </c>
      <c r="F16" s="6">
        <v>428.38394993667612</v>
      </c>
      <c r="G16" s="6">
        <v>24.949620972824093</v>
      </c>
      <c r="H16" s="6">
        <v>721.13860369415272</v>
      </c>
      <c r="I16" s="6">
        <v>0</v>
      </c>
      <c r="J16" s="6">
        <f t="shared" si="0"/>
        <v>20183.677357735829</v>
      </c>
      <c r="L16" s="12">
        <v>0.27083333333333331</v>
      </c>
      <c r="M16" s="9">
        <v>7841.4906549453735</v>
      </c>
      <c r="N16" s="9">
        <v>2597.8617553710938</v>
      </c>
      <c r="O16" s="9">
        <v>2843.7976350784302</v>
      </c>
      <c r="P16" s="9">
        <v>5645.2845106124878</v>
      </c>
      <c r="Q16" s="9">
        <v>503.04175567626953</v>
      </c>
      <c r="R16" s="9">
        <v>164.18195152282715</v>
      </c>
      <c r="S16" s="9">
        <v>1853.292254447937</v>
      </c>
      <c r="T16" s="9">
        <v>0</v>
      </c>
      <c r="U16">
        <f t="shared" si="1"/>
        <v>21448.950517654419</v>
      </c>
    </row>
    <row r="17" spans="1:21" x14ac:dyDescent="0.25">
      <c r="A17" s="12">
        <v>0.29166666666666669</v>
      </c>
      <c r="B17" s="6">
        <v>10731.039021525481</v>
      </c>
      <c r="C17" s="6">
        <v>3833.1851141263965</v>
      </c>
      <c r="D17" s="6">
        <v>3161.6753544481276</v>
      </c>
      <c r="E17" s="6">
        <v>8240.4586382868765</v>
      </c>
      <c r="F17" s="6">
        <v>596.93747333107001</v>
      </c>
      <c r="G17" s="6">
        <v>55.975085884094234</v>
      </c>
      <c r="H17" s="6">
        <v>1048.3286893159866</v>
      </c>
      <c r="I17" s="6">
        <v>0</v>
      </c>
      <c r="J17" s="6">
        <f t="shared" si="0"/>
        <v>27667.599376918028</v>
      </c>
      <c r="L17" s="12">
        <v>0.29166666666666669</v>
      </c>
      <c r="M17" s="9">
        <v>10888.332905769348</v>
      </c>
      <c r="N17" s="9">
        <v>4092.9012107849121</v>
      </c>
      <c r="O17" s="9">
        <v>4760.684006690979</v>
      </c>
      <c r="P17" s="9">
        <v>9192.4932708740234</v>
      </c>
      <c r="Q17" s="9">
        <v>799.38041877746582</v>
      </c>
      <c r="R17" s="9">
        <v>238.50218772888184</v>
      </c>
      <c r="S17" s="9">
        <v>2775.3826160430908</v>
      </c>
      <c r="T17" s="9">
        <v>0</v>
      </c>
      <c r="U17">
        <f t="shared" si="1"/>
        <v>32747.676616668701</v>
      </c>
    </row>
    <row r="18" spans="1:21" x14ac:dyDescent="0.25">
      <c r="A18" s="12">
        <v>0.3125</v>
      </c>
      <c r="B18" s="6">
        <v>12055.972874191571</v>
      </c>
      <c r="C18" s="6">
        <v>5069.0733027234073</v>
      </c>
      <c r="D18" s="6">
        <v>4712.5248969216345</v>
      </c>
      <c r="E18" s="6">
        <v>11478.693393334484</v>
      </c>
      <c r="F18" s="6">
        <v>772.15118215084078</v>
      </c>
      <c r="G18" s="6">
        <v>103.95776991519928</v>
      </c>
      <c r="H18" s="6">
        <v>1481.0293943491934</v>
      </c>
      <c r="I18" s="6">
        <v>0</v>
      </c>
      <c r="J18" s="6">
        <f t="shared" si="0"/>
        <v>35673.402813586326</v>
      </c>
      <c r="L18" s="12">
        <v>0.3125</v>
      </c>
      <c r="M18" s="9">
        <v>13621.723582267761</v>
      </c>
      <c r="N18" s="9">
        <v>5815.7139387130737</v>
      </c>
      <c r="O18" s="9">
        <v>7178.0105485916138</v>
      </c>
      <c r="P18" s="9">
        <v>13453.724232673645</v>
      </c>
      <c r="Q18" s="9">
        <v>1151.8996677398682</v>
      </c>
      <c r="R18" s="9">
        <v>312.66822052001953</v>
      </c>
      <c r="S18" s="9">
        <v>3736.5441474914551</v>
      </c>
      <c r="T18" s="9">
        <v>0</v>
      </c>
      <c r="U18">
        <f t="shared" si="1"/>
        <v>45270.284337997437</v>
      </c>
    </row>
    <row r="19" spans="1:21" x14ac:dyDescent="0.25">
      <c r="A19" s="12">
        <v>0.33333333333333331</v>
      </c>
      <c r="B19" s="6">
        <v>12614.060117967416</v>
      </c>
      <c r="C19" s="6">
        <v>6201.0307282308568</v>
      </c>
      <c r="D19" s="6">
        <v>6690.8002956727023</v>
      </c>
      <c r="E19" s="6">
        <v>14701.048519028473</v>
      </c>
      <c r="F19" s="6">
        <v>925.1557348468782</v>
      </c>
      <c r="G19" s="6">
        <v>162.60189684257506</v>
      </c>
      <c r="H19" s="6">
        <v>1950.0103770880701</v>
      </c>
      <c r="I19" s="6">
        <v>0</v>
      </c>
      <c r="J19" s="6">
        <f t="shared" si="0"/>
        <v>43244.707669676973</v>
      </c>
      <c r="L19" s="12">
        <v>0.33333333333333331</v>
      </c>
      <c r="M19" s="9">
        <v>15584.884202957153</v>
      </c>
      <c r="N19" s="9">
        <v>7542.8906936645508</v>
      </c>
      <c r="O19" s="9">
        <v>9854.8227119445801</v>
      </c>
      <c r="P19" s="9">
        <v>17903.616291999817</v>
      </c>
      <c r="Q19" s="9">
        <v>1519.8188228607178</v>
      </c>
      <c r="R19" s="9">
        <v>375.57495880126953</v>
      </c>
      <c r="S19" s="9">
        <v>4581.200629234314</v>
      </c>
      <c r="T19" s="9">
        <v>0</v>
      </c>
      <c r="U19">
        <f t="shared" si="1"/>
        <v>57362.808311462402</v>
      </c>
    </row>
    <row r="20" spans="1:21" x14ac:dyDescent="0.25">
      <c r="A20" s="12">
        <v>0.35416666666666669</v>
      </c>
      <c r="B20" s="6">
        <v>12451.887725534056</v>
      </c>
      <c r="C20" s="6">
        <v>7084.5391429723732</v>
      </c>
      <c r="D20" s="6">
        <v>9012.8248694706926</v>
      </c>
      <c r="E20" s="6">
        <v>17454.555969113444</v>
      </c>
      <c r="F20" s="6">
        <v>1043.9346778388979</v>
      </c>
      <c r="G20" s="6">
        <v>217.63873687076565</v>
      </c>
      <c r="H20" s="6">
        <v>2375.9753812600138</v>
      </c>
      <c r="I20" s="6">
        <v>0</v>
      </c>
      <c r="J20" s="6">
        <f t="shared" si="0"/>
        <v>49641.356503060248</v>
      </c>
      <c r="L20" s="12">
        <v>0.35416666666666669</v>
      </c>
      <c r="M20" s="9">
        <v>16582.425297737122</v>
      </c>
      <c r="N20" s="9">
        <v>9034.6062335968018</v>
      </c>
      <c r="O20" s="9">
        <v>12449.105460166931</v>
      </c>
      <c r="P20" s="9">
        <v>21913.863265991211</v>
      </c>
      <c r="Q20" s="9">
        <v>1853.8904323577881</v>
      </c>
      <c r="R20" s="9">
        <v>421.04953765869141</v>
      </c>
      <c r="S20" s="9">
        <v>5187.2665023803711</v>
      </c>
      <c r="T20" s="9">
        <v>0</v>
      </c>
      <c r="U20">
        <f t="shared" si="1"/>
        <v>67442.206729888916</v>
      </c>
    </row>
    <row r="21" spans="1:21" x14ac:dyDescent="0.25">
      <c r="A21" s="12">
        <v>0.375</v>
      </c>
      <c r="B21" s="6">
        <v>11875.15740959625</v>
      </c>
      <c r="C21" s="6">
        <v>7694.6654652740472</v>
      </c>
      <c r="D21" s="6">
        <v>11514.926600212575</v>
      </c>
      <c r="E21" s="6">
        <v>19563.980535434435</v>
      </c>
      <c r="F21" s="6">
        <v>1141.0223586792949</v>
      </c>
      <c r="G21" s="6">
        <v>253.59718310470578</v>
      </c>
      <c r="H21" s="6">
        <v>2704.530629177189</v>
      </c>
      <c r="I21" s="6">
        <v>0</v>
      </c>
      <c r="J21" s="6">
        <f t="shared" si="0"/>
        <v>54747.880181478497</v>
      </c>
      <c r="L21" s="12">
        <v>0.375</v>
      </c>
      <c r="M21" s="9">
        <v>16681.787136077881</v>
      </c>
      <c r="N21" s="9">
        <v>10107.216113090515</v>
      </c>
      <c r="O21" s="9">
        <v>14618.817037582397</v>
      </c>
      <c r="P21" s="9">
        <v>24956.796489715576</v>
      </c>
      <c r="Q21" s="9">
        <v>2109.857234954834</v>
      </c>
      <c r="R21" s="9">
        <v>449.205491065979</v>
      </c>
      <c r="S21" s="9">
        <v>5503.967188835144</v>
      </c>
      <c r="T21" s="9">
        <v>0</v>
      </c>
      <c r="U21">
        <f t="shared" si="1"/>
        <v>74427.646691322327</v>
      </c>
    </row>
    <row r="22" spans="1:21" x14ac:dyDescent="0.25">
      <c r="A22" s="12">
        <v>0.39583333333333331</v>
      </c>
      <c r="B22" s="6">
        <v>11277.376842494868</v>
      </c>
      <c r="C22" s="6">
        <v>8144.9964883150096</v>
      </c>
      <c r="D22" s="6">
        <v>14034.626916963005</v>
      </c>
      <c r="E22" s="6">
        <v>21223.307104268359</v>
      </c>
      <c r="F22" s="6">
        <v>1240.3253376613618</v>
      </c>
      <c r="G22" s="6">
        <v>263.19005351533883</v>
      </c>
      <c r="H22" s="6">
        <v>2933.4039566047668</v>
      </c>
      <c r="I22" s="6">
        <v>0</v>
      </c>
      <c r="J22" s="6">
        <f t="shared" si="0"/>
        <v>59117.226699822713</v>
      </c>
      <c r="L22" s="12">
        <v>0.39583333333333331</v>
      </c>
      <c r="M22" s="9">
        <v>16102.696868896484</v>
      </c>
      <c r="N22" s="9">
        <v>10679.896397590637</v>
      </c>
      <c r="O22" s="9">
        <v>16124.131524085999</v>
      </c>
      <c r="P22" s="9">
        <v>26759.692060470581</v>
      </c>
      <c r="Q22" s="9">
        <v>2261.499794960022</v>
      </c>
      <c r="R22" s="9">
        <v>464.45207500457764</v>
      </c>
      <c r="S22" s="9">
        <v>5555.0060482025146</v>
      </c>
      <c r="T22" s="9">
        <v>0</v>
      </c>
      <c r="U22">
        <f t="shared" si="1"/>
        <v>77947.374769210815</v>
      </c>
    </row>
    <row r="23" spans="1:21" x14ac:dyDescent="0.25">
      <c r="A23" s="12">
        <v>0.41666666666666669</v>
      </c>
      <c r="B23" s="6">
        <v>10928.120559590052</v>
      </c>
      <c r="C23" s="6">
        <v>8613.4713831539138</v>
      </c>
      <c r="D23" s="6">
        <v>16456.228655608847</v>
      </c>
      <c r="E23" s="6">
        <v>22796.85413245402</v>
      </c>
      <c r="F23" s="6">
        <v>1356.0423079811094</v>
      </c>
      <c r="G23" s="6">
        <v>252.65109810495375</v>
      </c>
      <c r="H23" s="6">
        <v>3109.7937782991412</v>
      </c>
      <c r="I23" s="6">
        <v>0</v>
      </c>
      <c r="J23" s="6">
        <f t="shared" si="0"/>
        <v>63513.161915192039</v>
      </c>
      <c r="L23" s="12">
        <v>0.41666666666666669</v>
      </c>
      <c r="M23" s="9">
        <v>15101.389831542969</v>
      </c>
      <c r="N23" s="9">
        <v>10781.494214057922</v>
      </c>
      <c r="O23" s="9">
        <v>16886.975759506226</v>
      </c>
      <c r="P23" s="9">
        <v>27347.94722366333</v>
      </c>
      <c r="Q23" s="9">
        <v>2307.9698143005371</v>
      </c>
      <c r="R23" s="9">
        <v>472.38073348999023</v>
      </c>
      <c r="S23" s="9">
        <v>5414.0584259033203</v>
      </c>
      <c r="T23" s="9">
        <v>0</v>
      </c>
      <c r="U23">
        <f t="shared" si="1"/>
        <v>78312.216002464294</v>
      </c>
    </row>
    <row r="24" spans="1:21" x14ac:dyDescent="0.25">
      <c r="A24" s="12">
        <v>0.4375</v>
      </c>
      <c r="B24" s="6">
        <v>10883.278122941112</v>
      </c>
      <c r="C24" s="6">
        <v>9211.3771330022792</v>
      </c>
      <c r="D24" s="6">
        <v>18664.094494570734</v>
      </c>
      <c r="E24" s="6">
        <v>24475.222013560015</v>
      </c>
      <c r="F24" s="6">
        <v>1482.1542056524277</v>
      </c>
      <c r="G24" s="6">
        <v>239.21735004491802</v>
      </c>
      <c r="H24" s="6">
        <v>3291.8976734104162</v>
      </c>
      <c r="I24" s="6">
        <v>0</v>
      </c>
      <c r="J24" s="6">
        <f t="shared" si="0"/>
        <v>68247.240993181898</v>
      </c>
      <c r="L24" s="12">
        <v>0.4375</v>
      </c>
      <c r="M24" s="9">
        <v>13910.768045425415</v>
      </c>
      <c r="N24" s="9">
        <v>10525.194619178772</v>
      </c>
      <c r="O24" s="9">
        <v>16991.544624328613</v>
      </c>
      <c r="P24" s="9">
        <v>26986.891125679016</v>
      </c>
      <c r="Q24" s="9">
        <v>2272.1469497680664</v>
      </c>
      <c r="R24" s="9">
        <v>477.86011981964111</v>
      </c>
      <c r="S24" s="9">
        <v>5172.9196920394897</v>
      </c>
      <c r="T24" s="9">
        <v>0</v>
      </c>
      <c r="U24">
        <f t="shared" si="1"/>
        <v>76337.325176239014</v>
      </c>
    </row>
    <row r="25" spans="1:21" x14ac:dyDescent="0.25">
      <c r="A25" s="12">
        <v>0.45833333333333331</v>
      </c>
      <c r="B25" s="6">
        <v>11054.56467708273</v>
      </c>
      <c r="C25" s="6">
        <v>9891.0761602158527</v>
      </c>
      <c r="D25" s="6">
        <v>20484.812122756768</v>
      </c>
      <c r="E25" s="6">
        <v>26096.973026260763</v>
      </c>
      <c r="F25" s="6">
        <v>1597.5285461509707</v>
      </c>
      <c r="G25" s="6">
        <v>241.52628872261045</v>
      </c>
      <c r="H25" s="6">
        <v>3502.5101078277589</v>
      </c>
      <c r="I25" s="6">
        <v>0</v>
      </c>
      <c r="J25" s="6">
        <f t="shared" si="0"/>
        <v>72868.990929017469</v>
      </c>
      <c r="L25" s="12">
        <v>0.45833333333333331</v>
      </c>
      <c r="M25" s="9">
        <v>12729.450080871582</v>
      </c>
      <c r="N25" s="9">
        <v>10070.041334152222</v>
      </c>
      <c r="O25" s="9">
        <v>16640.131546020508</v>
      </c>
      <c r="P25" s="9">
        <v>26077.606196403503</v>
      </c>
      <c r="Q25" s="9">
        <v>2191.389591217041</v>
      </c>
      <c r="R25" s="9">
        <v>485.01882076263428</v>
      </c>
      <c r="S25" s="9">
        <v>4919.8727006912231</v>
      </c>
      <c r="T25" s="9">
        <v>0</v>
      </c>
      <c r="U25">
        <f t="shared" si="1"/>
        <v>73113.510270118713</v>
      </c>
    </row>
    <row r="26" spans="1:21" x14ac:dyDescent="0.25">
      <c r="A26" s="12">
        <v>0.47916666666666669</v>
      </c>
      <c r="B26" s="6">
        <v>11329.052752500531</v>
      </c>
      <c r="C26" s="6">
        <v>10474.297552740094</v>
      </c>
      <c r="D26" s="6">
        <v>21738.096288451481</v>
      </c>
      <c r="E26" s="6">
        <v>27317.752358224683</v>
      </c>
      <c r="F26" s="6">
        <v>1679.5715533112527</v>
      </c>
      <c r="G26" s="6">
        <v>267.80071588487624</v>
      </c>
      <c r="H26" s="6">
        <v>3717.7915954405785</v>
      </c>
      <c r="I26" s="6">
        <v>0</v>
      </c>
      <c r="J26" s="6">
        <f t="shared" si="0"/>
        <v>76524.36281655349</v>
      </c>
      <c r="L26" s="12">
        <v>0.47916666666666669</v>
      </c>
      <c r="M26" s="9">
        <v>11727.309868812561</v>
      </c>
      <c r="N26" s="9">
        <v>9585.5632495880127</v>
      </c>
      <c r="O26" s="9">
        <v>16092.443890571594</v>
      </c>
      <c r="P26" s="9">
        <v>25057.374662399292</v>
      </c>
      <c r="Q26" s="9">
        <v>2106.1359567642212</v>
      </c>
      <c r="R26" s="9">
        <v>498.32073879241943</v>
      </c>
      <c r="S26" s="9">
        <v>4732.9798278808594</v>
      </c>
      <c r="T26" s="9">
        <v>0</v>
      </c>
      <c r="U26">
        <f t="shared" si="1"/>
        <v>69800.12819480896</v>
      </c>
    </row>
    <row r="27" spans="1:21" x14ac:dyDescent="0.25">
      <c r="A27" s="12">
        <v>0.5</v>
      </c>
      <c r="B27" s="6">
        <v>11632.35826308441</v>
      </c>
      <c r="C27" s="6">
        <v>10794.249512396811</v>
      </c>
      <c r="D27" s="6">
        <v>22370.748835826398</v>
      </c>
      <c r="E27" s="6">
        <v>27977.794635626509</v>
      </c>
      <c r="F27" s="6">
        <v>1719.1981004522324</v>
      </c>
      <c r="G27" s="6">
        <v>310.53108434820172</v>
      </c>
      <c r="H27" s="6">
        <v>3904.4856110526084</v>
      </c>
      <c r="I27" s="6">
        <v>0</v>
      </c>
      <c r="J27" s="6">
        <f t="shared" si="0"/>
        <v>78709.36604278718</v>
      </c>
      <c r="L27" s="12">
        <v>0.5</v>
      </c>
      <c r="M27" s="9">
        <v>11050.125595092773</v>
      </c>
      <c r="N27" s="9">
        <v>9227.8978290557861</v>
      </c>
      <c r="O27" s="9">
        <v>15614.059148788452</v>
      </c>
      <c r="P27" s="9">
        <v>24329.774831771851</v>
      </c>
      <c r="Q27" s="9">
        <v>2052.4013586044312</v>
      </c>
      <c r="R27" s="9">
        <v>523.86235332489014</v>
      </c>
      <c r="S27" s="9">
        <v>4683.0561256408691</v>
      </c>
      <c r="T27" s="9">
        <v>0</v>
      </c>
      <c r="U27">
        <f t="shared" si="1"/>
        <v>67481.177242279053</v>
      </c>
    </row>
    <row r="28" spans="1:21" x14ac:dyDescent="0.25">
      <c r="A28" s="12">
        <v>0.52083333333333337</v>
      </c>
      <c r="B28" s="6">
        <v>11942.296991021823</v>
      </c>
      <c r="C28" s="6">
        <v>10852.920385798549</v>
      </c>
      <c r="D28" s="6">
        <v>22511.829755959225</v>
      </c>
      <c r="E28" s="6">
        <v>28311.863438719272</v>
      </c>
      <c r="F28" s="6">
        <v>1732.730924349594</v>
      </c>
      <c r="G28" s="6">
        <v>354.87730927200317</v>
      </c>
      <c r="H28" s="6">
        <v>4070.2864340367319</v>
      </c>
      <c r="I28" s="6">
        <v>0</v>
      </c>
      <c r="J28" s="6">
        <f t="shared" si="0"/>
        <v>79776.805239157213</v>
      </c>
      <c r="L28" s="12">
        <v>0.52083333333333337</v>
      </c>
      <c r="M28" s="9">
        <v>10828.211454391479</v>
      </c>
      <c r="N28" s="9">
        <v>9131.9950351715088</v>
      </c>
      <c r="O28" s="9">
        <v>15450.314494132996</v>
      </c>
      <c r="P28" s="9">
        <v>24236.767914772034</v>
      </c>
      <c r="Q28" s="9">
        <v>2061.4671897888184</v>
      </c>
      <c r="R28" s="9">
        <v>570.88019371032715</v>
      </c>
      <c r="S28" s="9">
        <v>4841.8874807357788</v>
      </c>
      <c r="T28" s="9">
        <v>0</v>
      </c>
      <c r="U28">
        <f t="shared" si="1"/>
        <v>67121.523762702942</v>
      </c>
    </row>
    <row r="29" spans="1:21" x14ac:dyDescent="0.25">
      <c r="A29" s="12">
        <v>0.54166666666666663</v>
      </c>
      <c r="B29" s="6">
        <v>12305.330735547352</v>
      </c>
      <c r="C29" s="6">
        <v>10869.17899027071</v>
      </c>
      <c r="D29" s="6">
        <v>22363.827467551804</v>
      </c>
      <c r="E29" s="6">
        <v>28787.940390778924</v>
      </c>
      <c r="F29" s="6">
        <v>1763.8141090230943</v>
      </c>
      <c r="G29" s="6">
        <v>396.03411909704215</v>
      </c>
      <c r="H29" s="6">
        <v>4277.9760520524032</v>
      </c>
      <c r="I29" s="6">
        <v>0</v>
      </c>
      <c r="J29" s="6">
        <f t="shared" si="0"/>
        <v>80764.101864321317</v>
      </c>
      <c r="L29" s="12">
        <v>0.54166666666666663</v>
      </c>
      <c r="M29" s="9">
        <v>11195.064914703369</v>
      </c>
      <c r="N29" s="9">
        <v>9417.5272102355957</v>
      </c>
      <c r="O29" s="9">
        <v>15822.027163505554</v>
      </c>
      <c r="P29" s="9">
        <v>25068.566645622253</v>
      </c>
      <c r="Q29" s="9">
        <v>2165.0117826461792</v>
      </c>
      <c r="R29" s="9">
        <v>653.55317211151123</v>
      </c>
      <c r="S29" s="9">
        <v>5294.0912961959839</v>
      </c>
      <c r="T29" s="9">
        <v>0</v>
      </c>
      <c r="U29">
        <f t="shared" si="1"/>
        <v>69615.842185020447</v>
      </c>
    </row>
    <row r="30" spans="1:21" x14ac:dyDescent="0.25">
      <c r="A30" s="12">
        <v>0.5625</v>
      </c>
      <c r="B30" s="6">
        <v>12842.57181148262</v>
      </c>
      <c r="C30" s="6">
        <v>11153.100723548221</v>
      </c>
      <c r="D30" s="6">
        <v>22035.702930084037</v>
      </c>
      <c r="E30" s="6">
        <v>29716.033697435472</v>
      </c>
      <c r="F30" s="6">
        <v>1865.7947871737481</v>
      </c>
      <c r="G30" s="6">
        <v>448.15717803993232</v>
      </c>
      <c r="H30" s="6">
        <v>4608.1931804883006</v>
      </c>
      <c r="I30" s="6">
        <v>0</v>
      </c>
      <c r="J30" s="6">
        <f t="shared" si="0"/>
        <v>82669.554308252336</v>
      </c>
      <c r="L30" s="12">
        <v>0.5625</v>
      </c>
      <c r="M30" s="9">
        <v>12296.539251327515</v>
      </c>
      <c r="N30" s="9">
        <v>10187.132170677185</v>
      </c>
      <c r="O30" s="9">
        <v>16906.463087081909</v>
      </c>
      <c r="P30" s="9">
        <v>27058.178043365479</v>
      </c>
      <c r="Q30" s="9">
        <v>2397.7381372451782</v>
      </c>
      <c r="R30" s="9">
        <v>791.43015766143799</v>
      </c>
      <c r="S30" s="9">
        <v>6141.8131656646729</v>
      </c>
      <c r="T30" s="9">
        <v>0</v>
      </c>
      <c r="U30">
        <f t="shared" si="1"/>
        <v>75779.294013023376</v>
      </c>
    </row>
    <row r="31" spans="1:21" x14ac:dyDescent="0.25">
      <c r="A31" s="12">
        <v>0.58333333333333337</v>
      </c>
      <c r="B31" s="6">
        <v>13696.048559610366</v>
      </c>
      <c r="C31" s="6">
        <v>11865.351418009186</v>
      </c>
      <c r="D31" s="6">
        <v>21477.236791783715</v>
      </c>
      <c r="E31" s="6">
        <v>30973.622035630033</v>
      </c>
      <c r="F31" s="6">
        <v>2064.189914226341</v>
      </c>
      <c r="G31" s="6">
        <v>532.31851313838968</v>
      </c>
      <c r="H31" s="6">
        <v>5100.3589087240216</v>
      </c>
      <c r="I31" s="6">
        <v>0</v>
      </c>
      <c r="J31" s="6">
        <f t="shared" si="0"/>
        <v>85709.126141122062</v>
      </c>
      <c r="L31" s="12">
        <v>0.58333333333333337</v>
      </c>
      <c r="M31" s="9">
        <v>14250.85067653656</v>
      </c>
      <c r="N31" s="9">
        <v>11484.822810173035</v>
      </c>
      <c r="O31" s="9">
        <v>18755.937297821045</v>
      </c>
      <c r="P31" s="9">
        <v>30275.683867454529</v>
      </c>
      <c r="Q31" s="9">
        <v>2787.173433303833</v>
      </c>
      <c r="R31" s="9">
        <v>1004.81116771698</v>
      </c>
      <c r="S31" s="9">
        <v>7477.7825622558594</v>
      </c>
      <c r="T31" s="9">
        <v>0</v>
      </c>
      <c r="U31">
        <f t="shared" si="1"/>
        <v>86037.061815261841</v>
      </c>
    </row>
    <row r="32" spans="1:21" x14ac:dyDescent="0.25">
      <c r="A32" s="12">
        <v>0.60416666666666663</v>
      </c>
      <c r="B32" s="6">
        <v>14940.547919643499</v>
      </c>
      <c r="C32" s="6">
        <v>12837.038345293904</v>
      </c>
      <c r="D32" s="6">
        <v>20551.229718708135</v>
      </c>
      <c r="E32" s="6">
        <v>32064.655975163554</v>
      </c>
      <c r="F32" s="6">
        <v>2321.5192035809514</v>
      </c>
      <c r="G32" s="6">
        <v>652.72734272127161</v>
      </c>
      <c r="H32" s="6">
        <v>5718.2450008157739</v>
      </c>
      <c r="I32" s="6">
        <v>0</v>
      </c>
      <c r="J32" s="6">
        <f t="shared" si="0"/>
        <v>89085.963505927095</v>
      </c>
      <c r="L32" s="12">
        <v>0.60416666666666663</v>
      </c>
      <c r="M32" s="9">
        <v>17048.849653244019</v>
      </c>
      <c r="N32" s="9">
        <v>13213.393427848816</v>
      </c>
      <c r="O32" s="9">
        <v>21163.702651023865</v>
      </c>
      <c r="P32" s="9">
        <v>34416.410624504089</v>
      </c>
      <c r="Q32" s="9">
        <v>3328.5436267852783</v>
      </c>
      <c r="R32" s="9">
        <v>1302.7884969711304</v>
      </c>
      <c r="S32" s="9">
        <v>9312.3151769638062</v>
      </c>
      <c r="T32" s="9">
        <v>0</v>
      </c>
      <c r="U32">
        <f t="shared" si="1"/>
        <v>99786.003657341003</v>
      </c>
    </row>
    <row r="33" spans="1:21" x14ac:dyDescent="0.25">
      <c r="A33" s="12">
        <v>0.625</v>
      </c>
      <c r="B33" s="6">
        <v>16556.174569744493</v>
      </c>
      <c r="C33" s="6">
        <v>13622.232926072693</v>
      </c>
      <c r="D33" s="6">
        <v>19161.997050862123</v>
      </c>
      <c r="E33" s="6">
        <v>32435.761139062117</v>
      </c>
      <c r="F33" s="6">
        <v>2541.2816236855501</v>
      </c>
      <c r="G33" s="6">
        <v>785.02540813922906</v>
      </c>
      <c r="H33" s="6">
        <v>6371.2577658368118</v>
      </c>
      <c r="I33" s="6">
        <v>0</v>
      </c>
      <c r="J33" s="6">
        <f t="shared" si="0"/>
        <v>91473.730483403007</v>
      </c>
      <c r="L33" s="12">
        <v>0.625</v>
      </c>
      <c r="M33" s="9">
        <v>20453.135035514832</v>
      </c>
      <c r="N33" s="9">
        <v>15069.971395492554</v>
      </c>
      <c r="O33" s="9">
        <v>23582.933897972107</v>
      </c>
      <c r="P33" s="9">
        <v>38641.602551460266</v>
      </c>
      <c r="Q33" s="9">
        <v>3959.1832418441772</v>
      </c>
      <c r="R33" s="9">
        <v>1667.8323841094971</v>
      </c>
      <c r="S33" s="9">
        <v>11483.186072349548</v>
      </c>
      <c r="T33" s="9">
        <v>0</v>
      </c>
      <c r="U33">
        <f t="shared" si="1"/>
        <v>114857.84457874298</v>
      </c>
    </row>
    <row r="34" spans="1:21" x14ac:dyDescent="0.25">
      <c r="A34" s="12">
        <v>0.64583333333333337</v>
      </c>
      <c r="B34" s="6">
        <v>18498.571032637788</v>
      </c>
      <c r="C34" s="6">
        <v>13783.658063610266</v>
      </c>
      <c r="D34" s="6">
        <v>17351.546891333768</v>
      </c>
      <c r="E34" s="6">
        <v>31801.195818353553</v>
      </c>
      <c r="F34" s="6">
        <v>2625.0253052042958</v>
      </c>
      <c r="G34" s="6">
        <v>890.05217632312792</v>
      </c>
      <c r="H34" s="6">
        <v>6988.3277674981136</v>
      </c>
      <c r="I34" s="6">
        <v>0</v>
      </c>
      <c r="J34" s="6">
        <f t="shared" si="0"/>
        <v>91938.377054960903</v>
      </c>
      <c r="L34" s="12">
        <v>0.64583333333333337</v>
      </c>
      <c r="M34" s="9">
        <v>23990.005378723145</v>
      </c>
      <c r="N34" s="9">
        <v>16581.896465301514</v>
      </c>
      <c r="O34" s="9">
        <v>25228.147753715515</v>
      </c>
      <c r="P34" s="9">
        <v>41696.637034416199</v>
      </c>
      <c r="Q34" s="9">
        <v>4556.7517290115356</v>
      </c>
      <c r="R34" s="9">
        <v>2047.5892305374146</v>
      </c>
      <c r="S34" s="9">
        <v>13619.742643356323</v>
      </c>
      <c r="T34" s="9">
        <v>0</v>
      </c>
      <c r="U34">
        <f t="shared" si="1"/>
        <v>127720.77023506165</v>
      </c>
    </row>
    <row r="35" spans="1:21" x14ac:dyDescent="0.25">
      <c r="A35" s="12">
        <v>0.66666666666666663</v>
      </c>
      <c r="B35" s="6">
        <v>20788.297713511845</v>
      </c>
      <c r="C35" s="6">
        <v>13199.318926578138</v>
      </c>
      <c r="D35" s="6">
        <v>15318.771525120068</v>
      </c>
      <c r="E35" s="6">
        <v>30274.889007687663</v>
      </c>
      <c r="F35" s="6">
        <v>2544.7233590925216</v>
      </c>
      <c r="G35" s="6">
        <v>941.63410859718329</v>
      </c>
      <c r="H35" s="6">
        <v>7604.2909448151604</v>
      </c>
      <c r="I35" s="6">
        <v>0</v>
      </c>
      <c r="J35" s="6">
        <f t="shared" si="0"/>
        <v>90671.925585402569</v>
      </c>
      <c r="L35" s="12">
        <v>0.66666666666666663</v>
      </c>
      <c r="M35" s="9">
        <v>27074.442233085632</v>
      </c>
      <c r="N35" s="9">
        <v>17266.65643787384</v>
      </c>
      <c r="O35" s="9">
        <v>25374.458906173706</v>
      </c>
      <c r="P35" s="9">
        <v>42366.9574842453</v>
      </c>
      <c r="Q35" s="9">
        <v>4974.6275367736816</v>
      </c>
      <c r="R35" s="9">
        <v>2364.4560136795044</v>
      </c>
      <c r="S35" s="9">
        <v>15223.852253913879</v>
      </c>
      <c r="T35" s="9">
        <v>0</v>
      </c>
      <c r="U35">
        <f t="shared" si="1"/>
        <v>134645.45086574554</v>
      </c>
    </row>
    <row r="36" spans="1:21" x14ac:dyDescent="0.25">
      <c r="A36" s="12">
        <v>0.6875</v>
      </c>
      <c r="B36" s="6">
        <v>23520.046760963247</v>
      </c>
      <c r="C36" s="6">
        <v>12140.400311110974</v>
      </c>
      <c r="D36" s="6">
        <v>13353.468160594464</v>
      </c>
      <c r="E36" s="6">
        <v>28269.414848881243</v>
      </c>
      <c r="F36" s="6">
        <v>2367.91393862524</v>
      </c>
      <c r="G36" s="6">
        <v>943.31880025415421</v>
      </c>
      <c r="H36" s="6">
        <v>8397.7553017471309</v>
      </c>
      <c r="I36" s="6">
        <v>0</v>
      </c>
      <c r="J36" s="6">
        <f t="shared" si="0"/>
        <v>88992.318122176468</v>
      </c>
      <c r="L36" s="12">
        <v>0.6875</v>
      </c>
      <c r="M36" s="9">
        <v>29203.483107566833</v>
      </c>
      <c r="N36" s="9">
        <v>16839.591006278992</v>
      </c>
      <c r="O36" s="9">
        <v>23700.575441360474</v>
      </c>
      <c r="P36" s="9">
        <v>40045.712285041809</v>
      </c>
      <c r="Q36" s="9">
        <v>5100.6000032424927</v>
      </c>
      <c r="R36" s="9">
        <v>2543.1005229949951</v>
      </c>
      <c r="S36" s="9">
        <v>15856.536756515503</v>
      </c>
      <c r="T36" s="9">
        <v>0</v>
      </c>
      <c r="U36">
        <f t="shared" si="1"/>
        <v>133289.5991230011</v>
      </c>
    </row>
    <row r="37" spans="1:21" x14ac:dyDescent="0.25">
      <c r="A37" s="12">
        <v>0.70833333333333337</v>
      </c>
      <c r="B37" s="6">
        <v>26773.016757741832</v>
      </c>
      <c r="C37" s="6">
        <v>11067.284142397595</v>
      </c>
      <c r="D37" s="6">
        <v>11718.721492651177</v>
      </c>
      <c r="E37" s="6">
        <v>26261.099560445116</v>
      </c>
      <c r="F37" s="6">
        <v>2212.6028862306594</v>
      </c>
      <c r="G37" s="6">
        <v>920.47513746099469</v>
      </c>
      <c r="H37" s="6">
        <v>9628.8242670603759</v>
      </c>
      <c r="I37" s="6">
        <v>0</v>
      </c>
      <c r="J37" s="6">
        <f t="shared" si="0"/>
        <v>88582.024243987747</v>
      </c>
      <c r="L37" s="12">
        <v>0.70833333333333337</v>
      </c>
      <c r="M37" s="9">
        <v>30099.493185043335</v>
      </c>
      <c r="N37" s="9">
        <v>15341.206900596619</v>
      </c>
      <c r="O37" s="9">
        <v>20454.327961921692</v>
      </c>
      <c r="P37" s="9">
        <v>35045.438356399536</v>
      </c>
      <c r="Q37" s="9">
        <v>4904.148606300354</v>
      </c>
      <c r="R37" s="9">
        <v>2541.9989213943481</v>
      </c>
      <c r="S37" s="9">
        <v>15330.725237846375</v>
      </c>
      <c r="T37" s="9">
        <v>0</v>
      </c>
      <c r="U37">
        <f t="shared" si="1"/>
        <v>123717.33916950226</v>
      </c>
    </row>
    <row r="38" spans="1:21" x14ac:dyDescent="0.25">
      <c r="A38" s="12">
        <v>0.72916666666666663</v>
      </c>
      <c r="B38" s="6">
        <v>30477.167606727409</v>
      </c>
      <c r="C38" s="6">
        <v>10328.055470702551</v>
      </c>
      <c r="D38" s="6">
        <v>10552.628715960025</v>
      </c>
      <c r="E38" s="6">
        <v>24569.29715778551</v>
      </c>
      <c r="F38" s="6">
        <v>2172.3418895377163</v>
      </c>
      <c r="G38" s="6">
        <v>899.9114233543396</v>
      </c>
      <c r="H38" s="6">
        <v>11468.379738692283</v>
      </c>
      <c r="I38" s="6">
        <v>0</v>
      </c>
      <c r="J38" s="6">
        <f t="shared" si="0"/>
        <v>90467.782002759821</v>
      </c>
      <c r="L38" s="12">
        <v>0.72916666666666663</v>
      </c>
      <c r="M38" s="9">
        <v>29740.571016311646</v>
      </c>
      <c r="N38" s="9">
        <v>13104.570693016052</v>
      </c>
      <c r="O38" s="9">
        <v>16329.351391792297</v>
      </c>
      <c r="P38" s="9">
        <v>28441.6700963974</v>
      </c>
      <c r="Q38" s="9">
        <v>4443.8799343109131</v>
      </c>
      <c r="R38" s="9">
        <v>2370.0918388366699</v>
      </c>
      <c r="S38" s="9">
        <v>13789.461510658264</v>
      </c>
      <c r="T38" s="9">
        <v>0</v>
      </c>
      <c r="U38">
        <f t="shared" si="1"/>
        <v>108219.59648132324</v>
      </c>
    </row>
    <row r="39" spans="1:21" x14ac:dyDescent="0.25">
      <c r="A39" s="12">
        <v>0.75</v>
      </c>
      <c r="B39" s="6">
        <v>34312.684948229224</v>
      </c>
      <c r="C39" s="6">
        <v>9989.8005683109277</v>
      </c>
      <c r="D39" s="6">
        <v>9844.9032034809115</v>
      </c>
      <c r="E39" s="6">
        <v>23255.501980811023</v>
      </c>
      <c r="F39" s="6">
        <v>2268.5849449988364</v>
      </c>
      <c r="G39" s="6">
        <v>901.09290833444584</v>
      </c>
      <c r="H39" s="6">
        <v>13786.958132009602</v>
      </c>
      <c r="I39" s="6">
        <v>0</v>
      </c>
      <c r="J39" s="6">
        <f t="shared" si="0"/>
        <v>94359.526686174984</v>
      </c>
      <c r="L39" s="12">
        <v>0.75</v>
      </c>
      <c r="M39" s="9">
        <v>28318.969403266907</v>
      </c>
      <c r="N39" s="9">
        <v>10594.737813949585</v>
      </c>
      <c r="O39" s="9">
        <v>12142.092708587646</v>
      </c>
      <c r="P39" s="9">
        <v>21567.077216148376</v>
      </c>
      <c r="Q39" s="9">
        <v>3835.6274738311768</v>
      </c>
      <c r="R39" s="9">
        <v>2079.6712036132813</v>
      </c>
      <c r="S39" s="9">
        <v>11625.767793655396</v>
      </c>
      <c r="T39" s="9">
        <v>0</v>
      </c>
      <c r="U39">
        <f t="shared" si="1"/>
        <v>90163.943613052368</v>
      </c>
    </row>
    <row r="40" spans="1:21" x14ac:dyDescent="0.25">
      <c r="A40" s="12">
        <v>0.77083333333333337</v>
      </c>
      <c r="B40" s="6">
        <v>37712.675510450841</v>
      </c>
      <c r="C40" s="6">
        <v>9877.4507616204246</v>
      </c>
      <c r="D40" s="6">
        <v>9478.4141841943747</v>
      </c>
      <c r="E40" s="6">
        <v>22160.816953476999</v>
      </c>
      <c r="F40" s="6">
        <v>2450.2631610524181</v>
      </c>
      <c r="G40" s="6">
        <v>944.42829032859788</v>
      </c>
      <c r="H40" s="6">
        <v>16050.983189495186</v>
      </c>
      <c r="I40" s="6">
        <v>0</v>
      </c>
      <c r="J40" s="6">
        <f t="shared" si="0"/>
        <v>98675.032050618844</v>
      </c>
      <c r="L40" s="12">
        <v>0.77083333333333337</v>
      </c>
      <c r="M40" s="9">
        <v>26194.834650039673</v>
      </c>
      <c r="N40" s="9">
        <v>8229.4722757339478</v>
      </c>
      <c r="O40" s="9">
        <v>8519.1293821334839</v>
      </c>
      <c r="P40" s="9">
        <v>15492.437323570251</v>
      </c>
      <c r="Q40" s="9">
        <v>3205.8124437332153</v>
      </c>
      <c r="R40" s="9">
        <v>1742.5175323486328</v>
      </c>
      <c r="S40" s="9">
        <v>9308.0025310516357</v>
      </c>
      <c r="T40" s="9">
        <v>0</v>
      </c>
      <c r="U40">
        <f t="shared" si="1"/>
        <v>72692.20613861084</v>
      </c>
    </row>
    <row r="41" spans="1:21" x14ac:dyDescent="0.25">
      <c r="A41" s="12">
        <v>0.79166666666666663</v>
      </c>
      <c r="B41" s="6">
        <v>39988.233268093398</v>
      </c>
      <c r="C41" s="6">
        <v>9729.1610543843271</v>
      </c>
      <c r="D41" s="6">
        <v>9280.7747270389555</v>
      </c>
      <c r="E41" s="6">
        <v>21031.001448804283</v>
      </c>
      <c r="F41" s="6">
        <v>2624.2812879917151</v>
      </c>
      <c r="G41" s="6">
        <v>1054.0509571296693</v>
      </c>
      <c r="H41" s="6">
        <v>17469.273146588235</v>
      </c>
      <c r="I41" s="6">
        <v>0</v>
      </c>
      <c r="J41" s="6">
        <f t="shared" si="0"/>
        <v>101176.77589003059</v>
      </c>
      <c r="L41" s="12">
        <v>0.79166666666666663</v>
      </c>
      <c r="M41" s="9">
        <v>23837.354873657227</v>
      </c>
      <c r="N41" s="9">
        <v>6272.9589748382568</v>
      </c>
      <c r="O41" s="9">
        <v>5754.4706726074219</v>
      </c>
      <c r="P41" s="9">
        <v>10766.099537849426</v>
      </c>
      <c r="Q41" s="9">
        <v>2654.2787408828735</v>
      </c>
      <c r="R41" s="9">
        <v>1423.9800748825073</v>
      </c>
      <c r="S41" s="9">
        <v>7217.0425205230713</v>
      </c>
      <c r="T41" s="9">
        <v>0</v>
      </c>
      <c r="U41">
        <f t="shared" si="1"/>
        <v>57926.185395240784</v>
      </c>
    </row>
    <row r="42" spans="1:21" x14ac:dyDescent="0.25">
      <c r="A42" s="12">
        <v>0.8125</v>
      </c>
      <c r="B42" s="6">
        <v>40514.265490763668</v>
      </c>
      <c r="C42" s="6">
        <v>9342.9694023394568</v>
      </c>
      <c r="D42" s="6">
        <v>9053.6997947768214</v>
      </c>
      <c r="E42" s="6">
        <v>19655.005335732269</v>
      </c>
      <c r="F42" s="6">
        <v>2696.6192158239369</v>
      </c>
      <c r="G42" s="6">
        <v>1235.2421390926363</v>
      </c>
      <c r="H42" s="6">
        <v>17374.670814198784</v>
      </c>
      <c r="I42" s="6">
        <v>0</v>
      </c>
      <c r="J42" s="6">
        <f t="shared" si="0"/>
        <v>99872.472192727553</v>
      </c>
      <c r="L42" s="12">
        <v>0.8125</v>
      </c>
      <c r="M42" s="9">
        <v>21697.799341201782</v>
      </c>
      <c r="N42" s="9">
        <v>4819.1029853820801</v>
      </c>
      <c r="O42" s="9">
        <v>3847.9327325820923</v>
      </c>
      <c r="P42" s="9">
        <v>7446.9546976089478</v>
      </c>
      <c r="Q42" s="9">
        <v>2235.3658046722412</v>
      </c>
      <c r="R42" s="9">
        <v>1165.826078414917</v>
      </c>
      <c r="S42" s="9">
        <v>5561.6230945587158</v>
      </c>
      <c r="T42" s="9">
        <v>0</v>
      </c>
      <c r="U42">
        <f t="shared" si="1"/>
        <v>46774.604734420776</v>
      </c>
    </row>
    <row r="43" spans="1:21" x14ac:dyDescent="0.25">
      <c r="A43" s="12">
        <v>0.83333333333333337</v>
      </c>
      <c r="B43" s="6">
        <v>38899.222863589675</v>
      </c>
      <c r="C43" s="6">
        <v>8650.0108676321979</v>
      </c>
      <c r="D43" s="6">
        <v>8600.9392006253238</v>
      </c>
      <c r="E43" s="6">
        <v>17949.034005599024</v>
      </c>
      <c r="F43" s="6">
        <v>2610.6648345391277</v>
      </c>
      <c r="G43" s="6">
        <v>1443.72965936327</v>
      </c>
      <c r="H43" s="6">
        <v>15608.376713255024</v>
      </c>
      <c r="I43" s="6">
        <v>0</v>
      </c>
      <c r="J43" s="6">
        <f t="shared" si="0"/>
        <v>93761.97814460365</v>
      </c>
      <c r="L43" s="12">
        <v>0.83333333333333337</v>
      </c>
      <c r="M43" s="9">
        <v>20035.881733894348</v>
      </c>
      <c r="N43" s="9">
        <v>3829.2561378479004</v>
      </c>
      <c r="O43" s="9">
        <v>2631.6671934127808</v>
      </c>
      <c r="P43" s="9">
        <v>5293.0235567092896</v>
      </c>
      <c r="Q43" s="9">
        <v>1955.7240419387817</v>
      </c>
      <c r="R43" s="9">
        <v>981.10873222351074</v>
      </c>
      <c r="S43" s="9">
        <v>4376.8446159362793</v>
      </c>
      <c r="T43" s="9">
        <v>0</v>
      </c>
      <c r="U43">
        <f t="shared" si="1"/>
        <v>39103.506011962891</v>
      </c>
    </row>
    <row r="44" spans="1:21" x14ac:dyDescent="0.25">
      <c r="A44" s="12">
        <v>0.85416666666666663</v>
      </c>
      <c r="B44" s="6">
        <v>35123.770314429566</v>
      </c>
      <c r="C44" s="6">
        <v>7708.5245352440825</v>
      </c>
      <c r="D44" s="6">
        <v>7785.4838081232074</v>
      </c>
      <c r="E44" s="6">
        <v>15946.240470522309</v>
      </c>
      <c r="F44" s="6">
        <v>2368.168443853283</v>
      </c>
      <c r="G44" s="6">
        <v>1588.113033084679</v>
      </c>
      <c r="H44" s="6">
        <v>12621.618346177484</v>
      </c>
      <c r="I44" s="6">
        <v>0</v>
      </c>
      <c r="J44" s="6">
        <f t="shared" si="0"/>
        <v>83141.918951434607</v>
      </c>
      <c r="L44" s="12">
        <v>0.85416666666666663</v>
      </c>
      <c r="M44" s="9">
        <v>18820.561489105225</v>
      </c>
      <c r="N44" s="9">
        <v>3188.3464689254761</v>
      </c>
      <c r="O44" s="9">
        <v>1891.1559057235718</v>
      </c>
      <c r="P44" s="9">
        <v>3958.0173654556274</v>
      </c>
      <c r="Q44" s="9">
        <v>1785.6176605224609</v>
      </c>
      <c r="R44" s="9">
        <v>859.31413841247559</v>
      </c>
      <c r="S44" s="9">
        <v>3577.4728689193726</v>
      </c>
      <c r="T44" s="9">
        <v>0</v>
      </c>
      <c r="U44">
        <f t="shared" si="1"/>
        <v>34080.485897064209</v>
      </c>
    </row>
    <row r="45" spans="1:21" x14ac:dyDescent="0.25">
      <c r="A45" s="12">
        <v>0.875</v>
      </c>
      <c r="B45" s="6">
        <v>29634.938642667006</v>
      </c>
      <c r="C45" s="6">
        <v>6643.625530858706</v>
      </c>
      <c r="D45" s="6">
        <v>6597.4796888526926</v>
      </c>
      <c r="E45" s="6">
        <v>13717.32370350418</v>
      </c>
      <c r="F45" s="6">
        <v>2021.0960243110655</v>
      </c>
      <c r="G45" s="6">
        <v>1579.4644483170509</v>
      </c>
      <c r="H45" s="6">
        <v>9216.7919401483541</v>
      </c>
      <c r="I45" s="6">
        <v>0</v>
      </c>
      <c r="J45" s="6">
        <f t="shared" si="0"/>
        <v>69410.71997865905</v>
      </c>
      <c r="L45" s="12">
        <v>0.875</v>
      </c>
      <c r="M45" s="9">
        <v>17790.341095924377</v>
      </c>
      <c r="N45" s="9">
        <v>2759.83815574646</v>
      </c>
      <c r="O45" s="9">
        <v>1439.296968460083</v>
      </c>
      <c r="P45" s="9">
        <v>3123.4634370803833</v>
      </c>
      <c r="Q45" s="9">
        <v>1677.9357051849365</v>
      </c>
      <c r="R45" s="9">
        <v>777.32305240631104</v>
      </c>
      <c r="S45" s="9">
        <v>3029.9171018600464</v>
      </c>
      <c r="T45" s="9">
        <v>0</v>
      </c>
      <c r="U45">
        <f t="shared" si="1"/>
        <v>30598.115516662598</v>
      </c>
    </row>
    <row r="46" spans="1:21" x14ac:dyDescent="0.25">
      <c r="A46" s="12">
        <v>0.89583333333333337</v>
      </c>
      <c r="B46" s="6">
        <v>23296.152142183495</v>
      </c>
      <c r="C46" s="6">
        <v>5574.3601051829328</v>
      </c>
      <c r="D46" s="6">
        <v>5172.6410302404411</v>
      </c>
      <c r="E46" s="6">
        <v>11313.652427482413</v>
      </c>
      <c r="F46" s="6">
        <v>1639.644067485428</v>
      </c>
      <c r="G46" s="6">
        <v>1390.7271309997559</v>
      </c>
      <c r="H46" s="6">
        <v>6133.3218983530041</v>
      </c>
      <c r="I46" s="6">
        <v>0</v>
      </c>
      <c r="J46" s="6">
        <f t="shared" si="0"/>
        <v>54520.498801927468</v>
      </c>
      <c r="L46" s="12">
        <v>0.89583333333333337</v>
      </c>
      <c r="M46" s="9">
        <v>16617.476872444153</v>
      </c>
      <c r="N46" s="9">
        <v>2426.7144546508789</v>
      </c>
      <c r="O46" s="9">
        <v>1143.8650236129761</v>
      </c>
      <c r="P46" s="9">
        <v>2556.5158605575562</v>
      </c>
      <c r="Q46" s="9">
        <v>1585.4601850509644</v>
      </c>
      <c r="R46" s="9">
        <v>710.42949104309082</v>
      </c>
      <c r="S46" s="9">
        <v>2610.5361356735229</v>
      </c>
      <c r="T46" s="9">
        <v>0</v>
      </c>
      <c r="U46">
        <f t="shared" si="1"/>
        <v>27650.998023033142</v>
      </c>
    </row>
    <row r="47" spans="1:21" x14ac:dyDescent="0.25">
      <c r="A47" s="12">
        <v>0.91666666666666663</v>
      </c>
      <c r="B47" s="6">
        <v>17112.361362362477</v>
      </c>
      <c r="C47" s="6">
        <v>4567.3682611992826</v>
      </c>
      <c r="D47" s="6">
        <v>3730.2328693597797</v>
      </c>
      <c r="E47" s="6">
        <v>8800.0627678335186</v>
      </c>
      <c r="F47" s="6">
        <v>1278.292663454914</v>
      </c>
      <c r="G47" s="6">
        <v>1074.1954311029433</v>
      </c>
      <c r="H47" s="6">
        <v>3769.7425961186409</v>
      </c>
      <c r="I47" s="6">
        <v>0</v>
      </c>
      <c r="J47" s="6">
        <f t="shared" si="0"/>
        <v>40332.255951431558</v>
      </c>
      <c r="L47" s="12">
        <v>0.91666666666666663</v>
      </c>
      <c r="M47" s="9">
        <v>15051.800302505493</v>
      </c>
      <c r="N47" s="9">
        <v>2110.4103450775146</v>
      </c>
      <c r="O47" s="9">
        <v>924.58674049377441</v>
      </c>
      <c r="P47" s="9">
        <v>2112.7295923233032</v>
      </c>
      <c r="Q47" s="9">
        <v>1470.0823659896851</v>
      </c>
      <c r="R47" s="9">
        <v>639.30349159240723</v>
      </c>
      <c r="S47" s="9">
        <v>2233.3172769546509</v>
      </c>
      <c r="T47" s="9">
        <v>0</v>
      </c>
      <c r="U47">
        <f t="shared" si="1"/>
        <v>24542.230114936829</v>
      </c>
    </row>
    <row r="48" spans="1:21" x14ac:dyDescent="0.25">
      <c r="A48" s="12">
        <v>0.9375</v>
      </c>
      <c r="B48" s="6">
        <v>11850.566746577357</v>
      </c>
      <c r="C48" s="6">
        <v>3633.7794094936366</v>
      </c>
      <c r="D48" s="6">
        <v>2470.9341800482753</v>
      </c>
      <c r="E48" s="6">
        <v>6327.0825231611243</v>
      </c>
      <c r="F48" s="6">
        <v>960.98808322324737</v>
      </c>
      <c r="G48" s="6">
        <v>725.14194576845159</v>
      </c>
      <c r="H48" s="6">
        <v>2168.998694135475</v>
      </c>
      <c r="I48" s="6">
        <v>0</v>
      </c>
      <c r="J48" s="6">
        <f t="shared" si="0"/>
        <v>28137.491582407569</v>
      </c>
      <c r="L48" s="12">
        <v>0.9375</v>
      </c>
      <c r="M48" s="9">
        <v>12987.717591285706</v>
      </c>
      <c r="N48" s="9">
        <v>1771.3421277999878</v>
      </c>
      <c r="O48" s="9">
        <v>738.32185554504395</v>
      </c>
      <c r="P48" s="9">
        <v>1714.1255970001221</v>
      </c>
      <c r="Q48" s="9">
        <v>1306.6594524383545</v>
      </c>
      <c r="R48" s="9">
        <v>552.80507755279541</v>
      </c>
      <c r="S48" s="9">
        <v>1852.2589015960693</v>
      </c>
      <c r="T48" s="9">
        <v>0</v>
      </c>
      <c r="U48">
        <f t="shared" si="1"/>
        <v>20923.230603218079</v>
      </c>
    </row>
    <row r="49" spans="1:21" x14ac:dyDescent="0.25">
      <c r="A49" s="12">
        <v>0.95833333333333337</v>
      </c>
      <c r="B49" s="6">
        <v>7818.0622738866796</v>
      </c>
      <c r="C49" s="6">
        <v>2760.9701296049116</v>
      </c>
      <c r="D49" s="6">
        <v>1505.0137177764893</v>
      </c>
      <c r="E49" s="6">
        <v>4127.8920002537725</v>
      </c>
      <c r="F49" s="6">
        <v>689.57875345382683</v>
      </c>
      <c r="G49" s="6">
        <v>426.80398231220244</v>
      </c>
      <c r="H49" s="6">
        <v>1175.0553584886552</v>
      </c>
      <c r="I49" s="6">
        <v>0</v>
      </c>
      <c r="J49" s="6">
        <f t="shared" si="0"/>
        <v>18503.376215776538</v>
      </c>
      <c r="L49" s="12">
        <v>0.95833333333333337</v>
      </c>
      <c r="M49" s="9">
        <v>10484.825562477112</v>
      </c>
      <c r="N49" s="9">
        <v>1402.8973913192749</v>
      </c>
      <c r="O49" s="9">
        <v>565.96427917480469</v>
      </c>
      <c r="P49" s="9">
        <v>1328.5028886795044</v>
      </c>
      <c r="Q49" s="9">
        <v>1087.772988319397</v>
      </c>
      <c r="R49" s="9">
        <v>448.96419429779053</v>
      </c>
      <c r="S49" s="9">
        <v>1455.1961088180542</v>
      </c>
      <c r="T49" s="9">
        <v>0</v>
      </c>
      <c r="U49">
        <f t="shared" si="1"/>
        <v>16774.123413085938</v>
      </c>
    </row>
    <row r="50" spans="1:21" x14ac:dyDescent="0.25">
      <c r="A50" s="12">
        <v>0.97916666666666663</v>
      </c>
      <c r="B50" s="6">
        <v>4929.5234508787144</v>
      </c>
      <c r="C50" s="6">
        <v>1953.4913928477285</v>
      </c>
      <c r="D50" s="6">
        <v>843.8582157797814</v>
      </c>
      <c r="E50" s="6">
        <v>2412.0624818453789</v>
      </c>
      <c r="F50" s="6">
        <v>461.67250488176342</v>
      </c>
      <c r="G50" s="6">
        <v>218.16115640602109</v>
      </c>
      <c r="H50" s="6">
        <v>594.59564787025465</v>
      </c>
      <c r="I50" s="6">
        <v>0</v>
      </c>
      <c r="J50" s="6">
        <f t="shared" si="0"/>
        <v>11413.364850509643</v>
      </c>
      <c r="L50" s="12">
        <v>0.97916666666666663</v>
      </c>
      <c r="M50" s="9">
        <v>7767.5431652069092</v>
      </c>
      <c r="N50" s="9">
        <v>1025.4323492050171</v>
      </c>
      <c r="O50" s="9">
        <v>404.92016315460205</v>
      </c>
      <c r="P50" s="9">
        <v>957.59616661071777</v>
      </c>
      <c r="Q50" s="9">
        <v>828.81810188293457</v>
      </c>
      <c r="R50" s="9">
        <v>334.99210739135742</v>
      </c>
      <c r="S50" s="9">
        <v>1058.0761432647705</v>
      </c>
      <c r="T50" s="9">
        <v>0</v>
      </c>
      <c r="U50">
        <f t="shared" si="1"/>
        <v>12377.378196716309</v>
      </c>
    </row>
    <row r="51" spans="1:21" x14ac:dyDescent="0.25">
      <c r="A51" s="12">
        <v>1</v>
      </c>
      <c r="B51" s="6">
        <v>2937.6682526138302</v>
      </c>
      <c r="C51" s="6">
        <v>1250.5225121716499</v>
      </c>
      <c r="D51" s="6">
        <v>435.26057584800719</v>
      </c>
      <c r="E51" s="6">
        <v>1254.6170551258087</v>
      </c>
      <c r="F51" s="6">
        <v>280.29697288055416</v>
      </c>
      <c r="G51" s="6">
        <v>96.080352974128715</v>
      </c>
      <c r="H51" s="6">
        <v>275.20981143712999</v>
      </c>
      <c r="I51" s="6">
        <v>0</v>
      </c>
      <c r="J51" s="6">
        <f t="shared" si="0"/>
        <v>6529.6555330511101</v>
      </c>
      <c r="L51" s="12">
        <v>1</v>
      </c>
      <c r="M51" s="9">
        <v>5174.6352977752686</v>
      </c>
      <c r="N51" s="9">
        <v>676.60429573059082</v>
      </c>
      <c r="O51" s="9">
        <v>263.22924327850342</v>
      </c>
      <c r="P51" s="9">
        <v>625.7197322845459</v>
      </c>
      <c r="Q51" s="9">
        <v>565.31617736816406</v>
      </c>
      <c r="R51" s="9">
        <v>224.74094295501709</v>
      </c>
      <c r="S51" s="9">
        <v>695.69539737701416</v>
      </c>
      <c r="T51" s="9">
        <v>0</v>
      </c>
      <c r="U51">
        <f t="shared" si="1"/>
        <v>8225.941086769104</v>
      </c>
    </row>
    <row r="52" spans="1:21" x14ac:dyDescent="0.25">
      <c r="A52" s="12">
        <v>1.0208333333333333</v>
      </c>
      <c r="B52" s="6">
        <v>1613.8286178099631</v>
      </c>
      <c r="C52" s="6">
        <v>704.18611778678894</v>
      </c>
      <c r="D52" s="6">
        <v>205.73298222932814</v>
      </c>
      <c r="E52" s="6">
        <v>580.85342085771561</v>
      </c>
      <c r="F52" s="6">
        <v>150.11247708320616</v>
      </c>
      <c r="G52" s="6">
        <v>35.957653605175018</v>
      </c>
      <c r="H52" s="6">
        <v>113.46018661680222</v>
      </c>
      <c r="I52" s="6">
        <v>0</v>
      </c>
      <c r="J52" s="6">
        <f t="shared" si="0"/>
        <v>3404.1314559889793</v>
      </c>
      <c r="L52" s="12">
        <v>1.0208333333333333</v>
      </c>
      <c r="M52" s="9">
        <v>3036.6705598831177</v>
      </c>
      <c r="N52" s="9">
        <v>394.31407451629639</v>
      </c>
      <c r="O52" s="9">
        <v>151.65418243408203</v>
      </c>
      <c r="P52" s="9">
        <v>361.87667274475098</v>
      </c>
      <c r="Q52" s="9">
        <v>338.00971984863281</v>
      </c>
      <c r="R52" s="9">
        <v>132.75625419616699</v>
      </c>
      <c r="S52" s="9">
        <v>404.399169921875</v>
      </c>
      <c r="T52" s="9">
        <v>0</v>
      </c>
      <c r="U52">
        <f t="shared" si="1"/>
        <v>4819.6806335449219</v>
      </c>
    </row>
    <row r="53" spans="1:21" x14ac:dyDescent="0.25">
      <c r="A53" s="12">
        <v>4.1666666666666664E-2</v>
      </c>
      <c r="B53" s="6">
        <v>791.68967568778987</v>
      </c>
      <c r="C53" s="6">
        <v>339.8962405263901</v>
      </c>
      <c r="D53" s="6">
        <v>88.399328557586671</v>
      </c>
      <c r="E53" s="6">
        <v>239.94545776004793</v>
      </c>
      <c r="F53" s="6">
        <v>69.191417955493932</v>
      </c>
      <c r="G53" s="6">
        <v>11.192085348224641</v>
      </c>
      <c r="H53" s="6">
        <v>40.643083853816989</v>
      </c>
      <c r="I53" s="6">
        <v>0</v>
      </c>
      <c r="J53" s="6">
        <f t="shared" si="0"/>
        <v>1580.9572896893503</v>
      </c>
      <c r="L53" s="12">
        <v>4.1666666666666664E-2</v>
      </c>
      <c r="M53" s="9">
        <v>1537.4808759689331</v>
      </c>
      <c r="N53" s="9">
        <v>198.63743495941162</v>
      </c>
      <c r="O53" s="9">
        <v>75.645139694213867</v>
      </c>
      <c r="P53" s="9">
        <v>181.0897741317749</v>
      </c>
      <c r="Q53" s="9">
        <v>173.60582828521729</v>
      </c>
      <c r="R53" s="9">
        <v>67.631078720092773</v>
      </c>
      <c r="S53" s="9">
        <v>203.2791690826416</v>
      </c>
      <c r="T53" s="9">
        <v>0</v>
      </c>
      <c r="U53">
        <f t="shared" si="1"/>
        <v>2437.3693008422852</v>
      </c>
    </row>
    <row r="54" spans="1:21" x14ac:dyDescent="0.25">
      <c r="A54" s="12">
        <v>6.25E-2</v>
      </c>
      <c r="B54" s="6">
        <v>335.64035044765473</v>
      </c>
      <c r="C54" s="6">
        <v>137.20172672033308</v>
      </c>
      <c r="D54" s="6">
        <v>34.07721461143494</v>
      </c>
      <c r="E54" s="6">
        <v>88.281381129455582</v>
      </c>
      <c r="F54" s="6">
        <v>26.8386473361969</v>
      </c>
      <c r="G54" s="6">
        <v>2.8080448966026306</v>
      </c>
      <c r="H54" s="6">
        <v>12.412988996315004</v>
      </c>
      <c r="I54" s="6">
        <v>0</v>
      </c>
      <c r="J54" s="6">
        <f t="shared" si="0"/>
        <v>637.26035413799286</v>
      </c>
      <c r="L54" s="12">
        <v>6.25E-2</v>
      </c>
      <c r="M54" s="9">
        <v>657.14376926422119</v>
      </c>
      <c r="N54" s="9">
        <v>84.587699890136719</v>
      </c>
      <c r="O54" s="9">
        <v>31.918132781982422</v>
      </c>
      <c r="P54" s="9">
        <v>76.650093078613281</v>
      </c>
      <c r="Q54" s="9">
        <v>75.005691528320313</v>
      </c>
      <c r="R54" s="9">
        <v>29.077921867370605</v>
      </c>
      <c r="S54" s="9">
        <v>86.387164115905762</v>
      </c>
      <c r="T54" s="9">
        <v>0</v>
      </c>
      <c r="U54">
        <f t="shared" si="1"/>
        <v>1040.7704725265503</v>
      </c>
    </row>
    <row r="55" spans="1:21" x14ac:dyDescent="0.25">
      <c r="A55" s="12">
        <v>8.3333333333333329E-2</v>
      </c>
      <c r="B55" s="6">
        <v>119.04620104284288</v>
      </c>
      <c r="C55" s="6">
        <v>45.12985991764068</v>
      </c>
      <c r="D55" s="6">
        <v>11.560251657009125</v>
      </c>
      <c r="E55" s="6">
        <v>28.533060821342467</v>
      </c>
      <c r="F55" s="6">
        <v>8.5619837567329391</v>
      </c>
      <c r="G55" s="6">
        <v>0.54276097145080571</v>
      </c>
      <c r="H55" s="6">
        <v>3.1939697876930238</v>
      </c>
      <c r="I55" s="6">
        <v>0</v>
      </c>
      <c r="J55" s="6">
        <f t="shared" si="0"/>
        <v>216.56808795471193</v>
      </c>
      <c r="L55" s="12">
        <v>8.3333333333333329E-2</v>
      </c>
      <c r="M55" s="9">
        <v>231.35401725769043</v>
      </c>
      <c r="N55" s="9">
        <v>29.699691772460938</v>
      </c>
      <c r="O55" s="9">
        <v>11.107597351074219</v>
      </c>
      <c r="P55" s="9">
        <v>26.763073921203613</v>
      </c>
      <c r="Q55" s="9">
        <v>26.619268417358398</v>
      </c>
      <c r="R55" s="9">
        <v>10.296395301818848</v>
      </c>
      <c r="S55" s="9">
        <v>30.267622947692871</v>
      </c>
      <c r="T55" s="9">
        <v>0</v>
      </c>
      <c r="U55">
        <f t="shared" si="1"/>
        <v>366.10766696929932</v>
      </c>
    </row>
    <row r="56" spans="1:21" x14ac:dyDescent="0.25">
      <c r="A56" s="12">
        <v>0.10416666666666667</v>
      </c>
      <c r="B56" s="6">
        <v>34.104783590030671</v>
      </c>
      <c r="C56" s="6">
        <v>11.725736937332151</v>
      </c>
      <c r="D56" s="6">
        <v>3.3597366561889643</v>
      </c>
      <c r="E56" s="6">
        <v>7.8584203498840335</v>
      </c>
      <c r="F56" s="6">
        <v>2.1867155116081234</v>
      </c>
      <c r="G56" s="6">
        <v>7.5394347286224378E-2</v>
      </c>
      <c r="H56" s="6">
        <v>0.68718010816574093</v>
      </c>
      <c r="I56" s="6">
        <v>0</v>
      </c>
      <c r="J56" s="6">
        <f t="shared" si="0"/>
        <v>59.997967500495911</v>
      </c>
      <c r="L56" s="12">
        <v>0.10416666666666667</v>
      </c>
      <c r="M56" s="9">
        <v>65.065261840820313</v>
      </c>
      <c r="N56" s="9">
        <v>8.3363533020019531</v>
      </c>
      <c r="O56" s="9">
        <v>3.0906133651733398</v>
      </c>
      <c r="P56" s="9">
        <v>7.4737615585327148</v>
      </c>
      <c r="Q56" s="9">
        <v>7.5309658050537109</v>
      </c>
      <c r="R56" s="9">
        <v>2.9122505187988281</v>
      </c>
      <c r="S56" s="9">
        <v>8.4766759872436523</v>
      </c>
      <c r="T56" s="9">
        <v>0</v>
      </c>
      <c r="U56">
        <f t="shared" si="1"/>
        <v>102.88588237762451</v>
      </c>
    </row>
    <row r="57" spans="1:21" x14ac:dyDescent="0.25">
      <c r="A57" s="12">
        <v>0.125</v>
      </c>
      <c r="B57" s="6">
        <v>7.4340975388526918</v>
      </c>
      <c r="C57" s="6">
        <v>2.2794469317436215</v>
      </c>
      <c r="D57" s="6">
        <v>0.7878861840248107</v>
      </c>
      <c r="E57" s="6">
        <v>1.7266909407615663</v>
      </c>
      <c r="F57" s="6">
        <v>0.42571453294754014</v>
      </c>
      <c r="G57" s="6">
        <v>6.6565338134765631E-3</v>
      </c>
      <c r="H57" s="6">
        <v>0.12030757188796996</v>
      </c>
      <c r="I57" s="6">
        <v>0</v>
      </c>
      <c r="J57" s="6">
        <f t="shared" si="0"/>
        <v>12.780800234031675</v>
      </c>
      <c r="L57" s="12">
        <v>0.125</v>
      </c>
      <c r="M57" s="9">
        <v>13.809377670288086</v>
      </c>
      <c r="N57" s="9">
        <v>1.7668886184692383</v>
      </c>
      <c r="O57" s="9">
        <v>0.64957332611083984</v>
      </c>
      <c r="P57" s="9">
        <v>1.5768957138061523</v>
      </c>
      <c r="Q57" s="9">
        <v>1.6052570343017578</v>
      </c>
      <c r="R57" s="9">
        <v>0.62148475646972656</v>
      </c>
      <c r="S57" s="9">
        <v>1.7924165725708008</v>
      </c>
      <c r="T57" s="9">
        <v>0</v>
      </c>
      <c r="U57">
        <f t="shared" si="1"/>
        <v>21.821893692016602</v>
      </c>
    </row>
    <row r="58" spans="1:21" ht="15.75" thickBot="1" x14ac:dyDescent="0.3">
      <c r="A58" s="13" t="s">
        <v>6</v>
      </c>
      <c r="B58" s="7">
        <v>0</v>
      </c>
      <c r="C58" s="7">
        <v>0</v>
      </c>
      <c r="D58" s="7">
        <v>0</v>
      </c>
      <c r="E58" s="7">
        <v>0</v>
      </c>
      <c r="F58" s="7">
        <v>0</v>
      </c>
      <c r="G58" s="7">
        <v>0</v>
      </c>
      <c r="H58" s="7">
        <v>0</v>
      </c>
      <c r="I58" s="7">
        <v>0</v>
      </c>
      <c r="J58" s="7">
        <f t="shared" si="0"/>
        <v>0</v>
      </c>
      <c r="L58" s="13" t="s">
        <v>6</v>
      </c>
      <c r="M58" s="10">
        <v>0</v>
      </c>
      <c r="N58" s="10">
        <v>0</v>
      </c>
      <c r="O58" s="10">
        <v>0</v>
      </c>
      <c r="P58" s="10">
        <v>0</v>
      </c>
      <c r="Q58" s="10">
        <v>0</v>
      </c>
      <c r="R58" s="10">
        <v>0</v>
      </c>
      <c r="S58" s="10">
        <v>0</v>
      </c>
      <c r="T58" s="10">
        <v>0</v>
      </c>
      <c r="U58" s="1">
        <f t="shared" si="1"/>
        <v>0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58"/>
  <sheetViews>
    <sheetView workbookViewId="0">
      <selection activeCell="A3" sqref="A3"/>
    </sheetView>
  </sheetViews>
  <sheetFormatPr defaultRowHeight="15" x14ac:dyDescent="0.25"/>
  <cols>
    <col min="1" max="1" width="12.7109375" customWidth="1" collapsed="1"/>
    <col min="2" max="10" width="10.7109375" customWidth="1" collapsed="1"/>
    <col min="11" max="11" width="6.42578125" customWidth="1" collapsed="1"/>
    <col min="12" max="12" width="12.7109375" customWidth="1" collapsed="1"/>
    <col min="13" max="21" width="10.7109375" customWidth="1" collapsed="1"/>
  </cols>
  <sheetData>
    <row r="1" spans="1:26" x14ac:dyDescent="0.25">
      <c r="A1" t="s">
        <v>44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r="6" spans="1:26" ht="15.75" thickBot="1" x14ac:dyDescent="0.3">
      <c r="A6" s="3" t="s">
        <v>58</v>
      </c>
      <c r="B6" s="1"/>
      <c r="C6" s="1"/>
      <c r="D6" s="1"/>
      <c r="E6" s="1"/>
      <c r="F6" s="1"/>
      <c r="G6" s="1"/>
      <c r="H6" s="1"/>
      <c r="I6" s="1"/>
      <c r="J6" s="1"/>
      <c r="L6" s="3" t="s">
        <v>45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>
        <v>0</v>
      </c>
      <c r="C8" s="6">
        <v>0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f>SUM(B8:I8)</f>
        <v>0</v>
      </c>
      <c r="L8" t="s">
        <v>5</v>
      </c>
      <c r="M8" s="9">
        <v>45</v>
      </c>
      <c r="N8" s="9">
        <v>34</v>
      </c>
      <c r="O8" s="9">
        <v>0</v>
      </c>
      <c r="P8" s="9">
        <v>0</v>
      </c>
      <c r="Q8" s="9">
        <v>49</v>
      </c>
      <c r="R8" s="9">
        <v>4</v>
      </c>
      <c r="S8" s="9">
        <v>0</v>
      </c>
      <c r="T8" s="9">
        <v>0</v>
      </c>
      <c r="U8">
        <f>SUM(M8:T8)</f>
        <v>132</v>
      </c>
      <c r="W8" s="5"/>
      <c r="X8" s="16"/>
      <c r="Y8" s="16"/>
      <c r="Z8" s="5"/>
    </row>
    <row r="9" spans="1:26" x14ac:dyDescent="0.25">
      <c r="A9" s="12">
        <v>0.125</v>
      </c>
      <c r="B9" s="6">
        <v>0.26271938314437859</v>
      </c>
      <c r="C9" s="6">
        <v>2.5071904174804689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f t="shared" ref="J9:J58" si="0">SUM(B9:I9)</f>
        <v>2.7699098006248475</v>
      </c>
      <c r="L9" s="12">
        <v>0.125</v>
      </c>
      <c r="M9" s="9">
        <v>338.03406047821045</v>
      </c>
      <c r="N9" s="9">
        <v>33.510100364685059</v>
      </c>
      <c r="O9" s="9">
        <v>0</v>
      </c>
      <c r="P9" s="9">
        <v>0</v>
      </c>
      <c r="Q9" s="9">
        <v>59.656282424926758</v>
      </c>
      <c r="R9" s="9">
        <v>2.7666616439819336</v>
      </c>
      <c r="S9" s="9">
        <v>0</v>
      </c>
      <c r="T9" s="9">
        <v>0</v>
      </c>
      <c r="U9">
        <f t="shared" ref="U9:U58" si="1">SUM(M9:T9)</f>
        <v>433.9671049118042</v>
      </c>
      <c r="W9" s="5"/>
      <c r="X9" s="16"/>
      <c r="Y9" s="16"/>
      <c r="Z9" s="5"/>
    </row>
    <row r="10" spans="1:26" x14ac:dyDescent="0.25">
      <c r="A10" s="12">
        <v>0.14583333333333334</v>
      </c>
      <c r="B10" s="6">
        <v>1.2245811923980712</v>
      </c>
      <c r="C10" s="6">
        <v>5.7913228986740108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f t="shared" si="0"/>
        <v>7.0159040910720822</v>
      </c>
      <c r="L10" s="12">
        <v>0.14583333333333334</v>
      </c>
      <c r="M10" s="9">
        <v>491.98115730285645</v>
      </c>
      <c r="N10" s="9">
        <v>29.958022117614746</v>
      </c>
      <c r="O10" s="9">
        <v>0</v>
      </c>
      <c r="P10" s="9">
        <v>0</v>
      </c>
      <c r="Q10" s="9">
        <v>60.559694290161133</v>
      </c>
      <c r="R10" s="9">
        <v>1.7061653137207031</v>
      </c>
      <c r="S10" s="9">
        <v>0</v>
      </c>
      <c r="T10" s="9">
        <v>0</v>
      </c>
      <c r="U10">
        <f t="shared" si="1"/>
        <v>584.20503902435303</v>
      </c>
      <c r="W10" s="5"/>
      <c r="X10" s="16"/>
      <c r="Y10" s="16"/>
      <c r="Z10" s="5"/>
    </row>
    <row r="11" spans="1:26" x14ac:dyDescent="0.25">
      <c r="A11" s="12">
        <v>0.16666666666666666</v>
      </c>
      <c r="B11" s="6">
        <v>4.4161150272369385</v>
      </c>
      <c r="C11" s="6">
        <v>10.142199769020081</v>
      </c>
      <c r="D11" s="6">
        <v>0</v>
      </c>
      <c r="E11" s="6">
        <v>0</v>
      </c>
      <c r="F11" s="6">
        <v>9.6834278106689453E-5</v>
      </c>
      <c r="G11" s="6">
        <v>0</v>
      </c>
      <c r="H11" s="6">
        <v>0</v>
      </c>
      <c r="I11" s="6">
        <v>0</v>
      </c>
      <c r="J11" s="6">
        <f t="shared" si="0"/>
        <v>14.558411630535126</v>
      </c>
      <c r="L11" s="12">
        <v>0.16666666666666666</v>
      </c>
      <c r="M11" s="9">
        <v>469.69200706481934</v>
      </c>
      <c r="N11" s="9">
        <v>23.219714164733887</v>
      </c>
      <c r="O11" s="9">
        <v>0</v>
      </c>
      <c r="P11" s="9">
        <v>0</v>
      </c>
      <c r="Q11" s="9">
        <v>49.703396797180176</v>
      </c>
      <c r="R11" s="9">
        <v>0.92613887786865234</v>
      </c>
      <c r="S11" s="9">
        <v>0</v>
      </c>
      <c r="T11" s="9">
        <v>0</v>
      </c>
      <c r="U11">
        <f t="shared" si="1"/>
        <v>543.54125690460205</v>
      </c>
      <c r="W11" s="5"/>
      <c r="X11" s="16"/>
      <c r="Y11" s="16"/>
      <c r="Z11" s="5"/>
    </row>
    <row r="12" spans="1:26" x14ac:dyDescent="0.25">
      <c r="A12" s="12">
        <v>0.1875</v>
      </c>
      <c r="B12" s="6">
        <v>13.193662368392944</v>
      </c>
      <c r="C12" s="6">
        <v>15.402182523155213</v>
      </c>
      <c r="D12" s="6">
        <v>0</v>
      </c>
      <c r="E12" s="6">
        <v>0</v>
      </c>
      <c r="F12" s="6">
        <v>1.936685562133789E-3</v>
      </c>
      <c r="G12" s="6">
        <v>0</v>
      </c>
      <c r="H12" s="6">
        <v>0</v>
      </c>
      <c r="I12" s="6">
        <v>0</v>
      </c>
      <c r="J12" s="6">
        <f t="shared" si="0"/>
        <v>28.59778157711029</v>
      </c>
      <c r="L12" s="12">
        <v>0.1875</v>
      </c>
      <c r="M12" s="9">
        <v>345.90665626525879</v>
      </c>
      <c r="N12" s="9">
        <v>16.558332443237305</v>
      </c>
      <c r="O12" s="9">
        <v>0</v>
      </c>
      <c r="P12" s="9">
        <v>0</v>
      </c>
      <c r="Q12" s="9">
        <v>33.217175483703613</v>
      </c>
      <c r="R12" s="9">
        <v>0.44525909423828125</v>
      </c>
      <c r="S12" s="9">
        <v>0</v>
      </c>
      <c r="T12" s="9">
        <v>0</v>
      </c>
      <c r="U12">
        <f t="shared" si="1"/>
        <v>396.12742328643799</v>
      </c>
      <c r="W12" s="5"/>
      <c r="X12" s="5"/>
      <c r="Y12" s="5"/>
      <c r="Z12" s="5"/>
    </row>
    <row r="13" spans="1:26" x14ac:dyDescent="0.25">
      <c r="A13" s="12">
        <v>0.20833333333333334</v>
      </c>
      <c r="B13" s="6">
        <v>33.964439276885983</v>
      </c>
      <c r="C13" s="6">
        <v>21.483492465972901</v>
      </c>
      <c r="D13" s="6">
        <v>0</v>
      </c>
      <c r="E13" s="6">
        <v>0</v>
      </c>
      <c r="F13" s="6">
        <v>1.8398512840270997E-2</v>
      </c>
      <c r="G13" s="6">
        <v>0</v>
      </c>
      <c r="H13" s="6">
        <v>0</v>
      </c>
      <c r="I13" s="6">
        <v>0</v>
      </c>
      <c r="J13" s="6">
        <f t="shared" si="0"/>
        <v>55.466330255699155</v>
      </c>
      <c r="L13" s="12">
        <v>0.20833333333333334</v>
      </c>
      <c r="M13" s="9">
        <v>238.70013618469238</v>
      </c>
      <c r="N13" s="9">
        <v>15.225081443786621</v>
      </c>
      <c r="O13" s="9">
        <v>0</v>
      </c>
      <c r="P13" s="9">
        <v>0</v>
      </c>
      <c r="Q13" s="9">
        <v>19.581604957580566</v>
      </c>
      <c r="R13" s="9">
        <v>0.22211265563964844</v>
      </c>
      <c r="S13" s="9">
        <v>0</v>
      </c>
      <c r="T13" s="9">
        <v>0</v>
      </c>
      <c r="U13">
        <f t="shared" si="1"/>
        <v>273.72893524169922</v>
      </c>
    </row>
    <row r="14" spans="1:26" x14ac:dyDescent="0.25">
      <c r="A14" s="12">
        <v>0.22916666666666666</v>
      </c>
      <c r="B14" s="6">
        <v>77.468303742599488</v>
      </c>
      <c r="C14" s="6">
        <v>28.597286032199861</v>
      </c>
      <c r="D14" s="6">
        <v>0</v>
      </c>
      <c r="E14" s="6">
        <v>0</v>
      </c>
      <c r="F14" s="6">
        <v>0.11043699903488159</v>
      </c>
      <c r="G14" s="6">
        <v>0</v>
      </c>
      <c r="H14" s="6">
        <v>0</v>
      </c>
      <c r="I14" s="6">
        <v>0</v>
      </c>
      <c r="J14" s="6">
        <f t="shared" si="0"/>
        <v>106.17602677383424</v>
      </c>
      <c r="L14" s="12">
        <v>0.22916666666666666</v>
      </c>
      <c r="M14" s="9">
        <v>248.1545295715332</v>
      </c>
      <c r="N14" s="9">
        <v>25.702786445617676</v>
      </c>
      <c r="O14" s="9">
        <v>0</v>
      </c>
      <c r="P14" s="9">
        <v>0</v>
      </c>
      <c r="Q14" s="9">
        <v>14.636579513549805</v>
      </c>
      <c r="R14" s="9">
        <v>0.21324443817138672</v>
      </c>
      <c r="S14" s="9">
        <v>0</v>
      </c>
      <c r="T14" s="9">
        <v>0</v>
      </c>
      <c r="U14">
        <f t="shared" si="1"/>
        <v>288.70713996887207</v>
      </c>
    </row>
    <row r="15" spans="1:26" x14ac:dyDescent="0.25">
      <c r="A15" s="12">
        <v>0.25</v>
      </c>
      <c r="B15" s="6">
        <v>159.4126276298523</v>
      </c>
      <c r="C15" s="6">
        <v>36.597846225166322</v>
      </c>
      <c r="D15" s="6">
        <v>0</v>
      </c>
      <c r="E15" s="6">
        <v>0</v>
      </c>
      <c r="F15" s="6">
        <v>0.47008051729202271</v>
      </c>
      <c r="G15" s="6">
        <v>0</v>
      </c>
      <c r="H15" s="6">
        <v>0</v>
      </c>
      <c r="I15" s="6">
        <v>0</v>
      </c>
      <c r="J15" s="6">
        <f t="shared" si="0"/>
        <v>196.48055437231065</v>
      </c>
      <c r="L15" s="12">
        <v>0.25</v>
      </c>
      <c r="M15" s="9">
        <v>450.76614665985107</v>
      </c>
      <c r="N15" s="9">
        <v>56.403683662414551</v>
      </c>
      <c r="O15" s="9">
        <v>0</v>
      </c>
      <c r="P15" s="9">
        <v>0</v>
      </c>
      <c r="Q15" s="9">
        <v>21.316494941711426</v>
      </c>
      <c r="R15" s="9">
        <v>0.42526626586914063</v>
      </c>
      <c r="S15" s="9">
        <v>0</v>
      </c>
      <c r="T15" s="9">
        <v>0</v>
      </c>
      <c r="U15">
        <f t="shared" si="1"/>
        <v>528.91159152984619</v>
      </c>
    </row>
    <row r="16" spans="1:26" x14ac:dyDescent="0.25">
      <c r="A16" s="12">
        <v>0.27083333333333331</v>
      </c>
      <c r="B16" s="6">
        <v>299.440826328659</v>
      </c>
      <c r="C16" s="6">
        <v>44.169173767948159</v>
      </c>
      <c r="D16" s="6">
        <v>0</v>
      </c>
      <c r="E16" s="6">
        <v>0</v>
      </c>
      <c r="F16" s="6">
        <v>1.5116323024749758</v>
      </c>
      <c r="G16" s="6">
        <v>0</v>
      </c>
      <c r="H16" s="6">
        <v>0</v>
      </c>
      <c r="I16" s="6">
        <v>0</v>
      </c>
      <c r="J16" s="6">
        <f t="shared" si="0"/>
        <v>345.12163239908216</v>
      </c>
      <c r="L16" s="12">
        <v>0.27083333333333331</v>
      </c>
      <c r="M16" s="9">
        <v>925.33665370941162</v>
      </c>
      <c r="N16" s="9">
        <v>118.30678844451904</v>
      </c>
      <c r="O16" s="9">
        <v>0</v>
      </c>
      <c r="P16" s="9">
        <v>0</v>
      </c>
      <c r="Q16" s="9">
        <v>42.193094253540039</v>
      </c>
      <c r="R16" s="9">
        <v>0.94152450561523438</v>
      </c>
      <c r="S16" s="9">
        <v>0</v>
      </c>
      <c r="T16" s="9">
        <v>0</v>
      </c>
      <c r="U16">
        <f t="shared" si="1"/>
        <v>1086.7780609130859</v>
      </c>
    </row>
    <row r="17" spans="1:21" x14ac:dyDescent="0.25">
      <c r="A17" s="12">
        <v>0.29166666666666669</v>
      </c>
      <c r="B17" s="6">
        <v>518.56924252624515</v>
      </c>
      <c r="C17" s="6">
        <v>49.36344541702271</v>
      </c>
      <c r="D17" s="6">
        <v>0</v>
      </c>
      <c r="E17" s="6">
        <v>0</v>
      </c>
      <c r="F17" s="6">
        <v>3.8390541241645821</v>
      </c>
      <c r="G17" s="6">
        <v>0</v>
      </c>
      <c r="H17" s="6">
        <v>0</v>
      </c>
      <c r="I17" s="6">
        <v>0</v>
      </c>
      <c r="J17" s="6">
        <f t="shared" si="0"/>
        <v>571.77174206743246</v>
      </c>
      <c r="L17" s="12">
        <v>0.29166666666666669</v>
      </c>
      <c r="M17" s="9">
        <v>1773.5590295791626</v>
      </c>
      <c r="N17" s="9">
        <v>224.6288948059082</v>
      </c>
      <c r="O17" s="9">
        <v>0</v>
      </c>
      <c r="P17" s="9">
        <v>0</v>
      </c>
      <c r="Q17" s="9">
        <v>81.711198806762695</v>
      </c>
      <c r="R17" s="9">
        <v>1.9304342269897461</v>
      </c>
      <c r="S17" s="9">
        <v>0</v>
      </c>
      <c r="T17" s="9">
        <v>0</v>
      </c>
      <c r="U17">
        <f t="shared" si="1"/>
        <v>2081.8295574188232</v>
      </c>
    </row>
    <row r="18" spans="1:21" x14ac:dyDescent="0.25">
      <c r="A18" s="12">
        <v>0.3125</v>
      </c>
      <c r="B18" s="6">
        <v>837.48892968769076</v>
      </c>
      <c r="C18" s="6">
        <v>51.639652992534643</v>
      </c>
      <c r="D18" s="6">
        <v>0</v>
      </c>
      <c r="E18" s="6">
        <v>0</v>
      </c>
      <c r="F18" s="6">
        <v>8.0640957956314097</v>
      </c>
      <c r="G18" s="6">
        <v>0</v>
      </c>
      <c r="H18" s="6">
        <v>0</v>
      </c>
      <c r="I18" s="6">
        <v>0</v>
      </c>
      <c r="J18" s="6">
        <f t="shared" si="0"/>
        <v>897.19267847585672</v>
      </c>
      <c r="L18" s="12">
        <v>0.3125</v>
      </c>
      <c r="M18" s="9">
        <v>3138.2647638320923</v>
      </c>
      <c r="N18" s="9">
        <v>391.21407508850098</v>
      </c>
      <c r="O18" s="9">
        <v>0</v>
      </c>
      <c r="P18" s="9">
        <v>0</v>
      </c>
      <c r="Q18" s="9">
        <v>147.76725292205811</v>
      </c>
      <c r="R18" s="9">
        <v>3.6585216522216797</v>
      </c>
      <c r="S18" s="9">
        <v>0</v>
      </c>
      <c r="T18" s="9">
        <v>0</v>
      </c>
      <c r="U18">
        <f t="shared" si="1"/>
        <v>3680.904613494873</v>
      </c>
    </row>
    <row r="19" spans="1:21" x14ac:dyDescent="0.25">
      <c r="A19" s="12">
        <v>0.33333333333333331</v>
      </c>
      <c r="B19" s="6">
        <v>1278.6018126730919</v>
      </c>
      <c r="C19" s="6">
        <v>53.476416846466066</v>
      </c>
      <c r="D19" s="6">
        <v>0</v>
      </c>
      <c r="E19" s="6">
        <v>0</v>
      </c>
      <c r="F19" s="6">
        <v>15.041362521171571</v>
      </c>
      <c r="G19" s="6">
        <v>0</v>
      </c>
      <c r="H19" s="6">
        <v>0</v>
      </c>
      <c r="I19" s="6">
        <v>0</v>
      </c>
      <c r="J19" s="6">
        <f t="shared" si="0"/>
        <v>1347.1195920407295</v>
      </c>
      <c r="L19" s="12">
        <v>0.33333333333333331</v>
      </c>
      <c r="M19" s="9">
        <v>5234.1087455749512</v>
      </c>
      <c r="N19" s="9">
        <v>638.94996166229248</v>
      </c>
      <c r="O19" s="9">
        <v>0</v>
      </c>
      <c r="P19" s="9">
        <v>0</v>
      </c>
      <c r="Q19" s="9">
        <v>253.39334201812744</v>
      </c>
      <c r="R19" s="9">
        <v>6.5156030654907227</v>
      </c>
      <c r="S19" s="9">
        <v>0</v>
      </c>
      <c r="T19" s="9">
        <v>0</v>
      </c>
      <c r="U19">
        <f t="shared" si="1"/>
        <v>6132.9676523208618</v>
      </c>
    </row>
    <row r="20" spans="1:21" x14ac:dyDescent="0.25">
      <c r="A20" s="12">
        <v>0.35416666666666669</v>
      </c>
      <c r="B20" s="6">
        <v>1872.842475702095</v>
      </c>
      <c r="C20" s="6">
        <v>59.780196506500253</v>
      </c>
      <c r="D20" s="6">
        <v>0</v>
      </c>
      <c r="E20" s="6">
        <v>0</v>
      </c>
      <c r="F20" s="6">
        <v>27.695517833423619</v>
      </c>
      <c r="G20" s="6">
        <v>0</v>
      </c>
      <c r="H20" s="6">
        <v>0</v>
      </c>
      <c r="I20" s="6">
        <v>0</v>
      </c>
      <c r="J20" s="6">
        <f t="shared" si="0"/>
        <v>1960.3181900420188</v>
      </c>
      <c r="L20" s="12">
        <v>0.35416666666666669</v>
      </c>
      <c r="M20" s="9">
        <v>8353.8624858856201</v>
      </c>
      <c r="N20" s="9">
        <v>994.08177471160889</v>
      </c>
      <c r="O20" s="9">
        <v>0</v>
      </c>
      <c r="P20" s="9">
        <v>0</v>
      </c>
      <c r="Q20" s="9">
        <v>416.66521644592285</v>
      </c>
      <c r="R20" s="9">
        <v>11.004969596862793</v>
      </c>
      <c r="S20" s="9">
        <v>0</v>
      </c>
      <c r="T20" s="9">
        <v>0</v>
      </c>
      <c r="U20">
        <f t="shared" si="1"/>
        <v>9775.6144466400146</v>
      </c>
    </row>
    <row r="21" spans="1:21" x14ac:dyDescent="0.25">
      <c r="A21" s="12">
        <v>0.375</v>
      </c>
      <c r="B21" s="6">
        <v>2671.6887176288606</v>
      </c>
      <c r="C21" s="6">
        <v>75.740825195789341</v>
      </c>
      <c r="D21" s="6">
        <v>0</v>
      </c>
      <c r="E21" s="6">
        <v>0</v>
      </c>
      <c r="F21" s="6">
        <v>54.548895295810709</v>
      </c>
      <c r="G21" s="6">
        <v>0</v>
      </c>
      <c r="H21" s="6">
        <v>0</v>
      </c>
      <c r="I21" s="6">
        <v>0</v>
      </c>
      <c r="J21" s="6">
        <f t="shared" si="0"/>
        <v>2801.9784381204609</v>
      </c>
      <c r="L21" s="12">
        <v>0.375</v>
      </c>
      <c r="M21" s="9">
        <v>12771.592903137207</v>
      </c>
      <c r="N21" s="9">
        <v>1478.6454429626465</v>
      </c>
      <c r="O21" s="9">
        <v>0</v>
      </c>
      <c r="P21" s="9">
        <v>0</v>
      </c>
      <c r="Q21" s="9">
        <v>654.9656229019165</v>
      </c>
      <c r="R21" s="9">
        <v>17.60779857635498</v>
      </c>
      <c r="S21" s="9">
        <v>0</v>
      </c>
      <c r="T21" s="9">
        <v>0</v>
      </c>
      <c r="U21">
        <f t="shared" si="1"/>
        <v>14922.811767578125</v>
      </c>
    </row>
    <row r="22" spans="1:21" x14ac:dyDescent="0.25">
      <c r="A22" s="12">
        <v>0.39583333333333331</v>
      </c>
      <c r="B22" s="6">
        <v>3761.7949137336732</v>
      </c>
      <c r="C22" s="6">
        <v>105.36029560985565</v>
      </c>
      <c r="D22" s="6">
        <v>0</v>
      </c>
      <c r="E22" s="6">
        <v>0</v>
      </c>
      <c r="F22" s="6">
        <v>111.32086117620469</v>
      </c>
      <c r="G22" s="6">
        <v>0</v>
      </c>
      <c r="H22" s="6">
        <v>0</v>
      </c>
      <c r="I22" s="6">
        <v>0</v>
      </c>
      <c r="J22" s="6">
        <f t="shared" si="0"/>
        <v>3978.4760705197336</v>
      </c>
      <c r="L22" s="12">
        <v>0.39583333333333331</v>
      </c>
      <c r="M22" s="9">
        <v>18532.894262313843</v>
      </c>
      <c r="N22" s="9">
        <v>2090.7121057510376</v>
      </c>
      <c r="O22" s="9">
        <v>0</v>
      </c>
      <c r="P22" s="9">
        <v>0</v>
      </c>
      <c r="Q22" s="9">
        <v>973.68631172180176</v>
      </c>
      <c r="R22" s="9">
        <v>26.49998664855957</v>
      </c>
      <c r="S22" s="9">
        <v>0</v>
      </c>
      <c r="T22" s="9">
        <v>0</v>
      </c>
      <c r="U22">
        <f t="shared" si="1"/>
        <v>21623.792666435242</v>
      </c>
    </row>
    <row r="23" spans="1:21" x14ac:dyDescent="0.25">
      <c r="A23" s="12">
        <v>0.41666666666666669</v>
      </c>
      <c r="B23" s="6">
        <v>5262.5238546185501</v>
      </c>
      <c r="C23" s="6">
        <v>151.55037519092559</v>
      </c>
      <c r="D23" s="6">
        <v>0</v>
      </c>
      <c r="E23" s="6">
        <v>0</v>
      </c>
      <c r="F23" s="6">
        <v>214.05950102996829</v>
      </c>
      <c r="G23" s="6">
        <v>0</v>
      </c>
      <c r="H23" s="6">
        <v>0</v>
      </c>
      <c r="I23" s="6">
        <v>0</v>
      </c>
      <c r="J23" s="6">
        <f t="shared" si="0"/>
        <v>5628.1337308394441</v>
      </c>
      <c r="L23" s="12">
        <v>0.41666666666666669</v>
      </c>
      <c r="M23" s="9">
        <v>25264.924990653992</v>
      </c>
      <c r="N23" s="9">
        <v>2788.2141704559326</v>
      </c>
      <c r="O23" s="9">
        <v>0</v>
      </c>
      <c r="P23" s="9">
        <v>0</v>
      </c>
      <c r="Q23" s="9">
        <v>1356.6752252578735</v>
      </c>
      <c r="R23" s="9">
        <v>37.281915664672852</v>
      </c>
      <c r="S23" s="9">
        <v>0</v>
      </c>
      <c r="T23" s="9">
        <v>0</v>
      </c>
      <c r="U23">
        <f t="shared" si="1"/>
        <v>29447.096302032471</v>
      </c>
    </row>
    <row r="24" spans="1:21" x14ac:dyDescent="0.25">
      <c r="A24" s="12">
        <v>0.4375</v>
      </c>
      <c r="B24" s="6">
        <v>7266.013966601944</v>
      </c>
      <c r="C24" s="6">
        <v>216.13113527231215</v>
      </c>
      <c r="D24" s="6">
        <v>0</v>
      </c>
      <c r="E24" s="6">
        <v>0</v>
      </c>
      <c r="F24" s="6">
        <v>362.32249208307269</v>
      </c>
      <c r="G24" s="6">
        <v>0</v>
      </c>
      <c r="H24" s="6">
        <v>0</v>
      </c>
      <c r="I24" s="6">
        <v>0</v>
      </c>
      <c r="J24" s="6">
        <f t="shared" si="0"/>
        <v>7844.467593957329</v>
      </c>
      <c r="L24" s="12">
        <v>0.4375</v>
      </c>
      <c r="M24" s="9">
        <v>32173.836802482605</v>
      </c>
      <c r="N24" s="9">
        <v>3492.178448677063</v>
      </c>
      <c r="O24" s="9">
        <v>0</v>
      </c>
      <c r="P24" s="9">
        <v>0</v>
      </c>
      <c r="Q24" s="9">
        <v>1766.4886302947998</v>
      </c>
      <c r="R24" s="9">
        <v>48.964696884155273</v>
      </c>
      <c r="S24" s="9">
        <v>0</v>
      </c>
      <c r="T24" s="9">
        <v>0</v>
      </c>
      <c r="U24">
        <f t="shared" si="1"/>
        <v>37481.468578338623</v>
      </c>
    </row>
    <row r="25" spans="1:21" x14ac:dyDescent="0.25">
      <c r="A25" s="12">
        <v>0.45833333333333331</v>
      </c>
      <c r="B25" s="6">
        <v>9704.7622613997446</v>
      </c>
      <c r="C25" s="6">
        <v>297.60879566926951</v>
      </c>
      <c r="D25" s="6">
        <v>0</v>
      </c>
      <c r="E25" s="6">
        <v>0</v>
      </c>
      <c r="F25" s="6">
        <v>524.34229596757893</v>
      </c>
      <c r="G25" s="6">
        <v>0</v>
      </c>
      <c r="H25" s="6">
        <v>0</v>
      </c>
      <c r="I25" s="6">
        <v>0</v>
      </c>
      <c r="J25" s="6">
        <f t="shared" si="0"/>
        <v>10526.713353036594</v>
      </c>
      <c r="L25" s="12">
        <v>0.45833333333333331</v>
      </c>
      <c r="M25" s="9">
        <v>38246.28491973877</v>
      </c>
      <c r="N25" s="9">
        <v>4108.4809560775757</v>
      </c>
      <c r="O25" s="9">
        <v>0</v>
      </c>
      <c r="P25" s="9">
        <v>0</v>
      </c>
      <c r="Q25" s="9">
        <v>2153.8241519927979</v>
      </c>
      <c r="R25" s="9">
        <v>60.259539604187012</v>
      </c>
      <c r="S25" s="9">
        <v>0</v>
      </c>
      <c r="T25" s="9">
        <v>0</v>
      </c>
      <c r="U25">
        <f t="shared" si="1"/>
        <v>44568.84956741333</v>
      </c>
    </row>
    <row r="26" spans="1:21" x14ac:dyDescent="0.25">
      <c r="A26" s="12">
        <v>0.47916666666666669</v>
      </c>
      <c r="B26" s="6">
        <v>12224.430161147879</v>
      </c>
      <c r="C26" s="6">
        <v>387.42178599357607</v>
      </c>
      <c r="D26" s="6">
        <v>0</v>
      </c>
      <c r="E26" s="6">
        <v>0</v>
      </c>
      <c r="F26" s="6">
        <v>643.27225943450924</v>
      </c>
      <c r="G26" s="6">
        <v>0</v>
      </c>
      <c r="H26" s="6">
        <v>0</v>
      </c>
      <c r="I26" s="6">
        <v>0</v>
      </c>
      <c r="J26" s="6">
        <f t="shared" si="0"/>
        <v>13255.124206575963</v>
      </c>
      <c r="L26" s="12">
        <v>0.47916666666666669</v>
      </c>
      <c r="M26" s="9">
        <v>42513.84476184845</v>
      </c>
      <c r="N26" s="9">
        <v>4551.7850131988525</v>
      </c>
      <c r="O26" s="9">
        <v>0</v>
      </c>
      <c r="P26" s="9">
        <v>0</v>
      </c>
      <c r="Q26" s="9">
        <v>2468.2750339508057</v>
      </c>
      <c r="R26" s="9">
        <v>69.940104484558105</v>
      </c>
      <c r="S26" s="9">
        <v>0</v>
      </c>
      <c r="T26" s="9">
        <v>0</v>
      </c>
      <c r="U26">
        <f t="shared" si="1"/>
        <v>49603.844913482666</v>
      </c>
    </row>
    <row r="27" spans="1:21" x14ac:dyDescent="0.25">
      <c r="A27" s="12">
        <v>0.5</v>
      </c>
      <c r="B27" s="6">
        <v>14210.770368765354</v>
      </c>
      <c r="C27" s="6">
        <v>468.57604124555593</v>
      </c>
      <c r="D27" s="6">
        <v>0</v>
      </c>
      <c r="E27" s="6">
        <v>0</v>
      </c>
      <c r="F27" s="6">
        <v>668.77390953092572</v>
      </c>
      <c r="G27" s="6">
        <v>0</v>
      </c>
      <c r="H27" s="6">
        <v>0</v>
      </c>
      <c r="I27" s="6">
        <v>0</v>
      </c>
      <c r="J27" s="6">
        <f t="shared" si="0"/>
        <v>15348.120319541837</v>
      </c>
      <c r="L27" s="12">
        <v>0.5</v>
      </c>
      <c r="M27" s="9">
        <v>44264.762723922729</v>
      </c>
      <c r="N27" s="9">
        <v>4760.6982564926147</v>
      </c>
      <c r="O27" s="9">
        <v>0</v>
      </c>
      <c r="P27" s="9">
        <v>0</v>
      </c>
      <c r="Q27" s="9">
        <v>2666.3791522979736</v>
      </c>
      <c r="R27" s="9">
        <v>77.05726146697998</v>
      </c>
      <c r="S27" s="9">
        <v>0</v>
      </c>
      <c r="T27" s="9">
        <v>0</v>
      </c>
      <c r="U27">
        <f t="shared" si="1"/>
        <v>51768.897394180298</v>
      </c>
    </row>
    <row r="28" spans="1:21" x14ac:dyDescent="0.25">
      <c r="A28" s="12">
        <v>0.52083333333333337</v>
      </c>
      <c r="B28" s="6">
        <v>15039.865526502228</v>
      </c>
      <c r="C28" s="6">
        <v>520.07955606479652</v>
      </c>
      <c r="D28" s="6">
        <v>0</v>
      </c>
      <c r="E28" s="6">
        <v>0</v>
      </c>
      <c r="F28" s="6">
        <v>591.05121307468426</v>
      </c>
      <c r="G28" s="6">
        <v>0</v>
      </c>
      <c r="H28" s="6">
        <v>0</v>
      </c>
      <c r="I28" s="6">
        <v>0</v>
      </c>
      <c r="J28" s="6">
        <f t="shared" si="0"/>
        <v>16150.996295641709</v>
      </c>
      <c r="L28" s="12">
        <v>0.52083333333333337</v>
      </c>
      <c r="M28" s="9">
        <v>43205.337458610535</v>
      </c>
      <c r="N28" s="9">
        <v>4707.9778146743774</v>
      </c>
      <c r="O28" s="9">
        <v>0</v>
      </c>
      <c r="P28" s="9">
        <v>0</v>
      </c>
      <c r="Q28" s="9">
        <v>2720.2596883773804</v>
      </c>
      <c r="R28" s="9">
        <v>81.030643463134766</v>
      </c>
      <c r="S28" s="9">
        <v>0</v>
      </c>
      <c r="T28" s="9">
        <v>0</v>
      </c>
      <c r="U28">
        <f t="shared" si="1"/>
        <v>50714.605605125427</v>
      </c>
    </row>
    <row r="29" spans="1:21" x14ac:dyDescent="0.25">
      <c r="A29" s="12">
        <v>0.54166666666666663</v>
      </c>
      <c r="B29" s="6">
        <v>14415.934508547689</v>
      </c>
      <c r="C29" s="6">
        <v>526.07652940864568</v>
      </c>
      <c r="D29" s="6">
        <v>0</v>
      </c>
      <c r="E29" s="6">
        <v>0</v>
      </c>
      <c r="F29" s="6">
        <v>447.01193996381761</v>
      </c>
      <c r="G29" s="6">
        <v>0</v>
      </c>
      <c r="H29" s="6">
        <v>0</v>
      </c>
      <c r="I29" s="6">
        <v>0</v>
      </c>
      <c r="J29" s="6">
        <f t="shared" si="0"/>
        <v>15389.022977920151</v>
      </c>
      <c r="L29" s="12">
        <v>0.54166666666666663</v>
      </c>
      <c r="M29" s="9">
        <v>39571.518567085266</v>
      </c>
      <c r="N29" s="9">
        <v>4409.891918182373</v>
      </c>
      <c r="O29" s="9">
        <v>0</v>
      </c>
      <c r="P29" s="9">
        <v>0</v>
      </c>
      <c r="Q29" s="9">
        <v>2627.7974462509155</v>
      </c>
      <c r="R29" s="9">
        <v>81.722489356994629</v>
      </c>
      <c r="S29" s="9">
        <v>0</v>
      </c>
      <c r="T29" s="9">
        <v>0</v>
      </c>
      <c r="U29">
        <f t="shared" si="1"/>
        <v>46690.930420875549</v>
      </c>
    </row>
    <row r="30" spans="1:21" x14ac:dyDescent="0.25">
      <c r="A30" s="12">
        <v>0.5625</v>
      </c>
      <c r="B30" s="6">
        <v>12544.287868181229</v>
      </c>
      <c r="C30" s="6">
        <v>484.45024146966932</v>
      </c>
      <c r="D30" s="6">
        <v>0</v>
      </c>
      <c r="E30" s="6">
        <v>0</v>
      </c>
      <c r="F30" s="6">
        <v>293.64843732309345</v>
      </c>
      <c r="G30" s="6">
        <v>0</v>
      </c>
      <c r="H30" s="6">
        <v>0</v>
      </c>
      <c r="I30" s="6">
        <v>0</v>
      </c>
      <c r="J30" s="6">
        <f t="shared" si="0"/>
        <v>13322.386546973992</v>
      </c>
      <c r="L30" s="12">
        <v>0.5625</v>
      </c>
      <c r="M30" s="9">
        <v>34099.994855880737</v>
      </c>
      <c r="N30" s="9">
        <v>3927.0878171920776</v>
      </c>
      <c r="O30" s="9">
        <v>0</v>
      </c>
      <c r="P30" s="9">
        <v>0</v>
      </c>
      <c r="Q30" s="9">
        <v>2416.8069362640381</v>
      </c>
      <c r="R30" s="9">
        <v>79.456957817077637</v>
      </c>
      <c r="S30" s="9">
        <v>0</v>
      </c>
      <c r="T30" s="9">
        <v>0</v>
      </c>
      <c r="U30">
        <f t="shared" si="1"/>
        <v>40523.346567153931</v>
      </c>
    </row>
    <row r="31" spans="1:21" x14ac:dyDescent="0.25">
      <c r="A31" s="12">
        <v>0.58333333333333337</v>
      </c>
      <c r="B31" s="6">
        <v>10008.861575883389</v>
      </c>
      <c r="C31" s="6">
        <v>409.34881648969645</v>
      </c>
      <c r="D31" s="6">
        <v>0</v>
      </c>
      <c r="E31" s="6">
        <v>0</v>
      </c>
      <c r="F31" s="6">
        <v>173.85688354463579</v>
      </c>
      <c r="G31" s="6">
        <v>0</v>
      </c>
      <c r="H31" s="6">
        <v>0</v>
      </c>
      <c r="I31" s="6">
        <v>0</v>
      </c>
      <c r="J31" s="6">
        <f t="shared" si="0"/>
        <v>10592.067275917721</v>
      </c>
      <c r="L31" s="12">
        <v>0.58333333333333337</v>
      </c>
      <c r="M31" s="9">
        <v>27797.670838356018</v>
      </c>
      <c r="N31" s="9">
        <v>3348.4242095947266</v>
      </c>
      <c r="O31" s="9">
        <v>0</v>
      </c>
      <c r="P31" s="9">
        <v>0</v>
      </c>
      <c r="Q31" s="9">
        <v>2136.2020416259766</v>
      </c>
      <c r="R31" s="9">
        <v>74.918988227844238</v>
      </c>
      <c r="S31" s="9">
        <v>0</v>
      </c>
      <c r="T31" s="9">
        <v>0</v>
      </c>
      <c r="U31">
        <f t="shared" si="1"/>
        <v>33357.216077804565</v>
      </c>
    </row>
    <row r="32" spans="1:21" x14ac:dyDescent="0.25">
      <c r="A32" s="12">
        <v>0.60416666666666663</v>
      </c>
      <c r="B32" s="6">
        <v>7462.9844227876674</v>
      </c>
      <c r="C32" s="6">
        <v>325.05187559537887</v>
      </c>
      <c r="D32" s="6">
        <v>0</v>
      </c>
      <c r="E32" s="6">
        <v>0</v>
      </c>
      <c r="F32" s="6">
        <v>101.16495730800629</v>
      </c>
      <c r="G32" s="6">
        <v>0</v>
      </c>
      <c r="H32" s="6">
        <v>0</v>
      </c>
      <c r="I32" s="6">
        <v>0</v>
      </c>
      <c r="J32" s="6">
        <f t="shared" si="0"/>
        <v>7889.2012556910531</v>
      </c>
      <c r="L32" s="12">
        <v>0.60416666666666663</v>
      </c>
      <c r="M32" s="9">
        <v>21613.44780254364</v>
      </c>
      <c r="N32" s="9">
        <v>2763.4509496688843</v>
      </c>
      <c r="O32" s="9">
        <v>0</v>
      </c>
      <c r="P32" s="9">
        <v>0</v>
      </c>
      <c r="Q32" s="9">
        <v>1838.2231540679932</v>
      </c>
      <c r="R32" s="9">
        <v>69.005210876464844</v>
      </c>
      <c r="S32" s="9">
        <v>0</v>
      </c>
      <c r="T32" s="9">
        <v>0</v>
      </c>
      <c r="U32">
        <f t="shared" si="1"/>
        <v>26284.127117156982</v>
      </c>
    </row>
    <row r="33" spans="1:21" x14ac:dyDescent="0.25">
      <c r="A33" s="12">
        <v>0.625</v>
      </c>
      <c r="B33" s="6">
        <v>5355.7355403942111</v>
      </c>
      <c r="C33" s="6">
        <v>253.52018659954069</v>
      </c>
      <c r="D33" s="6">
        <v>0</v>
      </c>
      <c r="E33" s="6">
        <v>0</v>
      </c>
      <c r="F33" s="6">
        <v>66.538994878292101</v>
      </c>
      <c r="G33" s="6">
        <v>0</v>
      </c>
      <c r="H33" s="6">
        <v>0</v>
      </c>
      <c r="I33" s="6">
        <v>0</v>
      </c>
      <c r="J33" s="6">
        <f t="shared" si="0"/>
        <v>5675.7947218720437</v>
      </c>
      <c r="L33" s="12">
        <v>0.625</v>
      </c>
      <c r="M33" s="9">
        <v>16200.085659980774</v>
      </c>
      <c r="N33" s="9">
        <v>2238.9360961914063</v>
      </c>
      <c r="O33" s="9">
        <v>0</v>
      </c>
      <c r="P33" s="9">
        <v>0</v>
      </c>
      <c r="Q33" s="9">
        <v>1563.0443887710571</v>
      </c>
      <c r="R33" s="9">
        <v>62.703989028930664</v>
      </c>
      <c r="S33" s="9">
        <v>0</v>
      </c>
      <c r="T33" s="9">
        <v>0</v>
      </c>
      <c r="U33">
        <f t="shared" si="1"/>
        <v>20064.770133972168</v>
      </c>
    </row>
    <row r="34" spans="1:21" x14ac:dyDescent="0.25">
      <c r="A34" s="12">
        <v>0.64583333333333337</v>
      </c>
      <c r="B34" s="6">
        <v>3833.3699008703234</v>
      </c>
      <c r="C34" s="6">
        <v>203.2996383608818</v>
      </c>
      <c r="D34" s="6">
        <v>0</v>
      </c>
      <c r="E34" s="6">
        <v>0</v>
      </c>
      <c r="F34" s="6">
        <v>53.006052491188058</v>
      </c>
      <c r="G34" s="6">
        <v>0</v>
      </c>
      <c r="H34" s="6">
        <v>0</v>
      </c>
      <c r="I34" s="6">
        <v>0</v>
      </c>
      <c r="J34" s="6">
        <f t="shared" si="0"/>
        <v>4089.6755917223936</v>
      </c>
      <c r="L34" s="12">
        <v>0.64583333333333337</v>
      </c>
      <c r="M34" s="9">
        <v>11855.621423721313</v>
      </c>
      <c r="N34" s="9">
        <v>1809.1861209869385</v>
      </c>
      <c r="O34" s="9">
        <v>0</v>
      </c>
      <c r="P34" s="9">
        <v>0</v>
      </c>
      <c r="Q34" s="9">
        <v>1332.730565071106</v>
      </c>
      <c r="R34" s="9">
        <v>56.944317817687988</v>
      </c>
      <c r="S34" s="9">
        <v>0</v>
      </c>
      <c r="T34" s="9">
        <v>0</v>
      </c>
      <c r="U34">
        <f t="shared" si="1"/>
        <v>15054.482427597046</v>
      </c>
    </row>
    <row r="35" spans="1:21" x14ac:dyDescent="0.25">
      <c r="A35" s="12">
        <v>0.66666666666666663</v>
      </c>
      <c r="B35" s="6">
        <v>2807.2545634438511</v>
      </c>
      <c r="C35" s="6">
        <v>168.20339516944887</v>
      </c>
      <c r="D35" s="6">
        <v>0</v>
      </c>
      <c r="E35" s="6">
        <v>0</v>
      </c>
      <c r="F35" s="6">
        <v>46.117521671295165</v>
      </c>
      <c r="G35" s="6">
        <v>0</v>
      </c>
      <c r="H35" s="6">
        <v>0</v>
      </c>
      <c r="I35" s="6">
        <v>0</v>
      </c>
      <c r="J35" s="6">
        <f t="shared" si="0"/>
        <v>3021.575480284595</v>
      </c>
      <c r="L35" s="12">
        <v>0.66666666666666663</v>
      </c>
      <c r="M35" s="9">
        <v>8595.5354232788086</v>
      </c>
      <c r="N35" s="9">
        <v>1479.2117328643799</v>
      </c>
      <c r="O35" s="9">
        <v>0</v>
      </c>
      <c r="P35" s="9">
        <v>0</v>
      </c>
      <c r="Q35" s="9">
        <v>1153.2875680923462</v>
      </c>
      <c r="R35" s="9">
        <v>52.374839782714844</v>
      </c>
      <c r="S35" s="9">
        <v>0</v>
      </c>
      <c r="T35" s="9">
        <v>0</v>
      </c>
      <c r="U35">
        <f t="shared" si="1"/>
        <v>11280.40956401825</v>
      </c>
    </row>
    <row r="36" spans="1:21" x14ac:dyDescent="0.25">
      <c r="A36" s="12">
        <v>0.6875</v>
      </c>
      <c r="B36" s="6">
        <v>2096.2530536138534</v>
      </c>
      <c r="C36" s="6">
        <v>136.56265436363219</v>
      </c>
      <c r="D36" s="6">
        <v>0</v>
      </c>
      <c r="E36" s="6">
        <v>0</v>
      </c>
      <c r="F36" s="6">
        <v>38.052359364414215</v>
      </c>
      <c r="G36" s="6">
        <v>0</v>
      </c>
      <c r="H36" s="6">
        <v>0</v>
      </c>
      <c r="I36" s="6">
        <v>0</v>
      </c>
      <c r="J36" s="6">
        <f t="shared" si="0"/>
        <v>2270.8680673418999</v>
      </c>
      <c r="L36" s="12">
        <v>0.6875</v>
      </c>
      <c r="M36" s="9">
        <v>6267.1310968399048</v>
      </c>
      <c r="N36" s="9">
        <v>1234.6919574737549</v>
      </c>
      <c r="O36" s="9">
        <v>0</v>
      </c>
      <c r="P36" s="9">
        <v>0</v>
      </c>
      <c r="Q36" s="9">
        <v>1019.8299942016602</v>
      </c>
      <c r="R36" s="9">
        <v>49.187267303466797</v>
      </c>
      <c r="S36" s="9">
        <v>0</v>
      </c>
      <c r="T36" s="9">
        <v>0</v>
      </c>
      <c r="U36">
        <f t="shared" si="1"/>
        <v>8570.8403158187866</v>
      </c>
    </row>
    <row r="37" spans="1:21" x14ac:dyDescent="0.25">
      <c r="A37" s="12">
        <v>0.70833333333333337</v>
      </c>
      <c r="B37" s="6">
        <v>1549.0765201955794</v>
      </c>
      <c r="C37" s="6">
        <v>102.15525371980667</v>
      </c>
      <c r="D37" s="6">
        <v>0</v>
      </c>
      <c r="E37" s="6">
        <v>0</v>
      </c>
      <c r="F37" s="6">
        <v>27.434196882534025</v>
      </c>
      <c r="G37" s="6">
        <v>0</v>
      </c>
      <c r="H37" s="6">
        <v>0</v>
      </c>
      <c r="I37" s="6">
        <v>0</v>
      </c>
      <c r="J37" s="6">
        <f t="shared" si="0"/>
        <v>1678.6659707979202</v>
      </c>
      <c r="L37" s="12">
        <v>0.70833333333333337</v>
      </c>
      <c r="M37" s="9">
        <v>4650.9414148330688</v>
      </c>
      <c r="N37" s="9">
        <v>1052.5056343078613</v>
      </c>
      <c r="O37" s="9">
        <v>0</v>
      </c>
      <c r="P37" s="9">
        <v>0</v>
      </c>
      <c r="Q37" s="9">
        <v>920.72828102111816</v>
      </c>
      <c r="R37" s="9">
        <v>47.086873054504395</v>
      </c>
      <c r="S37" s="9">
        <v>0</v>
      </c>
      <c r="T37" s="9">
        <v>0</v>
      </c>
      <c r="U37">
        <f t="shared" si="1"/>
        <v>6671.2622032165527</v>
      </c>
    </row>
    <row r="38" spans="1:21" x14ac:dyDescent="0.25">
      <c r="A38" s="12">
        <v>0.72916666666666663</v>
      </c>
      <c r="B38" s="6">
        <v>1094.4849299983975</v>
      </c>
      <c r="C38" s="6">
        <v>67.425461953353874</v>
      </c>
      <c r="D38" s="6">
        <v>0</v>
      </c>
      <c r="E38" s="6">
        <v>0</v>
      </c>
      <c r="F38" s="6">
        <v>16.615208958148955</v>
      </c>
      <c r="G38" s="6">
        <v>0</v>
      </c>
      <c r="H38" s="6">
        <v>0</v>
      </c>
      <c r="I38" s="6">
        <v>0</v>
      </c>
      <c r="J38" s="6">
        <f t="shared" si="0"/>
        <v>1178.5256009099005</v>
      </c>
      <c r="L38" s="12">
        <v>0.72916666666666663</v>
      </c>
      <c r="M38" s="9">
        <v>3528.6056308746338</v>
      </c>
      <c r="N38" s="9">
        <v>908.09211444854736</v>
      </c>
      <c r="O38" s="9">
        <v>0</v>
      </c>
      <c r="P38" s="9">
        <v>0</v>
      </c>
      <c r="Q38" s="9">
        <v>839.94928741455078</v>
      </c>
      <c r="R38" s="9">
        <v>45.396299362182617</v>
      </c>
      <c r="S38" s="9">
        <v>0</v>
      </c>
      <c r="T38" s="9">
        <v>0</v>
      </c>
      <c r="U38">
        <f t="shared" si="1"/>
        <v>5322.0433320999146</v>
      </c>
    </row>
    <row r="39" spans="1:21" x14ac:dyDescent="0.25">
      <c r="A39" s="12">
        <v>0.75</v>
      </c>
      <c r="B39" s="6">
        <v>723.47853572521194</v>
      </c>
      <c r="C39" s="6">
        <v>38.671761841011048</v>
      </c>
      <c r="D39" s="6">
        <v>0</v>
      </c>
      <c r="E39" s="6">
        <v>0</v>
      </c>
      <c r="F39" s="6">
        <v>8.2563460561752322</v>
      </c>
      <c r="G39" s="6">
        <v>0</v>
      </c>
      <c r="H39" s="6">
        <v>0</v>
      </c>
      <c r="I39" s="6">
        <v>0</v>
      </c>
      <c r="J39" s="6">
        <f t="shared" si="0"/>
        <v>770.40664362239818</v>
      </c>
      <c r="L39" s="12">
        <v>0.75</v>
      </c>
      <c r="M39" s="9">
        <v>2719.6936626434326</v>
      </c>
      <c r="N39" s="9">
        <v>780.55987739562988</v>
      </c>
      <c r="O39" s="9">
        <v>0</v>
      </c>
      <c r="P39" s="9">
        <v>0</v>
      </c>
      <c r="Q39" s="9">
        <v>760.82697868347168</v>
      </c>
      <c r="R39" s="9">
        <v>43.322410583496094</v>
      </c>
      <c r="S39" s="9">
        <v>0</v>
      </c>
      <c r="T39" s="9">
        <v>0</v>
      </c>
      <c r="U39">
        <f t="shared" si="1"/>
        <v>4304.4029293060303</v>
      </c>
    </row>
    <row r="40" spans="1:21" x14ac:dyDescent="0.25">
      <c r="A40" s="12">
        <v>0.77083333333333337</v>
      </c>
      <c r="B40" s="6">
        <v>446.44282672176348</v>
      </c>
      <c r="C40" s="6">
        <v>20.101307811260227</v>
      </c>
      <c r="D40" s="6">
        <v>0</v>
      </c>
      <c r="E40" s="6">
        <v>0</v>
      </c>
      <c r="F40" s="6">
        <v>3.2953649525642392</v>
      </c>
      <c r="G40" s="6">
        <v>0</v>
      </c>
      <c r="H40" s="6">
        <v>0</v>
      </c>
      <c r="I40" s="6">
        <v>0</v>
      </c>
      <c r="J40" s="6">
        <f t="shared" si="0"/>
        <v>469.83949948558791</v>
      </c>
      <c r="L40" s="12">
        <v>0.77083333333333337</v>
      </c>
      <c r="M40" s="9">
        <v>2102.5929527282715</v>
      </c>
      <c r="N40" s="9">
        <v>658.48595142364502</v>
      </c>
      <c r="O40" s="9">
        <v>0</v>
      </c>
      <c r="P40" s="9">
        <v>0</v>
      </c>
      <c r="Q40" s="9">
        <v>674.15500640869141</v>
      </c>
      <c r="R40" s="9">
        <v>40.452822685241699</v>
      </c>
      <c r="S40" s="9">
        <v>0</v>
      </c>
      <c r="T40" s="9">
        <v>0</v>
      </c>
      <c r="U40">
        <f t="shared" si="1"/>
        <v>3475.6867332458496</v>
      </c>
    </row>
    <row r="41" spans="1:21" x14ac:dyDescent="0.25">
      <c r="A41" s="12">
        <v>0.79166666666666663</v>
      </c>
      <c r="B41" s="6">
        <v>265.57233532094955</v>
      </c>
      <c r="C41" s="6">
        <v>11.876353326225281</v>
      </c>
      <c r="D41" s="6">
        <v>0</v>
      </c>
      <c r="E41" s="6">
        <v>0</v>
      </c>
      <c r="F41" s="6">
        <v>1.0291558798789977</v>
      </c>
      <c r="G41" s="6">
        <v>0</v>
      </c>
      <c r="H41" s="6">
        <v>0</v>
      </c>
      <c r="I41" s="6">
        <v>0</v>
      </c>
      <c r="J41" s="6">
        <f t="shared" si="0"/>
        <v>278.47784452705383</v>
      </c>
      <c r="L41" s="12">
        <v>0.79166666666666663</v>
      </c>
      <c r="M41" s="9">
        <v>1624.341588973999</v>
      </c>
      <c r="N41" s="9">
        <v>544.72876739501953</v>
      </c>
      <c r="O41" s="9">
        <v>0</v>
      </c>
      <c r="P41" s="9">
        <v>0</v>
      </c>
      <c r="Q41" s="9">
        <v>586.31747817993164</v>
      </c>
      <c r="R41" s="9">
        <v>37.248269081115723</v>
      </c>
      <c r="S41" s="9">
        <v>0</v>
      </c>
      <c r="T41" s="9">
        <v>0</v>
      </c>
      <c r="U41">
        <f t="shared" si="1"/>
        <v>2792.6361036300659</v>
      </c>
    </row>
    <row r="42" spans="1:21" x14ac:dyDescent="0.25">
      <c r="A42" s="12">
        <v>0.8125</v>
      </c>
      <c r="B42" s="6">
        <v>170.93717757434848</v>
      </c>
      <c r="C42" s="6">
        <v>11.459891160964968</v>
      </c>
      <c r="D42" s="6">
        <v>0</v>
      </c>
      <c r="E42" s="6">
        <v>0</v>
      </c>
      <c r="F42" s="6">
        <v>0.242126386642456</v>
      </c>
      <c r="G42" s="6">
        <v>0</v>
      </c>
      <c r="H42" s="6">
        <v>0</v>
      </c>
      <c r="I42" s="6">
        <v>0</v>
      </c>
      <c r="J42" s="6">
        <f t="shared" si="0"/>
        <v>182.63919512195591</v>
      </c>
      <c r="L42" s="12">
        <v>0.8125</v>
      </c>
      <c r="M42" s="9">
        <v>1285.96985912323</v>
      </c>
      <c r="N42" s="9">
        <v>453.64209842681885</v>
      </c>
      <c r="O42" s="9">
        <v>0</v>
      </c>
      <c r="P42" s="9">
        <v>0</v>
      </c>
      <c r="Q42" s="9">
        <v>517.387131690979</v>
      </c>
      <c r="R42" s="9">
        <v>34.956781387329102</v>
      </c>
      <c r="S42" s="9">
        <v>0</v>
      </c>
      <c r="T42" s="9">
        <v>0</v>
      </c>
      <c r="U42">
        <f t="shared" si="1"/>
        <v>2291.9558706283569</v>
      </c>
    </row>
    <row r="43" spans="1:21" x14ac:dyDescent="0.25">
      <c r="A43" s="12">
        <v>0.83333333333333337</v>
      </c>
      <c r="B43" s="6">
        <v>144.78592147626878</v>
      </c>
      <c r="C43" s="6">
        <v>15.282672285556796</v>
      </c>
      <c r="D43" s="6">
        <v>0</v>
      </c>
      <c r="E43" s="6">
        <v>0</v>
      </c>
      <c r="F43" s="6">
        <v>4.0354397773742667E-2</v>
      </c>
      <c r="G43" s="6">
        <v>0</v>
      </c>
      <c r="H43" s="6">
        <v>0</v>
      </c>
      <c r="I43" s="6">
        <v>0</v>
      </c>
      <c r="J43" s="6">
        <f t="shared" si="0"/>
        <v>160.10894815959932</v>
      </c>
      <c r="L43" s="12">
        <v>0.83333333333333337</v>
      </c>
      <c r="M43" s="9">
        <v>1098.2597246170044</v>
      </c>
      <c r="N43" s="9">
        <v>398.37237358093262</v>
      </c>
      <c r="O43" s="9">
        <v>0</v>
      </c>
      <c r="P43" s="9">
        <v>0</v>
      </c>
      <c r="Q43" s="9">
        <v>485.40900611877441</v>
      </c>
      <c r="R43" s="9">
        <v>34.679471969604492</v>
      </c>
      <c r="S43" s="9">
        <v>0</v>
      </c>
      <c r="T43" s="9">
        <v>0</v>
      </c>
      <c r="U43">
        <f t="shared" si="1"/>
        <v>2016.7205762863159</v>
      </c>
    </row>
    <row r="44" spans="1:21" x14ac:dyDescent="0.25">
      <c r="A44" s="12">
        <v>0.85416666666666663</v>
      </c>
      <c r="B44" s="6">
        <v>162.17330076751711</v>
      </c>
      <c r="C44" s="6">
        <v>19.625907875061039</v>
      </c>
      <c r="D44" s="6">
        <v>0</v>
      </c>
      <c r="E44" s="6">
        <v>0</v>
      </c>
      <c r="F44" s="6">
        <v>4.2478313446044913E-3</v>
      </c>
      <c r="G44" s="6">
        <v>0</v>
      </c>
      <c r="H44" s="6">
        <v>0</v>
      </c>
      <c r="I44" s="6">
        <v>0</v>
      </c>
      <c r="J44" s="6">
        <f t="shared" si="0"/>
        <v>181.80345647392275</v>
      </c>
      <c r="L44" s="12">
        <v>0.85416666666666663</v>
      </c>
      <c r="M44" s="9">
        <v>1034.8834180831909</v>
      </c>
      <c r="N44" s="9">
        <v>376.86719226837158</v>
      </c>
      <c r="O44" s="9">
        <v>0</v>
      </c>
      <c r="P44" s="9">
        <v>0</v>
      </c>
      <c r="Q44" s="9">
        <v>487.99407482147217</v>
      </c>
      <c r="R44" s="9">
        <v>36.219296455383301</v>
      </c>
      <c r="S44" s="9">
        <v>0</v>
      </c>
      <c r="T44" s="9">
        <v>0</v>
      </c>
      <c r="U44">
        <f t="shared" si="1"/>
        <v>1935.963981628418</v>
      </c>
    </row>
    <row r="45" spans="1:21" x14ac:dyDescent="0.25">
      <c r="A45" s="12">
        <v>0.875</v>
      </c>
      <c r="B45" s="6">
        <v>191.57211991434099</v>
      </c>
      <c r="C45" s="6">
        <v>21.453871621990206</v>
      </c>
      <c r="D45" s="6">
        <v>0</v>
      </c>
      <c r="E45" s="6">
        <v>0</v>
      </c>
      <c r="F45" s="6">
        <v>2.123915672302246E-4</v>
      </c>
      <c r="G45" s="6">
        <v>0</v>
      </c>
      <c r="H45" s="6">
        <v>0</v>
      </c>
      <c r="I45" s="6">
        <v>0</v>
      </c>
      <c r="J45" s="6">
        <f t="shared" si="0"/>
        <v>213.02620392789842</v>
      </c>
      <c r="L45" s="12">
        <v>0.875</v>
      </c>
      <c r="M45" s="9">
        <v>1022.4632978439331</v>
      </c>
      <c r="N45" s="9">
        <v>369.37608909606934</v>
      </c>
      <c r="O45" s="9">
        <v>0</v>
      </c>
      <c r="P45" s="9">
        <v>0</v>
      </c>
      <c r="Q45" s="9">
        <v>498.80775260925293</v>
      </c>
      <c r="R45" s="9">
        <v>37.830275535583496</v>
      </c>
      <c r="S45" s="9">
        <v>0</v>
      </c>
      <c r="T45" s="9">
        <v>0</v>
      </c>
      <c r="U45">
        <f t="shared" si="1"/>
        <v>1928.4774150848389</v>
      </c>
    </row>
    <row r="46" spans="1:21" x14ac:dyDescent="0.25">
      <c r="A46" s="12">
        <v>0.89583333333333337</v>
      </c>
      <c r="B46" s="6">
        <v>203.30354406814575</v>
      </c>
      <c r="C46" s="6">
        <v>19.485472356796265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f t="shared" si="0"/>
        <v>222.78901642494202</v>
      </c>
      <c r="L46" s="12">
        <v>0.89583333333333337</v>
      </c>
      <c r="M46" s="9">
        <v>977.00349426269531</v>
      </c>
      <c r="N46" s="9">
        <v>350.69650459289551</v>
      </c>
      <c r="O46" s="9">
        <v>0</v>
      </c>
      <c r="P46" s="9">
        <v>0</v>
      </c>
      <c r="Q46" s="9">
        <v>484.37905788421631</v>
      </c>
      <c r="R46" s="9">
        <v>37.287479400634766</v>
      </c>
      <c r="S46" s="9">
        <v>0</v>
      </c>
      <c r="T46" s="9">
        <v>0</v>
      </c>
      <c r="U46">
        <f t="shared" si="1"/>
        <v>1849.3665361404419</v>
      </c>
    </row>
    <row r="47" spans="1:21" x14ac:dyDescent="0.25">
      <c r="A47" s="12">
        <v>0.91666666666666663</v>
      </c>
      <c r="B47" s="6">
        <v>182.83777049226759</v>
      </c>
      <c r="C47" s="6">
        <v>14.612500485897066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f t="shared" si="0"/>
        <v>197.45027097816467</v>
      </c>
      <c r="L47" s="12">
        <v>0.91666666666666663</v>
      </c>
      <c r="M47" s="9">
        <v>853.13813209533691</v>
      </c>
      <c r="N47" s="9">
        <v>306.61829948425293</v>
      </c>
      <c r="O47" s="9">
        <v>0</v>
      </c>
      <c r="P47" s="9">
        <v>0</v>
      </c>
      <c r="Q47" s="9">
        <v>427.19537448883057</v>
      </c>
      <c r="R47" s="9">
        <v>33.421629905700684</v>
      </c>
      <c r="S47" s="9">
        <v>0</v>
      </c>
      <c r="T47" s="9">
        <v>0</v>
      </c>
      <c r="U47">
        <f t="shared" si="1"/>
        <v>1620.3734359741211</v>
      </c>
    </row>
    <row r="48" spans="1:21" x14ac:dyDescent="0.25">
      <c r="A48" s="12">
        <v>0.9375</v>
      </c>
      <c r="B48" s="6">
        <v>136.65063077907561</v>
      </c>
      <c r="C48" s="6">
        <v>8.9922374954223638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f t="shared" si="0"/>
        <v>145.64286827449797</v>
      </c>
      <c r="L48" s="12">
        <v>0.9375</v>
      </c>
      <c r="M48" s="9">
        <v>663.2492504119873</v>
      </c>
      <c r="N48" s="9">
        <v>240.82487869262695</v>
      </c>
      <c r="O48" s="9">
        <v>0</v>
      </c>
      <c r="P48" s="9">
        <v>0</v>
      </c>
      <c r="Q48" s="9">
        <v>335.40114212036133</v>
      </c>
      <c r="R48" s="9">
        <v>26.810392379760742</v>
      </c>
      <c r="S48" s="9">
        <v>0</v>
      </c>
      <c r="T48" s="9">
        <v>0</v>
      </c>
      <c r="U48">
        <f t="shared" si="1"/>
        <v>1266.2856636047363</v>
      </c>
    </row>
    <row r="49" spans="1:21" x14ac:dyDescent="0.25">
      <c r="A49" s="12">
        <v>0.95833333333333337</v>
      </c>
      <c r="B49" s="6">
        <v>83.985470702171312</v>
      </c>
      <c r="C49" s="6">
        <v>4.4961187477111819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f t="shared" si="0"/>
        <v>88.481589449882492</v>
      </c>
      <c r="L49" s="12">
        <v>0.95833333333333337</v>
      </c>
      <c r="M49" s="9">
        <v>455.5908031463623</v>
      </c>
      <c r="N49" s="9">
        <v>168.60207653045654</v>
      </c>
      <c r="O49" s="9">
        <v>0</v>
      </c>
      <c r="P49" s="9">
        <v>0</v>
      </c>
      <c r="Q49" s="9">
        <v>233.31705570220947</v>
      </c>
      <c r="R49" s="9">
        <v>19.185532569885254</v>
      </c>
      <c r="S49" s="9">
        <v>0</v>
      </c>
      <c r="T49" s="9">
        <v>0</v>
      </c>
      <c r="U49">
        <f t="shared" si="1"/>
        <v>876.69546794891357</v>
      </c>
    </row>
    <row r="50" spans="1:21" x14ac:dyDescent="0.25">
      <c r="A50" s="12">
        <v>0.97916666666666663</v>
      </c>
      <c r="B50" s="6">
        <v>41.970132099151606</v>
      </c>
      <c r="C50" s="6">
        <v>1.7984474990844728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f t="shared" si="0"/>
        <v>43.76857959823608</v>
      </c>
      <c r="L50" s="12">
        <v>0.97916666666666663</v>
      </c>
      <c r="M50" s="9">
        <v>276.83101749420166</v>
      </c>
      <c r="N50" s="9">
        <v>105.23600196838379</v>
      </c>
      <c r="O50" s="9">
        <v>0</v>
      </c>
      <c r="P50" s="9">
        <v>0</v>
      </c>
      <c r="Q50" s="9">
        <v>144.18296527862549</v>
      </c>
      <c r="R50" s="9">
        <v>12.273974418640137</v>
      </c>
      <c r="S50" s="9">
        <v>0</v>
      </c>
      <c r="T50" s="9">
        <v>0</v>
      </c>
      <c r="U50">
        <f t="shared" si="1"/>
        <v>538.52395915985107</v>
      </c>
    </row>
    <row r="51" spans="1:21" x14ac:dyDescent="0.25">
      <c r="A51" s="12">
        <v>1</v>
      </c>
      <c r="B51" s="6">
        <v>16.78386076965332</v>
      </c>
      <c r="C51" s="6">
        <v>0.56201484346389774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f t="shared" si="0"/>
        <v>17.345875613117219</v>
      </c>
      <c r="L51" s="12">
        <v>1</v>
      </c>
      <c r="M51" s="9">
        <v>149.35341262817383</v>
      </c>
      <c r="N51" s="9">
        <v>58.658378601074219</v>
      </c>
      <c r="O51" s="9">
        <v>0</v>
      </c>
      <c r="P51" s="9">
        <v>0</v>
      </c>
      <c r="Q51" s="9">
        <v>79.494333267211914</v>
      </c>
      <c r="R51" s="9">
        <v>7.0341100692749023</v>
      </c>
      <c r="S51" s="9">
        <v>0</v>
      </c>
      <c r="T51" s="9">
        <v>0</v>
      </c>
      <c r="U51">
        <f t="shared" si="1"/>
        <v>294.54023456573486</v>
      </c>
    </row>
    <row r="52" spans="1:21" x14ac:dyDescent="0.25">
      <c r="A52" s="12">
        <v>1.0208333333333333</v>
      </c>
      <c r="B52" s="6">
        <v>5.2443536930084225</v>
      </c>
      <c r="C52" s="6">
        <v>0.1322387866973877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f t="shared" si="0"/>
        <v>5.3765924797058098</v>
      </c>
      <c r="L52" s="12">
        <v>1.0208333333333333</v>
      </c>
      <c r="M52" s="9">
        <v>71.646243095397949</v>
      </c>
      <c r="N52" s="9">
        <v>29.145047187805176</v>
      </c>
      <c r="O52" s="9">
        <v>0</v>
      </c>
      <c r="P52" s="9">
        <v>0</v>
      </c>
      <c r="Q52" s="9">
        <v>39.139654159545898</v>
      </c>
      <c r="R52" s="9">
        <v>3.6013708114624023</v>
      </c>
      <c r="S52" s="9">
        <v>0</v>
      </c>
      <c r="T52" s="9">
        <v>0</v>
      </c>
      <c r="U52">
        <f t="shared" si="1"/>
        <v>143.53231525421143</v>
      </c>
    </row>
    <row r="53" spans="1:21" x14ac:dyDescent="0.25">
      <c r="A53" s="12">
        <v>4.1666666666666664E-2</v>
      </c>
      <c r="B53" s="6">
        <v>1.2339088409423826</v>
      </c>
      <c r="C53" s="6">
        <v>2.2039797782897951E-2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f t="shared" si="0"/>
        <v>1.2559486387252805</v>
      </c>
      <c r="L53" s="12">
        <v>4.1666666666666664E-2</v>
      </c>
      <c r="M53" s="9">
        <v>30.400397300720215</v>
      </c>
      <c r="N53" s="9">
        <v>12.793716430664063</v>
      </c>
      <c r="O53" s="9">
        <v>0</v>
      </c>
      <c r="P53" s="9">
        <v>0</v>
      </c>
      <c r="Q53" s="9">
        <v>17.092257499694824</v>
      </c>
      <c r="R53" s="9">
        <v>1.63018798828125</v>
      </c>
      <c r="S53" s="9">
        <v>0</v>
      </c>
      <c r="T53" s="9">
        <v>0</v>
      </c>
      <c r="U53">
        <f t="shared" si="1"/>
        <v>61.916559219360352</v>
      </c>
    </row>
    <row r="54" spans="1:21" x14ac:dyDescent="0.25">
      <c r="A54" s="12">
        <v>6.25E-2</v>
      </c>
      <c r="B54" s="6">
        <v>0.20564892196655271</v>
      </c>
      <c r="C54" s="6">
        <v>2.3199787139892578E-3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f t="shared" si="0"/>
        <v>0.20796890068054197</v>
      </c>
      <c r="L54" s="12">
        <v>6.25E-2</v>
      </c>
      <c r="M54" s="9">
        <v>11.242361068725586</v>
      </c>
      <c r="N54" s="9">
        <v>4.8750171661376953</v>
      </c>
      <c r="O54" s="9">
        <v>0</v>
      </c>
      <c r="P54" s="9">
        <v>0</v>
      </c>
      <c r="Q54" s="9">
        <v>6.5095348358154297</v>
      </c>
      <c r="R54" s="9">
        <v>0.64016151428222656</v>
      </c>
      <c r="S54" s="9">
        <v>0</v>
      </c>
      <c r="T54" s="9">
        <v>0</v>
      </c>
      <c r="U54">
        <f t="shared" si="1"/>
        <v>23.267074584960938</v>
      </c>
    </row>
    <row r="55" spans="1:21" x14ac:dyDescent="0.25">
      <c r="A55" s="12">
        <v>8.3333333333333329E-2</v>
      </c>
      <c r="B55" s="6">
        <v>2.1647254943847654E-2</v>
      </c>
      <c r="C55" s="6">
        <v>1.159989356994629E-4</v>
      </c>
      <c r="D55" s="6">
        <v>0</v>
      </c>
      <c r="E55" s="6">
        <v>0</v>
      </c>
      <c r="F55" s="6">
        <v>0</v>
      </c>
      <c r="G55" s="6">
        <v>0</v>
      </c>
      <c r="H55" s="6">
        <v>0</v>
      </c>
      <c r="I55" s="6">
        <v>0</v>
      </c>
      <c r="J55" s="6">
        <f t="shared" si="0"/>
        <v>2.1763253879547115E-2</v>
      </c>
      <c r="L55" s="12">
        <v>8.3333333333333329E-2</v>
      </c>
      <c r="M55" s="9">
        <v>3.5336027145385742</v>
      </c>
      <c r="N55" s="9">
        <v>1.5706262588500977</v>
      </c>
      <c r="O55" s="9">
        <v>0</v>
      </c>
      <c r="P55" s="9">
        <v>0</v>
      </c>
      <c r="Q55" s="9">
        <v>2.1046133041381836</v>
      </c>
      <c r="R55" s="9">
        <v>0.21228408813476563</v>
      </c>
      <c r="S55" s="9">
        <v>0</v>
      </c>
      <c r="T55" s="9">
        <v>0</v>
      </c>
      <c r="U55">
        <f t="shared" si="1"/>
        <v>7.4211263656616211</v>
      </c>
    </row>
    <row r="56" spans="1:21" x14ac:dyDescent="0.25">
      <c r="A56" s="12">
        <v>0.10416666666666667</v>
      </c>
      <c r="B56" s="6">
        <v>1.0823627471923827E-3</v>
      </c>
      <c r="C56" s="6">
        <v>0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f t="shared" si="0"/>
        <v>1.0823627471923827E-3</v>
      </c>
      <c r="L56" s="12">
        <v>0.10416666666666667</v>
      </c>
      <c r="M56" s="9">
        <v>0.91091156005859375</v>
      </c>
      <c r="N56" s="9">
        <v>0.41296482086181641</v>
      </c>
      <c r="O56" s="9">
        <v>0</v>
      </c>
      <c r="P56" s="9">
        <v>0</v>
      </c>
      <c r="Q56" s="9">
        <v>0.55685329437255859</v>
      </c>
      <c r="R56" s="9">
        <v>5.7382583618164063E-2</v>
      </c>
      <c r="S56" s="9">
        <v>0</v>
      </c>
      <c r="T56" s="9">
        <v>0</v>
      </c>
      <c r="U56">
        <f t="shared" si="1"/>
        <v>1.9381122589111328</v>
      </c>
    </row>
    <row r="57" spans="1:21" x14ac:dyDescent="0.25">
      <c r="A57" s="12">
        <v>0.125</v>
      </c>
      <c r="B57" s="6">
        <v>0</v>
      </c>
      <c r="C57" s="6">
        <v>0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f t="shared" si="0"/>
        <v>0</v>
      </c>
      <c r="L57" s="12">
        <v>0.125</v>
      </c>
      <c r="M57" s="9">
        <v>0.18102645874023438</v>
      </c>
      <c r="N57" s="9">
        <v>8.3346366882324219E-2</v>
      </c>
      <c r="O57" s="9">
        <v>0</v>
      </c>
      <c r="P57" s="9">
        <v>0</v>
      </c>
      <c r="Q57" s="9">
        <v>0.11324405670166016</v>
      </c>
      <c r="R57" s="9">
        <v>1.1889457702636719E-2</v>
      </c>
      <c r="S57" s="9">
        <v>0</v>
      </c>
      <c r="T57" s="9">
        <v>0</v>
      </c>
      <c r="U57">
        <f t="shared" si="1"/>
        <v>0.38950634002685547</v>
      </c>
    </row>
    <row r="58" spans="1:21" ht="15.75" thickBot="1" x14ac:dyDescent="0.3">
      <c r="A58" s="13" t="s">
        <v>6</v>
      </c>
      <c r="B58" s="7">
        <v>0</v>
      </c>
      <c r="C58" s="7">
        <v>0</v>
      </c>
      <c r="D58" s="7">
        <v>0</v>
      </c>
      <c r="E58" s="7">
        <v>0</v>
      </c>
      <c r="F58" s="7">
        <v>0</v>
      </c>
      <c r="G58" s="7">
        <v>0</v>
      </c>
      <c r="H58" s="7">
        <v>0</v>
      </c>
      <c r="I58" s="7">
        <v>0</v>
      </c>
      <c r="J58" s="7">
        <f t="shared" si="0"/>
        <v>0</v>
      </c>
      <c r="L58" s="13" t="s">
        <v>6</v>
      </c>
      <c r="M58" s="10">
        <v>0</v>
      </c>
      <c r="N58" s="10">
        <v>0</v>
      </c>
      <c r="O58" s="10">
        <v>0</v>
      </c>
      <c r="P58" s="10">
        <v>0</v>
      </c>
      <c r="Q58" s="10">
        <v>0</v>
      </c>
      <c r="R58" s="10">
        <v>0</v>
      </c>
      <c r="S58" s="10">
        <v>0</v>
      </c>
      <c r="T58" s="10">
        <v>0</v>
      </c>
      <c r="U58" s="1">
        <f t="shared" si="1"/>
        <v>0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B22"/>
  <sheetViews>
    <sheetView tabSelected="1" workbookViewId="0"/>
  </sheetViews>
  <sheetFormatPr defaultRowHeight="15" x14ac:dyDescent="0.25"/>
  <sheetData>
    <row r="2" spans="1:2" x14ac:dyDescent="0.25">
      <c r="A2" s="8" t="s">
        <v>33</v>
      </c>
    </row>
    <row r="3" spans="1:2" x14ac:dyDescent="0.25">
      <c r="B3" t="s">
        <v>36</v>
      </c>
    </row>
    <row r="4" spans="1:2" x14ac:dyDescent="0.25">
      <c r="B4" t="s">
        <v>37</v>
      </c>
    </row>
    <row r="22" spans="1:1" x14ac:dyDescent="0.25">
      <c r="A22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29</vt:i4>
      </vt:variant>
    </vt:vector>
  </HeadingPairs>
  <TitlesOfParts>
    <vt:vector size="41" baseType="lpstr">
      <vt:lpstr>Arrival_Time</vt:lpstr>
      <vt:lpstr>Departure_Time</vt:lpstr>
      <vt:lpstr>Duration</vt:lpstr>
      <vt:lpstr>Arrival_Time_Work</vt:lpstr>
      <vt:lpstr>Arrival_Time_School</vt:lpstr>
      <vt:lpstr>Arrival_Time_Other</vt:lpstr>
      <vt:lpstr>Arrival_Time_Workbased</vt:lpstr>
      <vt:lpstr>Depart_Time_Work</vt:lpstr>
      <vt:lpstr>Depart_Time_School</vt:lpstr>
      <vt:lpstr>Depart_Time_Other</vt:lpstr>
      <vt:lpstr>Depart_Time_Workbased</vt:lpstr>
      <vt:lpstr>Documentation</vt:lpstr>
      <vt:lpstr>DURDEST</vt:lpstr>
      <vt:lpstr>Other_Arrival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out17</vt:lpstr>
      <vt:lpstr>out18</vt:lpstr>
      <vt:lpstr>out19</vt:lpstr>
      <vt:lpstr>out2</vt:lpstr>
      <vt:lpstr>out20</vt:lpstr>
      <vt:lpstr>out21</vt:lpstr>
      <vt:lpstr>out22</vt:lpstr>
      <vt:lpstr>out3</vt:lpstr>
      <vt:lpstr>out4</vt:lpstr>
      <vt:lpstr>out5</vt:lpstr>
      <vt:lpstr>out6</vt:lpstr>
      <vt:lpstr>out7</vt:lpstr>
      <vt:lpstr>out8</vt:lpstr>
      <vt:lpstr>out9</vt:lpstr>
      <vt:lpstr>School_Arrival</vt:lpstr>
      <vt:lpstr>TIMARRPD</vt:lpstr>
      <vt:lpstr>TIMDEPPD</vt:lpstr>
      <vt:lpstr>Work_Arrival</vt:lpstr>
      <vt:lpstr>Workbased_Arrival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Bhargava Sana</dc:creator>
  <cp:lastModifiedBy>Nagendra Dhakar</cp:lastModifiedBy>
  <dcterms:created xsi:type="dcterms:W3CDTF">2011-01-31T15:16:09Z</dcterms:created>
  <dcterms:modified xsi:type="dcterms:W3CDTF">2017-04-27T22:31:11Z</dcterms:modified>
</cp:coreProperties>
</file>