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ml.chart+xml" PartName="/xl/charts/chart18.xml"/>
  <Override ContentType="application/vnd.openxmlformats-officedocument.drawingml.chart+xml" PartName="/xl/charts/chart19.xml"/>
  <Override ContentType="application/vnd.openxmlformats-officedocument.drawingml.chart+xml" PartName="/xl/charts/chart20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drawing+xml" PartName="/xl/drawings/drawing5.xml"/>
  <Override ContentType="application/vnd.openxmlformats-officedocument.drawing+xml" PartName="/xl/drawings/drawing6.xml"/>
  <Override ContentType="application/vnd.openxmlformats-officedocument.drawing+xml" PartName="/xl/drawings/drawing7.xml"/>
  <Override ContentType="application/vnd.openxmlformats-officedocument.drawing+xml" PartName="/xl/drawings/drawing8.xml"/>
  <Override ContentType="application/vnd.openxmlformats-officedocument.drawing+xml" PartName="/xl/drawings/drawing9.xml"/>
  <Override ContentType="application/vnd.openxmlformats-officedocument.drawing+xml" PartName="/xl/drawings/drawing10.xml"/>
  <Override ContentType="application/vnd.openxmlformats-officedocument.drawing+xml" PartName="/xl/drawings/drawing1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r="http://schemas.openxmlformats.org/officeDocument/2006/relationships">
  <fileVersion appName="xl" codeName="{8C4F1C90-05EB-6A55-5F09-09C24B55AC0B}" lastEdited="5" lowestEdited="4" rupBuild="9303"/>
  <workbookPr codeName="ThisWorkbook" defaultThemeVersion="124226"/>
  <bookViews>
    <workbookView activeTab="3" windowHeight="10695" windowWidth="14190" xWindow="10050" yWindow="-15"/>
  </bookViews>
  <sheets>
    <sheet name="Arrival_Time" r:id="rId1" sheetId="12"/>
    <sheet name="Departure_Time" r:id="rId2" sheetId="3"/>
    <sheet name="Duration" r:id="rId3" sheetId="13"/>
    <sheet name="Arrival_Time_Work" r:id="rId4" sheetId="15"/>
    <sheet name="Arrival_Time_School" r:id="rId5" sheetId="16"/>
    <sheet name="Arrival_Time_Other" r:id="rId6" sheetId="17"/>
    <sheet name="Arrival_Time_Workbased" r:id="rId7" sheetId="18"/>
    <sheet name="Depart_Time_Work" r:id="rId8" sheetId="19"/>
    <sheet name="Depart_Time_School" r:id="rId9" sheetId="20"/>
    <sheet name="Depart_Time_Other" r:id="rId10" sheetId="21"/>
    <sheet name="Depart_Time_Workbased" r:id="rId11" sheetId="22"/>
    <sheet name="Documentation" r:id="rId12" sheetId="7"/>
  </sheets>
  <definedNames>
    <definedName name="DURDEST">Duration!$I$8:$L$57</definedName>
    <definedName name="Other_Arrival">Arrival_Time_Other!$M$8:$T$59</definedName>
    <definedName name="School_Arrival">Arrival_Time_School!$M$8:$T$59</definedName>
    <definedName name="TIMARRPD">Arrival_Time!$I$8:$L$59</definedName>
    <definedName name="TIMDEPPD">Departure_Time!$I$8:$L$59</definedName>
    <definedName name="Work_Arrival">Arrival_Time_Work!$M$8:$T$59</definedName>
    <definedName name="Workbased_Arrival">Arrival_Time_Workbased!$M$8:$T$59</definedName>
    <definedName name="out1">Arrival_Time!$B$8:$E$58</definedName>
    <definedName name="out3">Departure_Time!$B$8:$E$58</definedName>
    <definedName name="out5">Duration!$B$8:$E$56</definedName>
    <definedName name="out7">Arrival_Time_Work!$B$8:$I$58</definedName>
    <definedName name="out9">Arrival_Time_School!$B$8:$I$58</definedName>
    <definedName name="out11">Arrival_Time_Other!$B$8:$I$58</definedName>
    <definedName name="out13">Arrival_Time_Workbased!$B$8:$I$58</definedName>
    <definedName name="out15">Depart_Time_Work!$B$8:$I$58</definedName>
    <definedName name="out17">Depart_Time_School!$B$8:$I$58</definedName>
    <definedName name="out19">Depart_Time_Other!$B$8:$I$58</definedName>
    <definedName name="out21">Depart_Time_Workbased!$B$8:$I$58</definedName>
    <definedName name="out2">Arrival_Time!$I$8:$L$58</definedName>
    <definedName name="out4">Departure_Time!$I$8:$L$58</definedName>
    <definedName name="out6">Duration!$I$8:$L$56</definedName>
    <definedName name="out8">Arrival_Time_Work!$M$8:$T$58</definedName>
    <definedName name="out10">Arrival_Time_School!$M$8:$T$58</definedName>
    <definedName name="out12">Arrival_Time_Other!$M$8:$T$58</definedName>
    <definedName name="out14">Arrival_Time_Workbased!$M$8:$T$58</definedName>
    <definedName name="out16">Depart_Time_Work!$M$8:$T$58</definedName>
    <definedName name="out18">Depart_Time_School!$M$8:$T$58</definedName>
    <definedName name="out20">Depart_Time_Other!$M$8:$T$58</definedName>
    <definedName name="out22">Depart_Time_Workbased!$M$8:$T$58</definedName>
  </definedNames>
  <calcPr calcId="145621"/>
</workbook>
</file>

<file path=xl/calcChain.xml><?xml version="1.0" encoding="utf-8"?>
<calcChain xmlns="http://schemas.openxmlformats.org/spreadsheetml/2006/main">
  <c i="22" l="1" r="U58"/>
  <c i="22" r="J58"/>
  <c i="22" r="U57"/>
  <c i="22" r="J57"/>
  <c i="22" r="U56"/>
  <c i="22" r="J56"/>
  <c i="22" r="U55"/>
  <c i="22" r="J55"/>
  <c i="22" r="U54"/>
  <c i="22" r="J54"/>
  <c i="22" r="U53"/>
  <c i="22" r="J53"/>
  <c i="22" r="U52"/>
  <c i="22" r="J52"/>
  <c i="22" r="U51"/>
  <c i="22" r="J51"/>
  <c i="22" r="U50"/>
  <c i="22" r="J50"/>
  <c i="22" r="U49"/>
  <c i="22" r="J49"/>
  <c i="22" r="U48"/>
  <c i="22" r="J48"/>
  <c i="22" r="U47"/>
  <c i="22" r="J47"/>
  <c i="22" r="U46"/>
  <c i="22" r="J46"/>
  <c i="22" r="U45"/>
  <c i="22" r="J45"/>
  <c i="22" r="U44"/>
  <c i="22" r="J44"/>
  <c i="22" r="U43"/>
  <c i="22" r="J43"/>
  <c i="22" r="U42"/>
  <c i="22" r="J42"/>
  <c i="22" r="U41"/>
  <c i="22" r="J41"/>
  <c i="22" r="U40"/>
  <c i="22" r="J40"/>
  <c i="22" r="U39"/>
  <c i="22" r="J39"/>
  <c i="22" r="U38"/>
  <c i="22" r="J38"/>
  <c i="22" r="U37"/>
  <c i="22" r="J37"/>
  <c i="22" r="U36"/>
  <c i="22" r="J36"/>
  <c i="22" r="U35"/>
  <c i="22" r="J35"/>
  <c i="22" r="U34"/>
  <c i="22" r="J34"/>
  <c i="22" r="U33"/>
  <c i="22" r="J33"/>
  <c i="22" r="U32"/>
  <c i="22" r="J32"/>
  <c i="22" r="U31"/>
  <c i="22" r="J31"/>
  <c i="22" r="U30"/>
  <c i="22" r="J30"/>
  <c i="22" r="U29"/>
  <c i="22" r="J29"/>
  <c i="22" r="U28"/>
  <c i="22" r="J28"/>
  <c i="22" r="U27"/>
  <c i="22" r="J27"/>
  <c i="22" r="U26"/>
  <c i="22" r="J26"/>
  <c i="22" r="U25"/>
  <c i="22" r="J25"/>
  <c i="22" r="U24"/>
  <c i="22" r="J24"/>
  <c i="22" r="U23"/>
  <c i="22" r="J23"/>
  <c i="22" r="U22"/>
  <c i="22" r="J22"/>
  <c i="22" r="U21"/>
  <c i="22" r="J21"/>
  <c i="22" r="U20"/>
  <c i="22" r="J20"/>
  <c i="22" r="U19"/>
  <c i="22" r="J19"/>
  <c i="22" r="U18"/>
  <c i="22" r="J18"/>
  <c i="22" r="U17"/>
  <c i="22" r="J17"/>
  <c i="22" r="U16"/>
  <c i="22" r="J16"/>
  <c i="22" r="U15"/>
  <c i="22" r="J15"/>
  <c i="22" r="U14"/>
  <c i="22" r="J14"/>
  <c i="22" r="U13"/>
  <c i="22" r="J13"/>
  <c i="22" r="U12"/>
  <c i="22" r="J12"/>
  <c i="22" r="U11"/>
  <c i="22" r="J11"/>
  <c i="22" r="U10"/>
  <c i="22" r="J10"/>
  <c i="22" r="U9"/>
  <c i="22" r="J9"/>
  <c i="22" r="U8"/>
  <c i="22" r="J8"/>
  <c i="21" r="U58"/>
  <c i="21" r="J58"/>
  <c i="21" r="U57"/>
  <c i="21" r="J57"/>
  <c i="21" r="U56"/>
  <c i="21" r="J56"/>
  <c i="21" r="U55"/>
  <c i="21" r="J55"/>
  <c i="21" r="U54"/>
  <c i="21" r="J54"/>
  <c i="21" r="U53"/>
  <c i="21" r="J53"/>
  <c i="21" r="U52"/>
  <c i="21" r="J52"/>
  <c i="21" r="U51"/>
  <c i="21" r="J51"/>
  <c i="21" r="U50"/>
  <c i="21" r="J50"/>
  <c i="21" r="U49"/>
  <c i="21" r="J49"/>
  <c i="21" r="U48"/>
  <c i="21" r="J48"/>
  <c i="21" r="U47"/>
  <c i="21" r="J47"/>
  <c i="21" r="U46"/>
  <c i="21" r="J46"/>
  <c i="21" r="U45"/>
  <c i="21" r="J45"/>
  <c i="21" r="U44"/>
  <c i="21" r="J44"/>
  <c i="21" r="U43"/>
  <c i="21" r="J43"/>
  <c i="21" r="U42"/>
  <c i="21" r="J42"/>
  <c i="21" r="U41"/>
  <c i="21" r="J41"/>
  <c i="21" r="U40"/>
  <c i="21" r="J40"/>
  <c i="21" r="U39"/>
  <c i="21" r="J39"/>
  <c i="21" r="U38"/>
  <c i="21" r="J38"/>
  <c i="21" r="U37"/>
  <c i="21" r="J37"/>
  <c i="21" r="U36"/>
  <c i="21" r="J36"/>
  <c i="21" r="U35"/>
  <c i="21" r="J35"/>
  <c i="21" r="U34"/>
  <c i="21" r="J34"/>
  <c i="21" r="U33"/>
  <c i="21" r="J33"/>
  <c i="21" r="U32"/>
  <c i="21" r="J32"/>
  <c i="21" r="U31"/>
  <c i="21" r="J31"/>
  <c i="21" r="U30"/>
  <c i="21" r="J30"/>
  <c i="21" r="U29"/>
  <c i="21" r="J29"/>
  <c i="21" r="U28"/>
  <c i="21" r="J28"/>
  <c i="21" r="U27"/>
  <c i="21" r="J27"/>
  <c i="21" r="U26"/>
  <c i="21" r="J26"/>
  <c i="21" r="U25"/>
  <c i="21" r="J25"/>
  <c i="21" r="U24"/>
  <c i="21" r="J24"/>
  <c i="21" r="U23"/>
  <c i="21" r="J23"/>
  <c i="21" r="U22"/>
  <c i="21" r="J22"/>
  <c i="21" r="U21"/>
  <c i="21" r="J21"/>
  <c i="21" r="U20"/>
  <c i="21" r="J20"/>
  <c i="21" r="U19"/>
  <c i="21" r="J19"/>
  <c i="21" r="U18"/>
  <c i="21" r="J18"/>
  <c i="21" r="U17"/>
  <c i="21" r="J17"/>
  <c i="21" r="U16"/>
  <c i="21" r="J16"/>
  <c i="21" r="U15"/>
  <c i="21" r="J15"/>
  <c i="21" r="U14"/>
  <c i="21" r="J14"/>
  <c i="21" r="U13"/>
  <c i="21" r="J13"/>
  <c i="21" r="U12"/>
  <c i="21" r="J12"/>
  <c i="21" r="U11"/>
  <c i="21" r="J11"/>
  <c i="21" r="U10"/>
  <c i="21" r="J10"/>
  <c i="21" r="U9"/>
  <c i="21" r="J9"/>
  <c i="21" r="U8"/>
  <c i="21" r="J8"/>
  <c i="20" r="U58"/>
  <c i="20" r="J58"/>
  <c i="20" r="U57"/>
  <c i="20" r="J57"/>
  <c i="20" r="U56"/>
  <c i="20" r="J56"/>
  <c i="20" r="U55"/>
  <c i="20" r="J55"/>
  <c i="20" r="U54"/>
  <c i="20" r="J54"/>
  <c i="20" r="U53"/>
  <c i="20" r="J53"/>
  <c i="20" r="U52"/>
  <c i="20" r="J52"/>
  <c i="20" r="U51"/>
  <c i="20" r="J51"/>
  <c i="20" r="U50"/>
  <c i="20" r="J50"/>
  <c i="20" r="U49"/>
  <c i="20" r="J49"/>
  <c i="20" r="U48"/>
  <c i="20" r="J48"/>
  <c i="20" r="U47"/>
  <c i="20" r="J47"/>
  <c i="20" r="U46"/>
  <c i="20" r="J46"/>
  <c i="20" r="U45"/>
  <c i="20" r="J45"/>
  <c i="20" r="U44"/>
  <c i="20" r="J44"/>
  <c i="20" r="U43"/>
  <c i="20" r="J43"/>
  <c i="20" r="U42"/>
  <c i="20" r="J42"/>
  <c i="20" r="U41"/>
  <c i="20" r="J41"/>
  <c i="20" r="U40"/>
  <c i="20" r="J40"/>
  <c i="20" r="U39"/>
  <c i="20" r="J39"/>
  <c i="20" r="U38"/>
  <c i="20" r="J38"/>
  <c i="20" r="U37"/>
  <c i="20" r="J37"/>
  <c i="20" r="U36"/>
  <c i="20" r="J36"/>
  <c i="20" r="U35"/>
  <c i="20" r="J35"/>
  <c i="20" r="U34"/>
  <c i="20" r="J34"/>
  <c i="20" r="U33"/>
  <c i="20" r="J33"/>
  <c i="20" r="U32"/>
  <c i="20" r="J32"/>
  <c i="20" r="U31"/>
  <c i="20" r="J31"/>
  <c i="20" r="U30"/>
  <c i="20" r="J30"/>
  <c i="20" r="U29"/>
  <c i="20" r="J29"/>
  <c i="20" r="U28"/>
  <c i="20" r="J28"/>
  <c i="20" r="U27"/>
  <c i="20" r="J27"/>
  <c i="20" r="U26"/>
  <c i="20" r="J26"/>
  <c i="20" r="U25"/>
  <c i="20" r="J25"/>
  <c i="20" r="U24"/>
  <c i="20" r="J24"/>
  <c i="20" r="U23"/>
  <c i="20" r="J23"/>
  <c i="20" r="U22"/>
  <c i="20" r="J22"/>
  <c i="20" r="U21"/>
  <c i="20" r="J21"/>
  <c i="20" r="U20"/>
  <c i="20" r="J20"/>
  <c i="20" r="U19"/>
  <c i="20" r="J19"/>
  <c i="20" r="U18"/>
  <c i="20" r="J18"/>
  <c i="20" r="U17"/>
  <c i="20" r="J17"/>
  <c i="20" r="U16"/>
  <c i="20" r="J16"/>
  <c i="20" r="U15"/>
  <c i="20" r="J15"/>
  <c i="20" r="U14"/>
  <c i="20" r="J14"/>
  <c i="20" r="U13"/>
  <c i="20" r="J13"/>
  <c i="20" r="U12"/>
  <c i="20" r="J12"/>
  <c i="20" r="U11"/>
  <c i="20" r="J11"/>
  <c i="20" r="U10"/>
  <c i="20" r="J10"/>
  <c i="20" r="U9"/>
  <c i="20" r="J9"/>
  <c i="20" r="U8"/>
  <c i="20" r="J8"/>
  <c i="19" l="1" r="U58"/>
  <c i="19" r="J58"/>
  <c i="19" r="U57"/>
  <c i="19" r="J57"/>
  <c i="19" r="U56"/>
  <c i="19" r="J56"/>
  <c i="19" r="U55"/>
  <c i="19" r="J55"/>
  <c i="19" r="U54"/>
  <c i="19" r="J54"/>
  <c i="19" r="U53"/>
  <c i="19" r="J53"/>
  <c i="19" r="U52"/>
  <c i="19" r="J52"/>
  <c i="19" r="U51"/>
  <c i="19" r="J51"/>
  <c i="19" r="U50"/>
  <c i="19" r="J50"/>
  <c i="19" r="U49"/>
  <c i="19" r="J49"/>
  <c i="19" r="U48"/>
  <c i="19" r="J48"/>
  <c i="19" r="U47"/>
  <c i="19" r="J47"/>
  <c i="19" r="U46"/>
  <c i="19" r="J46"/>
  <c i="19" r="U45"/>
  <c i="19" r="J45"/>
  <c i="19" r="U44"/>
  <c i="19" r="J44"/>
  <c i="19" r="U43"/>
  <c i="19" r="J43"/>
  <c i="19" r="U42"/>
  <c i="19" r="J42"/>
  <c i="19" r="U41"/>
  <c i="19" r="J41"/>
  <c i="19" r="U40"/>
  <c i="19" r="J40"/>
  <c i="19" r="U39"/>
  <c i="19" r="J39"/>
  <c i="19" r="U38"/>
  <c i="19" r="J38"/>
  <c i="19" r="U37"/>
  <c i="19" r="J37"/>
  <c i="19" r="U36"/>
  <c i="19" r="J36"/>
  <c i="19" r="U35"/>
  <c i="19" r="J35"/>
  <c i="19" r="U34"/>
  <c i="19" r="J34"/>
  <c i="19" r="U33"/>
  <c i="19" r="J33"/>
  <c i="19" r="U32"/>
  <c i="19" r="J32"/>
  <c i="19" r="U31"/>
  <c i="19" r="J31"/>
  <c i="19" r="U30"/>
  <c i="19" r="J30"/>
  <c i="19" r="U29"/>
  <c i="19" r="J29"/>
  <c i="19" r="U28"/>
  <c i="19" r="J28"/>
  <c i="19" r="U27"/>
  <c i="19" r="J27"/>
  <c i="19" r="U26"/>
  <c i="19" r="J26"/>
  <c i="19" r="U25"/>
  <c i="19" r="J25"/>
  <c i="19" r="U24"/>
  <c i="19" r="J24"/>
  <c i="19" r="U23"/>
  <c i="19" r="J23"/>
  <c i="19" r="U22"/>
  <c i="19" r="J22"/>
  <c i="19" r="U21"/>
  <c i="19" r="J21"/>
  <c i="19" r="U20"/>
  <c i="19" r="J20"/>
  <c i="19" r="U19"/>
  <c i="19" r="J19"/>
  <c i="19" r="U18"/>
  <c i="19" r="J18"/>
  <c i="19" r="U17"/>
  <c i="19" r="J17"/>
  <c i="19" r="U16"/>
  <c i="19" r="J16"/>
  <c i="19" r="U15"/>
  <c i="19" r="J15"/>
  <c i="19" r="U14"/>
  <c i="19" r="J14"/>
  <c i="19" r="U13"/>
  <c i="19" r="J13"/>
  <c i="19" r="U12"/>
  <c i="19" r="J12"/>
  <c i="19" r="U11"/>
  <c i="19" r="J11"/>
  <c i="19" r="U10"/>
  <c i="19" r="J10"/>
  <c i="19" r="U9"/>
  <c i="19" r="J9"/>
  <c i="19" r="U8"/>
  <c i="19" r="J8"/>
  <c i="13" l="1" r="L57"/>
  <c i="13" r="L111" s="1"/>
  <c i="13" r="K57"/>
  <c i="13" r="K112" s="1"/>
  <c i="13" r="J57"/>
  <c i="13" r="J113" s="1"/>
  <c i="13" r="I57"/>
  <c i="13" r="I110" s="1"/>
  <c i="13" r="E57"/>
  <c i="13" r="E112" s="1"/>
  <c i="13" r="D57"/>
  <c i="13" r="D113" s="1"/>
  <c i="13" r="C57"/>
  <c i="13" r="C110" s="1"/>
  <c i="13" r="B57"/>
  <c i="13" r="B111" s="1"/>
  <c i="3" r="L59"/>
  <c i="3" r="L115" s="1"/>
  <c i="3" r="K59"/>
  <c i="3" r="K106" s="1"/>
  <c i="3" r="J59"/>
  <c i="3" r="J115" s="1"/>
  <c i="3" r="I59"/>
  <c i="3" r="I115" s="1"/>
  <c i="3" r="E59"/>
  <c i="3" r="E115" s="1"/>
  <c i="3" r="D59"/>
  <c i="3" r="D112" s="1"/>
  <c i="3" r="C59"/>
  <c i="3" r="C114" s="1"/>
  <c i="3" r="B59"/>
  <c i="3" r="B113" s="1"/>
  <c i="3" r="L114"/>
  <c i="3" r="K110"/>
  <c i="3" r="K103"/>
  <c i="3" r="K100"/>
  <c i="3" r="L94"/>
  <c i="3" r="L91"/>
  <c i="3" r="L89"/>
  <c i="3" r="K89"/>
  <c i="3" r="D85"/>
  <c i="3" r="L82"/>
  <c i="3" r="L80"/>
  <c i="3" r="D78"/>
  <c i="12" r="L59"/>
  <c i="12" r="L115" s="1"/>
  <c i="12" r="K59"/>
  <c i="12" r="K112" s="1"/>
  <c i="12" r="J59"/>
  <c i="12" r="J113" s="1"/>
  <c i="12" r="I59"/>
  <c i="12" r="I113" s="1"/>
  <c i="12" r="E59"/>
  <c i="12" r="E110" s="1"/>
  <c i="12" r="D59"/>
  <c i="12" r="D115" s="1"/>
  <c i="12" r="C59"/>
  <c i="12" r="C114" s="1"/>
  <c i="12" r="B59"/>
  <c i="12" r="B115" s="1"/>
  <c i="18" r="U9"/>
  <c i="18" r="U10"/>
  <c i="18" r="U11"/>
  <c i="18" r="U12"/>
  <c i="18" r="U13"/>
  <c i="18" r="U14"/>
  <c i="18" r="U15"/>
  <c i="18" r="U16"/>
  <c i="18" r="U17"/>
  <c i="18" r="U18"/>
  <c i="18" r="U19"/>
  <c i="18" r="U20"/>
  <c i="18" r="U21"/>
  <c i="18" r="U22"/>
  <c i="18" r="U23"/>
  <c i="18" r="U24"/>
  <c i="18" r="U25"/>
  <c i="18" r="U26"/>
  <c i="18" r="U27"/>
  <c i="18" r="U28"/>
  <c i="18" r="U29"/>
  <c i="18" r="U30"/>
  <c i="18" r="U31"/>
  <c i="18" r="U32"/>
  <c i="18" r="U33"/>
  <c i="18" r="U34"/>
  <c i="18" r="U35"/>
  <c i="18" r="U36"/>
  <c i="18" r="U37"/>
  <c i="18" r="U38"/>
  <c i="18" r="U39"/>
  <c i="18" r="U40"/>
  <c i="18" r="U41"/>
  <c i="18" r="U42"/>
  <c i="18" r="U43"/>
  <c i="18" r="U44"/>
  <c i="18" r="U45"/>
  <c i="18" r="U46"/>
  <c i="18" r="U47"/>
  <c i="18" r="U48"/>
  <c i="18" r="U49"/>
  <c i="18" r="U50"/>
  <c i="18" r="U51"/>
  <c i="18" r="U52"/>
  <c i="18" r="U53"/>
  <c i="18" r="U54"/>
  <c i="18" r="U55"/>
  <c i="18" r="U56"/>
  <c i="18" r="U57"/>
  <c i="18" r="U58"/>
  <c i="18" r="U8"/>
  <c i="17" r="U9"/>
  <c i="17" r="U10"/>
  <c i="17" r="U11"/>
  <c i="17" r="U12"/>
  <c i="17" r="U13"/>
  <c i="17" r="U14"/>
  <c i="17" r="U15"/>
  <c i="17" r="U16"/>
  <c i="17" r="U17"/>
  <c i="17" r="U18"/>
  <c i="17" r="U19"/>
  <c i="17" r="U20"/>
  <c i="17" r="U21"/>
  <c i="17" r="U22"/>
  <c i="17" r="U23"/>
  <c i="17" r="U24"/>
  <c i="17" r="U25"/>
  <c i="17" r="U26"/>
  <c i="17" r="U27"/>
  <c i="17" r="U28"/>
  <c i="17" r="U29"/>
  <c i="17" r="U30"/>
  <c i="17" r="U31"/>
  <c i="17" r="U32"/>
  <c i="17" r="U33"/>
  <c i="17" r="U34"/>
  <c i="17" r="U35"/>
  <c i="17" r="U36"/>
  <c i="17" r="U37"/>
  <c i="17" r="U38"/>
  <c i="17" r="U39"/>
  <c i="17" r="U40"/>
  <c i="17" r="U41"/>
  <c i="17" r="U42"/>
  <c i="17" r="U43"/>
  <c i="17" r="U44"/>
  <c i="17" r="U45"/>
  <c i="17" r="U46"/>
  <c i="17" r="U47"/>
  <c i="17" r="U48"/>
  <c i="17" r="U49"/>
  <c i="17" r="U50"/>
  <c i="17" r="U51"/>
  <c i="17" r="U52"/>
  <c i="17" r="U53"/>
  <c i="17" r="U54"/>
  <c i="17" r="U55"/>
  <c i="17" r="U56"/>
  <c i="17" r="U57"/>
  <c i="17" r="U58"/>
  <c i="17" r="U8"/>
  <c i="16" r="U9"/>
  <c i="16" r="U10"/>
  <c i="16" r="U11"/>
  <c i="16" r="U12"/>
  <c i="16" r="U13"/>
  <c i="16" r="U14"/>
  <c i="16" r="U15"/>
  <c i="16" r="U16"/>
  <c i="16" r="U17"/>
  <c i="16" r="U18"/>
  <c i="16" r="U19"/>
  <c i="16" r="U20"/>
  <c i="16" r="U21"/>
  <c i="16" r="U22"/>
  <c i="16" r="U23"/>
  <c i="16" r="U24"/>
  <c i="16" r="U25"/>
  <c i="16" r="U26"/>
  <c i="16" r="U27"/>
  <c i="16" r="U28"/>
  <c i="16" r="U29"/>
  <c i="16" r="U30"/>
  <c i="16" r="U31"/>
  <c i="16" r="U32"/>
  <c i="16" r="U33"/>
  <c i="16" r="U34"/>
  <c i="16" r="U35"/>
  <c i="16" r="U36"/>
  <c i="16" r="U37"/>
  <c i="16" r="U38"/>
  <c i="16" r="U39"/>
  <c i="16" r="U40"/>
  <c i="16" r="U41"/>
  <c i="16" r="U42"/>
  <c i="16" r="U43"/>
  <c i="16" r="U44"/>
  <c i="16" r="U45"/>
  <c i="16" r="U46"/>
  <c i="16" r="U47"/>
  <c i="16" r="U48"/>
  <c i="16" r="U49"/>
  <c i="16" r="U50"/>
  <c i="16" r="U51"/>
  <c i="16" r="U52"/>
  <c i="16" r="U53"/>
  <c i="16" r="U54"/>
  <c i="16" r="U55"/>
  <c i="16" r="U56"/>
  <c i="16" r="U57"/>
  <c i="16" r="U58"/>
  <c i="16" r="U8"/>
  <c i="15" r="U9"/>
  <c i="15" r="U10"/>
  <c i="15" r="U11"/>
  <c i="15" r="U12"/>
  <c i="15" r="U13"/>
  <c i="15" r="U14"/>
  <c i="15" r="U15"/>
  <c i="15" r="U16"/>
  <c i="15" r="U17"/>
  <c i="15" r="U18"/>
  <c i="15" r="U19"/>
  <c i="15" r="U20"/>
  <c i="15" r="U21"/>
  <c i="15" r="U22"/>
  <c i="15" r="U23"/>
  <c i="15" r="U24"/>
  <c i="15" r="U25"/>
  <c i="15" r="U26"/>
  <c i="15" r="U27"/>
  <c i="15" r="U28"/>
  <c i="15" r="U29"/>
  <c i="15" r="U30"/>
  <c i="15" r="U31"/>
  <c i="15" r="U32"/>
  <c i="15" r="U33"/>
  <c i="15" r="U34"/>
  <c i="15" r="U35"/>
  <c i="15" r="U36"/>
  <c i="15" r="U37"/>
  <c i="15" r="U38"/>
  <c i="15" r="U39"/>
  <c i="15" r="U40"/>
  <c i="15" r="U41"/>
  <c i="15" r="U42"/>
  <c i="15" r="U43"/>
  <c i="15" r="U44"/>
  <c i="15" r="U45"/>
  <c i="15" r="U46"/>
  <c i="15" r="U47"/>
  <c i="15" r="U48"/>
  <c i="15" r="U49"/>
  <c i="15" r="U50"/>
  <c i="15" r="U51"/>
  <c i="15" r="U52"/>
  <c i="15" r="U53"/>
  <c i="15" r="U54"/>
  <c i="15" r="U55"/>
  <c i="15" r="U56"/>
  <c i="15" r="U57"/>
  <c i="15" r="U58"/>
  <c i="15" r="U8"/>
  <c i="13" r="M9"/>
  <c i="13" r="M10"/>
  <c i="13" r="M11"/>
  <c i="13" r="M12"/>
  <c i="13" r="M13"/>
  <c i="13" r="M14"/>
  <c i="13" r="M15"/>
  <c i="13" r="M16"/>
  <c i="13" r="M17"/>
  <c i="13" r="M18"/>
  <c i="13" r="M19"/>
  <c i="13" r="M20"/>
  <c i="13" r="M21"/>
  <c i="13" r="M22"/>
  <c i="13" r="M23"/>
  <c i="13" r="M24"/>
  <c i="13" r="M25"/>
  <c i="13" r="M26"/>
  <c i="13" r="M27"/>
  <c i="13" r="M28"/>
  <c i="13" r="M29"/>
  <c i="13" r="M30"/>
  <c i="13" r="M31"/>
  <c i="13" r="M32"/>
  <c i="13" r="M33"/>
  <c i="13" r="M34"/>
  <c i="13" r="M35"/>
  <c i="13" r="M36"/>
  <c i="13" r="M37"/>
  <c i="13" r="M38"/>
  <c i="13" r="M39"/>
  <c i="13" r="M40"/>
  <c i="13" r="M41"/>
  <c i="13" r="M42"/>
  <c i="13" r="M43"/>
  <c i="13" r="M44"/>
  <c i="13" r="M45"/>
  <c i="13" r="M46"/>
  <c i="13" r="M47"/>
  <c i="13" r="M48"/>
  <c i="13" r="M49"/>
  <c i="13" r="M50"/>
  <c i="13" r="M51"/>
  <c i="13" r="M52"/>
  <c i="13" r="M53"/>
  <c i="13" r="M54"/>
  <c i="13" r="M55"/>
  <c i="13" r="M56"/>
  <c i="13" r="M8"/>
  <c i="3" r="M9"/>
  <c i="3" r="M10"/>
  <c i="3" r="M11"/>
  <c i="3" r="M12"/>
  <c i="3" r="M13"/>
  <c i="3" r="M14"/>
  <c i="3" r="M15"/>
  <c i="3" r="M16"/>
  <c i="3" r="M17"/>
  <c i="3" r="M18"/>
  <c i="3" r="M19"/>
  <c i="3" r="M20"/>
  <c i="3" r="M21"/>
  <c i="3" r="M22"/>
  <c i="3" r="M23"/>
  <c i="3" r="M24"/>
  <c i="3" r="M25"/>
  <c i="3" r="M26"/>
  <c i="3" r="M27"/>
  <c i="3" r="M28"/>
  <c i="3" r="M29"/>
  <c i="3" r="M30"/>
  <c i="3" r="M31"/>
  <c i="3" r="M32"/>
  <c i="3" r="M33"/>
  <c i="3" r="M34"/>
  <c i="3" r="M35"/>
  <c i="3" r="M36"/>
  <c i="3" r="M37"/>
  <c i="3" r="M38"/>
  <c i="3" r="M39"/>
  <c i="3" r="M40"/>
  <c i="3" r="M41"/>
  <c i="3" r="M42"/>
  <c i="3" r="M43"/>
  <c i="3" r="M44"/>
  <c i="3" r="M45"/>
  <c i="3" r="M46"/>
  <c i="3" r="M47"/>
  <c i="3" r="M48"/>
  <c i="3" r="M49"/>
  <c i="3" r="M50"/>
  <c i="3" r="M51"/>
  <c i="3" r="M52"/>
  <c i="3" r="M53"/>
  <c i="3" r="M54"/>
  <c i="3" r="M55"/>
  <c i="3" r="M56"/>
  <c i="3" r="M57"/>
  <c i="3" r="M58"/>
  <c i="3" r="M8"/>
  <c i="12" r="M9"/>
  <c i="12" r="M10"/>
  <c i="12" r="M11"/>
  <c i="12" r="M12"/>
  <c i="12" r="M13"/>
  <c i="12" r="M14"/>
  <c i="12" r="M15"/>
  <c i="12" r="M16"/>
  <c i="12" r="M17"/>
  <c i="12" r="M18"/>
  <c i="12" r="M19"/>
  <c i="12" r="M20"/>
  <c i="12" r="M21"/>
  <c i="12" r="M22"/>
  <c i="12" r="M23"/>
  <c i="12" r="M24"/>
  <c i="12" r="M25"/>
  <c i="12" r="M26"/>
  <c i="12" r="M27"/>
  <c i="12" r="M28"/>
  <c i="12" r="M29"/>
  <c i="12" r="M30"/>
  <c i="12" r="M31"/>
  <c i="12" r="M32"/>
  <c i="12" r="M33"/>
  <c i="12" r="M34"/>
  <c i="12" r="M35"/>
  <c i="12" r="M36"/>
  <c i="12" r="M37"/>
  <c i="12" r="M38"/>
  <c i="12" r="M39"/>
  <c i="12" r="M40"/>
  <c i="12" r="M41"/>
  <c i="12" r="M42"/>
  <c i="12" r="M43"/>
  <c i="12" r="M44"/>
  <c i="12" r="M45"/>
  <c i="12" r="M46"/>
  <c i="12" r="M47"/>
  <c i="12" r="M48"/>
  <c i="12" r="M49"/>
  <c i="12" r="M50"/>
  <c i="12" r="M51"/>
  <c i="12" r="M52"/>
  <c i="12" r="M53"/>
  <c i="12" r="M54"/>
  <c i="12" r="M55"/>
  <c i="12" r="M56"/>
  <c i="12" r="M57"/>
  <c i="12" r="M58"/>
  <c i="12" r="M8"/>
  <c i="18" r="J58"/>
  <c i="18" r="J57"/>
  <c i="18" r="J56"/>
  <c i="18" r="J55"/>
  <c i="18" r="J54"/>
  <c i="18" r="J53"/>
  <c i="18" r="J52"/>
  <c i="18" r="J51"/>
  <c i="18" r="J50"/>
  <c i="18" r="J49"/>
  <c i="18" r="J48"/>
  <c i="18" r="J47"/>
  <c i="18" r="J46"/>
  <c i="18" r="J45"/>
  <c i="18" r="J44"/>
  <c i="18" r="J43"/>
  <c i="18" r="J42"/>
  <c i="18" r="J41"/>
  <c i="18" r="J40"/>
  <c i="18" r="J39"/>
  <c i="18" r="J38"/>
  <c i="18" r="J37"/>
  <c i="18" r="J36"/>
  <c i="18" r="J35"/>
  <c i="18" r="J34"/>
  <c i="18" r="J33"/>
  <c i="18" r="J32"/>
  <c i="18" r="J31"/>
  <c i="18" r="J30"/>
  <c i="18" r="J29"/>
  <c i="18" r="J28"/>
  <c i="18" r="J27"/>
  <c i="18" r="J26"/>
  <c i="18" r="J25"/>
  <c i="18" r="J24"/>
  <c i="18" r="J23"/>
  <c i="18" r="J22"/>
  <c i="18" r="J21"/>
  <c i="18" r="J20"/>
  <c i="18" r="J19"/>
  <c i="18" r="J18"/>
  <c i="18" r="J17"/>
  <c i="18" r="J16"/>
  <c i="18" r="J15"/>
  <c i="18" r="J14"/>
  <c i="18" r="J13"/>
  <c i="18" r="J12"/>
  <c i="18" r="J11"/>
  <c i="18" r="J10"/>
  <c i="18" r="J9"/>
  <c i="18" r="J8"/>
  <c i="17" r="J58"/>
  <c i="17" r="J57"/>
  <c i="17" r="J56"/>
  <c i="17" r="J55"/>
  <c i="17" r="J54"/>
  <c i="17" r="J53"/>
  <c i="17" r="J52"/>
  <c i="17" r="J51"/>
  <c i="17" r="J50"/>
  <c i="17" r="J49"/>
  <c i="17" r="J48"/>
  <c i="17" r="J47"/>
  <c i="17" r="J46"/>
  <c i="17" r="J45"/>
  <c i="17" r="J44"/>
  <c i="17" r="J43"/>
  <c i="17" r="J42"/>
  <c i="17" r="J41"/>
  <c i="17" r="J40"/>
  <c i="17" r="J39"/>
  <c i="17" r="J38"/>
  <c i="17" r="J37"/>
  <c i="17" r="J36"/>
  <c i="17" r="J35"/>
  <c i="17" r="J34"/>
  <c i="17" r="J33"/>
  <c i="17" r="J32"/>
  <c i="17" r="J31"/>
  <c i="17" r="J30"/>
  <c i="17" r="J29"/>
  <c i="17" r="J28"/>
  <c i="17" r="J27"/>
  <c i="17" r="J26"/>
  <c i="17" r="J25"/>
  <c i="17" r="J24"/>
  <c i="17" r="J23"/>
  <c i="17" r="J22"/>
  <c i="17" r="J21"/>
  <c i="17" r="J20"/>
  <c i="17" r="J19"/>
  <c i="17" r="J18"/>
  <c i="17" r="J17"/>
  <c i="17" r="J16"/>
  <c i="17" r="J15"/>
  <c i="17" r="J14"/>
  <c i="17" r="J13"/>
  <c i="17" r="J12"/>
  <c i="17" r="J11"/>
  <c i="17" r="J10"/>
  <c i="17" r="J9"/>
  <c i="17" r="J8"/>
  <c i="16" r="J58"/>
  <c i="16" r="J57"/>
  <c i="16" r="J56"/>
  <c i="16" r="J55"/>
  <c i="16" r="J54"/>
  <c i="16" r="J53"/>
  <c i="16" r="J52"/>
  <c i="16" r="J51"/>
  <c i="16" r="J50"/>
  <c i="16" r="J49"/>
  <c i="16" r="J48"/>
  <c i="16" r="J47"/>
  <c i="16" r="J46"/>
  <c i="16" r="J45"/>
  <c i="16" r="J44"/>
  <c i="16" r="J43"/>
  <c i="16" r="J42"/>
  <c i="16" r="J41"/>
  <c i="16" r="J40"/>
  <c i="16" r="J39"/>
  <c i="16" r="J38"/>
  <c i="16" r="J37"/>
  <c i="16" r="J36"/>
  <c i="16" r="J35"/>
  <c i="16" r="J34"/>
  <c i="16" r="J33"/>
  <c i="16" r="J32"/>
  <c i="16" r="J31"/>
  <c i="16" r="J30"/>
  <c i="16" r="J29"/>
  <c i="16" r="J28"/>
  <c i="16" r="J27"/>
  <c i="16" r="J26"/>
  <c i="16" r="J25"/>
  <c i="16" r="J24"/>
  <c i="16" r="J23"/>
  <c i="16" r="J22"/>
  <c i="16" r="J21"/>
  <c i="16" r="J20"/>
  <c i="16" r="J19"/>
  <c i="16" r="J18"/>
  <c i="16" r="J17"/>
  <c i="16" r="J16"/>
  <c i="16" r="J15"/>
  <c i="16" r="J14"/>
  <c i="16" r="J13"/>
  <c i="16" r="J12"/>
  <c i="16" r="J11"/>
  <c i="16" r="J10"/>
  <c i="16" r="J9"/>
  <c i="16" r="J8"/>
  <c i="15" r="J9"/>
  <c i="15" r="J10"/>
  <c i="15" r="J11"/>
  <c i="15" r="J12"/>
  <c i="15" r="J13"/>
  <c i="15" r="J14"/>
  <c i="15" r="J15"/>
  <c i="15" r="J16"/>
  <c i="15" r="J17"/>
  <c i="15" r="J18"/>
  <c i="15" r="J19"/>
  <c i="15" r="J20"/>
  <c i="15" r="J21"/>
  <c i="15" r="J22"/>
  <c i="15" r="J23"/>
  <c i="15" r="J24"/>
  <c i="15" r="J25"/>
  <c i="15" r="J26"/>
  <c i="15" r="J27"/>
  <c i="15" r="J28"/>
  <c i="15" r="J29"/>
  <c i="15" r="J30"/>
  <c i="15" r="J31"/>
  <c i="15" r="J32"/>
  <c i="15" r="J33"/>
  <c i="15" r="J34"/>
  <c i="15" r="J35"/>
  <c i="15" r="J36"/>
  <c i="15" r="J37"/>
  <c i="15" r="J38"/>
  <c i="15" r="J39"/>
  <c i="15" r="J40"/>
  <c i="15" r="J41"/>
  <c i="15" r="J42"/>
  <c i="15" r="J43"/>
  <c i="15" r="J44"/>
  <c i="15" r="J45"/>
  <c i="15" r="J46"/>
  <c i="15" r="J47"/>
  <c i="15" r="J48"/>
  <c i="15" r="J49"/>
  <c i="15" r="J50"/>
  <c i="15" r="J51"/>
  <c i="15" r="J52"/>
  <c i="15" r="J53"/>
  <c i="15" r="J54"/>
  <c i="15" r="J55"/>
  <c i="15" r="J56"/>
  <c i="15" r="J57"/>
  <c i="15" r="J58"/>
  <c i="15" r="J8"/>
  <c i="13" r="F9"/>
  <c i="13" r="F10"/>
  <c i="13" r="F11"/>
  <c i="13" r="F12"/>
  <c i="13" r="F13"/>
  <c i="13" r="F14"/>
  <c i="13" r="F15"/>
  <c i="13" r="F16"/>
  <c i="13" r="F17"/>
  <c i="13" r="F18"/>
  <c i="13" r="F19"/>
  <c i="13" r="F20"/>
  <c i="13" r="F21"/>
  <c i="13" r="F22"/>
  <c i="13" r="F23"/>
  <c i="13" r="F24"/>
  <c i="13" r="F25"/>
  <c i="13" r="F26"/>
  <c i="13" r="F27"/>
  <c i="13" r="F28"/>
  <c i="13" r="F29"/>
  <c i="13" r="F30"/>
  <c i="13" r="F31"/>
  <c i="13" r="F32"/>
  <c i="13" r="F33"/>
  <c i="13" r="F34"/>
  <c i="13" r="F35"/>
  <c i="13" r="F36"/>
  <c i="13" r="F37"/>
  <c i="13" r="F38"/>
  <c i="13" r="F39"/>
  <c i="13" r="F40"/>
  <c i="13" r="F41"/>
  <c i="13" r="F42"/>
  <c i="13" r="F43"/>
  <c i="13" r="F44"/>
  <c i="13" r="F45"/>
  <c i="13" r="F46"/>
  <c i="13" r="F47"/>
  <c i="13" r="F48"/>
  <c i="13" r="F49"/>
  <c i="13" r="F50"/>
  <c i="13" r="F51"/>
  <c i="13" r="F52"/>
  <c i="13" r="F53"/>
  <c i="13" r="F54"/>
  <c i="13" r="F55"/>
  <c i="13" r="F56"/>
  <c i="13" r="F8"/>
  <c i="3" r="F58"/>
  <c i="3" r="F57"/>
  <c i="3" r="F56"/>
  <c i="3" r="F55"/>
  <c i="3" r="F54"/>
  <c i="3" r="F53"/>
  <c i="3" r="F52"/>
  <c i="3" r="F51"/>
  <c i="3" r="F50"/>
  <c i="3" r="F49"/>
  <c i="3" r="F48"/>
  <c i="3" r="F47"/>
  <c i="3" r="F46"/>
  <c i="3" r="F45"/>
  <c i="3" r="F44"/>
  <c i="3" r="F43"/>
  <c i="3" r="F42"/>
  <c i="3" r="F41"/>
  <c i="3" r="F40"/>
  <c i="3" r="F39"/>
  <c i="3" r="F38"/>
  <c i="3" r="F37"/>
  <c i="3" r="F36"/>
  <c i="3" r="F35"/>
  <c i="3" r="F34"/>
  <c i="3" r="F33"/>
  <c i="3" r="F32"/>
  <c i="3" r="F31"/>
  <c i="3" r="F30"/>
  <c i="3" r="F29"/>
  <c i="3" r="F28"/>
  <c i="3" r="F27"/>
  <c i="3" r="F26"/>
  <c i="3" r="F25"/>
  <c i="3" r="F24"/>
  <c i="3" r="F23"/>
  <c i="3" r="F22"/>
  <c i="3" r="F21"/>
  <c i="3" r="F20"/>
  <c i="3" r="F19"/>
  <c i="3" r="F18"/>
  <c i="3" r="F17"/>
  <c i="3" r="F16"/>
  <c i="3" r="F15"/>
  <c i="3" r="F14"/>
  <c i="3" r="F13"/>
  <c i="3" r="F12"/>
  <c i="3" r="F11"/>
  <c i="3" r="F10"/>
  <c i="3" r="F9"/>
  <c i="3" r="F8"/>
  <c i="12" r="F9"/>
  <c i="12" r="F10"/>
  <c i="12" r="F11"/>
  <c i="12" r="F12"/>
  <c i="12" r="F13"/>
  <c i="12" r="F14"/>
  <c i="12" r="F15"/>
  <c i="12" r="F16"/>
  <c i="12" r="F17"/>
  <c i="12" r="F18"/>
  <c i="12" r="F19"/>
  <c i="12" r="F20"/>
  <c i="12" r="F21"/>
  <c i="12" r="F22"/>
  <c i="12" r="F23"/>
  <c i="12" r="F24"/>
  <c i="12" r="F25"/>
  <c i="12" r="F26"/>
  <c i="12" r="F27"/>
  <c i="12" r="F28"/>
  <c i="12" r="F29"/>
  <c i="12" r="F30"/>
  <c i="12" r="F31"/>
  <c i="12" r="F32"/>
  <c i="12" r="F33"/>
  <c i="12" r="F34"/>
  <c i="12" r="F35"/>
  <c i="12" r="F36"/>
  <c i="12" r="F37"/>
  <c i="12" r="F38"/>
  <c i="12" r="F39"/>
  <c i="12" r="F40"/>
  <c i="12" r="F41"/>
  <c i="12" r="F42"/>
  <c i="12" r="F43"/>
  <c i="12" r="F44"/>
  <c i="12" r="F45"/>
  <c i="12" r="F46"/>
  <c i="12" r="F47"/>
  <c i="12" r="F48"/>
  <c i="12" r="F49"/>
  <c i="12" r="F50"/>
  <c i="12" r="F51"/>
  <c i="12" r="F52"/>
  <c i="12" r="F53"/>
  <c i="12" r="F54"/>
  <c i="12" r="F55"/>
  <c i="12" r="F56"/>
  <c i="12" r="F57"/>
  <c i="12" r="F58"/>
  <c i="12" r="F8"/>
  <c i="3" l="1" r="E94"/>
  <c i="3" r="D106"/>
  <c i="3" r="E112"/>
  <c i="3" r="B112"/>
  <c i="3" r="D66"/>
  <c i="3" r="D71"/>
  <c i="3" r="L73"/>
  <c i="3" r="K75"/>
  <c i="3" r="L75"/>
  <c i="3" r="K77"/>
  <c i="3" r="J66"/>
  <c i="3" r="J68"/>
  <c i="3" r="C90"/>
  <c i="3" r="C91"/>
  <c i="3" r="C98"/>
  <c i="3" r="C100"/>
  <c i="3" r="B108"/>
  <c i="3" r="B110"/>
  <c i="3" r="B76"/>
  <c i="3" r="C77"/>
  <c i="3" r="B78"/>
  <c i="3" r="L78"/>
  <c i="3" r="B80"/>
  <c i="3" r="C82"/>
  <c i="3" r="C83"/>
  <c i="3" r="C87"/>
  <c i="3" r="L105"/>
  <c i="3" r="L67"/>
  <c i="3" r="L70"/>
  <c i="3" r="L72"/>
  <c i="3" r="L84"/>
  <c i="3" r="L86"/>
  <c i="3" r="L97"/>
  <c i="3" r="L102"/>
  <c i="3" r="L107"/>
  <c i="3" r="L111"/>
  <c i="3" r="L113"/>
  <c i="3" r="L65"/>
  <c i="3" r="K67"/>
  <c i="3" r="L69"/>
  <c i="3" r="K72"/>
  <c i="3" r="L74"/>
  <c i="3" r="L76"/>
  <c i="3" r="L79"/>
  <c i="3" r="L81"/>
  <c i="3" r="L83"/>
  <c i="3" r="K86"/>
  <c i="3" r="L88"/>
  <c i="3" r="L90"/>
  <c i="3" r="L93"/>
  <c i="3" r="L96"/>
  <c i="3" r="L99"/>
  <c i="3" r="L101"/>
  <c i="3" r="L104"/>
  <c i="3" r="K107"/>
  <c i="3" r="L109"/>
  <c i="3" r="K111"/>
  <c i="3" r="L112"/>
  <c i="3" r="L66"/>
  <c i="3" r="L68"/>
  <c i="3" r="L71"/>
  <c i="3" r="J74"/>
  <c i="3" r="L77"/>
  <c i="3" r="K79"/>
  <c i="3" r="K81"/>
  <c i="3" r="L85"/>
  <c i="3" r="L87"/>
  <c i="3" r="L92"/>
  <c i="3" r="L95"/>
  <c i="3" r="L98"/>
  <c i="3" r="L100"/>
  <c i="3" r="L103"/>
  <c i="3" r="L106"/>
  <c i="3" r="L108"/>
  <c i="3" r="L110"/>
  <c i="3" r="D102"/>
  <c i="3" r="E74"/>
  <c i="3" r="E80"/>
  <c i="3" r="E88"/>
  <c i="3" r="E96"/>
  <c i="3" r="E98"/>
  <c i="3" r="E102"/>
  <c i="3" r="E104"/>
  <c i="3" r="E114"/>
  <c i="3" r="E68"/>
  <c i="3" r="E70"/>
  <c i="3" r="E72"/>
  <c i="3" r="D74"/>
  <c i="3" r="E76"/>
  <c i="3" r="D80"/>
  <c i="3" r="D88"/>
  <c i="3" r="D99"/>
  <c i="3" r="D105"/>
  <c i="3" r="E108"/>
  <c i="3" r="E110"/>
  <c i="3" r="E66"/>
  <c i="3" r="D76"/>
  <c i="3" r="E78"/>
  <c i="3" r="C81"/>
  <c i="3" r="E82"/>
  <c i="3" r="E84"/>
  <c i="3" r="E86"/>
  <c i="3" r="C89"/>
  <c i="3" r="E90"/>
  <c i="3" r="E92"/>
  <c i="3" r="C99"/>
  <c i="3" r="E100"/>
  <c i="3" r="C102"/>
  <c i="3" r="C105"/>
  <c i="3" r="E106"/>
  <c i="3" r="C65"/>
  <c i="3" r="C67"/>
  <c i="3" r="C68"/>
  <c i="3" r="C69"/>
  <c i="3" r="C73"/>
  <c i="3" r="C75"/>
  <c i="3" r="J76"/>
  <c i="3" r="C79"/>
  <c i="3" r="J80"/>
  <c i="3" r="J82"/>
  <c i="3" r="J88"/>
  <c i="3" r="J90"/>
  <c i="3" r="C94"/>
  <c i="3" r="C95"/>
  <c i="3" r="J97"/>
  <c i="3" r="J98"/>
  <c i="3" r="J99"/>
  <c i="3" r="J100"/>
  <c i="3" r="J101"/>
  <c i="3" r="J103"/>
  <c i="3" r="J104"/>
  <c i="3" r="J105"/>
  <c i="3" r="J106"/>
  <c i="3" r="C111"/>
  <c i="3" r="D115"/>
  <c i="3" r="C66"/>
  <c i="3" r="C70"/>
  <c i="3" r="C71"/>
  <c i="3" r="C72"/>
  <c i="3" r="C74"/>
  <c i="3" r="J77"/>
  <c i="3" r="C78"/>
  <c i="3" r="J81"/>
  <c i="3" r="J83"/>
  <c i="3" r="J84"/>
  <c i="3" r="J85"/>
  <c i="3" r="J86"/>
  <c i="3" r="J87"/>
  <c i="3" r="J89"/>
  <c i="3" r="J91"/>
  <c i="3" r="J92"/>
  <c i="3" r="C96"/>
  <c i="3" r="C97"/>
  <c i="3" r="C101"/>
  <c i="3" r="C103"/>
  <c i="3" r="J108"/>
  <c i="3" r="J113"/>
  <c i="3" r="C115"/>
  <c i="3" r="J78"/>
  <c i="3" r="J93"/>
  <c i="3" r="J94"/>
  <c i="3" r="J107"/>
  <c i="3" r="J65"/>
  <c i="3" r="J67"/>
  <c i="3" r="J69"/>
  <c i="3" r="J70"/>
  <c i="3" r="J71"/>
  <c i="3" r="J72"/>
  <c i="3" r="J73"/>
  <c i="3" r="J75"/>
  <c i="3" r="C76"/>
  <c i="3" r="J79"/>
  <c i="3" r="C80"/>
  <c i="3" r="C84"/>
  <c i="3" r="C85"/>
  <c i="3" r="C86"/>
  <c i="3" r="C88"/>
  <c i="3" r="C92"/>
  <c i="3" r="C93"/>
  <c i="3" r="J95"/>
  <c i="3" r="J96"/>
  <c i="3" r="J102"/>
  <c i="3" r="C109"/>
  <c i="3" r="J110"/>
  <c i="3" r="J112"/>
  <c i="3" r="D67"/>
  <c i="3" r="K68"/>
  <c i="3" r="D70"/>
  <c i="3" r="K71"/>
  <c i="3" r="D75"/>
  <c i="3" r="D77"/>
  <c i="3" r="D79"/>
  <c i="3" r="D81"/>
  <c i="3" r="K82"/>
  <c i="3" r="D84"/>
  <c i="3" r="K85"/>
  <c i="3" r="D89"/>
  <c i="3" r="K90"/>
  <c i="3" r="K92"/>
  <c i="3" r="K94"/>
  <c i="3" r="K96"/>
  <c i="3" r="D98"/>
  <c i="3" r="K99"/>
  <c i="3" r="D103"/>
  <c i="3" r="D104"/>
  <c i="3" r="K105"/>
  <c i="3" r="D107"/>
  <c i="3" r="K108"/>
  <c i="3" r="K109"/>
  <c i="13" r="D73"/>
  <c i="3" r="K65"/>
  <c i="3" r="D69"/>
  <c i="3" r="K70"/>
  <c i="3" r="D72"/>
  <c i="3" r="K73"/>
  <c i="3" r="D83"/>
  <c i="3" r="K84"/>
  <c i="3" r="D86"/>
  <c i="3" r="K87"/>
  <c i="3" r="D91"/>
  <c i="3" r="B92"/>
  <c i="3" r="D93"/>
  <c i="3" r="B94"/>
  <c i="3" r="D95"/>
  <c i="3" r="B96"/>
  <c i="3" r="D97"/>
  <c i="3" r="K98"/>
  <c i="3" r="D100"/>
  <c i="3" r="K101"/>
  <c i="3" r="K104"/>
  <c i="3" r="C107"/>
  <c i="3" r="D109"/>
  <c i="3" r="D110"/>
  <c i="3" r="K112"/>
  <c i="3" r="K113"/>
  <c i="3" r="K114"/>
  <c i="3" r="K115"/>
  <c i="3" r="D65"/>
  <c i="3" r="K66"/>
  <c i="3" r="D68"/>
  <c i="3" r="K69"/>
  <c i="3" r="D73"/>
  <c i="3" r="K74"/>
  <c i="3" r="K76"/>
  <c i="3" r="K78"/>
  <c i="3" r="K80"/>
  <c i="3" r="D82"/>
  <c i="3" r="K83"/>
  <c i="3" r="D87"/>
  <c i="3" r="K88"/>
  <c i="3" r="D90"/>
  <c i="3" r="K91"/>
  <c i="3" r="D92"/>
  <c i="3" r="K93"/>
  <c i="3" r="D94"/>
  <c i="3" r="K95"/>
  <c i="3" r="D96"/>
  <c i="3" r="K97"/>
  <c i="3" r="D101"/>
  <c i="3" r="K102"/>
  <c i="3" r="D108"/>
  <c i="3" r="D111"/>
  <c i="3" r="D113"/>
  <c i="3" r="D114"/>
  <c i="3" r="C104"/>
  <c i="12" r="B102"/>
  <c i="3" r="C106"/>
  <c i="3" r="C108"/>
  <c i="3" r="J109"/>
  <c i="3" r="C110"/>
  <c i="3" r="J111"/>
  <c i="3" r="C112"/>
  <c i="3" r="J114"/>
  <c i="12" r="B70"/>
  <c i="12" r="B81"/>
  <c i="12" r="B114"/>
  <c i="3" r="I65"/>
  <c i="3" r="B66"/>
  <c i="3" r="I66"/>
  <c i="3" r="I81"/>
  <c i="3" r="B82"/>
  <c i="3" r="I82"/>
  <c i="3" r="I97"/>
  <c i="3" r="B98"/>
  <c i="3" r="I98"/>
  <c i="3" r="I113"/>
  <c i="3" r="B114"/>
  <c i="3" r="I114"/>
  <c i="13" r="D89"/>
  <c i="12" r="B65"/>
  <c i="12" r="B98"/>
  <c i="3" r="I73"/>
  <c i="3" r="B74"/>
  <c i="3" r="I74"/>
  <c i="3" r="I89"/>
  <c i="3" r="B90"/>
  <c i="3" r="I90"/>
  <c i="3" r="I105"/>
  <c i="3" r="B106"/>
  <c i="3" r="I106"/>
  <c i="3" r="C113"/>
  <c i="12" r="B86"/>
  <c i="12" r="J67"/>
  <c i="3" r="B68"/>
  <c i="3" r="B70"/>
  <c i="3" r="B72"/>
  <c i="3" r="B84"/>
  <c i="3" r="B86"/>
  <c i="3" r="B88"/>
  <c i="3" r="B100"/>
  <c i="3" r="B102"/>
  <c i="3" r="B104"/>
  <c i="3" r="I69"/>
  <c i="3" r="I70"/>
  <c i="3" r="I77"/>
  <c i="3" r="I78"/>
  <c i="3" r="I85"/>
  <c i="3" r="I86"/>
  <c i="3" r="I93"/>
  <c i="3" r="I94"/>
  <c i="3" r="I101"/>
  <c i="3" r="I102"/>
  <c i="3" r="I109"/>
  <c i="3" r="I110"/>
  <c i="3" r="I67"/>
  <c i="3" r="I68"/>
  <c i="3" r="I71"/>
  <c i="3" r="I72"/>
  <c i="3" r="I75"/>
  <c i="3" r="I76"/>
  <c i="3" r="I79"/>
  <c i="3" r="I80"/>
  <c i="3" r="I83"/>
  <c i="3" r="I84"/>
  <c i="3" r="I87"/>
  <c i="3" r="I88"/>
  <c i="3" r="I91"/>
  <c i="3" r="I92"/>
  <c i="3" r="I95"/>
  <c i="3" r="I96"/>
  <c i="3" r="I99"/>
  <c i="3" r="I100"/>
  <c i="3" r="I103"/>
  <c i="3" r="I104"/>
  <c i="3" r="I107"/>
  <c i="3" r="I108"/>
  <c i="3" r="I111"/>
  <c i="3" r="I112"/>
  <c i="3" r="M59"/>
  <c i="3" r="M101" s="1"/>
  <c i="12" r="J74"/>
  <c i="12" r="J71"/>
  <c i="12" r="J78"/>
  <c i="12" r="J66"/>
  <c i="12" r="J75"/>
  <c i="12" r="I70"/>
  <c i="12" r="I72"/>
  <c i="12" r="I79"/>
  <c i="12" r="I88"/>
  <c i="12" r="I99"/>
  <c i="12" r="I110"/>
  <c i="12" r="I71"/>
  <c i="12" r="I78"/>
  <c i="12" r="I80"/>
  <c i="12" r="I86"/>
  <c i="12" r="I91"/>
  <c i="12" r="I96"/>
  <c i="12" r="I102"/>
  <c i="12" r="I107"/>
  <c i="12" r="I112"/>
  <c i="12" r="I83"/>
  <c i="12" r="I94"/>
  <c i="12" r="I104"/>
  <c i="12" r="I115"/>
  <c i="12" r="I67"/>
  <c i="12" r="J70"/>
  <c i="12" r="I74"/>
  <c i="12" r="I76"/>
  <c i="12" r="J79"/>
  <c i="12" r="I84"/>
  <c i="12" r="I90"/>
  <c i="12" r="I95"/>
  <c i="12" r="I100"/>
  <c i="12" r="I106"/>
  <c i="12" r="I111"/>
  <c i="12" r="I66"/>
  <c i="12" r="I68"/>
  <c i="12" r="I75"/>
  <c i="12" r="I82"/>
  <c i="12" r="I87"/>
  <c i="12" r="I92"/>
  <c i="12" r="I98"/>
  <c i="12" r="I103"/>
  <c i="12" r="I108"/>
  <c i="12" r="I114"/>
  <c i="12" r="J65"/>
  <c i="12" r="L67"/>
  <c i="12" r="J69"/>
  <c i="12" r="L71"/>
  <c i="12" r="J73"/>
  <c i="12" r="K76"/>
  <c i="12" r="K80"/>
  <c i="12" r="L83"/>
  <c i="12" r="K84"/>
  <c i="12" r="L87"/>
  <c i="12" r="J89"/>
  <c i="12" r="K92"/>
  <c i="12" r="L95"/>
  <c i="12" r="J97"/>
  <c i="12" r="K100"/>
  <c i="12" r="J101"/>
  <c i="12" r="J105"/>
  <c i="12" r="M59"/>
  <c i="12" r="M107" s="1"/>
  <c i="12" r="I65"/>
  <c i="12" r="L66"/>
  <c i="12" r="K67"/>
  <c i="12" r="J68"/>
  <c i="12" r="I69"/>
  <c i="12" r="L70"/>
  <c i="12" r="K71"/>
  <c i="12" r="J72"/>
  <c i="12" r="I73"/>
  <c i="12" r="L74"/>
  <c i="12" r="K75"/>
  <c i="12" r="J76"/>
  <c i="12" r="I77"/>
  <c i="12" r="L78"/>
  <c i="12" r="K79"/>
  <c i="12" r="J80"/>
  <c i="12" r="I81"/>
  <c i="12" r="L82"/>
  <c i="12" r="K83"/>
  <c i="12" r="J84"/>
  <c i="12" r="I85"/>
  <c i="12" r="L86"/>
  <c i="12" r="K87"/>
  <c i="12" r="J88"/>
  <c i="12" r="I89"/>
  <c i="12" r="L90"/>
  <c i="12" r="K91"/>
  <c i="12" r="J92"/>
  <c i="12" r="I93"/>
  <c i="12" r="L94"/>
  <c i="12" r="K95"/>
  <c i="12" r="J96"/>
  <c i="12" r="I97"/>
  <c i="12" r="L98"/>
  <c i="12" r="K99"/>
  <c i="12" r="J100"/>
  <c i="12" r="I101"/>
  <c i="12" r="L102"/>
  <c i="12" r="K103"/>
  <c i="12" r="J104"/>
  <c i="12" r="I105"/>
  <c i="12" r="L106"/>
  <c i="12" r="K107"/>
  <c i="12" r="J108"/>
  <c i="12" r="I109"/>
  <c i="12" r="L110"/>
  <c i="12" r="K111"/>
  <c i="12" r="J112"/>
  <c i="12" r="L114"/>
  <c i="12" r="K115"/>
  <c i="12" r="L65"/>
  <c i="12" r="K66"/>
  <c i="12" r="L69"/>
  <c i="12" r="K70"/>
  <c i="12" r="L73"/>
  <c i="12" r="K74"/>
  <c i="12" r="L77"/>
  <c i="12" r="K78"/>
  <c i="12" r="L81"/>
  <c i="12" r="K82"/>
  <c i="12" r="J83"/>
  <c i="12" r="L85"/>
  <c i="12" r="K86"/>
  <c i="12" r="J87"/>
  <c i="12" r="L89"/>
  <c i="12" r="K90"/>
  <c i="12" r="J91"/>
  <c i="12" r="L93"/>
  <c i="12" r="K94"/>
  <c i="12" r="J95"/>
  <c i="12" r="L97"/>
  <c i="12" r="K98"/>
  <c i="12" r="J99"/>
  <c i="12" r="L101"/>
  <c i="12" r="K102"/>
  <c i="12" r="J103"/>
  <c i="12" r="L105"/>
  <c i="12" r="K106"/>
  <c i="12" r="J107"/>
  <c i="12" r="L109"/>
  <c i="12" r="K110"/>
  <c i="12" r="J111"/>
  <c i="12" r="L113"/>
  <c i="12" r="K114"/>
  <c i="12" r="J115"/>
  <c i="12" r="K65"/>
  <c i="12" r="L68"/>
  <c i="12" r="K69"/>
  <c i="12" r="L72"/>
  <c i="12" r="K73"/>
  <c i="12" r="L76"/>
  <c i="12" r="K77"/>
  <c i="12" r="L80"/>
  <c i="12" r="K81"/>
  <c i="12" r="J82"/>
  <c i="12" r="L84"/>
  <c i="12" r="K85"/>
  <c i="12" r="J86"/>
  <c i="12" r="L88"/>
  <c i="12" r="K89"/>
  <c i="12" r="J90"/>
  <c i="12" r="L92"/>
  <c i="12" r="K93"/>
  <c i="12" r="J94"/>
  <c i="12" r="L96"/>
  <c i="12" r="K97"/>
  <c i="12" r="J98"/>
  <c i="12" r="L100"/>
  <c i="12" r="K101"/>
  <c i="12" r="J102"/>
  <c i="12" r="L104"/>
  <c i="12" r="K105"/>
  <c i="12" r="J106"/>
  <c i="12" r="L108"/>
  <c i="12" r="K109"/>
  <c i="12" r="J110"/>
  <c i="12" r="L112"/>
  <c i="12" r="K113"/>
  <c i="12" r="J114"/>
  <c i="12" r="K68"/>
  <c i="12" r="K72"/>
  <c i="12" r="L75"/>
  <c i="12" r="J77"/>
  <c i="12" r="L79"/>
  <c i="12" r="J81"/>
  <c i="12" r="J85"/>
  <c i="12" r="K88"/>
  <c i="12" r="L91"/>
  <c i="12" r="J93"/>
  <c i="12" r="K96"/>
  <c i="12" r="L99"/>
  <c i="12" r="L103"/>
  <c i="12" r="K104"/>
  <c i="12" r="L107"/>
  <c i="12" r="K108"/>
  <c i="12" r="J109"/>
  <c i="12" r="L111"/>
  <c i="3" r="F59"/>
  <c i="3" r="F80" s="1"/>
  <c i="3" r="B67"/>
  <c i="3" r="B69"/>
  <c i="3" r="B71"/>
  <c i="3" r="B75"/>
  <c i="3" r="B79"/>
  <c i="3" r="B83"/>
  <c i="3" r="B85"/>
  <c i="3" r="B87"/>
  <c i="3" r="B89"/>
  <c i="3" r="B91"/>
  <c i="3" r="B93"/>
  <c i="3" r="B95"/>
  <c i="3" r="B97"/>
  <c i="3" r="B99"/>
  <c i="3" r="B101"/>
  <c i="3" r="B103"/>
  <c i="3" r="B105"/>
  <c i="3" r="B107"/>
  <c i="3" r="B109"/>
  <c i="3" r="B111"/>
  <c i="3" r="B115"/>
  <c i="3" r="B65"/>
  <c i="3" r="B73"/>
  <c i="3" r="B77"/>
  <c i="3" r="B81"/>
  <c i="3" r="E65"/>
  <c i="3" r="E67"/>
  <c i="3" r="E69"/>
  <c i="3" r="E71"/>
  <c i="3" r="E73"/>
  <c i="3" r="E75"/>
  <c i="3" r="E77"/>
  <c i="3" r="E79"/>
  <c i="3" r="E81"/>
  <c i="3" r="E83"/>
  <c i="3" r="E85"/>
  <c i="3" r="E87"/>
  <c i="3" r="E89"/>
  <c i="3" r="E91"/>
  <c i="3" r="E93"/>
  <c i="3" r="E95"/>
  <c i="3" r="E97"/>
  <c i="3" r="E99"/>
  <c i="3" r="E101"/>
  <c i="3" r="E103"/>
  <c i="3" r="E105"/>
  <c i="3" r="E107"/>
  <c i="3" r="E109"/>
  <c i="3" r="E111"/>
  <c i="3" r="E113"/>
  <c i="12" r="B109"/>
  <c i="12" r="B78"/>
  <c i="12" r="B93"/>
  <c i="12" r="B73"/>
  <c i="12" r="B89"/>
  <c i="12" r="B105"/>
  <c i="12" r="C65"/>
  <c i="12" r="D68"/>
  <c i="12" r="C70"/>
  <c i="12" r="C73"/>
  <c i="12" r="D76"/>
  <c i="12" r="C78"/>
  <c i="12" r="C81"/>
  <c i="12" r="D84"/>
  <c i="12" r="C86"/>
  <c i="12" r="C89"/>
  <c i="12" r="C96"/>
  <c i="12" r="C98"/>
  <c i="12" r="C105"/>
  <c i="12" r="C112"/>
  <c i="12" r="C68"/>
  <c i="12" r="C110"/>
  <c i="12" r="C66"/>
  <c i="12" r="D72"/>
  <c i="12" r="C74"/>
  <c i="12" r="C77"/>
  <c i="12" r="D80"/>
  <c i="12" r="C82"/>
  <c i="12" r="C85"/>
  <c i="12" r="D88"/>
  <c i="12" r="C90"/>
  <c i="12" r="B94"/>
  <c i="12" r="C97"/>
  <c i="12" r="B101"/>
  <c i="12" r="C104"/>
  <c i="12" r="C106"/>
  <c i="12" r="B110"/>
  <c i="12" r="C113"/>
  <c i="12" r="C76"/>
  <c i="12" r="C84"/>
  <c i="12" r="C92"/>
  <c i="12" r="C94"/>
  <c i="12" r="C101"/>
  <c i="12" r="C108"/>
  <c i="12" r="C69"/>
  <c i="12" r="B66"/>
  <c i="12" r="B69"/>
  <c i="12" r="C72"/>
  <c i="12" r="B74"/>
  <c i="12" r="B77"/>
  <c i="12" r="C80"/>
  <c i="12" r="B82"/>
  <c i="12" r="B85"/>
  <c i="12" r="C88"/>
  <c i="12" r="B90"/>
  <c i="12" r="C93"/>
  <c i="12" r="B97"/>
  <c i="12" r="C100"/>
  <c i="12" r="C102"/>
  <c i="12" r="B106"/>
  <c i="12" r="C109"/>
  <c i="12" r="B113"/>
  <c i="12" r="E66"/>
  <c i="12" r="D71"/>
  <c i="12" r="D75"/>
  <c i="12" r="D79"/>
  <c i="12" r="D83"/>
  <c i="12" r="E86"/>
  <c i="12" r="D91"/>
  <c i="12" r="E94"/>
  <c i="12" r="D103"/>
  <c i="12" r="E106"/>
  <c i="12" r="E114"/>
  <c i="12" r="E65"/>
  <c i="12" r="D66"/>
  <c i="12" r="C67"/>
  <c i="12" r="B68"/>
  <c i="12" r="E69"/>
  <c i="12" r="D70"/>
  <c i="12" r="C71"/>
  <c i="12" r="B72"/>
  <c i="12" r="E73"/>
  <c i="12" r="D74"/>
  <c i="12" r="C75"/>
  <c i="12" r="B76"/>
  <c i="12" r="E77"/>
  <c i="12" r="D78"/>
  <c i="12" r="C79"/>
  <c i="12" r="B80"/>
  <c i="12" r="E81"/>
  <c i="12" r="D82"/>
  <c i="12" r="C83"/>
  <c i="12" r="B84"/>
  <c i="12" r="E85"/>
  <c i="12" r="D86"/>
  <c i="12" r="C87"/>
  <c i="12" r="B88"/>
  <c i="12" r="E89"/>
  <c i="12" r="D90"/>
  <c i="12" r="C91"/>
  <c i="12" r="B92"/>
  <c i="12" r="E93"/>
  <c i="12" r="D94"/>
  <c i="12" r="C95"/>
  <c i="12" r="B96"/>
  <c i="12" r="E97"/>
  <c i="12" r="D98"/>
  <c i="12" r="C99"/>
  <c i="12" r="B100"/>
  <c i="12" r="E101"/>
  <c i="12" r="D102"/>
  <c i="12" r="C103"/>
  <c i="12" r="B104"/>
  <c i="12" r="E105"/>
  <c i="12" r="D106"/>
  <c i="12" r="C107"/>
  <c i="12" r="B108"/>
  <c i="12" r="E109"/>
  <c i="12" r="D110"/>
  <c i="12" r="C111"/>
  <c i="12" r="B112"/>
  <c i="12" r="E113"/>
  <c i="12" r="D114"/>
  <c i="12" r="C115"/>
  <c i="12" r="D67"/>
  <c i="12" r="E74"/>
  <c i="12" r="E82"/>
  <c i="12" r="F59"/>
  <c i="12" r="F84" s="1"/>
  <c i="12" r="D65"/>
  <c i="12" r="B67"/>
  <c i="12" r="E68"/>
  <c i="12" r="D69"/>
  <c i="12" r="B71"/>
  <c i="12" r="E72"/>
  <c i="12" r="D73"/>
  <c i="12" r="B75"/>
  <c i="12" r="E76"/>
  <c i="12" r="D77"/>
  <c i="12" r="B79"/>
  <c i="12" r="E80"/>
  <c i="12" r="D81"/>
  <c i="12" r="B83"/>
  <c i="12" r="E84"/>
  <c i="12" r="D85"/>
  <c i="12" r="B87"/>
  <c i="12" r="E88"/>
  <c i="12" r="D89"/>
  <c i="12" r="B91"/>
  <c i="12" r="E92"/>
  <c i="12" r="D93"/>
  <c i="12" r="B95"/>
  <c i="12" r="E96"/>
  <c i="12" r="D97"/>
  <c i="12" r="B99"/>
  <c i="12" r="E100"/>
  <c i="12" r="D101"/>
  <c i="12" r="B103"/>
  <c i="12" r="E104"/>
  <c i="12" r="D105"/>
  <c i="12" r="B107"/>
  <c i="12" r="E108"/>
  <c i="12" r="D109"/>
  <c i="12" r="B111"/>
  <c i="12" r="E112"/>
  <c i="12" r="D113"/>
  <c i="12" r="E67"/>
  <c i="12" r="E71"/>
  <c i="12" r="E75"/>
  <c i="12" r="E79"/>
  <c i="12" r="E83"/>
  <c i="12" r="E87"/>
  <c i="12" r="E91"/>
  <c i="12" r="D92"/>
  <c i="12" r="E95"/>
  <c i="12" r="D96"/>
  <c i="12" r="E99"/>
  <c i="12" r="D100"/>
  <c i="12" r="E103"/>
  <c i="12" r="D104"/>
  <c i="12" r="E107"/>
  <c i="12" r="D108"/>
  <c i="12" r="E111"/>
  <c i="12" r="D112"/>
  <c i="12" r="E115"/>
  <c i="12" r="E70"/>
  <c i="12" r="E78"/>
  <c i="12" r="D87"/>
  <c i="12" r="E90"/>
  <c i="12" r="D95"/>
  <c i="12" r="E98"/>
  <c i="12" r="D99"/>
  <c i="12" r="E102"/>
  <c i="12" r="D107"/>
  <c i="12" r="D111"/>
  <c i="13" r="L85"/>
  <c i="13" r="L77"/>
  <c i="13" r="L69"/>
  <c i="13" r="J67"/>
  <c i="13" r="J72"/>
  <c i="13" r="J75"/>
  <c i="13" r="J80"/>
  <c i="13" r="J83"/>
  <c i="13" r="J88"/>
  <c i="13" r="J91"/>
  <c i="13" r="I95"/>
  <c i="13" r="I97"/>
  <c i="13" r="J100"/>
  <c i="13" r="I104"/>
  <c i="13" r="J107"/>
  <c i="13" r="I111"/>
  <c i="13" r="I113"/>
  <c i="13" r="I67"/>
  <c i="13" r="I69"/>
  <c i="13" r="I72"/>
  <c i="13" r="I75"/>
  <c i="13" r="I77"/>
  <c i="13" r="I80"/>
  <c i="13" r="I83"/>
  <c i="13" r="I85"/>
  <c i="13" r="I88"/>
  <c i="13" r="I91"/>
  <c i="13" r="I93"/>
  <c i="13" r="J96"/>
  <c i="13" r="I100"/>
  <c i="13" r="J103"/>
  <c i="13" r="I107"/>
  <c i="13" r="I109"/>
  <c i="13" r="J112"/>
  <c i="13" r="M57"/>
  <c i="13" r="M108" s="1"/>
  <c i="13" r="L65"/>
  <c i="13" r="J68"/>
  <c i="13" r="J71"/>
  <c i="13" r="L73"/>
  <c i="13" r="J76"/>
  <c i="13" r="J79"/>
  <c i="13" r="L81"/>
  <c i="13" r="J84"/>
  <c i="13" r="J87"/>
  <c i="13" r="L89"/>
  <c i="13" r="J92"/>
  <c i="13" r="I96"/>
  <c i="13" r="J99"/>
  <c i="13" r="I103"/>
  <c i="13" r="I105"/>
  <c i="13" r="J108"/>
  <c i="13" r="I112"/>
  <c i="13" r="I65"/>
  <c i="13" r="I68"/>
  <c i="13" r="I71"/>
  <c i="13" r="I73"/>
  <c i="13" r="I76"/>
  <c i="13" r="I79"/>
  <c i="13" r="I81"/>
  <c i="13" r="I84"/>
  <c i="13" r="I87"/>
  <c i="13" r="I89"/>
  <c i="13" r="I92"/>
  <c i="13" r="J95"/>
  <c i="13" r="I99"/>
  <c i="13" r="I101"/>
  <c i="13" r="J104"/>
  <c i="13" r="I108"/>
  <c i="13" r="J111"/>
  <c i="13" r="L66"/>
  <c i="13" r="K67"/>
  <c i="13" r="L70"/>
  <c i="13" r="K71"/>
  <c i="13" r="L74"/>
  <c i="13" r="K75"/>
  <c i="13" r="L78"/>
  <c i="13" r="K79"/>
  <c i="13" r="L82"/>
  <c i="13" r="K83"/>
  <c i="13" r="L86"/>
  <c i="13" r="K87"/>
  <c i="13" r="L90"/>
  <c i="13" r="K91"/>
  <c i="13" r="L94"/>
  <c i="13" r="K95"/>
  <c i="13" r="L98"/>
  <c i="13" r="K99"/>
  <c i="13" r="L102"/>
  <c i="13" r="K103"/>
  <c i="13" r="L106"/>
  <c i="13" r="K107"/>
  <c i="13" r="L110"/>
  <c i="13" r="K111"/>
  <c i="13" r="K66"/>
  <c i="13" r="K70"/>
  <c i="13" r="K74"/>
  <c i="13" r="K78"/>
  <c i="13" r="K82"/>
  <c i="13" r="K86"/>
  <c i="13" r="K90"/>
  <c i="13" r="L93"/>
  <c i="13" r="K94"/>
  <c i="13" r="L97"/>
  <c i="13" r="K98"/>
  <c i="13" r="L101"/>
  <c i="13" r="K102"/>
  <c i="13" r="L105"/>
  <c i="13" r="K106"/>
  <c i="13" r="L109"/>
  <c i="13" r="K110"/>
  <c i="13" r="L113"/>
  <c i="13" r="K65"/>
  <c i="13" r="J66"/>
  <c i="13" r="L68"/>
  <c i="13" r="K69"/>
  <c i="13" r="J70"/>
  <c i="13" r="L72"/>
  <c i="13" r="K73"/>
  <c i="13" r="J74"/>
  <c i="13" r="L76"/>
  <c i="13" r="K77"/>
  <c i="13" r="J78"/>
  <c i="13" r="L80"/>
  <c i="13" r="K81"/>
  <c i="13" r="J82"/>
  <c i="13" r="L84"/>
  <c i="13" r="K85"/>
  <c i="13" r="J86"/>
  <c i="13" r="L88"/>
  <c i="13" r="K89"/>
  <c i="13" r="J90"/>
  <c i="13" r="L92"/>
  <c i="13" r="K93"/>
  <c i="13" r="J94"/>
  <c i="13" r="L96"/>
  <c i="13" r="K97"/>
  <c i="13" r="J98"/>
  <c i="13" r="L100"/>
  <c i="13" r="K101"/>
  <c i="13" r="J102"/>
  <c i="13" r="L104"/>
  <c i="13" r="K105"/>
  <c i="13" r="J106"/>
  <c i="13" r="L108"/>
  <c i="13" r="K109"/>
  <c i="13" r="J110"/>
  <c i="13" r="L112"/>
  <c i="13" r="K113"/>
  <c i="13" r="J65"/>
  <c i="13" r="I66"/>
  <c i="13" r="L67"/>
  <c i="13" r="K68"/>
  <c i="13" r="J69"/>
  <c i="13" r="I70"/>
  <c i="13" r="L71"/>
  <c i="13" r="K72"/>
  <c i="13" r="J73"/>
  <c i="13" r="I74"/>
  <c i="13" r="L75"/>
  <c i="13" r="K76"/>
  <c i="13" r="J77"/>
  <c i="13" r="I78"/>
  <c i="13" r="L79"/>
  <c i="13" r="K80"/>
  <c i="13" r="J81"/>
  <c i="13" r="I82"/>
  <c i="13" r="L83"/>
  <c i="13" r="K84"/>
  <c i="13" r="J85"/>
  <c i="13" r="I86"/>
  <c i="13" r="L87"/>
  <c i="13" r="K88"/>
  <c i="13" r="J89"/>
  <c i="13" r="I90"/>
  <c i="13" r="L91"/>
  <c i="13" r="K92"/>
  <c i="13" r="J93"/>
  <c i="13" r="I94"/>
  <c i="13" r="L95"/>
  <c i="13" r="K96"/>
  <c i="13" r="J97"/>
  <c i="13" r="I98"/>
  <c i="13" r="L99"/>
  <c i="13" r="K100"/>
  <c i="13" r="J101"/>
  <c i="13" r="I102"/>
  <c i="13" r="L103"/>
  <c i="13" r="K104"/>
  <c i="13" r="J105"/>
  <c i="13" r="I106"/>
  <c i="13" r="L107"/>
  <c i="13" r="K108"/>
  <c i="13" r="J109"/>
  <c i="13" r="D70"/>
  <c i="13" r="D85"/>
  <c i="13" r="D110"/>
  <c i="13" r="D66"/>
  <c i="13" r="D81"/>
  <c i="13" r="D102"/>
  <c i="13" r="F57"/>
  <c i="13" r="F104" s="1"/>
  <c i="13" r="D77"/>
  <c i="13" r="D94"/>
  <c i="13" r="E65"/>
  <c i="13" r="D69"/>
  <c i="13" r="E72"/>
  <c i="13" r="E76"/>
  <c i="13" r="E80"/>
  <c i="13" r="E84"/>
  <c i="13" r="E88"/>
  <c i="13" r="E92"/>
  <c i="13" r="D98"/>
  <c i="13" r="D106"/>
  <c i="13" r="D65"/>
  <c i="13" r="E68"/>
  <c i="13" r="B72"/>
  <c i="13" r="D74"/>
  <c i="13" r="D78"/>
  <c i="13" r="D82"/>
  <c i="13" r="D86"/>
  <c i="13" r="D90"/>
  <c i="13" r="E97"/>
  <c i="13" r="E105"/>
  <c i="13" r="E113"/>
  <c i="13" r="B68"/>
  <c i="13" r="E73"/>
  <c i="13" r="E77"/>
  <c i="13" r="E81"/>
  <c i="13" r="E85"/>
  <c i="13" r="E89"/>
  <c i="13" r="E69"/>
  <c i="13" r="E93"/>
  <c i="13" r="E101"/>
  <c i="13" r="E109"/>
  <c i="13" r="C65"/>
  <c i="13" r="B66"/>
  <c i="13" r="E67"/>
  <c i="13" r="D68"/>
  <c i="13" r="C69"/>
  <c i="13" r="B70"/>
  <c i="13" r="E71"/>
  <c i="13" r="D72"/>
  <c i="13" r="C73"/>
  <c i="13" r="B74"/>
  <c i="13" r="E75"/>
  <c i="13" r="D76"/>
  <c i="13" r="C77"/>
  <c i="13" r="B78"/>
  <c i="13" r="E79"/>
  <c i="13" r="D80"/>
  <c i="13" r="C81"/>
  <c i="13" r="B82"/>
  <c i="13" r="E83"/>
  <c i="13" r="D84"/>
  <c i="13" r="C85"/>
  <c i="13" r="B86"/>
  <c i="13" r="E87"/>
  <c i="13" r="D88"/>
  <c i="13" r="C89"/>
  <c i="13" r="B90"/>
  <c i="13" r="E91"/>
  <c i="13" r="D92"/>
  <c i="13" r="C93"/>
  <c i="13" r="B94"/>
  <c i="13" r="E95"/>
  <c i="13" r="D96"/>
  <c i="13" r="C97"/>
  <c i="13" r="B98"/>
  <c i="13" r="E99"/>
  <c i="13" r="D100"/>
  <c i="13" r="C101"/>
  <c i="13" r="B102"/>
  <c i="13" r="E103"/>
  <c i="13" r="D104"/>
  <c i="13" r="C105"/>
  <c i="13" r="B106"/>
  <c i="13" r="E107"/>
  <c i="13" r="D108"/>
  <c i="13" r="C109"/>
  <c i="13" r="B110"/>
  <c i="13" r="E111"/>
  <c i="13" r="D112"/>
  <c i="13" r="C113"/>
  <c i="13" r="B65"/>
  <c i="13" r="E66"/>
  <c i="13" r="D67"/>
  <c i="13" r="C68"/>
  <c i="13" r="B69"/>
  <c i="13" r="E70"/>
  <c i="13" r="D71"/>
  <c i="13" r="C72"/>
  <c i="13" r="B73"/>
  <c i="13" r="E74"/>
  <c i="13" r="D75"/>
  <c i="13" r="C76"/>
  <c i="13" r="B77"/>
  <c i="13" r="E78"/>
  <c i="13" r="D79"/>
  <c i="13" r="C80"/>
  <c i="13" r="B81"/>
  <c i="13" r="E82"/>
  <c i="13" r="D83"/>
  <c i="13" r="C84"/>
  <c i="13" r="B85"/>
  <c i="13" r="E86"/>
  <c i="13" r="D87"/>
  <c i="13" r="C88"/>
  <c i="13" r="B89"/>
  <c i="13" r="E90"/>
  <c i="13" r="D91"/>
  <c i="13" r="C92"/>
  <c i="13" r="B93"/>
  <c i="13" r="E94"/>
  <c i="13" r="D95"/>
  <c i="13" r="C96"/>
  <c i="13" r="B97"/>
  <c i="13" r="E98"/>
  <c i="13" r="D99"/>
  <c i="13" r="C100"/>
  <c i="13" r="B101"/>
  <c i="13" r="E102"/>
  <c i="13" r="D103"/>
  <c i="13" r="C104"/>
  <c i="13" r="B105"/>
  <c i="13" r="E106"/>
  <c i="13" r="D107"/>
  <c i="13" r="C108"/>
  <c i="13" r="B109"/>
  <c i="13" r="E110"/>
  <c i="13" r="D111"/>
  <c i="13" r="C112"/>
  <c i="13" r="B113"/>
  <c i="13" r="C67"/>
  <c i="13" r="C71"/>
  <c i="13" r="C75"/>
  <c i="13" r="B76"/>
  <c i="13" r="C79"/>
  <c i="13" r="B80"/>
  <c i="13" r="C83"/>
  <c i="13" r="B84"/>
  <c i="13" r="C87"/>
  <c i="13" r="B88"/>
  <c i="13" r="C91"/>
  <c i="13" r="B92"/>
  <c i="13" r="C95"/>
  <c i="13" r="B96"/>
  <c i="13" r="C99"/>
  <c i="13" r="B100"/>
  <c i="13" r="C103"/>
  <c i="13" r="B104"/>
  <c i="13" r="C107"/>
  <c i="13" r="B108"/>
  <c i="13" r="C111"/>
  <c i="13" r="B112"/>
  <c i="13" r="C66"/>
  <c i="13" r="B67"/>
  <c i="13" r="C70"/>
  <c i="13" r="B71"/>
  <c i="13" r="C74"/>
  <c i="13" r="B75"/>
  <c i="13" r="C78"/>
  <c i="13" r="B79"/>
  <c i="13" r="C82"/>
  <c i="13" r="B83"/>
  <c i="13" r="C86"/>
  <c i="13" r="B87"/>
  <c i="13" r="C90"/>
  <c i="13" r="B91"/>
  <c i="13" r="D93"/>
  <c i="13" r="C94"/>
  <c i="13" r="B95"/>
  <c i="13" r="E96"/>
  <c i="13" r="D97"/>
  <c i="13" r="C98"/>
  <c i="13" r="B99"/>
  <c i="13" r="E100"/>
  <c i="13" r="D101"/>
  <c i="13" r="C102"/>
  <c i="13" r="B103"/>
  <c i="13" r="E104"/>
  <c i="13" r="D105"/>
  <c i="13" r="C106"/>
  <c i="13" r="B107"/>
  <c i="13" r="E108"/>
  <c i="13" r="D109"/>
  <c i="3" l="1" r="F110"/>
  <c i="3" r="F93"/>
  <c i="13" r="M73"/>
  <c i="13" r="M103"/>
  <c i="13" r="M72"/>
  <c i="3" r="F75"/>
  <c i="3" r="F94"/>
  <c i="3" r="F111"/>
  <c i="3" r="F78"/>
  <c i="3" r="F109"/>
  <c i="13" r="F71"/>
  <c i="13" r="M87"/>
  <c i="3" r="F77"/>
  <c i="3" r="F95"/>
  <c i="13" r="F65"/>
  <c i="13" r="F95"/>
  <c i="13" r="F102"/>
  <c i="13" r="F108"/>
  <c i="13" r="M102"/>
  <c i="3" r="F66"/>
  <c i="3" r="F98"/>
  <c i="3" r="F81"/>
  <c i="3" r="F113"/>
  <c i="3" r="F91"/>
  <c i="3" r="F88"/>
  <c i="3" r="F76"/>
  <c i="3" r="F82"/>
  <c i="3" r="F114"/>
  <c i="3" r="F97"/>
  <c i="3" r="F107"/>
  <c i="3" r="F104"/>
  <c i="13" r="F67"/>
  <c i="13" r="F70"/>
  <c i="3" r="F74"/>
  <c i="3" r="F90"/>
  <c i="3" r="F106"/>
  <c i="3" r="F73"/>
  <c i="3" r="F89"/>
  <c i="3" r="F105"/>
  <c i="3" r="F115"/>
  <c i="3" r="F99"/>
  <c i="3" r="F83"/>
  <c i="3" r="F67"/>
  <c i="3" r="F92"/>
  <c i="3" r="F108"/>
  <c i="3" r="F72"/>
  <c i="3" r="F79"/>
  <c i="3" r="F112"/>
  <c i="3" r="F84"/>
  <c i="3" r="F96"/>
  <c i="13" r="F99"/>
  <c i="13" r="F85"/>
  <c i="3" r="F70"/>
  <c i="3" r="F86"/>
  <c i="3" r="F102"/>
  <c i="3" r="F65"/>
  <c i="3" r="F85"/>
  <c i="3" r="F101"/>
  <c i="3" r="F69"/>
  <c i="3" r="F103"/>
  <c i="3" r="F87"/>
  <c i="3" r="F71"/>
  <c i="3" r="F100"/>
  <c i="3" r="F68"/>
  <c i="13" r="F82"/>
  <c i="13" r="F110"/>
  <c i="13" r="F89"/>
  <c i="13" r="F112"/>
  <c i="13" r="M88"/>
  <c i="13" r="F87"/>
  <c i="13" r="F66"/>
  <c i="13" r="F94"/>
  <c i="13" r="F77"/>
  <c i="13" r="F109"/>
  <c i="13" r="F84"/>
  <c i="13" r="M71"/>
  <c i="13" r="M86"/>
  <c i="13" r="M105"/>
  <c i="13" r="F79"/>
  <c i="13" r="F111"/>
  <c i="13" r="F86"/>
  <c i="13" r="F105"/>
  <c i="13" r="F76"/>
  <c i="13" r="M70"/>
  <c i="13" r="M89"/>
  <c i="3" r="M91"/>
  <c i="3" r="M72"/>
  <c i="3" r="M71"/>
  <c i="3" r="M94"/>
  <c i="3" r="M109"/>
  <c i="3" r="M78"/>
  <c i="3" r="M93"/>
  <c i="3" r="M104"/>
  <c i="3" r="M115"/>
  <c i="3" r="M77"/>
  <c i="3" r="M88"/>
  <c i="3" r="M87"/>
  <c i="3" r="M110"/>
  <c i="3" r="M76"/>
  <c i="3" r="M92"/>
  <c i="3" r="M108"/>
  <c i="3" r="M103"/>
  <c i="3" r="M75"/>
  <c i="3" r="M95"/>
  <c i="3" r="M66"/>
  <c i="3" r="M82"/>
  <c i="3" r="M98"/>
  <c i="3" r="M114"/>
  <c i="3" r="M81"/>
  <c i="3" r="M97"/>
  <c i="3" r="M113"/>
  <c i="3" r="M68"/>
  <c i="3" r="M84"/>
  <c i="3" r="M100"/>
  <c i="3" r="M65"/>
  <c i="3" r="M67"/>
  <c i="3" r="M83"/>
  <c i="3" r="M107"/>
  <c i="3" r="M74"/>
  <c i="3" r="M90"/>
  <c i="3" r="M106"/>
  <c i="3" r="M73"/>
  <c i="3" r="M89"/>
  <c i="3" r="M105"/>
  <c i="3" r="M80"/>
  <c i="3" r="M96"/>
  <c i="3" r="M112"/>
  <c i="3" r="M111"/>
  <c i="3" r="M79"/>
  <c i="3" r="M99"/>
  <c i="3" r="M70"/>
  <c i="3" r="M86"/>
  <c i="3" r="M102"/>
  <c i="3" r="M69"/>
  <c i="3" r="M85"/>
  <c i="12" r="M108"/>
  <c i="12" r="M85"/>
  <c i="12" r="M70"/>
  <c i="12" r="M102"/>
  <c i="12" r="M76"/>
  <c i="12" r="M83"/>
  <c i="12" r="M86"/>
  <c i="12" r="M101"/>
  <c i="12" r="M115"/>
  <c i="12" r="M69"/>
  <c i="12" r="M92"/>
  <c i="12" r="M66"/>
  <c i="12" r="M82"/>
  <c i="12" r="M98"/>
  <c i="12" r="M114"/>
  <c i="12" r="M81"/>
  <c i="12" r="M97"/>
  <c i="12" r="M113"/>
  <c i="12" r="M88"/>
  <c i="12" r="M104"/>
  <c i="12" r="M79"/>
  <c i="12" r="M75"/>
  <c i="12" r="M95"/>
  <c i="12" r="M111"/>
  <c i="12" r="M78"/>
  <c i="12" r="M94"/>
  <c i="12" r="M110"/>
  <c i="12" r="M77"/>
  <c i="12" r="M93"/>
  <c i="12" r="M109"/>
  <c i="12" r="M84"/>
  <c i="12" r="M100"/>
  <c i="12" r="M65"/>
  <c i="12" r="M71"/>
  <c i="12" r="M91"/>
  <c i="12" r="M72"/>
  <c i="12" r="M68"/>
  <c i="12" r="M74"/>
  <c i="12" r="M90"/>
  <c i="12" r="M106"/>
  <c i="12" r="M73"/>
  <c i="12" r="M89"/>
  <c i="12" r="M105"/>
  <c i="12" r="M80"/>
  <c i="12" r="M96"/>
  <c i="12" r="M112"/>
  <c i="12" r="M67"/>
  <c i="12" r="M87"/>
  <c i="12" r="M103"/>
  <c i="12" r="M99"/>
  <c i="13" r="F83"/>
  <c i="13" r="F103"/>
  <c i="13" r="F78"/>
  <c i="13" r="F98"/>
  <c i="13" r="F69"/>
  <c i="13" r="F101"/>
  <c i="13" r="F92"/>
  <c i="13" r="F68"/>
  <c i="13" r="F96"/>
  <c i="13" r="F75"/>
  <c i="13" r="F91"/>
  <c i="13" r="F107"/>
  <c i="13" r="F74"/>
  <c i="13" r="F90"/>
  <c i="13" r="F106"/>
  <c i="13" r="F73"/>
  <c i="13" r="F93"/>
  <c i="13" r="F80"/>
  <c i="13" r="F100"/>
  <c i="12" r="F83"/>
  <c i="12" r="F103"/>
  <c i="12" r="F96"/>
  <c i="12" r="F80"/>
  <c i="12" r="F65"/>
  <c i="12" r="F79"/>
  <c i="12" r="F76"/>
  <c i="12" r="F99"/>
  <c i="12" r="F72"/>
  <c i="12" r="F108"/>
  <c i="12" r="F71"/>
  <c i="12" r="F95"/>
  <c i="12" r="F115"/>
  <c i="12" r="F112"/>
  <c i="12" r="F100"/>
  <c i="12" r="F67"/>
  <c i="12" r="F87"/>
  <c i="12" r="F111"/>
  <c i="12" r="F104"/>
  <c i="12" r="F113"/>
  <c i="12" r="F109"/>
  <c i="12" r="F105"/>
  <c i="12" r="F93"/>
  <c i="12" r="F85"/>
  <c i="12" r="F81"/>
  <c i="12" r="F114"/>
  <c i="12" r="F110"/>
  <c i="12" r="F106"/>
  <c i="12" r="F102"/>
  <c i="12" r="F98"/>
  <c i="12" r="F94"/>
  <c i="12" r="F90"/>
  <c i="12" r="F86"/>
  <c i="12" r="F82"/>
  <c i="12" r="F78"/>
  <c i="12" r="F74"/>
  <c i="12" r="F70"/>
  <c i="12" r="F69"/>
  <c i="12" r="F101"/>
  <c i="12" r="F97"/>
  <c i="12" r="F89"/>
  <c i="12" r="F77"/>
  <c i="12" r="F73"/>
  <c i="12" r="F66"/>
  <c i="12" r="F75"/>
  <c i="12" r="F91"/>
  <c i="12" r="F107"/>
  <c i="12" r="F88"/>
  <c i="12" r="F68"/>
  <c i="12" r="F92"/>
  <c i="13" r="M83"/>
  <c i="13" r="M99"/>
  <c i="13" r="M82"/>
  <c i="13" r="M98"/>
  <c i="13" r="M69"/>
  <c i="13" r="M85"/>
  <c i="13" r="M101"/>
  <c i="13" r="M68"/>
  <c i="13" r="M84"/>
  <c i="13" r="M100"/>
  <c i="13" r="M65"/>
  <c i="13" r="M79"/>
  <c i="13" r="M95"/>
  <c i="13" r="M111"/>
  <c i="13" r="M78"/>
  <c i="13" r="M94"/>
  <c i="13" r="M110"/>
  <c i="13" r="M81"/>
  <c i="13" r="M97"/>
  <c i="13" r="M113"/>
  <c i="13" r="M80"/>
  <c i="13" r="M96"/>
  <c i="13" r="M104"/>
  <c i="13" r="M112"/>
  <c i="13" r="M67"/>
  <c i="13" r="M66"/>
  <c i="13" r="M75"/>
  <c i="13" r="M91"/>
  <c i="13" r="M107"/>
  <c i="13" r="M74"/>
  <c i="13" r="M90"/>
  <c i="13" r="M106"/>
  <c i="13" r="M77"/>
  <c i="13" r="M93"/>
  <c i="13" r="M109"/>
  <c i="13" r="M76"/>
  <c i="13" r="M92"/>
  <c i="13" r="F81"/>
  <c i="13" r="F97"/>
  <c i="13" r="F113"/>
  <c i="13" r="F72"/>
  <c i="13" r="F88"/>
</calcChain>
</file>

<file path=xl/sharedStrings.xml><?xml version="1.0" encoding="utf-8"?>
<sst xmlns="http://schemas.openxmlformats.org/spreadsheetml/2006/main" count="356" uniqueCount="59">
  <si>
    <t>Total</t>
  </si>
  <si>
    <t>Work</t>
  </si>
  <si>
    <t>School</t>
  </si>
  <si>
    <t>Workbased</t>
  </si>
  <si>
    <t>Timeperiod</t>
  </si>
  <si>
    <t>Before 3:00am</t>
  </si>
  <si>
    <t>After 27:00</t>
  </si>
  <si>
    <t>Half-hour time periods</t>
  </si>
  <si>
    <t>Distance values reflect start time of time period</t>
  </si>
  <si>
    <t>Tour arrival time at primary destination</t>
  </si>
  <si>
    <t>Tour departure time from primary destination</t>
  </si>
  <si>
    <t>Table X. Estimated Tour Departure from PD Times: DaySim</t>
  </si>
  <si>
    <t>Table X. Estimated Tour Arrival at PD Times: DaySim</t>
  </si>
  <si>
    <t>&gt; 24 hours</t>
  </si>
  <si>
    <t>Duration</t>
  </si>
  <si>
    <t>Table X. Estimated Tour Durations: DaySim</t>
  </si>
  <si>
    <t>Other</t>
  </si>
  <si>
    <t>FT Worker</t>
  </si>
  <si>
    <t>PT Worker</t>
  </si>
  <si>
    <t>Retired</t>
  </si>
  <si>
    <t>Nonworker</t>
  </si>
  <si>
    <t>Univ Stud</t>
  </si>
  <si>
    <t>Stud 5-15</t>
  </si>
  <si>
    <t>Child&lt;5</t>
  </si>
  <si>
    <t>Stud 16+</t>
  </si>
  <si>
    <t>Work Tour arrival time at primary destination</t>
  </si>
  <si>
    <t>Table X. Estimated Work Tour Arrival at PD Times: DaySim</t>
  </si>
  <si>
    <t>Table X. Estimated School Tour Arrival at PD Times: DaySim</t>
  </si>
  <si>
    <t>Table X. Estimated Other Tour Arrival at PD Times: DaySim</t>
  </si>
  <si>
    <t>Other Tour arrival time at primary destination</t>
  </si>
  <si>
    <t>Workbased Tour arrival time at primary destination</t>
  </si>
  <si>
    <t>Table X. Estimated Workbased Tour Arrival at PD Times: DaySim</t>
  </si>
  <si>
    <t>School Tour arrival time at primary destination</t>
  </si>
  <si>
    <t>Steps for tour time of day distributions</t>
  </si>
  <si>
    <t>After 27:30</t>
  </si>
  <si>
    <t>DaySim</t>
  </si>
  <si>
    <t>These frequency distributions have been generated using the tour file</t>
  </si>
  <si>
    <t>Duration refers to the time spent at the primary destination</t>
  </si>
  <si>
    <t>Work Tour Departure time at primary destination</t>
  </si>
  <si>
    <t>Table X. Estimated Work Tour Departure at PD Times: DaySim</t>
  </si>
  <si>
    <t>School Tour Departure time at primary destination</t>
  </si>
  <si>
    <t>Table X. Estimated School Tour Departure at PD Times: DaySim</t>
  </si>
  <si>
    <t>Other Tour Departure time at primary destination</t>
  </si>
  <si>
    <t>Table X. Estimated Other Tour Departure at PD Times: DaySim</t>
  </si>
  <si>
    <t>Workbased Tour Departure time at primary destination</t>
  </si>
  <si>
    <t>Table X. Estimated Workbased Tour Departure at PD Times: DaySim</t>
  </si>
  <si>
    <t>Observed Sources: Survey (2009)</t>
  </si>
  <si>
    <t>Table X. Observed Tour Arrival at PD Times: Survey</t>
  </si>
  <si>
    <t>Survey</t>
  </si>
  <si>
    <t>Table X. Observed Tour Departure from PD Times: Survey</t>
  </si>
  <si>
    <t>Table X. Observed Tour Durations: Survey</t>
  </si>
  <si>
    <t>Table X. Observed Work Tour Arrival at PD Times: Survey</t>
  </si>
  <si>
    <t>Table X. Observed School Tour Arrival at PD Times: Survey</t>
  </si>
  <si>
    <t>Table X. Observed Other Tour Arrival at PD Times: Survey</t>
  </si>
  <si>
    <t>Table X. Observed Workbased Tour Arrival at PD Times: Survey</t>
  </si>
  <si>
    <t>Table X. Observed Work Tour Departure at PD Times: Survey</t>
  </si>
  <si>
    <t>Table X. Observed School Tour Departure at PD Times: Survey</t>
  </si>
  <si>
    <t>Table X. Observed Other Tour Departure at PD Times: Survey</t>
  </si>
  <si>
    <t>Table X. Observed Workbased Tour Departure at PD Times: Survey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</si>
</sst>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m/dd/yyyy\ hh:mm:ss"/>
  </numFmts>
  <fonts count="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22"/>
      </patternFill>
    </fill>
  </fills>
  <borders count="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8">
    <xf borderId="0" fillId="0" fontId="0" numFmtId="0"/>
    <xf borderId="0" fillId="0" fontId="2" numFmtId="0">
      <alignment wrapText="1"/>
    </xf>
    <xf borderId="0" fillId="2" fontId="3" numFmtId="0">
      <alignment wrapText="1"/>
    </xf>
    <xf borderId="0" fillId="0" fontId="3" numFmtId="164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164">
      <alignment wrapText="1"/>
    </xf>
  </cellStyleXfs>
  <cellXfs count="29">
    <xf borderId="0" fillId="0" fontId="0" numFmtId="0" xfId="0"/>
    <xf applyBorder="1" borderId="1" fillId="0" fontId="0" numFmtId="0" xfId="0"/>
    <xf applyBorder="1" borderId="2" fillId="0" fontId="0" numFmtId="0" xfId="0"/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0" fillId="0" fontId="0" numFmtId="0" xfId="0"/>
    <xf applyNumberFormat="1" borderId="0" fillId="0" fontId="0" numFmtId="2" xfId="0"/>
    <xf applyBorder="1" applyNumberFormat="1" borderId="1" fillId="0" fontId="0" numFmtId="2" xfId="0"/>
    <xf applyFont="1" borderId="0" fillId="0" fontId="1" numFmtId="0" xfId="0"/>
    <xf applyAlignment="1" borderId="0" fillId="0" fontId="2" numFmtId="0" xfId="1"/>
    <xf applyAlignment="1" applyBorder="1" borderId="1" fillId="0" fontId="2" numFmtId="0" xfId="1"/>
    <xf applyBorder="1" applyFont="1" borderId="0" fillId="0" fontId="1" numFmtId="0" xfId="0"/>
    <xf applyNumberFormat="1" borderId="0" fillId="0" fontId="0" numFmtId="20" xfId="0"/>
    <xf applyBorder="1" applyNumberFormat="1" borderId="1" fillId="0" fontId="0" numFmtId="20" xfId="0"/>
    <xf applyAlignment="1" applyBorder="1" borderId="0" fillId="0" fontId="0" numFmtId="0" xfId="0">
      <alignment horizontal="center" vertical="top"/>
    </xf>
    <xf applyBorder="1" applyFill="1" applyNumberFormat="1" borderId="0" fillId="0" fontId="0" numFmtId="20" xfId="0"/>
    <xf applyBorder="1" applyNumberFormat="1" borderId="0" fillId="0" fontId="0" numFmtId="2" xfId="0"/>
    <xf applyAlignment="1" applyNumberFormat="1" borderId="0" fillId="0" fontId="2" numFmtId="10" xfId="1"/>
    <xf applyNumberFormat="1" borderId="0" fillId="0" fontId="0" numFmtId="10" xfId="0"/>
    <xf applyAlignment="1" applyBorder="1" applyNumberFormat="1" borderId="1" fillId="0" fontId="2" numFmtId="10" xfId="1"/>
    <xf applyBorder="1" applyNumberFormat="1" borderId="1" fillId="0" fontId="0" numFmtId="10" xfId="0"/>
    <xf applyBorder="1" applyNumberFormat="1" borderId="3" fillId="0" fontId="0" numFmtId="20" xfId="0"/>
    <xf applyBorder="1" applyNumberFormat="1" borderId="3" fillId="0" fontId="0" numFmtId="2" xfId="0"/>
    <xf applyBorder="1" borderId="3" fillId="0" fontId="0" numFmtId="0" xfId="0"/>
    <xf applyAlignment="1" applyBorder="1" borderId="3" fillId="0" fontId="2" numFmtId="0" xfId="1"/>
    <xf applyBorder="1" applyNumberFormat="1" borderId="4" fillId="0" fontId="0" numFmtId="20" xfId="0"/>
    <xf applyBorder="1" applyNumberFormat="1" borderId="4" fillId="0" fontId="0" numFmtId="2" xfId="0"/>
    <xf applyAlignment="1" applyBorder="1" borderId="3" fillId="0" fontId="0" numFmtId="0" xfId="0">
      <alignment horizontal="center" vertical="top"/>
    </xf>
    <xf applyBorder="1" applyNumberFormat="1" borderId="0" fillId="0" fontId="0" numFmtId="10" xfId="0"/>
  </cellXfs>
  <cellStyles count="8">
    <cellStyle builtinId="0" name="Normal" xfId="0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worksheets/sheet10.xml" Type="http://schemas.openxmlformats.org/officeDocument/2006/relationships/worksheet"/>
<Relationship Id="rId11" Target="worksheets/sheet11.xml" Type="http://schemas.openxmlformats.org/officeDocument/2006/relationships/worksheet"/>
<Relationship Id="rId12" Target="worksheets/sheet12.xml" Type="http://schemas.openxmlformats.org/officeDocument/2006/relationships/worksheet"/>
<Relationship Id="rId13" Target="theme/theme1.xml" Type="http://schemas.openxmlformats.org/officeDocument/2006/relationships/theme"/>
<Relationship Id="rId14" Target="styles.xml" Type="http://schemas.openxmlformats.org/officeDocument/2006/relationships/styles"/>
<Relationship Id="rId15" Target="sharedStrings.xml" Type="http://schemas.openxmlformats.org/officeDocument/2006/relationships/sharedStrings"/>
<Relationship Id="rId16" Target="calcChain.xml" Type="http://schemas.openxmlformats.org/officeDocument/2006/relationships/calcChain"/>
<Relationship Id="rId17" Target="vbaProject.bin" Type="http://schemas.microsoft.com/office/2006/relationships/vbaProjec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worksheets/sheet7.xml" Type="http://schemas.openxmlformats.org/officeDocument/2006/relationships/worksheet"/>
<Relationship Id="rId8" Target="worksheets/sheet8.xml" Type="http://schemas.openxmlformats.org/officeDocument/2006/relationships/worksheet"/>
<Relationship Id="rId9" Target="worksheets/sheet9.xml" Type="http://schemas.openxmlformats.org/officeDocument/2006/relationships/worksheet"/>
</Relationships>
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Arrival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65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Arrival_Time!$B$64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Arrival_Time!$B$65:$B$115</c:f>
              <c:numCache>
                <c:formatCode>0.00%</c:formatCode>
                <c:ptCount val="51"/>
                <c:pt idx="0">
                  <c:v>0</c:v>
                </c:pt>
                <c:pt idx="1">
                  <c:v>1.6896351213744841E-3</c:v>
                </c:pt>
                <c:pt idx="2">
                  <c:v>4.1560772975619484E-3</c:v>
                </c:pt>
                <c:pt idx="3">
                  <c:v>8.3294470823676581E-3</c:v>
                </c:pt>
                <c:pt idx="4">
                  <c:v>1.5340057143188346E-2</c:v>
                </c:pt>
                <c:pt idx="5">
                  <c:v>2.6295577914490116E-2</c:v>
                </c:pt>
                <c:pt idx="6">
                  <c:v>4.167213071310015E-2</c:v>
                </c:pt>
                <c:pt idx="7">
                  <c:v>6.0485043236409367E-2</c:v>
                </c:pt>
                <c:pt idx="8">
                  <c:v>7.979496277312989E-2</c:v>
                </c:pt>
                <c:pt idx="9">
                  <c:v>9.5203012655833155E-2</c:v>
                </c:pt>
                <c:pt idx="10">
                  <c:v>0.10247480133848542</c:v>
                </c:pt>
                <c:pt idx="11">
                  <c:v>9.953407870157624E-2</c:v>
                </c:pt>
                <c:pt idx="12">
                  <c:v>8.7554484894459467E-2</c:v>
                </c:pt>
                <c:pt idx="13">
                  <c:v>7.0363903877934772E-2</c:v>
                </c:pt>
                <c:pt idx="14">
                  <c:v>5.2564353170575256E-2</c:v>
                </c:pt>
                <c:pt idx="15">
                  <c:v>3.7627534899926991E-2</c:v>
                </c:pt>
                <c:pt idx="16">
                  <c:v>2.70297062967534E-2</c:v>
                </c:pt>
                <c:pt idx="17">
                  <c:v>2.0556214136732157E-2</c:v>
                </c:pt>
                <c:pt idx="18">
                  <c:v>1.7151799673837544E-2</c:v>
                </c:pt>
                <c:pt idx="19">
                  <c:v>1.564226145473159E-2</c:v>
                </c:pt>
                <c:pt idx="20">
                  <c:v>1.5071590374887584E-2</c:v>
                </c:pt>
                <c:pt idx="21">
                  <c:v>1.476511364485115E-2</c:v>
                </c:pt>
                <c:pt idx="22">
                  <c:v>1.4304316075145797E-2</c:v>
                </c:pt>
                <c:pt idx="23">
                  <c:v>1.3499541116301174E-2</c:v>
                </c:pt>
                <c:pt idx="24">
                  <c:v>1.2359187499853555E-2</c:v>
                </c:pt>
                <c:pt idx="25">
                  <c:v>1.1033042122119497E-2</c:v>
                </c:pt>
                <c:pt idx="26">
                  <c:v>9.7209053631827514E-3</c:v>
                </c:pt>
                <c:pt idx="27">
                  <c:v>8.5667814968684603E-3</c:v>
                </c:pt>
                <c:pt idx="28">
                  <c:v>7.5901653471513392E-3</c:v>
                </c:pt>
                <c:pt idx="29">
                  <c:v>6.700205405918965E-3</c:v>
                </c:pt>
                <c:pt idx="30">
                  <c:v>5.780896408689497E-3</c:v>
                </c:pt>
                <c:pt idx="31">
                  <c:v>4.7794645242493633E-3</c:v>
                </c:pt>
                <c:pt idx="32">
                  <c:v>3.7362000371948612E-3</c:v>
                </c:pt>
                <c:pt idx="33">
                  <c:v>2.7499165669132757E-3</c:v>
                </c:pt>
                <c:pt idx="34">
                  <c:v>1.9178711948945539E-3</c:v>
                </c:pt>
                <c:pt idx="35">
                  <c:v>1.291255345859472E-3</c:v>
                </c:pt>
                <c:pt idx="36">
                  <c:v>8.6423826863882367E-4</c:v>
                </c:pt>
                <c:pt idx="37">
                  <c:v>5.9149201378691648E-4</c:v>
                </c:pt>
                <c:pt idx="38">
                  <c:v>4.1686867078225324E-4</c:v>
                </c:pt>
                <c:pt idx="39">
                  <c:v>2.9594858456591464E-4</c:v>
                </c:pt>
                <c:pt idx="40">
                  <c:v>2.0419210977685274E-4</c:v>
                </c:pt>
                <c:pt idx="41">
                  <c:v>1.3282553869349356E-4</c:v>
                </c:pt>
                <c:pt idx="42">
                  <c:v>8.0035533893987846E-5</c:v>
                </c:pt>
                <c:pt idx="43">
                  <c:v>4.4313497223316537E-5</c:v>
                </c:pt>
                <c:pt idx="44">
                  <c:v>2.2399994876280062E-5</c:v>
                </c:pt>
                <c:pt idx="45">
                  <c:v>1.020332419415086E-5</c:v>
                </c:pt>
                <c:pt idx="46">
                  <c:v>4.0882333085287707E-6</c:v>
                </c:pt>
                <c:pt idx="47">
                  <c:v>1.3920208623382917E-6</c:v>
                </c:pt>
                <c:pt idx="48">
                  <c:v>3.8588050391263632E-7</c:v>
                </c:pt>
                <c:pt idx="49">
                  <c:v>8.1422344066775396E-8</c:v>
                </c:pt>
                <c:pt idx="5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Arrival_Time!$I$64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Arrival_Time!$I$65:$I$115</c:f>
              <c:numCache>
                <c:formatCode>0.00%</c:formatCode>
                <c:ptCount val="51"/>
                <c:pt idx="0">
                  <c:v>1.2763491385136363E-3</c:v>
                </c:pt>
                <c:pt idx="1">
                  <c:v>4.4196987366071742E-3</c:v>
                </c:pt>
                <c:pt idx="2">
                  <c:v>7.7827760355029477E-3</c:v>
                </c:pt>
                <c:pt idx="3">
                  <c:v>1.2054044162169949E-2</c:v>
                </c:pt>
                <c:pt idx="4">
                  <c:v>1.8546923966700695E-2</c:v>
                </c:pt>
                <c:pt idx="5">
                  <c:v>2.8811340121172986E-2</c:v>
                </c:pt>
                <c:pt idx="6">
                  <c:v>4.3716977974678252E-2</c:v>
                </c:pt>
                <c:pt idx="7">
                  <c:v>6.2415164192663006E-2</c:v>
                </c:pt>
                <c:pt idx="8">
                  <c:v>8.1868020274366946E-2</c:v>
                </c:pt>
                <c:pt idx="9">
                  <c:v>9.7499989850244939E-2</c:v>
                </c:pt>
                <c:pt idx="10">
                  <c:v>0.10491736051843442</c:v>
                </c:pt>
                <c:pt idx="11">
                  <c:v>0.10188847475490895</c:v>
                </c:pt>
                <c:pt idx="12">
                  <c:v>8.9439857669085257E-2</c:v>
                </c:pt>
                <c:pt idx="13">
                  <c:v>7.1363928508936567E-2</c:v>
                </c:pt>
                <c:pt idx="14">
                  <c:v>5.243192779993347E-2</c:v>
                </c:pt>
                <c:pt idx="15">
                  <c:v>3.6419860642184991E-2</c:v>
                </c:pt>
                <c:pt idx="16">
                  <c:v>2.5038947336282993E-2</c:v>
                </c:pt>
                <c:pt idx="17">
                  <c:v>1.8090998814491419E-2</c:v>
                </c:pt>
                <c:pt idx="18">
                  <c:v>1.4358166436297608E-2</c:v>
                </c:pt>
                <c:pt idx="19">
                  <c:v>1.2498047406357954E-2</c:v>
                </c:pt>
                <c:pt idx="20">
                  <c:v>1.1526513747976813E-2</c:v>
                </c:pt>
                <c:pt idx="21">
                  <c:v>1.0890719751871168E-2</c:v>
                </c:pt>
                <c:pt idx="22">
                  <c:v>1.033792306188067E-2</c:v>
                </c:pt>
                <c:pt idx="23">
                  <c:v>9.7649045852351742E-3</c:v>
                </c:pt>
                <c:pt idx="24">
                  <c:v>9.1301544542556397E-3</c:v>
                </c:pt>
                <c:pt idx="25">
                  <c:v>8.4284467160299394E-3</c:v>
                </c:pt>
                <c:pt idx="26">
                  <c:v>7.690597889300343E-3</c:v>
                </c:pt>
                <c:pt idx="27">
                  <c:v>6.9724053504208522E-3</c:v>
                </c:pt>
                <c:pt idx="28">
                  <c:v>6.3220766519153119E-3</c:v>
                </c:pt>
                <c:pt idx="29">
                  <c:v>5.7453013917190144E-3</c:v>
                </c:pt>
                <c:pt idx="30">
                  <c:v>5.1981836346464572E-3</c:v>
                </c:pt>
                <c:pt idx="31">
                  <c:v>4.6193433971340979E-3</c:v>
                </c:pt>
                <c:pt idx="32">
                  <c:v>3.9785307567668914E-3</c:v>
                </c:pt>
                <c:pt idx="33">
                  <c:v>3.3021561791367407E-3</c:v>
                </c:pt>
                <c:pt idx="34">
                  <c:v>2.6551955844862974E-3</c:v>
                </c:pt>
                <c:pt idx="35">
                  <c:v>2.0973243440312117E-3</c:v>
                </c:pt>
                <c:pt idx="36">
                  <c:v>1.6509589300005055E-3</c:v>
                </c:pt>
                <c:pt idx="37">
                  <c:v>1.3021234592546398E-3</c:v>
                </c:pt>
                <c:pt idx="38">
                  <c:v>1.023118568677289E-3</c:v>
                </c:pt>
                <c:pt idx="39">
                  <c:v>7.9229733127412377E-4</c:v>
                </c:pt>
                <c:pt idx="40">
                  <c:v>5.9853775072908806E-4</c:v>
                </c:pt>
                <c:pt idx="41">
                  <c:v>4.3627088238410968E-4</c:v>
                </c:pt>
                <c:pt idx="42">
                  <c:v>3.0174658682897634E-4</c:v>
                </c:pt>
                <c:pt idx="43">
                  <c:v>1.9330496184227867E-4</c:v>
                </c:pt>
                <c:pt idx="44">
                  <c:v>1.1144394369803445E-4</c:v>
                </c:pt>
                <c:pt idx="45">
                  <c:v>5.6146511527579816E-5</c:v>
                </c:pt>
                <c:pt idx="46">
                  <c:v>2.4027992428945493E-5</c:v>
                </c:pt>
                <c:pt idx="47">
                  <c:v>8.487340843535496E-6</c:v>
                </c:pt>
                <c:pt idx="48">
                  <c:v>2.3945846843996228E-6</c:v>
                </c:pt>
                <c:pt idx="49">
                  <c:v>5.0931948570751042E-7</c:v>
                </c:pt>
                <c:pt idx="5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9394176"/>
        <c:axId val="81255168"/>
      </c:lineChart>
      <c:catAx>
        <c:axId val="89394176"/>
        <c:scaling>
          <c:orientation val="minMax"/>
        </c:scaling>
        <c:delete val="0"/>
        <c:axPos val="b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81255168"/>
        <c:crosses val="autoZero"/>
        <c:auto val="1"/>
        <c:lblAlgn val="ctr"/>
        <c:lblOffset val="100"/>
        <c:tickLblSkip val="2"/>
        <c:noMultiLvlLbl val="0"/>
      </c:catAx>
      <c:valAx>
        <c:axId val="81255168"/>
        <c:scaling>
          <c:orientation val="minMax"/>
        </c:scaling>
        <c:delete val="0"/>
        <c:axPos val="l"/>
        <c:majorGridlines/>
        <c:numFmt formatCode="0.0%" sourceLinked="0"/>
        <c:majorTickMark val="none"/>
        <c:minorTickMark val="none"/>
        <c:tickLblPos val="nextTo"/>
        <c:crossAx val="8939417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3"/>
          <c:h val="0.1257677165354334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Arrival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Arrival_Time!$C$64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Arrival_Time!$C$65:$C$115</c:f>
              <c:numCache>
                <c:formatCode>0.00%</c:formatCode>
                <c:ptCount val="51"/>
                <c:pt idx="0">
                  <c:v>0</c:v>
                </c:pt>
                <c:pt idx="1">
                  <c:v>1.6954026841402918E-4</c:v>
                </c:pt>
                <c:pt idx="2">
                  <c:v>8.0250548819477607E-4</c:v>
                </c:pt>
                <c:pt idx="3">
                  <c:v>2.9498331146983249E-3</c:v>
                </c:pt>
                <c:pt idx="4">
                  <c:v>8.7725225044008714E-3</c:v>
                </c:pt>
                <c:pt idx="5">
                  <c:v>2.1464573889740744E-2</c:v>
                </c:pt>
                <c:pt idx="6">
                  <c:v>4.3754964173912662E-2</c:v>
                </c:pt>
                <c:pt idx="7">
                  <c:v>7.5016812606777589E-2</c:v>
                </c:pt>
                <c:pt idx="8">
                  <c:v>0.10894976444358842</c:v>
                </c:pt>
                <c:pt idx="9">
                  <c:v>0.13476622723439363</c:v>
                </c:pt>
                <c:pt idx="10">
                  <c:v>0.14257429250266704</c:v>
                </c:pt>
                <c:pt idx="11">
                  <c:v>0.12946581258112289</c:v>
                </c:pt>
                <c:pt idx="12">
                  <c:v>0.10130142779111793</c:v>
                </c:pt>
                <c:pt idx="13">
                  <c:v>6.8725025538693821E-2</c:v>
                </c:pt>
                <c:pt idx="14">
                  <c:v>4.0964759828483355E-2</c:v>
                </c:pt>
                <c:pt idx="15">
                  <c:v>2.2156536405515119E-2</c:v>
                </c:pt>
                <c:pt idx="16">
                  <c:v>1.1733968793099845E-2</c:v>
                </c:pt>
                <c:pt idx="17">
                  <c:v>6.9767446722530414E-3</c:v>
                </c:pt>
                <c:pt idx="18">
                  <c:v>5.2099340905064429E-3</c:v>
                </c:pt>
                <c:pt idx="19">
                  <c:v>4.6696395033959245E-3</c:v>
                </c:pt>
                <c:pt idx="20">
                  <c:v>4.437565525578481E-3</c:v>
                </c:pt>
                <c:pt idx="21">
                  <c:v>4.1323029669750122E-3</c:v>
                </c:pt>
                <c:pt idx="22">
                  <c:v>3.6929938746688481E-3</c:v>
                </c:pt>
                <c:pt idx="23">
                  <c:v>3.2618363580847669E-3</c:v>
                </c:pt>
                <c:pt idx="24">
                  <c:v>3.0801361062348714E-3</c:v>
                </c:pt>
                <c:pt idx="25">
                  <c:v>3.3616032141398451E-3</c:v>
                </c:pt>
                <c:pt idx="26">
                  <c:v>4.1666033604679416E-3</c:v>
                </c:pt>
                <c:pt idx="27">
                  <c:v>5.325052028827393E-3</c:v>
                </c:pt>
                <c:pt idx="28">
                  <c:v>6.4551782559338503E-3</c:v>
                </c:pt>
                <c:pt idx="29">
                  <c:v>7.1021144209903178E-3</c:v>
                </c:pt>
                <c:pt idx="30">
                  <c:v>6.9540499106777384E-3</c:v>
                </c:pt>
                <c:pt idx="31">
                  <c:v>6.0111426159691608E-3</c:v>
                </c:pt>
                <c:pt idx="32">
                  <c:v>4.5795543657069782E-3</c:v>
                </c:pt>
                <c:pt idx="33">
                  <c:v>3.0871063724389369E-3</c:v>
                </c:pt>
                <c:pt idx="34">
                  <c:v>1.8615329334194693E-3</c:v>
                </c:pt>
                <c:pt idx="35">
                  <c:v>1.0241911325597664E-3</c:v>
                </c:pt>
                <c:pt idx="36">
                  <c:v>5.2927238411561975E-4</c:v>
                </c:pt>
                <c:pt idx="37">
                  <c:v>2.6544378087003386E-4</c:v>
                </c:pt>
                <c:pt idx="38">
                  <c:v>1.3212775062483589E-4</c:v>
                </c:pt>
                <c:pt idx="39">
                  <c:v>6.5021622230112852E-5</c:v>
                </c:pt>
                <c:pt idx="40">
                  <c:v>3.0587709742985429E-5</c:v>
                </c:pt>
                <c:pt idx="41">
                  <c:v>1.3067589116837404E-5</c:v>
                </c:pt>
                <c:pt idx="42">
                  <c:v>4.7999673927051135E-6</c:v>
                </c:pt>
                <c:pt idx="43">
                  <c:v>1.4375079379482149E-6</c:v>
                </c:pt>
                <c:pt idx="44">
                  <c:v>3.3184421966862784E-7</c:v>
                </c:pt>
                <c:pt idx="45">
                  <c:v>5.4911945924439233E-8</c:v>
                </c:pt>
                <c:pt idx="46">
                  <c:v>5.7696700151717485E-9</c:v>
                </c:pt>
                <c:pt idx="47">
                  <c:v>2.8848350075858738E-10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Arrival_Time!$J$64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Arrival_Time!$J$65:$J$115</c:f>
              <c:numCache>
                <c:formatCode>0.00%</c:formatCode>
                <c:ptCount val="51"/>
                <c:pt idx="0">
                  <c:v>7.4214278160818487E-6</c:v>
                </c:pt>
                <c:pt idx="1">
                  <c:v>1.1591392538276037E-4</c:v>
                </c:pt>
                <c:pt idx="2">
                  <c:v>4.9709376437186874E-4</c:v>
                </c:pt>
                <c:pt idx="3">
                  <c:v>1.7823516934731619E-3</c:v>
                </c:pt>
                <c:pt idx="4">
                  <c:v>5.3382763941321821E-3</c:v>
                </c:pt>
                <c:pt idx="5">
                  <c:v>1.3384025023644195E-2</c:v>
                </c:pt>
                <c:pt idx="6">
                  <c:v>2.8301862569648163E-2</c:v>
                </c:pt>
                <c:pt idx="7">
                  <c:v>5.0911688871471586E-2</c:v>
                </c:pt>
                <c:pt idx="8">
                  <c:v>7.8556714255654941E-2</c:v>
                </c:pt>
                <c:pt idx="9">
                  <c:v>0.10475109356159544</c:v>
                </c:pt>
                <c:pt idx="10">
                  <c:v>0.12150866041414501</c:v>
                </c:pt>
                <c:pt idx="11">
                  <c:v>0.12334097432301112</c:v>
                </c:pt>
                <c:pt idx="12">
                  <c:v>0.11022232682712109</c:v>
                </c:pt>
                <c:pt idx="13">
                  <c:v>8.7395843107425583E-2</c:v>
                </c:pt>
                <c:pt idx="14">
                  <c:v>6.2308602161859211E-2</c:v>
                </c:pt>
                <c:pt idx="15">
                  <c:v>4.0979504777909126E-2</c:v>
                </c:pt>
                <c:pt idx="16">
                  <c:v>2.6059099543834209E-2</c:v>
                </c:pt>
                <c:pt idx="17">
                  <c:v>1.7153221648679374E-2</c:v>
                </c:pt>
                <c:pt idx="18">
                  <c:v>1.2385729234329403E-2</c:v>
                </c:pt>
                <c:pt idx="19">
                  <c:v>9.8527504526215066E-3</c:v>
                </c:pt>
                <c:pt idx="20">
                  <c:v>8.3135069287970653E-3</c:v>
                </c:pt>
                <c:pt idx="21">
                  <c:v>7.214942017737612E-3</c:v>
                </c:pt>
                <c:pt idx="22">
                  <c:v>6.4257208663206144E-3</c:v>
                </c:pt>
                <c:pt idx="23">
                  <c:v>5.9684154365126319E-3</c:v>
                </c:pt>
                <c:pt idx="24">
                  <c:v>5.8645301968581927E-3</c:v>
                </c:pt>
                <c:pt idx="25">
                  <c:v>6.0817285045344166E-3</c:v>
                </c:pt>
                <c:pt idx="26">
                  <c:v>6.5268534654050114E-3</c:v>
                </c:pt>
                <c:pt idx="27">
                  <c:v>7.050755454703227E-3</c:v>
                </c:pt>
                <c:pt idx="28">
                  <c:v>7.4684424164885169E-3</c:v>
                </c:pt>
                <c:pt idx="29">
                  <c:v>7.6019539118176377E-3</c:v>
                </c:pt>
                <c:pt idx="30">
                  <c:v>7.3338219316214067E-3</c:v>
                </c:pt>
                <c:pt idx="31">
                  <c:v>6.6502248932589847E-3</c:v>
                </c:pt>
                <c:pt idx="32">
                  <c:v>5.6552359154818819E-3</c:v>
                </c:pt>
                <c:pt idx="33">
                  <c:v>4.5391747506793641E-3</c:v>
                </c:pt>
                <c:pt idx="34">
                  <c:v>3.500670463586669E-3</c:v>
                </c:pt>
                <c:pt idx="35">
                  <c:v>2.660898238368467E-3</c:v>
                </c:pt>
                <c:pt idx="36">
                  <c:v>2.0285916733013684E-3</c:v>
                </c:pt>
                <c:pt idx="37">
                  <c:v>1.5381351925055841E-3</c:v>
                </c:pt>
                <c:pt idx="38">
                  <c:v>1.1216421517594754E-3</c:v>
                </c:pt>
                <c:pt idx="39">
                  <c:v>7.549388446826433E-4</c:v>
                </c:pt>
                <c:pt idx="40">
                  <c:v>4.5276845979060331E-4</c:v>
                </c:pt>
                <c:pt idx="41">
                  <c:v>2.3555906147584914E-4</c:v>
                </c:pt>
                <c:pt idx="42">
                  <c:v>1.0412004694473208E-4</c:v>
                </c:pt>
                <c:pt idx="43">
                  <c:v>3.8469231569574416E-5</c:v>
                </c:pt>
                <c:pt idx="44">
                  <c:v>1.1784960630403235E-5</c:v>
                </c:pt>
                <c:pt idx="45">
                  <c:v>3.0391428340599725E-6</c:v>
                </c:pt>
                <c:pt idx="46">
                  <c:v>7.0654161959639613E-7</c:v>
                </c:pt>
                <c:pt idx="47">
                  <c:v>1.6626756883182027E-7</c:v>
                </c:pt>
                <c:pt idx="48">
                  <c:v>4.0438011004623068E-8</c:v>
                </c:pt>
                <c:pt idx="49">
                  <c:v>8.6170085583492755E-9</c:v>
                </c:pt>
                <c:pt idx="5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939264"/>
        <c:axId val="124978880"/>
      </c:lineChart>
      <c:catAx>
        <c:axId val="124939264"/>
        <c:scaling>
          <c:orientation val="minMax"/>
        </c:scaling>
        <c:delete val="0"/>
        <c:axPos val="b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4978880"/>
        <c:crosses val="autoZero"/>
        <c:auto val="1"/>
        <c:lblAlgn val="ctr"/>
        <c:lblOffset val="100"/>
        <c:tickLblSkip val="2"/>
        <c:noMultiLvlLbl val="0"/>
      </c:catAx>
      <c:valAx>
        <c:axId val="124978880"/>
        <c:scaling>
          <c:orientation val="minMax"/>
        </c:scaling>
        <c:delete val="0"/>
        <c:axPos val="l"/>
        <c:majorGridlines/>
        <c:numFmt formatCode="0.0%" sourceLinked="0"/>
        <c:majorTickMark val="none"/>
        <c:minorTickMark val="none"/>
        <c:tickLblPos val="nextTo"/>
        <c:crossAx val="12493926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3"/>
          <c:h val="0.1418267716535429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footer="0.30000000000000032" header="0.30000000000000032" l="0.70000000000000062" r="0.70000000000000062" t="0.75000000000000211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Other Arrival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Arrival_Time!$D$64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Arrival_Time!$D$65:$D$115</c:f>
              <c:numCache>
                <c:formatCode>0.00%</c:formatCode>
                <c:ptCount val="51"/>
                <c:pt idx="0">
                  <c:v>1.216710963738098E-3</c:v>
                </c:pt>
                <c:pt idx="1">
                  <c:v>9.5737227833616028E-4</c:v>
                </c:pt>
                <c:pt idx="2">
                  <c:v>8.7117941089847272E-4</c:v>
                </c:pt>
                <c:pt idx="3">
                  <c:v>1.1508265175072768E-3</c:v>
                </c:pt>
                <c:pt idx="4">
                  <c:v>2.0417967878119808E-3</c:v>
                </c:pt>
                <c:pt idx="5">
                  <c:v>3.8566659373261564E-3</c:v>
                </c:pt>
                <c:pt idx="6">
                  <c:v>6.8915163306130442E-3</c:v>
                </c:pt>
                <c:pt idx="7">
                  <c:v>1.1204613738462616E-2</c:v>
                </c:pt>
                <c:pt idx="8">
                  <c:v>1.6377016846499028E-2</c:v>
                </c:pt>
                <c:pt idx="9">
                  <c:v>2.1513360498383691E-2</c:v>
                </c:pt>
                <c:pt idx="10">
                  <c:v>2.5624534376120972E-2</c:v>
                </c:pt>
                <c:pt idx="11">
                  <c:v>2.8173783456095326E-2</c:v>
                </c:pt>
                <c:pt idx="12">
                  <c:v>2.9340526051078862E-2</c:v>
                </c:pt>
                <c:pt idx="13">
                  <c:v>2.977130936859064E-2</c:v>
                </c:pt>
                <c:pt idx="14">
                  <c:v>3.0046187091224634E-2</c:v>
                </c:pt>
                <c:pt idx="15">
                  <c:v>3.0312501797066498E-2</c:v>
                </c:pt>
                <c:pt idx="16">
                  <c:v>3.0341072613025051E-2</c:v>
                </c:pt>
                <c:pt idx="17">
                  <c:v>2.9887734174512653E-2</c:v>
                </c:pt>
                <c:pt idx="18">
                  <c:v>2.9031649235452865E-2</c:v>
                </c:pt>
                <c:pt idx="19">
                  <c:v>2.8232312800119976E-2</c:v>
                </c:pt>
                <c:pt idx="20">
                  <c:v>2.808279614051936E-2</c:v>
                </c:pt>
                <c:pt idx="21">
                  <c:v>2.8940894739555315E-2</c:v>
                </c:pt>
                <c:pt idx="22">
                  <c:v>3.0684637335916219E-2</c:v>
                </c:pt>
                <c:pt idx="23">
                  <c:v>3.2767961078576928E-2</c:v>
                </c:pt>
                <c:pt idx="24">
                  <c:v>3.45773649906405E-2</c:v>
                </c:pt>
                <c:pt idx="25">
                  <c:v>3.5874552441444857E-2</c:v>
                </c:pt>
                <c:pt idx="26">
                  <c:v>3.7004738783023447E-2</c:v>
                </c:pt>
                <c:pt idx="27">
                  <c:v>3.8678071746414161E-2</c:v>
                </c:pt>
                <c:pt idx="28">
                  <c:v>4.1413801969469921E-2</c:v>
                </c:pt>
                <c:pt idx="29">
                  <c:v>4.4972922783031E-2</c:v>
                </c:pt>
                <c:pt idx="30">
                  <c:v>4.8171348942698006E-2</c:v>
                </c:pt>
                <c:pt idx="31">
                  <c:v>4.9310806454899964E-2</c:v>
                </c:pt>
                <c:pt idx="32">
                  <c:v>4.7076897711344205E-2</c:v>
                </c:pt>
                <c:pt idx="33">
                  <c:v>4.1339992852133613E-2</c:v>
                </c:pt>
                <c:pt idx="34">
                  <c:v>3.3270158503745081E-2</c:v>
                </c:pt>
                <c:pt idx="35">
                  <c:v>2.4683184164266042E-2</c:v>
                </c:pt>
                <c:pt idx="36">
                  <c:v>1.7128570944610687E-2</c:v>
                </c:pt>
                <c:pt idx="37">
                  <c:v>1.1344804555248819E-2</c:v>
                </c:pt>
                <c:pt idx="38">
                  <c:v>7.3023959106339551E-3</c:v>
                </c:pt>
                <c:pt idx="39">
                  <c:v>4.5923819191254003E-3</c:v>
                </c:pt>
                <c:pt idx="40">
                  <c:v>2.7891954841432775E-3</c:v>
                </c:pt>
                <c:pt idx="41">
                  <c:v>1.6010927179247458E-3</c:v>
                </c:pt>
                <c:pt idx="42">
                  <c:v>8.5074674549547437E-4</c:v>
                </c:pt>
                <c:pt idx="43">
                  <c:v>4.1243557889912753E-4</c:v>
                </c:pt>
                <c:pt idx="44">
                  <c:v>1.8075373139578364E-4</c:v>
                </c:pt>
                <c:pt idx="45">
                  <c:v>7.0936165128910735E-5</c:v>
                </c:pt>
                <c:pt idx="46">
                  <c:v>2.4522344292220296E-5</c:v>
                </c:pt>
                <c:pt idx="47">
                  <c:v>7.2624361416281069E-6</c:v>
                </c:pt>
                <c:pt idx="48">
                  <c:v>1.7690083601255148E-6</c:v>
                </c:pt>
                <c:pt idx="49">
                  <c:v>3.3154805703569833E-7</c:v>
                </c:pt>
                <c:pt idx="5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Arrival_Time!$K$64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Arrival_Time!$K$65:$K$115</c:f>
              <c:numCache>
                <c:formatCode>0.00%</c:formatCode>
                <c:ptCount val="51"/>
                <c:pt idx="0">
                  <c:v>3.2360290022283278E-3</c:v>
                </c:pt>
                <c:pt idx="1">
                  <c:v>2.6475379242345159E-3</c:v>
                </c:pt>
                <c:pt idx="2">
                  <c:v>2.2144179958402282E-3</c:v>
                </c:pt>
                <c:pt idx="3">
                  <c:v>2.109452543604931E-3</c:v>
                </c:pt>
                <c:pt idx="4">
                  <c:v>2.5428080900841104E-3</c:v>
                </c:pt>
                <c:pt idx="5">
                  <c:v>3.758417749760126E-3</c:v>
                </c:pt>
                <c:pt idx="6">
                  <c:v>5.9713300733117624E-3</c:v>
                </c:pt>
                <c:pt idx="7">
                  <c:v>9.2491031816305871E-3</c:v>
                </c:pt>
                <c:pt idx="8">
                  <c:v>1.339871136188406E-2</c:v>
                </c:pt>
                <c:pt idx="9">
                  <c:v>1.7948730660056457E-2</c:v>
                </c:pt>
                <c:pt idx="10">
                  <c:v>2.2283706123317006E-2</c:v>
                </c:pt>
                <c:pt idx="11">
                  <c:v>2.5891598411883394E-2</c:v>
                </c:pt>
                <c:pt idx="12">
                  <c:v>2.8574594807454879E-2</c:v>
                </c:pt>
                <c:pt idx="13">
                  <c:v>3.0459521256893163E-2</c:v>
                </c:pt>
                <c:pt idx="14">
                  <c:v>3.1797497467068711E-2</c:v>
                </c:pt>
                <c:pt idx="15">
                  <c:v>3.27431285619805E-2</c:v>
                </c:pt>
                <c:pt idx="16">
                  <c:v>3.3317138504317098E-2</c:v>
                </c:pt>
                <c:pt idx="17">
                  <c:v>3.3543303257929508E-2</c:v>
                </c:pt>
                <c:pt idx="18">
                  <c:v>3.3562978167275742E-2</c:v>
                </c:pt>
                <c:pt idx="19">
                  <c:v>3.3588907751932628E-2</c:v>
                </c:pt>
                <c:pt idx="20">
                  <c:v>3.3764346573845437E-2</c:v>
                </c:pt>
                <c:pt idx="21">
                  <c:v>3.4086669247740273E-2</c:v>
                </c:pt>
                <c:pt idx="22">
                  <c:v>3.4460689570823502E-2</c:v>
                </c:pt>
                <c:pt idx="23">
                  <c:v>3.4811002647740619E-2</c:v>
                </c:pt>
                <c:pt idx="24">
                  <c:v>3.514750340578375E-2</c:v>
                </c:pt>
                <c:pt idx="25">
                  <c:v>3.554380921459737E-2</c:v>
                </c:pt>
                <c:pt idx="26">
                  <c:v>3.6066752457319218E-2</c:v>
                </c:pt>
                <c:pt idx="27">
                  <c:v>3.6715906102621813E-2</c:v>
                </c:pt>
                <c:pt idx="28">
                  <c:v>3.7393805895649945E-2</c:v>
                </c:pt>
                <c:pt idx="29">
                  <c:v>3.7892330567361132E-2</c:v>
                </c:pt>
                <c:pt idx="30">
                  <c:v>3.7903616396830306E-2</c:v>
                </c:pt>
                <c:pt idx="31">
                  <c:v>3.7102665202717253E-2</c:v>
                </c:pt>
                <c:pt idx="32">
                  <c:v>3.5303899527861692E-2</c:v>
                </c:pt>
                <c:pt idx="33">
                  <c:v>3.2580539554078657E-2</c:v>
                </c:pt>
                <c:pt idx="34">
                  <c:v>2.9215863399537717E-2</c:v>
                </c:pt>
                <c:pt idx="35">
                  <c:v>2.5508685413271521E-2</c:v>
                </c:pt>
                <c:pt idx="36">
                  <c:v>2.1618543161451304E-2</c:v>
                </c:pt>
                <c:pt idx="37">
                  <c:v>1.7598430819782455E-2</c:v>
                </c:pt>
                <c:pt idx="38">
                  <c:v>1.3555709120281676E-2</c:v>
                </c:pt>
                <c:pt idx="39">
                  <c:v>9.7461879507756526E-3</c:v>
                </c:pt>
                <c:pt idx="40">
                  <c:v>6.4921371621482456E-3</c:v>
                </c:pt>
                <c:pt idx="41">
                  <c:v>4.0095465612616935E-3</c:v>
                </c:pt>
                <c:pt idx="42">
                  <c:v>2.3107326766994805E-3</c:v>
                </c:pt>
                <c:pt idx="43">
                  <c:v>1.2483566778846789E-3</c:v>
                </c:pt>
                <c:pt idx="44">
                  <c:v>6.2785441255883471E-4</c:v>
                </c:pt>
                <c:pt idx="45">
                  <c:v>2.8737040175644946E-4</c:v>
                </c:pt>
                <c:pt idx="46">
                  <c:v>1.1565582345783667E-4</c:v>
                </c:pt>
                <c:pt idx="47">
                  <c:v>3.935124791913216E-5</c:v>
                </c:pt>
                <c:pt idx="48">
                  <c:v>1.085104587618898E-5</c:v>
                </c:pt>
                <c:pt idx="49">
                  <c:v>2.2748676784270701E-6</c:v>
                </c:pt>
                <c:pt idx="5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939776"/>
        <c:axId val="124981184"/>
      </c:lineChart>
      <c:catAx>
        <c:axId val="124939776"/>
        <c:scaling>
          <c:orientation val="minMax"/>
        </c:scaling>
        <c:delete val="0"/>
        <c:axPos val="b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4981184"/>
        <c:crosses val="autoZero"/>
        <c:auto val="1"/>
        <c:lblAlgn val="ctr"/>
        <c:lblOffset val="100"/>
        <c:tickLblSkip val="2"/>
        <c:noMultiLvlLbl val="0"/>
      </c:catAx>
      <c:valAx>
        <c:axId val="124981184"/>
        <c:scaling>
          <c:orientation val="minMax"/>
        </c:scaling>
        <c:delete val="0"/>
        <c:axPos val="l"/>
        <c:majorGridlines/>
        <c:title>
          <c:layout/>
          <c:overlay val="0"/>
        </c:title>
        <c:numFmt formatCode="0.0%" sourceLinked="0"/>
        <c:majorTickMark val="none"/>
        <c:minorTickMark val="none"/>
        <c:tickLblPos val="nextTo"/>
        <c:crossAx val="12493977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3"/>
          <c:h val="0.1418267716535429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footer="0.30000000000000032" header="0.30000000000000032" l="0.70000000000000062" r="0.70000000000000062" t="0.75000000000000211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Work-based Arrival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Arrival_Time!$E$64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Arrival_Time!$E$65:$E$115</c:f>
              <c:numCache>
                <c:formatCode>0.00%</c:formatCode>
                <c:ptCount val="51"/>
                <c:pt idx="0">
                  <c:v>0</c:v>
                </c:pt>
                <c:pt idx="1">
                  <c:v>2.855766340246399E-6</c:v>
                </c:pt>
                <c:pt idx="2">
                  <c:v>1.3305236076407171E-5</c:v>
                </c:pt>
                <c:pt idx="3">
                  <c:v>4.8236137048193856E-5</c:v>
                </c:pt>
                <c:pt idx="4">
                  <c:v>1.4536427450333642E-4</c:v>
                </c:pt>
                <c:pt idx="5">
                  <c:v>3.7660364564797089E-4</c:v>
                </c:pt>
                <c:pt idx="6">
                  <c:v>8.5626501911624314E-4</c:v>
                </c:pt>
                <c:pt idx="7">
                  <c:v>1.72867368043124E-3</c:v>
                </c:pt>
                <c:pt idx="8">
                  <c:v>3.1237223318849598E-3</c:v>
                </c:pt>
                <c:pt idx="9">
                  <c:v>5.1030527040192971E-3</c:v>
                </c:pt>
                <c:pt idx="10">
                  <c:v>7.67484822311389E-3</c:v>
                </c:pt>
                <c:pt idx="11">
                  <c:v>1.098070499541264E-2</c:v>
                </c:pt>
                <c:pt idx="12">
                  <c:v>1.5676696704374864E-2</c:v>
                </c:pt>
                <c:pt idx="13">
                  <c:v>2.3276005409236421E-2</c:v>
                </c:pt>
                <c:pt idx="14">
                  <c:v>3.5887663443676034E-2</c:v>
                </c:pt>
                <c:pt idx="15">
                  <c:v>5.4840301319174216E-2</c:v>
                </c:pt>
                <c:pt idx="16">
                  <c:v>7.8624336119234237E-2</c:v>
                </c:pt>
                <c:pt idx="17">
                  <c:v>0.10190452064260375</c:v>
                </c:pt>
                <c:pt idx="18">
                  <c:v>0.1173154844686994</c:v>
                </c:pt>
                <c:pt idx="19">
                  <c:v>0.11949067540460356</c:v>
                </c:pt>
                <c:pt idx="20">
                  <c:v>0.10829933219045533</c:v>
                </c:pt>
                <c:pt idx="21">
                  <c:v>8.8603729807216647E-2</c:v>
                </c:pt>
                <c:pt idx="22">
                  <c:v>6.695889302623495E-2</c:v>
                </c:pt>
                <c:pt idx="23">
                  <c:v>4.8156976494705607E-2</c:v>
                </c:pt>
                <c:pt idx="24">
                  <c:v>3.393908706225475E-2</c:v>
                </c:pt>
                <c:pt idx="25">
                  <c:v>2.3838909882497459E-2</c:v>
                </c:pt>
                <c:pt idx="26">
                  <c:v>1.6674985142155492E-2</c:v>
                </c:pt>
                <c:pt idx="27">
                  <c:v>1.1502440232105667E-2</c:v>
                </c:pt>
                <c:pt idx="28">
                  <c:v>7.8047823776587694E-3</c:v>
                </c:pt>
                <c:pt idx="29">
                  <c:v>5.2901293518856484E-3</c:v>
                </c:pt>
                <c:pt idx="30">
                  <c:v>3.6815684110969951E-3</c:v>
                </c:pt>
                <c:pt idx="31">
                  <c:v>2.6653149151938129E-3</c:v>
                </c:pt>
                <c:pt idx="32">
                  <c:v>1.9591538062841488E-3</c:v>
                </c:pt>
                <c:pt idx="33">
                  <c:v>1.3905938634297317E-3</c:v>
                </c:pt>
                <c:pt idx="34">
                  <c:v>9.0922273101335196E-4</c:v>
                </c:pt>
                <c:pt idx="35">
                  <c:v>5.3355648811270751E-4</c:v>
                </c:pt>
                <c:pt idx="36">
                  <c:v>2.8396069039765055E-4</c:v>
                </c:pt>
                <c:pt idx="37">
                  <c:v>1.4867293665648656E-4</c:v>
                </c:pt>
                <c:pt idx="38">
                  <c:v>8.9919181994983812E-5</c:v>
                </c:pt>
                <c:pt idx="39">
                  <c:v>6.6972597542305209E-5</c:v>
                </c:pt>
                <c:pt idx="40">
                  <c:v>5.3008319108365218E-5</c:v>
                </c:pt>
                <c:pt idx="41">
                  <c:v>3.8168317249931225E-5</c:v>
                </c:pt>
                <c:pt idx="42">
                  <c:v>2.3235188203583801E-5</c:v>
                </c:pt>
                <c:pt idx="43">
                  <c:v>1.1587548068912417E-5</c:v>
                </c:pt>
                <c:pt idx="44">
                  <c:v>4.6326471314575184E-6</c:v>
                </c:pt>
                <c:pt idx="45">
                  <c:v>1.4476088585560579E-6</c:v>
                </c:pt>
                <c:pt idx="46">
                  <c:v>3.4061384907201359E-7</c:v>
                </c:pt>
                <c:pt idx="47">
                  <c:v>5.6768974845335601E-8</c:v>
                </c:pt>
                <c:pt idx="48">
                  <c:v>5.9756815626669049E-9</c:v>
                </c:pt>
                <c:pt idx="49">
                  <c:v>2.987840781333452E-10</c:v>
                </c:pt>
                <c:pt idx="5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Arrival_Time!$L$64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Arrival_Time!$L$65:$L$115</c:f>
              <c:numCache>
                <c:formatCode>0.00%</c:formatCode>
                <c:ptCount val="51"/>
                <c:pt idx="0">
                  <c:v>3.8638359090094055E-4</c:v>
                </c:pt>
                <c:pt idx="1">
                  <c:v>8.3737935681397276E-4</c:v>
                </c:pt>
                <c:pt idx="2">
                  <c:v>1.3367469095325801E-3</c:v>
                </c:pt>
                <c:pt idx="3">
                  <c:v>1.8788876112973969E-3</c:v>
                </c:pt>
                <c:pt idx="4">
                  <c:v>2.4198855184052472E-3</c:v>
                </c:pt>
                <c:pt idx="5">
                  <c:v>2.9812010590023683E-3</c:v>
                </c:pt>
                <c:pt idx="6">
                  <c:v>3.774102071284952E-3</c:v>
                </c:pt>
                <c:pt idx="7">
                  <c:v>5.2210916482422253E-3</c:v>
                </c:pt>
                <c:pt idx="8">
                  <c:v>7.80348619212451E-3</c:v>
                </c:pt>
                <c:pt idx="9">
                  <c:v>1.1818557339679467E-2</c:v>
                </c:pt>
                <c:pt idx="10">
                  <c:v>1.7245297788451151E-2</c:v>
                </c:pt>
                <c:pt idx="11">
                  <c:v>2.3845527784937832E-2</c:v>
                </c:pt>
                <c:pt idx="12">
                  <c:v>3.139824282370373E-2</c:v>
                </c:pt>
                <c:pt idx="13">
                  <c:v>3.9813483045145266E-2</c:v>
                </c:pt>
                <c:pt idx="14">
                  <c:v>4.8984153318198477E-2</c:v>
                </c:pt>
                <c:pt idx="15">
                  <c:v>5.8491398119167967E-2</c:v>
                </c:pt>
                <c:pt idx="16">
                  <c:v>6.7393031089678021E-2</c:v>
                </c:pt>
                <c:pt idx="17">
                  <c:v>7.42463279190297E-2</c:v>
                </c:pt>
                <c:pt idx="18">
                  <c:v>7.7449903538737749E-2</c:v>
                </c:pt>
                <c:pt idx="19">
                  <c:v>7.5929804088537667E-2</c:v>
                </c:pt>
                <c:pt idx="20">
                  <c:v>6.9899487182231712E-2</c:v>
                </c:pt>
                <c:pt idx="21">
                  <c:v>6.1056353360841288E-2</c:v>
                </c:pt>
                <c:pt idx="22">
                  <c:v>5.1786136777019147E-2</c:v>
                </c:pt>
                <c:pt idx="23">
                  <c:v>4.3834053653354216E-2</c:v>
                </c:pt>
                <c:pt idx="24">
                  <c:v>3.7523039682231744E-2</c:v>
                </c:pt>
                <c:pt idx="25">
                  <c:v>3.2122357959096411E-2</c:v>
                </c:pt>
                <c:pt idx="26">
                  <c:v>2.6880139752829085E-2</c:v>
                </c:pt>
                <c:pt idx="27">
                  <c:v>2.1729662870020552E-2</c:v>
                </c:pt>
                <c:pt idx="28">
                  <c:v>1.7180132526634657E-2</c:v>
                </c:pt>
                <c:pt idx="29">
                  <c:v>1.3721952491804558E-2</c:v>
                </c:pt>
                <c:pt idx="30">
                  <c:v>1.1391376411513639E-2</c:v>
                </c:pt>
                <c:pt idx="31">
                  <c:v>9.8181965277879743E-3</c:v>
                </c:pt>
                <c:pt idx="32">
                  <c:v>8.5826442603557287E-3</c:v>
                </c:pt>
                <c:pt idx="33">
                  <c:v>7.4979847842923039E-3</c:v>
                </c:pt>
                <c:pt idx="34">
                  <c:v>6.601691984621203E-3</c:v>
                </c:pt>
                <c:pt idx="35">
                  <c:v>5.9440850004121261E-3</c:v>
                </c:pt>
                <c:pt idx="36">
                  <c:v>5.4231050708137439E-3</c:v>
                </c:pt>
                <c:pt idx="37">
                  <c:v>4.8219854771423386E-3</c:v>
                </c:pt>
                <c:pt idx="38">
                  <c:v>3.9873357408312287E-3</c:v>
                </c:pt>
                <c:pt idx="39">
                  <c:v>2.9581402416590653E-3</c:v>
                </c:pt>
                <c:pt idx="40">
                  <c:v>1.9280880561387429E-3</c:v>
                </c:pt>
                <c:pt idx="41">
                  <c:v>1.0959201386886333E-3</c:v>
                </c:pt>
                <c:pt idx="42">
                  <c:v>5.4696732611974165E-4</c:v>
                </c:pt>
                <c:pt idx="43">
                  <c:v>2.4566274058303018E-4</c:v>
                </c:pt>
                <c:pt idx="44">
                  <c:v>1.0326609510762018E-4</c:v>
                </c:pt>
                <c:pt idx="45">
                  <c:v>4.1832801125604144E-5</c:v>
                </c:pt>
                <c:pt idx="46">
                  <c:v>1.6076600941032985E-5</c:v>
                </c:pt>
                <c:pt idx="47">
                  <c:v>5.5187315887748005E-6</c:v>
                </c:pt>
                <c:pt idx="48">
                  <c:v>1.5730037718428169E-6</c:v>
                </c:pt>
                <c:pt idx="49">
                  <c:v>3.4193757104982463E-7</c:v>
                </c:pt>
                <c:pt idx="5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610880"/>
        <c:axId val="124984064"/>
      </c:lineChart>
      <c:catAx>
        <c:axId val="151610880"/>
        <c:scaling>
          <c:orientation val="minMax"/>
        </c:scaling>
        <c:delete val="0"/>
        <c:axPos val="b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4984064"/>
        <c:crosses val="autoZero"/>
        <c:auto val="1"/>
        <c:lblAlgn val="ctr"/>
        <c:lblOffset val="100"/>
        <c:tickLblSkip val="2"/>
        <c:noMultiLvlLbl val="0"/>
      </c:catAx>
      <c:valAx>
        <c:axId val="124984064"/>
        <c:scaling>
          <c:orientation val="minMax"/>
        </c:scaling>
        <c:delete val="0"/>
        <c:axPos val="l"/>
        <c:majorGridlines/>
        <c:title>
          <c:layout/>
          <c:overlay val="0"/>
        </c:title>
        <c:numFmt formatCode="0.0%" sourceLinked="0"/>
        <c:majorTickMark val="none"/>
        <c:minorTickMark val="none"/>
        <c:tickLblPos val="nextTo"/>
        <c:crossAx val="15161088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3"/>
          <c:h val="0.1418267716535429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footer="0.30000000000000032" header="0.30000000000000032" l="0.70000000000000062" r="0.70000000000000062" t="0.75000000000000211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Departure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Departure_Time!$B$64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Departure_Time!$A$65:$A$115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Departure_Time!$B$65:$B$115</c:f>
              <c:numCache>
                <c:formatCode>0.00%</c:formatCode>
                <c:ptCount val="51"/>
                <c:pt idx="0">
                  <c:v>9.6333767963354081E-3</c:v>
                </c:pt>
                <c:pt idx="1">
                  <c:v>6.3957623020340637E-3</c:v>
                </c:pt>
                <c:pt idx="2">
                  <c:v>3.7010896610210078E-3</c:v>
                </c:pt>
                <c:pt idx="3">
                  <c:v>1.8439990624424245E-3</c:v>
                </c:pt>
                <c:pt idx="4">
                  <c:v>8.0096916222650253E-4</c:v>
                </c:pt>
                <c:pt idx="5">
                  <c:v>3.5090636385928304E-4</c:v>
                </c:pt>
                <c:pt idx="6">
                  <c:v>2.5200264194346749E-4</c:v>
                </c:pt>
                <c:pt idx="7">
                  <c:v>3.4751706089966176E-4</c:v>
                </c:pt>
                <c:pt idx="8">
                  <c:v>5.7626433787899621E-4</c:v>
                </c:pt>
                <c:pt idx="9">
                  <c:v>9.3552804591256447E-4</c:v>
                </c:pt>
                <c:pt idx="10">
                  <c:v>1.4443309042105441E-3</c:v>
                </c:pt>
                <c:pt idx="11">
                  <c:v>2.1290101541001551E-3</c:v>
                </c:pt>
                <c:pt idx="12">
                  <c:v>3.0350634052867232E-3</c:v>
                </c:pt>
                <c:pt idx="13">
                  <c:v>4.2462128637665427E-3</c:v>
                </c:pt>
                <c:pt idx="14">
                  <c:v>5.8630851476390022E-3</c:v>
                </c:pt>
                <c:pt idx="15">
                  <c:v>7.9117266497078578E-3</c:v>
                </c:pt>
                <c:pt idx="16">
                  <c:v>1.0242086503161869E-2</c:v>
                </c:pt>
                <c:pt idx="17">
                  <c:v>1.2546981953381851E-2</c:v>
                </c:pt>
                <c:pt idx="18">
                  <c:v>1.4562567299331428E-2</c:v>
                </c:pt>
                <c:pt idx="19">
                  <c:v>1.6343000742945025E-2</c:v>
                </c:pt>
                <c:pt idx="20">
                  <c:v>1.8419352187821047E-2</c:v>
                </c:pt>
                <c:pt idx="21">
                  <c:v>2.1737264305882281E-2</c:v>
                </c:pt>
                <c:pt idx="22">
                  <c:v>2.739474122840628E-2</c:v>
                </c:pt>
                <c:pt idx="23">
                  <c:v>3.6241082311311693E-2</c:v>
                </c:pt>
                <c:pt idx="24">
                  <c:v>4.8395471417763229E-2</c:v>
                </c:pt>
                <c:pt idx="25">
                  <c:v>6.2812989930453547E-2</c:v>
                </c:pt>
                <c:pt idx="26">
                  <c:v>7.7150611644162967E-2</c:v>
                </c:pt>
                <c:pt idx="27">
                  <c:v>8.8205136298953143E-2</c:v>
                </c:pt>
                <c:pt idx="28">
                  <c:v>9.2963064543019294E-2</c:v>
                </c:pt>
                <c:pt idx="29">
                  <c:v>8.9870286258974891E-2</c:v>
                </c:pt>
                <c:pt idx="30">
                  <c:v>7.9611592118218194E-2</c:v>
                </c:pt>
                <c:pt idx="31">
                  <c:v>6.4855758634738692E-2</c:v>
                </c:pt>
                <c:pt idx="32">
                  <c:v>4.9071907573618199E-2</c:v>
                </c:pt>
                <c:pt idx="33">
                  <c:v>3.5144425425565971E-2</c:v>
                </c:pt>
                <c:pt idx="34">
                  <c:v>2.4560308602327292E-2</c:v>
                </c:pt>
                <c:pt idx="35">
                  <c:v>1.7429252567442398E-2</c:v>
                </c:pt>
                <c:pt idx="36">
                  <c:v>1.3038784428420066E-2</c:v>
                </c:pt>
                <c:pt idx="37">
                  <c:v>1.0462710695777894E-2</c:v>
                </c:pt>
                <c:pt idx="38">
                  <c:v>8.9162923805051805E-3</c:v>
                </c:pt>
                <c:pt idx="39">
                  <c:v>7.8334166907255663E-3</c:v>
                </c:pt>
                <c:pt idx="40">
                  <c:v>6.8221764081725245E-3</c:v>
                </c:pt>
                <c:pt idx="41">
                  <c:v>5.6527065118149155E-3</c:v>
                </c:pt>
                <c:pt idx="42">
                  <c:v>4.2932989234068198E-3</c:v>
                </c:pt>
                <c:pt idx="43">
                  <c:v>2.899360452362376E-3</c:v>
                </c:pt>
                <c:pt idx="44">
                  <c:v>1.6993710720946003E-3</c:v>
                </c:pt>
                <c:pt idx="45">
                  <c:v>8.4704269695053222E-4</c:v>
                </c:pt>
                <c:pt idx="46">
                  <c:v>3.5209259825050559E-4</c:v>
                </c:pt>
                <c:pt idx="47">
                  <c:v>1.1940474524377122E-4</c:v>
                </c:pt>
                <c:pt idx="48">
                  <c:v>3.2119255828557322E-5</c:v>
                </c:pt>
                <c:pt idx="49">
                  <c:v>6.4970337031049031E-6</c:v>
                </c:pt>
                <c:pt idx="5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Departure_Time!$I$64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Departure_Time!$A$65:$A$115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Departure_Time!$I$65:$I$115</c:f>
              <c:numCache>
                <c:formatCode>0.00%</c:formatCode>
                <c:ptCount val="51"/>
                <c:pt idx="0">
                  <c:v>1.5472978648581338E-2</c:v>
                </c:pt>
                <c:pt idx="1">
                  <c:v>1.0306310214267436E-2</c:v>
                </c:pt>
                <c:pt idx="2">
                  <c:v>6.011805166704182E-3</c:v>
                </c:pt>
                <c:pt idx="3">
                  <c:v>3.0621012920162951E-3</c:v>
                </c:pt>
                <c:pt idx="4">
                  <c:v>1.4159412659004063E-3</c:v>
                </c:pt>
                <c:pt idx="5">
                  <c:v>7.0771045548841105E-4</c:v>
                </c:pt>
                <c:pt idx="6">
                  <c:v>5.2744234543151026E-4</c:v>
                </c:pt>
                <c:pt idx="7">
                  <c:v>5.9082021233568087E-4</c:v>
                </c:pt>
                <c:pt idx="8">
                  <c:v>7.6314562901206218E-4</c:v>
                </c:pt>
                <c:pt idx="9">
                  <c:v>1.014576985106601E-3</c:v>
                </c:pt>
                <c:pt idx="10">
                  <c:v>1.3800684094119368E-3</c:v>
                </c:pt>
                <c:pt idx="11">
                  <c:v>1.9412313165033861E-3</c:v>
                </c:pt>
                <c:pt idx="12">
                  <c:v>2.8066376537531452E-3</c:v>
                </c:pt>
                <c:pt idx="13">
                  <c:v>4.0660814380859295E-3</c:v>
                </c:pt>
                <c:pt idx="14">
                  <c:v>5.7295097116118526E-3</c:v>
                </c:pt>
                <c:pt idx="15">
                  <c:v>7.6991807897009174E-3</c:v>
                </c:pt>
                <c:pt idx="16">
                  <c:v>9.8140928187063613E-3</c:v>
                </c:pt>
                <c:pt idx="17">
                  <c:v>1.1945285395682357E-2</c:v>
                </c:pt>
                <c:pt idx="18">
                  <c:v>1.4076957934495052E-2</c:v>
                </c:pt>
                <c:pt idx="19">
                  <c:v>1.6338884835155557E-2</c:v>
                </c:pt>
                <c:pt idx="20">
                  <c:v>1.9020022839146934E-2</c:v>
                </c:pt>
                <c:pt idx="21">
                  <c:v>2.2595573818770937E-2</c:v>
                </c:pt>
                <c:pt idx="22">
                  <c:v>2.7719417354218841E-2</c:v>
                </c:pt>
                <c:pt idx="23">
                  <c:v>3.5071421790941415E-2</c:v>
                </c:pt>
                <c:pt idx="24">
                  <c:v>4.5010115904860405E-2</c:v>
                </c:pt>
                <c:pt idx="25">
                  <c:v>5.7135651462477177E-2</c:v>
                </c:pt>
                <c:pt idx="26">
                  <c:v>6.9985885777413548E-2</c:v>
                </c:pt>
                <c:pt idx="27">
                  <c:v>8.1101722939375565E-2</c:v>
                </c:pt>
                <c:pt idx="28">
                  <c:v>8.7618238899289116E-2</c:v>
                </c:pt>
                <c:pt idx="29">
                  <c:v>8.7323825967815474E-2</c:v>
                </c:pt>
                <c:pt idx="30">
                  <c:v>7.9757163006534279E-2</c:v>
                </c:pt>
                <c:pt idx="31">
                  <c:v>6.6644397411050979E-2</c:v>
                </c:pt>
                <c:pt idx="32">
                  <c:v>5.1239385013906395E-2</c:v>
                </c:pt>
                <c:pt idx="33">
                  <c:v>3.6889158100751364E-2</c:v>
                </c:pt>
                <c:pt idx="34">
                  <c:v>2.5734862867507709E-2</c:v>
                </c:pt>
                <c:pt idx="35">
                  <c:v>1.8286324220158238E-2</c:v>
                </c:pt>
                <c:pt idx="36">
                  <c:v>1.3878078582926697E-2</c:v>
                </c:pt>
                <c:pt idx="37">
                  <c:v>1.1444661489384139E-2</c:v>
                </c:pt>
                <c:pt idx="38">
                  <c:v>1.0061872394137165E-2</c:v>
                </c:pt>
                <c:pt idx="39">
                  <c:v>9.094497754568687E-3</c:v>
                </c:pt>
                <c:pt idx="40">
                  <c:v>8.1301792914053959E-3</c:v>
                </c:pt>
                <c:pt idx="41">
                  <c:v>6.9273556654841509E-3</c:v>
                </c:pt>
                <c:pt idx="42">
                  <c:v>5.4396800758809601E-3</c:v>
                </c:pt>
                <c:pt idx="43">
                  <c:v>3.8247257076167713E-3</c:v>
                </c:pt>
                <c:pt idx="44">
                  <c:v>2.3503556453113592E-3</c:v>
                </c:pt>
                <c:pt idx="45">
                  <c:v>1.235688909507138E-3</c:v>
                </c:pt>
                <c:pt idx="46">
                  <c:v>5.4432053186836949E-4</c:v>
                </c:pt>
                <c:pt idx="47">
                  <c:v>1.9627664487774531E-4</c:v>
                </c:pt>
                <c:pt idx="48">
                  <c:v>5.6258960622584261E-5</c:v>
                </c:pt>
                <c:pt idx="49">
                  <c:v>1.2118454240027931E-5</c:v>
                </c:pt>
                <c:pt idx="5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4078080"/>
        <c:axId val="58171968"/>
      </c:lineChart>
      <c:catAx>
        <c:axId val="84078080"/>
        <c:scaling>
          <c:orientation val="minMax"/>
        </c:scaling>
        <c:delete val="0"/>
        <c:axPos val="b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58171968"/>
        <c:crosses val="autoZero"/>
        <c:auto val="1"/>
        <c:lblAlgn val="ctr"/>
        <c:lblOffset val="100"/>
        <c:tickLblSkip val="2"/>
        <c:noMultiLvlLbl val="0"/>
      </c:catAx>
      <c:valAx>
        <c:axId val="58171968"/>
        <c:scaling>
          <c:orientation val="minMax"/>
        </c:scaling>
        <c:delete val="0"/>
        <c:axPos val="l"/>
        <c:majorGridlines/>
        <c:title>
          <c:layout/>
          <c:overlay val="0"/>
        </c:title>
        <c:numFmt formatCode="0.0%" sourceLinked="0"/>
        <c:majorTickMark val="none"/>
        <c:minorTickMark val="none"/>
        <c:tickLblPos val="nextTo"/>
        <c:crossAx val="8407808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9"/>
          <c:h val="0.1257677165354334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footer="0.30000000000000032" header="0.30000000000000032" l="0.70000000000000062" r="0.70000000000000062" t="0.75000000000000211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Departure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Departure_Time!$C$64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Departure_Time!$A$65:$A$115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Departure_Time!$C$65:$C$115</c:f>
              <c:numCache>
                <c:formatCode>0.00%</c:formatCode>
                <c:ptCount val="51"/>
                <c:pt idx="0">
                  <c:v>0</c:v>
                </c:pt>
                <c:pt idx="1">
                  <c:v>4.6667151179682894E-8</c:v>
                </c:pt>
                <c:pt idx="2">
                  <c:v>3.0613942035266172E-7</c:v>
                </c:pt>
                <c:pt idx="3">
                  <c:v>1.4995717158742125E-6</c:v>
                </c:pt>
                <c:pt idx="4">
                  <c:v>5.8837934690612212E-6</c:v>
                </c:pt>
                <c:pt idx="5">
                  <c:v>1.9146722729088286E-5</c:v>
                </c:pt>
                <c:pt idx="6">
                  <c:v>5.2617902193362431E-5</c:v>
                </c:pt>
                <c:pt idx="7">
                  <c:v>1.2345479305849046E-4</c:v>
                </c:pt>
                <c:pt idx="8">
                  <c:v>2.499278000634538E-4</c:v>
                </c:pt>
                <c:pt idx="9">
                  <c:v>4.4321008353220105E-4</c:v>
                </c:pt>
                <c:pt idx="10">
                  <c:v>7.0457284521962919E-4</c:v>
                </c:pt>
                <c:pt idx="11">
                  <c:v>1.0375240891040785E-3</c:v>
                </c:pt>
                <c:pt idx="12">
                  <c:v>1.4718174843400753E-3</c:v>
                </c:pt>
                <c:pt idx="13">
                  <c:v>2.0805158276814071E-3</c:v>
                </c:pt>
                <c:pt idx="14">
                  <c:v>2.9677960190775655E-3</c:v>
                </c:pt>
                <c:pt idx="15">
                  <c:v>4.2205441085069783E-3</c:v>
                </c:pt>
                <c:pt idx="16">
                  <c:v>5.8623906825674317E-3</c:v>
                </c:pt>
                <c:pt idx="17">
                  <c:v>7.9292743372193115E-3</c:v>
                </c:pt>
                <c:pt idx="18">
                  <c:v>1.0816402101368522E-2</c:v>
                </c:pt>
                <c:pt idx="19">
                  <c:v>1.584039886965502E-2</c:v>
                </c:pt>
                <c:pt idx="20">
                  <c:v>2.5474067117332189E-2</c:v>
                </c:pt>
                <c:pt idx="21">
                  <c:v>4.2393129930046576E-2</c:v>
                </c:pt>
                <c:pt idx="22">
                  <c:v>6.710487369312261E-2</c:v>
                </c:pt>
                <c:pt idx="23">
                  <c:v>9.5581642397875838E-2</c:v>
                </c:pt>
                <c:pt idx="24">
                  <c:v>0.11945447974997479</c:v>
                </c:pt>
                <c:pt idx="25">
                  <c:v>0.12992723909649492</c:v>
                </c:pt>
                <c:pt idx="26">
                  <c:v>0.12309406936747452</c:v>
                </c:pt>
                <c:pt idx="27">
                  <c:v>0.10235933061121183</c:v>
                </c:pt>
                <c:pt idx="28">
                  <c:v>7.5911277534565003E-2</c:v>
                </c:pt>
                <c:pt idx="29">
                  <c:v>5.1613711754709017E-2</c:v>
                </c:pt>
                <c:pt idx="30">
                  <c:v>3.3499196650886569E-2</c:v>
                </c:pt>
                <c:pt idx="31">
                  <c:v>2.1733965667001889E-2</c:v>
                </c:pt>
                <c:pt idx="32">
                  <c:v>1.4639884283323842E-2</c:v>
                </c:pt>
                <c:pt idx="33">
                  <c:v>1.0470167699046722E-2</c:v>
                </c:pt>
                <c:pt idx="34">
                  <c:v>8.0116692857954384E-3</c:v>
                </c:pt>
                <c:pt idx="35">
                  <c:v>6.4754536086972939E-3</c:v>
                </c:pt>
                <c:pt idx="36">
                  <c:v>5.3334923021955728E-3</c:v>
                </c:pt>
                <c:pt idx="37">
                  <c:v>4.2883064345479336E-3</c:v>
                </c:pt>
                <c:pt idx="38">
                  <c:v>3.2585130338649779E-3</c:v>
                </c:pt>
                <c:pt idx="39">
                  <c:v>2.2989585502734599E-3</c:v>
                </c:pt>
                <c:pt idx="40">
                  <c:v>1.4941190896399475E-3</c:v>
                </c:pt>
                <c:pt idx="41">
                  <c:v>8.8999944787566954E-4</c:v>
                </c:pt>
                <c:pt idx="42">
                  <c:v>4.8199708411720589E-4</c:v>
                </c:pt>
                <c:pt idx="43">
                  <c:v>2.3387859944261975E-4</c:v>
                </c:pt>
                <c:pt idx="44">
                  <c:v>9.9461933888187026E-5</c:v>
                </c:pt>
                <c:pt idx="45">
                  <c:v>3.6028594618476976E-5</c:v>
                </c:pt>
                <c:pt idx="46">
                  <c:v>1.0738480691666626E-5</c:v>
                </c:pt>
                <c:pt idx="47">
                  <c:v>2.5237302818730992E-6</c:v>
                </c:pt>
                <c:pt idx="48">
                  <c:v>4.4174588149482922E-7</c:v>
                </c:pt>
                <c:pt idx="49">
                  <c:v>5.2687048583175827E-8</c:v>
                </c:pt>
                <c:pt idx="5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Departure_Time!$J$64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Departure_Time!$A$65:$A$115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Departure_Time!$J$65:$J$115</c:f>
              <c:numCache>
                <c:formatCode>0.00%</c:formatCode>
                <c:ptCount val="51"/>
                <c:pt idx="0">
                  <c:v>5.5654529405773281E-5</c:v>
                </c:pt>
                <c:pt idx="1">
                  <c:v>3.7422977665511375E-5</c:v>
                </c:pt>
                <c:pt idx="2">
                  <c:v>2.4475776190733288E-5</c:v>
                </c:pt>
                <c:pt idx="3">
                  <c:v>2.4996320187540523E-5</c:v>
                </c:pt>
                <c:pt idx="4">
                  <c:v>5.5349967008163372E-5</c:v>
                </c:pt>
                <c:pt idx="5">
                  <c:v>1.4475296323418431E-4</c:v>
                </c:pt>
                <c:pt idx="6">
                  <c:v>3.3058974252547806E-4</c:v>
                </c:pt>
                <c:pt idx="7">
                  <c:v>6.3911830522324744E-4</c:v>
                </c:pt>
                <c:pt idx="8">
                  <c:v>1.0636960043588274E-3</c:v>
                </c:pt>
                <c:pt idx="9">
                  <c:v>1.570059706430261E-3</c:v>
                </c:pt>
                <c:pt idx="10">
                  <c:v>2.1480570838278402E-3</c:v>
                </c:pt>
                <c:pt idx="11">
                  <c:v>2.8830115613387979E-3</c:v>
                </c:pt>
                <c:pt idx="12">
                  <c:v>3.9760337509788437E-3</c:v>
                </c:pt>
                <c:pt idx="13">
                  <c:v>5.6632559434473513E-3</c:v>
                </c:pt>
                <c:pt idx="14">
                  <c:v>8.0817045238306719E-3</c:v>
                </c:pt>
                <c:pt idx="15">
                  <c:v>1.1219199246659329E-2</c:v>
                </c:pt>
                <c:pt idx="16">
                  <c:v>1.504752919761443E-2</c:v>
                </c:pt>
                <c:pt idx="17">
                  <c:v>1.9761997069100562E-2</c:v>
                </c:pt>
                <c:pt idx="18">
                  <c:v>2.589596603229867E-2</c:v>
                </c:pt>
                <c:pt idx="19">
                  <c:v>3.4132579431392376E-2</c:v>
                </c:pt>
                <c:pt idx="20">
                  <c:v>4.4876136098300518E-2</c:v>
                </c:pt>
                <c:pt idx="21">
                  <c:v>5.7817340666472067E-2</c:v>
                </c:pt>
                <c:pt idx="22">
                  <c:v>7.1662309874222771E-2</c:v>
                </c:pt>
                <c:pt idx="23">
                  <c:v>8.4098458901157538E-2</c:v>
                </c:pt>
                <c:pt idx="24">
                  <c:v>9.2188597963069926E-2</c:v>
                </c:pt>
                <c:pt idx="25">
                  <c:v>9.3421379114244404E-2</c:v>
                </c:pt>
                <c:pt idx="26">
                  <c:v>8.7097028951045263E-2</c:v>
                </c:pt>
                <c:pt idx="27">
                  <c:v>7.4990005726874656E-2</c:v>
                </c:pt>
                <c:pt idx="28">
                  <c:v>6.0478039305962503E-2</c:v>
                </c:pt>
                <c:pt idx="29">
                  <c:v>4.6702153768930388E-2</c:v>
                </c:pt>
                <c:pt idx="30">
                  <c:v>3.5271299624820215E-2</c:v>
                </c:pt>
                <c:pt idx="31">
                  <c:v>2.6342557768896484E-2</c:v>
                </c:pt>
                <c:pt idx="32">
                  <c:v>1.9497408637444397E-2</c:v>
                </c:pt>
                <c:pt idx="33">
                  <c:v>1.4379478862294019E-2</c:v>
                </c:pt>
                <c:pt idx="34">
                  <c:v>1.0754688531701031E-2</c:v>
                </c:pt>
                <c:pt idx="35">
                  <c:v>8.3516204992414265E-3</c:v>
                </c:pt>
                <c:pt idx="36">
                  <c:v>6.8323897634479077E-3</c:v>
                </c:pt>
                <c:pt idx="37">
                  <c:v>5.8876732802506651E-3</c:v>
                </c:pt>
                <c:pt idx="38">
                  <c:v>5.2934519655204347E-3</c:v>
                </c:pt>
                <c:pt idx="39">
                  <c:v>4.8759060404431993E-3</c:v>
                </c:pt>
                <c:pt idx="40">
                  <c:v>4.4632942682351507E-3</c:v>
                </c:pt>
                <c:pt idx="41">
                  <c:v>3.9049464111905944E-3</c:v>
                </c:pt>
                <c:pt idx="42">
                  <c:v>3.1436112032516344E-3</c:v>
                </c:pt>
                <c:pt idx="43">
                  <c:v>2.2568738602721621E-3</c:v>
                </c:pt>
                <c:pt idx="44">
                  <c:v>1.4098014872089555E-3</c:v>
                </c:pt>
                <c:pt idx="45">
                  <c:v>7.5054972966436592E-4</c:v>
                </c:pt>
                <c:pt idx="46">
                  <c:v>3.3378810946415108E-4</c:v>
                </c:pt>
                <c:pt idx="47">
                  <c:v>1.2124565604985522E-4</c:v>
                </c:pt>
                <c:pt idx="48">
                  <c:v>3.4951625050727652E-5</c:v>
                </c:pt>
                <c:pt idx="49">
                  <c:v>7.562172553976175E-6</c:v>
                </c:pt>
                <c:pt idx="5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4817024"/>
        <c:axId val="58174272"/>
      </c:lineChart>
      <c:catAx>
        <c:axId val="154817024"/>
        <c:scaling>
          <c:orientation val="minMax"/>
        </c:scaling>
        <c:delete val="0"/>
        <c:axPos val="b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58174272"/>
        <c:crosses val="autoZero"/>
        <c:auto val="1"/>
        <c:lblAlgn val="ctr"/>
        <c:lblOffset val="100"/>
        <c:tickLblSkip val="2"/>
        <c:noMultiLvlLbl val="0"/>
      </c:catAx>
      <c:valAx>
        <c:axId val="58174272"/>
        <c:scaling>
          <c:orientation val="minMax"/>
        </c:scaling>
        <c:delete val="0"/>
        <c:axPos val="l"/>
        <c:majorGridlines/>
        <c:title>
          <c:layout/>
          <c:overlay val="0"/>
        </c:title>
        <c:numFmt formatCode="0.0%" sourceLinked="0"/>
        <c:majorTickMark val="none"/>
        <c:minorTickMark val="none"/>
        <c:tickLblPos val="nextTo"/>
        <c:crossAx val="15481702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9"/>
          <c:h val="0.14182677165354285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footer="0.30000000000000032" header="0.30000000000000032" l="0.70000000000000062" r="0.70000000000000062" t="0.75000000000000233"/>
    <c:pageSetup/>
  </c:printSettings>
</c:chartSpace>
</file>

<file path=xl/charts/chart7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Other Departure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Departure_Time!$D$64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Departure_Time!$A$65:$A$115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Departure_Time!$D$65:$D$115</c:f>
              <c:numCache>
                <c:formatCode>0.00%</c:formatCode>
                <c:ptCount val="51"/>
                <c:pt idx="0">
                  <c:v>3.1932216961389828E-3</c:v>
                </c:pt>
                <c:pt idx="1">
                  <c:v>2.2006827115907479E-3</c:v>
                </c:pt>
                <c:pt idx="2">
                  <c:v>1.4469478270957524E-3</c:v>
                </c:pt>
                <c:pt idx="3">
                  <c:v>1.1325945559378268E-3</c:v>
                </c:pt>
                <c:pt idx="4">
                  <c:v>1.4373517976011745E-3</c:v>
                </c:pt>
                <c:pt idx="5">
                  <c:v>2.5683408266766799E-3</c:v>
                </c:pt>
                <c:pt idx="6">
                  <c:v>4.7357964232294337E-3</c:v>
                </c:pt>
                <c:pt idx="7">
                  <c:v>7.9818691897090756E-3</c:v>
                </c:pt>
                <c:pt idx="8">
                  <c:v>1.1951627749915532E-2</c:v>
                </c:pt>
                <c:pt idx="9">
                  <c:v>1.5852295764808701E-2</c:v>
                </c:pt>
                <c:pt idx="10">
                  <c:v>1.8770861587868937E-2</c:v>
                </c:pt>
                <c:pt idx="11">
                  <c:v>2.0193253965754911E-2</c:v>
                </c:pt>
                <c:pt idx="12">
                  <c:v>2.0318106783688047E-2</c:v>
                </c:pt>
                <c:pt idx="13">
                  <c:v>1.990476668273088E-2</c:v>
                </c:pt>
                <c:pt idx="14">
                  <c:v>1.980316183698189E-2</c:v>
                </c:pt>
                <c:pt idx="15">
                  <c:v>2.0535771141261622E-2</c:v>
                </c:pt>
                <c:pt idx="16">
                  <c:v>2.2156088956108287E-2</c:v>
                </c:pt>
                <c:pt idx="17">
                  <c:v>2.4350502931178086E-2</c:v>
                </c:pt>
                <c:pt idx="18">
                  <c:v>2.6660377665113345E-2</c:v>
                </c:pt>
                <c:pt idx="19">
                  <c:v>2.8739124579625873E-2</c:v>
                </c:pt>
                <c:pt idx="20">
                  <c:v>3.0545129580275009E-2</c:v>
                </c:pt>
                <c:pt idx="21">
                  <c:v>3.2318538870378409E-2</c:v>
                </c:pt>
                <c:pt idx="22">
                  <c:v>3.4282983243859193E-2</c:v>
                </c:pt>
                <c:pt idx="23">
                  <c:v>3.6282272340861059E-2</c:v>
                </c:pt>
                <c:pt idx="24">
                  <c:v>3.7728162697657504E-2</c:v>
                </c:pt>
                <c:pt idx="25">
                  <c:v>3.8011621390411351E-2</c:v>
                </c:pt>
                <c:pt idx="26">
                  <c:v>3.7058608419409458E-2</c:v>
                </c:pt>
                <c:pt idx="27">
                  <c:v>3.5510304833663651E-2</c:v>
                </c:pt>
                <c:pt idx="28">
                  <c:v>3.4349648539215724E-2</c:v>
                </c:pt>
                <c:pt idx="29">
                  <c:v>3.4312684570082075E-2</c:v>
                </c:pt>
                <c:pt idx="30">
                  <c:v>3.5549365817906624E-2</c:v>
                </c:pt>
                <c:pt idx="31">
                  <c:v>3.7670623573897333E-2</c:v>
                </c:pt>
                <c:pt idx="32">
                  <c:v>3.9975685747531763E-2</c:v>
                </c:pt>
                <c:pt idx="33">
                  <c:v>4.1639515719674745E-2</c:v>
                </c:pt>
                <c:pt idx="34">
                  <c:v>4.1853555182253019E-2</c:v>
                </c:pt>
                <c:pt idx="35">
                  <c:v>4.0029812267368556E-2</c:v>
                </c:pt>
                <c:pt idx="36">
                  <c:v>3.605725331777597E-2</c:v>
                </c:pt>
                <c:pt idx="37">
                  <c:v>3.0421413098603869E-2</c:v>
                </c:pt>
                <c:pt idx="38">
                  <c:v>2.4028274034786301E-2</c:v>
                </c:pt>
                <c:pt idx="39">
                  <c:v>1.7817701790519384E-2</c:v>
                </c:pt>
                <c:pt idx="40">
                  <c:v>1.2435557674844739E-2</c:v>
                </c:pt>
                <c:pt idx="41">
                  <c:v>8.1505211910053599E-3</c:v>
                </c:pt>
                <c:pt idx="42">
                  <c:v>4.9675391861835417E-3</c:v>
                </c:pt>
                <c:pt idx="43">
                  <c:v>2.7683749036291091E-3</c:v>
                </c:pt>
                <c:pt idx="44">
                  <c:v>1.3814826521740531E-3</c:v>
                </c:pt>
                <c:pt idx="45">
                  <c:v>6.0360262444337956E-4</c:v>
                </c:pt>
                <c:pt idx="46">
                  <c:v>2.2559162405715613E-4</c:v>
                </c:pt>
                <c:pt idx="47">
                  <c:v>7.0304648275082402E-5</c:v>
                </c:pt>
                <c:pt idx="48">
                  <c:v>1.7711465133240528E-5</c:v>
                </c:pt>
                <c:pt idx="49">
                  <c:v>3.4143211074875603E-6</c:v>
                </c:pt>
                <c:pt idx="5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Departure_Time!$K$64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Departure_Time!$A$65:$A$115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Departure_Time!$K$65:$K$115</c:f>
              <c:numCache>
                <c:formatCode>0.00%</c:formatCode>
                <c:ptCount val="51"/>
                <c:pt idx="0">
                  <c:v>1.0757326883950391E-2</c:v>
                </c:pt>
                <c:pt idx="1">
                  <c:v>7.4857068338207971E-3</c:v>
                </c:pt>
                <c:pt idx="2">
                  <c:v>4.8011414178852725E-3</c:v>
                </c:pt>
                <c:pt idx="3">
                  <c:v>3.0593879975939807E-3</c:v>
                </c:pt>
                <c:pt idx="4">
                  <c:v>2.3374580579099287E-3</c:v>
                </c:pt>
                <c:pt idx="5">
                  <c:v>2.5654877708580501E-3</c:v>
                </c:pt>
                <c:pt idx="6">
                  <c:v>3.6738358716066001E-3</c:v>
                </c:pt>
                <c:pt idx="7">
                  <c:v>5.6184635469566776E-3</c:v>
                </c:pt>
                <c:pt idx="8">
                  <c:v>8.2963653351369408E-3</c:v>
                </c:pt>
                <c:pt idx="9">
                  <c:v>1.1468450149022976E-2</c:v>
                </c:pt>
                <c:pt idx="10">
                  <c:v>1.4789005024357165E-2</c:v>
                </c:pt>
                <c:pt idx="11">
                  <c:v>1.7936229588627475E-2</c:v>
                </c:pt>
                <c:pt idx="12">
                  <c:v>2.0739043782615988E-2</c:v>
                </c:pt>
                <c:pt idx="13">
                  <c:v>2.3187542278382971E-2</c:v>
                </c:pt>
                <c:pt idx="14">
                  <c:v>2.5319667608428995E-2</c:v>
                </c:pt>
                <c:pt idx="15">
                  <c:v>2.7104690838384383E-2</c:v>
                </c:pt>
                <c:pt idx="16">
                  <c:v>2.8453073879941788E-2</c:v>
                </c:pt>
                <c:pt idx="17">
                  <c:v>2.9343539942707535E-2</c:v>
                </c:pt>
                <c:pt idx="18">
                  <c:v>2.9921762024517604E-2</c:v>
                </c:pt>
                <c:pt idx="19">
                  <c:v>3.0453524141559701E-2</c:v>
                </c:pt>
                <c:pt idx="20">
                  <c:v>3.1176013303275848E-2</c:v>
                </c:pt>
                <c:pt idx="21">
                  <c:v>3.2188628305143213E-2</c:v>
                </c:pt>
                <c:pt idx="22">
                  <c:v>3.3448124049310954E-2</c:v>
                </c:pt>
                <c:pt idx="23">
                  <c:v>3.4802330436155715E-2</c:v>
                </c:pt>
                <c:pt idx="24">
                  <c:v>3.5999690827867241E-2</c:v>
                </c:pt>
                <c:pt idx="25">
                  <c:v>3.6727746745720512E-2</c:v>
                </c:pt>
                <c:pt idx="26">
                  <c:v>3.6754722499730635E-2</c:v>
                </c:pt>
                <c:pt idx="27">
                  <c:v>3.6106413300408598E-2</c:v>
                </c:pt>
                <c:pt idx="28">
                  <c:v>3.5106331506775508E-2</c:v>
                </c:pt>
                <c:pt idx="29">
                  <c:v>3.4209118668723837E-2</c:v>
                </c:pt>
                <c:pt idx="30">
                  <c:v>3.3745640474590562E-2</c:v>
                </c:pt>
                <c:pt idx="31">
                  <c:v>3.3753603558878666E-2</c:v>
                </c:pt>
                <c:pt idx="32">
                  <c:v>3.3970801041630978E-2</c:v>
                </c:pt>
                <c:pt idx="33">
                  <c:v>3.3960723587276996E-2</c:v>
                </c:pt>
                <c:pt idx="34">
                  <c:v>3.3299177371693044E-2</c:v>
                </c:pt>
                <c:pt idx="35">
                  <c:v>3.1744328345551256E-2</c:v>
                </c:pt>
                <c:pt idx="36">
                  <c:v>2.9316040516655574E-2</c:v>
                </c:pt>
                <c:pt idx="37">
                  <c:v>2.6245141182068183E-2</c:v>
                </c:pt>
                <c:pt idx="38">
                  <c:v>2.2826268818810218E-2</c:v>
                </c:pt>
                <c:pt idx="39">
                  <c:v>1.9274278937851066E-2</c:v>
                </c:pt>
                <c:pt idx="40">
                  <c:v>1.5683843336648358E-2</c:v>
                </c:pt>
                <c:pt idx="41">
                  <c:v>1.2110555366088922E-2</c:v>
                </c:pt>
                <c:pt idx="42">
                  <c:v>8.6870619418581482E-3</c:v>
                </c:pt>
                <c:pt idx="43">
                  <c:v>5.6533548242747008E-3</c:v>
                </c:pt>
                <c:pt idx="44">
                  <c:v>3.2601596174510533E-3</c:v>
                </c:pt>
                <c:pt idx="45">
                  <c:v>1.6284001895445295E-3</c:v>
                </c:pt>
                <c:pt idx="46">
                  <c:v>6.884419614306182E-4</c:v>
                </c:pt>
                <c:pt idx="47">
                  <c:v>2.4018727564395809E-4</c:v>
                </c:pt>
                <c:pt idx="48">
                  <c:v>6.7033331016173869E-5</c:v>
                </c:pt>
                <c:pt idx="49">
                  <c:v>1.4135703659686375E-5</c:v>
                </c:pt>
                <c:pt idx="5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281984"/>
        <c:axId val="58176576"/>
      </c:lineChart>
      <c:catAx>
        <c:axId val="58281984"/>
        <c:scaling>
          <c:orientation val="minMax"/>
        </c:scaling>
        <c:delete val="0"/>
        <c:axPos val="b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58176576"/>
        <c:crosses val="autoZero"/>
        <c:auto val="1"/>
        <c:lblAlgn val="ctr"/>
        <c:lblOffset val="100"/>
        <c:tickLblSkip val="2"/>
        <c:noMultiLvlLbl val="0"/>
      </c:catAx>
      <c:valAx>
        <c:axId val="58176576"/>
        <c:scaling>
          <c:orientation val="minMax"/>
        </c:scaling>
        <c:delete val="0"/>
        <c:axPos val="l"/>
        <c:majorGridlines/>
        <c:title>
          <c:layout/>
          <c:overlay val="0"/>
        </c:title>
        <c:numFmt formatCode="0.0%" sourceLinked="0"/>
        <c:majorTickMark val="none"/>
        <c:minorTickMark val="none"/>
        <c:tickLblPos val="nextTo"/>
        <c:crossAx val="5828198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9"/>
          <c:h val="0.14182677165354285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footer="0.30000000000000032" header="0.30000000000000032" l="0.70000000000000062" r="0.70000000000000062" t="0.75000000000000233"/>
    <c:pageSetup/>
  </c:printSettings>
</c:chartSpace>
</file>

<file path=xl/charts/chart8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Work-based Departure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Departure_Time!$E$64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Departure_Time!$A$65:$A$115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Departure_Time!$E$65:$E$115</c:f>
              <c:numCache>
                <c:formatCode>0.00%</c:formatCode>
                <c:ptCount val="51"/>
                <c:pt idx="0">
                  <c:v>0</c:v>
                </c:pt>
                <c:pt idx="1">
                  <c:v>5.2917415003555102E-7</c:v>
                </c:pt>
                <c:pt idx="2">
                  <c:v>3.5047067042103118E-6</c:v>
                </c:pt>
                <c:pt idx="3">
                  <c:v>1.6702186358207437E-5</c:v>
                </c:pt>
                <c:pt idx="4">
                  <c:v>6.1579947878549442E-5</c:v>
                </c:pt>
                <c:pt idx="5">
                  <c:v>1.8374479971365926E-4</c:v>
                </c:pt>
                <c:pt idx="6">
                  <c:v>4.5857036171515414E-4</c:v>
                </c:pt>
                <c:pt idx="7">
                  <c:v>9.8203653730454909E-4</c:v>
                </c:pt>
                <c:pt idx="8">
                  <c:v>1.8427579233046346E-3</c:v>
                </c:pt>
                <c:pt idx="9">
                  <c:v>3.0872441554353519E-3</c:v>
                </c:pt>
                <c:pt idx="10">
                  <c:v>4.7123555321566543E-3</c:v>
                </c:pt>
                <c:pt idx="11">
                  <c:v>6.7365766527345671E-3</c:v>
                </c:pt>
                <c:pt idx="12">
                  <c:v>9.3942873183664836E-3</c:v>
                </c:pt>
                <c:pt idx="13">
                  <c:v>1.3427736143412573E-2</c:v>
                </c:pt>
                <c:pt idx="14">
                  <c:v>2.0288135420707728E-2</c:v>
                </c:pt>
                <c:pt idx="15">
                  <c:v>3.1867463322190009E-2</c:v>
                </c:pt>
                <c:pt idx="16">
                  <c:v>4.9434000639737123E-2</c:v>
                </c:pt>
                <c:pt idx="17">
                  <c:v>7.202783245861083E-2</c:v>
                </c:pt>
                <c:pt idx="18">
                  <c:v>9.5454179910086201E-2</c:v>
                </c:pt>
                <c:pt idx="19">
                  <c:v>0.11322226871214287</c:v>
                </c:pt>
                <c:pt idx="20">
                  <c:v>0.11954062822988148</c:v>
                </c:pt>
                <c:pt idx="21">
                  <c:v>0.11254787394339294</c:v>
                </c:pt>
                <c:pt idx="22">
                  <c:v>9.5321105238519457E-2</c:v>
                </c:pt>
                <c:pt idx="23">
                  <c:v>7.3861717584279049E-2</c:v>
                </c:pt>
                <c:pt idx="24">
                  <c:v>5.3727311405618428E-2</c:v>
                </c:pt>
                <c:pt idx="25">
                  <c:v>3.7808227714651615E-2</c:v>
                </c:pt>
                <c:pt idx="26">
                  <c:v>2.632907334775457E-2</c:v>
                </c:pt>
                <c:pt idx="27">
                  <c:v>1.8221818004143839E-2</c:v>
                </c:pt>
                <c:pt idx="28">
                  <c:v>1.2401330083352199E-2</c:v>
                </c:pt>
                <c:pt idx="29">
                  <c:v>8.2284214809209156E-3</c:v>
                </c:pt>
                <c:pt idx="30">
                  <c:v>5.3738420179229411E-3</c:v>
                </c:pt>
                <c:pt idx="31">
                  <c:v>3.5749684884191541E-3</c:v>
                </c:pt>
                <c:pt idx="32">
                  <c:v>2.5369503364416229E-3</c:v>
                </c:pt>
                <c:pt idx="33">
                  <c:v>1.9593568652619083E-3</c:v>
                </c:pt>
                <c:pt idx="34">
                  <c:v>1.5935133078911925E-3</c:v>
                </c:pt>
                <c:pt idx="35">
                  <c:v>1.2804402192009656E-3</c:v>
                </c:pt>
                <c:pt idx="36">
                  <c:v>9.5990818689176203E-4</c:v>
                </c:pt>
                <c:pt idx="37">
                  <c:v>6.4837182751011362E-4</c:v>
                </c:pt>
                <c:pt idx="38">
                  <c:v>3.9162097789366971E-4</c:v>
                </c:pt>
                <c:pt idx="39">
                  <c:v>2.1783890210701884E-4</c:v>
                </c:pt>
                <c:pt idx="40">
                  <c:v>1.1993653417125505E-4</c:v>
                </c:pt>
                <c:pt idx="41">
                  <c:v>6.9953315031515942E-5</c:v>
                </c:pt>
                <c:pt idx="42">
                  <c:v>4.2220614728184323E-5</c:v>
                </c:pt>
                <c:pt idx="43">
                  <c:v>2.3918214977302568E-5</c:v>
                </c:pt>
                <c:pt idx="44">
                  <c:v>1.1660002928313906E-5</c:v>
                </c:pt>
                <c:pt idx="45">
                  <c:v>4.6362869788255826E-6</c:v>
                </c:pt>
                <c:pt idx="46">
                  <c:v>1.4476081205984575E-6</c:v>
                </c:pt>
                <c:pt idx="47">
                  <c:v>3.4061367543493116E-7</c:v>
                </c:pt>
                <c:pt idx="48">
                  <c:v>5.6768945905821854E-8</c:v>
                </c:pt>
                <c:pt idx="49">
                  <c:v>5.9756785164023002E-9</c:v>
                </c:pt>
                <c:pt idx="5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Departure_Time!$L$64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Departure_Time!$A$65:$A$115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Departure_Time!$L$65:$L$115</c:f>
              <c:numCache>
                <c:formatCode>0.00%</c:formatCode>
                <c:ptCount val="51"/>
                <c:pt idx="0">
                  <c:v>3.8614397750697991E-4</c:v>
                </c:pt>
                <c:pt idx="1">
                  <c:v>5.615149227761549E-4</c:v>
                </c:pt>
                <c:pt idx="2">
                  <c:v>8.1871897577215998E-4</c:v>
                </c:pt>
                <c:pt idx="3">
                  <c:v>1.1949977698477283E-3</c:v>
                </c:pt>
                <c:pt idx="4">
                  <c:v>1.6651220124148317E-3</c:v>
                </c:pt>
                <c:pt idx="5">
                  <c:v>2.1694232339423019E-3</c:v>
                </c:pt>
                <c:pt idx="6">
                  <c:v>2.6845969041376606E-3</c:v>
                </c:pt>
                <c:pt idx="7">
                  <c:v>3.2993845586557608E-3</c:v>
                </c:pt>
                <c:pt idx="8">
                  <c:v>4.2384602359112475E-3</c:v>
                </c:pt>
                <c:pt idx="9">
                  <c:v>5.8098985110515674E-3</c:v>
                </c:pt>
                <c:pt idx="10">
                  <c:v>8.320115657274009E-3</c:v>
                </c:pt>
                <c:pt idx="11">
                  <c:v>1.202706231486201E-2</c:v>
                </c:pt>
                <c:pt idx="12">
                  <c:v>1.713731485180094E-2</c:v>
                </c:pt>
                <c:pt idx="13">
                  <c:v>2.3771492810045387E-2</c:v>
                </c:pt>
                <c:pt idx="14">
                  <c:v>3.1851060959580131E-2</c:v>
                </c:pt>
                <c:pt idx="15">
                  <c:v>4.0977463926268658E-2</c:v>
                </c:pt>
                <c:pt idx="16">
                  <c:v>5.0413691638072598E-2</c:v>
                </c:pt>
                <c:pt idx="17">
                  <c:v>5.918286162174044E-2</c:v>
                </c:pt>
                <c:pt idx="18">
                  <c:v>6.6228334654530402E-2</c:v>
                </c:pt>
                <c:pt idx="19">
                  <c:v>7.0633578765587512E-2</c:v>
                </c:pt>
                <c:pt idx="20">
                  <c:v>7.1917248251396546E-2</c:v>
                </c:pt>
                <c:pt idx="21">
                  <c:v>7.0265922997484617E-2</c:v>
                </c:pt>
                <c:pt idx="22">
                  <c:v>6.6448157325093446E-2</c:v>
                </c:pt>
                <c:pt idx="23">
                  <c:v>6.1353607849161919E-2</c:v>
                </c:pt>
                <c:pt idx="24">
                  <c:v>5.5493084873377362E-2</c:v>
                </c:pt>
                <c:pt idx="25">
                  <c:v>4.8906665121215886E-2</c:v>
                </c:pt>
                <c:pt idx="26">
                  <c:v>4.1549841550692301E-2</c:v>
                </c:pt>
                <c:pt idx="27">
                  <c:v>3.3746101526366083E-2</c:v>
                </c:pt>
                <c:pt idx="28">
                  <c:v>2.6249210499065527E-2</c:v>
                </c:pt>
                <c:pt idx="29">
                  <c:v>1.9883644595811489E-2</c:v>
                </c:pt>
                <c:pt idx="30">
                  <c:v>1.512608478733659E-2</c:v>
                </c:pt>
                <c:pt idx="31">
                  <c:v>1.1960951848370859E-2</c:v>
                </c:pt>
                <c:pt idx="32">
                  <c:v>1.0033216170969148E-2</c:v>
                </c:pt>
                <c:pt idx="33">
                  <c:v>8.9077081533160858E-3</c:v>
                </c:pt>
                <c:pt idx="34">
                  <c:v>8.2509213244178117E-3</c:v>
                </c:pt>
                <c:pt idx="35">
                  <c:v>7.8601855444062705E-3</c:v>
                </c:pt>
                <c:pt idx="36">
                  <c:v>7.5796271525899218E-3</c:v>
                </c:pt>
                <c:pt idx="37">
                  <c:v>7.2226061907685497E-3</c:v>
                </c:pt>
                <c:pt idx="38">
                  <c:v>6.6002191903114594E-3</c:v>
                </c:pt>
                <c:pt idx="39">
                  <c:v>5.6296769814533319E-3</c:v>
                </c:pt>
                <c:pt idx="40">
                  <c:v>4.3996882389136932E-3</c:v>
                </c:pt>
                <c:pt idx="41">
                  <c:v>3.1183989848879044E-3</c:v>
                </c:pt>
                <c:pt idx="42">
                  <c:v>1.9935274460997315E-3</c:v>
                </c:pt>
                <c:pt idx="43">
                  <c:v>1.1435739475842387E-3</c:v>
                </c:pt>
                <c:pt idx="44">
                  <c:v>5.8373011384609496E-4</c:v>
                </c:pt>
                <c:pt idx="45">
                  <c:v>2.6151031638132658E-4</c:v>
                </c:pt>
                <c:pt idx="46">
                  <c:v>1.0081239771806854E-4</c:v>
                </c:pt>
                <c:pt idx="47">
                  <c:v>3.2585895408911324E-5</c:v>
                </c:pt>
                <c:pt idx="48">
                  <c:v>8.5407247650808664E-6</c:v>
                </c:pt>
                <c:pt idx="49">
                  <c:v>1.7116990112574527E-6</c:v>
                </c:pt>
                <c:pt idx="5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678976"/>
        <c:axId val="58178880"/>
      </c:lineChart>
      <c:catAx>
        <c:axId val="55678976"/>
        <c:scaling>
          <c:orientation val="minMax"/>
        </c:scaling>
        <c:delete val="0"/>
        <c:axPos val="b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58178880"/>
        <c:crosses val="autoZero"/>
        <c:auto val="1"/>
        <c:lblAlgn val="ctr"/>
        <c:lblOffset val="100"/>
        <c:tickLblSkip val="2"/>
        <c:noMultiLvlLbl val="0"/>
      </c:catAx>
      <c:valAx>
        <c:axId val="58178880"/>
        <c:scaling>
          <c:orientation val="minMax"/>
        </c:scaling>
        <c:delete val="0"/>
        <c:axPos val="l"/>
        <c:majorGridlines/>
        <c:title>
          <c:layout/>
          <c:overlay val="0"/>
        </c:title>
        <c:numFmt formatCode="0.0%" sourceLinked="0"/>
        <c:majorTickMark val="none"/>
        <c:minorTickMark val="none"/>
        <c:tickLblPos val="nextTo"/>
        <c:crossAx val="5567897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9"/>
          <c:h val="0.14182677165354285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footer="0.30000000000000032" header="0.30000000000000032" l="0.70000000000000062" r="0.70000000000000062" t="0.75000000000000233"/>
    <c:pageSetup/>
  </c:printSettings>
</c:chartSpace>
</file>

<file path=xl/charts/chart9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Durations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Duration!$B$64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Duration!$A$65:$A$89</c:f>
              <c:numCache>
                <c:formatCode>h:mm</c:formatCode>
                <c:ptCount val="25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  <c:pt idx="19">
                  <c:v>0.39583333333333331</c:v>
                </c:pt>
                <c:pt idx="20">
                  <c:v>0.41666666666666669</c:v>
                </c:pt>
                <c:pt idx="21">
                  <c:v>0.4375</c:v>
                </c:pt>
                <c:pt idx="22">
                  <c:v>0.45833333333333331</c:v>
                </c:pt>
                <c:pt idx="23">
                  <c:v>0.47916666666666669</c:v>
                </c:pt>
                <c:pt idx="24">
                  <c:v>0.5</c:v>
                </c:pt>
              </c:numCache>
            </c:numRef>
          </c:cat>
          <c:val>
            <c:numRef>
              <c:f>Duration!$B$65:$B$89</c:f>
              <c:numCache>
                <c:formatCode>0.00%</c:formatCode>
                <c:ptCount val="25"/>
                <c:pt idx="0">
                  <c:v>2.4990954365740375E-2</c:v>
                </c:pt>
                <c:pt idx="1">
                  <c:v>2.2764372900826259E-2</c:v>
                </c:pt>
                <c:pt idx="2">
                  <c:v>2.0977113362074137E-2</c:v>
                </c:pt>
                <c:pt idx="3">
                  <c:v>1.9912462240596156E-2</c:v>
                </c:pt>
                <c:pt idx="4">
                  <c:v>1.9644116276868098E-2</c:v>
                </c:pt>
                <c:pt idx="5">
                  <c:v>2.0076450912385409E-2</c:v>
                </c:pt>
                <c:pt idx="6">
                  <c:v>2.0999590406756297E-2</c:v>
                </c:pt>
                <c:pt idx="7">
                  <c:v>2.2135094705718058E-2</c:v>
                </c:pt>
                <c:pt idx="8">
                  <c:v>2.3230930660627622E-2</c:v>
                </c:pt>
                <c:pt idx="9">
                  <c:v>2.4244572542239443E-2</c:v>
                </c:pt>
                <c:pt idx="10">
                  <c:v>2.5548373479036435E-2</c:v>
                </c:pt>
                <c:pt idx="11">
                  <c:v>2.8022814902078426E-2</c:v>
                </c:pt>
                <c:pt idx="12">
                  <c:v>3.2910906786970354E-2</c:v>
                </c:pt>
                <c:pt idx="13">
                  <c:v>4.1336843381952156E-2</c:v>
                </c:pt>
                <c:pt idx="14">
                  <c:v>5.3489212726830056E-2</c:v>
                </c:pt>
                <c:pt idx="15">
                  <c:v>6.7783241917255627E-2</c:v>
                </c:pt>
                <c:pt idx="16">
                  <c:v>8.0716787769106596E-2</c:v>
                </c:pt>
                <c:pt idx="17">
                  <c:v>8.8031497663914604E-2</c:v>
                </c:pt>
                <c:pt idx="18">
                  <c:v>8.6831021139698303E-2</c:v>
                </c:pt>
                <c:pt idx="19">
                  <c:v>7.7234475279552683E-2</c:v>
                </c:pt>
                <c:pt idx="20">
                  <c:v>6.2252747571791146E-2</c:v>
                </c:pt>
                <c:pt idx="21">
                  <c:v>4.6014163840127881E-2</c:v>
                </c:pt>
                <c:pt idx="22">
                  <c:v>3.1771031083300837E-2</c:v>
                </c:pt>
                <c:pt idx="23">
                  <c:v>2.0979460153027478E-2</c:v>
                </c:pt>
                <c:pt idx="24">
                  <c:v>1.3581301936224725E-2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Duration!$I$64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Duration!$A$65:$A$89</c:f>
              <c:numCache>
                <c:formatCode>h:mm</c:formatCode>
                <c:ptCount val="25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  <c:pt idx="19">
                  <c:v>0.39583333333333331</c:v>
                </c:pt>
                <c:pt idx="20">
                  <c:v>0.41666666666666669</c:v>
                </c:pt>
                <c:pt idx="21">
                  <c:v>0.4375</c:v>
                </c:pt>
                <c:pt idx="22">
                  <c:v>0.45833333333333331</c:v>
                </c:pt>
                <c:pt idx="23">
                  <c:v>0.47916666666666669</c:v>
                </c:pt>
                <c:pt idx="24">
                  <c:v>0.5</c:v>
                </c:pt>
              </c:numCache>
            </c:numRef>
          </c:cat>
          <c:val>
            <c:numRef>
              <c:f>Duration!$I$65:$I$89</c:f>
              <c:numCache>
                <c:formatCode>0.00%</c:formatCode>
                <c:ptCount val="25"/>
                <c:pt idx="0">
                  <c:v>1.4564335442887547E-2</c:v>
                </c:pt>
                <c:pt idx="1">
                  <c:v>1.4066444889370963E-2</c:v>
                </c:pt>
                <c:pt idx="2">
                  <c:v>1.4016518857849358E-2</c:v>
                </c:pt>
                <c:pt idx="3">
                  <c:v>1.4679949469155979E-2</c:v>
                </c:pt>
                <c:pt idx="4">
                  <c:v>1.6046980275221476E-2</c:v>
                </c:pt>
                <c:pt idx="5">
                  <c:v>1.785780158311644E-2</c:v>
                </c:pt>
                <c:pt idx="6">
                  <c:v>1.9721307475437159E-2</c:v>
                </c:pt>
                <c:pt idx="7">
                  <c:v>2.1294256169396585E-2</c:v>
                </c:pt>
                <c:pt idx="8">
                  <c:v>2.2475891261026153E-2</c:v>
                </c:pt>
                <c:pt idx="9">
                  <c:v>2.3537005119510332E-2</c:v>
                </c:pt>
                <c:pt idx="10">
                  <c:v>2.5103753064125964E-2</c:v>
                </c:pt>
                <c:pt idx="11">
                  <c:v>2.8004117280614672E-2</c:v>
                </c:pt>
                <c:pt idx="12">
                  <c:v>3.3075818817237229E-2</c:v>
                </c:pt>
                <c:pt idx="13">
                  <c:v>4.0983027883779201E-2</c:v>
                </c:pt>
                <c:pt idx="14">
                  <c:v>5.1921630418172625E-2</c:v>
                </c:pt>
                <c:pt idx="15">
                  <c:v>6.5094152932553204E-2</c:v>
                </c:pt>
                <c:pt idx="16">
                  <c:v>7.8215969959726503E-2</c:v>
                </c:pt>
                <c:pt idx="17">
                  <c:v>8.7734000242845431E-2</c:v>
                </c:pt>
                <c:pt idx="18">
                  <c:v>9.0181406631271041E-2</c:v>
                </c:pt>
                <c:pt idx="19">
                  <c:v>8.4054750745073445E-2</c:v>
                </c:pt>
                <c:pt idx="20">
                  <c:v>7.0815126907627382E-2</c:v>
                </c:pt>
                <c:pt idx="21">
                  <c:v>5.4144165354394959E-2</c:v>
                </c:pt>
                <c:pt idx="22">
                  <c:v>3.8027008825239121E-2</c:v>
                </c:pt>
                <c:pt idx="23">
                  <c:v>2.5080249277078422E-2</c:v>
                </c:pt>
                <c:pt idx="24">
                  <c:v>1.6049353111643783E-2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282496"/>
        <c:axId val="154928832"/>
      </c:lineChart>
      <c:catAx>
        <c:axId val="58282496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54928832"/>
        <c:crosses val="autoZero"/>
        <c:auto val="1"/>
        <c:lblAlgn val="ctr"/>
        <c:lblOffset val="100"/>
        <c:tickLblSkip val="2"/>
        <c:noMultiLvlLbl val="0"/>
      </c:catAx>
      <c:valAx>
        <c:axId val="154928832"/>
        <c:scaling>
          <c:orientation val="minMax"/>
        </c:scaling>
        <c:delete val="0"/>
        <c:axPos val="l"/>
        <c:majorGridlines/>
        <c:numFmt formatCode="0.0%" sourceLinked="0"/>
        <c:majorTickMark val="none"/>
        <c:minorTickMark val="none"/>
        <c:tickLblPos val="nextTo"/>
        <c:crossAx val="58282496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78467118945771919"/>
          <c:y val="0.20307117492666357"/>
          <c:w val="0.19192618223760091"/>
          <c:h val="0.1418267716535429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footer="0.30000000000000032" header="0.30000000000000032" l="0.70000000000000062" r="0.70000000000000062" t="0.75000000000000233"/>
    <c:pageSetup/>
  </c:printSettings>
</c:chartSpace>
</file>

<file path=xl/charts/chart10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Durations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7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Duration!$C$64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Duration!$A$65:$A$89</c:f>
              <c:numCache>
                <c:formatCode>h:mm</c:formatCode>
                <c:ptCount val="25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  <c:pt idx="19">
                  <c:v>0.39583333333333331</c:v>
                </c:pt>
                <c:pt idx="20">
                  <c:v>0.41666666666666669</c:v>
                </c:pt>
                <c:pt idx="21">
                  <c:v>0.4375</c:v>
                </c:pt>
                <c:pt idx="22">
                  <c:v>0.45833333333333331</c:v>
                </c:pt>
                <c:pt idx="23">
                  <c:v>0.47916666666666669</c:v>
                </c:pt>
                <c:pt idx="24">
                  <c:v>0.5</c:v>
                </c:pt>
              </c:numCache>
            </c:numRef>
          </c:cat>
          <c:val>
            <c:numRef>
              <c:f>Duration!$C$65:$C$89</c:f>
              <c:numCache>
                <c:formatCode>0.00%</c:formatCode>
                <c:ptCount val="25"/>
                <c:pt idx="0">
                  <c:v>7.9542825600350444E-3</c:v>
                </c:pt>
                <c:pt idx="1">
                  <c:v>1.041534759432703E-2</c:v>
                </c:pt>
                <c:pt idx="2">
                  <c:v>1.2251110532230653E-2</c:v>
                </c:pt>
                <c:pt idx="3">
                  <c:v>1.320431461537569E-2</c:v>
                </c:pt>
                <c:pt idx="4">
                  <c:v>1.3451336613886531E-2</c:v>
                </c:pt>
                <c:pt idx="5">
                  <c:v>1.3367216389236269E-2</c:v>
                </c:pt>
                <c:pt idx="6">
                  <c:v>1.3283208187228687E-2</c:v>
                </c:pt>
                <c:pt idx="7">
                  <c:v>1.3555928980108245E-2</c:v>
                </c:pt>
                <c:pt idx="8">
                  <c:v>1.5046924963535551E-2</c:v>
                </c:pt>
                <c:pt idx="9">
                  <c:v>1.972518755942046E-2</c:v>
                </c:pt>
                <c:pt idx="10">
                  <c:v>3.0611672895853877E-2</c:v>
                </c:pt>
                <c:pt idx="11">
                  <c:v>5.0160321141889057E-2</c:v>
                </c:pt>
                <c:pt idx="12">
                  <c:v>7.7295144099483626E-2</c:v>
                </c:pt>
                <c:pt idx="13">
                  <c:v>0.10544218442287133</c:v>
                </c:pt>
                <c:pt idx="14">
                  <c:v>0.12449340229407486</c:v>
                </c:pt>
                <c:pt idx="15">
                  <c:v>0.12659014747350938</c:v>
                </c:pt>
                <c:pt idx="16">
                  <c:v>0.11131663188848703</c:v>
                </c:pt>
                <c:pt idx="17">
                  <c:v>8.5659346905539807E-2</c:v>
                </c:pt>
                <c:pt idx="18">
                  <c:v>5.8953823019829758E-2</c:v>
                </c:pt>
                <c:pt idx="19">
                  <c:v>3.7533219069906733E-2</c:v>
                </c:pt>
                <c:pt idx="20">
                  <c:v>2.3025547546449039E-2</c:v>
                </c:pt>
                <c:pt idx="21">
                  <c:v>1.405474858638003E-2</c:v>
                </c:pt>
                <c:pt idx="22">
                  <c:v>8.6130109277955409E-3</c:v>
                </c:pt>
                <c:pt idx="23">
                  <c:v>5.2575086187164515E-3</c:v>
                </c:pt>
                <c:pt idx="24">
                  <c:v>3.1810388254415716E-3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Duration!$J$64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Duration!$A$65:$A$89</c:f>
              <c:numCache>
                <c:formatCode>h:mm</c:formatCode>
                <c:ptCount val="25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  <c:pt idx="19">
                  <c:v>0.39583333333333331</c:v>
                </c:pt>
                <c:pt idx="20">
                  <c:v>0.41666666666666669</c:v>
                </c:pt>
                <c:pt idx="21">
                  <c:v>0.4375</c:v>
                </c:pt>
                <c:pt idx="22">
                  <c:v>0.45833333333333331</c:v>
                </c:pt>
                <c:pt idx="23">
                  <c:v>0.47916666666666669</c:v>
                </c:pt>
                <c:pt idx="24">
                  <c:v>0.5</c:v>
                </c:pt>
              </c:numCache>
            </c:numRef>
          </c:cat>
          <c:val>
            <c:numRef>
              <c:f>Duration!$J$65:$J$89</c:f>
              <c:numCache>
                <c:formatCode>0.00%</c:formatCode>
                <c:ptCount val="25"/>
                <c:pt idx="0">
                  <c:v>3.5710907399340019E-2</c:v>
                </c:pt>
                <c:pt idx="1">
                  <c:v>3.0130444857363253E-2</c:v>
                </c:pt>
                <c:pt idx="2">
                  <c:v>2.5898004231660415E-2</c:v>
                </c:pt>
                <c:pt idx="3">
                  <c:v>2.3866840744162645E-2</c:v>
                </c:pt>
                <c:pt idx="4">
                  <c:v>2.420133360124186E-2</c:v>
                </c:pt>
                <c:pt idx="5">
                  <c:v>2.6559275505978374E-2</c:v>
                </c:pt>
                <c:pt idx="6">
                  <c:v>3.0470293088428271E-2</c:v>
                </c:pt>
                <c:pt idx="7">
                  <c:v>3.5635109400367189E-2</c:v>
                </c:pt>
                <c:pt idx="8">
                  <c:v>4.1977280411640741E-2</c:v>
                </c:pt>
                <c:pt idx="9">
                  <c:v>4.9471637894984273E-2</c:v>
                </c:pt>
                <c:pt idx="10">
                  <c:v>5.7880724933870004E-2</c:v>
                </c:pt>
                <c:pt idx="11">
                  <c:v>6.6508604755922449E-2</c:v>
                </c:pt>
                <c:pt idx="12">
                  <c:v>7.4071928442250037E-2</c:v>
                </c:pt>
                <c:pt idx="13">
                  <c:v>7.8859433191356243E-2</c:v>
                </c:pt>
                <c:pt idx="14">
                  <c:v>7.9297206531972961E-2</c:v>
                </c:pt>
                <c:pt idx="15">
                  <c:v>7.4704148127315448E-2</c:v>
                </c:pt>
                <c:pt idx="16">
                  <c:v>6.571600487505426E-2</c:v>
                </c:pt>
                <c:pt idx="17">
                  <c:v>5.4026358532299847E-2</c:v>
                </c:pt>
                <c:pt idx="18">
                  <c:v>4.1642548042209369E-2</c:v>
                </c:pt>
                <c:pt idx="19">
                  <c:v>3.0191903645360826E-2</c:v>
                </c:pt>
                <c:pt idx="20">
                  <c:v>2.0627953803938066E-2</c:v>
                </c:pt>
                <c:pt idx="21">
                  <c:v>1.3289552448388113E-2</c:v>
                </c:pt>
                <c:pt idx="22">
                  <c:v>8.0882460990214233E-3</c:v>
                </c:pt>
                <c:pt idx="23">
                  <c:v>4.683133781219458E-3</c:v>
                </c:pt>
                <c:pt idx="24">
                  <c:v>2.622826429606004E-3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283520"/>
        <c:axId val="154931136"/>
      </c:lineChart>
      <c:catAx>
        <c:axId val="58283520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54931136"/>
        <c:crosses val="autoZero"/>
        <c:auto val="1"/>
        <c:lblAlgn val="ctr"/>
        <c:lblOffset val="100"/>
        <c:tickLblSkip val="2"/>
        <c:noMultiLvlLbl val="0"/>
      </c:catAx>
      <c:valAx>
        <c:axId val="154931136"/>
        <c:scaling>
          <c:orientation val="minMax"/>
        </c:scaling>
        <c:delete val="0"/>
        <c:axPos val="l"/>
        <c:majorGridlines/>
        <c:numFmt formatCode="0.0%" sourceLinked="0"/>
        <c:majorTickMark val="none"/>
        <c:minorTickMark val="none"/>
        <c:tickLblPos val="nextTo"/>
        <c:crossAx val="58283520"/>
        <c:crosses val="autoZero"/>
        <c:crossBetween val="between"/>
        <c:majorUnit val="0.1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131496971183101"/>
          <c:h val="0.1418267716535429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55" footer="0.30000000000000032" header="0.30000000000000032" l="0.70000000000000062" r="0.70000000000000062" t="0.75000000000000255"/>
    <c:pageSetup/>
  </c:printSettings>
</c:chartSpace>
</file>

<file path=xl/charts/chart11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Other Durations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7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Duration!$D$64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Duration!$A$65:$A$89</c:f>
              <c:numCache>
                <c:formatCode>h:mm</c:formatCode>
                <c:ptCount val="25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  <c:pt idx="19">
                  <c:v>0.39583333333333331</c:v>
                </c:pt>
                <c:pt idx="20">
                  <c:v>0.41666666666666669</c:v>
                </c:pt>
                <c:pt idx="21">
                  <c:v>0.4375</c:v>
                </c:pt>
                <c:pt idx="22">
                  <c:v>0.45833333333333331</c:v>
                </c:pt>
                <c:pt idx="23">
                  <c:v>0.47916666666666669</c:v>
                </c:pt>
                <c:pt idx="24">
                  <c:v>0.5</c:v>
                </c:pt>
              </c:numCache>
            </c:numRef>
          </c:cat>
          <c:val>
            <c:numRef>
              <c:f>Duration!$D$65:$D$89</c:f>
              <c:numCache>
                <c:formatCode>0.00%</c:formatCode>
                <c:ptCount val="25"/>
                <c:pt idx="0">
                  <c:v>0.30848527331286374</c:v>
                </c:pt>
                <c:pt idx="1">
                  <c:v>0.22947952742262023</c:v>
                </c:pt>
                <c:pt idx="2">
                  <c:v>0.1599267740032719</c:v>
                </c:pt>
                <c:pt idx="3">
                  <c:v>0.1055769455504036</c:v>
                </c:pt>
                <c:pt idx="4">
                  <c:v>6.7208108405981085E-2</c:v>
                </c:pt>
                <c:pt idx="5">
                  <c:v>4.2062926920204947E-2</c:v>
                </c:pt>
                <c:pt idx="6">
                  <c:v>2.6283970886954829E-2</c:v>
                </c:pt>
                <c:pt idx="7">
                  <c:v>1.6595168526586615E-2</c:v>
                </c:pt>
                <c:pt idx="8">
                  <c:v>1.0756876706997402E-2</c:v>
                </c:pt>
                <c:pt idx="9">
                  <c:v>7.3273611889133998E-3</c:v>
                </c:pt>
                <c:pt idx="10">
                  <c:v>5.3448142652143026E-3</c:v>
                </c:pt>
                <c:pt idx="11">
                  <c:v>4.1597349937499556E-3</c:v>
                </c:pt>
                <c:pt idx="12">
                  <c:v>3.3688304169872578E-3</c:v>
                </c:pt>
                <c:pt idx="13">
                  <c:v>2.7620523234336315E-3</c:v>
                </c:pt>
                <c:pt idx="14">
                  <c:v>2.2561662409133305E-3</c:v>
                </c:pt>
                <c:pt idx="15">
                  <c:v>1.8302180589686876E-3</c:v>
                </c:pt>
                <c:pt idx="16">
                  <c:v>1.4796512869754187E-3</c:v>
                </c:pt>
                <c:pt idx="17">
                  <c:v>1.1939774626988759E-3</c:v>
                </c:pt>
                <c:pt idx="18">
                  <c:v>9.5497870030293586E-4</c:v>
                </c:pt>
                <c:pt idx="19">
                  <c:v>7.4655814349347657E-4</c:v>
                </c:pt>
                <c:pt idx="20">
                  <c:v>5.6356859918115908E-4</c:v>
                </c:pt>
                <c:pt idx="21">
                  <c:v>4.1118976588479678E-4</c:v>
                </c:pt>
                <c:pt idx="22">
                  <c:v>2.9647508638529072E-4</c:v>
                </c:pt>
                <c:pt idx="23">
                  <c:v>2.1975123789906578E-4</c:v>
                </c:pt>
                <c:pt idx="24">
                  <c:v>1.7206300765138882E-4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Duration!$K$64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Duration!$A$65:$A$89</c:f>
              <c:numCache>
                <c:formatCode>h:mm</c:formatCode>
                <c:ptCount val="25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  <c:pt idx="19">
                  <c:v>0.39583333333333331</c:v>
                </c:pt>
                <c:pt idx="20">
                  <c:v>0.41666666666666669</c:v>
                </c:pt>
                <c:pt idx="21">
                  <c:v>0.4375</c:v>
                </c:pt>
                <c:pt idx="22">
                  <c:v>0.45833333333333331</c:v>
                </c:pt>
                <c:pt idx="23">
                  <c:v>0.47916666666666669</c:v>
                </c:pt>
                <c:pt idx="24">
                  <c:v>0.5</c:v>
                </c:pt>
              </c:numCache>
            </c:numRef>
          </c:cat>
          <c:val>
            <c:numRef>
              <c:f>Duration!$K$65:$K$89</c:f>
              <c:numCache>
                <c:formatCode>0.00%</c:formatCode>
                <c:ptCount val="25"/>
                <c:pt idx="0">
                  <c:v>0.30265143107103532</c:v>
                </c:pt>
                <c:pt idx="1">
                  <c:v>0.22648928192733331</c:v>
                </c:pt>
                <c:pt idx="2">
                  <c:v>0.1594272292899713</c:v>
                </c:pt>
                <c:pt idx="3">
                  <c:v>0.10692777100456849</c:v>
                </c:pt>
                <c:pt idx="4">
                  <c:v>6.9637711410357447E-2</c:v>
                </c:pt>
                <c:pt idx="5">
                  <c:v>4.4866798543831792E-2</c:v>
                </c:pt>
                <c:pt idx="6">
                  <c:v>2.8949763564176098E-2</c:v>
                </c:pt>
                <c:pt idx="7">
                  <c:v>1.8804783086264751E-2</c:v>
                </c:pt>
                <c:pt idx="8">
                  <c:v>1.2333149120244734E-2</c:v>
                </c:pt>
                <c:pt idx="9">
                  <c:v>8.2077525002456787E-3</c:v>
                </c:pt>
                <c:pt idx="10">
                  <c:v>5.5840666024654685E-3</c:v>
                </c:pt>
                <c:pt idx="11">
                  <c:v>3.9128183056790569E-3</c:v>
                </c:pt>
                <c:pt idx="12">
                  <c:v>2.8349947138510863E-3</c:v>
                </c:pt>
                <c:pt idx="13">
                  <c:v>2.1191961645827791E-3</c:v>
                </c:pt>
                <c:pt idx="14">
                  <c:v>1.6218173920866149E-3</c:v>
                </c:pt>
                <c:pt idx="15">
                  <c:v>1.2590904516318773E-3</c:v>
                </c:pt>
                <c:pt idx="16">
                  <c:v>9.8498406222615321E-4</c:v>
                </c:pt>
                <c:pt idx="17">
                  <c:v>7.7427705517683508E-4</c:v>
                </c:pt>
                <c:pt idx="18">
                  <c:v>6.1148694129546926E-4</c:v>
                </c:pt>
                <c:pt idx="19">
                  <c:v>4.8481081891669684E-4</c:v>
                </c:pt>
                <c:pt idx="20">
                  <c:v>3.8370100136727919E-4</c:v>
                </c:pt>
                <c:pt idx="21">
                  <c:v>2.9919933638957651E-4</c:v>
                </c:pt>
                <c:pt idx="22">
                  <c:v>2.2576153972418881E-4</c:v>
                </c:pt>
                <c:pt idx="23">
                  <c:v>1.6239197368481351E-4</c:v>
                </c:pt>
                <c:pt idx="24">
                  <c:v>1.1140493360702103E-4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284032"/>
        <c:axId val="154933440"/>
      </c:lineChart>
      <c:catAx>
        <c:axId val="58284032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54933440"/>
        <c:crosses val="autoZero"/>
        <c:auto val="1"/>
        <c:lblAlgn val="ctr"/>
        <c:lblOffset val="100"/>
        <c:tickLblSkip val="2"/>
        <c:noMultiLvlLbl val="0"/>
      </c:catAx>
      <c:valAx>
        <c:axId val="154933440"/>
        <c:scaling>
          <c:orientation val="minMax"/>
        </c:scaling>
        <c:delete val="0"/>
        <c:axPos val="l"/>
        <c:majorGridlines/>
        <c:numFmt formatCode="0.0%" sourceLinked="0"/>
        <c:majorTickMark val="none"/>
        <c:minorTickMark val="none"/>
        <c:tickLblPos val="nextTo"/>
        <c:crossAx val="58284032"/>
        <c:crosses val="autoZero"/>
        <c:crossBetween val="between"/>
        <c:majorUnit val="0.1"/>
      </c:valAx>
    </c:plotArea>
    <c:legend>
      <c:legendPos val="r"/>
      <c:layout>
        <c:manualLayout>
          <c:xMode val="edge"/>
          <c:yMode val="edge"/>
          <c:x val="0.76160313870800822"/>
          <c:y val="0.21483595800524941"/>
          <c:w val="0.17689743799326146"/>
          <c:h val="9.8689516751582565E-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55" footer="0.30000000000000032" header="0.30000000000000032" l="0.70000000000000062" r="0.70000000000000062" t="0.75000000000000255"/>
    <c:pageSetup/>
  </c:printSettings>
</c:chartSpace>
</file>

<file path=xl/charts/chart12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Work-based Durations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7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Duration!$E$64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Duration!$A$65:$A$85</c:f>
              <c:numCache>
                <c:formatCode>h:mm</c:formatCode>
                <c:ptCount val="21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  <c:pt idx="19">
                  <c:v>0.39583333333333331</c:v>
                </c:pt>
                <c:pt idx="20">
                  <c:v>0.41666666666666669</c:v>
                </c:pt>
              </c:numCache>
            </c:numRef>
          </c:cat>
          <c:val>
            <c:numRef>
              <c:f>Duration!$E$65:$E$85</c:f>
              <c:numCache>
                <c:formatCode>0.00%</c:formatCode>
                <c:ptCount val="21"/>
                <c:pt idx="0">
                  <c:v>0.3533058801681786</c:v>
                </c:pt>
                <c:pt idx="1">
                  <c:v>0.25679266376766452</c:v>
                </c:pt>
                <c:pt idx="2">
                  <c:v>0.17146123752715733</c:v>
                </c:pt>
                <c:pt idx="3">
                  <c:v>0.10467281786726276</c:v>
                </c:pt>
                <c:pt idx="4">
                  <c:v>5.8294523216554255E-2</c:v>
                </c:pt>
                <c:pt idx="5">
                  <c:v>2.9645912203847654E-2</c:v>
                </c:pt>
                <c:pt idx="6">
                  <c:v>1.3856215979446918E-2</c:v>
                </c:pt>
                <c:pt idx="7">
                  <c:v>6.0578002063322511E-3</c:v>
                </c:pt>
                <c:pt idx="8">
                  <c:v>2.5778815605212793E-3</c:v>
                </c:pt>
                <c:pt idx="9">
                  <c:v>1.1536352428815409E-3</c:v>
                </c:pt>
                <c:pt idx="10">
                  <c:v>6.0801277708311E-4</c:v>
                </c:pt>
                <c:pt idx="11">
                  <c:v>4.078925858364086E-4</c:v>
                </c:pt>
                <c:pt idx="12">
                  <c:v>3.3023468757166778E-4</c:v>
                </c:pt>
                <c:pt idx="13">
                  <c:v>2.8160900039011193E-4</c:v>
                </c:pt>
                <c:pt idx="14">
                  <c:v>2.2586530445408117E-4</c:v>
                </c:pt>
                <c:pt idx="15">
                  <c:v>1.5939582954709722E-4</c:v>
                </c:pt>
                <c:pt idx="16">
                  <c:v>9.5277408409543166E-5</c:v>
                </c:pt>
                <c:pt idx="17">
                  <c:v>4.7002331019378922E-5</c:v>
                </c:pt>
                <c:pt idx="18">
                  <c:v>1.8691110440239305E-5</c:v>
                </c:pt>
                <c:pt idx="19">
                  <c:v>5.8275216910295544E-6</c:v>
                </c:pt>
                <c:pt idx="20">
                  <c:v>1.3701475778145563E-6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Duration!$L$64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Duration!$A$65:$A$85</c:f>
              <c:numCache>
                <c:formatCode>h:mm</c:formatCode>
                <c:ptCount val="21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  <c:pt idx="19">
                  <c:v>0.39583333333333331</c:v>
                </c:pt>
                <c:pt idx="20">
                  <c:v>0.41666666666666669</c:v>
                </c:pt>
              </c:numCache>
            </c:numRef>
          </c:cat>
          <c:val>
            <c:numRef>
              <c:f>Duration!$L$65:$L$85</c:f>
              <c:numCache>
                <c:formatCode>0.00%</c:formatCode>
                <c:ptCount val="21"/>
                <c:pt idx="0">
                  <c:v>0.31556094277682195</c:v>
                </c:pt>
                <c:pt idx="1">
                  <c:v>0.23292562567732319</c:v>
                </c:pt>
                <c:pt idx="2">
                  <c:v>0.16042738831472136</c:v>
                </c:pt>
                <c:pt idx="3">
                  <c:v>0.10430141053581365</c:v>
                </c:pt>
                <c:pt idx="4">
                  <c:v>6.5468473936012198E-2</c:v>
                </c:pt>
                <c:pt idx="5">
                  <c:v>4.0917403538878031E-2</c:v>
                </c:pt>
                <c:pt idx="6">
                  <c:v>2.6219586129840457E-2</c:v>
                </c:pt>
                <c:pt idx="7">
                  <c:v>1.7447372407519503E-2</c:v>
                </c:pt>
                <c:pt idx="8">
                  <c:v>1.1930205247876685E-2</c:v>
                </c:pt>
                <c:pt idx="9">
                  <c:v>8.186256120203201E-3</c:v>
                </c:pt>
                <c:pt idx="10">
                  <c:v>5.5284466437118254E-3</c:v>
                </c:pt>
                <c:pt idx="11">
                  <c:v>3.6606597350100174E-3</c:v>
                </c:pt>
                <c:pt idx="12">
                  <c:v>2.4072746097791222E-3</c:v>
                </c:pt>
                <c:pt idx="13">
                  <c:v>1.6032393270799057E-3</c:v>
                </c:pt>
                <c:pt idx="14">
                  <c:v>1.0916969804811759E-3</c:v>
                </c:pt>
                <c:pt idx="15">
                  <c:v>7.5216643042361447E-4</c:v>
                </c:pt>
                <c:pt idx="16">
                  <c:v>5.1245400323441314E-4</c:v>
                </c:pt>
                <c:pt idx="17">
                  <c:v>3.3885259934295997E-4</c:v>
                </c:pt>
                <c:pt idx="18">
                  <c:v>2.180220975586472E-4</c:v>
                </c:pt>
                <c:pt idx="19">
                  <c:v>1.4184424511249556E-4</c:v>
                </c:pt>
                <c:pt idx="20">
                  <c:v>9.9618488110056274E-5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284544"/>
        <c:axId val="154985024"/>
      </c:lineChart>
      <c:catAx>
        <c:axId val="58284544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54985024"/>
        <c:crosses val="autoZero"/>
        <c:auto val="1"/>
        <c:lblAlgn val="ctr"/>
        <c:lblOffset val="100"/>
        <c:tickLblSkip val="2"/>
        <c:noMultiLvlLbl val="0"/>
      </c:catAx>
      <c:valAx>
        <c:axId val="154985024"/>
        <c:scaling>
          <c:orientation val="minMax"/>
        </c:scaling>
        <c:delete val="0"/>
        <c:axPos val="l"/>
        <c:majorGridlines/>
        <c:numFmt formatCode="0.0%" sourceLinked="0"/>
        <c:majorTickMark val="none"/>
        <c:minorTickMark val="none"/>
        <c:tickLblPos val="nextTo"/>
        <c:crossAx val="5828454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3"/>
          <c:h val="0.1418267716535429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55" footer="0.30000000000000032" header="0.30000000000000032" l="0.70000000000000062" r="0.70000000000000062" t="0.75000000000000255"/>
    <c:pageSetup/>
  </c:printSettings>
</c:chartSpace>
</file>

<file path=xl/charts/chart13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Arrival_Time_Work!$J$7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Arrival_Time_Work!$J$8:$J$58</c:f>
              <c:numCache>
                <c:formatCode>0.00</c:formatCode>
                <c:ptCount val="51"/>
                <c:pt idx="0">
                  <c:v>0</c:v>
                </c:pt>
                <c:pt idx="1">
                  <c:v>929.67895232744888</c:v>
                </c:pt>
                <c:pt idx="2">
                  <c:v>2286.7763216511198</c:v>
                </c:pt>
                <c:pt idx="3">
                  <c:v>4583.0673966478253</c:v>
                </c:pt>
                <c:pt idx="4">
                  <c:v>8440.4781086233816</c:v>
                </c:pt>
                <c:pt idx="5">
                  <c:v>14468.476073402928</c:v>
                </c:pt>
                <c:pt idx="6">
                  <c:v>22929.03499253251</c:v>
                </c:pt>
                <c:pt idx="7">
                  <c:v>33280.363858536606</c:v>
                </c:pt>
                <c:pt idx="8">
                  <c:v>43905.158251909575</c:v>
                </c:pt>
                <c:pt idx="9">
                  <c:v>52383.047644210994</c:v>
                </c:pt>
                <c:pt idx="10">
                  <c:v>56384.165281097761</c:v>
                </c:pt>
                <c:pt idx="11">
                  <c:v>54766.107094698717</c:v>
                </c:pt>
                <c:pt idx="12">
                  <c:v>48174.638866428912</c:v>
                </c:pt>
                <c:pt idx="13">
                  <c:v>38715.956842618922</c:v>
                </c:pt>
                <c:pt idx="14">
                  <c:v>28922.20466252933</c:v>
                </c:pt>
                <c:pt idx="15">
                  <c:v>20703.598535506218</c:v>
                </c:pt>
                <c:pt idx="16">
                  <c:v>14872.411631241694</c:v>
                </c:pt>
                <c:pt idx="17">
                  <c:v>11310.536447010936</c:v>
                </c:pt>
                <c:pt idx="18">
                  <c:v>9437.3435717482553</c:v>
                </c:pt>
                <c:pt idx="19">
                  <c:v>8606.7583807307765</c:v>
                </c:pt>
                <c:pt idx="20">
                  <c:v>8292.761065617342</c:v>
                </c:pt>
                <c:pt idx="21">
                  <c:v>8124.1300033905854</c:v>
                </c:pt>
                <c:pt idx="22">
                  <c:v>7870.5878057768068</c:v>
                </c:pt>
                <c:pt idx="23">
                  <c:v>7427.7807575962506</c:v>
                </c:pt>
                <c:pt idx="24">
                  <c:v>6800.3300482623772</c:v>
                </c:pt>
                <c:pt idx="25">
                  <c:v>6070.6521256096121</c:v>
                </c:pt>
                <c:pt idx="26">
                  <c:v>5348.6820908210875</c:v>
                </c:pt>
                <c:pt idx="27">
                  <c:v>4713.6546500927379</c:v>
                </c:pt>
                <c:pt idx="28">
                  <c:v>4176.2963368040746</c:v>
                </c:pt>
                <c:pt idx="29">
                  <c:v>3686.6184085273117</c:v>
                </c:pt>
                <c:pt idx="30">
                  <c:v>3180.7919051611666</c:v>
                </c:pt>
                <c:pt idx="31">
                  <c:v>2629.7793620528955</c:v>
                </c:pt>
                <c:pt idx="32">
                  <c:v>2055.7494883507743</c:v>
                </c:pt>
                <c:pt idx="33">
                  <c:v>1513.0719766502818</c:v>
                </c:pt>
                <c:pt idx="34">
                  <c:v>1055.2600739727307</c:v>
                </c:pt>
                <c:pt idx="35">
                  <c:v>710.48056585690972</c:v>
                </c:pt>
                <c:pt idx="36">
                  <c:v>475.52522907775972</c:v>
                </c:pt>
                <c:pt idx="37">
                  <c:v>325.45350693239789</c:v>
                </c:pt>
                <c:pt idx="38">
                  <c:v>229.37143304390716</c:v>
                </c:pt>
                <c:pt idx="39">
                  <c:v>162.8382167022028</c:v>
                </c:pt>
                <c:pt idx="40">
                  <c:v>112.35153926988123</c:v>
                </c:pt>
                <c:pt idx="41">
                  <c:v>73.083890180054638</c:v>
                </c:pt>
                <c:pt idx="42">
                  <c:v>44.037526421090107</c:v>
                </c:pt>
                <c:pt idx="43">
                  <c:v>24.382380048436158</c:v>
                </c:pt>
                <c:pt idx="44">
                  <c:v>12.325030123533246</c:v>
                </c:pt>
                <c:pt idx="45">
                  <c:v>5.6141208401012408</c:v>
                </c:pt>
                <c:pt idx="46">
                  <c:v>2.2494468841600419</c:v>
                </c:pt>
                <c:pt idx="47">
                  <c:v>0.76592424041461937</c:v>
                </c:pt>
                <c:pt idx="48">
                  <c:v>0.21232097869110106</c:v>
                </c:pt>
                <c:pt idx="49">
                  <c:v>4.4800583611488337E-2</c:v>
                </c:pt>
                <c:pt idx="5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Arrival_Time_Work!$U$7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Arrival_Time_Work!$U$8:$U$58</c:f>
              <c:numCache>
                <c:formatCode>General</c:formatCode>
                <c:ptCount val="51"/>
                <c:pt idx="0">
                  <c:v>722</c:v>
                </c:pt>
                <c:pt idx="1">
                  <c:v>2500.117241859436</c:v>
                </c:pt>
                <c:pt idx="2">
                  <c:v>4402.5291576385498</c:v>
                </c:pt>
                <c:pt idx="3">
                  <c:v>6818.6827745437622</c:v>
                </c:pt>
                <c:pt idx="4">
                  <c:v>10491.548667907715</c:v>
                </c:pt>
                <c:pt idx="5">
                  <c:v>16297.881935119629</c:v>
                </c:pt>
                <c:pt idx="6">
                  <c:v>24729.642654418945</c:v>
                </c:pt>
                <c:pt idx="7">
                  <c:v>35306.75673866272</c:v>
                </c:pt>
                <c:pt idx="8">
                  <c:v>46310.769408226013</c:v>
                </c:pt>
                <c:pt idx="9">
                  <c:v>55153.398508071899</c:v>
                </c:pt>
                <c:pt idx="10">
                  <c:v>59349.226640701294</c:v>
                </c:pt>
                <c:pt idx="11">
                  <c:v>57635.858836174011</c:v>
                </c:pt>
                <c:pt idx="12">
                  <c:v>50593.975651741028</c:v>
                </c:pt>
                <c:pt idx="13">
                  <c:v>40368.857414245605</c:v>
                </c:pt>
                <c:pt idx="14">
                  <c:v>29659.480097770691</c:v>
                </c:pt>
                <c:pt idx="15">
                  <c:v>20601.838940620422</c:v>
                </c:pt>
                <c:pt idx="16">
                  <c:v>14163.930096626282</c:v>
                </c:pt>
                <c:pt idx="17">
                  <c:v>10233.642778396606</c:v>
                </c:pt>
                <c:pt idx="18">
                  <c:v>8122.0693101882935</c:v>
                </c:pt>
                <c:pt idx="19">
                  <c:v>7069.8447275161743</c:v>
                </c:pt>
                <c:pt idx="20">
                  <c:v>6520.2715110778809</c:v>
                </c:pt>
                <c:pt idx="21">
                  <c:v>6160.6181440353394</c:v>
                </c:pt>
                <c:pt idx="22">
                  <c:v>5847.9143562316895</c:v>
                </c:pt>
                <c:pt idx="23">
                  <c:v>5523.7715902328491</c:v>
                </c:pt>
                <c:pt idx="24">
                  <c:v>5164.7087125778198</c:v>
                </c:pt>
                <c:pt idx="25">
                  <c:v>4767.7695274353027</c:v>
                </c:pt>
                <c:pt idx="26">
                  <c:v>4350.3861980438232</c:v>
                </c:pt>
                <c:pt idx="27">
                  <c:v>3944.1219577789307</c:v>
                </c:pt>
                <c:pt idx="28">
                  <c:v>3576.2466592788696</c:v>
                </c:pt>
                <c:pt idx="29">
                  <c:v>3249.9787712097168</c:v>
                </c:pt>
                <c:pt idx="30">
                  <c:v>2940.487419128418</c:v>
                </c:pt>
                <c:pt idx="31">
                  <c:v>2613.0514230728149</c:v>
                </c:pt>
                <c:pt idx="32">
                  <c:v>2250.5591297149658</c:v>
                </c:pt>
                <c:pt idx="33">
                  <c:v>1867.9503040313721</c:v>
                </c:pt>
                <c:pt idx="34">
                  <c:v>1501.980260848999</c:v>
                </c:pt>
                <c:pt idx="35">
                  <c:v>1186.4059219360352</c:v>
                </c:pt>
                <c:pt idx="36">
                  <c:v>933.90774631500244</c:v>
                </c:pt>
                <c:pt idx="37">
                  <c:v>736.57991313934326</c:v>
                </c:pt>
                <c:pt idx="38">
                  <c:v>578.75355911254883</c:v>
                </c:pt>
                <c:pt idx="39">
                  <c:v>448.18353843688965</c:v>
                </c:pt>
                <c:pt idx="40">
                  <c:v>338.57840538024902</c:v>
                </c:pt>
                <c:pt idx="41">
                  <c:v>246.78794193267822</c:v>
                </c:pt>
                <c:pt idx="42">
                  <c:v>170.6907844543457</c:v>
                </c:pt>
                <c:pt idx="43">
                  <c:v>109.34796619415283</c:v>
                </c:pt>
                <c:pt idx="44">
                  <c:v>63.041157722473145</c:v>
                </c:pt>
                <c:pt idx="45">
                  <c:v>31.760730743408203</c:v>
                </c:pt>
                <c:pt idx="46">
                  <c:v>13.592057228088379</c:v>
                </c:pt>
                <c:pt idx="47">
                  <c:v>4.8010845184326172</c:v>
                </c:pt>
                <c:pt idx="48">
                  <c:v>1.3545589447021484</c:v>
                </c:pt>
                <c:pt idx="49">
                  <c:v>0.28810977935791016</c:v>
                </c:pt>
                <c:pt idx="5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8147456"/>
        <c:axId val="154987328"/>
      </c:lineChart>
      <c:catAx>
        <c:axId val="128147456"/>
        <c:scaling>
          <c:orientation val="minMax"/>
        </c:scaling>
        <c:delete val="0"/>
        <c:axPos val="b"/>
        <c:majorTickMark val="out"/>
        <c:minorTickMark val="none"/>
        <c:tickLblPos val="nextTo"/>
        <c:crossAx val="154987328"/>
        <c:crosses val="autoZero"/>
        <c:auto val="1"/>
        <c:lblAlgn val="ctr"/>
        <c:lblOffset val="100"/>
        <c:tickLblSkip val="10"/>
        <c:noMultiLvlLbl val="0"/>
      </c:catAx>
      <c:valAx>
        <c:axId val="154987328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2814745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298"/>
          <c:h val="0.1674343832021006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footer="0.30000000000000032" header="0.30000000000000032" l="0.70000000000000062" r="0.70000000000000062" t="0.75000000000000211"/>
    <c:pageSetup/>
  </c:printSettings>
</c:chartSpace>
</file>

<file path=xl/charts/chart14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Arrival_Time_School!$J$7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Arrival_Time_School!$J$8:$J$58</c:f>
              <c:numCache>
                <c:formatCode>0.00</c:formatCode>
                <c:ptCount val="51"/>
                <c:pt idx="0">
                  <c:v>0</c:v>
                </c:pt>
                <c:pt idx="1">
                  <c:v>37.456459952220918</c:v>
                </c:pt>
                <c:pt idx="2">
                  <c:v>177.29719883773518</c:v>
                </c:pt>
                <c:pt idx="3">
                  <c:v>651.70538515727617</c:v>
                </c:pt>
                <c:pt idx="4">
                  <c:v>1938.109694763571</c:v>
                </c:pt>
                <c:pt idx="5">
                  <c:v>4742.1592510940736</c:v>
                </c:pt>
                <c:pt idx="6">
                  <c:v>9666.7657697031427</c:v>
                </c:pt>
                <c:pt idx="7">
                  <c:v>16573.432751015476</c:v>
                </c:pt>
                <c:pt idx="8">
                  <c:v>24070.225480116591</c:v>
                </c:pt>
                <c:pt idx="9">
                  <c:v>29773.845709561621</c:v>
                </c:pt>
                <c:pt idx="10">
                  <c:v>31498.878274162707</c:v>
                </c:pt>
                <c:pt idx="11">
                  <c:v>28602.827337067571</c:v>
                </c:pt>
                <c:pt idx="12">
                  <c:v>22380.481691197016</c:v>
                </c:pt>
                <c:pt idx="13">
                  <c:v>15183.390889290547</c:v>
                </c:pt>
                <c:pt idx="14">
                  <c:v>9050.3271011747802</c:v>
                </c:pt>
                <c:pt idx="15">
                  <c:v>4895.0342376857316</c:v>
                </c:pt>
                <c:pt idx="16">
                  <c:v>2592.3807735518803</c:v>
                </c:pt>
                <c:pt idx="17">
                  <c:v>1541.3692561518469</c:v>
                </c:pt>
                <c:pt idx="18">
                  <c:v>1151.0285399466609</c:v>
                </c:pt>
                <c:pt idx="19">
                  <c:v>1031.6614848286085</c:v>
                </c:pt>
                <c:pt idx="20">
                  <c:v>980.38947884803781</c:v>
                </c:pt>
                <c:pt idx="21">
                  <c:v>912.94795060106946</c:v>
                </c:pt>
                <c:pt idx="22">
                  <c:v>815.89157823277651</c:v>
                </c:pt>
                <c:pt idx="23">
                  <c:v>720.6361300486783</c:v>
                </c:pt>
                <c:pt idx="24">
                  <c:v>680.49317008766366</c:v>
                </c:pt>
                <c:pt idx="25">
                  <c:v>742.67757945384415</c:v>
                </c:pt>
                <c:pt idx="26">
                  <c:v>920.52592206019131</c:v>
                </c:pt>
                <c:pt idx="27">
                  <c:v>1176.4614974784431</c:v>
                </c:pt>
                <c:pt idx="28">
                  <c:v>1426.1398079031583</c:v>
                </c:pt>
                <c:pt idx="29">
                  <c:v>1569.067141832493</c:v>
                </c:pt>
                <c:pt idx="30">
                  <c:v>1536.3553120545389</c:v>
                </c:pt>
                <c:pt idx="31">
                  <c:v>1328.0392013553401</c:v>
                </c:pt>
                <c:pt idx="32">
                  <c:v>1011.7590133762446</c:v>
                </c:pt>
                <c:pt idx="33">
                  <c:v>682.03310805857268</c:v>
                </c:pt>
                <c:pt idx="34">
                  <c:v>411.26768538604546</c:v>
                </c:pt>
                <c:pt idx="35">
                  <c:v>226.27411469268512</c:v>
                </c:pt>
                <c:pt idx="36">
                  <c:v>116.9319244619217</c:v>
                </c:pt>
                <c:pt idx="37">
                  <c:v>58.644382486431127</c:v>
                </c:pt>
                <c:pt idx="38">
                  <c:v>29.190928185688019</c:v>
                </c:pt>
                <c:pt idx="39">
                  <c:v>14.365199559216499</c:v>
                </c:pt>
                <c:pt idx="40">
                  <c:v>6.7577298050537102</c:v>
                </c:pt>
                <c:pt idx="41">
                  <c:v>2.8870169488677977</c:v>
                </c:pt>
                <c:pt idx="42">
                  <c:v>1.0604547704133986</c:v>
                </c:pt>
                <c:pt idx="43">
                  <c:v>0.31758802208137515</c:v>
                </c:pt>
                <c:pt idx="44">
                  <c:v>7.3314203408241282E-2</c:v>
                </c:pt>
                <c:pt idx="45">
                  <c:v>1.213167303943634E-2</c:v>
                </c:pt>
                <c:pt idx="46">
                  <c:v>1.2746907615661621E-3</c:v>
                </c:pt>
                <c:pt idx="47">
                  <c:v>6.3734538078308103E-5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Arrival_Time_School!$U$7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Arrival_Time_School!$U$8:$U$58</c:f>
              <c:numCache>
                <c:formatCode>General</c:formatCode>
                <c:ptCount val="51"/>
                <c:pt idx="0">
                  <c:v>2</c:v>
                </c:pt>
                <c:pt idx="1">
                  <c:v>31.237634658813477</c:v>
                </c:pt>
                <c:pt idx="2">
                  <c:v>133.96175956726074</c:v>
                </c:pt>
                <c:pt idx="3">
                  <c:v>480.32581806182861</c:v>
                </c:pt>
                <c:pt idx="4">
                  <c:v>1438.611686706543</c:v>
                </c:pt>
                <c:pt idx="5">
                  <c:v>3606.8598537445068</c:v>
                </c:pt>
                <c:pt idx="6">
                  <c:v>7627.0667238235474</c:v>
                </c:pt>
                <c:pt idx="7">
                  <c:v>13720.187040328979</c:v>
                </c:pt>
                <c:pt idx="8">
                  <c:v>21170.242762565613</c:v>
                </c:pt>
                <c:pt idx="9">
                  <c:v>28229.363986968994</c:v>
                </c:pt>
                <c:pt idx="10">
                  <c:v>32745.359363555908</c:v>
                </c:pt>
                <c:pt idx="11">
                  <c:v>33239.149495124817</c:v>
                </c:pt>
                <c:pt idx="12">
                  <c:v>29703.806210517883</c:v>
                </c:pt>
                <c:pt idx="13">
                  <c:v>23552.298903465271</c:v>
                </c:pt>
                <c:pt idx="14">
                  <c:v>16791.540308952332</c:v>
                </c:pt>
                <c:pt idx="15">
                  <c:v>11043.563528060913</c:v>
                </c:pt>
                <c:pt idx="16">
                  <c:v>7022.6646919250488</c:v>
                </c:pt>
                <c:pt idx="17">
                  <c:v>4622.6203565597534</c:v>
                </c:pt>
                <c:pt idx="18">
                  <c:v>3337.8291997909546</c:v>
                </c:pt>
                <c:pt idx="19">
                  <c:v>2655.2169466018677</c:v>
                </c:pt>
                <c:pt idx="20">
                  <c:v>2240.4063301086426</c:v>
                </c:pt>
                <c:pt idx="21">
                  <c:v>1944.3541584014893</c:v>
                </c:pt>
                <c:pt idx="22">
                  <c:v>1731.6670122146606</c:v>
                </c:pt>
                <c:pt idx="23">
                  <c:v>1608.4278078079224</c:v>
                </c:pt>
                <c:pt idx="24">
                  <c:v>1580.4317827224731</c:v>
                </c:pt>
                <c:pt idx="25">
                  <c:v>1638.9645376205444</c:v>
                </c:pt>
                <c:pt idx="26">
                  <c:v>1758.9212284088135</c:v>
                </c:pt>
                <c:pt idx="27">
                  <c:v>1900.1075344085693</c:v>
                </c:pt>
                <c:pt idx="28">
                  <c:v>2012.669960975647</c:v>
                </c:pt>
                <c:pt idx="29">
                  <c:v>2048.6499633789062</c:v>
                </c:pt>
                <c:pt idx="30">
                  <c:v>1976.3910970687866</c:v>
                </c:pt>
                <c:pt idx="31">
                  <c:v>1792.1685848236084</c:v>
                </c:pt>
                <c:pt idx="32">
                  <c:v>1524.0290832519531</c:v>
                </c:pt>
                <c:pt idx="33">
                  <c:v>1223.2618474960327</c:v>
                </c:pt>
                <c:pt idx="34">
                  <c:v>943.39540863037109</c:v>
                </c:pt>
                <c:pt idx="35">
                  <c:v>717.0852575302124</c:v>
                </c:pt>
                <c:pt idx="36">
                  <c:v>546.68501091003418</c:v>
                </c:pt>
                <c:pt idx="37">
                  <c:v>414.51193237304687</c:v>
                </c:pt>
                <c:pt idx="38">
                  <c:v>302.27125549316406</c:v>
                </c:pt>
                <c:pt idx="39">
                  <c:v>203.44841003417969</c:v>
                </c:pt>
                <c:pt idx="40">
                  <c:v>122.01653671264648</c:v>
                </c:pt>
                <c:pt idx="41">
                  <c:v>63.480792999267578</c:v>
                </c:pt>
                <c:pt idx="42">
                  <c:v>28.059303283691406</c:v>
                </c:pt>
                <c:pt idx="43">
                  <c:v>10.367070198059082</c:v>
                </c:pt>
                <c:pt idx="44">
                  <c:v>3.1759281158447266</c:v>
                </c:pt>
                <c:pt idx="45">
                  <c:v>0.81901836395263672</c:v>
                </c:pt>
                <c:pt idx="46">
                  <c:v>0.19040584564208984</c:v>
                </c:pt>
                <c:pt idx="47">
                  <c:v>4.480743408203125E-2</c:v>
                </c:pt>
                <c:pt idx="48">
                  <c:v>1.0897636413574219E-2</c:v>
                </c:pt>
                <c:pt idx="49">
                  <c:v>2.3221969604492188E-3</c:v>
                </c:pt>
                <c:pt idx="5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8151040"/>
        <c:axId val="154989056"/>
      </c:lineChart>
      <c:catAx>
        <c:axId val="128151040"/>
        <c:scaling>
          <c:orientation val="minMax"/>
        </c:scaling>
        <c:delete val="0"/>
        <c:axPos val="b"/>
        <c:majorTickMark val="out"/>
        <c:minorTickMark val="none"/>
        <c:tickLblPos val="nextTo"/>
        <c:crossAx val="154989056"/>
        <c:crosses val="autoZero"/>
        <c:auto val="1"/>
        <c:lblAlgn val="ctr"/>
        <c:lblOffset val="100"/>
        <c:tickLblSkip val="10"/>
        <c:noMultiLvlLbl val="0"/>
      </c:catAx>
      <c:valAx>
        <c:axId val="154989056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281510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304"/>
          <c:h val="0.16743438320210074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footer="0.30000000000000032" header="0.30000000000000032" l="0.70000000000000062" r="0.70000000000000062" t="0.75000000000000233"/>
    <c:pageSetup/>
  </c:printSettings>
</c:chartSpace>
</file>

<file path=xl/charts/chart15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Arrival_Time_Other!$J$7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Arrival_Time_Other!$J$8:$J$58</c:f>
              <c:numCache>
                <c:formatCode>0.00</c:formatCode>
                <c:ptCount val="51"/>
                <c:pt idx="0">
                  <c:v>773.53164200000015</c:v>
                </c:pt>
                <c:pt idx="1">
                  <c:v>608.65544286001773</c:v>
                </c:pt>
                <c:pt idx="2">
                  <c:v>553.85778568026831</c:v>
                </c:pt>
                <c:pt idx="3">
                  <c:v>731.64519123718924</c:v>
                </c:pt>
                <c:pt idx="4">
                  <c:v>1298.0851401668626</c:v>
                </c:pt>
                <c:pt idx="5">
                  <c:v>2451.899608087635</c:v>
                </c:pt>
                <c:pt idx="6">
                  <c:v>4381.3248190935192</c:v>
                </c:pt>
                <c:pt idx="7">
                  <c:v>7123.403603153838</c:v>
                </c:pt>
                <c:pt idx="8">
                  <c:v>10411.791386685427</c:v>
                </c:pt>
                <c:pt idx="9">
                  <c:v>13677.254144341528</c:v>
                </c:pt>
                <c:pt idx="10">
                  <c:v>16290.958775080895</c:v>
                </c:pt>
                <c:pt idx="11">
                  <c:v>17911.659899233844</c:v>
                </c:pt>
                <c:pt idx="12">
                  <c:v>18653.42383675617</c:v>
                </c:pt>
                <c:pt idx="13">
                  <c:v>18927.297038257806</c:v>
                </c:pt>
                <c:pt idx="14">
                  <c:v>19102.05227797804</c:v>
                </c:pt>
                <c:pt idx="15">
                  <c:v>19271.363525955709</c:v>
                </c:pt>
                <c:pt idx="16">
                  <c:v>19289.527601763661</c:v>
                </c:pt>
                <c:pt idx="17">
                  <c:v>19001.314840331113</c:v>
                </c:pt>
                <c:pt idx="18">
                  <c:v>18457.053459988259</c:v>
                </c:pt>
                <c:pt idx="19">
                  <c:v>17948.870297543628</c:v>
                </c:pt>
                <c:pt idx="20">
                  <c:v>17853.814141517967</c:v>
                </c:pt>
                <c:pt idx="21">
                  <c:v>18399.355718846149</c:v>
                </c:pt>
                <c:pt idx="22">
                  <c:v>19507.951033582489</c:v>
                </c:pt>
                <c:pt idx="23">
                  <c:v>20832.43719628367</c:v>
                </c:pt>
                <c:pt idx="24">
                  <c:v>21982.777105147208</c:v>
                </c:pt>
                <c:pt idx="25">
                  <c:v>22807.472179579432</c:v>
                </c:pt>
                <c:pt idx="26">
                  <c:v>23525.995249250271</c:v>
                </c:pt>
                <c:pt idx="27">
                  <c:v>24589.827197314287</c:v>
                </c:pt>
                <c:pt idx="28">
                  <c:v>26329.084880180755</c:v>
                </c:pt>
                <c:pt idx="29">
                  <c:v>28591.818305818633</c:v>
                </c:pt>
                <c:pt idx="30">
                  <c:v>30625.237838344128</c:v>
                </c:pt>
                <c:pt idx="31">
                  <c:v>31349.655113006371</c:v>
                </c:pt>
                <c:pt idx="32">
                  <c:v>29929.433589587268</c:v>
                </c:pt>
                <c:pt idx="33">
                  <c:v>26282.160269957538</c:v>
                </c:pt>
                <c:pt idx="34">
                  <c:v>21151.712365552306</c:v>
                </c:pt>
                <c:pt idx="35">
                  <c:v>15692.489461682049</c:v>
                </c:pt>
                <c:pt idx="36">
                  <c:v>10889.596627938503</c:v>
                </c:pt>
                <c:pt idx="37">
                  <c:v>7212.5307959990387</c:v>
                </c:pt>
                <c:pt idx="38">
                  <c:v>4642.5440943940248</c:v>
                </c:pt>
                <c:pt idx="39">
                  <c:v>2919.6356673554565</c:v>
                </c:pt>
                <c:pt idx="40">
                  <c:v>1773.248558622138</c:v>
                </c:pt>
                <c:pt idx="41">
                  <c:v>1017.9047579924356</c:v>
                </c:pt>
                <c:pt idx="42">
                  <c:v>540.86759023478703</c:v>
                </c:pt>
                <c:pt idx="43">
                  <c:v>262.20851136649702</c:v>
                </c:pt>
                <c:pt idx="44">
                  <c:v>114.91532073865986</c:v>
                </c:pt>
                <c:pt idx="45">
                  <c:v>45.098112801390648</c:v>
                </c:pt>
                <c:pt idx="46">
                  <c:v>15.590234502180099</c:v>
                </c:pt>
                <c:pt idx="47">
                  <c:v>4.6171394201087956</c:v>
                </c:pt>
                <c:pt idx="48">
                  <c:v>1.1246581828403475</c:v>
                </c:pt>
                <c:pt idx="49">
                  <c:v>0.21078376097869872</c:v>
                </c:pt>
                <c:pt idx="5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Arrival_Time_Other!$U$7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Arrival_Time_Other!$U$8:$U$58</c:f>
              <c:numCache>
                <c:formatCode>General</c:formatCode>
                <c:ptCount val="51"/>
                <c:pt idx="0">
                  <c:v>3172</c:v>
                </c:pt>
                <c:pt idx="1">
                  <c:v>2595.1529760360718</c:v>
                </c:pt>
                <c:pt idx="2">
                  <c:v>2170.6028833389282</c:v>
                </c:pt>
                <c:pt idx="3">
                  <c:v>2067.7143077850342</c:v>
                </c:pt>
                <c:pt idx="4">
                  <c:v>2492.4953565597534</c:v>
                </c:pt>
                <c:pt idx="5">
                  <c:v>3684.0526132583618</c:v>
                </c:pt>
                <c:pt idx="6">
                  <c:v>5853.1796159744263</c:v>
                </c:pt>
                <c:pt idx="7">
                  <c:v>9066.0977611541748</c:v>
                </c:pt>
                <c:pt idx="8">
                  <c:v>13133.600598335266</c:v>
                </c:pt>
                <c:pt idx="9">
                  <c:v>17593.591903686523</c:v>
                </c:pt>
                <c:pt idx="10">
                  <c:v>21842.794293403625</c:v>
                </c:pt>
                <c:pt idx="11">
                  <c:v>25379.299785614014</c:v>
                </c:pt>
                <c:pt idx="12">
                  <c:v>28009.209641456604</c:v>
                </c:pt>
                <c:pt idx="13">
                  <c:v>29856.840393066406</c:v>
                </c:pt>
                <c:pt idx="14">
                  <c:v>31168.343020439148</c:v>
                </c:pt>
                <c:pt idx="15">
                  <c:v>32095.263586044312</c:v>
                </c:pt>
                <c:pt idx="16">
                  <c:v>32657.91600227356</c:v>
                </c:pt>
                <c:pt idx="17">
                  <c:v>32879.605794906616</c:v>
                </c:pt>
                <c:pt idx="18">
                  <c:v>32898.891410827637</c:v>
                </c:pt>
                <c:pt idx="19">
                  <c:v>32924.307945251465</c:v>
                </c:pt>
                <c:pt idx="20">
                  <c:v>33096.275484085083</c:v>
                </c:pt>
                <c:pt idx="21">
                  <c:v>33412.220588684082</c:v>
                </c:pt>
                <c:pt idx="22">
                  <c:v>33778.840437889099</c:v>
                </c:pt>
                <c:pt idx="23">
                  <c:v>34122.22211933136</c:v>
                </c:pt>
                <c:pt idx="24">
                  <c:v>34452.064776420593</c:v>
                </c:pt>
                <c:pt idx="25">
                  <c:v>34840.52916431427</c:v>
                </c:pt>
                <c:pt idx="26">
                  <c:v>35353.125301361084</c:v>
                </c:pt>
                <c:pt idx="27">
                  <c:v>35989.43460559845</c:v>
                </c:pt>
                <c:pt idx="28">
                  <c:v>36653.921277999878</c:v>
                </c:pt>
                <c:pt idx="29">
                  <c:v>37142.581996917725</c:v>
                </c:pt>
                <c:pt idx="30">
                  <c:v>37153.644521713257</c:v>
                </c:pt>
                <c:pt idx="31">
                  <c:v>36368.541178703308</c:v>
                </c:pt>
                <c:pt idx="32">
                  <c:v>34605.366399765015</c:v>
                </c:pt>
                <c:pt idx="33">
                  <c:v>31935.891611099243</c:v>
                </c:pt>
                <c:pt idx="34">
                  <c:v>28637.789908409119</c:v>
                </c:pt>
                <c:pt idx="35">
                  <c:v>25003.963213920593</c:v>
                </c:pt>
                <c:pt idx="36">
                  <c:v>21190.792437553406</c:v>
                </c:pt>
                <c:pt idx="37">
                  <c:v>17250.223196983337</c:v>
                </c:pt>
                <c:pt idx="38">
                  <c:v>13287.491953849792</c:v>
                </c:pt>
                <c:pt idx="39">
                  <c:v>9553.3470678329468</c:v>
                </c:pt>
                <c:pt idx="40">
                  <c:v>6363.6818656921387</c:v>
                </c:pt>
                <c:pt idx="41">
                  <c:v>3930.2125177383423</c:v>
                </c:pt>
                <c:pt idx="42">
                  <c:v>2265.0118541717529</c:v>
                </c:pt>
                <c:pt idx="43">
                  <c:v>1223.6563329696655</c:v>
                </c:pt>
                <c:pt idx="44">
                  <c:v>615.43150424957275</c:v>
                </c:pt>
                <c:pt idx="45">
                  <c:v>281.68440818786621</c:v>
                </c:pt>
                <c:pt idx="46">
                  <c:v>113.36742401123047</c:v>
                </c:pt>
                <c:pt idx="47">
                  <c:v>38.572632789611816</c:v>
                </c:pt>
                <c:pt idx="48">
                  <c:v>10.636343955993652</c:v>
                </c:pt>
                <c:pt idx="49">
                  <c:v>2.2298564910888672</c:v>
                </c:pt>
                <c:pt idx="5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8527104"/>
        <c:axId val="154990784"/>
      </c:lineChart>
      <c:catAx>
        <c:axId val="148527104"/>
        <c:scaling>
          <c:orientation val="minMax"/>
        </c:scaling>
        <c:delete val="0"/>
        <c:axPos val="b"/>
        <c:majorTickMark val="out"/>
        <c:minorTickMark val="none"/>
        <c:tickLblPos val="nextTo"/>
        <c:crossAx val="154990784"/>
        <c:crosses val="autoZero"/>
        <c:auto val="1"/>
        <c:lblAlgn val="ctr"/>
        <c:lblOffset val="100"/>
        <c:tickLblSkip val="10"/>
        <c:noMultiLvlLbl val="0"/>
      </c:catAx>
      <c:valAx>
        <c:axId val="154990784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4852710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309"/>
          <c:h val="0.1674343832021008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55" footer="0.30000000000000032" header="0.30000000000000032" l="0.70000000000000062" r="0.70000000000000062" t="0.75000000000000255"/>
    <c:pageSetup/>
  </c:printSettings>
</c:chartSpace>
</file>

<file path=xl/charts/chart16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Arrival_Time_Workbased!$J$7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Arrival_Time_Workbased!$J$8:$J$58</c:f>
              <c:numCache>
                <c:formatCode>0.00</c:formatCode>
                <c:ptCount val="51"/>
                <c:pt idx="0">
                  <c:v>0</c:v>
                </c:pt>
                <c:pt idx="1">
                  <c:v>0.2378517388095856</c:v>
                </c:pt>
                <c:pt idx="2">
                  <c:v>1.1081696325941086</c:v>
                </c:pt>
                <c:pt idx="3">
                  <c:v>4.0175027307662967</c:v>
                </c:pt>
                <c:pt idx="4">
                  <c:v>12.107133894024848</c:v>
                </c:pt>
                <c:pt idx="5">
                  <c:v>31.366653040553093</c:v>
                </c:pt>
                <c:pt idx="6">
                  <c:v>71.316802361725806</c:v>
                </c:pt>
                <c:pt idx="7">
                  <c:v>143.97818019294263</c:v>
                </c:pt>
                <c:pt idx="8">
                  <c:v>260.16932048196412</c:v>
                </c:pt>
                <c:pt idx="9">
                  <c:v>425.0242541843329</c:v>
                </c:pt>
                <c:pt idx="10">
                  <c:v>639.22456443330486</c:v>
                </c:pt>
                <c:pt idx="11">
                  <c:v>914.56354103839317</c:v>
                </c:pt>
                <c:pt idx="12">
                  <c:v>1305.6844032990257</c:v>
                </c:pt>
                <c:pt idx="13">
                  <c:v>1938.6174145642908</c:v>
                </c:pt>
                <c:pt idx="14">
                  <c:v>2989.0201560240566</c:v>
                </c:pt>
                <c:pt idx="15">
                  <c:v>4567.5519182993648</c:v>
                </c:pt>
                <c:pt idx="16">
                  <c:v>6548.4822042883343</c:v>
                </c:pt>
                <c:pt idx="17">
                  <c:v>8487.4476898937428</c:v>
                </c:pt>
                <c:pt idx="18">
                  <c:v>9770.9996707088885</c:v>
                </c:pt>
                <c:pt idx="19">
                  <c:v>9952.1674851257376</c:v>
                </c:pt>
                <c:pt idx="20">
                  <c:v>9020.0602585693978</c:v>
                </c:pt>
                <c:pt idx="21">
                  <c:v>7379.6482935795257</c:v>
                </c:pt>
                <c:pt idx="22">
                  <c:v>5576.8880354829307</c:v>
                </c:pt>
                <c:pt idx="23">
                  <c:v>4010.9095879636243</c:v>
                </c:pt>
                <c:pt idx="24">
                  <c:v>2826.7266679355494</c:v>
                </c:pt>
                <c:pt idx="25">
                  <c:v>1985.500734765229</c:v>
                </c:pt>
                <c:pt idx="26">
                  <c:v>1388.8300855676734</c:v>
                </c:pt>
                <c:pt idx="27">
                  <c:v>958.01794817835525</c:v>
                </c:pt>
                <c:pt idx="28">
                  <c:v>650.04655086605533</c:v>
                </c:pt>
                <c:pt idx="29">
                  <c:v>440.60553804449648</c:v>
                </c:pt>
                <c:pt idx="30">
                  <c:v>306.63133596928304</c:v>
                </c:pt>
                <c:pt idx="31">
                  <c:v>221.9893757131662</c:v>
                </c:pt>
                <c:pt idx="32">
                  <c:v>163.17446313898941</c:v>
                </c:pt>
                <c:pt idx="33">
                  <c:v>115.82010885602187</c:v>
                </c:pt>
                <c:pt idx="34">
                  <c:v>75.727556729331965</c:v>
                </c:pt>
                <c:pt idx="35">
                  <c:v>44.438978309336662</c:v>
                </c:pt>
                <c:pt idx="36">
                  <c:v>23.650584787978172</c:v>
                </c:pt>
                <c:pt idx="37">
                  <c:v>12.382706525850297</c:v>
                </c:pt>
                <c:pt idx="38">
                  <c:v>7.4892099848747256</c:v>
                </c:pt>
                <c:pt idx="39">
                  <c:v>5.5780294604415896</c:v>
                </c:pt>
                <c:pt idx="40">
                  <c:v>4.4149693529233929</c:v>
                </c:pt>
                <c:pt idx="41">
                  <c:v>3.1789717867984773</c:v>
                </c:pt>
                <c:pt idx="42">
                  <c:v>1.9352178215370179</c:v>
                </c:pt>
                <c:pt idx="43">
                  <c:v>0.96510642971324923</c:v>
                </c:pt>
                <c:pt idx="44">
                  <c:v>0.38584500418663026</c:v>
                </c:pt>
                <c:pt idx="45">
                  <c:v>0.12056878718376161</c:v>
                </c:pt>
                <c:pt idx="46">
                  <c:v>2.8369126396179202E-2</c:v>
                </c:pt>
                <c:pt idx="47">
                  <c:v>4.7281877326965337E-3</c:v>
                </c:pt>
                <c:pt idx="48">
                  <c:v>4.9770397186279299E-4</c:v>
                </c:pt>
                <c:pt idx="49">
                  <c:v>2.4885198593139647E-5</c:v>
                </c:pt>
                <c:pt idx="5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Arrival_Time_Workbased!$U$7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Arrival_Time_Workbased!$U$8:$U$58</c:f>
              <c:numCache>
                <c:formatCode>General</c:formatCode>
                <c:ptCount val="51"/>
                <c:pt idx="0">
                  <c:v>47</c:v>
                </c:pt>
                <c:pt idx="1">
                  <c:v>101.85947513580322</c:v>
                </c:pt>
                <c:pt idx="2">
                  <c:v>162.60293197631836</c:v>
                </c:pt>
                <c:pt idx="3">
                  <c:v>228.54934787750244</c:v>
                </c:pt>
                <c:pt idx="4">
                  <c:v>294.3567533493042</c:v>
                </c:pt>
                <c:pt idx="5">
                  <c:v>362.63561153411865</c:v>
                </c:pt>
                <c:pt idx="6">
                  <c:v>459.08470630645752</c:v>
                </c:pt>
                <c:pt idx="7">
                  <c:v>635.09764194488525</c:v>
                </c:pt>
                <c:pt idx="8">
                  <c:v>949.22211933135986</c:v>
                </c:pt>
                <c:pt idx="9">
                  <c:v>1437.6184911727905</c:v>
                </c:pt>
                <c:pt idx="10">
                  <c:v>2097.7314128875732</c:v>
                </c:pt>
                <c:pt idx="11">
                  <c:v>2900.5885143280029</c:v>
                </c:pt>
                <c:pt idx="12">
                  <c:v>3819.3066358566284</c:v>
                </c:pt>
                <c:pt idx="13">
                  <c:v>4842.9429903030396</c:v>
                </c:pt>
                <c:pt idx="14">
                  <c:v>5958.4704427719116</c:v>
                </c:pt>
                <c:pt idx="15">
                  <c:v>7114.9390821456909</c:v>
                </c:pt>
                <c:pt idx="16">
                  <c:v>8197.7406282424927</c:v>
                </c:pt>
                <c:pt idx="17">
                  <c:v>9031.3809757232666</c:v>
                </c:pt>
                <c:pt idx="18">
                  <c:v>9421.0664014816284</c:v>
                </c:pt>
                <c:pt idx="19">
                  <c:v>9236.1603240966797</c:v>
                </c:pt>
                <c:pt idx="20">
                  <c:v>8502.627893447876</c:v>
                </c:pt>
                <c:pt idx="21">
                  <c:v>7426.9422292709351</c:v>
                </c:pt>
                <c:pt idx="22">
                  <c:v>6299.3058862686157</c:v>
                </c:pt>
                <c:pt idx="23">
                  <c:v>5332.0083208084106</c:v>
                </c:pt>
                <c:pt idx="24">
                  <c:v>4564.3316812515259</c:v>
                </c:pt>
                <c:pt idx="25">
                  <c:v>3907.3885631561279</c:v>
                </c:pt>
                <c:pt idx="26">
                  <c:v>3269.7210702896118</c:v>
                </c:pt>
                <c:pt idx="27">
                  <c:v>2643.2130632400513</c:v>
                </c:pt>
                <c:pt idx="28">
                  <c:v>2089.8046598434448</c:v>
                </c:pt>
                <c:pt idx="29">
                  <c:v>1669.1489553451538</c:v>
                </c:pt>
                <c:pt idx="30">
                  <c:v>1385.6558713912964</c:v>
                </c:pt>
                <c:pt idx="31">
                  <c:v>1194.2930488586426</c:v>
                </c:pt>
                <c:pt idx="32">
                  <c:v>1043.99951171875</c:v>
                </c:pt>
                <c:pt idx="33">
                  <c:v>912.06069087982178</c:v>
                </c:pt>
                <c:pt idx="34">
                  <c:v>803.03493881225586</c:v>
                </c:pt>
                <c:pt idx="35">
                  <c:v>723.04311466217041</c:v>
                </c:pt>
                <c:pt idx="36">
                  <c:v>659.67071151733398</c:v>
                </c:pt>
                <c:pt idx="37">
                  <c:v>586.55005741119385</c:v>
                </c:pt>
                <c:pt idx="38">
                  <c:v>485.02261543273926</c:v>
                </c:pt>
                <c:pt idx="39">
                  <c:v>359.83047580718994</c:v>
                </c:pt>
                <c:pt idx="40">
                  <c:v>234.53412818908691</c:v>
                </c:pt>
                <c:pt idx="41">
                  <c:v>133.3085765838623</c:v>
                </c:pt>
                <c:pt idx="42">
                  <c:v>66.533530235290527</c:v>
                </c:pt>
                <c:pt idx="43">
                  <c:v>29.882606506347656</c:v>
                </c:pt>
                <c:pt idx="44">
                  <c:v>12.561367988586426</c:v>
                </c:pt>
                <c:pt idx="45">
                  <c:v>5.0885744094848633</c:v>
                </c:pt>
                <c:pt idx="46">
                  <c:v>1.9555702209472656</c:v>
                </c:pt>
                <c:pt idx="47">
                  <c:v>0.67130279541015625</c:v>
                </c:pt>
                <c:pt idx="48">
                  <c:v>0.19134140014648438</c:v>
                </c:pt>
                <c:pt idx="49">
                  <c:v>4.1593551635742188E-2</c:v>
                </c:pt>
                <c:pt idx="5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0908928"/>
        <c:axId val="155754496"/>
      </c:lineChart>
      <c:catAx>
        <c:axId val="150908928"/>
        <c:scaling>
          <c:orientation val="minMax"/>
        </c:scaling>
        <c:delete val="0"/>
        <c:axPos val="b"/>
        <c:majorTickMark val="out"/>
        <c:minorTickMark val="none"/>
        <c:tickLblPos val="nextTo"/>
        <c:crossAx val="155754496"/>
        <c:crosses val="autoZero"/>
        <c:auto val="1"/>
        <c:lblAlgn val="ctr"/>
        <c:lblOffset val="100"/>
        <c:tickLblSkip val="10"/>
        <c:noMultiLvlLbl val="0"/>
      </c:catAx>
      <c:valAx>
        <c:axId val="155754496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5090892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317"/>
          <c:h val="0.16743438320210094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78" footer="0.30000000000000032" header="0.30000000000000032" l="0.70000000000000062" r="0.70000000000000062" t="0.75000000000000278"/>
    <c:pageSetup/>
  </c:printSettings>
</c:chartSpace>
</file>

<file path=xl/charts/chart17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Arrival_Time_Work!$J$7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Arrival_Time_Work!$J$8:$J$58</c:f>
              <c:numCache>
                <c:formatCode>0.00</c:formatCode>
                <c:ptCount val="51"/>
                <c:pt idx="0">
                  <c:v>0</c:v>
                </c:pt>
                <c:pt idx="1">
                  <c:v>929.67895232744888</c:v>
                </c:pt>
                <c:pt idx="2">
                  <c:v>2286.7763216511198</c:v>
                </c:pt>
                <c:pt idx="3">
                  <c:v>4583.0673966478253</c:v>
                </c:pt>
                <c:pt idx="4">
                  <c:v>8440.4781086233816</c:v>
                </c:pt>
                <c:pt idx="5">
                  <c:v>14468.476073402928</c:v>
                </c:pt>
                <c:pt idx="6">
                  <c:v>22929.03499253251</c:v>
                </c:pt>
                <c:pt idx="7">
                  <c:v>33280.363858536606</c:v>
                </c:pt>
                <c:pt idx="8">
                  <c:v>43905.158251909575</c:v>
                </c:pt>
                <c:pt idx="9">
                  <c:v>52383.047644210994</c:v>
                </c:pt>
                <c:pt idx="10">
                  <c:v>56384.165281097761</c:v>
                </c:pt>
                <c:pt idx="11">
                  <c:v>54766.107094698717</c:v>
                </c:pt>
                <c:pt idx="12">
                  <c:v>48174.638866428912</c:v>
                </c:pt>
                <c:pt idx="13">
                  <c:v>38715.956842618922</c:v>
                </c:pt>
                <c:pt idx="14">
                  <c:v>28922.20466252933</c:v>
                </c:pt>
                <c:pt idx="15">
                  <c:v>20703.598535506218</c:v>
                </c:pt>
                <c:pt idx="16">
                  <c:v>14872.411631241694</c:v>
                </c:pt>
                <c:pt idx="17">
                  <c:v>11310.536447010936</c:v>
                </c:pt>
                <c:pt idx="18">
                  <c:v>9437.3435717482553</c:v>
                </c:pt>
                <c:pt idx="19">
                  <c:v>8606.7583807307765</c:v>
                </c:pt>
                <c:pt idx="20">
                  <c:v>8292.761065617342</c:v>
                </c:pt>
                <c:pt idx="21">
                  <c:v>8124.1300033905854</c:v>
                </c:pt>
                <c:pt idx="22">
                  <c:v>7870.5878057768068</c:v>
                </c:pt>
                <c:pt idx="23">
                  <c:v>7427.7807575962506</c:v>
                </c:pt>
                <c:pt idx="24">
                  <c:v>6800.3300482623772</c:v>
                </c:pt>
                <c:pt idx="25">
                  <c:v>6070.6521256096121</c:v>
                </c:pt>
                <c:pt idx="26">
                  <c:v>5348.6820908210875</c:v>
                </c:pt>
                <c:pt idx="27">
                  <c:v>4713.6546500927379</c:v>
                </c:pt>
                <c:pt idx="28">
                  <c:v>4176.2963368040746</c:v>
                </c:pt>
                <c:pt idx="29">
                  <c:v>3686.6184085273117</c:v>
                </c:pt>
                <c:pt idx="30">
                  <c:v>3180.7919051611666</c:v>
                </c:pt>
                <c:pt idx="31">
                  <c:v>2629.7793620528955</c:v>
                </c:pt>
                <c:pt idx="32">
                  <c:v>2055.7494883507743</c:v>
                </c:pt>
                <c:pt idx="33">
                  <c:v>1513.0719766502818</c:v>
                </c:pt>
                <c:pt idx="34">
                  <c:v>1055.2600739727307</c:v>
                </c:pt>
                <c:pt idx="35">
                  <c:v>710.48056585690972</c:v>
                </c:pt>
                <c:pt idx="36">
                  <c:v>475.52522907775972</c:v>
                </c:pt>
                <c:pt idx="37">
                  <c:v>325.45350693239789</c:v>
                </c:pt>
                <c:pt idx="38">
                  <c:v>229.37143304390716</c:v>
                </c:pt>
                <c:pt idx="39">
                  <c:v>162.8382167022028</c:v>
                </c:pt>
                <c:pt idx="40">
                  <c:v>112.35153926988123</c:v>
                </c:pt>
                <c:pt idx="41">
                  <c:v>73.083890180054638</c:v>
                </c:pt>
                <c:pt idx="42">
                  <c:v>44.037526421090107</c:v>
                </c:pt>
                <c:pt idx="43">
                  <c:v>24.382380048436158</c:v>
                </c:pt>
                <c:pt idx="44">
                  <c:v>12.325030123533246</c:v>
                </c:pt>
                <c:pt idx="45">
                  <c:v>5.6141208401012408</c:v>
                </c:pt>
                <c:pt idx="46">
                  <c:v>2.2494468841600419</c:v>
                </c:pt>
                <c:pt idx="47">
                  <c:v>0.76592424041461937</c:v>
                </c:pt>
                <c:pt idx="48">
                  <c:v>0.21232097869110106</c:v>
                </c:pt>
                <c:pt idx="49">
                  <c:v>4.4800583611488337E-2</c:v>
                </c:pt>
                <c:pt idx="5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Arrival_Time_Work!$U$7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Arrival_Time_Work!$U$8:$U$58</c:f>
              <c:numCache>
                <c:formatCode>General</c:formatCode>
                <c:ptCount val="51"/>
                <c:pt idx="0">
                  <c:v>722</c:v>
                </c:pt>
                <c:pt idx="1">
                  <c:v>2500.117241859436</c:v>
                </c:pt>
                <c:pt idx="2">
                  <c:v>4402.5291576385498</c:v>
                </c:pt>
                <c:pt idx="3">
                  <c:v>6818.6827745437622</c:v>
                </c:pt>
                <c:pt idx="4">
                  <c:v>10491.548667907715</c:v>
                </c:pt>
                <c:pt idx="5">
                  <c:v>16297.881935119629</c:v>
                </c:pt>
                <c:pt idx="6">
                  <c:v>24729.642654418945</c:v>
                </c:pt>
                <c:pt idx="7">
                  <c:v>35306.75673866272</c:v>
                </c:pt>
                <c:pt idx="8">
                  <c:v>46310.769408226013</c:v>
                </c:pt>
                <c:pt idx="9">
                  <c:v>55153.398508071899</c:v>
                </c:pt>
                <c:pt idx="10">
                  <c:v>59349.226640701294</c:v>
                </c:pt>
                <c:pt idx="11">
                  <c:v>57635.858836174011</c:v>
                </c:pt>
                <c:pt idx="12">
                  <c:v>50593.975651741028</c:v>
                </c:pt>
                <c:pt idx="13">
                  <c:v>40368.857414245605</c:v>
                </c:pt>
                <c:pt idx="14">
                  <c:v>29659.480097770691</c:v>
                </c:pt>
                <c:pt idx="15">
                  <c:v>20601.838940620422</c:v>
                </c:pt>
                <c:pt idx="16">
                  <c:v>14163.930096626282</c:v>
                </c:pt>
                <c:pt idx="17">
                  <c:v>10233.642778396606</c:v>
                </c:pt>
                <c:pt idx="18">
                  <c:v>8122.0693101882935</c:v>
                </c:pt>
                <c:pt idx="19">
                  <c:v>7069.8447275161743</c:v>
                </c:pt>
                <c:pt idx="20">
                  <c:v>6520.2715110778809</c:v>
                </c:pt>
                <c:pt idx="21">
                  <c:v>6160.6181440353394</c:v>
                </c:pt>
                <c:pt idx="22">
                  <c:v>5847.9143562316895</c:v>
                </c:pt>
                <c:pt idx="23">
                  <c:v>5523.7715902328491</c:v>
                </c:pt>
                <c:pt idx="24">
                  <c:v>5164.7087125778198</c:v>
                </c:pt>
                <c:pt idx="25">
                  <c:v>4767.7695274353027</c:v>
                </c:pt>
                <c:pt idx="26">
                  <c:v>4350.3861980438232</c:v>
                </c:pt>
                <c:pt idx="27">
                  <c:v>3944.1219577789307</c:v>
                </c:pt>
                <c:pt idx="28">
                  <c:v>3576.2466592788696</c:v>
                </c:pt>
                <c:pt idx="29">
                  <c:v>3249.9787712097168</c:v>
                </c:pt>
                <c:pt idx="30">
                  <c:v>2940.487419128418</c:v>
                </c:pt>
                <c:pt idx="31">
                  <c:v>2613.0514230728149</c:v>
                </c:pt>
                <c:pt idx="32">
                  <c:v>2250.5591297149658</c:v>
                </c:pt>
                <c:pt idx="33">
                  <c:v>1867.9503040313721</c:v>
                </c:pt>
                <c:pt idx="34">
                  <c:v>1501.980260848999</c:v>
                </c:pt>
                <c:pt idx="35">
                  <c:v>1186.4059219360352</c:v>
                </c:pt>
                <c:pt idx="36">
                  <c:v>933.90774631500244</c:v>
                </c:pt>
                <c:pt idx="37">
                  <c:v>736.57991313934326</c:v>
                </c:pt>
                <c:pt idx="38">
                  <c:v>578.75355911254883</c:v>
                </c:pt>
                <c:pt idx="39">
                  <c:v>448.18353843688965</c:v>
                </c:pt>
                <c:pt idx="40">
                  <c:v>338.57840538024902</c:v>
                </c:pt>
                <c:pt idx="41">
                  <c:v>246.78794193267822</c:v>
                </c:pt>
                <c:pt idx="42">
                  <c:v>170.6907844543457</c:v>
                </c:pt>
                <c:pt idx="43">
                  <c:v>109.34796619415283</c:v>
                </c:pt>
                <c:pt idx="44">
                  <c:v>63.041157722473145</c:v>
                </c:pt>
                <c:pt idx="45">
                  <c:v>31.760730743408203</c:v>
                </c:pt>
                <c:pt idx="46">
                  <c:v>13.592057228088379</c:v>
                </c:pt>
                <c:pt idx="47">
                  <c:v>4.8010845184326172</c:v>
                </c:pt>
                <c:pt idx="48">
                  <c:v>1.3545589447021484</c:v>
                </c:pt>
                <c:pt idx="49">
                  <c:v>0.28810977935791016</c:v>
                </c:pt>
                <c:pt idx="5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0910976"/>
        <c:axId val="155756224"/>
      </c:lineChart>
      <c:catAx>
        <c:axId val="150910976"/>
        <c:scaling>
          <c:orientation val="minMax"/>
        </c:scaling>
        <c:delete val="0"/>
        <c:axPos val="b"/>
        <c:majorTickMark val="out"/>
        <c:minorTickMark val="none"/>
        <c:tickLblPos val="nextTo"/>
        <c:crossAx val="155756224"/>
        <c:crosses val="autoZero"/>
        <c:auto val="1"/>
        <c:lblAlgn val="ctr"/>
        <c:lblOffset val="100"/>
        <c:tickLblSkip val="10"/>
        <c:noMultiLvlLbl val="0"/>
      </c:catAx>
      <c:valAx>
        <c:axId val="155756224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5091097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298"/>
          <c:h val="0.1674343832021006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footer="0.30000000000000032" header="0.30000000000000032" l="0.70000000000000062" r="0.70000000000000062" t="0.75000000000000211"/>
    <c:pageSetup/>
  </c:printSettings>
</c:chartSpace>
</file>

<file path=xl/charts/chart18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Arrival_Time_School!$J$7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Arrival_Time_School!$J$8:$J$58</c:f>
              <c:numCache>
                <c:formatCode>0.00</c:formatCode>
                <c:ptCount val="51"/>
                <c:pt idx="0">
                  <c:v>0</c:v>
                </c:pt>
                <c:pt idx="1">
                  <c:v>37.456459952220918</c:v>
                </c:pt>
                <c:pt idx="2">
                  <c:v>177.29719883773518</c:v>
                </c:pt>
                <c:pt idx="3">
                  <c:v>651.70538515727617</c:v>
                </c:pt>
                <c:pt idx="4">
                  <c:v>1938.109694763571</c:v>
                </c:pt>
                <c:pt idx="5">
                  <c:v>4742.1592510940736</c:v>
                </c:pt>
                <c:pt idx="6">
                  <c:v>9666.7657697031427</c:v>
                </c:pt>
                <c:pt idx="7">
                  <c:v>16573.432751015476</c:v>
                </c:pt>
                <c:pt idx="8">
                  <c:v>24070.225480116591</c:v>
                </c:pt>
                <c:pt idx="9">
                  <c:v>29773.845709561621</c:v>
                </c:pt>
                <c:pt idx="10">
                  <c:v>31498.878274162707</c:v>
                </c:pt>
                <c:pt idx="11">
                  <c:v>28602.827337067571</c:v>
                </c:pt>
                <c:pt idx="12">
                  <c:v>22380.481691197016</c:v>
                </c:pt>
                <c:pt idx="13">
                  <c:v>15183.390889290547</c:v>
                </c:pt>
                <c:pt idx="14">
                  <c:v>9050.3271011747802</c:v>
                </c:pt>
                <c:pt idx="15">
                  <c:v>4895.0342376857316</c:v>
                </c:pt>
                <c:pt idx="16">
                  <c:v>2592.3807735518803</c:v>
                </c:pt>
                <c:pt idx="17">
                  <c:v>1541.3692561518469</c:v>
                </c:pt>
                <c:pt idx="18">
                  <c:v>1151.0285399466609</c:v>
                </c:pt>
                <c:pt idx="19">
                  <c:v>1031.6614848286085</c:v>
                </c:pt>
                <c:pt idx="20">
                  <c:v>980.38947884803781</c:v>
                </c:pt>
                <c:pt idx="21">
                  <c:v>912.94795060106946</c:v>
                </c:pt>
                <c:pt idx="22">
                  <c:v>815.89157823277651</c:v>
                </c:pt>
                <c:pt idx="23">
                  <c:v>720.6361300486783</c:v>
                </c:pt>
                <c:pt idx="24">
                  <c:v>680.49317008766366</c:v>
                </c:pt>
                <c:pt idx="25">
                  <c:v>742.67757945384415</c:v>
                </c:pt>
                <c:pt idx="26">
                  <c:v>920.52592206019131</c:v>
                </c:pt>
                <c:pt idx="27">
                  <c:v>1176.4614974784431</c:v>
                </c:pt>
                <c:pt idx="28">
                  <c:v>1426.1398079031583</c:v>
                </c:pt>
                <c:pt idx="29">
                  <c:v>1569.067141832493</c:v>
                </c:pt>
                <c:pt idx="30">
                  <c:v>1536.3553120545389</c:v>
                </c:pt>
                <c:pt idx="31">
                  <c:v>1328.0392013553401</c:v>
                </c:pt>
                <c:pt idx="32">
                  <c:v>1011.7590133762446</c:v>
                </c:pt>
                <c:pt idx="33">
                  <c:v>682.03310805857268</c:v>
                </c:pt>
                <c:pt idx="34">
                  <c:v>411.26768538604546</c:v>
                </c:pt>
                <c:pt idx="35">
                  <c:v>226.27411469268512</c:v>
                </c:pt>
                <c:pt idx="36">
                  <c:v>116.9319244619217</c:v>
                </c:pt>
                <c:pt idx="37">
                  <c:v>58.644382486431127</c:v>
                </c:pt>
                <c:pt idx="38">
                  <c:v>29.190928185688019</c:v>
                </c:pt>
                <c:pt idx="39">
                  <c:v>14.365199559216499</c:v>
                </c:pt>
                <c:pt idx="40">
                  <c:v>6.7577298050537102</c:v>
                </c:pt>
                <c:pt idx="41">
                  <c:v>2.8870169488677977</c:v>
                </c:pt>
                <c:pt idx="42">
                  <c:v>1.0604547704133986</c:v>
                </c:pt>
                <c:pt idx="43">
                  <c:v>0.31758802208137515</c:v>
                </c:pt>
                <c:pt idx="44">
                  <c:v>7.3314203408241282E-2</c:v>
                </c:pt>
                <c:pt idx="45">
                  <c:v>1.213167303943634E-2</c:v>
                </c:pt>
                <c:pt idx="46">
                  <c:v>1.2746907615661621E-3</c:v>
                </c:pt>
                <c:pt idx="47">
                  <c:v>6.3734538078308103E-5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Arrival_Time_School!$U$7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Arrival_Time_School!$U$8:$U$58</c:f>
              <c:numCache>
                <c:formatCode>General</c:formatCode>
                <c:ptCount val="51"/>
                <c:pt idx="0">
                  <c:v>2</c:v>
                </c:pt>
                <c:pt idx="1">
                  <c:v>31.237634658813477</c:v>
                </c:pt>
                <c:pt idx="2">
                  <c:v>133.96175956726074</c:v>
                </c:pt>
                <c:pt idx="3">
                  <c:v>480.32581806182861</c:v>
                </c:pt>
                <c:pt idx="4">
                  <c:v>1438.611686706543</c:v>
                </c:pt>
                <c:pt idx="5">
                  <c:v>3606.8598537445068</c:v>
                </c:pt>
                <c:pt idx="6">
                  <c:v>7627.0667238235474</c:v>
                </c:pt>
                <c:pt idx="7">
                  <c:v>13720.187040328979</c:v>
                </c:pt>
                <c:pt idx="8">
                  <c:v>21170.242762565613</c:v>
                </c:pt>
                <c:pt idx="9">
                  <c:v>28229.363986968994</c:v>
                </c:pt>
                <c:pt idx="10">
                  <c:v>32745.359363555908</c:v>
                </c:pt>
                <c:pt idx="11">
                  <c:v>33239.149495124817</c:v>
                </c:pt>
                <c:pt idx="12">
                  <c:v>29703.806210517883</c:v>
                </c:pt>
                <c:pt idx="13">
                  <c:v>23552.298903465271</c:v>
                </c:pt>
                <c:pt idx="14">
                  <c:v>16791.540308952332</c:v>
                </c:pt>
                <c:pt idx="15">
                  <c:v>11043.563528060913</c:v>
                </c:pt>
                <c:pt idx="16">
                  <c:v>7022.6646919250488</c:v>
                </c:pt>
                <c:pt idx="17">
                  <c:v>4622.6203565597534</c:v>
                </c:pt>
                <c:pt idx="18">
                  <c:v>3337.8291997909546</c:v>
                </c:pt>
                <c:pt idx="19">
                  <c:v>2655.2169466018677</c:v>
                </c:pt>
                <c:pt idx="20">
                  <c:v>2240.4063301086426</c:v>
                </c:pt>
                <c:pt idx="21">
                  <c:v>1944.3541584014893</c:v>
                </c:pt>
                <c:pt idx="22">
                  <c:v>1731.6670122146606</c:v>
                </c:pt>
                <c:pt idx="23">
                  <c:v>1608.4278078079224</c:v>
                </c:pt>
                <c:pt idx="24">
                  <c:v>1580.4317827224731</c:v>
                </c:pt>
                <c:pt idx="25">
                  <c:v>1638.9645376205444</c:v>
                </c:pt>
                <c:pt idx="26">
                  <c:v>1758.9212284088135</c:v>
                </c:pt>
                <c:pt idx="27">
                  <c:v>1900.1075344085693</c:v>
                </c:pt>
                <c:pt idx="28">
                  <c:v>2012.669960975647</c:v>
                </c:pt>
                <c:pt idx="29">
                  <c:v>2048.6499633789062</c:v>
                </c:pt>
                <c:pt idx="30">
                  <c:v>1976.3910970687866</c:v>
                </c:pt>
                <c:pt idx="31">
                  <c:v>1792.1685848236084</c:v>
                </c:pt>
                <c:pt idx="32">
                  <c:v>1524.0290832519531</c:v>
                </c:pt>
                <c:pt idx="33">
                  <c:v>1223.2618474960327</c:v>
                </c:pt>
                <c:pt idx="34">
                  <c:v>943.39540863037109</c:v>
                </c:pt>
                <c:pt idx="35">
                  <c:v>717.0852575302124</c:v>
                </c:pt>
                <c:pt idx="36">
                  <c:v>546.68501091003418</c:v>
                </c:pt>
                <c:pt idx="37">
                  <c:v>414.51193237304687</c:v>
                </c:pt>
                <c:pt idx="38">
                  <c:v>302.27125549316406</c:v>
                </c:pt>
                <c:pt idx="39">
                  <c:v>203.44841003417969</c:v>
                </c:pt>
                <c:pt idx="40">
                  <c:v>122.01653671264648</c:v>
                </c:pt>
                <c:pt idx="41">
                  <c:v>63.480792999267578</c:v>
                </c:pt>
                <c:pt idx="42">
                  <c:v>28.059303283691406</c:v>
                </c:pt>
                <c:pt idx="43">
                  <c:v>10.367070198059082</c:v>
                </c:pt>
                <c:pt idx="44">
                  <c:v>3.1759281158447266</c:v>
                </c:pt>
                <c:pt idx="45">
                  <c:v>0.81901836395263672</c:v>
                </c:pt>
                <c:pt idx="46">
                  <c:v>0.19040584564208984</c:v>
                </c:pt>
                <c:pt idx="47">
                  <c:v>4.480743408203125E-2</c:v>
                </c:pt>
                <c:pt idx="48">
                  <c:v>1.0897636413574219E-2</c:v>
                </c:pt>
                <c:pt idx="49">
                  <c:v>2.3221969604492188E-3</c:v>
                </c:pt>
                <c:pt idx="5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8526080"/>
        <c:axId val="155757952"/>
      </c:lineChart>
      <c:catAx>
        <c:axId val="148526080"/>
        <c:scaling>
          <c:orientation val="minMax"/>
        </c:scaling>
        <c:delete val="0"/>
        <c:axPos val="b"/>
        <c:majorTickMark val="out"/>
        <c:minorTickMark val="none"/>
        <c:tickLblPos val="nextTo"/>
        <c:crossAx val="155757952"/>
        <c:crosses val="autoZero"/>
        <c:auto val="1"/>
        <c:lblAlgn val="ctr"/>
        <c:lblOffset val="100"/>
        <c:tickLblSkip val="10"/>
        <c:noMultiLvlLbl val="0"/>
      </c:catAx>
      <c:valAx>
        <c:axId val="155757952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4852608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304"/>
          <c:h val="0.16743438320210074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footer="0.30000000000000032" header="0.30000000000000032" l="0.70000000000000062" r="0.70000000000000062" t="0.75000000000000233"/>
    <c:pageSetup/>
  </c:printSettings>
</c:chartSpace>
</file>

<file path=xl/charts/chart19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Arrival_Time_Other!$J$7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Arrival_Time_Other!$J$8:$J$58</c:f>
              <c:numCache>
                <c:formatCode>0.00</c:formatCode>
                <c:ptCount val="51"/>
                <c:pt idx="0">
                  <c:v>773.53164200000015</c:v>
                </c:pt>
                <c:pt idx="1">
                  <c:v>608.65544286001773</c:v>
                </c:pt>
                <c:pt idx="2">
                  <c:v>553.85778568026831</c:v>
                </c:pt>
                <c:pt idx="3">
                  <c:v>731.64519123718924</c:v>
                </c:pt>
                <c:pt idx="4">
                  <c:v>1298.0851401668626</c:v>
                </c:pt>
                <c:pt idx="5">
                  <c:v>2451.899608087635</c:v>
                </c:pt>
                <c:pt idx="6">
                  <c:v>4381.3248190935192</c:v>
                </c:pt>
                <c:pt idx="7">
                  <c:v>7123.403603153838</c:v>
                </c:pt>
                <c:pt idx="8">
                  <c:v>10411.791386685427</c:v>
                </c:pt>
                <c:pt idx="9">
                  <c:v>13677.254144341528</c:v>
                </c:pt>
                <c:pt idx="10">
                  <c:v>16290.958775080895</c:v>
                </c:pt>
                <c:pt idx="11">
                  <c:v>17911.659899233844</c:v>
                </c:pt>
                <c:pt idx="12">
                  <c:v>18653.42383675617</c:v>
                </c:pt>
                <c:pt idx="13">
                  <c:v>18927.297038257806</c:v>
                </c:pt>
                <c:pt idx="14">
                  <c:v>19102.05227797804</c:v>
                </c:pt>
                <c:pt idx="15">
                  <c:v>19271.363525955709</c:v>
                </c:pt>
                <c:pt idx="16">
                  <c:v>19289.527601763661</c:v>
                </c:pt>
                <c:pt idx="17">
                  <c:v>19001.314840331113</c:v>
                </c:pt>
                <c:pt idx="18">
                  <c:v>18457.053459988259</c:v>
                </c:pt>
                <c:pt idx="19">
                  <c:v>17948.870297543628</c:v>
                </c:pt>
                <c:pt idx="20">
                  <c:v>17853.814141517967</c:v>
                </c:pt>
                <c:pt idx="21">
                  <c:v>18399.355718846149</c:v>
                </c:pt>
                <c:pt idx="22">
                  <c:v>19507.951033582489</c:v>
                </c:pt>
                <c:pt idx="23">
                  <c:v>20832.43719628367</c:v>
                </c:pt>
                <c:pt idx="24">
                  <c:v>21982.777105147208</c:v>
                </c:pt>
                <c:pt idx="25">
                  <c:v>22807.472179579432</c:v>
                </c:pt>
                <c:pt idx="26">
                  <c:v>23525.995249250271</c:v>
                </c:pt>
                <c:pt idx="27">
                  <c:v>24589.827197314287</c:v>
                </c:pt>
                <c:pt idx="28">
                  <c:v>26329.084880180755</c:v>
                </c:pt>
                <c:pt idx="29">
                  <c:v>28591.818305818633</c:v>
                </c:pt>
                <c:pt idx="30">
                  <c:v>30625.237838344128</c:v>
                </c:pt>
                <c:pt idx="31">
                  <c:v>31349.655113006371</c:v>
                </c:pt>
                <c:pt idx="32">
                  <c:v>29929.433589587268</c:v>
                </c:pt>
                <c:pt idx="33">
                  <c:v>26282.160269957538</c:v>
                </c:pt>
                <c:pt idx="34">
                  <c:v>21151.712365552306</c:v>
                </c:pt>
                <c:pt idx="35">
                  <c:v>15692.489461682049</c:v>
                </c:pt>
                <c:pt idx="36">
                  <c:v>10889.596627938503</c:v>
                </c:pt>
                <c:pt idx="37">
                  <c:v>7212.5307959990387</c:v>
                </c:pt>
                <c:pt idx="38">
                  <c:v>4642.5440943940248</c:v>
                </c:pt>
                <c:pt idx="39">
                  <c:v>2919.6356673554565</c:v>
                </c:pt>
                <c:pt idx="40">
                  <c:v>1773.248558622138</c:v>
                </c:pt>
                <c:pt idx="41">
                  <c:v>1017.9047579924356</c:v>
                </c:pt>
                <c:pt idx="42">
                  <c:v>540.86759023478703</c:v>
                </c:pt>
                <c:pt idx="43">
                  <c:v>262.20851136649702</c:v>
                </c:pt>
                <c:pt idx="44">
                  <c:v>114.91532073865986</c:v>
                </c:pt>
                <c:pt idx="45">
                  <c:v>45.098112801390648</c:v>
                </c:pt>
                <c:pt idx="46">
                  <c:v>15.590234502180099</c:v>
                </c:pt>
                <c:pt idx="47">
                  <c:v>4.6171394201087956</c:v>
                </c:pt>
                <c:pt idx="48">
                  <c:v>1.1246581828403475</c:v>
                </c:pt>
                <c:pt idx="49">
                  <c:v>0.21078376097869872</c:v>
                </c:pt>
                <c:pt idx="5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Arrival_Time_Other!$U$7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Arrival_Time_Other!$U$8:$U$58</c:f>
              <c:numCache>
                <c:formatCode>General</c:formatCode>
                <c:ptCount val="51"/>
                <c:pt idx="0">
                  <c:v>3172</c:v>
                </c:pt>
                <c:pt idx="1">
                  <c:v>2595.1529760360718</c:v>
                </c:pt>
                <c:pt idx="2">
                  <c:v>2170.6028833389282</c:v>
                </c:pt>
                <c:pt idx="3">
                  <c:v>2067.7143077850342</c:v>
                </c:pt>
                <c:pt idx="4">
                  <c:v>2492.4953565597534</c:v>
                </c:pt>
                <c:pt idx="5">
                  <c:v>3684.0526132583618</c:v>
                </c:pt>
                <c:pt idx="6">
                  <c:v>5853.1796159744263</c:v>
                </c:pt>
                <c:pt idx="7">
                  <c:v>9066.0977611541748</c:v>
                </c:pt>
                <c:pt idx="8">
                  <c:v>13133.600598335266</c:v>
                </c:pt>
                <c:pt idx="9">
                  <c:v>17593.591903686523</c:v>
                </c:pt>
                <c:pt idx="10">
                  <c:v>21842.794293403625</c:v>
                </c:pt>
                <c:pt idx="11">
                  <c:v>25379.299785614014</c:v>
                </c:pt>
                <c:pt idx="12">
                  <c:v>28009.209641456604</c:v>
                </c:pt>
                <c:pt idx="13">
                  <c:v>29856.840393066406</c:v>
                </c:pt>
                <c:pt idx="14">
                  <c:v>31168.343020439148</c:v>
                </c:pt>
                <c:pt idx="15">
                  <c:v>32095.263586044312</c:v>
                </c:pt>
                <c:pt idx="16">
                  <c:v>32657.91600227356</c:v>
                </c:pt>
                <c:pt idx="17">
                  <c:v>32879.605794906616</c:v>
                </c:pt>
                <c:pt idx="18">
                  <c:v>32898.891410827637</c:v>
                </c:pt>
                <c:pt idx="19">
                  <c:v>32924.307945251465</c:v>
                </c:pt>
                <c:pt idx="20">
                  <c:v>33096.275484085083</c:v>
                </c:pt>
                <c:pt idx="21">
                  <c:v>33412.220588684082</c:v>
                </c:pt>
                <c:pt idx="22">
                  <c:v>33778.840437889099</c:v>
                </c:pt>
                <c:pt idx="23">
                  <c:v>34122.22211933136</c:v>
                </c:pt>
                <c:pt idx="24">
                  <c:v>34452.064776420593</c:v>
                </c:pt>
                <c:pt idx="25">
                  <c:v>34840.52916431427</c:v>
                </c:pt>
                <c:pt idx="26">
                  <c:v>35353.125301361084</c:v>
                </c:pt>
                <c:pt idx="27">
                  <c:v>35989.43460559845</c:v>
                </c:pt>
                <c:pt idx="28">
                  <c:v>36653.921277999878</c:v>
                </c:pt>
                <c:pt idx="29">
                  <c:v>37142.581996917725</c:v>
                </c:pt>
                <c:pt idx="30">
                  <c:v>37153.644521713257</c:v>
                </c:pt>
                <c:pt idx="31">
                  <c:v>36368.541178703308</c:v>
                </c:pt>
                <c:pt idx="32">
                  <c:v>34605.366399765015</c:v>
                </c:pt>
                <c:pt idx="33">
                  <c:v>31935.891611099243</c:v>
                </c:pt>
                <c:pt idx="34">
                  <c:v>28637.789908409119</c:v>
                </c:pt>
                <c:pt idx="35">
                  <c:v>25003.963213920593</c:v>
                </c:pt>
                <c:pt idx="36">
                  <c:v>21190.792437553406</c:v>
                </c:pt>
                <c:pt idx="37">
                  <c:v>17250.223196983337</c:v>
                </c:pt>
                <c:pt idx="38">
                  <c:v>13287.491953849792</c:v>
                </c:pt>
                <c:pt idx="39">
                  <c:v>9553.3470678329468</c:v>
                </c:pt>
                <c:pt idx="40">
                  <c:v>6363.6818656921387</c:v>
                </c:pt>
                <c:pt idx="41">
                  <c:v>3930.2125177383423</c:v>
                </c:pt>
                <c:pt idx="42">
                  <c:v>2265.0118541717529</c:v>
                </c:pt>
                <c:pt idx="43">
                  <c:v>1223.6563329696655</c:v>
                </c:pt>
                <c:pt idx="44">
                  <c:v>615.43150424957275</c:v>
                </c:pt>
                <c:pt idx="45">
                  <c:v>281.68440818786621</c:v>
                </c:pt>
                <c:pt idx="46">
                  <c:v>113.36742401123047</c:v>
                </c:pt>
                <c:pt idx="47">
                  <c:v>38.572632789611816</c:v>
                </c:pt>
                <c:pt idx="48">
                  <c:v>10.636343955993652</c:v>
                </c:pt>
                <c:pt idx="49">
                  <c:v>2.2298564910888672</c:v>
                </c:pt>
                <c:pt idx="5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4658304"/>
        <c:axId val="155759680"/>
      </c:lineChart>
      <c:catAx>
        <c:axId val="154658304"/>
        <c:scaling>
          <c:orientation val="minMax"/>
        </c:scaling>
        <c:delete val="0"/>
        <c:axPos val="b"/>
        <c:majorTickMark val="out"/>
        <c:minorTickMark val="none"/>
        <c:tickLblPos val="nextTo"/>
        <c:crossAx val="155759680"/>
        <c:crosses val="autoZero"/>
        <c:auto val="1"/>
        <c:lblAlgn val="ctr"/>
        <c:lblOffset val="100"/>
        <c:tickLblSkip val="10"/>
        <c:noMultiLvlLbl val="0"/>
      </c:catAx>
      <c:valAx>
        <c:axId val="155759680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5465830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309"/>
          <c:h val="0.1674343832021008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55" footer="0.30000000000000032" header="0.30000000000000032" l="0.70000000000000062" r="0.70000000000000062" t="0.75000000000000255"/>
    <c:pageSetup/>
  </c:printSettings>
</c:chartSpace>
</file>

<file path=xl/charts/chart20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Arrival_Time_Workbased!$J$7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Arrival_Time_Workbased!$J$8:$J$58</c:f>
              <c:numCache>
                <c:formatCode>0.00</c:formatCode>
                <c:ptCount val="51"/>
                <c:pt idx="0">
                  <c:v>0</c:v>
                </c:pt>
                <c:pt idx="1">
                  <c:v>0.2378517388095856</c:v>
                </c:pt>
                <c:pt idx="2">
                  <c:v>1.1081696325941086</c:v>
                </c:pt>
                <c:pt idx="3">
                  <c:v>4.0175027307662967</c:v>
                </c:pt>
                <c:pt idx="4">
                  <c:v>12.107133894024848</c:v>
                </c:pt>
                <c:pt idx="5">
                  <c:v>31.366653040553093</c:v>
                </c:pt>
                <c:pt idx="6">
                  <c:v>71.316802361725806</c:v>
                </c:pt>
                <c:pt idx="7">
                  <c:v>143.97818019294263</c:v>
                </c:pt>
                <c:pt idx="8">
                  <c:v>260.16932048196412</c:v>
                </c:pt>
                <c:pt idx="9">
                  <c:v>425.0242541843329</c:v>
                </c:pt>
                <c:pt idx="10">
                  <c:v>639.22456443330486</c:v>
                </c:pt>
                <c:pt idx="11">
                  <c:v>914.56354103839317</c:v>
                </c:pt>
                <c:pt idx="12">
                  <c:v>1305.6844032990257</c:v>
                </c:pt>
                <c:pt idx="13">
                  <c:v>1938.6174145642908</c:v>
                </c:pt>
                <c:pt idx="14">
                  <c:v>2989.0201560240566</c:v>
                </c:pt>
                <c:pt idx="15">
                  <c:v>4567.5519182993648</c:v>
                </c:pt>
                <c:pt idx="16">
                  <c:v>6548.4822042883343</c:v>
                </c:pt>
                <c:pt idx="17">
                  <c:v>8487.4476898937428</c:v>
                </c:pt>
                <c:pt idx="18">
                  <c:v>9770.9996707088885</c:v>
                </c:pt>
                <c:pt idx="19">
                  <c:v>9952.1674851257376</c:v>
                </c:pt>
                <c:pt idx="20">
                  <c:v>9020.0602585693978</c:v>
                </c:pt>
                <c:pt idx="21">
                  <c:v>7379.6482935795257</c:v>
                </c:pt>
                <c:pt idx="22">
                  <c:v>5576.8880354829307</c:v>
                </c:pt>
                <c:pt idx="23">
                  <c:v>4010.9095879636243</c:v>
                </c:pt>
                <c:pt idx="24">
                  <c:v>2826.7266679355494</c:v>
                </c:pt>
                <c:pt idx="25">
                  <c:v>1985.500734765229</c:v>
                </c:pt>
                <c:pt idx="26">
                  <c:v>1388.8300855676734</c:v>
                </c:pt>
                <c:pt idx="27">
                  <c:v>958.01794817835525</c:v>
                </c:pt>
                <c:pt idx="28">
                  <c:v>650.04655086605533</c:v>
                </c:pt>
                <c:pt idx="29">
                  <c:v>440.60553804449648</c:v>
                </c:pt>
                <c:pt idx="30">
                  <c:v>306.63133596928304</c:v>
                </c:pt>
                <c:pt idx="31">
                  <c:v>221.9893757131662</c:v>
                </c:pt>
                <c:pt idx="32">
                  <c:v>163.17446313898941</c:v>
                </c:pt>
                <c:pt idx="33">
                  <c:v>115.82010885602187</c:v>
                </c:pt>
                <c:pt idx="34">
                  <c:v>75.727556729331965</c:v>
                </c:pt>
                <c:pt idx="35">
                  <c:v>44.438978309336662</c:v>
                </c:pt>
                <c:pt idx="36">
                  <c:v>23.650584787978172</c:v>
                </c:pt>
                <c:pt idx="37">
                  <c:v>12.382706525850297</c:v>
                </c:pt>
                <c:pt idx="38">
                  <c:v>7.4892099848747256</c:v>
                </c:pt>
                <c:pt idx="39">
                  <c:v>5.5780294604415896</c:v>
                </c:pt>
                <c:pt idx="40">
                  <c:v>4.4149693529233929</c:v>
                </c:pt>
                <c:pt idx="41">
                  <c:v>3.1789717867984773</c:v>
                </c:pt>
                <c:pt idx="42">
                  <c:v>1.9352178215370179</c:v>
                </c:pt>
                <c:pt idx="43">
                  <c:v>0.96510642971324923</c:v>
                </c:pt>
                <c:pt idx="44">
                  <c:v>0.38584500418663026</c:v>
                </c:pt>
                <c:pt idx="45">
                  <c:v>0.12056878718376161</c:v>
                </c:pt>
                <c:pt idx="46">
                  <c:v>2.8369126396179202E-2</c:v>
                </c:pt>
                <c:pt idx="47">
                  <c:v>4.7281877326965337E-3</c:v>
                </c:pt>
                <c:pt idx="48">
                  <c:v>4.9770397186279299E-4</c:v>
                </c:pt>
                <c:pt idx="49">
                  <c:v>2.4885198593139647E-5</c:v>
                </c:pt>
                <c:pt idx="5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Arrival_Time_Workbased!$U$7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Arrival_Time_Workbased!$U$8:$U$58</c:f>
              <c:numCache>
                <c:formatCode>General</c:formatCode>
                <c:ptCount val="51"/>
                <c:pt idx="0">
                  <c:v>47</c:v>
                </c:pt>
                <c:pt idx="1">
                  <c:v>101.85947513580322</c:v>
                </c:pt>
                <c:pt idx="2">
                  <c:v>162.60293197631836</c:v>
                </c:pt>
                <c:pt idx="3">
                  <c:v>228.54934787750244</c:v>
                </c:pt>
                <c:pt idx="4">
                  <c:v>294.3567533493042</c:v>
                </c:pt>
                <c:pt idx="5">
                  <c:v>362.63561153411865</c:v>
                </c:pt>
                <c:pt idx="6">
                  <c:v>459.08470630645752</c:v>
                </c:pt>
                <c:pt idx="7">
                  <c:v>635.09764194488525</c:v>
                </c:pt>
                <c:pt idx="8">
                  <c:v>949.22211933135986</c:v>
                </c:pt>
                <c:pt idx="9">
                  <c:v>1437.6184911727905</c:v>
                </c:pt>
                <c:pt idx="10">
                  <c:v>2097.7314128875732</c:v>
                </c:pt>
                <c:pt idx="11">
                  <c:v>2900.5885143280029</c:v>
                </c:pt>
                <c:pt idx="12">
                  <c:v>3819.3066358566284</c:v>
                </c:pt>
                <c:pt idx="13">
                  <c:v>4842.9429903030396</c:v>
                </c:pt>
                <c:pt idx="14">
                  <c:v>5958.4704427719116</c:v>
                </c:pt>
                <c:pt idx="15">
                  <c:v>7114.9390821456909</c:v>
                </c:pt>
                <c:pt idx="16">
                  <c:v>8197.7406282424927</c:v>
                </c:pt>
                <c:pt idx="17">
                  <c:v>9031.3809757232666</c:v>
                </c:pt>
                <c:pt idx="18">
                  <c:v>9421.0664014816284</c:v>
                </c:pt>
                <c:pt idx="19">
                  <c:v>9236.1603240966797</c:v>
                </c:pt>
                <c:pt idx="20">
                  <c:v>8502.627893447876</c:v>
                </c:pt>
                <c:pt idx="21">
                  <c:v>7426.9422292709351</c:v>
                </c:pt>
                <c:pt idx="22">
                  <c:v>6299.3058862686157</c:v>
                </c:pt>
                <c:pt idx="23">
                  <c:v>5332.0083208084106</c:v>
                </c:pt>
                <c:pt idx="24">
                  <c:v>4564.3316812515259</c:v>
                </c:pt>
                <c:pt idx="25">
                  <c:v>3907.3885631561279</c:v>
                </c:pt>
                <c:pt idx="26">
                  <c:v>3269.7210702896118</c:v>
                </c:pt>
                <c:pt idx="27">
                  <c:v>2643.2130632400513</c:v>
                </c:pt>
                <c:pt idx="28">
                  <c:v>2089.8046598434448</c:v>
                </c:pt>
                <c:pt idx="29">
                  <c:v>1669.1489553451538</c:v>
                </c:pt>
                <c:pt idx="30">
                  <c:v>1385.6558713912964</c:v>
                </c:pt>
                <c:pt idx="31">
                  <c:v>1194.2930488586426</c:v>
                </c:pt>
                <c:pt idx="32">
                  <c:v>1043.99951171875</c:v>
                </c:pt>
                <c:pt idx="33">
                  <c:v>912.06069087982178</c:v>
                </c:pt>
                <c:pt idx="34">
                  <c:v>803.03493881225586</c:v>
                </c:pt>
                <c:pt idx="35">
                  <c:v>723.04311466217041</c:v>
                </c:pt>
                <c:pt idx="36">
                  <c:v>659.67071151733398</c:v>
                </c:pt>
                <c:pt idx="37">
                  <c:v>586.55005741119385</c:v>
                </c:pt>
                <c:pt idx="38">
                  <c:v>485.02261543273926</c:v>
                </c:pt>
                <c:pt idx="39">
                  <c:v>359.83047580718994</c:v>
                </c:pt>
                <c:pt idx="40">
                  <c:v>234.53412818908691</c:v>
                </c:pt>
                <c:pt idx="41">
                  <c:v>133.3085765838623</c:v>
                </c:pt>
                <c:pt idx="42">
                  <c:v>66.533530235290527</c:v>
                </c:pt>
                <c:pt idx="43">
                  <c:v>29.882606506347656</c:v>
                </c:pt>
                <c:pt idx="44">
                  <c:v>12.561367988586426</c:v>
                </c:pt>
                <c:pt idx="45">
                  <c:v>5.0885744094848633</c:v>
                </c:pt>
                <c:pt idx="46">
                  <c:v>1.9555702209472656</c:v>
                </c:pt>
                <c:pt idx="47">
                  <c:v>0.67130279541015625</c:v>
                </c:pt>
                <c:pt idx="48">
                  <c:v>0.19134140014648438</c:v>
                </c:pt>
                <c:pt idx="49">
                  <c:v>4.1593551635742188E-2</c:v>
                </c:pt>
                <c:pt idx="5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4656768"/>
        <c:axId val="155761984"/>
      </c:lineChart>
      <c:catAx>
        <c:axId val="154656768"/>
        <c:scaling>
          <c:orientation val="minMax"/>
        </c:scaling>
        <c:delete val="0"/>
        <c:axPos val="b"/>
        <c:majorTickMark val="out"/>
        <c:minorTickMark val="none"/>
        <c:tickLblPos val="nextTo"/>
        <c:crossAx val="155761984"/>
        <c:crosses val="autoZero"/>
        <c:auto val="1"/>
        <c:lblAlgn val="ctr"/>
        <c:lblOffset val="100"/>
        <c:tickLblSkip val="10"/>
        <c:noMultiLvlLbl val="0"/>
      </c:catAx>
      <c:valAx>
        <c:axId val="155761984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5465676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317"/>
          <c:h val="0.16743438320210094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78" footer="0.30000000000000032" header="0.30000000000000032" l="0.70000000000000062" r="0.70000000000000062" t="0.75000000000000278"/>
    <c:pageSetup/>
  </c:printSettings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Relationship Id="rId2" Target="../charts/chart2.xml" Type="http://schemas.openxmlformats.org/officeDocument/2006/relationships/chart"/>
<Relationship Id="rId3" Target="../charts/chart3.xml" Type="http://schemas.openxmlformats.org/officeDocument/2006/relationships/chart"/>
<Relationship Id="rId4" Target="../charts/chart4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<Relationship Id="rId1" Target="../charts/chart5.xml" Type="http://schemas.openxmlformats.org/officeDocument/2006/relationships/chart"/>
<Relationship Id="rId2" Target="../charts/chart6.xml" Type="http://schemas.openxmlformats.org/officeDocument/2006/relationships/chart"/>
<Relationship Id="rId3" Target="../charts/chart7.xml" Type="http://schemas.openxmlformats.org/officeDocument/2006/relationships/chart"/>
<Relationship Id="rId4" Target="../charts/chart8.xml" Type="http://schemas.openxmlformats.org/officeDocument/2006/relationships/chart"/>
</Relationships>

</file>

<file path=xl/drawings/_rels/drawing3.xml.rels><?xml version="1.0" encoding="UTF-8" standalone="no"?>
<Relationships xmlns="http://schemas.openxmlformats.org/package/2006/relationships">
<Relationship Id="rId1" Target="../charts/chart9.xml" Type="http://schemas.openxmlformats.org/officeDocument/2006/relationships/chart"/>
<Relationship Id="rId2" Target="../charts/chart10.xml" Type="http://schemas.openxmlformats.org/officeDocument/2006/relationships/chart"/>
<Relationship Id="rId3" Target="../charts/chart11.xml" Type="http://schemas.openxmlformats.org/officeDocument/2006/relationships/chart"/>
<Relationship Id="rId4" Target="../charts/chart12.xml" Type="http://schemas.openxmlformats.org/officeDocument/2006/relationships/chart"/>
</Relationships>

</file>

<file path=xl/drawings/_rels/drawing4.xml.rels><?xml version="1.0" encoding="UTF-8" standalone="no"?>
<Relationships xmlns="http://schemas.openxmlformats.org/package/2006/relationships">
<Relationship Id="rId1" Target="../charts/chart13.xml" Type="http://schemas.openxmlformats.org/officeDocument/2006/relationships/chart"/>
</Relationships>

</file>

<file path=xl/drawings/_rels/drawing5.xml.rels><?xml version="1.0" encoding="UTF-8" standalone="no"?>
<Relationships xmlns="http://schemas.openxmlformats.org/package/2006/relationships">
<Relationship Id="rId1" Target="../charts/chart14.xml" Type="http://schemas.openxmlformats.org/officeDocument/2006/relationships/chart"/>
</Relationships>

</file>

<file path=xl/drawings/_rels/drawing6.xml.rels><?xml version="1.0" encoding="UTF-8" standalone="no"?>
<Relationships xmlns="http://schemas.openxmlformats.org/package/2006/relationships">
<Relationship Id="rId1" Target="../charts/chart15.xml" Type="http://schemas.openxmlformats.org/officeDocument/2006/relationships/chart"/>
</Relationships>

</file>

<file path=xl/drawings/_rels/drawing7.xml.rels><?xml version="1.0" encoding="UTF-8" standalone="no"?>
<Relationships xmlns="http://schemas.openxmlformats.org/package/2006/relationships">
<Relationship Id="rId1" Target="../charts/chart16.xml" Type="http://schemas.openxmlformats.org/officeDocument/2006/relationships/chart"/>
</Relationships>

</file>

<file path=xl/drawings/_rels/drawing8.xml.rels><?xml version="1.0" encoding="UTF-8" standalone="no"?>
<Relationships xmlns="http://schemas.openxmlformats.org/package/2006/relationships">
<Relationship Id="rId1" Target="../charts/chart17.xml" Type="http://schemas.openxmlformats.org/officeDocument/2006/relationships/chart"/>
</Relationships>

</file>

<file path=xl/drawings/_rels/drawing9.xml.rels><?xml version="1.0" encoding="UTF-8" standalone="no"?>
<Relationships xmlns="http://schemas.openxmlformats.org/package/2006/relationships">
<Relationship Id="rId1" Target="../charts/chart18.xml" Type="http://schemas.openxmlformats.org/officeDocument/2006/relationships/chart"/>
</Relationships>

</file>

<file path=xl/drawings/_rels/drawing10.xml.rels><?xml version="1.0" encoding="UTF-8" standalone="no"?>
<Relationships xmlns="http://schemas.openxmlformats.org/package/2006/relationships">
<Relationship Id="rId1" Target="../charts/chart19.xml" Type="http://schemas.openxmlformats.org/officeDocument/2006/relationships/chart"/>
</Relationships>

</file>

<file path=xl/drawings/_rels/drawing11.xml.rels><?xml version="1.0" encoding="UTF-8" standalone="no"?>
<Relationships xmlns="http://schemas.openxmlformats.org/package/2006/relationships">
<Relationship Id="rId1" Target="../charts/chart20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14</xdr:col>
      <xdr:colOff>19050</xdr:colOff>
      <xdr:row>5</xdr:row>
      <xdr:rowOff>180975</xdr:rowOff>
    </xdr:from>
    <xdr:to>
      <xdr:col>23</xdr:col>
      <xdr:colOff>38100</xdr:colOff>
      <xdr:row>22</xdr:row>
      <xdr:rowOff>171450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0</xdr:colOff>
      <xdr:row>25</xdr:row>
      <xdr:rowOff>0</xdr:rowOff>
    </xdr:from>
    <xdr:to>
      <xdr:col>23</xdr:col>
      <xdr:colOff>19050</xdr:colOff>
      <xdr:row>42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0</xdr:colOff>
      <xdr:row>44</xdr:row>
      <xdr:rowOff>0</xdr:rowOff>
    </xdr:from>
    <xdr:to>
      <xdr:col>23</xdr:col>
      <xdr:colOff>19050</xdr:colOff>
      <xdr:row>60</xdr:row>
      <xdr:rowOff>180975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0</xdr:colOff>
      <xdr:row>63</xdr:row>
      <xdr:rowOff>0</xdr:rowOff>
    </xdr:from>
    <xdr:to>
      <xdr:col>23</xdr:col>
      <xdr:colOff>19050</xdr:colOff>
      <xdr:row>80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14</xdr:col>
      <xdr:colOff>19050</xdr:colOff>
      <xdr:row>6</xdr:row>
      <xdr:rowOff>0</xdr:rowOff>
    </xdr:from>
    <xdr:to>
      <xdr:col>23</xdr:col>
      <xdr:colOff>38100</xdr:colOff>
      <xdr:row>23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0</xdr:colOff>
      <xdr:row>25</xdr:row>
      <xdr:rowOff>19050</xdr:rowOff>
    </xdr:from>
    <xdr:to>
      <xdr:col>23</xdr:col>
      <xdr:colOff>19050</xdr:colOff>
      <xdr:row>42</xdr:row>
      <xdr:rowOff>19050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0</xdr:colOff>
      <xdr:row>44</xdr:row>
      <xdr:rowOff>19050</xdr:rowOff>
    </xdr:from>
    <xdr:to>
      <xdr:col>23</xdr:col>
      <xdr:colOff>19050</xdr:colOff>
      <xdr:row>61</xdr:row>
      <xdr:rowOff>9525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0</xdr:colOff>
      <xdr:row>63</xdr:row>
      <xdr:rowOff>19050</xdr:rowOff>
    </xdr:from>
    <xdr:to>
      <xdr:col>23</xdr:col>
      <xdr:colOff>19050</xdr:colOff>
      <xdr:row>80</xdr:row>
      <xdr:rowOff>19050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14</xdr:col>
      <xdr:colOff>19050</xdr:colOff>
      <xdr:row>6</xdr:row>
      <xdr:rowOff>0</xdr:rowOff>
    </xdr:from>
    <xdr:to>
      <xdr:col>23</xdr:col>
      <xdr:colOff>38100</xdr:colOff>
      <xdr:row>23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0</xdr:colOff>
      <xdr:row>25</xdr:row>
      <xdr:rowOff>19050</xdr:rowOff>
    </xdr:from>
    <xdr:to>
      <xdr:col>23</xdr:col>
      <xdr:colOff>19050</xdr:colOff>
      <xdr:row>42</xdr:row>
      <xdr:rowOff>19050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0</xdr:colOff>
      <xdr:row>44</xdr:row>
      <xdr:rowOff>19050</xdr:rowOff>
    </xdr:from>
    <xdr:to>
      <xdr:col>23</xdr:col>
      <xdr:colOff>19050</xdr:colOff>
      <xdr:row>61</xdr:row>
      <xdr:rowOff>9525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0</xdr:colOff>
      <xdr:row>63</xdr:row>
      <xdr:rowOff>19050</xdr:rowOff>
    </xdr:from>
    <xdr:to>
      <xdr:col>23</xdr:col>
      <xdr:colOff>19050</xdr:colOff>
      <xdr:row>80</xdr:row>
      <xdr:rowOff>19050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22</xdr:col>
      <xdr:colOff>19050</xdr:colOff>
      <xdr:row>5</xdr:row>
      <xdr:rowOff>180975</xdr:rowOff>
    </xdr:from>
    <xdr:to>
      <xdr:col>31</xdr:col>
      <xdr:colOff>38100</xdr:colOff>
      <xdr:row>20</xdr:row>
      <xdr:rowOff>57150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a="http://schemas.openxmlformats.org/drawingml/2006/main" xmlns:xdr="http://schemas.openxmlformats.org/drawingml/2006/spreadsheetDrawing">
  <xdr:twoCellAnchor>
    <xdr:from>
      <xdr:col>22</xdr:col>
      <xdr:colOff>19050</xdr:colOff>
      <xdr:row>5</xdr:row>
      <xdr:rowOff>180975</xdr:rowOff>
    </xdr:from>
    <xdr:to>
      <xdr:col>31</xdr:col>
      <xdr:colOff>38100</xdr:colOff>
      <xdr:row>20</xdr:row>
      <xdr:rowOff>57150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a="http://schemas.openxmlformats.org/drawingml/2006/main" xmlns:xdr="http://schemas.openxmlformats.org/drawingml/2006/spreadsheetDrawing">
  <xdr:twoCellAnchor>
    <xdr:from>
      <xdr:col>22</xdr:col>
      <xdr:colOff>19050</xdr:colOff>
      <xdr:row>5</xdr:row>
      <xdr:rowOff>180975</xdr:rowOff>
    </xdr:from>
    <xdr:to>
      <xdr:col>31</xdr:col>
      <xdr:colOff>38100</xdr:colOff>
      <xdr:row>20</xdr:row>
      <xdr:rowOff>57150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a="http://schemas.openxmlformats.org/drawingml/2006/main" xmlns:xdr="http://schemas.openxmlformats.org/drawingml/2006/spreadsheetDrawing">
  <xdr:twoCellAnchor>
    <xdr:from>
      <xdr:col>22</xdr:col>
      <xdr:colOff>19050</xdr:colOff>
      <xdr:row>5</xdr:row>
      <xdr:rowOff>180975</xdr:rowOff>
    </xdr:from>
    <xdr:to>
      <xdr:col>31</xdr:col>
      <xdr:colOff>38100</xdr:colOff>
      <xdr:row>20</xdr:row>
      <xdr:rowOff>57150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a="http://schemas.openxmlformats.org/drawingml/2006/main" xmlns:xdr="http://schemas.openxmlformats.org/drawingml/2006/spreadsheetDrawing">
  <xdr:twoCellAnchor>
    <xdr:from>
      <xdr:col>22</xdr:col>
      <xdr:colOff>19050</xdr:colOff>
      <xdr:row>5</xdr:row>
      <xdr:rowOff>180975</xdr:rowOff>
    </xdr:from>
    <xdr:to>
      <xdr:col>31</xdr:col>
      <xdr:colOff>38100</xdr:colOff>
      <xdr:row>20</xdr:row>
      <xdr:rowOff>57150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a="http://schemas.openxmlformats.org/drawingml/2006/main" xmlns:xdr="http://schemas.openxmlformats.org/drawingml/2006/spreadsheetDrawing">
  <xdr:twoCellAnchor>
    <xdr:from>
      <xdr:col>22</xdr:col>
      <xdr:colOff>19050</xdr:colOff>
      <xdr:row>5</xdr:row>
      <xdr:rowOff>180975</xdr:rowOff>
    </xdr:from>
    <xdr:to>
      <xdr:col>31</xdr:col>
      <xdr:colOff>38100</xdr:colOff>
      <xdr:row>20</xdr:row>
      <xdr:rowOff>57150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a="http://schemas.openxmlformats.org/drawingml/2006/main" xmlns:xdr="http://schemas.openxmlformats.org/drawingml/2006/spreadsheetDrawing">
  <xdr:twoCellAnchor>
    <xdr:from>
      <xdr:col>22</xdr:col>
      <xdr:colOff>19050</xdr:colOff>
      <xdr:row>5</xdr:row>
      <xdr:rowOff>180975</xdr:rowOff>
    </xdr:from>
    <xdr:to>
      <xdr:col>31</xdr:col>
      <xdr:colOff>38100</xdr:colOff>
      <xdr:row>20</xdr:row>
      <xdr:rowOff>57150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a="http://schemas.openxmlformats.org/drawingml/2006/main" xmlns:xdr="http://schemas.openxmlformats.org/drawingml/2006/spreadsheetDrawing">
  <xdr:twoCellAnchor>
    <xdr:from>
      <xdr:col>22</xdr:col>
      <xdr:colOff>19050</xdr:colOff>
      <xdr:row>5</xdr:row>
      <xdr:rowOff>180975</xdr:rowOff>
    </xdr:from>
    <xdr:to>
      <xdr:col>31</xdr:col>
      <xdr:colOff>38100</xdr:colOff>
      <xdr:row>20</xdr:row>
      <xdr:rowOff>57150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Relationship Id="rId2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Relationship Id="rId2" Target="../drawings/drawing3.xml" Type="http://schemas.openxmlformats.org/officeDocument/2006/relationships/drawing"/>
</Relationships>

</file>

<file path=xl/worksheets/_rels/sheet4.xml.rels><?xml version="1.0" encoding="UTF-8" standalone="no"?>
<Relationships xmlns="http://schemas.openxmlformats.org/package/2006/relationships">
<Relationship Id="rId1" Target="../printerSettings/printerSettings4.bin" Type="http://schemas.openxmlformats.org/officeDocument/2006/relationships/printerSettings"/>
<Relationship Id="rId2" Target="../drawings/drawing4.xml" Type="http://schemas.openxmlformats.org/officeDocument/2006/relationships/drawing"/>
</Relationships>

</file>

<file path=xl/worksheets/_rels/sheet5.xml.rels><?xml version="1.0" encoding="UTF-8" standalone="no"?>
<Relationships xmlns="http://schemas.openxmlformats.org/package/2006/relationships">
<Relationship Id="rId1" Target="../printerSettings/printerSettings5.bin" Type="http://schemas.openxmlformats.org/officeDocument/2006/relationships/printerSettings"/>
<Relationship Id="rId2" Target="../drawings/drawing5.xml" Type="http://schemas.openxmlformats.org/officeDocument/2006/relationships/drawing"/>
</Relationships>

</file>

<file path=xl/worksheets/_rels/sheet6.xml.rels><?xml version="1.0" encoding="UTF-8" standalone="no"?>
<Relationships xmlns="http://schemas.openxmlformats.org/package/2006/relationships">
<Relationship Id="rId1" Target="../printerSettings/printerSettings6.bin" Type="http://schemas.openxmlformats.org/officeDocument/2006/relationships/printerSettings"/>
<Relationship Id="rId2" Target="../drawings/drawing6.xml" Type="http://schemas.openxmlformats.org/officeDocument/2006/relationships/drawing"/>
</Relationships>

</file>

<file path=xl/worksheets/_rels/sheet7.xml.rels><?xml version="1.0" encoding="UTF-8" standalone="no"?>
<Relationships xmlns="http://schemas.openxmlformats.org/package/2006/relationships">
<Relationship Id="rId1" Target="../printerSettings/printerSettings7.bin" Type="http://schemas.openxmlformats.org/officeDocument/2006/relationships/printerSettings"/>
<Relationship Id="rId2" Target="../drawings/drawing7.xml" Type="http://schemas.openxmlformats.org/officeDocument/2006/relationships/drawing"/>
</Relationships>

</file>

<file path=xl/worksheets/_rels/sheet8.xml.rels><?xml version="1.0" encoding="UTF-8" standalone="no"?>
<Relationships xmlns="http://schemas.openxmlformats.org/package/2006/relationships">
<Relationship Id="rId1" Target="../drawings/drawing8.xml" Type="http://schemas.openxmlformats.org/officeDocument/2006/relationships/drawing"/>
</Relationships>

</file>

<file path=xl/worksheets/_rels/sheet9.xml.rels><?xml version="1.0" encoding="UTF-8" standalone="no"?>
<Relationships xmlns="http://schemas.openxmlformats.org/package/2006/relationships">
<Relationship Id="rId1" Target="../drawings/drawing9.xml" Type="http://schemas.openxmlformats.org/officeDocument/2006/relationships/drawing"/>
</Relationships>

</file>

<file path=xl/worksheets/_rels/sheet10.xml.rels><?xml version="1.0" encoding="UTF-8" standalone="no"?>
<Relationships xmlns="http://schemas.openxmlformats.org/package/2006/relationships">
<Relationship Id="rId1" Target="../drawings/drawing10.xml" Type="http://schemas.openxmlformats.org/officeDocument/2006/relationships/drawing"/>
</Relationships>

</file>

<file path=xl/worksheets/_rels/sheet11.xml.rels><?xml version="1.0" encoding="UTF-8" standalone="no"?>
<Relationships xmlns="http://schemas.openxmlformats.org/package/2006/relationships">
<Relationship Id="rId1" Target="../drawings/drawing11.xml" Type="http://schemas.openxmlformats.org/officeDocument/2006/relationships/drawing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R115"/>
  <sheetViews>
    <sheetView topLeftCell="A19" workbookViewId="0">
      <selection activeCell="N24" sqref="N24"/>
    </sheetView>
  </sheetViews>
  <sheetFormatPr defaultRowHeight="15" x14ac:dyDescent="0.25"/>
  <cols>
    <col min="1" max="1" customWidth="true" width="12.7109375" collapsed="true"/>
    <col min="2" max="6" customWidth="true" width="10.7109375" collapsed="true"/>
    <col min="7" max="7" customWidth="true" width="6.42578125" collapsed="true"/>
    <col min="8" max="8" customWidth="true" width="12.7109375" collapsed="true"/>
    <col min="9" max="13" customWidth="true" width="10.7109375" collapsed="true"/>
  </cols>
  <sheetData>
    <row r="1" spans="1:18" x14ac:dyDescent="0.25">
      <c r="A1" t="s">
        <v>9</v>
      </c>
    </row>
    <row r="2" spans="1:18" x14ac:dyDescent="0.25">
      <c r="A2" t="s">
        <v>46</v>
      </c>
    </row>
    <row r="3" spans="1:18" x14ac:dyDescent="0.25">
      <c r="A3" t="s">
        <v>7</v>
      </c>
    </row>
    <row r="5" spans="1:18" x14ac:dyDescent="0.25">
      <c r="O5" s="5"/>
      <c r="P5" s="5"/>
      <c r="Q5" s="5"/>
      <c r="R5" s="5"/>
    </row>
    <row ht="15.75" r="6" spans="1:18" thickBot="1" x14ac:dyDescent="0.3">
      <c r="A6" s="3" t="s">
        <v>47</v>
      </c>
      <c r="B6" s="1"/>
      <c r="C6" s="1"/>
      <c r="D6" s="1"/>
      <c r="E6" s="1"/>
      <c r="F6" s="1"/>
      <c r="H6" s="3" t="s">
        <v>12</v>
      </c>
      <c r="I6" s="1"/>
      <c r="J6" s="1"/>
      <c r="K6" s="1"/>
      <c r="L6" s="1"/>
      <c r="M6" s="1"/>
      <c r="O6" s="11"/>
      <c r="P6" s="5"/>
      <c r="Q6" s="5"/>
      <c r="R6" s="5"/>
    </row>
    <row r="7" spans="1:18" x14ac:dyDescent="0.25">
      <c r="A7" s="2" t="s">
        <v>4</v>
      </c>
      <c r="B7" s="4" t="s">
        <v>1</v>
      </c>
      <c r="C7" s="4" t="s">
        <v>2</v>
      </c>
      <c r="D7" s="4" t="s">
        <v>16</v>
      </c>
      <c r="E7" s="4" t="s">
        <v>3</v>
      </c>
      <c r="F7" s="4" t="s">
        <v>0</v>
      </c>
      <c r="H7" s="2" t="s">
        <v>4</v>
      </c>
      <c r="I7" s="4" t="s">
        <v>1</v>
      </c>
      <c r="J7" s="4" t="s">
        <v>2</v>
      </c>
      <c r="K7" s="4" t="s">
        <v>16</v>
      </c>
      <c r="L7" s="4" t="s">
        <v>3</v>
      </c>
      <c r="M7" s="4" t="s">
        <v>0</v>
      </c>
      <c r="O7" s="5"/>
      <c r="P7" s="14"/>
      <c r="Q7" s="14"/>
      <c r="R7" s="5"/>
    </row>
    <row r="8" spans="1:18" x14ac:dyDescent="0.25">
      <c r="A8" t="s">
        <v>5</v>
      </c>
      <c r="B8" s="6" t="n">
        <v>0.0</v>
      </c>
      <c r="C8" s="6" t="n">
        <v>0.0</v>
      </c>
      <c r="D8" s="6" t="n">
        <v>0.0</v>
      </c>
      <c r="E8" s="6" t="n">
        <v>0.0</v>
      </c>
      <c r="F8" s="6">
        <f>SUM(B8:E8)</f>
        <v>773.53164200000003</v>
      </c>
      <c r="H8" t="s">
        <v>5</v>
      </c>
      <c r="I8" s="9" t="n">
        <v>1621.0</v>
      </c>
      <c r="J8" s="9" t="n">
        <v>13.0</v>
      </c>
      <c r="K8" s="9" t="n">
        <v>108.0</v>
      </c>
      <c r="L8" s="9" t="n">
        <v>132.0</v>
      </c>
      <c r="M8">
        <f>SUM(I8:L8)</f>
        <v>3943</v>
      </c>
      <c r="O8" s="5"/>
      <c r="P8" s="16"/>
      <c r="Q8" s="16"/>
      <c r="R8" s="5"/>
    </row>
    <row r="9" spans="1:18" x14ac:dyDescent="0.25">
      <c r="A9" s="12">
        <v>0.125</v>
      </c>
      <c r="B9" s="6" t="n">
        <v>3070.744100484848</v>
      </c>
      <c r="C9" s="6" t="n">
        <v>77.01074315958024</v>
      </c>
      <c r="D9" s="6" t="n">
        <v>1308.1047765603068</v>
      </c>
      <c r="E9" s="6" t="n">
        <v>3.4704615229606626</v>
      </c>
      <c r="F9" s="6">
        <f ref="F9:F58" si="0" t="shared">SUM(B9:E9)</f>
        <v>1576.0287068784974</v>
      </c>
      <c r="H9" s="12">
        <v>0.125</v>
      </c>
      <c r="I9" s="9" t="n">
        <v>1725.072003364563</v>
      </c>
      <c r="J9" s="9" t="n">
        <v>77.01281833648682</v>
      </c>
      <c r="K9" s="9" t="n">
        <v>718.5391788482666</v>
      </c>
      <c r="L9" s="9" t="n">
        <v>434.14751625061035</v>
      </c>
      <c r="M9">
        <f ref="M9:M58" si="1" t="shared">SUM(I9:L9)</f>
        <v>5228.3673276901245</v>
      </c>
      <c r="O9" s="5"/>
      <c r="P9" s="16"/>
      <c r="Q9" s="16"/>
      <c r="R9" s="5"/>
    </row>
    <row r="10" spans="1:18" x14ac:dyDescent="0.25">
      <c r="A10" s="12">
        <v>0.14583333333333334</v>
      </c>
      <c r="B10" s="6" t="n">
        <v>7296.873173778534</v>
      </c>
      <c r="C10" s="6" t="n">
        <v>258.49502724370956</v>
      </c>
      <c r="D10" s="6" t="n">
        <v>2665.374845129109</v>
      </c>
      <c r="E10" s="6" t="n">
        <v>9.866377398777008</v>
      </c>
      <c r="F10" s="6">
        <f si="0" t="shared"/>
        <v>3019.0394758017183</v>
      </c>
      <c r="H10" s="12">
        <v>0.14583333333333334</v>
      </c>
      <c r="I10" s="9" t="n">
        <v>2590.9586791992188</v>
      </c>
      <c r="J10" s="9" t="n">
        <v>276.5068063735962</v>
      </c>
      <c r="K10" s="9" t="n">
        <v>1167.0096397399902</v>
      </c>
      <c r="L10" s="9" t="n">
        <v>585.4382667541504</v>
      </c>
      <c r="M10">
        <f si="1" t="shared"/>
        <v>6869.6967325210571</v>
      </c>
      <c r="O10" s="5"/>
      <c r="P10" s="16"/>
      <c r="Q10" s="16"/>
      <c r="R10" s="5"/>
    </row>
    <row r="11" spans="1:18" x14ac:dyDescent="0.25">
      <c r="A11" s="12">
        <v>0.16666666666666666</v>
      </c>
      <c r="B11" s="6" t="n">
        <v>13913.289696518801</v>
      </c>
      <c r="C11" s="6" t="n">
        <v>833.2102400235175</v>
      </c>
      <c r="D11" s="6" t="n">
        <v>4189.566259670735</v>
      </c>
      <c r="E11" s="6" t="n">
        <v>23.4057636018753</v>
      </c>
      <c r="F11" s="6">
        <f si="0" t="shared"/>
        <v>5970.435475773058</v>
      </c>
      <c r="H11" s="12">
        <v>0.16666666666666666</v>
      </c>
      <c r="I11" s="9" t="n">
        <v>5409.500979423523</v>
      </c>
      <c r="J11" s="9" t="n">
        <v>947.8065958023071</v>
      </c>
      <c r="K11" s="9" t="n">
        <v>1610.9822778701782</v>
      </c>
      <c r="L11" s="9" t="n">
        <v>549.779091835022</v>
      </c>
      <c r="M11">
        <f si="1" t="shared"/>
        <v>9595.2722482681274</v>
      </c>
      <c r="O11" s="5"/>
      <c r="P11" s="16"/>
      <c r="Q11" s="16"/>
      <c r="R11" s="5"/>
    </row>
    <row r="12" spans="1:18" x14ac:dyDescent="0.25">
      <c r="A12" s="12">
        <v>0.1875</v>
      </c>
      <c r="B12" s="6" t="n">
        <v>24139.43644486742</v>
      </c>
      <c r="C12" s="6" t="n">
        <v>2494.1827681415557</v>
      </c>
      <c r="D12" s="6" t="n">
        <v>6137.677723774625</v>
      </c>
      <c r="E12" s="6" t="n">
        <v>50.93191764659881</v>
      </c>
      <c r="F12" s="6">
        <f si="0" t="shared"/>
        <v>11688.780077447838</v>
      </c>
      <c r="H12" s="12">
        <v>0.1875</v>
      </c>
      <c r="I12" s="9" t="n">
        <v>11983.312481880188</v>
      </c>
      <c r="J12" s="9" t="n">
        <v>2826.6828289031982</v>
      </c>
      <c r="K12" s="9" t="n">
        <v>2700.9069442749023</v>
      </c>
      <c r="L12" s="9" t="n">
        <v>420.92372608184814</v>
      </c>
      <c r="M12">
        <f si="1" t="shared"/>
        <v>14717.012464523315</v>
      </c>
      <c r="O12" s="5"/>
      <c r="P12" s="5"/>
      <c r="Q12" s="5"/>
      <c r="R12" s="5"/>
    </row>
    <row r="13" spans="1:18" x14ac:dyDescent="0.25">
      <c r="A13" s="12">
        <v>0.20833333333333334</v>
      </c>
      <c r="B13" s="6" t="n">
        <v>38853.83947210769</v>
      </c>
      <c r="C13" s="6" t="n">
        <v>6466.121520101356</v>
      </c>
      <c r="D13" s="6" t="n">
        <v>8953.51633048687</v>
      </c>
      <c r="E13" s="6" t="n">
        <v>103.30354127464292</v>
      </c>
      <c r="F13" s="6">
        <f si="0" t="shared"/>
        <v>21693.90158562519</v>
      </c>
      <c r="H13" s="12">
        <v>0.20833333333333334</v>
      </c>
      <c r="I13" s="9" t="n">
        <v>24369.510787010193</v>
      </c>
      <c r="J13" s="9" t="n">
        <v>7075.514236450195</v>
      </c>
      <c r="K13" s="9" t="n">
        <v>5548.002597808838</v>
      </c>
      <c r="L13" s="9" t="n">
        <v>353.8608522415161</v>
      </c>
      <c r="M13">
        <f si="1" t="shared"/>
        <v>23951.430013656616</v>
      </c>
    </row>
    <row r="14" spans="1:18" x14ac:dyDescent="0.25">
      <c r="A14" s="12">
        <v>0.22916666666666666</v>
      </c>
      <c r="B14" s="6" t="n">
        <v>58097.834313555904</v>
      </c>
      <c r="C14" s="6" t="n">
        <v>14227.068363943386</v>
      </c>
      <c r="D14" s="6" t="n">
        <v>13240.630856225394</v>
      </c>
      <c r="E14" s="6" t="n">
        <v>197.3000459578514</v>
      </c>
      <c r="F14" s="6">
        <f si="0" t="shared"/>
        <v>37048.44238369089</v>
      </c>
      <c r="H14" s="12">
        <v>0.22916666666666666</v>
      </c>
      <c r="I14" s="9" t="n">
        <v>43845.286949157715</v>
      </c>
      <c r="J14" s="9" t="n">
        <v>14845.400693893433</v>
      </c>
      <c r="K14" s="9" t="n">
        <v>11454.414477348328</v>
      </c>
      <c r="L14" s="9" t="n">
        <v>504.05217933654785</v>
      </c>
      <c r="M14">
        <f si="1" t="shared"/>
        <v>38668.973700523376</v>
      </c>
    </row>
    <row r="15" spans="1:18" x14ac:dyDescent="0.25">
      <c r="A15" s="12">
        <v>0.25</v>
      </c>
      <c r="B15" s="6" t="n">
        <v>80538.50167269268</v>
      </c>
      <c r="C15" s="6" t="n">
        <v>26607.574145670795</v>
      </c>
      <c r="D15" s="6" t="n">
        <v>19611.159067066194</v>
      </c>
      <c r="E15" s="6" t="n">
        <v>358.1367829296112</v>
      </c>
      <c r="F15" s="6">
        <f si="0" t="shared"/>
        <v>57121.178392898866</v>
      </c>
      <c r="H15" s="12">
        <v>0.25</v>
      </c>
      <c r="I15" s="9" t="n">
        <v>69557.7184638977</v>
      </c>
      <c r="J15" s="9" t="n">
        <v>26334.267045021057</v>
      </c>
      <c r="K15" s="9" t="n">
        <v>21375.124022483826</v>
      </c>
      <c r="L15" s="9" t="n">
        <v>1018.748010635376</v>
      </c>
      <c r="M15">
        <f si="1" t="shared"/>
        <v>58728.139182090759</v>
      </c>
    </row>
    <row r="16" spans="1:18" x14ac:dyDescent="0.25">
      <c r="A16" s="12">
        <v>0.27083333333333331</v>
      </c>
      <c r="B16" s="6" t="n">
        <v>103155.91742356654</v>
      </c>
      <c r="C16" s="6" t="n">
        <v>42603.89835548096</v>
      </c>
      <c r="D16" s="6" t="n">
        <v>28404.101719169805</v>
      </c>
      <c r="E16" s="6" t="n">
        <v>619.5409644634248</v>
      </c>
      <c r="F16" s="6">
        <f si="0" t="shared"/>
        <v>78647.344439193563</v>
      </c>
      <c r="H16" s="12">
        <v>0.27083333333333331</v>
      </c>
      <c r="I16" s="9" t="n">
        <v>97755.67247867584</v>
      </c>
      <c r="J16" s="9" t="n">
        <v>39940.886982917786</v>
      </c>
      <c r="K16" s="9" t="n">
        <v>35249.02035903931</v>
      </c>
      <c r="L16" s="9" t="n">
        <v>2046.4235334396362</v>
      </c>
      <c r="M16">
        <f si="1" t="shared"/>
        <v>81563.834888458252</v>
      </c>
    </row>
    <row r="17" spans="1:13" x14ac:dyDescent="0.25">
      <c r="A17" s="12">
        <v>0.29166666666666669</v>
      </c>
      <c r="B17" s="6" t="n">
        <v>121599.12088816786</v>
      </c>
      <c r="C17" s="6" t="n">
        <v>58856.902713043026</v>
      </c>
      <c r="D17" s="6" t="n">
        <v>39356.666402093026</v>
      </c>
      <c r="E17" s="6" t="n">
        <v>1015.6827702163697</v>
      </c>
      <c r="F17" s="6">
        <f si="0" t="shared"/>
        <v>96259.171752298469</v>
      </c>
      <c r="H17" s="12">
        <v>0.29166666666666669</v>
      </c>
      <c r="I17" s="9" t="n">
        <v>122475.75513744354</v>
      </c>
      <c r="J17" s="9" t="n">
        <v>52445.7647895813</v>
      </c>
      <c r="K17" s="9" t="n">
        <v>51600.26666927338</v>
      </c>
      <c r="L17" s="9" t="n">
        <v>3735.169298171997</v>
      </c>
      <c r="M17">
        <f si="1" t="shared"/>
        <v>102413.97288990021</v>
      </c>
    </row>
    <row r="18" spans="1:13" x14ac:dyDescent="0.25">
      <c r="A18" s="12">
        <v>0.3125</v>
      </c>
      <c r="B18" s="6" t="n">
        <v>131511.75556665353</v>
      </c>
      <c r="C18" s="6" t="n">
        <v>70631.34638061009</v>
      </c>
      <c r="D18" s="6" t="n">
        <v>51425.798305689335</v>
      </c>
      <c r="E18" s="6" t="n">
        <v>1565.7056393081666</v>
      </c>
      <c r="F18" s="6">
        <f si="0" t="shared"/>
        <v>104813.22689477466</v>
      </c>
      <c r="H18" s="12">
        <v>0.3125</v>
      </c>
      <c r="I18" s="9" t="n">
        <v>137701.09668064117</v>
      </c>
      <c r="J18" s="9" t="n">
        <v>60464.06033039093</v>
      </c>
      <c r="K18" s="9" t="n">
        <v>67807.97932720184</v>
      </c>
      <c r="L18" s="9" t="n">
        <v>6251.524381637573</v>
      </c>
      <c r="M18">
        <f si="1" t="shared"/>
        <v>116035.1117105484</v>
      </c>
    </row>
    <row r="19" spans="1:13" x14ac:dyDescent="0.25">
      <c r="A19" s="12">
        <v>0.33333333333333331</v>
      </c>
      <c r="B19" s="6" t="n">
        <v>130414.70213318508</v>
      </c>
      <c r="C19" s="6" t="n">
        <v>74046.83236283466</v>
      </c>
      <c r="D19" s="6" t="n">
        <v>62983.04757090654</v>
      </c>
      <c r="E19" s="6" t="n">
        <v>2267.4650741018295</v>
      </c>
      <c r="F19" s="6">
        <f si="0" t="shared"/>
        <v>102195.15787203852</v>
      </c>
      <c r="H19" s="12">
        <v>0.33333333333333331</v>
      </c>
      <c r="I19" s="9" t="n">
        <v>139892.61309623718</v>
      </c>
      <c r="J19" s="9" t="n">
        <v>62189.220165252686</v>
      </c>
      <c r="K19" s="9" t="n">
        <v>81027.95321178436</v>
      </c>
      <c r="L19" s="9" t="n">
        <v>9841.129961967468</v>
      </c>
      <c r="M19">
        <f si="1" t="shared"/>
        <v>119154.89663124084</v>
      </c>
    </row>
    <row r="20" spans="1:13" x14ac:dyDescent="0.25">
      <c r="A20" s="12">
        <v>0.35416666666666669</v>
      </c>
      <c r="B20" s="6" t="n">
        <v>118987.59396064948</v>
      </c>
      <c r="C20" s="6" t="n">
        <v>68151.30341952515</v>
      </c>
      <c r="D20" s="6" t="n">
        <v>72409.35951439552</v>
      </c>
      <c r="E20" s="6" t="n">
        <v>3123.818222361088</v>
      </c>
      <c r="F20" s="6">
        <f si="0" t="shared"/>
        <v>90514.228797681091</v>
      </c>
      <c r="H20" s="12">
        <v>0.35416666666666669</v>
      </c>
      <c r="I20" s="9" t="n">
        <v>129405.95882987976</v>
      </c>
      <c r="J20" s="9" t="n">
        <v>58085.86902427673</v>
      </c>
      <c r="K20" s="9" t="n">
        <v>89266.97735309601</v>
      </c>
      <c r="L20" s="9" t="n">
        <v>14840.167620658875</v>
      </c>
      <c r="M20">
        <f si="1" t="shared"/>
        <v>112126.29813957214</v>
      </c>
    </row>
    <row r="21" spans="1:13" x14ac:dyDescent="0.25">
      <c r="A21" s="12">
        <v>0.375</v>
      </c>
      <c r="B21" s="6" t="n">
        <v>100758.74254076356</v>
      </c>
      <c r="C21" s="6" t="n">
        <v>55373.34210611086</v>
      </c>
      <c r="D21" s="6" t="n">
        <v>78766.79419229478</v>
      </c>
      <c r="E21" s="6" t="n">
        <v>4199.751275565433</v>
      </c>
      <c r="F21" s="6">
        <f si="0" t="shared"/>
        <v>74765.26218473156</v>
      </c>
      <c r="H21" s="12">
        <v>0.375</v>
      </c>
      <c r="I21" s="9" t="n">
        <v>110047.24779224396</v>
      </c>
      <c r="J21" s="9" t="n">
        <v>50190.53928279877</v>
      </c>
      <c r="K21" s="9" t="n">
        <v>92006.00883865356</v>
      </c>
      <c r="L21" s="9" t="n">
        <v>21497.229049682617</v>
      </c>
      <c r="M21">
        <f si="1" t="shared"/>
        <v>98620.939701080322</v>
      </c>
    </row>
    <row r="22" spans="1:13" x14ac:dyDescent="0.25">
      <c r="A22" s="12">
        <v>0.39583333333333331</v>
      </c>
      <c r="B22" s="6" t="n">
        <v>80378.51038948688</v>
      </c>
      <c r="C22" s="6" t="n">
        <v>40082.70422667332</v>
      </c>
      <c r="D22" s="6" t="n">
        <v>82070.96731706028</v>
      </c>
      <c r="E22" s="6" t="n">
        <v>5656.597794100188</v>
      </c>
      <c r="F22" s="6">
        <f si="0" t="shared"/>
        <v>60063.60419770622</v>
      </c>
      <c r="H22" s="12">
        <v>0.39583333333333331</v>
      </c>
      <c r="I22" s="9" t="n">
        <v>87220.83551120758</v>
      </c>
      <c r="J22" s="9" t="n">
        <v>40857.05084514618</v>
      </c>
      <c r="K22" s="9" t="n">
        <v>90117.95784854889</v>
      </c>
      <c r="L22" s="9" t="n">
        <v>29636.614386558533</v>
      </c>
      <c r="M22">
        <f si="1" t="shared"/>
        <v>83577.833869934082</v>
      </c>
    </row>
    <row r="23" spans="1:13" x14ac:dyDescent="0.25">
      <c r="A23" s="12">
        <v>0.41666666666666669</v>
      </c>
      <c r="B23" s="6" t="n">
        <v>61700.72383425312</v>
      </c>
      <c r="C23" s="6" t="n">
        <v>26354.60839033823</v>
      </c>
      <c r="D23" s="6" t="n">
        <v>82993.88183333245</v>
      </c>
      <c r="E23" s="6" t="n">
        <v>7680.312447685335</v>
      </c>
      <c r="F23" s="6">
        <f si="0" t="shared"/>
        <v>49437.548217447031</v>
      </c>
      <c r="H23" s="12">
        <v>0.41666666666666669</v>
      </c>
      <c r="I23" s="9" t="n">
        <v>65807.74685764313</v>
      </c>
      <c r="J23" s="9" t="n">
        <v>31895.116599082947</v>
      </c>
      <c r="K23" s="9" t="n">
        <v>85306.67257022858</v>
      </c>
      <c r="L23" s="9" t="n">
        <v>38429.643242836</v>
      </c>
      <c r="M23">
        <f si="1" t="shared"/>
        <v>70855.605136871338</v>
      </c>
    </row>
    <row r="24" spans="1:13" x14ac:dyDescent="0.25">
      <c r="A24" s="12">
        <v>0.4375</v>
      </c>
      <c r="B24" s="6" t="n">
        <v>46805.25058968362</v>
      </c>
      <c r="C24" s="6" t="n">
        <v>16409.483978394892</v>
      </c>
      <c r="D24" s="6" t="n">
        <v>82338.18107296266</v>
      </c>
      <c r="E24" s="6" t="n">
        <v>10280.949799898051</v>
      </c>
      <c r="F24" s="6">
        <f si="0" t="shared"/>
        <v>43302.802210845563</v>
      </c>
      <c r="H24" s="12">
        <v>0.4375</v>
      </c>
      <c r="I24" s="9" t="n">
        <v>48764.682059288025</v>
      </c>
      <c r="J24" s="9" t="n">
        <v>24333.282896995544</v>
      </c>
      <c r="K24" s="9" t="n">
        <v>79513.92668151855</v>
      </c>
      <c r="L24" s="9" t="n">
        <v>46504.069504737854</v>
      </c>
      <c r="M24">
        <f si="1" t="shared"/>
        <v>62042.251419067383</v>
      </c>
    </row>
    <row r="25" spans="1:13" x14ac:dyDescent="0.25">
      <c r="A25" s="12">
        <v>0.45833333333333331</v>
      </c>
      <c r="B25" s="6" t="n">
        <v>36127.2230382595</v>
      </c>
      <c r="C25" s="6" t="n">
        <v>10428.216951864433</v>
      </c>
      <c r="D25" s="6" t="n">
        <v>80770.67533126878</v>
      </c>
      <c r="E25" s="6" t="n">
        <v>13087.763352514838</v>
      </c>
      <c r="F25" s="6">
        <f si="0" t="shared"/>
        <v>40340.668233387638</v>
      </c>
      <c r="H25" s="12">
        <v>0.45833333333333331</v>
      </c>
      <c r="I25" s="9" t="n">
        <v>36830.428915023804</v>
      </c>
      <c r="J25" s="9" t="n">
        <v>18522.3159532547</v>
      </c>
      <c r="K25" s="9" t="n">
        <v>74565.50785064697</v>
      </c>
      <c r="L25" s="9" t="n">
        <v>52323.82649517059</v>
      </c>
      <c r="M25">
        <f si="1" t="shared"/>
        <v>56767.249905586243</v>
      </c>
    </row>
    <row r="26" spans="1:13" x14ac:dyDescent="0.25">
      <c r="A26" s="12">
        <v>0.47916666666666669</v>
      </c>
      <c r="B26" s="6" t="n">
        <v>29101.19083974437</v>
      </c>
      <c r="C26" s="6" t="n">
        <v>7366.301100243378</v>
      </c>
      <c r="D26" s="6" t="n">
        <v>78917.09432187109</v>
      </c>
      <c r="E26" s="6" t="n">
        <v>15360.310330026052</v>
      </c>
      <c r="F26" s="6">
        <f si="0" t="shared"/>
        <v>38816.425242392055</v>
      </c>
      <c r="H26" s="12">
        <v>0.47916666666666669</v>
      </c>
      <c r="I26" s="9" t="n">
        <v>29141.223313331604</v>
      </c>
      <c r="J26" s="9" t="n">
        <v>14334.334636688232</v>
      </c>
      <c r="K26" s="9" t="n">
        <v>71981.54451179504</v>
      </c>
      <c r="L26" s="9" t="n">
        <v>54618.51049900055</v>
      </c>
      <c r="M26">
        <f si="1" t="shared"/>
        <v>53779.856322288513</v>
      </c>
    </row>
    <row r="27" spans="1:13" x14ac:dyDescent="0.25">
      <c r="A27" s="12">
        <v>0.5</v>
      </c>
      <c r="B27" s="6" t="n">
        <v>24750.044083224388</v>
      </c>
      <c r="C27" s="6" t="n">
        <v>5924.211264544201</v>
      </c>
      <c r="D27" s="6" t="n">
        <v>77489.18324642582</v>
      </c>
      <c r="E27" s="6" t="n">
        <v>16314.331287798308</v>
      </c>
      <c r="F27" s="6">
        <f si="0" t="shared"/>
        <v>37539.457648228745</v>
      </c>
      <c r="H27" s="12">
        <v>0.5</v>
      </c>
      <c r="I27" s="9" t="n">
        <v>24221.29708480835</v>
      </c>
      <c r="J27" s="9" t="n">
        <v>11393.87868309021</v>
      </c>
      <c r="K27" s="9" t="n">
        <v>72739.17872047424</v>
      </c>
      <c r="L27" s="9" t="n">
        <v>52777.24867248535</v>
      </c>
      <c r="M27">
        <f si="1" t="shared"/>
        <v>51885.529943466187</v>
      </c>
    </row>
    <row r="28" spans="1:13" x14ac:dyDescent="0.25">
      <c r="A28" s="12">
        <v>0.52083333333333337</v>
      </c>
      <c r="B28" s="6" t="n">
        <v>22063.325550650214</v>
      </c>
      <c r="C28" s="6" t="n">
        <v>5125.140199240971</v>
      </c>
      <c r="D28" s="6" t="n">
        <v>77147.1606531415</v>
      </c>
      <c r="E28" s="6" t="n">
        <v>15572.609922507952</v>
      </c>
      <c r="F28" s="6">
        <f si="0" t="shared"/>
        <v>36147.024944552744</v>
      </c>
      <c r="H28" s="12">
        <v>0.52083333333333337</v>
      </c>
      <c r="I28" s="9" t="n">
        <v>20796.60342502594</v>
      </c>
      <c r="J28" s="9" t="n">
        <v>9297.8850107193</v>
      </c>
      <c r="K28" s="9" t="n">
        <v>76985.08425617218</v>
      </c>
      <c r="L28" s="9" t="n">
        <v>47174.93461418152</v>
      </c>
      <c r="M28">
        <f si="1" t="shared"/>
        <v>50359.581218719482</v>
      </c>
    </row>
    <row r="29" spans="1:13" x14ac:dyDescent="0.25">
      <c r="A29" s="12">
        <v>0.54166666666666663</v>
      </c>
      <c r="B29" s="6" t="n">
        <v>20228.866497277166</v>
      </c>
      <c r="C29" s="6" t="n">
        <v>4461.3347456151005</v>
      </c>
      <c r="D29" s="6" t="n">
        <v>78181.27222420558</v>
      </c>
      <c r="E29" s="6" t="n">
        <v>13393.502457583141</v>
      </c>
      <c r="F29" s="6">
        <f si="0" t="shared"/>
        <v>34816.081966417332</v>
      </c>
      <c r="H29" s="12">
        <v>0.54166666666666663</v>
      </c>
      <c r="I29" s="9" t="n">
        <v>18135.779010772705</v>
      </c>
      <c r="J29" s="9" t="n">
        <v>7747.608680725098</v>
      </c>
      <c r="K29" s="9" t="n">
        <v>83960.34849071503</v>
      </c>
      <c r="L29" s="9" t="n">
        <v>39200.313442230225</v>
      </c>
      <c r="M29">
        <f si="1" t="shared"/>
        <v>48944.135120391846</v>
      </c>
    </row>
    <row r="30" spans="1:13" x14ac:dyDescent="0.25">
      <c r="A30" s="12">
        <v>0.5625</v>
      </c>
      <c r="B30" s="6" t="n">
        <v>18733.023431750964</v>
      </c>
      <c r="C30" s="6" t="n">
        <v>3803.3588712884903</v>
      </c>
      <c r="D30" s="6" t="n">
        <v>80330.6802795476</v>
      </c>
      <c r="E30" s="6" t="n">
        <v>10503.758683445169</v>
      </c>
      <c r="F30" s="6">
        <f si="0" t="shared"/>
        <v>33771.318453075008</v>
      </c>
      <c r="H30" s="12">
        <v>0.5625</v>
      </c>
      <c r="I30" s="9" t="n">
        <v>15967.911049842834</v>
      </c>
      <c r="J30" s="9" t="n">
        <v>6563.768888473511</v>
      </c>
      <c r="K30" s="9" t="n">
        <v>92325.7447347641</v>
      </c>
      <c r="L30" s="9" t="n">
        <v>30744.421577453613</v>
      </c>
      <c r="M30">
        <f si="1" t="shared"/>
        <v>47657.727692604065</v>
      </c>
    </row>
    <row r="31" spans="1:13" x14ac:dyDescent="0.25">
      <c r="A31" s="12">
        <v>0.58333333333333337</v>
      </c>
      <c r="B31" s="6" t="n">
        <v>17316.035504713727</v>
      </c>
      <c r="C31" s="6" t="n">
        <v>3225.908866633987</v>
      </c>
      <c r="D31" s="6" t="n">
        <v>82940.19617726727</v>
      </c>
      <c r="E31" s="6" t="n">
        <v>7690.594538296986</v>
      </c>
      <c r="F31" s="6">
        <f si="0" t="shared"/>
        <v>32991.763671892222</v>
      </c>
      <c r="H31" s="12">
        <v>0.58333333333333337</v>
      </c>
      <c r="I31" s="9" t="n">
        <v>14231.447910308838</v>
      </c>
      <c r="J31" s="9" t="n">
        <v>5637.028811454773</v>
      </c>
      <c r="K31" s="9" t="n">
        <v>100689.70775127411</v>
      </c>
      <c r="L31" s="9" t="n">
        <v>23360.78373527527</v>
      </c>
      <c r="M31">
        <f si="1" t="shared"/>
        <v>46586.429838180542</v>
      </c>
    </row>
    <row r="32" spans="1:13" x14ac:dyDescent="0.25">
      <c r="A32" s="12">
        <v>0.60416666666666663</v>
      </c>
      <c r="B32" s="6" t="n">
        <v>15859.141643105982</v>
      </c>
      <c r="C32" s="6" t="n">
        <v>2833.5301880774496</v>
      </c>
      <c r="D32" s="6" t="n">
        <v>85393.54922036486</v>
      </c>
      <c r="E32" s="6" t="n">
        <v>5455.571284587193</v>
      </c>
      <c r="F32" s="6">
        <f si="0" t="shared"/>
        <v>32290.326991432801</v>
      </c>
      <c r="H32" s="12">
        <v>0.60416666666666663</v>
      </c>
      <c r="I32" s="9" t="n">
        <v>12883.178489685059</v>
      </c>
      <c r="J32" s="9" t="n">
        <v>4885.791527748108</v>
      </c>
      <c r="K32" s="9" t="n">
        <v>107918.51784515381</v>
      </c>
      <c r="L32" s="9" t="n">
        <v>17706.083980560303</v>
      </c>
      <c r="M32">
        <f si="1" t="shared"/>
        <v>45761.536952972412</v>
      </c>
    </row>
    <row r="33" spans="1:13" x14ac:dyDescent="0.25">
      <c r="A33" s="12">
        <v>0.625</v>
      </c>
      <c r="B33" s="6" t="n">
        <v>14315.321012387943</v>
      </c>
      <c r="C33" s="6" t="n">
        <v>2654.8026316750525</v>
      </c>
      <c r="D33" s="6" t="n">
        <v>87577.18949663172</v>
      </c>
      <c r="E33" s="6" t="n">
        <v>3911.75230532608</v>
      </c>
      <c r="F33" s="6">
        <f si="0" t="shared"/>
        <v>31606.302619408118</v>
      </c>
      <c r="H33" s="12">
        <v>0.625</v>
      </c>
      <c r="I33" s="9" t="n">
        <v>11840.657932281494</v>
      </c>
      <c r="J33" s="9" t="n">
        <v>4250.495441436768</v>
      </c>
      <c r="K33" s="9" t="n">
        <v>113064.2428779602</v>
      </c>
      <c r="L33" s="9" t="n">
        <v>13628.67612361908</v>
      </c>
      <c r="M33">
        <f si="1" t="shared"/>
        <v>45154.651792526245</v>
      </c>
    </row>
    <row r="34" spans="1:13" x14ac:dyDescent="0.25">
      <c r="A34" s="12">
        <v>0.64583333333333337</v>
      </c>
      <c r="B34" s="6" t="n">
        <v>12697.110620123576</v>
      </c>
      <c r="C34" s="6" t="n">
        <v>2637.218650190735</v>
      </c>
      <c r="D34" s="6" t="n">
        <v>90061.9785503087</v>
      </c>
      <c r="E34" s="6" t="n">
        <v>2900.456013764191</v>
      </c>
      <c r="F34" s="6">
        <f si="0" t="shared"/>
        <v>31184.033347699227</v>
      </c>
      <c r="H34" s="12">
        <v>0.64583333333333337</v>
      </c>
      <c r="I34" s="9" t="n">
        <v>11005.464791297913</v>
      </c>
      <c r="J34" s="9" t="n">
        <v>3705.5902576446533</v>
      </c>
      <c r="K34" s="9" t="n">
        <v>115196.07128620148</v>
      </c>
      <c r="L34" s="9" t="n">
        <v>10664.58669757843</v>
      </c>
      <c r="M34">
        <f si="1" t="shared"/>
        <v>44732.153798103333</v>
      </c>
    </row>
    <row r="35" spans="1:13" x14ac:dyDescent="0.25">
      <c r="A35" s="12">
        <v>0.66666666666666663</v>
      </c>
      <c r="B35" s="6" t="n">
        <v>11056.455014848234</v>
      </c>
      <c r="C35" s="6" t="n">
        <v>2699.9309055003164</v>
      </c>
      <c r="D35" s="6" t="n">
        <v>93769.10644903936</v>
      </c>
      <c r="E35" s="6" t="n">
        <v>2189.741399039078</v>
      </c>
      <c r="F35" s="6">
        <f si="0" t="shared"/>
        <v>31437.961293063821</v>
      </c>
      <c r="H35" s="12">
        <v>0.66666666666666663</v>
      </c>
      <c r="I35" s="9" t="n">
        <v>10291.68383693695</v>
      </c>
      <c r="J35" s="9" t="n">
        <v>3257.5041179656982</v>
      </c>
      <c r="K35" s="9" t="n">
        <v>113514.49353313446</v>
      </c>
      <c r="L35" s="9" t="n">
        <v>8444.638731002808</v>
      </c>
      <c r="M35">
        <f si="1" t="shared"/>
        <v>44476.877161026001</v>
      </c>
    </row>
    <row r="36" spans="1:13" x14ac:dyDescent="0.25">
      <c r="A36" s="12">
        <v>0.6875</v>
      </c>
      <c r="B36" s="6" t="n">
        <v>9439.91819735346</v>
      </c>
      <c r="C36" s="6" t="n">
        <v>2770.862996370697</v>
      </c>
      <c r="D36" s="6" t="n">
        <v>99175.31988376466</v>
      </c>
      <c r="E36" s="6" t="n">
        <v>1620.86701056509</v>
      </c>
      <c r="F36" s="6">
        <f si="0" t="shared"/>
        <v>32581.567575754038</v>
      </c>
      <c r="H36" s="12">
        <v>0.6875</v>
      </c>
      <c r="I36" s="9" t="n">
        <v>9627.44737815857</v>
      </c>
      <c r="J36" s="9" t="n">
        <v>2918.209708213806</v>
      </c>
      <c r="K36" s="9" t="n">
        <v>107739.7957277298</v>
      </c>
      <c r="L36" s="9" t="n">
        <v>6782.240121841431</v>
      </c>
      <c r="M36">
        <f si="1" t="shared"/>
        <v>44332.642558097839</v>
      </c>
    </row>
    <row r="37" spans="1:13" x14ac:dyDescent="0.25">
      <c r="A37" s="12">
        <v>0.70833333333333337</v>
      </c>
      <c r="B37" s="6" t="n">
        <v>7869.573614071846</v>
      </c>
      <c r="C37" s="6" t="n">
        <v>2784.9976515917774</v>
      </c>
      <c r="D37" s="6" t="n">
        <v>105510.22168208686</v>
      </c>
      <c r="E37" s="6" t="n">
        <v>1144.259086584568</v>
      </c>
      <c r="F37" s="6">
        <f si="0" t="shared"/>
        <v>34288.109394222934</v>
      </c>
      <c r="H37" s="12">
        <v>0.70833333333333337</v>
      </c>
      <c r="I37" s="9" t="n">
        <v>8941.1350107193</v>
      </c>
      <c r="J37" s="9" t="n">
        <v>2673.11993598938</v>
      </c>
      <c r="K37" s="9" t="n">
        <v>98375.95795059204</v>
      </c>
      <c r="L37" s="9" t="n">
        <v>5563.276197433472</v>
      </c>
      <c r="M37">
        <f si="1" t="shared"/>
        <v>44110.359686851501</v>
      </c>
    </row>
    <row r="38" spans="1:13" x14ac:dyDescent="0.25">
      <c r="A38" s="12">
        <v>0.72916666666666663</v>
      </c>
      <c r="B38" s="6" t="n">
        <v>6369.353642862607</v>
      </c>
      <c r="C38" s="6" t="n">
        <v>2679.6113883338926</v>
      </c>
      <c r="D38" s="6" t="n">
        <v>110579.71350283318</v>
      </c>
      <c r="E38" s="6" t="n">
        <v>773.1492690246582</v>
      </c>
      <c r="F38" s="6">
        <f si="0" t="shared"/>
        <v>35649.01639152912</v>
      </c>
      <c r="H38" s="12">
        <v>0.72916666666666663</v>
      </c>
      <c r="I38" s="9" t="n">
        <v>8159.235168457031</v>
      </c>
      <c r="J38" s="9" t="n">
        <v>2472.117406845093</v>
      </c>
      <c r="K38" s="9" t="n">
        <v>86559.07904529572</v>
      </c>
      <c r="L38" s="9" t="n">
        <v>4649.856464385986</v>
      </c>
      <c r="M38">
        <f si="1" t="shared"/>
        <v>43456.178909301758</v>
      </c>
    </row>
    <row r="39" spans="1:13" x14ac:dyDescent="0.25">
      <c r="A39" s="12">
        <v>0.75</v>
      </c>
      <c r="B39" s="6" t="n">
        <v>4990.3336440635685</v>
      </c>
      <c r="C39" s="6" t="n">
        <v>2415.809527771854</v>
      </c>
      <c r="D39" s="6" t="n">
        <v>111547.25445701665</v>
      </c>
      <c r="E39" s="6" t="n">
        <v>522.7441749420166</v>
      </c>
      <c r="F39" s="6">
        <f si="0" t="shared"/>
        <v>35529.463052127765</v>
      </c>
      <c r="H39" s="12">
        <v>0.75</v>
      </c>
      <c r="I39" s="9" t="n">
        <v>7231.7025327682495</v>
      </c>
      <c r="J39" s="9" t="n">
        <v>2254.805067062378</v>
      </c>
      <c r="K39" s="9" t="n">
        <v>73658.63618564606</v>
      </c>
      <c r="L39" s="9" t="n">
        <v>3890.3673248291016</v>
      </c>
      <c r="M39">
        <f si="1" t="shared"/>
        <v>41968.054235458374</v>
      </c>
    </row>
    <row r="40" spans="1:13" x14ac:dyDescent="0.25">
      <c r="A40" s="12">
        <v>0.77083333333333337</v>
      </c>
      <c r="B40" s="6" t="n">
        <v>3795.891576361085</v>
      </c>
      <c r="C40" s="6" t="n">
        <v>2007.7625543094634</v>
      </c>
      <c r="D40" s="6" t="n">
        <v>106335.53628590298</v>
      </c>
      <c r="E40" s="6" t="n">
        <v>380.19999880161276</v>
      </c>
      <c r="F40" s="6">
        <f si="0" t="shared"/>
        <v>33160.116554453278</v>
      </c>
      <c r="H40" s="12">
        <v>0.77083333333333337</v>
      </c>
      <c r="I40" s="9" t="n">
        <v>6171.049876213074</v>
      </c>
      <c r="J40" s="9" t="n">
        <v>1990.3062343597412</v>
      </c>
      <c r="K40" s="9" t="n">
        <v>60985.61264705658</v>
      </c>
      <c r="L40" s="9" t="n">
        <v>3193.420069694519</v>
      </c>
      <c r="M40">
        <f si="1" t="shared"/>
        <v>39423.954124450684</v>
      </c>
    </row>
    <row r="41" spans="1:13" x14ac:dyDescent="0.25">
      <c r="A41" s="12">
        <v>0.79166666666666663</v>
      </c>
      <c r="B41" s="6" t="n">
        <v>2828.241523180676</v>
      </c>
      <c r="C41" s="6" t="n">
        <v>1524.1192653171538</v>
      </c>
      <c r="D41" s="6" t="n">
        <v>94778.63960503407</v>
      </c>
      <c r="E41" s="6" t="n">
        <v>308.05781064252847</v>
      </c>
      <c r="F41" s="6">
        <f si="0" t="shared"/>
        <v>28593.085463522413</v>
      </c>
      <c r="H41" s="12">
        <v>0.79166666666666663</v>
      </c>
      <c r="I41" s="9" t="n">
        <v>5066.087737083435</v>
      </c>
      <c r="J41" s="9" t="n">
        <v>1696.1996612548828</v>
      </c>
      <c r="K41" s="9" t="n">
        <v>49662.12788772583</v>
      </c>
      <c r="L41" s="9" t="n">
        <v>2571.9123678207397</v>
      </c>
      <c r="M41">
        <f si="1" t="shared"/>
        <v>35939.16445350647</v>
      </c>
    </row>
    <row r="42" spans="1:13" x14ac:dyDescent="0.25">
      <c r="A42" s="12">
        <v>0.8125</v>
      </c>
      <c r="B42" s="6" t="n">
        <v>2096.7473473832133</v>
      </c>
      <c r="C42" s="6" t="n">
        <v>1056.1285799227712</v>
      </c>
      <c r="D42" s="6" t="n">
        <v>78754.3343469467</v>
      </c>
      <c r="E42" s="6" t="n">
        <v>263.5558721409798</v>
      </c>
      <c r="F42" s="6">
        <f si="0" t="shared"/>
        <v>22693.967681640417</v>
      </c>
      <c r="H42" s="12">
        <v>0.8125</v>
      </c>
      <c r="I42" s="9" t="n">
        <v>4043.5199699401855</v>
      </c>
      <c r="J42" s="9" t="n">
        <v>1418.3383159637451</v>
      </c>
      <c r="K42" s="9" t="n">
        <v>40437.56563282013</v>
      </c>
      <c r="L42" s="9" t="n">
        <v>2101.798656463623</v>
      </c>
      <c r="M42">
        <f si="1" t="shared"/>
        <v>31886.200516700745</v>
      </c>
    </row>
    <row r="43" spans="1:13" x14ac:dyDescent="0.25">
      <c r="A43" s="12">
        <v>0.83333333333333337</v>
      </c>
      <c r="B43" s="6" t="n">
        <v>1588.6984074530603</v>
      </c>
      <c r="C43" s="6" t="n">
        <v>678.6422780216217</v>
      </c>
      <c r="D43" s="6" t="n">
        <v>61244.33943259096</v>
      </c>
      <c r="E43" s="6" t="n">
        <v>217.58505641403195</v>
      </c>
      <c r="F43" s="6">
        <f si="0" t="shared"/>
        <v>16673.683120540976</v>
      </c>
      <c r="H43" s="12">
        <v>0.83333333333333337</v>
      </c>
      <c r="I43" s="9" t="n">
        <v>3199.12340259552</v>
      </c>
      <c r="J43" s="9" t="n">
        <v>1189.7499408721924</v>
      </c>
      <c r="K43" s="9" t="n">
        <v>33425.57325077057</v>
      </c>
      <c r="L43" s="9" t="n">
        <v>1826.1193857192993</v>
      </c>
      <c r="M43">
        <f si="1" t="shared"/>
        <v>27630.497508049011</v>
      </c>
    </row>
    <row r="44" spans="1:13" x14ac:dyDescent="0.25">
      <c r="A44" s="12">
        <v>0.85416666666666663</v>
      </c>
      <c r="B44" s="6" t="n">
        <v>1273.6133950696947</v>
      </c>
      <c r="C44" s="6" t="n">
        <v>431.22381461296084</v>
      </c>
      <c r="D44" s="6" t="n">
        <v>45006.05134257441</v>
      </c>
      <c r="E44" s="6" t="n">
        <v>162.70560316438673</v>
      </c>
      <c r="F44" s="6">
        <f si="0" t="shared"/>
        <v>11505.704366266162</v>
      </c>
      <c r="H44" s="12">
        <v>0.85416666666666663</v>
      </c>
      <c r="I44" s="9" t="n">
        <v>2553.1696424484253</v>
      </c>
      <c r="J44" s="9" t="n">
        <v>1006.0641040802002</v>
      </c>
      <c r="K44" s="9" t="n">
        <v>28056.290595054626</v>
      </c>
      <c r="L44" s="9" t="n">
        <v>1691.4976196289062</v>
      </c>
      <c r="M44">
        <f si="1" t="shared"/>
        <v>23331.055906295776</v>
      </c>
    </row>
    <row r="45" spans="1:13" x14ac:dyDescent="0.25">
      <c r="A45" s="12">
        <v>0.875</v>
      </c>
      <c r="B45" s="6" t="n">
        <v>1094.1806908788683</v>
      </c>
      <c r="C45" s="6" t="n">
        <v>325.51866207532885</v>
      </c>
      <c r="D45" s="6" t="n">
        <v>31674.146906481743</v>
      </c>
      <c r="E45" s="6" t="n">
        <v>107.13721993808747</v>
      </c>
      <c r="F45" s="6">
        <f si="0" t="shared"/>
        <v>7609.0113919437163</v>
      </c>
      <c r="H45" s="12">
        <v>0.875</v>
      </c>
      <c r="I45" s="9" t="n">
        <v>2061.654885292053</v>
      </c>
      <c r="J45" s="9" t="n">
        <v>836.8869524002075</v>
      </c>
      <c r="K45" s="9" t="n">
        <v>23443.10729598999</v>
      </c>
      <c r="L45" s="9" t="n">
        <v>1575.1776218414307</v>
      </c>
      <c r="M45">
        <f si="1" t="shared"/>
        <v>18987.865099906921</v>
      </c>
    </row>
    <row r="46" spans="1:13" x14ac:dyDescent="0.25">
      <c r="A46" s="12">
        <v>0.89583333333333337</v>
      </c>
      <c r="B46" s="6" t="n">
        <v>969.9677868536951</v>
      </c>
      <c r="C46" s="6" t="n">
        <v>361.21230010786053</v>
      </c>
      <c r="D46" s="6" t="n">
        <v>21635.61650323849</v>
      </c>
      <c r="E46" s="6" t="n">
        <v>61.79895750112533</v>
      </c>
      <c r="F46" s="6">
        <f si="0" t="shared"/>
        <v>4908.5956656084945</v>
      </c>
      <c r="H46" s="12">
        <v>0.89583333333333337</v>
      </c>
      <c r="I46" s="9" t="n">
        <v>1662.6966171264648</v>
      </c>
      <c r="J46" s="9" t="n">
        <v>657.5569877624512</v>
      </c>
      <c r="K46" s="9" t="n">
        <v>18935.588329315186</v>
      </c>
      <c r="L46" s="9" t="n">
        <v>1374.0678300857544</v>
      </c>
      <c r="M46">
        <f si="1" t="shared"/>
        <v>14653.539383888245</v>
      </c>
    </row>
    <row r="47" spans="1:13" x14ac:dyDescent="0.25">
      <c r="A47" s="12">
        <v>0.91666666666666663</v>
      </c>
      <c r="B47" s="6" t="n">
        <v>829.5903537068369</v>
      </c>
      <c r="C47" s="6" t="n">
        <v>524.2595032867432</v>
      </c>
      <c r="D47" s="6" t="n">
        <v>14458.348196579649</v>
      </c>
      <c r="E47" s="6" t="n">
        <v>31.446232310962678</v>
      </c>
      <c r="F47" s="6">
        <f si="0" t="shared"/>
        <v>3102.417113077317</v>
      </c>
      <c r="H47" s="12">
        <v>0.91666666666666663</v>
      </c>
      <c r="I47" s="9" t="n">
        <v>1314.356333732605</v>
      </c>
      <c r="J47" s="9" t="n">
        <v>470.1567039489746</v>
      </c>
      <c r="K47" s="9" t="n">
        <v>14425.131731987</v>
      </c>
      <c r="L47" s="9" t="n">
        <v>1072.3446531295776</v>
      </c>
      <c r="M47">
        <f si="1" t="shared"/>
        <v>10564.809492111206</v>
      </c>
    </row>
    <row r="48" spans="1:13" x14ac:dyDescent="0.25">
      <c r="A48" s="12">
        <v>0.9375</v>
      </c>
      <c r="B48" s="6" t="n">
        <v>646.8319697671891</v>
      </c>
      <c r="C48" s="6" t="n">
        <v>763.384438154316</v>
      </c>
      <c r="D48" s="6" t="n">
        <v>9436.050221878912</v>
      </c>
      <c r="E48" s="6" t="n">
        <v>14.241226558589936</v>
      </c>
      <c r="F48" s="6">
        <f si="0" t="shared"/>
        <v>1896.7727970499964</v>
      </c>
      <c r="H48" s="12">
        <v>0.9375</v>
      </c>
      <c r="I48" s="9" t="n">
        <v>1002.2213220596313</v>
      </c>
      <c r="J48" s="9" t="n">
        <v>298.22487449645996</v>
      </c>
      <c r="K48" s="9" t="n">
        <v>10222.13836479187</v>
      </c>
      <c r="L48" s="9" t="n">
        <v>733.6625814437866</v>
      </c>
      <c r="M48">
        <f si="1" t="shared"/>
        <v>7058.8109359741211</v>
      </c>
    </row>
    <row r="49" spans="1:13" x14ac:dyDescent="0.25">
      <c r="A49" s="12">
        <v>0.95833333333333337</v>
      </c>
      <c r="B49" s="6" t="n">
        <v>444.81960603866594</v>
      </c>
      <c r="C49" s="6" t="n">
        <v>978.9868574972153</v>
      </c>
      <c r="D49" s="6" t="n">
        <v>5945.411337724399</v>
      </c>
      <c r="E49" s="6" t="n">
        <v>5.730235051727296</v>
      </c>
      <c r="F49" s="6">
        <f si="0" t="shared"/>
        <v>1097.0546369081565</v>
      </c>
      <c r="H49" s="12">
        <v>0.95833333333333337</v>
      </c>
      <c r="I49" s="9" t="n">
        <v>727.4786186218262</v>
      </c>
      <c r="J49" s="9" t="n">
        <v>165.63202285766602</v>
      </c>
      <c r="K49" s="9" t="n">
        <v>6706.831596374512</v>
      </c>
      <c r="L49" s="9" t="n">
        <v>439.1505317687988</v>
      </c>
      <c r="M49">
        <f si="1" t="shared"/>
        <v>4373.7898292541504</v>
      </c>
    </row>
    <row r="50" spans="1:13" x14ac:dyDescent="0.25">
      <c r="A50" s="12">
        <v>0.97916666666666663</v>
      </c>
      <c r="B50" s="6" t="n">
        <v>265.83997453384404</v>
      </c>
      <c r="C50" s="6" t="n">
        <v>1061.004134597206</v>
      </c>
      <c r="D50" s="6" t="n">
        <v>3554.211314690304</v>
      </c>
      <c r="E50" s="6" t="n">
        <v>2.0040964210510257</v>
      </c>
      <c r="F50" s="6">
        <f si="0" t="shared"/>
        <v>587.90078924782756</v>
      </c>
      <c r="H50" s="12">
        <v>0.97916666666666663</v>
      </c>
      <c r="I50" s="9" t="n">
        <v>495.18752002716064</v>
      </c>
      <c r="J50" s="9" t="n">
        <v>80.52599239349365</v>
      </c>
      <c r="K50" s="9" t="n">
        <v>4069.9501934051514</v>
      </c>
      <c r="L50" s="9" t="n">
        <v>232.98136138916016</v>
      </c>
      <c r="M50">
        <f si="1" t="shared"/>
        <v>2530.2954721450806</v>
      </c>
    </row>
    <row r="51" spans="1:13" x14ac:dyDescent="0.25">
      <c r="A51" s="12">
        <v>1</v>
      </c>
      <c r="B51" s="6" t="n">
        <v>137.58984954748155</v>
      </c>
      <c r="C51" s="6" t="n">
        <v>958.7297312376022</v>
      </c>
      <c r="D51" s="6" t="n">
        <v>1977.7472353649139</v>
      </c>
      <c r="E51" s="6" t="n">
        <v>0.5836620984077454</v>
      </c>
      <c r="F51" s="6">
        <f si="0" t="shared"/>
        <v>287.87358586672786</v>
      </c>
      <c r="H51" s="12">
        <v>1</v>
      </c>
      <c r="I51" s="9" t="n">
        <v>309.9069471359253</v>
      </c>
      <c r="J51" s="9" t="n">
        <v>34.826945304870605</v>
      </c>
      <c r="K51" s="9" t="n">
        <v>2275.1797552108765</v>
      </c>
      <c r="L51" s="9" t="n">
        <v>112.44490051269531</v>
      </c>
      <c r="M51">
        <f si="1" t="shared"/>
        <v>1373.2539758682251</v>
      </c>
    </row>
    <row r="52" spans="1:13" x14ac:dyDescent="0.25">
      <c r="A52" s="12">
        <v>1.0208333333333333</v>
      </c>
      <c r="B52" s="6" t="n">
        <v>61.88483380594255</v>
      </c>
      <c r="C52" s="6" t="n">
        <v>717.1521973724366</v>
      </c>
      <c r="D52" s="6" t="n">
        <v>1004.9080738936425</v>
      </c>
      <c r="E52" s="6" t="n">
        <v>0.13332114944458012</v>
      </c>
      <c r="F52" s="6">
        <f si="0" t="shared"/>
        <v>127.69951006978798</v>
      </c>
      <c r="H52" s="12">
        <v>1.0208333333333333</v>
      </c>
      <c r="I52" s="9" t="n">
        <v>174.10803508758545</v>
      </c>
      <c r="J52" s="9" t="n">
        <v>13.863615036010742</v>
      </c>
      <c r="K52" s="9" t="n">
        <v>1157.8350267410278</v>
      </c>
      <c r="L52" s="9" t="n">
        <v>50.81661510467529</v>
      </c>
      <c r="M52">
        <f si="1" t="shared"/>
        <v>694.20995807647705</v>
      </c>
    </row>
    <row r="53" spans="1:13" x14ac:dyDescent="0.25">
      <c r="A53" s="12">
        <v>4.1666666666666664E-2</v>
      </c>
      <c r="B53" s="6" t="n">
        <v>24.354776886558533</v>
      </c>
      <c r="C53" s="6" t="n">
        <v>440.7656204433442</v>
      </c>
      <c r="D53" s="6" t="n">
        <v>457.0690111968994</v>
      </c>
      <c r="E53" s="6" t="n">
        <v>0.02203979778289795</v>
      </c>
      <c r="F53" s="6">
        <f si="0" t="shared"/>
        <v>50.84493410171509</v>
      </c>
      <c r="H53" s="12">
        <v>4.1666666666666664E-2</v>
      </c>
      <c r="I53" s="9" t="n">
        <v>85.56530380249023</v>
      </c>
      <c r="J53" s="9" t="n">
        <v>5.26826286315918</v>
      </c>
      <c r="K53" s="9" t="n">
        <v>525.3828182220459</v>
      </c>
      <c r="L53" s="9" t="n">
        <v>21.694270133972168</v>
      </c>
      <c r="M53">
        <f si="1" t="shared"/>
        <v>319.35273170471191</v>
      </c>
    </row>
    <row r="54" spans="1:13" x14ac:dyDescent="0.25">
      <c r="A54" s="12">
        <v>6.25E-2</v>
      </c>
      <c r="B54" s="6" t="n">
        <v>8.425210500717164</v>
      </c>
      <c r="C54" s="6" t="n">
        <v>220.22946655082706</v>
      </c>
      <c r="D54" s="6" t="n">
        <v>182.0789449183464</v>
      </c>
      <c r="E54" s="6" t="n">
        <v>0.002319978713989258</v>
      </c>
      <c r="F54" s="6">
        <f si="0" t="shared"/>
        <v>17.869325203497887</v>
      </c>
      <c r="H54" s="12">
        <v>6.25E-2</v>
      </c>
      <c r="I54" s="9" t="n">
        <v>35.818583488464355</v>
      </c>
      <c r="J54" s="9" t="n">
        <v>1.9150094985961914</v>
      </c>
      <c r="K54" s="9" t="n">
        <v>206.81364727020264</v>
      </c>
      <c r="L54" s="9" t="n">
        <v>8.512272834777832</v>
      </c>
      <c r="M54">
        <f si="1" t="shared"/>
        <v>129.1054573059082</v>
      </c>
    </row>
    <row r="55" spans="1:13" x14ac:dyDescent="0.25">
      <c r="A55" s="12">
        <v>8.3333333333333329E-2</v>
      </c>
      <c r="B55" s="6" t="n">
        <v>2.5459805004119875</v>
      </c>
      <c r="C55" s="6" t="n">
        <v>88.05272402105332</v>
      </c>
      <c r="D55" s="6" t="n">
        <v>61.96903830509186</v>
      </c>
      <c r="E55" s="6" t="n">
        <v>1.159989356994629E-4</v>
      </c>
      <c r="F55" s="6">
        <f si="0" t="shared"/>
        <v>5.387855582794189</v>
      </c>
      <c r="H55" s="12">
        <v>8.3333333333333329E-2</v>
      </c>
      <c r="I55" s="9" t="n">
        <v>12.41627025604248</v>
      </c>
      <c r="J55" s="9" t="n">
        <v>0.6333818435668945</v>
      </c>
      <c r="K55" s="9" t="n">
        <v>68.40313339233398</v>
      </c>
      <c r="L55" s="9" t="n">
        <v>2.9104576110839844</v>
      </c>
      <c r="M55">
        <f si="1" t="shared"/>
        <v>44.089827537536621</v>
      </c>
    </row>
    <row r="56" spans="1:13" x14ac:dyDescent="0.25">
      <c r="A56" s="12">
        <v>0.10416666666666667</v>
      </c>
      <c r="B56" s="6" t="n">
        <v>0.6549763339996338</v>
      </c>
      <c r="C56" s="6" t="n">
        <v>27.502055963706972</v>
      </c>
      <c r="D56" s="6" t="n">
        <v>17.500021663856508</v>
      </c>
      <c r="E56" s="6" t="n">
        <v>0.0</v>
      </c>
      <c r="F56" s="6">
        <f si="0" t="shared"/>
        <v>1.3374768655033111</v>
      </c>
      <c r="G56" s="5"/>
      <c r="H56" s="12">
        <v>0.10416666666666667</v>
      </c>
      <c r="I56" s="9" t="n">
        <v>3.448324203491211</v>
      </c>
      <c r="J56" s="9" t="n">
        <v>0.1766185760498047</v>
      </c>
      <c r="K56" s="9" t="n">
        <v>18.317855834960938</v>
      </c>
      <c r="L56" s="9" t="n">
        <v>0.8169870376586914</v>
      </c>
      <c r="M56">
        <f si="1" t="shared"/>
        <v>12.193141937255859</v>
      </c>
    </row>
    <row r="57" spans="1:13" x14ac:dyDescent="0.25">
      <c r="A57" s="12">
        <v>0.125</v>
      </c>
      <c r="B57" s="6" t="n">
        <v>0.13438578424453737</v>
      </c>
      <c r="C57" s="6" t="n">
        <v>6.3573450231552115</v>
      </c>
      <c r="D57" s="6" t="n">
        <v>3.8794594927787784</v>
      </c>
      <c r="E57" s="6" t="n">
        <v>0.0</v>
      </c>
      <c r="F57" s="6">
        <f si="0" t="shared"/>
        <v>0.2556092297887802</v>
      </c>
      <c r="G57" s="5"/>
      <c r="H57" s="12">
        <v>0.125</v>
      </c>
      <c r="I57" s="9" t="n">
        <v>0.7240781784057617</v>
      </c>
      <c r="J57" s="9" t="n">
        <v>0.03787422180175781</v>
      </c>
      <c r="K57" s="9" t="n">
        <v>3.7384586334228516</v>
      </c>
      <c r="L57" s="9" t="n">
        <v>0.17459678649902344</v>
      </c>
      <c r="M57">
        <f si="1" t="shared"/>
        <v>2.5618820190429687</v>
      </c>
    </row>
    <row r="58" spans="1:13" x14ac:dyDescent="0.25">
      <c r="A58" s="21" t="s">
        <v>34</v>
      </c>
      <c r="B58" s="22" t="n">
        <v>0.0</v>
      </c>
      <c r="C58" s="22" t="n">
        <v>0.0</v>
      </c>
      <c r="D58" s="22" t="n">
        <v>0.0</v>
      </c>
      <c r="E58" s="22" t="n">
        <v>0.0</v>
      </c>
      <c r="F58" s="22">
        <f si="0" t="shared"/>
        <v>0</v>
      </c>
      <c r="G58" s="5"/>
      <c r="H58" s="21" t="s">
        <v>34</v>
      </c>
      <c r="I58" s="24" t="n">
        <v>0.0</v>
      </c>
      <c r="J58" s="24" t="n">
        <v>0.0</v>
      </c>
      <c r="K58" s="24" t="n">
        <v>0.0</v>
      </c>
      <c r="L58" s="24" t="n">
        <v>0.0</v>
      </c>
      <c r="M58" s="23">
        <f si="1" t="shared"/>
        <v>0</v>
      </c>
    </row>
    <row ht="15.75" r="59" spans="1:13" thickBot="1" x14ac:dyDescent="0.3">
      <c r="A59" s="25"/>
      <c r="B59" s="26">
        <f>SUM(B8:B58)</f>
        <v>550224.68494332302</v>
      </c>
      <c r="C59" s="26">
        <f>SUM(C8:C58)</f>
        <v>220929.57798527024</v>
      </c>
      <c r="D59" s="26">
        <f>SUM(D8:D58)</f>
        <v>635756.28481515509</v>
      </c>
      <c r="E59" s="26">
        <f>SUM(E8:E58)</f>
        <v>83288.235265446638</v>
      </c>
      <c r="F59" s="26">
        <f>SUM(F8:F58)</f>
        <v>1490198.7830091952</v>
      </c>
      <c r="G59" s="5"/>
      <c r="H59" s="25"/>
      <c r="I59" s="26">
        <f>SUM(I8:I58)</f>
        <v>565675.94102096558</v>
      </c>
      <c r="J59" s="26">
        <f>SUM(J8:J58)</f>
        <v>269489.92155742645</v>
      </c>
      <c r="K59" s="26">
        <f>SUM(K8:K58)</f>
        <v>980213.71187210083</v>
      </c>
      <c r="L59" s="26">
        <f>SUM(L8:L58)</f>
        <v>121640.7764377594</v>
      </c>
      <c r="M59" s="26">
        <f>SUM(M8:M58)</f>
        <v>1937020.3508882523</v>
      </c>
    </row>
    <row r="60" spans="1:13" x14ac:dyDescent="0.25">
      <c r="G60" s="5"/>
    </row>
    <row r="61" spans="1:13" x14ac:dyDescent="0.25">
      <c r="G61" s="5"/>
    </row>
    <row ht="15.75" r="63" spans="1:13" thickBot="1" x14ac:dyDescent="0.3">
      <c r="A63" s="3" t="s">
        <v>47</v>
      </c>
      <c r="B63" s="1"/>
      <c r="C63" s="1"/>
      <c r="D63" s="1"/>
      <c r="E63" s="1"/>
      <c r="F63" s="1"/>
      <c r="H63" s="3" t="s">
        <v>12</v>
      </c>
      <c r="I63" s="1"/>
      <c r="J63" s="1"/>
      <c r="K63" s="1"/>
      <c r="L63" s="1"/>
      <c r="M63" s="1"/>
    </row>
    <row r="64" spans="1:13" x14ac:dyDescent="0.25">
      <c r="A64" s="2" t="s">
        <v>4</v>
      </c>
      <c r="B64" s="4" t="s">
        <v>48</v>
      </c>
      <c r="C64" s="4" t="s">
        <v>48</v>
      </c>
      <c r="D64" s="4" t="s">
        <v>48</v>
      </c>
      <c r="E64" s="4" t="s">
        <v>48</v>
      </c>
      <c r="F64" s="4" t="s">
        <v>48</v>
      </c>
      <c r="H64" s="2" t="s">
        <v>4</v>
      </c>
      <c r="I64" s="4" t="s">
        <v>35</v>
      </c>
      <c r="J64" s="4" t="s">
        <v>35</v>
      </c>
      <c r="K64" s="4" t="s">
        <v>35</v>
      </c>
      <c r="L64" s="4" t="s">
        <v>35</v>
      </c>
      <c r="M64" s="4" t="s">
        <v>35</v>
      </c>
    </row>
    <row r="65" spans="1:13" x14ac:dyDescent="0.25">
      <c r="A65" t="s">
        <v>5</v>
      </c>
      <c r="B65" s="18">
        <f>B8/B$59</f>
        <v>0</v>
      </c>
      <c r="C65" s="18">
        <f ref="C65:F65" si="2" t="shared">C8/C$59</f>
        <v>0</v>
      </c>
      <c r="D65" s="18">
        <f si="2" t="shared"/>
        <v>1.216710963738098E-3</v>
      </c>
      <c r="E65" s="18">
        <f si="2" t="shared"/>
        <v>0</v>
      </c>
      <c r="F65" s="18">
        <f si="2" t="shared"/>
        <v>5.190795018889953E-4</v>
      </c>
      <c r="H65" t="s">
        <v>5</v>
      </c>
      <c r="I65" s="17">
        <f ref="I65:M65" si="3" t="shared">I8/I$59</f>
        <v>1.2763491385136363E-3</v>
      </c>
      <c r="J65" s="17">
        <f si="3" t="shared"/>
        <v>7.4214278160818487E-6</v>
      </c>
      <c r="K65" s="17">
        <f si="3" t="shared"/>
        <v>3.2360290022283278E-3</v>
      </c>
      <c r="L65" s="17">
        <f si="3" t="shared"/>
        <v>3.8638359090094055E-4</v>
      </c>
      <c r="M65" s="18">
        <f si="3" t="shared"/>
        <v>2.0356007091984723E-3</v>
      </c>
    </row>
    <row r="66" spans="1:13" x14ac:dyDescent="0.25">
      <c r="A66" s="12">
        <v>0.125</v>
      </c>
      <c r="B66" s="18">
        <f ref="B66:F66" si="4" t="shared">B9/B$59</f>
        <v>1.6896351213744841E-3</v>
      </c>
      <c r="C66" s="18">
        <f si="4" t="shared"/>
        <v>1.6954026841402918E-4</v>
      </c>
      <c r="D66" s="18">
        <f si="4" t="shared"/>
        <v>9.5737227833616028E-4</v>
      </c>
      <c r="E66" s="18">
        <f si="4" t="shared"/>
        <v>2.855766340246399E-6</v>
      </c>
      <c r="F66" s="18">
        <f si="4" t="shared"/>
        <v>1.0575962917483959E-3</v>
      </c>
      <c r="H66" s="12">
        <v>0.125</v>
      </c>
      <c r="I66" s="17">
        <f ref="I66:M66" si="5" t="shared">I9/I$59</f>
        <v>4.4196987366071742E-3</v>
      </c>
      <c r="J66" s="17">
        <f si="5" t="shared"/>
        <v>1.1591392538276037E-4</v>
      </c>
      <c r="K66" s="17">
        <f si="5" t="shared"/>
        <v>2.6475379242345159E-3</v>
      </c>
      <c r="L66" s="17">
        <f si="5" t="shared"/>
        <v>8.3737935681397276E-4</v>
      </c>
      <c r="M66" s="18">
        <f si="5" t="shared"/>
        <v>2.6991803804707428E-3</v>
      </c>
    </row>
    <row r="67" spans="1:13" x14ac:dyDescent="0.25">
      <c r="A67" s="12">
        <v>0.14583333333333334</v>
      </c>
      <c r="B67" s="18">
        <f ref="B67:F67" si="6" t="shared">B10/B$59</f>
        <v>4.1560772975619484E-3</v>
      </c>
      <c r="C67" s="18">
        <f si="6" t="shared"/>
        <v>8.0250548819477607E-4</v>
      </c>
      <c r="D67" s="18">
        <f si="6" t="shared"/>
        <v>8.7117941089847272E-4</v>
      </c>
      <c r="E67" s="18">
        <f si="6" t="shared"/>
        <v>1.3305236076407171E-5</v>
      </c>
      <c r="F67" s="18">
        <f si="6" t="shared"/>
        <v>2.0259307081873313E-3</v>
      </c>
      <c r="H67" s="12">
        <v>0.14583333333333334</v>
      </c>
      <c r="I67" s="17">
        <f ref="I67:M67" si="7" t="shared">I10/I$59</f>
        <v>7.7827760355029477E-3</v>
      </c>
      <c r="J67" s="17">
        <f si="7" t="shared"/>
        <v>4.9709376437186874E-4</v>
      </c>
      <c r="K67" s="17">
        <f si="7" t="shared"/>
        <v>2.2144179958402282E-3</v>
      </c>
      <c r="L67" s="17">
        <f si="7" t="shared"/>
        <v>1.3367469095325801E-3</v>
      </c>
      <c r="M67" s="18">
        <f si="7" t="shared"/>
        <v>3.5465279078616008E-3</v>
      </c>
    </row>
    <row r="68" spans="1:13" x14ac:dyDescent="0.25">
      <c r="A68" s="12">
        <v>0.16666666666666666</v>
      </c>
      <c r="B68" s="18">
        <f ref="B68:F68" si="8" t="shared">B11/B$59</f>
        <v>8.3294470823676581E-3</v>
      </c>
      <c r="C68" s="18">
        <f si="8" t="shared"/>
        <v>2.9498331146983249E-3</v>
      </c>
      <c r="D68" s="18">
        <f si="8" t="shared"/>
        <v>1.1508265175072768E-3</v>
      </c>
      <c r="E68" s="18">
        <f si="8" t="shared"/>
        <v>4.8236137048193856E-5</v>
      </c>
      <c r="F68" s="18">
        <f si="8" t="shared"/>
        <v>4.0064691662925738E-3</v>
      </c>
      <c r="H68" s="12">
        <v>0.16666666666666666</v>
      </c>
      <c r="I68" s="17">
        <f ref="I68:M68" si="9" t="shared">I11/I$59</f>
        <v>1.2054044162169949E-2</v>
      </c>
      <c r="J68" s="17">
        <f si="9" t="shared"/>
        <v>1.7823516934731619E-3</v>
      </c>
      <c r="K68" s="17">
        <f si="9" t="shared"/>
        <v>2.109452543604931E-3</v>
      </c>
      <c r="L68" s="17">
        <f si="9" t="shared"/>
        <v>1.8788876112973969E-3</v>
      </c>
      <c r="M68" s="18">
        <f si="9" t="shared"/>
        <v>4.9536249032531123E-3</v>
      </c>
    </row>
    <row r="69" spans="1:13" x14ac:dyDescent="0.25">
      <c r="A69" s="12">
        <v>0.1875</v>
      </c>
      <c r="B69" s="18">
        <f ref="B69:F69" si="10" t="shared">B12/B$59</f>
        <v>1.5340057143188346E-2</v>
      </c>
      <c r="C69" s="18">
        <f si="10" t="shared"/>
        <v>8.7725225044008714E-3</v>
      </c>
      <c r="D69" s="18">
        <f si="10" t="shared"/>
        <v>2.0417967878119808E-3</v>
      </c>
      <c r="E69" s="18">
        <f si="10" t="shared"/>
        <v>1.4536427450333642E-4</v>
      </c>
      <c r="F69" s="18">
        <f si="10" t="shared"/>
        <v>7.8437723951461005E-3</v>
      </c>
      <c r="H69" s="12">
        <v>0.1875</v>
      </c>
      <c r="I69" s="17">
        <f ref="I69:M69" si="11" t="shared">I12/I$59</f>
        <v>1.8546923966700695E-2</v>
      </c>
      <c r="J69" s="17">
        <f si="11" t="shared"/>
        <v>5.3382763941321821E-3</v>
      </c>
      <c r="K69" s="17">
        <f si="11" t="shared"/>
        <v>2.5428080900841104E-3</v>
      </c>
      <c r="L69" s="17">
        <f si="11" t="shared"/>
        <v>2.4198855184052472E-3</v>
      </c>
      <c r="M69" s="18">
        <f si="11" t="shared"/>
        <v>7.5977583084114678E-3</v>
      </c>
    </row>
    <row r="70" spans="1:13" x14ac:dyDescent="0.25">
      <c r="A70" s="12">
        <v>0.20833333333333334</v>
      </c>
      <c r="B70" s="18">
        <f ref="B70:F70" si="12" t="shared">B13/B$59</f>
        <v>2.6295577914490116E-2</v>
      </c>
      <c r="C70" s="18">
        <f si="12" t="shared"/>
        <v>2.1464573889740744E-2</v>
      </c>
      <c r="D70" s="18">
        <f si="12" t="shared"/>
        <v>3.8566659373261564E-3</v>
      </c>
      <c r="E70" s="18">
        <f si="12" t="shared"/>
        <v>3.7660364564797089E-4</v>
      </c>
      <c r="F70" s="18">
        <f si="12" t="shared"/>
        <v>1.4557723327231658E-2</v>
      </c>
      <c r="H70" s="12">
        <v>0.20833333333333334</v>
      </c>
      <c r="I70" s="17">
        <f ref="I70:M70" si="13" t="shared">I13/I$59</f>
        <v>2.8811340121172986E-2</v>
      </c>
      <c r="J70" s="17">
        <f si="13" t="shared"/>
        <v>1.3384025023644195E-2</v>
      </c>
      <c r="K70" s="17">
        <f si="13" t="shared"/>
        <v>3.758417749760126E-3</v>
      </c>
      <c r="L70" s="17">
        <f si="13" t="shared"/>
        <v>2.9812010590023683E-3</v>
      </c>
      <c r="M70" s="18">
        <f si="13" t="shared"/>
        <v>1.2365089505989598E-2</v>
      </c>
    </row>
    <row r="71" spans="1:13" x14ac:dyDescent="0.25">
      <c r="A71" s="12">
        <v>0.22916666666666666</v>
      </c>
      <c r="B71" s="18">
        <f ref="B71:F71" si="14" t="shared">B14/B$59</f>
        <v>4.167213071310015E-2</v>
      </c>
      <c r="C71" s="18">
        <f si="14" t="shared"/>
        <v>4.3754964173912662E-2</v>
      </c>
      <c r="D71" s="18">
        <f si="14" t="shared"/>
        <v>6.8915163306130442E-3</v>
      </c>
      <c r="E71" s="18">
        <f si="14" t="shared"/>
        <v>8.5626501911624314E-4</v>
      </c>
      <c r="F71" s="18">
        <f si="14" t="shared"/>
        <v>2.4861409636154751E-2</v>
      </c>
      <c r="H71" s="12">
        <v>0.22916666666666666</v>
      </c>
      <c r="I71" s="17">
        <f ref="I71:M71" si="15" t="shared">I14/I$59</f>
        <v>4.3716977974678252E-2</v>
      </c>
      <c r="J71" s="17">
        <f si="15" t="shared"/>
        <v>2.8301862569648163E-2</v>
      </c>
      <c r="K71" s="17">
        <f si="15" t="shared"/>
        <v>5.9713300733117624E-3</v>
      </c>
      <c r="L71" s="17">
        <f si="15" t="shared"/>
        <v>3.774102071284952E-3</v>
      </c>
      <c r="M71" s="18">
        <f si="15" t="shared"/>
        <v>1.9963122061567959E-2</v>
      </c>
    </row>
    <row r="72" spans="1:13" x14ac:dyDescent="0.25">
      <c r="A72" s="12">
        <v>0.25</v>
      </c>
      <c r="B72" s="18">
        <f ref="B72:F72" si="16" t="shared">B15/B$59</f>
        <v>6.0485043236409367E-2</v>
      </c>
      <c r="C72" s="18">
        <f si="16" t="shared"/>
        <v>7.5016812606777589E-2</v>
      </c>
      <c r="D72" s="18">
        <f si="16" t="shared"/>
        <v>1.1204613738462616E-2</v>
      </c>
      <c r="E72" s="18">
        <f si="16" t="shared"/>
        <v>1.72867368043124E-3</v>
      </c>
      <c r="F72" s="18">
        <f si="16" t="shared"/>
        <v>3.8331247511525043E-2</v>
      </c>
      <c r="H72" s="12">
        <v>0.25</v>
      </c>
      <c r="I72" s="17">
        <f ref="I72:M72" si="17" t="shared">I15/I$59</f>
        <v>6.2415164192663006E-2</v>
      </c>
      <c r="J72" s="17">
        <f si="17" t="shared"/>
        <v>5.0911688871471586E-2</v>
      </c>
      <c r="K72" s="17">
        <f si="17" t="shared"/>
        <v>9.2491031816305871E-3</v>
      </c>
      <c r="L72" s="17">
        <f si="17" t="shared"/>
        <v>5.2210916482422253E-3</v>
      </c>
      <c r="M72" s="18">
        <f si="17" t="shared"/>
        <v>3.0318803390558088E-2</v>
      </c>
    </row>
    <row r="73" spans="1:13" x14ac:dyDescent="0.25">
      <c r="A73" s="12">
        <v>0.27083333333333331</v>
      </c>
      <c r="B73" s="18">
        <f ref="B73:F73" si="18" t="shared">B16/B$59</f>
        <v>7.979496277312989E-2</v>
      </c>
      <c r="C73" s="18">
        <f si="18" t="shared"/>
        <v>0.10894976444358842</v>
      </c>
      <c r="D73" s="18">
        <f si="18" t="shared"/>
        <v>1.6377016846499028E-2</v>
      </c>
      <c r="E73" s="18">
        <f si="18" t="shared"/>
        <v>3.1237223318849598E-3</v>
      </c>
      <c r="F73" s="18">
        <f si="18" t="shared"/>
        <v>5.2776411667964887E-2</v>
      </c>
      <c r="H73" s="12">
        <v>0.27083333333333331</v>
      </c>
      <c r="I73" s="17">
        <f ref="I73:M73" si="19" t="shared">I16/I$59</f>
        <v>8.1868020274366946E-2</v>
      </c>
      <c r="J73" s="17">
        <f si="19" t="shared"/>
        <v>7.8556714255654941E-2</v>
      </c>
      <c r="K73" s="17">
        <f si="19" t="shared"/>
        <v>1.339871136188406E-2</v>
      </c>
      <c r="L73" s="17">
        <f si="19" t="shared"/>
        <v>7.80348619212451E-3</v>
      </c>
      <c r="M73" s="18">
        <f si="19" t="shared"/>
        <v>4.2107887431877433E-2</v>
      </c>
    </row>
    <row r="74" spans="1:13" x14ac:dyDescent="0.25">
      <c r="A74" s="12">
        <v>0.29166666666666669</v>
      </c>
      <c r="B74" s="18">
        <f ref="B74:F74" si="20" t="shared">B17/B$59</f>
        <v>9.5203012655833155E-2</v>
      </c>
      <c r="C74" s="18">
        <f si="20" t="shared"/>
        <v>0.13476622723439363</v>
      </c>
      <c r="D74" s="18">
        <f si="20" t="shared"/>
        <v>2.1513360498383691E-2</v>
      </c>
      <c r="E74" s="18">
        <f si="20" t="shared"/>
        <v>5.1030527040192971E-3</v>
      </c>
      <c r="F74" s="18">
        <f si="20" t="shared"/>
        <v>6.4594853283881995E-2</v>
      </c>
      <c r="H74" s="12">
        <v>0.29166666666666669</v>
      </c>
      <c r="I74" s="17">
        <f ref="I74:M74" si="21" t="shared">I17/I$59</f>
        <v>9.7499989850244939E-2</v>
      </c>
      <c r="J74" s="17">
        <f si="21" t="shared"/>
        <v>0.10475109356159544</v>
      </c>
      <c r="K74" s="17">
        <f si="21" t="shared"/>
        <v>1.7948730660056457E-2</v>
      </c>
      <c r="L74" s="17">
        <f si="21" t="shared"/>
        <v>1.1818557339679467E-2</v>
      </c>
      <c r="M74" s="18">
        <f si="21" t="shared"/>
        <v>5.2871913732313966E-2</v>
      </c>
    </row>
    <row r="75" spans="1:13" x14ac:dyDescent="0.25">
      <c r="A75" s="12">
        <v>0.3125</v>
      </c>
      <c r="B75" s="18">
        <f ref="B75:F75" si="22" t="shared">B18/B$59</f>
        <v>0.10247480133848542</v>
      </c>
      <c r="C75" s="18">
        <f si="22" t="shared"/>
        <v>0.14257429250266704</v>
      </c>
      <c r="D75" s="18">
        <f si="22" t="shared"/>
        <v>2.5624534376120972E-2</v>
      </c>
      <c r="E75" s="18">
        <f si="22" t="shared"/>
        <v>7.67484822311389E-3</v>
      </c>
      <c r="F75" s="18">
        <f si="22" t="shared"/>
        <v>7.0335064079922766E-2</v>
      </c>
      <c r="H75" s="12">
        <v>0.3125</v>
      </c>
      <c r="I75" s="17">
        <f ref="I75:M75" si="23" t="shared">I18/I$59</f>
        <v>0.10491736051843442</v>
      </c>
      <c r="J75" s="17">
        <f si="23" t="shared"/>
        <v>0.12150866041414501</v>
      </c>
      <c r="K75" s="17">
        <f si="23" t="shared"/>
        <v>2.2283706123317006E-2</v>
      </c>
      <c r="L75" s="17">
        <f si="23" t="shared"/>
        <v>1.7245297788451151E-2</v>
      </c>
      <c r="M75" s="18">
        <f si="23" t="shared"/>
        <v>5.990391977933459E-2</v>
      </c>
    </row>
    <row r="76" spans="1:13" x14ac:dyDescent="0.25">
      <c r="A76" s="12">
        <v>0.33333333333333331</v>
      </c>
      <c r="B76" s="18">
        <f ref="B76:F76" si="24" t="shared">B19/B$59</f>
        <v>9.953407870157624E-2</v>
      </c>
      <c r="C76" s="18">
        <f si="24" t="shared"/>
        <v>0.12946581258112289</v>
      </c>
      <c r="D76" s="18">
        <f si="24" t="shared"/>
        <v>2.8173783456095326E-2</v>
      </c>
      <c r="E76" s="18">
        <f si="24" t="shared"/>
        <v>1.098070499541264E-2</v>
      </c>
      <c r="F76" s="18">
        <f si="24" t="shared"/>
        <v>6.857820516110831E-2</v>
      </c>
      <c r="H76" s="12">
        <v>0.33333333333333331</v>
      </c>
      <c r="I76" s="17">
        <f ref="I76:M76" si="25" t="shared">I19/I$59</f>
        <v>0.10188847475490895</v>
      </c>
      <c r="J76" s="17">
        <f si="25" t="shared"/>
        <v>0.12334097432301112</v>
      </c>
      <c r="K76" s="17">
        <f si="25" t="shared"/>
        <v>2.5891598411883394E-2</v>
      </c>
      <c r="L76" s="17">
        <f si="25" t="shared"/>
        <v>2.3845527784937832E-2</v>
      </c>
      <c r="M76" s="18">
        <f si="25" t="shared"/>
        <v>6.1514530075329581E-2</v>
      </c>
    </row>
    <row r="77" spans="1:13" x14ac:dyDescent="0.25">
      <c r="A77" s="12">
        <v>0.35416666666666669</v>
      </c>
      <c r="B77" s="18">
        <f ref="B77:F77" si="26" t="shared">B20/B$59</f>
        <v>8.7554484894459467E-2</v>
      </c>
      <c r="C77" s="18">
        <f si="26" t="shared"/>
        <v>0.10130142779111793</v>
      </c>
      <c r="D77" s="18">
        <f si="26" t="shared"/>
        <v>2.9340526051078862E-2</v>
      </c>
      <c r="E77" s="18">
        <f si="26" t="shared"/>
        <v>1.5676696704374864E-2</v>
      </c>
      <c r="F77" s="18">
        <f si="26" t="shared"/>
        <v>6.0739701192684827E-2</v>
      </c>
      <c r="H77" s="12">
        <v>0.35416666666666669</v>
      </c>
      <c r="I77" s="17">
        <f ref="I77:M77" si="27" t="shared">I20/I$59</f>
        <v>8.9439857669085257E-2</v>
      </c>
      <c r="J77" s="17">
        <f si="27" t="shared"/>
        <v>0.11022232682712109</v>
      </c>
      <c r="K77" s="17">
        <f si="27" t="shared"/>
        <v>2.8574594807454879E-2</v>
      </c>
      <c r="L77" s="17">
        <f si="27" t="shared"/>
        <v>3.139824282370373E-2</v>
      </c>
      <c r="M77" s="18">
        <f si="27" t="shared"/>
        <v>5.7885968047860108E-2</v>
      </c>
    </row>
    <row r="78" spans="1:13" x14ac:dyDescent="0.25">
      <c r="A78" s="12">
        <v>0.375</v>
      </c>
      <c r="B78" s="18">
        <f ref="B78:F78" si="28" t="shared">B21/B$59</f>
        <v>7.0363903877934772E-2</v>
      </c>
      <c r="C78" s="18">
        <f si="28" t="shared"/>
        <v>6.8725025538693821E-2</v>
      </c>
      <c r="D78" s="18">
        <f si="28" t="shared"/>
        <v>2.977130936859064E-2</v>
      </c>
      <c r="E78" s="18">
        <f si="28" t="shared"/>
        <v>2.3276005409236421E-2</v>
      </c>
      <c r="F78" s="18">
        <f si="28" t="shared"/>
        <v>5.0171334883092722E-2</v>
      </c>
      <c r="H78" s="12">
        <v>0.375</v>
      </c>
      <c r="I78" s="17">
        <f ref="I78:M78" si="29" t="shared">I21/I$59</f>
        <v>7.1363928508936567E-2</v>
      </c>
      <c r="J78" s="17">
        <f si="29" t="shared"/>
        <v>8.7395843107425583E-2</v>
      </c>
      <c r="K78" s="17">
        <f si="29" t="shared"/>
        <v>3.0459521256893163E-2</v>
      </c>
      <c r="L78" s="17">
        <f si="29" t="shared"/>
        <v>3.9813483045145266E-2</v>
      </c>
      <c r="M78" s="18">
        <f si="29" t="shared"/>
        <v>5.0913734414744831E-2</v>
      </c>
    </row>
    <row r="79" spans="1:13" x14ac:dyDescent="0.25">
      <c r="A79" s="12">
        <v>0.39583333333333331</v>
      </c>
      <c r="B79" s="18">
        <f ref="B79:F79" si="30" t="shared">B22/B$59</f>
        <v>5.2564353170575256E-2</v>
      </c>
      <c r="C79" s="18">
        <f si="30" t="shared"/>
        <v>4.0964759828483355E-2</v>
      </c>
      <c r="D79" s="18">
        <f si="30" t="shared"/>
        <v>3.0046187091224634E-2</v>
      </c>
      <c r="E79" s="18">
        <f si="30" t="shared"/>
        <v>3.5887663443676034E-2</v>
      </c>
      <c r="F79" s="18">
        <f si="30" t="shared"/>
        <v>4.0305766507484526E-2</v>
      </c>
      <c r="H79" s="12">
        <v>0.39583333333333331</v>
      </c>
      <c r="I79" s="17">
        <f ref="I79:M79" si="31" t="shared">I22/I$59</f>
        <v>5.243192779993347E-2</v>
      </c>
      <c r="J79" s="17">
        <f si="31" t="shared"/>
        <v>6.2308602161859211E-2</v>
      </c>
      <c r="K79" s="17">
        <f si="31" t="shared"/>
        <v>3.1797497467068711E-2</v>
      </c>
      <c r="L79" s="17">
        <f si="31" t="shared"/>
        <v>4.8984153318198477E-2</v>
      </c>
      <c r="M79" s="18">
        <f si="31" t="shared"/>
        <v>4.3147628176238885E-2</v>
      </c>
    </row>
    <row r="80" spans="1:13" x14ac:dyDescent="0.25">
      <c r="A80" s="12">
        <v>0.41666666666666669</v>
      </c>
      <c r="B80" s="18">
        <f ref="B80:F80" si="32" t="shared">B23/B$59</f>
        <v>3.7627534899926991E-2</v>
      </c>
      <c r="C80" s="18">
        <f si="32" t="shared"/>
        <v>2.2156536405515119E-2</v>
      </c>
      <c r="D80" s="18">
        <f si="32" t="shared"/>
        <v>3.0312501797066498E-2</v>
      </c>
      <c r="E80" s="18">
        <f si="32" t="shared"/>
        <v>5.4840301319174216E-2</v>
      </c>
      <c r="F80" s="18">
        <f si="32" t="shared"/>
        <v>3.3175136620106863E-2</v>
      </c>
      <c r="H80" s="12">
        <v>0.41666666666666669</v>
      </c>
      <c r="I80" s="17">
        <f ref="I80:M80" si="33" t="shared">I23/I$59</f>
        <v>3.6419860642184991E-2</v>
      </c>
      <c r="J80" s="17">
        <f si="33" t="shared"/>
        <v>4.0979504777909126E-2</v>
      </c>
      <c r="K80" s="17">
        <f si="33" t="shared"/>
        <v>3.27431285619805E-2</v>
      </c>
      <c r="L80" s="17">
        <f si="33" t="shared"/>
        <v>5.8491398119167967E-2</v>
      </c>
      <c r="M80" s="18">
        <f si="33" t="shared"/>
        <v>3.65796906079894E-2</v>
      </c>
    </row>
    <row r="81" spans="1:13" x14ac:dyDescent="0.25">
      <c r="A81" s="12">
        <v>0.4375</v>
      </c>
      <c r="B81" s="18">
        <f ref="B81:F81" si="34" t="shared">B24/B$59</f>
        <v>2.70297062967534E-2</v>
      </c>
      <c r="C81" s="18">
        <f si="34" t="shared"/>
        <v>1.1733968793099845E-2</v>
      </c>
      <c r="D81" s="18">
        <f si="34" t="shared"/>
        <v>3.0341072613025051E-2</v>
      </c>
      <c r="E81" s="18">
        <f si="34" t="shared"/>
        <v>7.8624336119234237E-2</v>
      </c>
      <c r="F81" s="18">
        <f si="34" t="shared"/>
        <v>2.9058406639819651E-2</v>
      </c>
      <c r="H81" s="12">
        <v>0.4375</v>
      </c>
      <c r="I81" s="17">
        <f ref="I81:M81" si="35" t="shared">I24/I$59</f>
        <v>2.5038947336282993E-2</v>
      </c>
      <c r="J81" s="17">
        <f si="35" t="shared"/>
        <v>2.6059099543834209E-2</v>
      </c>
      <c r="K81" s="17">
        <f si="35" t="shared"/>
        <v>3.3317138504317098E-2</v>
      </c>
      <c r="L81" s="17">
        <f si="35" t="shared"/>
        <v>6.7393031089678021E-2</v>
      </c>
      <c r="M81" s="18">
        <f si="35" t="shared"/>
        <v>3.2029736492245366E-2</v>
      </c>
    </row>
    <row r="82" spans="1:13" x14ac:dyDescent="0.25">
      <c r="A82" s="12">
        <v>0.45833333333333331</v>
      </c>
      <c r="B82" s="18">
        <f ref="B82:F82" si="36" t="shared">B25/B$59</f>
        <v>2.0556214136732157E-2</v>
      </c>
      <c r="C82" s="18">
        <f si="36" t="shared"/>
        <v>6.9767446722530414E-3</v>
      </c>
      <c r="D82" s="18">
        <f si="36" t="shared"/>
        <v>2.9887734174512653E-2</v>
      </c>
      <c r="E82" s="18">
        <f si="36" t="shared"/>
        <v>0.10190452064260375</v>
      </c>
      <c r="F82" s="18">
        <f si="36" t="shared"/>
        <v>2.7070662446741989E-2</v>
      </c>
      <c r="H82" s="12">
        <v>0.45833333333333331</v>
      </c>
      <c r="I82" s="17">
        <f ref="I82:M82" si="37" t="shared">I25/I$59</f>
        <v>1.8090998814491419E-2</v>
      </c>
      <c r="J82" s="17">
        <f si="37" t="shared"/>
        <v>1.7153221648679374E-2</v>
      </c>
      <c r="K82" s="17">
        <f si="37" t="shared"/>
        <v>3.3543303257929508E-2</v>
      </c>
      <c r="L82" s="17">
        <f si="37" t="shared"/>
        <v>7.42463279190297E-2</v>
      </c>
      <c r="M82" s="18">
        <f si="37" t="shared"/>
        <v>2.9306480894511353E-2</v>
      </c>
    </row>
    <row r="83" spans="1:13" x14ac:dyDescent="0.25">
      <c r="A83" s="12">
        <v>0.47916666666666669</v>
      </c>
      <c r="B83" s="18">
        <f ref="B83:F83" si="38" t="shared">B26/B$59</f>
        <v>1.7151799673837544E-2</v>
      </c>
      <c r="C83" s="18">
        <f si="38" t="shared"/>
        <v>5.2099340905064429E-3</v>
      </c>
      <c r="D83" s="18">
        <f si="38" t="shared"/>
        <v>2.9031649235452865E-2</v>
      </c>
      <c r="E83" s="18">
        <f si="38" t="shared"/>
        <v>0.1173154844686994</v>
      </c>
      <c r="F83" s="18">
        <f si="38" t="shared"/>
        <v>2.6047817032845168E-2</v>
      </c>
      <c r="H83" s="12">
        <v>0.47916666666666669</v>
      </c>
      <c r="I83" s="17">
        <f ref="I83:M83" si="39" t="shared">I26/I$59</f>
        <v>1.4358166436297608E-2</v>
      </c>
      <c r="J83" s="17">
        <f si="39" t="shared"/>
        <v>1.2385729234329403E-2</v>
      </c>
      <c r="K83" s="17">
        <f si="39" t="shared"/>
        <v>3.3562978167275742E-2</v>
      </c>
      <c r="L83" s="17">
        <f si="39" t="shared"/>
        <v>7.7449903538737749E-2</v>
      </c>
      <c r="M83" s="18">
        <f si="39" t="shared"/>
        <v>2.776421853163643E-2</v>
      </c>
    </row>
    <row r="84" spans="1:13" x14ac:dyDescent="0.25">
      <c r="A84" s="12">
        <v>0.5</v>
      </c>
      <c r="B84" s="18">
        <f ref="B84:F84" si="40" t="shared">B27/B$59</f>
        <v>1.564226145473159E-2</v>
      </c>
      <c r="C84" s="18">
        <f si="40" t="shared"/>
        <v>4.6696395033959245E-3</v>
      </c>
      <c r="D84" s="18">
        <f si="40" t="shared"/>
        <v>2.8232312800119976E-2</v>
      </c>
      <c r="E84" s="18">
        <f si="40" t="shared"/>
        <v>0.11949067540460356</v>
      </c>
      <c r="F84" s="18">
        <f si="40" t="shared"/>
        <v>2.5190906123560501E-2</v>
      </c>
      <c r="H84" s="12">
        <v>0.5</v>
      </c>
      <c r="I84" s="17">
        <f ref="I84:M84" si="41" t="shared">I27/I$59</f>
        <v>1.2498047406357954E-2</v>
      </c>
      <c r="J84" s="17">
        <f si="41" t="shared"/>
        <v>9.8527504526215066E-3</v>
      </c>
      <c r="K84" s="17">
        <f si="41" t="shared"/>
        <v>3.3588907751932628E-2</v>
      </c>
      <c r="L84" s="17">
        <f si="41" t="shared"/>
        <v>7.5929804088537667E-2</v>
      </c>
      <c r="M84" s="18">
        <f si="41" t="shared"/>
        <v>2.6786259586623978E-2</v>
      </c>
    </row>
    <row r="85" spans="1:13" x14ac:dyDescent="0.25">
      <c r="A85" s="12">
        <v>0.52083333333333337</v>
      </c>
      <c r="B85" s="18">
        <f ref="B85:F85" si="42" t="shared">B28/B$59</f>
        <v>1.5071590374887584E-2</v>
      </c>
      <c r="C85" s="18">
        <f si="42" t="shared"/>
        <v>4.437565525578481E-3</v>
      </c>
      <c r="D85" s="18">
        <f si="42" t="shared"/>
        <v>2.808279614051936E-2</v>
      </c>
      <c r="E85" s="18">
        <f si="42" t="shared"/>
        <v>0.10829933219045533</v>
      </c>
      <c r="F85" s="18">
        <f si="42" t="shared"/>
        <v>2.4256512189306828E-2</v>
      </c>
      <c r="H85" s="12">
        <v>0.52083333333333337</v>
      </c>
      <c r="I85" s="17">
        <f ref="I85:M85" si="43" t="shared">I28/I$59</f>
        <v>1.1526513747976813E-2</v>
      </c>
      <c r="J85" s="17">
        <f si="43" t="shared"/>
        <v>8.3135069287970653E-3</v>
      </c>
      <c r="K85" s="17">
        <f si="43" t="shared"/>
        <v>3.3764346573845437E-2</v>
      </c>
      <c r="L85" s="17">
        <f si="43" t="shared"/>
        <v>6.9899487182231712E-2</v>
      </c>
      <c r="M85" s="18">
        <f si="43" t="shared"/>
        <v>2.5998478124210866E-2</v>
      </c>
    </row>
    <row r="86" spans="1:13" x14ac:dyDescent="0.25">
      <c r="A86" s="12">
        <v>0.54166666666666663</v>
      </c>
      <c r="B86" s="18">
        <f ref="B86:F86" si="44" t="shared">B29/B$59</f>
        <v>1.476511364485115E-2</v>
      </c>
      <c r="C86" s="18">
        <f si="44" t="shared"/>
        <v>4.1323029669750122E-3</v>
      </c>
      <c r="D86" s="18">
        <f si="44" t="shared"/>
        <v>2.8940894739555315E-2</v>
      </c>
      <c r="E86" s="18">
        <f si="44" t="shared"/>
        <v>8.8603729807216647E-2</v>
      </c>
      <c r="F86" s="18">
        <f si="44" t="shared"/>
        <v>2.3363381022303856E-2</v>
      </c>
      <c r="H86" s="12">
        <v>0.54166666666666663</v>
      </c>
      <c r="I86" s="17">
        <f ref="I86:M86" si="45" t="shared">I29/I$59</f>
        <v>1.0890719751871168E-2</v>
      </c>
      <c r="J86" s="17">
        <f si="45" t="shared"/>
        <v>7.214942017737612E-3</v>
      </c>
      <c r="K86" s="17">
        <f si="45" t="shared"/>
        <v>3.4086669247740273E-2</v>
      </c>
      <c r="L86" s="17">
        <f si="45" t="shared"/>
        <v>6.1056353360841288E-2</v>
      </c>
      <c r="M86" s="18">
        <f si="45" t="shared"/>
        <v>2.5267744398218488E-2</v>
      </c>
    </row>
    <row r="87" spans="1:13" x14ac:dyDescent="0.25">
      <c r="A87" s="12">
        <v>0.5625</v>
      </c>
      <c r="B87" s="18">
        <f ref="B87:F87" si="46" t="shared">B30/B$59</f>
        <v>1.4304316075145797E-2</v>
      </c>
      <c r="C87" s="18">
        <f si="46" t="shared"/>
        <v>3.6929938746688481E-3</v>
      </c>
      <c r="D87" s="18">
        <f si="46" t="shared"/>
        <v>3.0684637335916219E-2</v>
      </c>
      <c r="E87" s="18">
        <f si="46" t="shared"/>
        <v>6.695889302623495E-2</v>
      </c>
      <c r="F87" s="18">
        <f si="46" t="shared"/>
        <v>2.2662290989715981E-2</v>
      </c>
      <c r="H87" s="12">
        <v>0.5625</v>
      </c>
      <c r="I87" s="17">
        <f ref="I87:M87" si="47" t="shared">I30/I$59</f>
        <v>1.033792306188067E-2</v>
      </c>
      <c r="J87" s="17">
        <f si="47" t="shared"/>
        <v>6.4257208663206144E-3</v>
      </c>
      <c r="K87" s="17">
        <f si="47" t="shared"/>
        <v>3.4460689570823502E-2</v>
      </c>
      <c r="L87" s="17">
        <f si="47" t="shared"/>
        <v>5.1786136777019147E-2</v>
      </c>
      <c r="M87" s="18">
        <f si="47" t="shared"/>
        <v>2.46036277681594E-2</v>
      </c>
    </row>
    <row r="88" spans="1:13" x14ac:dyDescent="0.25">
      <c r="A88" s="12">
        <v>0.58333333333333337</v>
      </c>
      <c r="B88" s="18">
        <f ref="B88:F88" si="48" t="shared">B31/B$59</f>
        <v>1.3499541116301174E-2</v>
      </c>
      <c r="C88" s="18">
        <f si="48" t="shared"/>
        <v>3.2618363580847669E-3</v>
      </c>
      <c r="D88" s="18">
        <f si="48" t="shared"/>
        <v>3.2767961078576928E-2</v>
      </c>
      <c r="E88" s="18">
        <f si="48" t="shared"/>
        <v>4.8156976494705607E-2</v>
      </c>
      <c r="F88" s="18">
        <f si="48" t="shared"/>
        <v>2.2139169651763598E-2</v>
      </c>
      <c r="H88" s="12">
        <v>0.58333333333333337</v>
      </c>
      <c r="I88" s="17">
        <f ref="I88:M88" si="49" t="shared">I31/I$59</f>
        <v>9.7649045852351742E-3</v>
      </c>
      <c r="J88" s="17">
        <f si="49" t="shared"/>
        <v>5.9684154365126319E-3</v>
      </c>
      <c r="K88" s="17">
        <f si="49" t="shared"/>
        <v>3.4811002647740619E-2</v>
      </c>
      <c r="L88" s="17">
        <f si="49" t="shared"/>
        <v>4.3834053653354216E-2</v>
      </c>
      <c r="M88" s="18">
        <f si="49" t="shared"/>
        <v>2.4050562926103268E-2</v>
      </c>
    </row>
    <row r="89" spans="1:13" x14ac:dyDescent="0.25">
      <c r="A89" s="12">
        <v>0.60416666666666663</v>
      </c>
      <c r="B89" s="18">
        <f ref="B89:F89" si="50" t="shared">B32/B$59</f>
        <v>1.2359187499853555E-2</v>
      </c>
      <c r="C89" s="18">
        <f si="50" t="shared"/>
        <v>3.0801361062348714E-3</v>
      </c>
      <c r="D89" s="18">
        <f si="50" t="shared"/>
        <v>3.45773649906405E-2</v>
      </c>
      <c r="E89" s="18">
        <f si="50" t="shared"/>
        <v>3.393908706225475E-2</v>
      </c>
      <c r="F89" s="18">
        <f si="50" t="shared"/>
        <v>2.166846957573549E-2</v>
      </c>
      <c r="H89" s="12">
        <v>0.60416666666666663</v>
      </c>
      <c r="I89" s="17">
        <f ref="I89:M89" si="51" t="shared">I32/I$59</f>
        <v>9.1301544542556397E-3</v>
      </c>
      <c r="J89" s="17">
        <f si="51" t="shared"/>
        <v>5.8645301968581927E-3</v>
      </c>
      <c r="K89" s="17">
        <f si="51" t="shared"/>
        <v>3.514750340578375E-2</v>
      </c>
      <c r="L89" s="17">
        <f si="51" t="shared"/>
        <v>3.7523039682231744E-2</v>
      </c>
      <c r="M89" s="18">
        <f si="51" t="shared"/>
        <v>2.3624706334132068E-2</v>
      </c>
    </row>
    <row r="90" spans="1:13" x14ac:dyDescent="0.25">
      <c r="A90" s="12">
        <v>0.625</v>
      </c>
      <c r="B90" s="18">
        <f ref="B90:F90" si="52" t="shared">B33/B$59</f>
        <v>1.1033042122119497E-2</v>
      </c>
      <c r="C90" s="18">
        <f si="52" t="shared"/>
        <v>3.3616032141398451E-3</v>
      </c>
      <c r="D90" s="18">
        <f si="52" t="shared"/>
        <v>3.5874552441444857E-2</v>
      </c>
      <c r="E90" s="18">
        <f si="52" t="shared"/>
        <v>2.3838909882497459E-2</v>
      </c>
      <c r="F90" s="18">
        <f si="52" t="shared"/>
        <v>2.1209454053897916E-2</v>
      </c>
      <c r="H90" s="12">
        <v>0.625</v>
      </c>
      <c r="I90" s="17">
        <f ref="I90:M90" si="53" t="shared">I33/I$59</f>
        <v>8.4284467160299394E-3</v>
      </c>
      <c r="J90" s="17">
        <f si="53" t="shared"/>
        <v>6.0817285045344166E-3</v>
      </c>
      <c r="K90" s="17">
        <f si="53" t="shared"/>
        <v>3.554380921459737E-2</v>
      </c>
      <c r="L90" s="17">
        <f si="53" t="shared"/>
        <v>3.2122357959096411E-2</v>
      </c>
      <c r="M90" s="18">
        <f si="53" t="shared"/>
        <v>2.3311397720638217E-2</v>
      </c>
    </row>
    <row r="91" spans="1:13" x14ac:dyDescent="0.25">
      <c r="A91" s="12">
        <v>0.64583333333333337</v>
      </c>
      <c r="B91" s="18">
        <f ref="B91:F91" si="54" t="shared">B34/B$59</f>
        <v>9.7209053631827514E-3</v>
      </c>
      <c r="C91" s="18">
        <f si="54" t="shared"/>
        <v>4.1666033604679416E-3</v>
      </c>
      <c r="D91" s="18">
        <f si="54" t="shared"/>
        <v>3.7004738783023447E-2</v>
      </c>
      <c r="E91" s="18">
        <f si="54" t="shared"/>
        <v>1.6674985142155492E-2</v>
      </c>
      <c r="F91" s="18">
        <f si="54" t="shared"/>
        <v>2.0926089662164759E-2</v>
      </c>
      <c r="H91" s="12">
        <v>0.64583333333333337</v>
      </c>
      <c r="I91" s="17">
        <f ref="I91:M91" si="55" t="shared">I34/I$59</f>
        <v>7.690597889300343E-3</v>
      </c>
      <c r="J91" s="17">
        <f si="55" t="shared"/>
        <v>6.5268534654050114E-3</v>
      </c>
      <c r="K91" s="17">
        <f si="55" t="shared"/>
        <v>3.6066752457319218E-2</v>
      </c>
      <c r="L91" s="17">
        <f si="55" t="shared"/>
        <v>2.6880139752829085E-2</v>
      </c>
      <c r="M91" s="18">
        <f si="55" t="shared"/>
        <v>2.3093280242301364E-2</v>
      </c>
    </row>
    <row r="92" spans="1:13" x14ac:dyDescent="0.25">
      <c r="A92" s="12">
        <v>0.66666666666666663</v>
      </c>
      <c r="B92" s="18">
        <f ref="B92:F92" si="56" t="shared">B35/B$59</f>
        <v>8.5667814968684603E-3</v>
      </c>
      <c r="C92" s="18">
        <f si="56" t="shared"/>
        <v>5.325052028827393E-3</v>
      </c>
      <c r="D92" s="18">
        <f si="56" t="shared"/>
        <v>3.8678071746414161E-2</v>
      </c>
      <c r="E92" s="18">
        <f si="56" t="shared"/>
        <v>1.1502440232105667E-2</v>
      </c>
      <c r="F92" s="18">
        <f si="56" t="shared"/>
        <v>2.1096488368874098E-2</v>
      </c>
      <c r="H92" s="12">
        <v>0.66666666666666663</v>
      </c>
      <c r="I92" s="17">
        <f ref="I92:M92" si="57" t="shared">I35/I$59</f>
        <v>6.9724053504208522E-3</v>
      </c>
      <c r="J92" s="17">
        <f si="57" t="shared"/>
        <v>7.050755454703227E-3</v>
      </c>
      <c r="K92" s="17">
        <f si="57" t="shared"/>
        <v>3.6715906102621813E-2</v>
      </c>
      <c r="L92" s="17">
        <f si="57" t="shared"/>
        <v>2.1729662870020552E-2</v>
      </c>
      <c r="M92" s="18">
        <f si="57" t="shared"/>
        <v>2.2961491933025074E-2</v>
      </c>
    </row>
    <row r="93" spans="1:13" x14ac:dyDescent="0.25">
      <c r="A93" s="12">
        <v>0.6875</v>
      </c>
      <c r="B93" s="18">
        <f ref="B93:F93" si="58" t="shared">B36/B$59</f>
        <v>7.5901653471513392E-3</v>
      </c>
      <c r="C93" s="18">
        <f si="58" t="shared"/>
        <v>6.4551782559338503E-3</v>
      </c>
      <c r="D93" s="18">
        <f si="58" t="shared"/>
        <v>4.1413801969469921E-2</v>
      </c>
      <c r="E93" s="18">
        <f si="58" t="shared"/>
        <v>7.8047823776587694E-3</v>
      </c>
      <c r="F93" s="18">
        <f si="58" t="shared"/>
        <v>2.1863906981564749E-2</v>
      </c>
      <c r="H93" s="12">
        <v>0.6875</v>
      </c>
      <c r="I93" s="17">
        <f ref="I93:M93" si="59" t="shared">I36/I$59</f>
        <v>6.3220766519153119E-3</v>
      </c>
      <c r="J93" s="17">
        <f si="59" t="shared"/>
        <v>7.4684424164885169E-3</v>
      </c>
      <c r="K93" s="17">
        <f si="59" t="shared"/>
        <v>3.7393805895649945E-2</v>
      </c>
      <c r="L93" s="17">
        <f si="59" t="shared"/>
        <v>1.7180132526634657E-2</v>
      </c>
      <c r="M93" s="18">
        <f si="59" t="shared"/>
        <v>2.2887029833098236E-2</v>
      </c>
    </row>
    <row r="94" spans="1:13" x14ac:dyDescent="0.25">
      <c r="A94" s="12">
        <v>0.70833333333333337</v>
      </c>
      <c r="B94" s="18">
        <f ref="B94:F94" si="60" t="shared">B37/B$59</f>
        <v>6.700205405918965E-3</v>
      </c>
      <c r="C94" s="18">
        <f si="60" t="shared"/>
        <v>7.1021144209903178E-3</v>
      </c>
      <c r="D94" s="18">
        <f si="60" t="shared"/>
        <v>4.4972922783031E-2</v>
      </c>
      <c r="E94" s="18">
        <f si="60" t="shared"/>
        <v>5.2901293518856484E-3</v>
      </c>
      <c r="F94" s="18">
        <f si="60" t="shared"/>
        <v>2.3009084281349436E-2</v>
      </c>
      <c r="H94" s="12">
        <v>0.70833333333333337</v>
      </c>
      <c r="I94" s="17">
        <f ref="I94:M94" si="61" t="shared">I37/I$59</f>
        <v>5.7453013917190144E-3</v>
      </c>
      <c r="J94" s="17">
        <f si="61" t="shared"/>
        <v>7.6019539118176377E-3</v>
      </c>
      <c r="K94" s="17">
        <f si="61" t="shared"/>
        <v>3.7892330567361132E-2</v>
      </c>
      <c r="L94" s="17">
        <f si="61" t="shared"/>
        <v>1.3721952491804558E-2</v>
      </c>
      <c r="M94" s="18">
        <f si="61" t="shared"/>
        <v>2.2772274781018165E-2</v>
      </c>
    </row>
    <row r="95" spans="1:13" x14ac:dyDescent="0.25">
      <c r="A95" s="12">
        <v>0.72916666666666663</v>
      </c>
      <c r="B95" s="18">
        <f ref="B95:F95" si="62" t="shared">B38/B$59</f>
        <v>5.780896408689497E-3</v>
      </c>
      <c r="C95" s="18">
        <f si="62" t="shared"/>
        <v>6.9540499106777384E-3</v>
      </c>
      <c r="D95" s="18">
        <f si="62" t="shared"/>
        <v>4.8171348942698006E-2</v>
      </c>
      <c r="E95" s="18">
        <f si="62" t="shared"/>
        <v>3.6815684110969951E-3</v>
      </c>
      <c r="F95" s="18">
        <f si="62" t="shared"/>
        <v>2.3922322845776441E-2</v>
      </c>
      <c r="H95" s="12">
        <v>0.72916666666666663</v>
      </c>
      <c r="I95" s="17">
        <f ref="I95:M95" si="63" t="shared">I38/I$59</f>
        <v>5.1981836346464572E-3</v>
      </c>
      <c r="J95" s="17">
        <f si="63" t="shared"/>
        <v>7.3338219316214067E-3</v>
      </c>
      <c r="K95" s="17">
        <f si="63" t="shared"/>
        <v>3.7903616396830306E-2</v>
      </c>
      <c r="L95" s="17">
        <f si="63" t="shared"/>
        <v>1.1391376411513639E-2</v>
      </c>
      <c r="M95" s="18">
        <f si="63" t="shared"/>
        <v>2.2434549481823576E-2</v>
      </c>
    </row>
    <row r="96" spans="1:13" x14ac:dyDescent="0.25">
      <c r="A96" s="12">
        <v>0.75</v>
      </c>
      <c r="B96" s="18">
        <f ref="B96:F96" si="64" t="shared">B39/B$59</f>
        <v>4.7794645242493633E-3</v>
      </c>
      <c r="C96" s="18">
        <f si="64" t="shared"/>
        <v>6.0111426159691608E-3</v>
      </c>
      <c r="D96" s="18">
        <f si="64" t="shared"/>
        <v>4.9310806454899964E-2</v>
      </c>
      <c r="E96" s="18">
        <f si="64" t="shared"/>
        <v>2.6653149151938129E-3</v>
      </c>
      <c r="F96" s="18">
        <f si="64" t="shared"/>
        <v>2.3842096408361199E-2</v>
      </c>
      <c r="H96" s="12">
        <v>0.75</v>
      </c>
      <c r="I96" s="17">
        <f ref="I96:M96" si="65" t="shared">I39/I$59</f>
        <v>4.6193433971340979E-3</v>
      </c>
      <c r="J96" s="17">
        <f si="65" t="shared"/>
        <v>6.6502248932589847E-3</v>
      </c>
      <c r="K96" s="17">
        <f si="65" t="shared"/>
        <v>3.7102665202717253E-2</v>
      </c>
      <c r="L96" s="17">
        <f si="65" t="shared"/>
        <v>9.8181965277879743E-3</v>
      </c>
      <c r="M96" s="18">
        <f si="65" t="shared"/>
        <v>2.1666294944301043E-2</v>
      </c>
    </row>
    <row r="97" spans="1:13" x14ac:dyDescent="0.25">
      <c r="A97" s="12">
        <v>0.77083333333333337</v>
      </c>
      <c r="B97" s="18">
        <f ref="B97:F97" si="66" t="shared">B40/B$59</f>
        <v>3.7362000371948612E-3</v>
      </c>
      <c r="C97" s="18">
        <f si="66" t="shared"/>
        <v>4.5795543657069782E-3</v>
      </c>
      <c r="D97" s="18">
        <f si="66" t="shared"/>
        <v>4.7076897711344205E-2</v>
      </c>
      <c r="E97" s="18">
        <f si="66" t="shared"/>
        <v>1.9591538062841488E-3</v>
      </c>
      <c r="F97" s="18">
        <f si="66" t="shared"/>
        <v>2.2252143091603012E-2</v>
      </c>
      <c r="H97" s="12">
        <v>0.77083333333333337</v>
      </c>
      <c r="I97" s="17">
        <f ref="I97:M97" si="67" t="shared">I40/I$59</f>
        <v>3.9785307567668914E-3</v>
      </c>
      <c r="J97" s="17">
        <f si="67" t="shared"/>
        <v>5.6552359154818819E-3</v>
      </c>
      <c r="K97" s="17">
        <f si="67" t="shared"/>
        <v>3.5303899527861692E-2</v>
      </c>
      <c r="L97" s="17">
        <f si="67" t="shared"/>
        <v>8.5826442603557287E-3</v>
      </c>
      <c r="M97" s="18">
        <f si="67" t="shared"/>
        <v>2.0352885867395348E-2</v>
      </c>
    </row>
    <row r="98" spans="1:13" x14ac:dyDescent="0.25">
      <c r="A98" s="12">
        <v>0.79166666666666663</v>
      </c>
      <c r="B98" s="18">
        <f ref="B98:F98" si="68" t="shared">B41/B$59</f>
        <v>2.7499165669132757E-3</v>
      </c>
      <c r="C98" s="18">
        <f si="68" t="shared"/>
        <v>3.0871063724389369E-3</v>
      </c>
      <c r="D98" s="18">
        <f si="68" t="shared"/>
        <v>4.1339992852133613E-2</v>
      </c>
      <c r="E98" s="18">
        <f si="68" t="shared"/>
        <v>1.3905938634297317E-3</v>
      </c>
      <c r="F98" s="18">
        <f si="68" t="shared"/>
        <v>1.9187430421721115E-2</v>
      </c>
      <c r="H98" s="12">
        <v>0.79166666666666663</v>
      </c>
      <c r="I98" s="17">
        <f ref="I98:M98" si="69" t="shared">I41/I$59</f>
        <v>3.3021561791367407E-3</v>
      </c>
      <c r="J98" s="17">
        <f si="69" t="shared"/>
        <v>4.5391747506793641E-3</v>
      </c>
      <c r="K98" s="17">
        <f si="69" t="shared"/>
        <v>3.2580539554078657E-2</v>
      </c>
      <c r="L98" s="17">
        <f si="69" t="shared"/>
        <v>7.4979847842923039E-3</v>
      </c>
      <c r="M98" s="18">
        <f si="69" t="shared"/>
        <v>1.85538393734614E-2</v>
      </c>
    </row>
    <row r="99" spans="1:13" x14ac:dyDescent="0.25">
      <c r="A99" s="12">
        <v>0.8125</v>
      </c>
      <c r="B99" s="18">
        <f ref="B99:F99" si="70" t="shared">B42/B$59</f>
        <v>1.9178711948945539E-3</v>
      </c>
      <c r="C99" s="18">
        <f si="70" t="shared"/>
        <v>1.8615329334194693E-3</v>
      </c>
      <c r="D99" s="18">
        <f si="70" t="shared"/>
        <v>3.3270158503745081E-2</v>
      </c>
      <c r="E99" s="18">
        <f si="70" t="shared"/>
        <v>9.0922273101335196E-4</v>
      </c>
      <c r="F99" s="18">
        <f si="70" t="shared"/>
        <v>1.5228819094734414E-2</v>
      </c>
      <c r="H99" s="12">
        <v>0.8125</v>
      </c>
      <c r="I99" s="17">
        <f ref="I99:M99" si="71" t="shared">I42/I$59</f>
        <v>2.6551955844862974E-3</v>
      </c>
      <c r="J99" s="17">
        <f si="71" t="shared"/>
        <v>3.500670463586669E-3</v>
      </c>
      <c r="K99" s="17">
        <f si="71" t="shared"/>
        <v>2.9215863399537717E-2</v>
      </c>
      <c r="L99" s="17">
        <f si="71" t="shared"/>
        <v>6.601691984621203E-3</v>
      </c>
      <c r="M99" s="18">
        <f si="71" t="shared"/>
        <v>1.6461469030038228E-2</v>
      </c>
    </row>
    <row r="100" spans="1:13" x14ac:dyDescent="0.25">
      <c r="A100" s="12">
        <v>0.83333333333333337</v>
      </c>
      <c r="B100" s="18">
        <f ref="B100:F100" si="72" t="shared">B43/B$59</f>
        <v>1.291255345859472E-3</v>
      </c>
      <c r="C100" s="18">
        <f si="72" t="shared"/>
        <v>1.0241911325597664E-3</v>
      </c>
      <c r="D100" s="18">
        <f si="72" t="shared"/>
        <v>2.4683184164266042E-2</v>
      </c>
      <c r="E100" s="18">
        <f si="72" t="shared"/>
        <v>5.3355648811270751E-4</v>
      </c>
      <c r="F100" s="18">
        <f si="72" t="shared"/>
        <v>1.1188898629263E-2</v>
      </c>
      <c r="H100" s="12">
        <v>0.83333333333333337</v>
      </c>
      <c r="I100" s="17">
        <f ref="I100:M100" si="73" t="shared">I43/I$59</f>
        <v>2.0973243440312117E-3</v>
      </c>
      <c r="J100" s="17">
        <f si="73" t="shared"/>
        <v>2.660898238368467E-3</v>
      </c>
      <c r="K100" s="17">
        <f si="73" t="shared"/>
        <v>2.5508685413271521E-2</v>
      </c>
      <c r="L100" s="17">
        <f si="73" t="shared"/>
        <v>5.9440850004121261E-3</v>
      </c>
      <c r="M100" s="18">
        <f si="73" t="shared"/>
        <v>1.4264433254600859E-2</v>
      </c>
    </row>
    <row r="101" spans="1:13" x14ac:dyDescent="0.25">
      <c r="A101" s="12">
        <v>0.85416666666666663</v>
      </c>
      <c r="B101" s="18">
        <f ref="B101:F101" si="74" t="shared">B44/B$59</f>
        <v>8.6423826863882367E-4</v>
      </c>
      <c r="C101" s="18">
        <f si="74" t="shared"/>
        <v>5.2927238411561975E-4</v>
      </c>
      <c r="D101" s="18">
        <f si="74" t="shared"/>
        <v>1.7128570944610687E-2</v>
      </c>
      <c r="E101" s="18">
        <f si="74" t="shared"/>
        <v>2.8396069039765055E-4</v>
      </c>
      <c r="F101" s="18">
        <f si="74" t="shared"/>
        <v>7.7209191803474762E-3</v>
      </c>
      <c r="H101" s="12">
        <v>0.85416666666666663</v>
      </c>
      <c r="I101" s="17">
        <f ref="I101:M101" si="75" t="shared">I44/I$59</f>
        <v>1.6509589300005055E-3</v>
      </c>
      <c r="J101" s="17">
        <f si="75" t="shared"/>
        <v>2.0285916733013684E-3</v>
      </c>
      <c r="K101" s="17">
        <f si="75" t="shared"/>
        <v>2.1618543161451304E-2</v>
      </c>
      <c r="L101" s="17">
        <f si="75" t="shared"/>
        <v>5.4231050708137439E-3</v>
      </c>
      <c r="M101" s="18">
        <f si="75" t="shared"/>
        <v>1.2044817131424015E-2</v>
      </c>
    </row>
    <row r="102" spans="1:13" x14ac:dyDescent="0.25">
      <c r="A102" s="12">
        <v>0.875</v>
      </c>
      <c r="B102" s="18">
        <f ref="B102:F102" si="76" t="shared">B45/B$59</f>
        <v>5.9149201378691648E-4</v>
      </c>
      <c r="C102" s="18">
        <f si="76" t="shared"/>
        <v>2.6544378087003386E-4</v>
      </c>
      <c r="D102" s="18">
        <f si="76" t="shared"/>
        <v>1.1344804555248819E-2</v>
      </c>
      <c r="E102" s="18">
        <f si="76" t="shared"/>
        <v>1.4867293665648656E-4</v>
      </c>
      <c r="F102" s="18">
        <f si="76" t="shared"/>
        <v>5.1060378512581064E-3</v>
      </c>
      <c r="H102" s="12">
        <v>0.875</v>
      </c>
      <c r="I102" s="17">
        <f ref="I102:M102" si="77" t="shared">I45/I$59</f>
        <v>1.3021234592546398E-3</v>
      </c>
      <c r="J102" s="17">
        <f si="77" t="shared"/>
        <v>1.5381351925055841E-3</v>
      </c>
      <c r="K102" s="17">
        <f si="77" t="shared"/>
        <v>1.7598430819782455E-2</v>
      </c>
      <c r="L102" s="17">
        <f si="77" t="shared"/>
        <v>4.8219854771423386E-3</v>
      </c>
      <c r="M102" s="18">
        <f si="77" t="shared"/>
        <v>9.8026151822306496E-3</v>
      </c>
    </row>
    <row r="103" spans="1:13" x14ac:dyDescent="0.25">
      <c r="A103" s="12">
        <v>0.89583333333333337</v>
      </c>
      <c r="B103" s="18">
        <f ref="B103:F103" si="78" t="shared">B46/B$59</f>
        <v>4.1686867078225324E-4</v>
      </c>
      <c r="C103" s="18">
        <f si="78" t="shared"/>
        <v>1.3212775062483589E-4</v>
      </c>
      <c r="D103" s="18">
        <f si="78" t="shared"/>
        <v>7.3023959106339551E-3</v>
      </c>
      <c r="E103" s="18">
        <f si="78" t="shared"/>
        <v>8.9919181994983812E-5</v>
      </c>
      <c r="F103" s="18">
        <f si="78" t="shared"/>
        <v>3.2939200605817472E-3</v>
      </c>
      <c r="H103" s="12">
        <v>0.89583333333333337</v>
      </c>
      <c r="I103" s="17">
        <f ref="I103:M103" si="79" t="shared">I46/I$59</f>
        <v>1.023118568677289E-3</v>
      </c>
      <c r="J103" s="17">
        <f si="79" t="shared"/>
        <v>1.1216421517594754E-3</v>
      </c>
      <c r="K103" s="17">
        <f si="79" t="shared"/>
        <v>1.3555709120281676E-2</v>
      </c>
      <c r="L103" s="17">
        <f si="79" t="shared"/>
        <v>3.9873357408312287E-3</v>
      </c>
      <c r="M103" s="18">
        <f si="79" t="shared"/>
        <v>7.5649898965535521E-3</v>
      </c>
    </row>
    <row r="104" spans="1:13" x14ac:dyDescent="0.25">
      <c r="A104" s="12">
        <v>0.91666666666666663</v>
      </c>
      <c r="B104" s="18">
        <f ref="B104:F104" si="80" t="shared">B47/B$59</f>
        <v>2.9594858456591464E-4</v>
      </c>
      <c r="C104" s="18">
        <f si="80" t="shared"/>
        <v>6.5021622230112852E-5</v>
      </c>
      <c r="D104" s="18">
        <f si="80" t="shared"/>
        <v>4.5923819191254003E-3</v>
      </c>
      <c r="E104" s="18">
        <f si="80" t="shared"/>
        <v>6.6972597542305209E-5</v>
      </c>
      <c r="F104" s="18">
        <f si="80" t="shared"/>
        <v>2.0818813895502782E-3</v>
      </c>
      <c r="H104" s="12">
        <v>0.91666666666666663</v>
      </c>
      <c r="I104" s="17">
        <f ref="I104:M104" si="81" t="shared">I47/I$59</f>
        <v>7.9229733127412377E-4</v>
      </c>
      <c r="J104" s="17">
        <f si="81" t="shared"/>
        <v>7.549388446826433E-4</v>
      </c>
      <c r="K104" s="17">
        <f si="81" t="shared"/>
        <v>9.7461879507756526E-3</v>
      </c>
      <c r="L104" s="17">
        <f si="81" t="shared"/>
        <v>2.9581402416590653E-3</v>
      </c>
      <c r="M104" s="18">
        <f si="81" t="shared"/>
        <v>5.4541551343363741E-3</v>
      </c>
    </row>
    <row r="105" spans="1:13" x14ac:dyDescent="0.25">
      <c r="A105" s="12">
        <v>0.9375</v>
      </c>
      <c r="B105" s="18">
        <f ref="B105:F105" si="82" t="shared">B48/B$59</f>
        <v>2.0419210977685274E-4</v>
      </c>
      <c r="C105" s="18">
        <f si="82" t="shared"/>
        <v>3.0587709742985429E-5</v>
      </c>
      <c r="D105" s="18">
        <f si="82" t="shared"/>
        <v>2.7891954841432775E-3</v>
      </c>
      <c r="E105" s="18">
        <f si="82" t="shared"/>
        <v>5.3008319108365218E-5</v>
      </c>
      <c r="F105" s="18">
        <f si="82" t="shared"/>
        <v>1.2728320668869398E-3</v>
      </c>
      <c r="H105" s="12">
        <v>0.9375</v>
      </c>
      <c r="I105" s="17">
        <f ref="I105:M105" si="83" t="shared">I48/I$59</f>
        <v>5.9853775072908806E-4</v>
      </c>
      <c r="J105" s="17">
        <f si="83" t="shared"/>
        <v>4.5276845979060331E-4</v>
      </c>
      <c r="K105" s="17">
        <f si="83" t="shared"/>
        <v>6.4921371621482456E-3</v>
      </c>
      <c r="L105" s="17">
        <f si="83" t="shared"/>
        <v>1.9280880561387429E-3</v>
      </c>
      <c r="M105" s="18">
        <f si="83" t="shared"/>
        <v>3.6441594084115781E-3</v>
      </c>
    </row>
    <row r="106" spans="1:13" x14ac:dyDescent="0.25">
      <c r="A106" s="12">
        <v>0.95833333333333337</v>
      </c>
      <c r="B106" s="18">
        <f ref="B106:F106" si="84" t="shared">B49/B$59</f>
        <v>1.3282553869349356E-4</v>
      </c>
      <c r="C106" s="18">
        <f si="84" t="shared"/>
        <v>1.3067589116837404E-5</v>
      </c>
      <c r="D106" s="18">
        <f si="84" t="shared"/>
        <v>1.6010927179247458E-3</v>
      </c>
      <c r="E106" s="18">
        <f si="84" t="shared"/>
        <v>3.8168317249931225E-5</v>
      </c>
      <c r="F106" s="18">
        <f si="84" t="shared"/>
        <v>7.3618006497955051E-4</v>
      </c>
      <c r="H106" s="12">
        <v>0.95833333333333337</v>
      </c>
      <c r="I106" s="17">
        <f ref="I106:M106" si="85" t="shared">I49/I$59</f>
        <v>4.3627088238410968E-4</v>
      </c>
      <c r="J106" s="17">
        <f si="85" t="shared"/>
        <v>2.3555906147584914E-4</v>
      </c>
      <c r="K106" s="17">
        <f si="85" t="shared"/>
        <v>4.0095465612616935E-3</v>
      </c>
      <c r="L106" s="17">
        <f si="85" t="shared"/>
        <v>1.0959201386886333E-3</v>
      </c>
      <c r="M106" s="18">
        <f si="85" t="shared"/>
        <v>2.2579989039601353E-3</v>
      </c>
    </row>
    <row r="107" spans="1:13" x14ac:dyDescent="0.25">
      <c r="A107" s="12">
        <v>0.97916666666666663</v>
      </c>
      <c r="B107" s="18">
        <f ref="B107:F107" si="86" t="shared">B50/B$59</f>
        <v>8.0035533893987846E-5</v>
      </c>
      <c r="C107" s="18">
        <f si="86" t="shared"/>
        <v>4.7999673927051135E-6</v>
      </c>
      <c r="D107" s="18">
        <f si="86" t="shared"/>
        <v>8.5074674549547437E-4</v>
      </c>
      <c r="E107" s="18">
        <f si="86" t="shared"/>
        <v>2.3235188203583801E-5</v>
      </c>
      <c r="F107" s="18">
        <f si="86" t="shared"/>
        <v>3.9451165572734195E-4</v>
      </c>
      <c r="H107" s="12">
        <v>0.97916666666666663</v>
      </c>
      <c r="I107" s="17">
        <f ref="I107:M107" si="87" t="shared">I50/I$59</f>
        <v>3.0174658682897634E-4</v>
      </c>
      <c r="J107" s="17">
        <f si="87" t="shared"/>
        <v>1.0412004694473208E-4</v>
      </c>
      <c r="K107" s="17">
        <f si="87" t="shared"/>
        <v>2.3107326766994805E-3</v>
      </c>
      <c r="L107" s="17">
        <f si="87" t="shared"/>
        <v>5.4696732611974165E-4</v>
      </c>
      <c r="M107" s="18">
        <f si="87" t="shared"/>
        <v>1.3062823377073826E-3</v>
      </c>
    </row>
    <row r="108" spans="1:13" x14ac:dyDescent="0.25">
      <c r="A108" s="12">
        <v>1</v>
      </c>
      <c r="B108" s="18">
        <f ref="B108:F108" si="88" t="shared">B51/B$59</f>
        <v>4.4313497223316537E-5</v>
      </c>
      <c r="C108" s="18">
        <f si="88" t="shared"/>
        <v>1.4375079379482149E-6</v>
      </c>
      <c r="D108" s="18">
        <f si="88" t="shared"/>
        <v>4.1243557889912753E-4</v>
      </c>
      <c r="E108" s="18">
        <f si="88" t="shared"/>
        <v>1.1587548068912417E-5</v>
      </c>
      <c r="F108" s="18">
        <f si="88" t="shared"/>
        <v>1.9317797675650871E-4</v>
      </c>
      <c r="H108" s="12">
        <v>1</v>
      </c>
      <c r="I108" s="17">
        <f ref="I108:M108" si="89" t="shared">I51/I$59</f>
        <v>1.9330496184227867E-4</v>
      </c>
      <c r="J108" s="17">
        <f si="89" t="shared"/>
        <v>3.8469231569574416E-5</v>
      </c>
      <c r="K108" s="17">
        <f si="89" t="shared"/>
        <v>1.2483566778846789E-3</v>
      </c>
      <c r="L108" s="17">
        <f si="89" t="shared"/>
        <v>2.4566274058303018E-4</v>
      </c>
      <c r="M108" s="18">
        <f si="89" t="shared"/>
        <v>7.089517542954554E-4</v>
      </c>
    </row>
    <row r="109" spans="1:13" x14ac:dyDescent="0.25">
      <c r="A109" s="12">
        <v>1.0208333333333333</v>
      </c>
      <c r="B109" s="18">
        <f ref="B109:F109" si="90" t="shared">B52/B$59</f>
        <v>2.2399994876280062E-5</v>
      </c>
      <c r="C109" s="18">
        <f si="90" t="shared"/>
        <v>3.3184421966862784E-7</v>
      </c>
      <c r="D109" s="18">
        <f si="90" t="shared"/>
        <v>1.8075373139578364E-4</v>
      </c>
      <c r="E109" s="18">
        <f si="90" t="shared"/>
        <v>4.6326471314575184E-6</v>
      </c>
      <c r="F109" s="18">
        <f si="90" t="shared"/>
        <v>8.5692936758357291E-5</v>
      </c>
      <c r="H109" s="12">
        <v>1.0208333333333333</v>
      </c>
      <c r="I109" s="17">
        <f ref="I109:M109" si="91" t="shared">I52/I$59</f>
        <v>1.1144394369803445E-4</v>
      </c>
      <c r="J109" s="17">
        <f si="91" t="shared"/>
        <v>1.1784960630403235E-5</v>
      </c>
      <c r="K109" s="17">
        <f si="91" t="shared"/>
        <v>6.2785441255883471E-4</v>
      </c>
      <c r="L109" s="17">
        <f si="91" t="shared"/>
        <v>1.0326609510762018E-4</v>
      </c>
      <c r="M109" s="18">
        <f si="91" t="shared"/>
        <v>3.5839063733023545E-4</v>
      </c>
    </row>
    <row r="110" spans="1:13" x14ac:dyDescent="0.25">
      <c r="A110" s="12">
        <v>4.1666666666666664E-2</v>
      </c>
      <c r="B110" s="18">
        <f ref="B110:F110" si="92" t="shared">B53/B$59</f>
        <v>1.020332419415086E-5</v>
      </c>
      <c r="C110" s="18">
        <f si="92" t="shared"/>
        <v>5.4911945924439233E-8</v>
      </c>
      <c r="D110" s="18">
        <f si="92" t="shared"/>
        <v>7.0936165128910735E-5</v>
      </c>
      <c r="E110" s="18">
        <f si="92" t="shared"/>
        <v>1.4476088585560579E-6</v>
      </c>
      <c r="F110" s="18">
        <f si="92" t="shared"/>
        <v>3.4119564907335824E-5</v>
      </c>
      <c r="H110" s="12">
        <v>4.1666666666666664E-2</v>
      </c>
      <c r="I110" s="17">
        <f ref="I110:M110" si="93" t="shared">I53/I$59</f>
        <v>5.6146511527579816E-5</v>
      </c>
      <c r="J110" s="17">
        <f si="93" t="shared"/>
        <v>3.0391428340599725E-6</v>
      </c>
      <c r="K110" s="17">
        <f si="93" t="shared"/>
        <v>2.8737040175644946E-4</v>
      </c>
      <c r="L110" s="17">
        <f si="93" t="shared"/>
        <v>4.1832801125604144E-5</v>
      </c>
      <c r="M110" s="18">
        <f si="93" t="shared"/>
        <v>1.6486803123068249E-4</v>
      </c>
    </row>
    <row r="111" spans="1:13" x14ac:dyDescent="0.25">
      <c r="A111" s="12">
        <v>6.25E-2</v>
      </c>
      <c r="B111" s="18">
        <f ref="B111:F111" si="94" t="shared">B54/B$59</f>
        <v>4.0882333085287707E-6</v>
      </c>
      <c r="C111" s="18">
        <f si="94" t="shared"/>
        <v>5.7696700151717485E-9</v>
      </c>
      <c r="D111" s="18">
        <f si="94" t="shared"/>
        <v>2.4522344292220296E-5</v>
      </c>
      <c r="E111" s="18">
        <f si="94" t="shared"/>
        <v>3.4061384907201359E-7</v>
      </c>
      <c r="F111" s="18">
        <f si="94" t="shared"/>
        <v>1.19912359392845E-5</v>
      </c>
      <c r="H111" s="12">
        <v>6.25E-2</v>
      </c>
      <c r="I111" s="17">
        <f ref="I111:M111" si="95" t="shared">I54/I$59</f>
        <v>2.4027992428945493E-5</v>
      </c>
      <c r="J111" s="17">
        <f si="95" t="shared"/>
        <v>7.0654161959639613E-7</v>
      </c>
      <c r="K111" s="17">
        <f si="95" t="shared"/>
        <v>1.1565582345783667E-4</v>
      </c>
      <c r="L111" s="17">
        <f si="95" t="shared"/>
        <v>1.6076600941032985E-5</v>
      </c>
      <c r="M111" s="18">
        <f si="95" t="shared"/>
        <v>6.665157505790003E-5</v>
      </c>
    </row>
    <row r="112" spans="1:13" x14ac:dyDescent="0.25">
      <c r="A112" s="12">
        <v>8.3333333333333329E-2</v>
      </c>
      <c r="B112" s="18">
        <f ref="B112:F112" si="96" t="shared">B55/B$59</f>
        <v>1.3920208623382917E-6</v>
      </c>
      <c r="C112" s="18">
        <f si="96" t="shared"/>
        <v>2.8848350075858738E-10</v>
      </c>
      <c r="D112" s="18">
        <f si="96" t="shared"/>
        <v>7.2624361416281069E-6</v>
      </c>
      <c r="E112" s="18">
        <f si="96" t="shared"/>
        <v>5.6768974845335601E-8</v>
      </c>
      <c r="F112" s="18">
        <f si="96" t="shared"/>
        <v>3.6155281055285517E-6</v>
      </c>
      <c r="H112" s="12">
        <v>8.3333333333333329E-2</v>
      </c>
      <c r="I112" s="17">
        <f ref="I112:M112" si="97" t="shared">I55/I$59</f>
        <v>8.487340843535496E-6</v>
      </c>
      <c r="J112" s="17">
        <f si="97" t="shared"/>
        <v>1.6626756883182027E-7</v>
      </c>
      <c r="K112" s="17">
        <f si="97" t="shared"/>
        <v>3.935124791913216E-5</v>
      </c>
      <c r="L112" s="17">
        <f si="97" t="shared"/>
        <v>5.5187315887748005E-6</v>
      </c>
      <c r="M112" s="18">
        <f si="97" t="shared"/>
        <v>2.2761674918551325E-5</v>
      </c>
    </row>
    <row r="113" spans="1:13" x14ac:dyDescent="0.25">
      <c r="A113" s="12">
        <v>0.10416666666666667</v>
      </c>
      <c r="B113" s="18">
        <f ref="B113:F113" si="98" t="shared">B56/B$59</f>
        <v>3.8588050391263632E-7</v>
      </c>
      <c r="C113" s="18">
        <f si="98" t="shared"/>
        <v>0</v>
      </c>
      <c r="D113" s="18">
        <f si="98" t="shared"/>
        <v>1.7690083601255148E-6</v>
      </c>
      <c r="E113" s="18">
        <f si="98" t="shared"/>
        <v>5.9756815626669049E-9</v>
      </c>
      <c r="F113" s="18">
        <f si="98" t="shared"/>
        <v>8.9751574135801607E-7</v>
      </c>
      <c r="H113" s="12">
        <v>0.10416666666666667</v>
      </c>
      <c r="I113" s="17">
        <f ref="I113:M113" si="99" t="shared">I56/I$59</f>
        <v>2.3945846843996228E-6</v>
      </c>
      <c r="J113" s="17">
        <f si="99" t="shared"/>
        <v>4.0438011004623068E-8</v>
      </c>
      <c r="K113" s="17">
        <f si="99" t="shared"/>
        <v>1.085104587618898E-5</v>
      </c>
      <c r="L113" s="17">
        <f si="99" t="shared"/>
        <v>1.5730037718428169E-6</v>
      </c>
      <c r="M113" s="18">
        <f si="99" t="shared"/>
        <v>6.2947928924259859E-6</v>
      </c>
    </row>
    <row r="114" spans="1:13" x14ac:dyDescent="0.25">
      <c r="A114" s="12">
        <v>0.125</v>
      </c>
      <c r="B114" s="18">
        <f ref="B114:F114" si="100" t="shared">B57/B$59</f>
        <v>8.1422344066775396E-8</v>
      </c>
      <c r="C114" s="18">
        <f si="100" t="shared"/>
        <v>0</v>
      </c>
      <c r="D114" s="18">
        <f si="100" t="shared"/>
        <v>3.3154805703569833E-7</v>
      </c>
      <c r="E114" s="18">
        <f si="100" t="shared"/>
        <v>2.987840781333452E-10</v>
      </c>
      <c r="F114" s="18">
        <f si="100" t="shared"/>
        <v>1.7152693499898192E-7</v>
      </c>
      <c r="H114" s="12">
        <v>0.125</v>
      </c>
      <c r="I114" s="17">
        <f ref="I114:M114" si="101" t="shared">I57/I$59</f>
        <v>5.0931948570751042E-7</v>
      </c>
      <c r="J114" s="17">
        <f si="101" t="shared"/>
        <v>8.6170085583492755E-9</v>
      </c>
      <c r="K114" s="17">
        <f si="101" t="shared"/>
        <v>2.2748676784270701E-6</v>
      </c>
      <c r="L114" s="17">
        <f si="101" t="shared"/>
        <v>3.4193757104982463E-7</v>
      </c>
      <c r="M114" s="18">
        <f si="101" t="shared"/>
        <v>1.322589108507908E-6</v>
      </c>
    </row>
    <row ht="15.75" r="115" spans="1:13" thickBot="1" x14ac:dyDescent="0.3">
      <c r="A115" s="13" t="s">
        <v>34</v>
      </c>
      <c r="B115" s="20">
        <f ref="B115:F115" si="102" t="shared">B58/B$59</f>
        <v>0</v>
      </c>
      <c r="C115" s="20">
        <f si="102" t="shared"/>
        <v>0</v>
      </c>
      <c r="D115" s="20">
        <f si="102" t="shared"/>
        <v>0</v>
      </c>
      <c r="E115" s="20">
        <f si="102" t="shared"/>
        <v>0</v>
      </c>
      <c r="F115" s="20">
        <f si="102" t="shared"/>
        <v>0</v>
      </c>
      <c r="H115" s="13" t="s">
        <v>34</v>
      </c>
      <c r="I115" s="19">
        <f ref="I115:M115" si="103" t="shared">I58/I$59</f>
        <v>0</v>
      </c>
      <c r="J115" s="19">
        <f si="103" t="shared"/>
        <v>0</v>
      </c>
      <c r="K115" s="19">
        <f si="103" t="shared"/>
        <v>0</v>
      </c>
      <c r="L115" s="19">
        <f si="103" t="shared"/>
        <v>0</v>
      </c>
      <c r="M115" s="20">
        <f si="103" t="shared"/>
        <v>0</v>
      </c>
    </row>
  </sheetData>
  <pageMargins bottom="0.75" footer="0.3" header="0.3" left="0.7" right="0.7" top="0.75"/>
  <pageSetup orientation="portrait" r:id="rId1"/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Q115"/>
  <sheetViews>
    <sheetView workbookViewId="0"/>
  </sheetViews>
  <sheetFormatPr defaultRowHeight="15" x14ac:dyDescent="0.25"/>
  <cols>
    <col min="1" max="1" customWidth="true" width="12.7109375" collapsed="true"/>
    <col min="2" max="6" customWidth="true" width="10.7109375" collapsed="true"/>
    <col min="7" max="7" customWidth="true" width="6.42578125" collapsed="true"/>
    <col min="8" max="8" customWidth="true" width="12.7109375" collapsed="true"/>
    <col min="9" max="13" customWidth="true" width="10.7109375" collapsed="true"/>
  </cols>
  <sheetData>
    <row r="1" spans="1:17" x14ac:dyDescent="0.25">
      <c r="A1" t="s">
        <v>10</v>
      </c>
    </row>
    <row r="2" spans="1:17" x14ac:dyDescent="0.25">
      <c r="A2" t="s">
        <v>46</v>
      </c>
    </row>
    <row r="3" spans="1:17" x14ac:dyDescent="0.25">
      <c r="A3" t="s">
        <v>7</v>
      </c>
    </row>
    <row ht="15.75" r="6" spans="1:17" thickBot="1" x14ac:dyDescent="0.3">
      <c r="A6" s="3" t="s">
        <v>49</v>
      </c>
      <c r="B6" s="1"/>
      <c r="C6" s="1"/>
      <c r="D6" s="1"/>
      <c r="E6" s="1"/>
      <c r="F6" s="1"/>
      <c r="H6" s="3" t="s">
        <v>11</v>
      </c>
      <c r="I6" s="1"/>
      <c r="J6" s="1"/>
      <c r="K6" s="1"/>
      <c r="L6" s="1"/>
      <c r="M6" s="1"/>
      <c r="O6" s="11"/>
      <c r="P6" s="5"/>
      <c r="Q6" s="5"/>
    </row>
    <row r="7" spans="1:17" x14ac:dyDescent="0.25">
      <c r="A7" s="2" t="s">
        <v>4</v>
      </c>
      <c r="B7" s="4" t="s">
        <v>1</v>
      </c>
      <c r="C7" s="4" t="s">
        <v>2</v>
      </c>
      <c r="D7" s="4" t="s">
        <v>16</v>
      </c>
      <c r="E7" s="4" t="s">
        <v>3</v>
      </c>
      <c r="F7" s="4" t="s">
        <v>0</v>
      </c>
      <c r="H7" s="2" t="s">
        <v>4</v>
      </c>
      <c r="I7" s="4" t="s">
        <v>1</v>
      </c>
      <c r="J7" s="4" t="s">
        <v>2</v>
      </c>
      <c r="K7" s="4" t="s">
        <v>16</v>
      </c>
      <c r="L7" s="4" t="s">
        <v>3</v>
      </c>
      <c r="M7" s="4" t="s">
        <v>0</v>
      </c>
      <c r="O7" s="5"/>
      <c r="P7" s="14"/>
      <c r="Q7" s="14"/>
    </row>
    <row r="8" spans="1:17" x14ac:dyDescent="0.25">
      <c r="A8" t="s">
        <v>5</v>
      </c>
      <c r="B8" s="6" t="n">
        <v>0.0</v>
      </c>
      <c r="C8" s="6" t="n">
        <v>0.0</v>
      </c>
      <c r="D8" s="6" t="n">
        <v>0.0</v>
      </c>
      <c r="E8" s="6" t="n">
        <v>0.0</v>
      </c>
      <c r="F8" s="6">
        <f>SUM(B8:E8)</f>
        <v>7416.2103040000002</v>
      </c>
      <c r="H8" t="s">
        <v>5</v>
      </c>
      <c r="I8" s="9" t="n">
        <v>20636.0</v>
      </c>
      <c r="J8" s="9" t="n">
        <v>13.0</v>
      </c>
      <c r="K8" s="9" t="n">
        <v>119.0</v>
      </c>
      <c r="L8" s="9" t="n">
        <v>132.0</v>
      </c>
      <c r="M8">
        <f>SUM(I8:L8)</f>
        <v>19749</v>
      </c>
      <c r="O8" s="5"/>
      <c r="P8" s="16"/>
      <c r="Q8" s="16"/>
    </row>
    <row r="9" spans="1:17" x14ac:dyDescent="0.25">
      <c r="A9" s="12">
        <v>0.125</v>
      </c>
      <c r="B9" s="6" t="n">
        <v>11.860858197402955</v>
      </c>
      <c r="C9" s="6" t="n">
        <v>3.1040471858978265</v>
      </c>
      <c r="D9" s="6" t="n">
        <v>748.740271625614</v>
      </c>
      <c r="E9" s="6" t="n">
        <v>2.7699098006248466</v>
      </c>
      <c r="F9" s="6">
        <f ref="F9:F58" si="0" t="shared">SUM(B9:E9)</f>
        <v>4975.2158017202755</v>
      </c>
      <c r="H9" s="12">
        <v>0.125</v>
      </c>
      <c r="I9" s="9" t="n">
        <v>13723.679146766663</v>
      </c>
      <c r="J9" s="9" t="n">
        <v>25.265847206115723</v>
      </c>
      <c r="K9" s="9" t="n">
        <v>698.0036468505859</v>
      </c>
      <c r="L9" s="9" t="n">
        <v>433.9671049118042</v>
      </c>
      <c r="M9">
        <f ref="M9:M58" si="1" t="shared">SUM(I9:L9)</f>
        <v>13509.245190620422</v>
      </c>
      <c r="O9" s="5"/>
      <c r="P9" s="16"/>
      <c r="Q9" s="16"/>
    </row>
    <row r="10" spans="1:17" x14ac:dyDescent="0.25">
      <c r="A10" s="12">
        <v>0.14583333333333334</v>
      </c>
      <c r="B10" s="6" t="n">
        <v>24.669009416389468</v>
      </c>
      <c r="C10" s="6" t="n">
        <v>5.267014935493468</v>
      </c>
      <c r="D10" s="6" t="n">
        <v>1570.620464527416</v>
      </c>
      <c r="E10" s="6" t="n">
        <v>7.015904091072081</v>
      </c>
      <c r="F10" s="6">
        <f si="0" t="shared"/>
        <v>2989.959121676864</v>
      </c>
      <c r="H10" s="12">
        <v>0.14583333333333334</v>
      </c>
      <c r="I10" s="9" t="n">
        <v>7955.446704864502</v>
      </c>
      <c r="J10" s="9" t="n">
        <v>32.89792537689209</v>
      </c>
      <c r="K10" s="9" t="n">
        <v>1079.3961963653564</v>
      </c>
      <c r="L10" s="9" t="n">
        <v>584.205039024353</v>
      </c>
      <c r="M10">
        <f si="1" t="shared"/>
        <v>8371.43665599823</v>
      </c>
      <c r="O10" s="5"/>
      <c r="P10" s="16"/>
      <c r="Q10" s="16"/>
    </row>
    <row r="11" spans="1:17" x14ac:dyDescent="0.25">
      <c r="A11" s="12">
        <v>0.16666666666666666</v>
      </c>
      <c r="B11" s="6" t="n">
        <v>40.50191222085952</v>
      </c>
      <c r="C11" s="6" t="n">
        <v>6.053466344356536</v>
      </c>
      <c r="D11" s="6" t="n">
        <v>2580.9874275952334</v>
      </c>
      <c r="E11" s="6" t="n">
        <v>14.558411630535124</v>
      </c>
      <c r="F11" s="6">
        <f si="0" t="shared"/>
        <v>1753.6808745345556</v>
      </c>
      <c r="H11" s="12">
        <v>0.16666666666666666</v>
      </c>
      <c r="I11" s="9" t="n">
        <v>3951.9735431671143</v>
      </c>
      <c r="J11" s="9" t="n">
        <v>40.39621543884277</v>
      </c>
      <c r="K11" s="9" t="n">
        <v>1316.0454711914062</v>
      </c>
      <c r="L11" s="9" t="n">
        <v>543.541256904602</v>
      </c>
      <c r="M11">
        <f si="1" t="shared"/>
        <v>4970.5979661941528</v>
      </c>
      <c r="O11" s="5"/>
      <c r="P11" s="16"/>
      <c r="Q11" s="16"/>
    </row>
    <row r="12" spans="1:17" x14ac:dyDescent="0.25">
      <c r="A12" s="12">
        <v>0.1875</v>
      </c>
      <c r="B12" s="6" t="n">
        <v>67.14152354612351</v>
      </c>
      <c r="C12" s="6" t="n">
        <v>5.757725789928436</v>
      </c>
      <c r="D12" s="6" t="n">
        <v>3982.1124852575304</v>
      </c>
      <c r="E12" s="6" t="n">
        <v>28.59778157711029</v>
      </c>
      <c r="F12" s="6">
        <f si="0" t="shared"/>
        <v>1370.1068250859387</v>
      </c>
      <c r="H12" s="12">
        <v>0.1875</v>
      </c>
      <c r="I12" s="9" t="n">
        <v>1660.1411581039429</v>
      </c>
      <c r="J12" s="9" t="n">
        <v>67.70944786071777</v>
      </c>
      <c r="K12" s="9" t="n">
        <v>1818.465280532837</v>
      </c>
      <c r="L12" s="9" t="n">
        <v>396.127423286438</v>
      </c>
      <c r="M12">
        <f si="1" t="shared"/>
        <v>3360.3436002731323</v>
      </c>
      <c r="O12" s="5"/>
      <c r="P12" s="5"/>
      <c r="Q12" s="5"/>
    </row>
    <row r="13" spans="1:17" x14ac:dyDescent="0.25">
      <c r="A13" s="12">
        <v>0.20833333333333334</v>
      </c>
      <c r="B13" s="6" t="n">
        <v>125.34193425312043</v>
      </c>
      <c r="C13" s="6" t="n">
        <v>5.739126749897004</v>
      </c>
      <c r="D13" s="6" t="n">
        <v>6089.824191972446</v>
      </c>
      <c r="E13" s="6" t="n">
        <v>55.466330255699155</v>
      </c>
      <c r="F13" s="6">
        <f si="0" t="shared"/>
        <v>1852.8447191624521</v>
      </c>
      <c r="H13" s="12">
        <v>0.20833333333333334</v>
      </c>
      <c r="I13" s="9" t="n">
        <v>601.9322147369385</v>
      </c>
      <c r="J13" s="9" t="n">
        <v>152.41386222839355</v>
      </c>
      <c r="K13" s="9" t="n">
        <v>3305.064787864685</v>
      </c>
      <c r="L13" s="9" t="n">
        <v>273.7289352416992</v>
      </c>
      <c r="M13">
        <f si="1" t="shared"/>
        <v>3258.8038673400879</v>
      </c>
    </row>
    <row r="14" spans="1:17" x14ac:dyDescent="0.25">
      <c r="A14" s="12">
        <v>0.22916666666666666</v>
      </c>
      <c r="B14" s="6" t="n">
        <v>252.81649604158406</v>
      </c>
      <c r="C14" s="6" t="n">
        <v>10.221563792419435</v>
      </c>
      <c r="D14" s="6" t="n">
        <v>9299.446804607296</v>
      </c>
      <c r="E14" s="6" t="n">
        <v>106.17602677383425</v>
      </c>
      <c r="F14" s="6">
        <f si="0" t="shared"/>
        <v>3209.6432096437211</v>
      </c>
      <c r="H14" s="12">
        <v>0.22916666666666666</v>
      </c>
      <c r="I14" s="9" t="n">
        <v>243.1695909500122</v>
      </c>
      <c r="J14" s="9" t="n">
        <v>345.09204387664795</v>
      </c>
      <c r="K14" s="9" t="n">
        <v>6644.960845947266</v>
      </c>
      <c r="L14" s="9" t="n">
        <v>288.70713996887207</v>
      </c>
      <c r="M14">
        <f si="1" t="shared"/>
        <v>4365.0907859802246</v>
      </c>
    </row>
    <row r="15" spans="1:17" x14ac:dyDescent="0.25">
      <c r="A15" s="12">
        <v>0.25</v>
      </c>
      <c r="B15" s="6" t="n">
        <v>498.23511807527547</v>
      </c>
      <c r="C15" s="6" t="n">
        <v>31.603925664806365</v>
      </c>
      <c r="D15" s="6" t="n">
        <v>13960.547735930251</v>
      </c>
      <c r="E15" s="6" t="n">
        <v>196.48055437231068</v>
      </c>
      <c r="F15" s="6">
        <f si="0" t="shared"/>
        <v>5391.613559179521</v>
      </c>
      <c r="H15" s="12">
        <v>0.25</v>
      </c>
      <c r="I15" s="9" t="n">
        <v>215.48294639587402</v>
      </c>
      <c r="J15" s="9" t="n">
        <v>694.1338891983032</v>
      </c>
      <c r="K15" s="9" t="n">
        <v>12595.159267425537</v>
      </c>
      <c r="L15" s="9" t="n">
        <v>528.9115915298462</v>
      </c>
      <c r="M15">
        <f si="1" t="shared"/>
        <v>6487.6136102676392</v>
      </c>
    </row>
    <row r="16" spans="1:17" x14ac:dyDescent="0.25">
      <c r="A16" s="12">
        <v>0.27083333333333331</v>
      </c>
      <c r="B16" s="6" t="n">
        <v>906.2282089595794</v>
      </c>
      <c r="C16" s="6" t="n">
        <v>100.15391604251863</v>
      </c>
      <c r="D16" s="6" t="n">
        <v>20183.677357735825</v>
      </c>
      <c r="E16" s="6" t="n">
        <v>345.1216323990822</v>
      </c>
      <c r="F16" s="6">
        <f si="0" t="shared"/>
        <v>8149.730144570909</v>
      </c>
      <c r="H16" s="12">
        <v>0.27083333333333331</v>
      </c>
      <c r="I16" s="9" t="n">
        <v>341.3054533004761</v>
      </c>
      <c r="J16" s="9" t="n">
        <v>1223.968267440796</v>
      </c>
      <c r="K16" s="9" t="n">
        <v>21448.95051765442</v>
      </c>
      <c r="L16" s="9" t="n">
        <v>1086.778060913086</v>
      </c>
      <c r="M16">
        <f si="1" t="shared"/>
        <v>9471.2687463760376</v>
      </c>
    </row>
    <row r="17" spans="1:13" x14ac:dyDescent="0.25">
      <c r="A17" s="12">
        <v>0.29166666666666669</v>
      </c>
      <c r="B17" s="6" t="n">
        <v>1505.6049511196138</v>
      </c>
      <c r="C17" s="6" t="n">
        <v>273.3988158119202</v>
      </c>
      <c r="D17" s="6" t="n">
        <v>27667.599376918028</v>
      </c>
      <c r="E17" s="6" t="n">
        <v>571.7717420674325</v>
      </c>
      <c r="F17" s="6">
        <f si="0" t="shared"/>
        <v>10983.422594968006</v>
      </c>
      <c r="H17" s="12">
        <v>0.29166666666666669</v>
      </c>
      <c r="I17" s="9" t="n">
        <v>566.984787940979</v>
      </c>
      <c r="J17" s="9" t="n">
        <v>1923.6365585327148</v>
      </c>
      <c r="K17" s="9" t="n">
        <v>32747.6766166687</v>
      </c>
      <c r="L17" s="9" t="n">
        <v>2081.8295574188232</v>
      </c>
      <c r="M17">
        <f si="1" t="shared"/>
        <v>13089.920762062073</v>
      </c>
    </row>
    <row r="18" spans="1:13" x14ac:dyDescent="0.25">
      <c r="A18" s="12">
        <v>0.3125</v>
      </c>
      <c r="B18" s="6" t="n">
        <v>2313.686225522423</v>
      </c>
      <c r="C18" s="6" t="n">
        <v>632.5935747756959</v>
      </c>
      <c r="D18" s="6" t="n">
        <v>35673.402813586334</v>
      </c>
      <c r="E18" s="6" t="n">
        <v>897.1926784758568</v>
      </c>
      <c r="F18" s="6">
        <f si="0" t="shared"/>
        <v>13321.289491280584</v>
      </c>
      <c r="H18" s="12">
        <v>0.3125</v>
      </c>
      <c r="I18" s="9" t="n">
        <v>907.0513286590576</v>
      </c>
      <c r="J18" s="9" t="n">
        <v>2761.5048112869263</v>
      </c>
      <c r="K18" s="9" t="n">
        <v>45270.28433799744</v>
      </c>
      <c r="L18" s="9" t="n">
        <v>3680.904613494873</v>
      </c>
      <c r="M18">
        <f si="1" t="shared"/>
        <v>17055.833312988281</v>
      </c>
    </row>
    <row r="19" spans="1:13" x14ac:dyDescent="0.25">
      <c r="A19" s="12">
        <v>0.33333333333333331</v>
      </c>
      <c r="B19" s="6" t="n">
        <v>3354.4616636529922</v>
      </c>
      <c r="C19" s="6" t="n">
        <v>1255.264201865864</v>
      </c>
      <c r="D19" s="6" t="n">
        <v>43244.707669676965</v>
      </c>
      <c r="E19" s="6" t="n">
        <v>1347.1195920407297</v>
      </c>
      <c r="F19" s="6">
        <f si="0" t="shared"/>
        <v>14852.634805263802</v>
      </c>
      <c r="H19" s="12">
        <v>0.33333333333333331</v>
      </c>
      <c r="I19" s="9" t="n">
        <v>1424.4257259368896</v>
      </c>
      <c r="J19" s="9" t="n">
        <v>3718.2103366851807</v>
      </c>
      <c r="K19" s="9" t="n">
        <v>57362.8083114624</v>
      </c>
      <c r="L19" s="9" t="n">
        <v>6132.967652320862</v>
      </c>
      <c r="M19">
        <f si="1" t="shared"/>
        <v>21152.017528533936</v>
      </c>
    </row>
    <row r="20" spans="1:13" x14ac:dyDescent="0.25">
      <c r="A20" s="12">
        <v>0.35416666666666669</v>
      </c>
      <c r="B20" s="6" t="n">
        <v>4675.4435414993295</v>
      </c>
      <c r="C20" s="6" t="n">
        <v>2174.048767280007</v>
      </c>
      <c r="D20" s="6" t="n">
        <v>49641.35650306024</v>
      </c>
      <c r="E20" s="6" t="n">
        <v>1960.3181900420186</v>
      </c>
      <c r="F20" s="6">
        <f si="0" t="shared"/>
        <v>15755.594344868276</v>
      </c>
      <c r="H20" s="12">
        <v>0.35416666666666669</v>
      </c>
      <c r="I20" s="9" t="n">
        <v>2214.151337623596</v>
      </c>
      <c r="J20" s="9" t="n">
        <v>4805.888855934143</v>
      </c>
      <c r="K20" s="9" t="n">
        <v>67442.20672988892</v>
      </c>
      <c r="L20" s="9" t="n">
        <v>9775.614446640015</v>
      </c>
      <c r="M20">
        <f si="1" t="shared"/>
        <v>25351.560762405396</v>
      </c>
    </row>
    <row r="21" spans="1:13" x14ac:dyDescent="0.25">
      <c r="A21" s="12">
        <v>0.375</v>
      </c>
      <c r="B21" s="6" t="n">
        <v>6355.572816901779</v>
      </c>
      <c r="C21" s="6" t="n">
        <v>3355.5937292057993</v>
      </c>
      <c r="D21" s="6" t="n">
        <v>54747.8801814785</v>
      </c>
      <c r="E21" s="6" t="n">
        <v>2801.97843812046</v>
      </c>
      <c r="F21" s="6">
        <f si="0" t="shared"/>
        <v>16638.976391969136</v>
      </c>
      <c r="H21" s="12">
        <v>0.375</v>
      </c>
      <c r="I21" s="9" t="n">
        <v>3358.2885131835938</v>
      </c>
      <c r="J21" s="9" t="n">
        <v>6049.4684228897095</v>
      </c>
      <c r="K21" s="9" t="n">
        <v>74427.64669132233</v>
      </c>
      <c r="L21" s="9" t="n">
        <v>14922.811767578125</v>
      </c>
      <c r="M21">
        <f si="1" t="shared"/>
        <v>29775.337032318115</v>
      </c>
    </row>
    <row r="22" spans="1:13" x14ac:dyDescent="0.25">
      <c r="A22" s="12">
        <v>0.39583333333333331</v>
      </c>
      <c r="B22" s="6" t="n">
        <v>8505.306728272248</v>
      </c>
      <c r="C22" s="6" t="n">
        <v>4722.1098657499315</v>
      </c>
      <c r="D22" s="6" t="n">
        <v>59117.22669982271</v>
      </c>
      <c r="E22" s="6" t="n">
        <v>3978.476070519733</v>
      </c>
      <c r="F22" s="6">
        <f si="0" t="shared"/>
        <v>18244.699277874341</v>
      </c>
      <c r="H22" s="12">
        <v>0.39583333333333331</v>
      </c>
      <c r="I22" s="9" t="n">
        <v>4863.935397148132</v>
      </c>
      <c r="J22" s="9" t="n">
        <v>7444.918876647949</v>
      </c>
      <c r="K22" s="9" t="n">
        <v>77947.37476921082</v>
      </c>
      <c r="L22" s="9" t="n">
        <v>21623.79266643524</v>
      </c>
      <c r="M22">
        <f si="1" t="shared"/>
        <v>34494.129699707031</v>
      </c>
    </row>
    <row r="23" spans="1:13" x14ac:dyDescent="0.25">
      <c r="A23" s="12">
        <v>0.41666666666666669</v>
      </c>
      <c r="B23" s="6" t="n">
        <v>11242.11341562853</v>
      </c>
      <c r="C23" s="6" t="n">
        <v>6196.06165715866</v>
      </c>
      <c r="D23" s="6" t="n">
        <v>63513.16191519203</v>
      </c>
      <c r="E23" s="6" t="n">
        <v>5628.133730839444</v>
      </c>
      <c r="F23" s="6">
        <f si="0" t="shared"/>
        <v>21097.167342147244</v>
      </c>
      <c r="H23" s="12">
        <v>0.41666666666666669</v>
      </c>
      <c r="I23" s="9" t="n">
        <v>6637.924423217773</v>
      </c>
      <c r="J23" s="9" t="n">
        <v>8938.313816070557</v>
      </c>
      <c r="K23" s="9" t="n">
        <v>78312.2160024643</v>
      </c>
      <c r="L23" s="9" t="n">
        <v>29447.09630203247</v>
      </c>
      <c r="M23">
        <f si="1" t="shared"/>
        <v>39368.681839942932</v>
      </c>
    </row>
    <row r="24" spans="1:13" x14ac:dyDescent="0.25">
      <c r="A24" s="12">
        <v>0.4375</v>
      </c>
      <c r="B24" s="6" t="n">
        <v>14614.207139444545</v>
      </c>
      <c r="C24" s="6" t="n">
        <v>7742.548106969357</v>
      </c>
      <c r="D24" s="6" t="n">
        <v>68247.2409931819</v>
      </c>
      <c r="E24" s="6" t="n">
        <v>7844.46759395733</v>
      </c>
      <c r="F24" s="6">
        <f si="0" t="shared"/>
        <v>25257.529183751085</v>
      </c>
      <c r="H24" s="12">
        <v>0.4375</v>
      </c>
      <c r="I24" s="9" t="n">
        <v>8538.77124786377</v>
      </c>
      <c r="J24" s="9" t="n">
        <v>10452.053254127502</v>
      </c>
      <c r="K24" s="9" t="n">
        <v>76337.32517623901</v>
      </c>
      <c r="L24" s="9" t="n">
        <v>37481.46857833862</v>
      </c>
      <c r="M24">
        <f si="1" t="shared"/>
        <v>44119.033046722412</v>
      </c>
    </row>
    <row r="25" spans="1:13" x14ac:dyDescent="0.25">
      <c r="A25" s="12">
        <v>0.45833333333333331</v>
      </c>
      <c r="B25" s="6" t="n">
        <v>18508.41791378689</v>
      </c>
      <c r="C25" s="6" t="n">
        <v>9445.14520679388</v>
      </c>
      <c r="D25" s="6" t="n">
        <v>72868.99092901745</v>
      </c>
      <c r="E25" s="6" t="n">
        <v>10526.713353036597</v>
      </c>
      <c r="F25" s="6">
        <f si="0" t="shared"/>
        <v>30282.276485380193</v>
      </c>
      <c r="H25" s="12">
        <v>0.45833333333333331</v>
      </c>
      <c r="I25" s="9" t="n">
        <v>10481.439506530762</v>
      </c>
      <c r="J25" s="9" t="n">
        <v>11940.55841255188</v>
      </c>
      <c r="K25" s="9" t="n">
        <v>73113.51027011871</v>
      </c>
      <c r="L25" s="9" t="n">
        <v>44568.84956741333</v>
      </c>
      <c r="M25">
        <f si="1" t="shared"/>
        <v>48582.617538452148</v>
      </c>
    </row>
    <row r="26" spans="1:13" x14ac:dyDescent="0.25">
      <c r="A26" s="12">
        <v>0.47916666666666669</v>
      </c>
      <c r="B26" s="6" t="n">
        <v>22672.456661578373</v>
      </c>
      <c r="C26" s="6" t="n">
        <v>11674.858584590816</v>
      </c>
      <c r="D26" s="6" t="n">
        <v>76524.3628165535</v>
      </c>
      <c r="E26" s="6" t="n">
        <v>13255.124206575967</v>
      </c>
      <c r="F26" s="6">
        <f si="0" t="shared"/>
        <v>35469.603366214607</v>
      </c>
      <c r="H26" s="12">
        <v>0.47916666666666669</v>
      </c>
      <c r="I26" s="9" t="n">
        <v>12524.414352416992</v>
      </c>
      <c r="J26" s="9" t="n">
        <v>13447.374777793884</v>
      </c>
      <c r="K26" s="9" t="n">
        <v>69800.12819480896</v>
      </c>
      <c r="L26" s="9" t="n">
        <v>49603.844913482666</v>
      </c>
      <c r="M26">
        <f si="1" t="shared"/>
        <v>52909.757683753967</v>
      </c>
    </row>
    <row r="27" spans="1:13" x14ac:dyDescent="0.25">
      <c r="A27" s="12">
        <v>0.5</v>
      </c>
      <c r="B27" s="6" t="n">
        <v>26950.256955573946</v>
      </c>
      <c r="C27" s="6" t="n">
        <v>15268.477774055673</v>
      </c>
      <c r="D27" s="6" t="n">
        <v>78709.36604278718</v>
      </c>
      <c r="E27" s="6" t="n">
        <v>15348.120319541838</v>
      </c>
      <c r="F27" s="6">
        <f si="0" t="shared"/>
        <v>40379.094991087361</v>
      </c>
      <c r="H27" s="12">
        <v>0.5</v>
      </c>
      <c r="I27" s="9" t="n">
        <v>14901.959030151367</v>
      </c>
      <c r="J27" s="9" t="n">
        <v>15174.161268234253</v>
      </c>
      <c r="K27" s="9" t="n">
        <v>67481.17724227905</v>
      </c>
      <c r="L27" s="9" t="n">
        <v>51768.8973941803</v>
      </c>
      <c r="M27">
        <f si="1" t="shared"/>
        <v>57512.156547546387</v>
      </c>
    </row>
    <row r="28" spans="1:13" x14ac:dyDescent="0.25">
      <c r="A28" s="12">
        <v>0.52083333333333337</v>
      </c>
      <c r="B28" s="6" t="n">
        <v>31625.091300573542</v>
      </c>
      <c r="C28" s="6" t="n">
        <v>21409.940102838897</v>
      </c>
      <c r="D28" s="6" t="n">
        <v>79776.80523915721</v>
      </c>
      <c r="E28" s="6" t="n">
        <v>16150.996295641711</v>
      </c>
      <c r="F28" s="6">
        <f si="0" t="shared"/>
        <v>45344.814412334708</v>
      </c>
      <c r="H28" s="12">
        <v>0.52083333333333337</v>
      </c>
      <c r="I28" s="9" t="n">
        <v>18042.642749786377</v>
      </c>
      <c r="J28" s="9" t="n">
        <v>17575.445914268494</v>
      </c>
      <c r="K28" s="9" t="n">
        <v>67121.52376270294</v>
      </c>
      <c r="L28" s="9" t="n">
        <v>50714.60560512543</v>
      </c>
      <c r="M28">
        <f si="1" t="shared"/>
        <v>62843.822834968567</v>
      </c>
    </row>
    <row r="29" spans="1:13" x14ac:dyDescent="0.25">
      <c r="A29" s="12">
        <v>0.54166666666666663</v>
      </c>
      <c r="B29" s="6" t="n">
        <v>37584.87152008304</v>
      </c>
      <c r="C29" s="6" t="n">
        <v>30934.090527940174</v>
      </c>
      <c r="D29" s="6" t="n">
        <v>80764.10186432133</v>
      </c>
      <c r="E29" s="6" t="n">
        <v>15389.022977920153</v>
      </c>
      <c r="F29" s="6">
        <f si="0" t="shared"/>
        <v>51484.161275018341</v>
      </c>
      <c r="H29" s="12">
        <v>0.54166666666666663</v>
      </c>
      <c r="I29" s="9" t="n">
        <v>22632.131422042847</v>
      </c>
      <c r="J29" s="9" t="n">
        <v>21372.261533737183</v>
      </c>
      <c r="K29" s="9" t="n">
        <v>69615.84218502045</v>
      </c>
      <c r="L29" s="9" t="n">
        <v>46690.93042087555</v>
      </c>
      <c r="M29">
        <f si="1" t="shared"/>
        <v>69219.774929046631</v>
      </c>
    </row>
    <row r="30" spans="1:13" x14ac:dyDescent="0.25">
      <c r="A30" s="12">
        <v>0.5625</v>
      </c>
      <c r="B30" s="6" t="n">
        <v>46081.92041479626</v>
      </c>
      <c r="C30" s="6" t="n">
        <v>43255.38900366496</v>
      </c>
      <c r="D30" s="6" t="n">
        <v>82669.55430825234</v>
      </c>
      <c r="E30" s="6" t="n">
        <v>13322.386546973994</v>
      </c>
      <c r="F30" s="6">
        <f si="0" t="shared"/>
        <v>59921.333523446927</v>
      </c>
      <c r="H30" s="12">
        <v>0.5625</v>
      </c>
      <c r="I30" s="9" t="n">
        <v>29674.8504486084</v>
      </c>
      <c r="J30" s="9" t="n">
        <v>27244.76281642914</v>
      </c>
      <c r="K30" s="9" t="n">
        <v>75779.29401302338</v>
      </c>
      <c r="L30" s="9" t="n">
        <v>40523.34656715393</v>
      </c>
      <c r="M30">
        <f si="1" t="shared"/>
        <v>76723.314558982849</v>
      </c>
    </row>
    <row r="31" spans="1:13" x14ac:dyDescent="0.25">
      <c r="A31" s="12">
        <v>0.58333333333333337</v>
      </c>
      <c r="B31" s="6" t="n">
        <v>58115.56383976841</v>
      </c>
      <c r="C31" s="6" t="n">
        <v>55750.60310034742</v>
      </c>
      <c r="D31" s="6" t="n">
        <v>85709.12614112205</v>
      </c>
      <c r="E31" s="6" t="n">
        <v>10592.067275917723</v>
      </c>
      <c r="F31" s="6">
        <f si="0" t="shared"/>
        <v>70641.103737553654</v>
      </c>
      <c r="H31" s="12">
        <v>0.58333333333333337</v>
      </c>
      <c r="I31" s="9" t="n">
        <v>40364.467248916626</v>
      </c>
      <c r="J31" s="9" t="n">
        <v>35136.254344940186</v>
      </c>
      <c r="K31" s="9" t="n">
        <v>86037.06181526184</v>
      </c>
      <c r="L31" s="9" t="n">
        <v>33357.216077804565</v>
      </c>
      <c r="M31">
        <f si="1" t="shared"/>
        <v>85085.110322952271</v>
      </c>
    </row>
    <row r="32" spans="1:13" x14ac:dyDescent="0.25">
      <c r="A32" s="12">
        <v>0.60416666666666663</v>
      </c>
      <c r="B32" s="6" t="n">
        <v>73700.20559708872</v>
      </c>
      <c r="C32" s="6" t="n">
        <v>64466.2960766778</v>
      </c>
      <c r="D32" s="6" t="n">
        <v>89085.9635059271</v>
      </c>
      <c r="E32" s="6" t="n">
        <v>7889.201255691051</v>
      </c>
      <c r="F32" s="6">
        <f si="0" t="shared"/>
        <v>81948.899260578968</v>
      </c>
      <c r="H32" s="12">
        <v>0.60416666666666663</v>
      </c>
      <c r="I32" s="9" t="n">
        <v>55564.59110355377</v>
      </c>
      <c r="J32" s="9" t="n">
        <v>43644.404178619385</v>
      </c>
      <c r="K32" s="9" t="n">
        <v>99786.003657341</v>
      </c>
      <c r="L32" s="9" t="n">
        <v>26284.127117156982</v>
      </c>
      <c r="M32">
        <f si="1" t="shared"/>
        <v>93535.452040672302</v>
      </c>
    </row>
    <row r="33" spans="1:13" x14ac:dyDescent="0.25">
      <c r="A33" s="12">
        <v>0.625</v>
      </c>
      <c r="B33" s="6" t="n">
        <v>91357.5301124236</v>
      </c>
      <c r="C33" s="6" t="n">
        <v>66098.32539580089</v>
      </c>
      <c r="D33" s="6" t="n">
        <v>91473.73048340302</v>
      </c>
      <c r="E33" s="6" t="n">
        <v>5675.794721872044</v>
      </c>
      <c r="F33" s="6">
        <f si="0" t="shared"/>
        <v>91170.174165851597</v>
      </c>
      <c r="H33" s="12">
        <v>0.625</v>
      </c>
      <c r="I33" s="9" t="n">
        <v>74946.841796875</v>
      </c>
      <c r="J33" s="9" t="n">
        <v>50286.13624191284</v>
      </c>
      <c r="K33" s="9" t="n">
        <v>114857.84457874298</v>
      </c>
      <c r="L33" s="9" t="n">
        <v>20064.770133972168</v>
      </c>
      <c r="M33">
        <f si="1" t="shared"/>
        <v>100859.445353508</v>
      </c>
    </row>
    <row r="34" spans="1:13" x14ac:dyDescent="0.25">
      <c r="A34" s="12">
        <v>0.64583333333333337</v>
      </c>
      <c r="B34" s="6" t="n">
        <v>108114.0155694602</v>
      </c>
      <c r="C34" s="6" t="n">
        <v>59959.53046390353</v>
      </c>
      <c r="D34" s="6" t="n">
        <v>91938.37705496092</v>
      </c>
      <c r="E34" s="6" t="n">
        <v>4089.6755917223927</v>
      </c>
      <c r="F34" s="6">
        <f si="0" t="shared"/>
        <v>96104.835069655193</v>
      </c>
      <c r="H34" s="12">
        <v>0.64583333333333337</v>
      </c>
      <c r="I34" s="9" t="n">
        <v>96236.50343418121</v>
      </c>
      <c r="J34" s="9" t="n">
        <v>52806.918360710144</v>
      </c>
      <c r="K34" s="9" t="n">
        <v>127720.77023506165</v>
      </c>
      <c r="L34" s="9" t="n">
        <v>15054.482427597046</v>
      </c>
      <c r="M34">
        <f si="1" t="shared"/>
        <v>105780.59025001526</v>
      </c>
    </row>
    <row r="35" spans="1:13" x14ac:dyDescent="0.25">
      <c r="A35" s="12">
        <v>0.66666666666666663</v>
      </c>
      <c r="B35" s="6" t="n">
        <v>120156.64071540968</v>
      </c>
      <c r="C35" s="6" t="n">
        <v>48394.97056092939</v>
      </c>
      <c r="D35" s="6" t="n">
        <v>90671.92558540258</v>
      </c>
      <c r="E35" s="6" t="n">
        <v>3021.5754802845954</v>
      </c>
      <c r="F35" s="6">
        <f si="0" t="shared"/>
        <v>96035.749079304544</v>
      </c>
      <c r="H35" s="12">
        <v>0.66666666666666663</v>
      </c>
      <c r="I35" s="9" t="n">
        <v>115250.92261791229</v>
      </c>
      <c r="J35" s="9" t="n">
        <v>50570.5070848465</v>
      </c>
      <c r="K35" s="9" t="n">
        <v>134645.45086574554</v>
      </c>
      <c r="L35" s="9" t="n">
        <v>11280.40956401825</v>
      </c>
      <c r="M35">
        <f si="1" t="shared"/>
        <v>107407.91115188599</v>
      </c>
    </row>
    <row r="36" spans="1:13" x14ac:dyDescent="0.25">
      <c r="A36" s="12">
        <v>0.6875</v>
      </c>
      <c r="B36" s="6" t="n">
        <v>124083.70799717637</v>
      </c>
      <c r="C36" s="6" t="n">
        <v>35303.001969103236</v>
      </c>
      <c r="D36" s="6" t="n">
        <v>88992.31812217645</v>
      </c>
      <c r="E36" s="6" t="n">
        <v>2270.8680673419003</v>
      </c>
      <c r="F36" s="6">
        <f si="0" t="shared"/>
        <v>91625.125407691477</v>
      </c>
      <c r="H36" s="12">
        <v>0.6875</v>
      </c>
      <c r="I36" s="9" t="n">
        <v>127138.54959583282</v>
      </c>
      <c r="J36" s="9" t="n">
        <v>44790.65624713898</v>
      </c>
      <c r="K36" s="9" t="n">
        <v>133289.5991230011</v>
      </c>
      <c r="L36" s="9" t="n">
        <v>8570.840315818787</v>
      </c>
      <c r="M36">
        <f si="1" t="shared"/>
        <v>105393.34127521515</v>
      </c>
    </row>
    <row r="37" spans="1:13" x14ac:dyDescent="0.25">
      <c r="A37" s="12">
        <v>0.70833333333333337</v>
      </c>
      <c r="B37" s="6" t="n">
        <v>118337.20051338885</v>
      </c>
      <c r="C37" s="6" t="n">
        <v>23980.691699361705</v>
      </c>
      <c r="D37" s="6" t="n">
        <v>88582.02424398775</v>
      </c>
      <c r="E37" s="6" t="n">
        <v>1678.6659707979202</v>
      </c>
      <c r="F37" s="6">
        <f si="0" t="shared"/>
        <v>84158.349428847418</v>
      </c>
      <c r="H37" s="12">
        <v>0.70833333333333337</v>
      </c>
      <c r="I37" s="9" t="n">
        <v>128435.35092639923</v>
      </c>
      <c r="J37" s="9" t="n">
        <v>37471.56947231293</v>
      </c>
      <c r="K37" s="9" t="n">
        <v>123717.33916950226</v>
      </c>
      <c r="L37" s="9" t="n">
        <v>6671.262203216553</v>
      </c>
      <c r="M37">
        <f si="1" t="shared"/>
        <v>99844.623746871948</v>
      </c>
    </row>
    <row r="38" spans="1:13" x14ac:dyDescent="0.25">
      <c r="A38" s="12">
        <v>0.72916666666666663</v>
      </c>
      <c r="B38" s="6" t="n">
        <v>104069.21839070378</v>
      </c>
      <c r="C38" s="6" t="n">
        <v>15877.640828186606</v>
      </c>
      <c r="D38" s="6" t="n">
        <v>90467.78200275984</v>
      </c>
      <c r="E38" s="6" t="n">
        <v>1178.5256009099007</v>
      </c>
      <c r="F38" s="6">
        <f si="0" t="shared"/>
        <v>74977.014815686736</v>
      </c>
      <c r="H38" s="12">
        <v>0.72916666666666663</v>
      </c>
      <c r="I38" s="9" t="n">
        <v>118786.78461933136</v>
      </c>
      <c r="J38" s="9" t="n">
        <v>30149.326056480408</v>
      </c>
      <c r="K38" s="9" t="n">
        <v>108219.59648132324</v>
      </c>
      <c r="L38" s="9" t="n">
        <v>5322.043332099915</v>
      </c>
      <c r="M38">
        <f si="1" t="shared"/>
        <v>91312.339708328247</v>
      </c>
    </row>
    <row r="39" spans="1:13" x14ac:dyDescent="0.25">
      <c r="A39" s="12">
        <v>0.75</v>
      </c>
      <c r="B39" s="6" t="n">
        <v>84787.09984124861</v>
      </c>
      <c r="C39" s="6" t="n">
        <v>10787.59180691776</v>
      </c>
      <c r="D39" s="6" t="n">
        <v>94359.52668617497</v>
      </c>
      <c r="E39" s="6" t="n">
        <v>770.4066436223984</v>
      </c>
      <c r="F39" s="6">
        <f si="0" t="shared"/>
        <v>65338.535384430063</v>
      </c>
      <c r="H39" s="12">
        <v>0.75</v>
      </c>
      <c r="I39" s="9" t="n">
        <v>101175.04022216797</v>
      </c>
      <c r="J39" s="9" t="n">
        <v>23467.32484817505</v>
      </c>
      <c r="K39" s="9" t="n">
        <v>90163.94361305237</v>
      </c>
      <c r="L39" s="9" t="n">
        <v>4304.40292930603</v>
      </c>
      <c r="M39">
        <f si="1" t="shared"/>
        <v>80881.012214660645</v>
      </c>
    </row>
    <row r="40" spans="1:13" x14ac:dyDescent="0.25">
      <c r="A40" s="12">
        <v>0.77083333333333337</v>
      </c>
      <c r="B40" s="6" t="n">
        <v>64839.07094436226</v>
      </c>
      <c r="C40" s="6" t="n">
        <v>7791.708457080555</v>
      </c>
      <c r="D40" s="6" t="n">
        <v>98675.03205061884</v>
      </c>
      <c r="E40" s="6" t="n">
        <v>469.8394994855881</v>
      </c>
      <c r="F40" s="6">
        <f si="0" t="shared"/>
        <v>56338.456083353653</v>
      </c>
      <c r="H40" s="12">
        <v>0.77083333333333337</v>
      </c>
      <c r="I40" s="9" t="n">
        <v>80437.75083255768</v>
      </c>
      <c r="J40" s="9" t="n">
        <v>17560.917561531067</v>
      </c>
      <c r="K40" s="9" t="n">
        <v>72692.20613861084</v>
      </c>
      <c r="L40" s="9" t="n">
        <v>3475.6867332458496</v>
      </c>
      <c r="M40">
        <f si="1" t="shared"/>
        <v>70032.403502464294</v>
      </c>
    </row>
    <row r="41" spans="1:13" x14ac:dyDescent="0.25">
      <c r="A41" s="12">
        <v>0.79166666666666663</v>
      </c>
      <c r="B41" s="6" t="n">
        <v>47642.860730170156</v>
      </c>
      <c r="C41" s="6" t="n">
        <v>6025.126676452446</v>
      </c>
      <c r="D41" s="6" t="n">
        <v>101176.77589003058</v>
      </c>
      <c r="E41" s="6" t="n">
        <v>278.4778445270539</v>
      </c>
      <c r="F41" s="6">
        <f si="0" t="shared"/>
        <v>48650.878790329145</v>
      </c>
      <c r="H41" s="12">
        <v>0.79166666666666663</v>
      </c>
      <c r="I41" s="9" t="n">
        <v>61052.94449043274</v>
      </c>
      <c r="J41" s="9" t="n">
        <v>12532.727491378784</v>
      </c>
      <c r="K41" s="9" t="n">
        <v>57926.185395240784</v>
      </c>
      <c r="L41" s="9" t="n">
        <v>2792.636103630066</v>
      </c>
      <c r="M41">
        <f si="1" t="shared"/>
        <v>60136.838500976562</v>
      </c>
    </row>
    <row r="42" spans="1:13" x14ac:dyDescent="0.25">
      <c r="A42" s="12">
        <v>0.8125</v>
      </c>
      <c r="B42" s="6" t="n">
        <v>34713.60831762018</v>
      </c>
      <c r="C42" s="6" t="n">
        <v>4921.193335264493</v>
      </c>
      <c r="D42" s="6" t="n">
        <v>99872.47219272757</v>
      </c>
      <c r="E42" s="6" t="n">
        <v>182.6391951219559</v>
      </c>
      <c r="F42" s="6">
        <f si="0" t="shared"/>
        <v>42302.137564990582</v>
      </c>
      <c r="H42" s="12">
        <v>0.8125</v>
      </c>
      <c r="I42" s="9" t="n">
        <v>45577.29530143738</v>
      </c>
      <c r="J42" s="9" t="n">
        <v>8551.4947681427</v>
      </c>
      <c r="K42" s="9" t="n">
        <v>46774.60473442078</v>
      </c>
      <c r="L42" s="9" t="n">
        <v>2291.955870628357</v>
      </c>
      <c r="M42">
        <f si="1" t="shared"/>
        <v>51918.899082183838</v>
      </c>
    </row>
    <row r="43" spans="1:13" x14ac:dyDescent="0.25">
      <c r="A43" s="12">
        <v>0.83333333333333337</v>
      </c>
      <c r="B43" s="6" t="n">
        <v>25856.414016638944</v>
      </c>
      <c r="C43" s="6" t="n">
        <v>4140.6313764746665</v>
      </c>
      <c r="D43" s="6" t="n">
        <v>93761.97814460364</v>
      </c>
      <c r="E43" s="6" t="n">
        <v>160.10894815959932</v>
      </c>
      <c r="F43" s="6">
        <f si="0" t="shared"/>
        <v>36791.10871192818</v>
      </c>
      <c r="H43" s="12">
        <v>0.83333333333333337</v>
      </c>
      <c r="I43" s="9" t="n">
        <v>34458.780287742615</v>
      </c>
      <c r="J43" s="9" t="n">
        <v>5689.8745374679565</v>
      </c>
      <c r="K43" s="9" t="n">
        <v>39103.50601196289</v>
      </c>
      <c r="L43" s="9" t="n">
        <v>2016.720576286316</v>
      </c>
      <c r="M43">
        <f si="1" t="shared"/>
        <v>45338.386308670044</v>
      </c>
    </row>
    <row r="44" spans="1:13" x14ac:dyDescent="0.25">
      <c r="A44" s="12">
        <v>0.85416666666666663</v>
      </c>
      <c r="B44" s="6" t="n">
        <v>20046.498713067722</v>
      </c>
      <c r="C44" s="6" t="n">
        <v>3476.10309362154</v>
      </c>
      <c r="D44" s="6" t="n">
        <v>83141.91895143462</v>
      </c>
      <c r="E44" s="6" t="n">
        <v>181.80345647392275</v>
      </c>
      <c r="F44" s="6">
        <f si="0" t="shared"/>
        <v>31527.392994632883</v>
      </c>
      <c r="H44" s="12">
        <v>0.85416666666666663</v>
      </c>
      <c r="I44" s="9" t="n">
        <v>26883.51491355896</v>
      </c>
      <c r="J44" s="9" t="n">
        <v>3819.728575706482</v>
      </c>
      <c r="K44" s="9" t="n">
        <v>34080.48589706421</v>
      </c>
      <c r="L44" s="9" t="n">
        <v>1935.963981628418</v>
      </c>
      <c r="M44">
        <f si="1" t="shared"/>
        <v>39916.845747947693</v>
      </c>
    </row>
    <row r="45" spans="1:13" x14ac:dyDescent="0.25">
      <c r="A45" s="12">
        <v>0.875</v>
      </c>
      <c r="B45" s="6" t="n">
        <v>16242.435185546872</v>
      </c>
      <c r="C45" s="6" t="n">
        <v>2830.2003862343786</v>
      </c>
      <c r="D45" s="6" t="n">
        <v>69410.71997865906</v>
      </c>
      <c r="E45" s="6" t="n">
        <v>213.0262039278984</v>
      </c>
      <c r="F45" s="6">
        <f si="0" t="shared"/>
        <v>26238.858529290726</v>
      </c>
      <c r="H45" s="12">
        <v>0.875</v>
      </c>
      <c r="I45" s="9" t="n">
        <v>21767.97936439514</v>
      </c>
      <c r="J45" s="9" t="n">
        <v>2679.4265336990356</v>
      </c>
      <c r="K45" s="9" t="n">
        <v>30598.115516662598</v>
      </c>
      <c r="L45" s="9" t="n">
        <v>1928.4774150848389</v>
      </c>
      <c r="M45">
        <f si="1" t="shared"/>
        <v>35155.605030059814</v>
      </c>
    </row>
    <row r="46" spans="1:13" x14ac:dyDescent="0.25">
      <c r="A46" s="12">
        <v>0.89583333333333337</v>
      </c>
      <c r="B46" s="6" t="n">
        <v>13710.610974538515</v>
      </c>
      <c r="C46" s="6" t="n">
        <v>2213.625734893417</v>
      </c>
      <c r="D46" s="6" t="n">
        <v>54520.49880192748</v>
      </c>
      <c r="E46" s="6" t="n">
        <v>222.789016424942</v>
      </c>
      <c r="F46" s="6">
        <f si="0" t="shared"/>
        <v>21050.602688664971</v>
      </c>
      <c r="H46" s="12">
        <v>0.89583333333333337</v>
      </c>
      <c r="I46" s="9" t="n">
        <v>18257.012490272522</v>
      </c>
      <c r="J46" s="9" t="n">
        <v>2003.5741453170776</v>
      </c>
      <c r="K46" s="9" t="n">
        <v>27650.998023033142</v>
      </c>
      <c r="L46" s="9" t="n">
        <v>1849.366536140442</v>
      </c>
      <c r="M46">
        <f si="1" t="shared"/>
        <v>30724.345602035522</v>
      </c>
    </row>
    <row r="47" spans="1:13" x14ac:dyDescent="0.25">
      <c r="A47" s="12">
        <v>0.91666666666666663</v>
      </c>
      <c r="B47" s="6" t="n">
        <v>11936.251257094478</v>
      </c>
      <c r="C47" s="6" t="n">
        <v>1700.3777991815566</v>
      </c>
      <c r="D47" s="6" t="n">
        <v>40332.255951431565</v>
      </c>
      <c r="E47" s="6" t="n">
        <v>197.45027097816464</v>
      </c>
      <c r="F47" s="6">
        <f si="0" t="shared"/>
        <v>16260.064500646462</v>
      </c>
      <c r="H47" s="12">
        <v>0.91666666666666663</v>
      </c>
      <c r="I47" s="9" t="n">
        <v>15709.801778793335</v>
      </c>
      <c r="J47" s="9" t="n">
        <v>1592.1185264587402</v>
      </c>
      <c r="K47" s="9" t="n">
        <v>24542.23011493683</v>
      </c>
      <c r="L47" s="9" t="n">
        <v>1620.373435974121</v>
      </c>
      <c r="M47">
        <f si="1" t="shared"/>
        <v>26408.651262283325</v>
      </c>
    </row>
    <row r="48" spans="1:13" x14ac:dyDescent="0.25">
      <c r="A48" s="12">
        <v>0.9375</v>
      </c>
      <c r="B48" s="6" t="n">
        <v>10456.896130251216</v>
      </c>
      <c r="C48" s="6" t="n">
        <v>1345.3521027188299</v>
      </c>
      <c r="D48" s="6" t="n">
        <v>28137.491582407572</v>
      </c>
      <c r="E48" s="6" t="n">
        <v>145.64286827449797</v>
      </c>
      <c r="F48" s="6">
        <f si="0" t="shared"/>
        <v>12078.162584684953</v>
      </c>
      <c r="H48" s="12">
        <v>0.9375</v>
      </c>
      <c r="I48" s="9" t="n">
        <v>13553.763927459717</v>
      </c>
      <c r="J48" s="9" t="n">
        <v>1308.7201175689697</v>
      </c>
      <c r="K48" s="9" t="n">
        <v>20923.23060321808</v>
      </c>
      <c r="L48" s="9" t="n">
        <v>1266.2856636047363</v>
      </c>
      <c r="M48">
        <f si="1" t="shared"/>
        <v>22026.381702423096</v>
      </c>
    </row>
    <row r="49" spans="1:13" x14ac:dyDescent="0.25">
      <c r="A49" s="12">
        <v>0.95833333333333337</v>
      </c>
      <c r="B49" s="6" t="n">
        <v>8870.011583023166</v>
      </c>
      <c r="C49" s="6" t="n">
        <v>1126.245944373989</v>
      </c>
      <c r="D49" s="6" t="n">
        <v>18503.376215776538</v>
      </c>
      <c r="E49" s="6" t="n">
        <v>88.48158944988248</v>
      </c>
      <c r="F49" s="6">
        <f si="0" t="shared"/>
        <v>8555.629213309312</v>
      </c>
      <c r="H49" s="12">
        <v>0.95833333333333337</v>
      </c>
      <c r="I49" s="9" t="n">
        <v>11313.38128566742</v>
      </c>
      <c r="J49" s="9" t="n">
        <v>1064.3127183914185</v>
      </c>
      <c r="K49" s="9" t="n">
        <v>16774.123413085938</v>
      </c>
      <c r="L49" s="9" t="n">
        <v>876.6954679489136</v>
      </c>
      <c r="M49">
        <f si="1" t="shared"/>
        <v>17476.487879753113</v>
      </c>
    </row>
    <row r="50" spans="1:13" x14ac:dyDescent="0.25">
      <c r="A50" s="12">
        <v>0.97916666666666663</v>
      </c>
      <c r="B50" s="6" t="n">
        <v>6990.472794848155</v>
      </c>
      <c r="C50" s="6" t="n">
        <v>959.403177384281</v>
      </c>
      <c r="D50" s="6" t="n">
        <v>11413.364850509644</v>
      </c>
      <c r="E50" s="6" t="n">
        <v>43.76857959823607</v>
      </c>
      <c r="F50" s="6">
        <f si="0" t="shared"/>
        <v>5674.7533232447622</v>
      </c>
      <c r="H50" s="12">
        <v>0.97916666666666663</v>
      </c>
      <c r="I50" s="9" t="n">
        <v>8788.020777702332</v>
      </c>
      <c r="J50" s="9" t="n">
        <v>815.9294691085815</v>
      </c>
      <c r="K50" s="9" t="n">
        <v>12377.378196716309</v>
      </c>
      <c r="L50" s="9" t="n">
        <v>538.5239591598511</v>
      </c>
      <c r="M50">
        <f si="1" t="shared"/>
        <v>12873.27598285675</v>
      </c>
    </row>
    <row r="51" spans="1:13" x14ac:dyDescent="0.25">
      <c r="A51" s="12">
        <v>1</v>
      </c>
      <c r="B51" s="6" t="n">
        <v>4944.456305843925</v>
      </c>
      <c r="C51" s="6" t="n">
        <v>769.9680575637817</v>
      </c>
      <c r="D51" s="6" t="n">
        <v>6529.655533051109</v>
      </c>
      <c r="E51" s="6" t="n">
        <v>17.345875613117215</v>
      </c>
      <c r="F51" s="6">
        <f si="0" t="shared"/>
        <v>3437.8851618932026</v>
      </c>
      <c r="H51" s="12">
        <v>1</v>
      </c>
      <c r="I51" s="9" t="n">
        <v>6141.506110191345</v>
      </c>
      <c r="J51" s="9" t="n">
        <v>566.143877029419</v>
      </c>
      <c r="K51" s="9" t="n">
        <v>8225.941086769104</v>
      </c>
      <c r="L51" s="9" t="n">
        <v>294.54023456573486</v>
      </c>
      <c r="M51">
        <f si="1" t="shared"/>
        <v>8581.8658466339111</v>
      </c>
    </row>
    <row r="52" spans="1:13" x14ac:dyDescent="0.25">
      <c r="A52" s="12">
        <v>1.0208333333333333</v>
      </c>
      <c r="B52" s="6" t="n">
        <v>3057.5958280250543</v>
      </c>
      <c r="C52" s="6" t="n">
        <v>545.582996046257</v>
      </c>
      <c r="D52" s="6" t="n">
        <v>3404.1314559889793</v>
      </c>
      <c r="E52" s="6" t="n">
        <v>5.37659247970581</v>
      </c>
      <c r="F52" s="6">
        <f si="0" t="shared"/>
        <v>1852.7917614924247</v>
      </c>
      <c r="H52" s="12">
        <v>1.0208333333333333</v>
      </c>
      <c r="I52" s="9" t="n">
        <v>3758.562602996826</v>
      </c>
      <c r="J52" s="9" t="n">
        <v>344.80969047546387</v>
      </c>
      <c r="K52" s="9" t="n">
        <v>4819.680633544922</v>
      </c>
      <c r="L52" s="9" t="n">
        <v>143.53231525421143</v>
      </c>
      <c r="M52">
        <f si="1" t="shared"/>
        <v>5053.3429870605469</v>
      </c>
    </row>
    <row r="53" spans="1:13" x14ac:dyDescent="0.25">
      <c r="A53" s="12">
        <v>4.1666666666666664E-2</v>
      </c>
      <c r="B53" s="6" t="n">
        <v>1619.475039539337</v>
      </c>
      <c r="C53" s="6" t="n">
        <v>327.6700838720321</v>
      </c>
      <c r="D53" s="6" t="n">
        <v>1580.95728968935</v>
      </c>
      <c r="E53" s="6" t="n">
        <v>1.2559486387252807</v>
      </c>
      <c r="F53" s="6">
        <f si="0" t="shared"/>
        <v>866.24200283921914</v>
      </c>
      <c r="H53" s="12">
        <v>4.1666666666666664E-2</v>
      </c>
      <c r="I53" s="9" t="n">
        <v>1969.61039352417</v>
      </c>
      <c r="J53" s="9" t="n">
        <v>179.9798927307129</v>
      </c>
      <c r="K53" s="9" t="n">
        <v>2437.369300842285</v>
      </c>
      <c r="L53" s="9" t="n">
        <v>61.91655921936035</v>
      </c>
      <c r="M53">
        <f si="1" t="shared"/>
        <v>2568.9059314727783</v>
      </c>
    </row>
    <row r="54" spans="1:13" x14ac:dyDescent="0.25">
      <c r="A54" s="12">
        <v>6.25E-2</v>
      </c>
      <c r="B54" s="6" t="n">
        <v>721.2339609143257</v>
      </c>
      <c r="C54" s="6" t="n">
        <v>162.4290724134445</v>
      </c>
      <c r="D54" s="6" t="n">
        <v>637.2603541379926</v>
      </c>
      <c r="E54" s="6" t="n">
        <v>0.20796890068054197</v>
      </c>
      <c r="F54" s="6">
        <f si="0" t="shared"/>
        <v>342.9621715537624</v>
      </c>
      <c r="H54" s="12">
        <v>6.25E-2</v>
      </c>
      <c r="I54" s="9" t="n">
        <v>865.2397022247314</v>
      </c>
      <c r="J54" s="9" t="n">
        <v>78.79044532775879</v>
      </c>
      <c r="K54" s="9" t="n">
        <v>1040.7704725265503</v>
      </c>
      <c r="L54" s="9" t="n">
        <v>23.267074584960938</v>
      </c>
      <c r="M54">
        <f si="1" t="shared"/>
        <v>1102.0916261672974</v>
      </c>
    </row>
    <row r="55" spans="1:13" x14ac:dyDescent="0.25">
      <c r="A55" s="12">
        <v>8.3333333333333329E-2</v>
      </c>
      <c r="B55" s="6" t="n">
        <v>264.80063447570797</v>
      </c>
      <c r="C55" s="6" t="n">
        <v>64.96583788604735</v>
      </c>
      <c r="D55" s="6" t="n">
        <v>216.56808795471187</v>
      </c>
      <c r="E55" s="6" t="n">
        <v>0.021763253879547115</v>
      </c>
      <c r="F55" s="6">
        <f si="0" t="shared"/>
        <v>112.09634132846166</v>
      </c>
      <c r="H55" s="12">
        <v>8.3333333333333329E-2</v>
      </c>
      <c r="I55" s="9" t="n">
        <v>311.289589881897</v>
      </c>
      <c r="J55" s="9" t="n">
        <v>28.261311531066895</v>
      </c>
      <c r="K55" s="9" t="n">
        <v>366.1076669692993</v>
      </c>
      <c r="L55" s="9" t="n">
        <v>7.421126365661621</v>
      </c>
      <c r="M55">
        <f si="1" t="shared"/>
        <v>389.19606304168701</v>
      </c>
    </row>
    <row r="56" spans="1:13" x14ac:dyDescent="0.25">
      <c r="A56" s="12">
        <v>0.10416666666666667</v>
      </c>
      <c r="B56" s="6" t="n">
        <v>78.20921848802567</v>
      </c>
      <c r="C56" s="6" t="n">
        <v>20.418438381576532</v>
      </c>
      <c r="D56" s="6" t="n">
        <v>59.997967500495896</v>
      </c>
      <c r="E56" s="6" t="n">
        <v>0.0010823627471923827</v>
      </c>
      <c r="F56" s="6">
        <f si="0" t="shared"/>
        <v>29.332963290942189</v>
      </c>
      <c r="H56" s="12">
        <v>0.10416666666666667</v>
      </c>
      <c r="I56" s="9" t="n">
        <v>89.06417274475098</v>
      </c>
      <c r="J56" s="9" t="n">
        <v>8.065629005432129</v>
      </c>
      <c r="K56" s="9" t="n">
        <v>102.88588237762451</v>
      </c>
      <c r="L56" s="9" t="n">
        <v>1.9381122589111328</v>
      </c>
      <c r="M56">
        <f si="1" t="shared"/>
        <v>109.71604633331299</v>
      </c>
    </row>
    <row r="57" spans="1:13" x14ac:dyDescent="0.25">
      <c r="A57" s="12">
        <v>0.125</v>
      </c>
      <c r="B57" s="6" t="n">
        <v>17.63974053735733</v>
      </c>
      <c r="C57" s="6" t="n">
        <v>4.774561521053313</v>
      </c>
      <c r="D57" s="6" t="n">
        <v>12.780800234031677</v>
      </c>
      <c r="E57" s="6" t="n">
        <v>0.0</v>
      </c>
      <c r="F57" s="6">
        <f si="0" t="shared"/>
        <v>5.8175580711774826</v>
      </c>
      <c r="H57" s="12">
        <v>0.125</v>
      </c>
      <c r="I57" s="9" t="n">
        <v>19.159090042114258</v>
      </c>
      <c r="J57" s="9" t="n">
        <v>1.731642723083496</v>
      </c>
      <c r="K57" s="9" t="n">
        <v>21.8218936920166</v>
      </c>
      <c r="L57" s="9" t="n">
        <v>0.38950634002685547</v>
      </c>
      <c r="M57">
        <f si="1" t="shared"/>
        <v>23.325857162475586</v>
      </c>
    </row>
    <row r="58" spans="1:13" x14ac:dyDescent="0.25">
      <c r="A58" s="21" t="s">
        <v>6</v>
      </c>
      <c r="B58" s="22" t="n">
        <v>0.0</v>
      </c>
      <c r="C58" s="22" t="n">
        <v>0.0</v>
      </c>
      <c r="D58" s="22" t="n">
        <v>0.0</v>
      </c>
      <c r="E58" s="22" t="n">
        <v>0.0</v>
      </c>
      <c r="F58" s="22">
        <f si="0" t="shared"/>
        <v>0</v>
      </c>
      <c r="G58" s="5"/>
      <c r="H58" s="21" t="s">
        <v>6</v>
      </c>
      <c r="I58" s="24" t="n">
        <v>0.0</v>
      </c>
      <c r="J58" s="24" t="n">
        <v>0.0</v>
      </c>
      <c r="K58" s="24" t="n">
        <v>0.0</v>
      </c>
      <c r="L58" s="24" t="n">
        <v>0.0</v>
      </c>
      <c r="M58" s="23">
        <f si="1" t="shared"/>
        <v>0</v>
      </c>
    </row>
    <row ht="15.75" r="59" spans="1:13" thickBot="1" x14ac:dyDescent="0.3">
      <c r="A59" s="1"/>
      <c r="B59" s="7">
        <f>SUM(B8:B58)</f>
        <v>558529.93791821622</v>
      </c>
      <c r="C59" s="7">
        <f>SUM(C8:C58)</f>
        <v>220937.67906382782</v>
      </c>
      <c r="D59" s="7">
        <f>SUM(D8:D58)</f>
        <v>637500.66663439025</v>
      </c>
      <c r="E59" s="7">
        <f>SUM(E8:E58)</f>
        <v>83288.277723889201</v>
      </c>
      <c r="F59" s="7">
        <f>SUM(F8:F58)</f>
        <v>1500256.5613403236</v>
      </c>
      <c r="H59" s="1"/>
      <c r="I59" s="7">
        <f>SUM(I8:I58)</f>
        <v>583210.2664232254</v>
      </c>
      <c r="J59" s="7">
        <f>SUM(J8:J58)</f>
        <v>269519.84250259399</v>
      </c>
      <c r="K59" s="7">
        <f>SUM(K8:K58)</f>
        <v>991231.38257598877</v>
      </c>
      <c r="L59" s="7">
        <f>SUM(L8:L58)</f>
        <v>121716.25802230835</v>
      </c>
      <c r="M59" s="7">
        <f>SUM(M8:M58)</f>
        <v>1965677.7495241165</v>
      </c>
    </row>
    <row ht="15.75" r="63" spans="1:13" thickBot="1" x14ac:dyDescent="0.3">
      <c r="A63" s="3" t="s">
        <v>47</v>
      </c>
      <c r="B63" s="1"/>
      <c r="C63" s="1"/>
      <c r="D63" s="1"/>
      <c r="E63" s="1"/>
      <c r="F63" s="1"/>
      <c r="H63" s="3" t="s">
        <v>12</v>
      </c>
      <c r="I63" s="1"/>
      <c r="J63" s="1"/>
      <c r="K63" s="1"/>
      <c r="L63" s="1"/>
      <c r="M63" s="1"/>
    </row>
    <row r="64" spans="1:13" x14ac:dyDescent="0.25">
      <c r="A64" s="2" t="s">
        <v>4</v>
      </c>
      <c r="B64" s="4" t="s">
        <v>48</v>
      </c>
      <c r="C64" s="4" t="s">
        <v>48</v>
      </c>
      <c r="D64" s="4" t="s">
        <v>48</v>
      </c>
      <c r="E64" s="4" t="s">
        <v>48</v>
      </c>
      <c r="F64" s="4" t="s">
        <v>48</v>
      </c>
      <c r="H64" s="2" t="s">
        <v>4</v>
      </c>
      <c r="I64" s="4" t="s">
        <v>35</v>
      </c>
      <c r="J64" s="4" t="s">
        <v>35</v>
      </c>
      <c r="K64" s="4" t="s">
        <v>35</v>
      </c>
      <c r="L64" s="4" t="s">
        <v>35</v>
      </c>
      <c r="M64" s="4" t="s">
        <v>35</v>
      </c>
    </row>
    <row r="65" spans="1:13" x14ac:dyDescent="0.25">
      <c r="A65" t="s">
        <v>5</v>
      </c>
      <c r="B65" s="18">
        <f>B8/B$59</f>
        <v>9.6333767963354081E-3</v>
      </c>
      <c r="C65" s="18">
        <f ref="C65:F65" si="2" t="shared">C8/C$59</f>
        <v>0</v>
      </c>
      <c r="D65" s="18">
        <f si="2" t="shared"/>
        <v>3.1932216961389828E-3</v>
      </c>
      <c r="E65" s="18">
        <f si="2" t="shared"/>
        <v>0</v>
      </c>
      <c r="F65" s="18">
        <f si="2" t="shared"/>
        <v>4.9432946971245941E-3</v>
      </c>
      <c r="H65" t="s">
        <v>5</v>
      </c>
      <c r="I65" s="17">
        <f ref="I65:M80" si="3" t="shared">I8/I$59</f>
        <v>1.5472978648581338E-2</v>
      </c>
      <c r="J65" s="17">
        <f si="3" t="shared"/>
        <v>5.5654529405773281E-5</v>
      </c>
      <c r="K65" s="17">
        <f si="3" t="shared"/>
        <v>1.0757326883950391E-2</v>
      </c>
      <c r="L65" s="17">
        <f si="3" t="shared"/>
        <v>3.8614397750697991E-4</v>
      </c>
      <c r="M65" s="18">
        <f si="3" t="shared"/>
        <v>1.0046916390431322E-2</v>
      </c>
    </row>
    <row r="66" spans="1:13" x14ac:dyDescent="0.25">
      <c r="A66" s="12">
        <v>0.125</v>
      </c>
      <c r="B66" s="18">
        <f ref="B66:F81" si="4" t="shared">B9/B$59</f>
        <v>6.3957623020340637E-3</v>
      </c>
      <c r="C66" s="18">
        <f si="4" t="shared"/>
        <v>4.6667151179682894E-8</v>
      </c>
      <c r="D66" s="18">
        <f si="4" t="shared"/>
        <v>2.2006827115907479E-3</v>
      </c>
      <c r="E66" s="18">
        <f si="4" t="shared"/>
        <v>5.2917415003555102E-7</v>
      </c>
      <c r="F66" s="18">
        <f si="4" t="shared"/>
        <v>3.3162433212592891E-3</v>
      </c>
      <c r="H66" s="12">
        <v>0.125</v>
      </c>
      <c r="I66" s="17">
        <f si="3" t="shared"/>
        <v>1.0306310214267436E-2</v>
      </c>
      <c r="J66" s="17">
        <f si="3" t="shared"/>
        <v>3.7422977665511375E-5</v>
      </c>
      <c r="K66" s="17">
        <f si="3" t="shared"/>
        <v>7.4857068338207971E-3</v>
      </c>
      <c r="L66" s="17">
        <f si="3" t="shared"/>
        <v>5.615149227761549E-4</v>
      </c>
      <c r="M66" s="18">
        <f si="3" t="shared"/>
        <v>6.8725635185578927E-3</v>
      </c>
    </row>
    <row r="67" spans="1:13" x14ac:dyDescent="0.25">
      <c r="A67" s="12">
        <v>0.14583333333333334</v>
      </c>
      <c r="B67" s="18">
        <f si="4" t="shared"/>
        <v>3.7010896610210078E-3</v>
      </c>
      <c r="C67" s="18">
        <f si="4" t="shared"/>
        <v>3.0613942035266172E-7</v>
      </c>
      <c r="D67" s="18">
        <f si="4" t="shared"/>
        <v>1.4469478270957524E-3</v>
      </c>
      <c r="E67" s="18">
        <f si="4" t="shared"/>
        <v>3.5047067042103118E-6</v>
      </c>
      <c r="F67" s="18">
        <f si="4" t="shared"/>
        <v>1.9929652025688499E-3</v>
      </c>
      <c r="H67" s="12">
        <v>0.14583333333333334</v>
      </c>
      <c r="I67" s="17">
        <f si="3" t="shared"/>
        <v>6.011805166704182E-3</v>
      </c>
      <c r="J67" s="17">
        <f si="3" t="shared"/>
        <v>2.4475776190733288E-5</v>
      </c>
      <c r="K67" s="17">
        <f si="3" t="shared"/>
        <v>4.8011414178852725E-3</v>
      </c>
      <c r="L67" s="17">
        <f si="3" t="shared"/>
        <v>8.1871897577215998E-4</v>
      </c>
      <c r="M67" s="18">
        <f si="3" t="shared"/>
        <v>4.2588042002433633E-3</v>
      </c>
    </row>
    <row r="68" spans="1:13" x14ac:dyDescent="0.25">
      <c r="A68" s="12">
        <v>0.16666666666666666</v>
      </c>
      <c r="B68" s="18">
        <f si="4" t="shared"/>
        <v>1.8439990624424245E-3</v>
      </c>
      <c r="C68" s="18">
        <f si="4" t="shared"/>
        <v>1.4995717158742125E-6</v>
      </c>
      <c r="D68" s="18">
        <f si="4" t="shared"/>
        <v>1.1325945559378268E-3</v>
      </c>
      <c r="E68" s="18">
        <f si="4" t="shared"/>
        <v>1.6702186358207437E-5</v>
      </c>
      <c r="F68" s="18">
        <f si="4" t="shared"/>
        <v>1.1689206497906088E-3</v>
      </c>
      <c r="H68" s="12">
        <v>0.16666666666666666</v>
      </c>
      <c r="I68" s="17">
        <f si="3" t="shared"/>
        <v>3.0621012920162951E-3</v>
      </c>
      <c r="J68" s="17">
        <f si="3" t="shared"/>
        <v>2.4996320187540523E-5</v>
      </c>
      <c r="K68" s="17">
        <f si="3" t="shared"/>
        <v>3.0593879975939807E-3</v>
      </c>
      <c r="L68" s="17">
        <f si="3" t="shared"/>
        <v>1.1949977698477283E-3</v>
      </c>
      <c r="M68" s="18">
        <f si="3" t="shared"/>
        <v>2.5286942213175669E-3</v>
      </c>
    </row>
    <row r="69" spans="1:13" x14ac:dyDescent="0.25">
      <c r="A69" s="12">
        <v>0.1875</v>
      </c>
      <c r="B69" s="18">
        <f si="4" t="shared"/>
        <v>8.0096916222650253E-4</v>
      </c>
      <c r="C69" s="18">
        <f si="4" t="shared"/>
        <v>5.8837934690612212E-6</v>
      </c>
      <c r="D69" s="18">
        <f si="4" t="shared"/>
        <v>1.4373517976011745E-3</v>
      </c>
      <c r="E69" s="18">
        <f si="4" t="shared"/>
        <v>6.1579947878549442E-5</v>
      </c>
      <c r="F69" s="18">
        <f si="4" t="shared"/>
        <v>9.1324834724394765E-4</v>
      </c>
      <c r="H69" s="12">
        <v>0.1875</v>
      </c>
      <c r="I69" s="17">
        <f si="3" t="shared"/>
        <v>1.4159412659004063E-3</v>
      </c>
      <c r="J69" s="17">
        <f si="3" t="shared"/>
        <v>5.5349967008163372E-5</v>
      </c>
      <c r="K69" s="17">
        <f si="3" t="shared"/>
        <v>2.3374580579099287E-3</v>
      </c>
      <c r="L69" s="17">
        <f si="3" t="shared"/>
        <v>1.6651220124148317E-3</v>
      </c>
      <c r="M69" s="18">
        <f si="3" t="shared"/>
        <v>1.7095088964031156E-3</v>
      </c>
    </row>
    <row r="70" spans="1:13" x14ac:dyDescent="0.25">
      <c r="A70" s="12">
        <v>0.20833333333333334</v>
      </c>
      <c r="B70" s="18">
        <f si="4" t="shared"/>
        <v>3.5090636385928304E-4</v>
      </c>
      <c r="C70" s="18">
        <f si="4" t="shared"/>
        <v>1.9146722729088286E-5</v>
      </c>
      <c r="D70" s="18">
        <f si="4" t="shared"/>
        <v>2.5683408266766799E-3</v>
      </c>
      <c r="E70" s="18">
        <f si="4" t="shared"/>
        <v>1.8374479971365926E-4</v>
      </c>
      <c r="F70" s="18">
        <f si="4" t="shared"/>
        <v>1.2350185740945053E-3</v>
      </c>
      <c r="H70" s="12">
        <v>0.20833333333333334</v>
      </c>
      <c r="I70" s="17">
        <f si="3" t="shared"/>
        <v>7.0771045548841105E-4</v>
      </c>
      <c r="J70" s="17">
        <f si="3" t="shared"/>
        <v>1.4475296323418431E-4</v>
      </c>
      <c r="K70" s="17">
        <f si="3" t="shared"/>
        <v>2.5654877708580501E-3</v>
      </c>
      <c r="L70" s="17">
        <f si="3" t="shared"/>
        <v>2.1694232339423019E-3</v>
      </c>
      <c r="M70" s="18">
        <f si="3" t="shared"/>
        <v>1.6578525488875439E-3</v>
      </c>
    </row>
    <row r="71" spans="1:13" x14ac:dyDescent="0.25">
      <c r="A71" s="12">
        <v>0.22916666666666666</v>
      </c>
      <c r="B71" s="18">
        <f si="4" t="shared"/>
        <v>2.5200264194346749E-4</v>
      </c>
      <c r="C71" s="18">
        <f si="4" t="shared"/>
        <v>5.2617902193362431E-5</v>
      </c>
      <c r="D71" s="18">
        <f si="4" t="shared"/>
        <v>4.7357964232294337E-3</v>
      </c>
      <c r="E71" s="18">
        <f si="4" t="shared"/>
        <v>4.5857036171515414E-4</v>
      </c>
      <c r="F71" s="18">
        <f si="4" t="shared"/>
        <v>2.1393962155221223E-3</v>
      </c>
      <c r="H71" s="12">
        <v>0.22916666666666666</v>
      </c>
      <c r="I71" s="17">
        <f si="3" t="shared"/>
        <v>5.2744234543151026E-4</v>
      </c>
      <c r="J71" s="17">
        <f si="3" t="shared"/>
        <v>3.3058974252547806E-4</v>
      </c>
      <c r="K71" s="17">
        <f si="3" t="shared"/>
        <v>3.6738358716066001E-3</v>
      </c>
      <c r="L71" s="17">
        <f si="3" t="shared"/>
        <v>2.6845969041376606E-3</v>
      </c>
      <c r="M71" s="18">
        <f si="3" t="shared"/>
        <v>2.2206543198838146E-3</v>
      </c>
    </row>
    <row r="72" spans="1:13" x14ac:dyDescent="0.25">
      <c r="A72" s="12">
        <v>0.25</v>
      </c>
      <c r="B72" s="18">
        <f si="4" t="shared"/>
        <v>3.4751706089966176E-4</v>
      </c>
      <c r="C72" s="18">
        <f si="4" t="shared"/>
        <v>1.2345479305849046E-4</v>
      </c>
      <c r="D72" s="18">
        <f si="4" t="shared"/>
        <v>7.9818691897090756E-3</v>
      </c>
      <c r="E72" s="18">
        <f si="4" t="shared"/>
        <v>9.8203653730454909E-4</v>
      </c>
      <c r="F72" s="18">
        <f si="4" t="shared"/>
        <v>3.5937943536555332E-3</v>
      </c>
      <c r="H72" s="12">
        <v>0.25</v>
      </c>
      <c r="I72" s="17">
        <f si="3" t="shared"/>
        <v>5.9082021233568087E-4</v>
      </c>
      <c r="J72" s="17">
        <f si="3" t="shared"/>
        <v>6.3911830522324744E-4</v>
      </c>
      <c r="K72" s="17">
        <f si="3" t="shared"/>
        <v>5.6184635469566776E-3</v>
      </c>
      <c r="L72" s="17">
        <f si="3" t="shared"/>
        <v>3.2993845586557608E-3</v>
      </c>
      <c r="M72" s="18">
        <f si="3" t="shared"/>
        <v>3.3004461752890405E-3</v>
      </c>
    </row>
    <row r="73" spans="1:13" x14ac:dyDescent="0.25">
      <c r="A73" s="12">
        <v>0.27083333333333331</v>
      </c>
      <c r="B73" s="18">
        <f si="4" t="shared"/>
        <v>5.7626433787899621E-4</v>
      </c>
      <c r="C73" s="18">
        <f si="4" t="shared"/>
        <v>2.499278000634538E-4</v>
      </c>
      <c r="D73" s="18">
        <f si="4" t="shared"/>
        <v>1.1951627749915532E-2</v>
      </c>
      <c r="E73" s="18">
        <f si="4" t="shared"/>
        <v>1.8427579233046346E-3</v>
      </c>
      <c r="F73" s="18">
        <f si="4" t="shared"/>
        <v>5.4322242972161842E-3</v>
      </c>
      <c r="H73" s="12">
        <v>0.27083333333333331</v>
      </c>
      <c r="I73" s="17">
        <f si="3" t="shared"/>
        <v>7.6314562901206218E-4</v>
      </c>
      <c r="J73" s="17">
        <f si="3" t="shared"/>
        <v>1.0636960043588274E-3</v>
      </c>
      <c r="K73" s="17">
        <f si="3" t="shared"/>
        <v>8.2963653351369408E-3</v>
      </c>
      <c r="L73" s="17">
        <f si="3" t="shared"/>
        <v>4.2384602359112475E-3</v>
      </c>
      <c r="M73" s="18">
        <f si="3" t="shared"/>
        <v>4.8183222039670532E-3</v>
      </c>
    </row>
    <row r="74" spans="1:13" x14ac:dyDescent="0.25">
      <c r="A74" s="12">
        <v>0.29166666666666669</v>
      </c>
      <c r="B74" s="18">
        <f si="4" t="shared"/>
        <v>9.3552804591256447E-4</v>
      </c>
      <c r="C74" s="18">
        <f si="4" t="shared"/>
        <v>4.4321008353220105E-4</v>
      </c>
      <c r="D74" s="18">
        <f si="4" t="shared"/>
        <v>1.5852295764808701E-2</v>
      </c>
      <c r="E74" s="18">
        <f si="4" t="shared"/>
        <v>3.0872441554353519E-3</v>
      </c>
      <c r="F74" s="18">
        <f si="4" t="shared"/>
        <v>7.3210295345453825E-3</v>
      </c>
      <c r="H74" s="12">
        <v>0.29166666666666669</v>
      </c>
      <c r="I74" s="17">
        <f si="3" t="shared"/>
        <v>1.014576985106601E-3</v>
      </c>
      <c r="J74" s="17">
        <f si="3" t="shared"/>
        <v>1.570059706430261E-3</v>
      </c>
      <c r="K74" s="17">
        <f si="3" t="shared"/>
        <v>1.1468450149022976E-2</v>
      </c>
      <c r="L74" s="17">
        <f si="3" t="shared"/>
        <v>5.8098985110515674E-3</v>
      </c>
      <c r="M74" s="18">
        <f si="3" t="shared"/>
        <v>6.6592404402151346E-3</v>
      </c>
    </row>
    <row r="75" spans="1:13" x14ac:dyDescent="0.25">
      <c r="A75" s="12">
        <v>0.3125</v>
      </c>
      <c r="B75" s="18">
        <f si="4" t="shared"/>
        <v>1.4443309042105441E-3</v>
      </c>
      <c r="C75" s="18">
        <f si="4" t="shared"/>
        <v>7.0457284521962919E-4</v>
      </c>
      <c r="D75" s="18">
        <f si="4" t="shared"/>
        <v>1.8770861587868937E-2</v>
      </c>
      <c r="E75" s="18">
        <f si="4" t="shared"/>
        <v>4.7123555321566543E-3</v>
      </c>
      <c r="F75" s="18">
        <f si="4" t="shared"/>
        <v>8.8793409304468527E-3</v>
      </c>
      <c r="H75" s="12">
        <v>0.3125</v>
      </c>
      <c r="I75" s="17">
        <f si="3" t="shared"/>
        <v>1.3800684094119368E-3</v>
      </c>
      <c r="J75" s="17">
        <f si="3" t="shared"/>
        <v>2.1480570838278402E-3</v>
      </c>
      <c r="K75" s="17">
        <f si="3" t="shared"/>
        <v>1.4789005024357165E-2</v>
      </c>
      <c r="L75" s="17">
        <f si="3" t="shared"/>
        <v>8.320115657274009E-3</v>
      </c>
      <c r="M75" s="18">
        <f si="3" t="shared"/>
        <v>8.6768206625513454E-3</v>
      </c>
    </row>
    <row r="76" spans="1:13" x14ac:dyDescent="0.25">
      <c r="A76" s="12">
        <v>0.33333333333333331</v>
      </c>
      <c r="B76" s="18">
        <f si="4" t="shared"/>
        <v>2.1290101541001551E-3</v>
      </c>
      <c r="C76" s="18">
        <f si="4" t="shared"/>
        <v>1.0375240891040785E-3</v>
      </c>
      <c r="D76" s="18">
        <f si="4" t="shared"/>
        <v>2.0193253965754911E-2</v>
      </c>
      <c r="E76" s="18">
        <f si="4" t="shared"/>
        <v>6.7365766527345671E-3</v>
      </c>
      <c r="F76" s="18">
        <f si="4" t="shared"/>
        <v>9.9000632211829909E-3</v>
      </c>
      <c r="H76" s="12">
        <v>0.33333333333333331</v>
      </c>
      <c r="I76" s="17">
        <f si="3" t="shared"/>
        <v>1.9412313165033861E-3</v>
      </c>
      <c r="J76" s="17">
        <f si="3" t="shared"/>
        <v>2.8830115613387979E-3</v>
      </c>
      <c r="K76" s="17">
        <f si="3" t="shared"/>
        <v>1.7936229588627475E-2</v>
      </c>
      <c r="L76" s="17">
        <f si="3" t="shared"/>
        <v>1.202706231486201E-2</v>
      </c>
      <c r="M76" s="18">
        <f si="3" t="shared"/>
        <v>1.0760674039096573E-2</v>
      </c>
    </row>
    <row r="77" spans="1:13" x14ac:dyDescent="0.25">
      <c r="A77" s="12">
        <v>0.35416666666666669</v>
      </c>
      <c r="B77" s="18">
        <f si="4" t="shared"/>
        <v>3.0350634052867232E-3</v>
      </c>
      <c r="C77" s="18">
        <f si="4" t="shared"/>
        <v>1.4718174843400753E-3</v>
      </c>
      <c r="D77" s="18">
        <f si="4" t="shared"/>
        <v>2.0318106783688047E-2</v>
      </c>
      <c r="E77" s="18">
        <f si="4" t="shared"/>
        <v>9.3942873183664836E-3</v>
      </c>
      <c r="F77" s="18">
        <f si="4" t="shared"/>
        <v>1.0501933303189347E-2</v>
      </c>
      <c r="H77" s="12">
        <v>0.35416666666666669</v>
      </c>
      <c r="I77" s="17">
        <f si="3" t="shared"/>
        <v>2.8066376537531452E-3</v>
      </c>
      <c r="J77" s="17">
        <f si="3" t="shared"/>
        <v>3.9760337509788437E-3</v>
      </c>
      <c r="K77" s="17">
        <f si="3" t="shared"/>
        <v>2.0739043782615988E-2</v>
      </c>
      <c r="L77" s="17">
        <f si="3" t="shared"/>
        <v>1.713731485180094E-2</v>
      </c>
      <c r="M77" s="18">
        <f si="3" t="shared"/>
        <v>1.2897109288917227E-2</v>
      </c>
    </row>
    <row r="78" spans="1:13" x14ac:dyDescent="0.25">
      <c r="A78" s="12">
        <v>0.375</v>
      </c>
      <c r="B78" s="18">
        <f si="4" t="shared"/>
        <v>4.2462128637665427E-3</v>
      </c>
      <c r="C78" s="18">
        <f si="4" t="shared"/>
        <v>2.0805158276814071E-3</v>
      </c>
      <c r="D78" s="18">
        <f si="4" t="shared"/>
        <v>1.990476668273088E-2</v>
      </c>
      <c r="E78" s="18">
        <f si="4" t="shared"/>
        <v>1.3427736143412573E-2</v>
      </c>
      <c r="F78" s="18">
        <f si="4" t="shared"/>
        <v>1.109075395551274E-2</v>
      </c>
      <c r="H78" s="12">
        <v>0.375</v>
      </c>
      <c r="I78" s="17">
        <f si="3" t="shared"/>
        <v>4.0660814380859295E-3</v>
      </c>
      <c r="J78" s="17">
        <f si="3" t="shared"/>
        <v>5.6632559434473513E-3</v>
      </c>
      <c r="K78" s="17">
        <f si="3" t="shared"/>
        <v>2.3187542278382971E-2</v>
      </c>
      <c r="L78" s="17">
        <f si="3" t="shared"/>
        <v>2.3771492810045387E-2</v>
      </c>
      <c r="M78" s="18">
        <f si="3" t="shared"/>
        <v>1.5147618697686646E-2</v>
      </c>
    </row>
    <row r="79" spans="1:13" x14ac:dyDescent="0.25">
      <c r="A79" s="12">
        <v>0.39583333333333331</v>
      </c>
      <c r="B79" s="18">
        <f si="4" t="shared"/>
        <v>5.8630851476390022E-3</v>
      </c>
      <c r="C79" s="18">
        <f si="4" t="shared"/>
        <v>2.9677960190775655E-3</v>
      </c>
      <c r="D79" s="18">
        <f si="4" t="shared"/>
        <v>1.980316183698189E-2</v>
      </c>
      <c r="E79" s="18">
        <f si="4" t="shared"/>
        <v>2.0288135420707728E-2</v>
      </c>
      <c r="F79" s="18">
        <f si="4" t="shared"/>
        <v>1.2161052814576323E-2</v>
      </c>
      <c r="H79" s="12">
        <v>0.39583333333333331</v>
      </c>
      <c r="I79" s="17">
        <f si="3" t="shared"/>
        <v>5.7295097116118526E-3</v>
      </c>
      <c r="J79" s="17">
        <f si="3" t="shared"/>
        <v>8.0817045238306719E-3</v>
      </c>
      <c r="K79" s="17">
        <f si="3" t="shared"/>
        <v>2.5319667608428995E-2</v>
      </c>
      <c r="L79" s="17">
        <f si="3" t="shared"/>
        <v>3.1851060959580131E-2</v>
      </c>
      <c r="M79" s="18">
        <f si="3" t="shared"/>
        <v>1.7548211912180384E-2</v>
      </c>
    </row>
    <row r="80" spans="1:13" x14ac:dyDescent="0.25">
      <c r="A80" s="12">
        <v>0.41666666666666669</v>
      </c>
      <c r="B80" s="18">
        <f si="4" t="shared"/>
        <v>7.9117266497078578E-3</v>
      </c>
      <c r="C80" s="18">
        <f si="4" t="shared"/>
        <v>4.2205441085069783E-3</v>
      </c>
      <c r="D80" s="18">
        <f si="4" t="shared"/>
        <v>2.0535771141261622E-2</v>
      </c>
      <c r="E80" s="18">
        <f si="4" t="shared"/>
        <v>3.1867463322190009E-2</v>
      </c>
      <c r="F80" s="18">
        <f si="4" t="shared"/>
        <v>1.4062372987257002E-2</v>
      </c>
      <c r="H80" s="12">
        <v>0.41666666666666669</v>
      </c>
      <c r="I80" s="17">
        <f si="3" t="shared"/>
        <v>7.6991807897009174E-3</v>
      </c>
      <c r="J80" s="17">
        <f si="3" t="shared"/>
        <v>1.1219199246659329E-2</v>
      </c>
      <c r="K80" s="17">
        <f si="3" t="shared"/>
        <v>2.7104690838384383E-2</v>
      </c>
      <c r="L80" s="17">
        <f si="3" t="shared"/>
        <v>4.0977463926268658E-2</v>
      </c>
      <c r="M80" s="18">
        <f si="3" t="shared"/>
        <v>2.0028044703397568E-2</v>
      </c>
    </row>
    <row r="81" spans="1:13" x14ac:dyDescent="0.25">
      <c r="A81" s="12">
        <v>0.4375</v>
      </c>
      <c r="B81" s="18">
        <f si="4" t="shared"/>
        <v>1.0242086503161869E-2</v>
      </c>
      <c r="C81" s="18">
        <f si="4" t="shared"/>
        <v>5.8623906825674317E-3</v>
      </c>
      <c r="D81" s="18">
        <f si="4" t="shared"/>
        <v>2.2156088956108287E-2</v>
      </c>
      <c r="E81" s="18">
        <f si="4" t="shared"/>
        <v>4.9434000639737123E-2</v>
      </c>
      <c r="F81" s="18">
        <f si="4" t="shared"/>
        <v>1.6835473234781993E-2</v>
      </c>
      <c r="H81" s="12">
        <v>0.4375</v>
      </c>
      <c r="I81" s="17">
        <f ref="I81:M96" si="5" t="shared">I24/I$59</f>
        <v>9.8140928187063613E-3</v>
      </c>
      <c r="J81" s="17">
        <f si="5" t="shared"/>
        <v>1.504752919761443E-2</v>
      </c>
      <c r="K81" s="17">
        <f si="5" t="shared"/>
        <v>2.8453073879941788E-2</v>
      </c>
      <c r="L81" s="17">
        <f si="5" t="shared"/>
        <v>5.0413691638072598E-2</v>
      </c>
      <c r="M81" s="18">
        <f si="5" t="shared"/>
        <v>2.2444692705812775E-2</v>
      </c>
    </row>
    <row r="82" spans="1:13" x14ac:dyDescent="0.25">
      <c r="A82" s="12">
        <v>0.45833333333333331</v>
      </c>
      <c r="B82" s="18">
        <f ref="B82:F97" si="6" t="shared">B25/B$59</f>
        <v>1.2546981953381851E-2</v>
      </c>
      <c r="C82" s="18">
        <f si="6" t="shared"/>
        <v>7.9292743372193115E-3</v>
      </c>
      <c r="D82" s="18">
        <f si="6" t="shared"/>
        <v>2.4350502931178086E-2</v>
      </c>
      <c r="E82" s="18">
        <f si="6" t="shared"/>
        <v>7.202783245861083E-2</v>
      </c>
      <c r="F82" s="18">
        <f si="6" t="shared"/>
        <v>2.0184731909005028E-2</v>
      </c>
      <c r="H82" s="12">
        <v>0.45833333333333331</v>
      </c>
      <c r="I82" s="17">
        <f si="5" t="shared"/>
        <v>1.1945285395682357E-2</v>
      </c>
      <c r="J82" s="17">
        <f si="5" t="shared"/>
        <v>1.9761997069100562E-2</v>
      </c>
      <c r="K82" s="17">
        <f si="5" t="shared"/>
        <v>2.9343539942707535E-2</v>
      </c>
      <c r="L82" s="17">
        <f si="5" t="shared"/>
        <v>5.918286162174044E-2</v>
      </c>
      <c r="M82" s="18">
        <f si="5" t="shared"/>
        <v>2.4715453766627732E-2</v>
      </c>
    </row>
    <row r="83" spans="1:13" x14ac:dyDescent="0.25">
      <c r="A83" s="12">
        <v>0.47916666666666669</v>
      </c>
      <c r="B83" s="18">
        <f si="6" t="shared"/>
        <v>1.4562567299331428E-2</v>
      </c>
      <c r="C83" s="18">
        <f si="6" t="shared"/>
        <v>1.0816402101368522E-2</v>
      </c>
      <c r="D83" s="18">
        <f si="6" t="shared"/>
        <v>2.6660377665113345E-2</v>
      </c>
      <c r="E83" s="18">
        <f si="6" t="shared"/>
        <v>9.5454179910086201E-2</v>
      </c>
      <c r="F83" s="18">
        <f si="6" t="shared"/>
        <v>2.3642358434030907E-2</v>
      </c>
      <c r="H83" s="12">
        <v>0.47916666666666669</v>
      </c>
      <c r="I83" s="17">
        <f si="5" t="shared"/>
        <v>1.4076957934495052E-2</v>
      </c>
      <c r="J83" s="17">
        <f si="5" t="shared"/>
        <v>2.589596603229867E-2</v>
      </c>
      <c r="K83" s="17">
        <f si="5" t="shared"/>
        <v>2.9921762024517604E-2</v>
      </c>
      <c r="L83" s="17">
        <f si="5" t="shared"/>
        <v>6.6228334654530402E-2</v>
      </c>
      <c r="M83" s="18">
        <f si="5" t="shared"/>
        <v>2.6916801442435429E-2</v>
      </c>
    </row>
    <row r="84" spans="1:13" x14ac:dyDescent="0.25">
      <c r="A84" s="12">
        <v>0.5</v>
      </c>
      <c r="B84" s="18">
        <f si="6" t="shared"/>
        <v>1.6343000742945025E-2</v>
      </c>
      <c r="C84" s="18">
        <f si="6" t="shared"/>
        <v>1.584039886965502E-2</v>
      </c>
      <c r="D84" s="18">
        <f si="6" t="shared"/>
        <v>2.8739124579625873E-2</v>
      </c>
      <c r="E84" s="18">
        <f si="6" t="shared"/>
        <v>0.11322226871214287</v>
      </c>
      <c r="F84" s="18">
        <f si="6" t="shared"/>
        <v>2.6914793130458185E-2</v>
      </c>
      <c r="H84" s="12">
        <v>0.5</v>
      </c>
      <c r="I84" s="17">
        <f si="5" t="shared"/>
        <v>1.6338884835155557E-2</v>
      </c>
      <c r="J84" s="17">
        <f si="5" t="shared"/>
        <v>3.4132579431392376E-2</v>
      </c>
      <c r="K84" s="17">
        <f si="5" t="shared"/>
        <v>3.0453524141559701E-2</v>
      </c>
      <c r="L84" s="17">
        <f si="5" t="shared"/>
        <v>7.0633578765587512E-2</v>
      </c>
      <c r="M84" s="18">
        <f si="5" t="shared"/>
        <v>2.9258181592313325E-2</v>
      </c>
    </row>
    <row r="85" spans="1:13" x14ac:dyDescent="0.25">
      <c r="A85" s="12">
        <v>0.52083333333333337</v>
      </c>
      <c r="B85" s="18">
        <f si="6" t="shared"/>
        <v>1.8419352187821047E-2</v>
      </c>
      <c r="C85" s="18">
        <f si="6" t="shared"/>
        <v>2.5474067117332189E-2</v>
      </c>
      <c r="D85" s="18">
        <f si="6" t="shared"/>
        <v>3.0545129580275009E-2</v>
      </c>
      <c r="E85" s="18">
        <f si="6" t="shared"/>
        <v>0.11954062822988148</v>
      </c>
      <c r="F85" s="18">
        <f si="6" t="shared"/>
        <v>3.0224706614063276E-2</v>
      </c>
      <c r="H85" s="12">
        <v>0.52083333333333337</v>
      </c>
      <c r="I85" s="17">
        <f si="5" t="shared"/>
        <v>1.9020022839146934E-2</v>
      </c>
      <c r="J85" s="17">
        <f si="5" t="shared"/>
        <v>4.4876136098300518E-2</v>
      </c>
      <c r="K85" s="17">
        <f si="5" t="shared"/>
        <v>3.1176013303275848E-2</v>
      </c>
      <c r="L85" s="17">
        <f si="5" t="shared"/>
        <v>7.1917248251396546E-2</v>
      </c>
      <c r="M85" s="18">
        <f si="5" t="shared"/>
        <v>3.1970562240012552E-2</v>
      </c>
    </row>
    <row r="86" spans="1:13" x14ac:dyDescent="0.25">
      <c r="A86" s="12">
        <v>0.54166666666666663</v>
      </c>
      <c r="B86" s="18">
        <f si="6" t="shared"/>
        <v>2.1737264305882281E-2</v>
      </c>
      <c r="C86" s="18">
        <f si="6" t="shared"/>
        <v>4.2393129930046576E-2</v>
      </c>
      <c r="D86" s="18">
        <f si="6" t="shared"/>
        <v>3.2318538870378409E-2</v>
      </c>
      <c r="E86" s="18">
        <f si="6" t="shared"/>
        <v>0.11254787394339294</v>
      </c>
      <c r="F86" s="18">
        <f si="6" t="shared"/>
        <v>3.4316904589320761E-2</v>
      </c>
      <c r="H86" s="12">
        <v>0.54166666666666663</v>
      </c>
      <c r="I86" s="17">
        <f si="5" t="shared"/>
        <v>2.2595573818770937E-2</v>
      </c>
      <c r="J86" s="17">
        <f si="5" t="shared"/>
        <v>5.7817340666472067E-2</v>
      </c>
      <c r="K86" s="17">
        <f si="5" t="shared"/>
        <v>3.2188628305143213E-2</v>
      </c>
      <c r="L86" s="17">
        <f si="5" t="shared"/>
        <v>7.0265922997484617E-2</v>
      </c>
      <c r="M86" s="18">
        <f si="5" t="shared"/>
        <v>3.5214202809084293E-2</v>
      </c>
    </row>
    <row r="87" spans="1:13" x14ac:dyDescent="0.25">
      <c r="A87" s="12">
        <v>0.5625</v>
      </c>
      <c r="B87" s="18">
        <f si="6" t="shared"/>
        <v>2.739474122840628E-2</v>
      </c>
      <c r="C87" s="18">
        <f si="6" t="shared"/>
        <v>6.710487369312261E-2</v>
      </c>
      <c r="D87" s="18">
        <f si="6" t="shared"/>
        <v>3.4282983243859193E-2</v>
      </c>
      <c r="E87" s="18">
        <f si="6" t="shared"/>
        <v>9.5321105238519457E-2</v>
      </c>
      <c r="F87" s="18">
        <f si="6" t="shared"/>
        <v>3.9940724185144327E-2</v>
      </c>
      <c r="H87" s="12">
        <v>0.5625</v>
      </c>
      <c r="I87" s="17">
        <f si="5" t="shared"/>
        <v>2.7719417354218841E-2</v>
      </c>
      <c r="J87" s="17">
        <f si="5" t="shared"/>
        <v>7.1662309874222771E-2</v>
      </c>
      <c r="K87" s="17">
        <f si="5" t="shared"/>
        <v>3.3448124049310954E-2</v>
      </c>
      <c r="L87" s="17">
        <f si="5" t="shared"/>
        <v>6.6448157325093446E-2</v>
      </c>
      <c r="M87" s="18">
        <f si="5" t="shared"/>
        <v>3.9031481420368767E-2</v>
      </c>
    </row>
    <row r="88" spans="1:13" x14ac:dyDescent="0.25">
      <c r="A88" s="12">
        <v>0.58333333333333337</v>
      </c>
      <c r="B88" s="18">
        <f si="6" t="shared"/>
        <v>3.6241082311311693E-2</v>
      </c>
      <c r="C88" s="18">
        <f si="6" t="shared"/>
        <v>9.5581642397875838E-2</v>
      </c>
      <c r="D88" s="18">
        <f si="6" t="shared"/>
        <v>3.6282272340861059E-2</v>
      </c>
      <c r="E88" s="18">
        <f si="6" t="shared"/>
        <v>7.3861717584279049E-2</v>
      </c>
      <c r="F88" s="18">
        <f si="6" t="shared"/>
        <v>4.7086015524200178E-2</v>
      </c>
      <c r="H88" s="12">
        <v>0.58333333333333337</v>
      </c>
      <c r="I88" s="17">
        <f si="5" t="shared"/>
        <v>3.5071421790941415E-2</v>
      </c>
      <c r="J88" s="17">
        <f si="5" t="shared"/>
        <v>8.4098458901157538E-2</v>
      </c>
      <c r="K88" s="17">
        <f si="5" t="shared"/>
        <v>3.4802330436155715E-2</v>
      </c>
      <c r="L88" s="17">
        <f si="5" t="shared"/>
        <v>6.1353607849161919E-2</v>
      </c>
      <c r="M88" s="18">
        <f si="5" t="shared"/>
        <v>4.3285381005890244E-2</v>
      </c>
    </row>
    <row r="89" spans="1:13" x14ac:dyDescent="0.25">
      <c r="A89" s="12">
        <v>0.60416666666666663</v>
      </c>
      <c r="B89" s="18">
        <f si="6" t="shared"/>
        <v>4.8395471417763229E-2</v>
      </c>
      <c r="C89" s="18">
        <f si="6" t="shared"/>
        <v>0.11945447974997479</v>
      </c>
      <c r="D89" s="18">
        <f si="6" t="shared"/>
        <v>3.7728162697657504E-2</v>
      </c>
      <c r="E89" s="18">
        <f si="6" t="shared"/>
        <v>5.3727311405618428E-2</v>
      </c>
      <c r="F89" s="18">
        <f si="6" t="shared"/>
        <v>5.462325669641873E-2</v>
      </c>
      <c r="H89" s="12">
        <v>0.60416666666666663</v>
      </c>
      <c r="I89" s="17">
        <f si="5" t="shared"/>
        <v>4.5010115904860405E-2</v>
      </c>
      <c r="J89" s="17">
        <f si="5" t="shared"/>
        <v>9.2188597963069926E-2</v>
      </c>
      <c r="K89" s="17">
        <f si="5" t="shared"/>
        <v>3.5999690827867241E-2</v>
      </c>
      <c r="L89" s="17">
        <f si="5" t="shared"/>
        <v>5.5493084873377362E-2</v>
      </c>
      <c r="M89" s="18">
        <f si="5" t="shared"/>
        <v>4.7584326608629976E-2</v>
      </c>
    </row>
    <row r="90" spans="1:13" x14ac:dyDescent="0.25">
      <c r="A90" s="12">
        <v>0.625</v>
      </c>
      <c r="B90" s="18">
        <f si="6" t="shared"/>
        <v>6.2812989930453547E-2</v>
      </c>
      <c r="C90" s="18">
        <f si="6" t="shared"/>
        <v>0.12992723909649492</v>
      </c>
      <c r="D90" s="18">
        <f si="6" t="shared"/>
        <v>3.8011621390411351E-2</v>
      </c>
      <c r="E90" s="18">
        <f si="6" t="shared"/>
        <v>3.7808227714651615E-2</v>
      </c>
      <c r="F90" s="18">
        <f si="6" t="shared"/>
        <v>6.0769722003015607E-2</v>
      </c>
      <c r="H90" s="12">
        <v>0.625</v>
      </c>
      <c r="I90" s="17">
        <f si="5" t="shared"/>
        <v>5.7135651462477177E-2</v>
      </c>
      <c r="J90" s="17">
        <f si="5" t="shared"/>
        <v>9.3421379114244404E-2</v>
      </c>
      <c r="K90" s="17">
        <f si="5" t="shared"/>
        <v>3.6727746745720512E-2</v>
      </c>
      <c r="L90" s="17">
        <f si="5" t="shared"/>
        <v>4.8906665121215886E-2</v>
      </c>
      <c r="M90" s="18">
        <f si="5" t="shared"/>
        <v>5.1310264552735414E-2</v>
      </c>
    </row>
    <row r="91" spans="1:13" x14ac:dyDescent="0.25">
      <c r="A91" s="12">
        <v>0.64583333333333337</v>
      </c>
      <c r="B91" s="18">
        <f si="6" t="shared"/>
        <v>7.7150611644162967E-2</v>
      </c>
      <c r="C91" s="18">
        <f si="6" t="shared"/>
        <v>0.12309406936747452</v>
      </c>
      <c r="D91" s="18">
        <f si="6" t="shared"/>
        <v>3.7058608419409458E-2</v>
      </c>
      <c r="E91" s="18">
        <f si="6" t="shared"/>
        <v>2.632907334775457E-2</v>
      </c>
      <c r="F91" s="18">
        <f si="6" t="shared"/>
        <v>6.4058933349236943E-2</v>
      </c>
      <c r="H91" s="12">
        <v>0.64583333333333337</v>
      </c>
      <c r="I91" s="17">
        <f si="5" t="shared"/>
        <v>6.9985885777413548E-2</v>
      </c>
      <c r="J91" s="17">
        <f si="5" t="shared"/>
        <v>8.7097028951045263E-2</v>
      </c>
      <c r="K91" s="17">
        <f si="5" t="shared"/>
        <v>3.6754722499730635E-2</v>
      </c>
      <c r="L91" s="17">
        <f si="5" t="shared"/>
        <v>4.1549841550692301E-2</v>
      </c>
      <c r="M91" s="18">
        <f si="5" t="shared"/>
        <v>5.3813800494828999E-2</v>
      </c>
    </row>
    <row r="92" spans="1:13" x14ac:dyDescent="0.25">
      <c r="A92" s="12">
        <v>0.66666666666666663</v>
      </c>
      <c r="B92" s="18">
        <f si="6" t="shared"/>
        <v>8.8205136298953143E-2</v>
      </c>
      <c r="C92" s="18">
        <f si="6" t="shared"/>
        <v>0.10235933061121183</v>
      </c>
      <c r="D92" s="18">
        <f si="6" t="shared"/>
        <v>3.5510304833663651E-2</v>
      </c>
      <c r="E92" s="18">
        <f si="6" t="shared"/>
        <v>1.8221818004143839E-2</v>
      </c>
      <c r="F92" s="18">
        <f si="6" t="shared"/>
        <v>6.4012883898675682E-2</v>
      </c>
      <c r="H92" s="12">
        <v>0.66666666666666663</v>
      </c>
      <c r="I92" s="17">
        <f si="5" t="shared"/>
        <v>8.1101722939375565E-2</v>
      </c>
      <c r="J92" s="17">
        <f si="5" t="shared"/>
        <v>7.4990005726874656E-2</v>
      </c>
      <c r="K92" s="17">
        <f si="5" t="shared"/>
        <v>3.6106413300408598E-2</v>
      </c>
      <c r="L92" s="17">
        <f si="5" t="shared"/>
        <v>3.3746101526366083E-2</v>
      </c>
      <c r="M92" s="18">
        <f si="5" t="shared"/>
        <v>5.4641668085162513E-2</v>
      </c>
    </row>
    <row r="93" spans="1:13" x14ac:dyDescent="0.25">
      <c r="A93" s="12">
        <v>0.6875</v>
      </c>
      <c r="B93" s="18">
        <f si="6" t="shared"/>
        <v>9.2963064543019294E-2</v>
      </c>
      <c r="C93" s="18">
        <f si="6" t="shared"/>
        <v>7.5911277534565003E-2</v>
      </c>
      <c r="D93" s="18">
        <f si="6" t="shared"/>
        <v>3.4349648539215724E-2</v>
      </c>
      <c r="E93" s="18">
        <f si="6" t="shared"/>
        <v>1.2401330083352199E-2</v>
      </c>
      <c r="F93" s="18">
        <f si="6" t="shared"/>
        <v>6.1072970962935784E-2</v>
      </c>
      <c r="H93" s="12">
        <v>0.6875</v>
      </c>
      <c r="I93" s="17">
        <f si="5" t="shared"/>
        <v>8.7618238899289116E-2</v>
      </c>
      <c r="J93" s="17">
        <f si="5" t="shared"/>
        <v>6.0478039305962503E-2</v>
      </c>
      <c r="K93" s="17">
        <f si="5" t="shared"/>
        <v>3.5106331506775508E-2</v>
      </c>
      <c r="L93" s="17">
        <f si="5" t="shared"/>
        <v>2.6249210499065527E-2</v>
      </c>
      <c r="M93" s="18">
        <f si="5" t="shared"/>
        <v>5.361679517445344E-2</v>
      </c>
    </row>
    <row r="94" spans="1:13" x14ac:dyDescent="0.25">
      <c r="A94" s="12">
        <v>0.70833333333333337</v>
      </c>
      <c r="B94" s="18">
        <f si="6" t="shared"/>
        <v>8.9870286258974891E-2</v>
      </c>
      <c r="C94" s="18">
        <f si="6" t="shared"/>
        <v>5.1613711754709017E-2</v>
      </c>
      <c r="D94" s="18">
        <f si="6" t="shared"/>
        <v>3.4312684570082075E-2</v>
      </c>
      <c r="E94" s="18">
        <f si="6" t="shared"/>
        <v>8.2284214809209156E-3</v>
      </c>
      <c r="F94" s="18">
        <f si="6" t="shared"/>
        <v>5.6095971580794594E-2</v>
      </c>
      <c r="H94" s="12">
        <v>0.70833333333333337</v>
      </c>
      <c r="I94" s="17">
        <f si="5" t="shared"/>
        <v>8.7323825967815474E-2</v>
      </c>
      <c r="J94" s="17">
        <f si="5" t="shared"/>
        <v>4.6702153768930388E-2</v>
      </c>
      <c r="K94" s="17">
        <f si="5" t="shared"/>
        <v>3.4209118668723837E-2</v>
      </c>
      <c r="L94" s="17">
        <f si="5" t="shared"/>
        <v>1.9883644595811489E-2</v>
      </c>
      <c r="M94" s="18">
        <f si="5" t="shared"/>
        <v>5.0793993965208166E-2</v>
      </c>
    </row>
    <row r="95" spans="1:13" x14ac:dyDescent="0.25">
      <c r="A95" s="12">
        <v>0.72916666666666663</v>
      </c>
      <c r="B95" s="18">
        <f si="6" t="shared"/>
        <v>7.9611592118218194E-2</v>
      </c>
      <c r="C95" s="18">
        <f si="6" t="shared"/>
        <v>3.3499196650886569E-2</v>
      </c>
      <c r="D95" s="18">
        <f si="6" t="shared"/>
        <v>3.5549365817906624E-2</v>
      </c>
      <c r="E95" s="18">
        <f si="6" t="shared"/>
        <v>5.3738420179229411E-3</v>
      </c>
      <c r="F95" s="18">
        <f si="6" t="shared"/>
        <v>4.9976128582102347E-2</v>
      </c>
      <c r="H95" s="12">
        <v>0.72916666666666663</v>
      </c>
      <c r="I95" s="17">
        <f si="5" t="shared"/>
        <v>7.9757163006534279E-2</v>
      </c>
      <c r="J95" s="17">
        <f si="5" t="shared"/>
        <v>3.5271299624820215E-2</v>
      </c>
      <c r="K95" s="17">
        <f si="5" t="shared"/>
        <v>3.3745640474590562E-2</v>
      </c>
      <c r="L95" s="17">
        <f si="5" t="shared"/>
        <v>1.512608478733659E-2</v>
      </c>
      <c r="M95" s="18">
        <f si="5" t="shared"/>
        <v>4.6453361813977204E-2</v>
      </c>
    </row>
    <row r="96" spans="1:13" x14ac:dyDescent="0.25">
      <c r="A96" s="12">
        <v>0.75</v>
      </c>
      <c r="B96" s="18">
        <f si="6" t="shared"/>
        <v>6.4855758634738692E-2</v>
      </c>
      <c r="C96" s="18">
        <f si="6" t="shared"/>
        <v>2.1733965667001889E-2</v>
      </c>
      <c r="D96" s="18">
        <f si="6" t="shared"/>
        <v>3.7670623573897333E-2</v>
      </c>
      <c r="E96" s="18">
        <f si="6" t="shared"/>
        <v>3.5749684884191541E-3</v>
      </c>
      <c r="F96" s="18">
        <f si="6" t="shared"/>
        <v>4.3551574489403902E-2</v>
      </c>
      <c r="H96" s="12">
        <v>0.75</v>
      </c>
      <c r="I96" s="17">
        <f si="5" t="shared"/>
        <v>6.6644397411050979E-2</v>
      </c>
      <c r="J96" s="17">
        <f si="5" t="shared"/>
        <v>2.6342557768896484E-2</v>
      </c>
      <c r="K96" s="17">
        <f si="5" t="shared"/>
        <v>3.3753603558878666E-2</v>
      </c>
      <c r="L96" s="17">
        <f si="5" t="shared"/>
        <v>1.1960951848370859E-2</v>
      </c>
      <c r="M96" s="18">
        <f si="5" t="shared"/>
        <v>4.1146628553048251E-2</v>
      </c>
    </row>
    <row r="97" spans="1:13" x14ac:dyDescent="0.25">
      <c r="A97" s="12">
        <v>0.77083333333333337</v>
      </c>
      <c r="B97" s="18">
        <f si="6" t="shared"/>
        <v>4.9071907573618199E-2</v>
      </c>
      <c r="C97" s="18">
        <f si="6" t="shared"/>
        <v>1.4639884283323842E-2</v>
      </c>
      <c r="D97" s="18">
        <f si="6" t="shared"/>
        <v>3.9975685747531763E-2</v>
      </c>
      <c r="E97" s="18">
        <f si="6" t="shared"/>
        <v>2.5369503364416229E-3</v>
      </c>
      <c r="F97" s="18">
        <f si="6" t="shared"/>
        <v>3.7552547700921958E-2</v>
      </c>
      <c r="H97" s="12">
        <v>0.77083333333333337</v>
      </c>
      <c r="I97" s="17">
        <f ref="I97:M112" si="7" t="shared">I40/I$59</f>
        <v>5.1239385013906395E-2</v>
      </c>
      <c r="J97" s="17">
        <f si="7" t="shared"/>
        <v>1.9497408637444397E-2</v>
      </c>
      <c r="K97" s="17">
        <f si="7" t="shared"/>
        <v>3.3970801041630978E-2</v>
      </c>
      <c r="L97" s="17">
        <f si="7" t="shared"/>
        <v>1.0033216170969148E-2</v>
      </c>
      <c r="M97" s="18">
        <f si="7" t="shared"/>
        <v>3.5627611656803303E-2</v>
      </c>
    </row>
    <row r="98" spans="1:13" x14ac:dyDescent="0.25">
      <c r="A98" s="12">
        <v>0.79166666666666663</v>
      </c>
      <c r="B98" s="18">
        <f ref="B98:F113" si="8" t="shared">B41/B$59</f>
        <v>3.5144425425565971E-2</v>
      </c>
      <c r="C98" s="18">
        <f si="8" t="shared"/>
        <v>1.0470167699046722E-2</v>
      </c>
      <c r="D98" s="18">
        <f si="8" t="shared"/>
        <v>4.1639515719674745E-2</v>
      </c>
      <c r="E98" s="18">
        <f si="8" t="shared"/>
        <v>1.9593568652619083E-3</v>
      </c>
      <c r="F98" s="18">
        <f si="8" t="shared"/>
        <v>3.2428372615724226E-2</v>
      </c>
      <c r="H98" s="12">
        <v>0.79166666666666663</v>
      </c>
      <c r="I98" s="17">
        <f si="7" t="shared"/>
        <v>3.6889158100751364E-2</v>
      </c>
      <c r="J98" s="17">
        <f si="7" t="shared"/>
        <v>1.4379478862294019E-2</v>
      </c>
      <c r="K98" s="17">
        <f si="7" t="shared"/>
        <v>3.3960723587276996E-2</v>
      </c>
      <c r="L98" s="17">
        <f si="7" t="shared"/>
        <v>8.9077081533160858E-3</v>
      </c>
      <c r="M98" s="18">
        <f si="7" t="shared"/>
        <v>3.0593437055252557E-2</v>
      </c>
    </row>
    <row r="99" spans="1:13" x14ac:dyDescent="0.25">
      <c r="A99" s="12">
        <v>0.8125</v>
      </c>
      <c r="B99" s="18">
        <f si="8" t="shared"/>
        <v>2.4560308602327292E-2</v>
      </c>
      <c r="C99" s="18">
        <f si="8" t="shared"/>
        <v>8.0116692857954384E-3</v>
      </c>
      <c r="D99" s="18">
        <f si="8" t="shared"/>
        <v>4.1853555182253019E-2</v>
      </c>
      <c r="E99" s="18">
        <f si="8" t="shared"/>
        <v>1.5935133078911925E-3</v>
      </c>
      <c r="F99" s="18">
        <f si="8" t="shared"/>
        <v>2.8196602271279528E-2</v>
      </c>
      <c r="H99" s="12">
        <v>0.8125</v>
      </c>
      <c r="I99" s="17">
        <f si="7" t="shared"/>
        <v>2.5734862867507709E-2</v>
      </c>
      <c r="J99" s="17">
        <f si="7" t="shared"/>
        <v>1.0754688531701031E-2</v>
      </c>
      <c r="K99" s="17">
        <f si="7" t="shared"/>
        <v>3.3299177371693044E-2</v>
      </c>
      <c r="L99" s="17">
        <f si="7" t="shared"/>
        <v>8.2509213244178117E-3</v>
      </c>
      <c r="M99" s="18">
        <f si="7" t="shared"/>
        <v>2.6412721563721833E-2</v>
      </c>
    </row>
    <row r="100" spans="1:13" x14ac:dyDescent="0.25">
      <c r="A100" s="12">
        <v>0.83333333333333337</v>
      </c>
      <c r="B100" s="18">
        <f si="8" t="shared"/>
        <v>1.7429252567442398E-2</v>
      </c>
      <c r="C100" s="18">
        <f si="8" t="shared"/>
        <v>6.4754536086972939E-3</v>
      </c>
      <c r="D100" s="18">
        <f si="8" t="shared"/>
        <v>4.0029812267368556E-2</v>
      </c>
      <c r="E100" s="18">
        <f si="8" t="shared"/>
        <v>1.2804402192009656E-3</v>
      </c>
      <c r="F100" s="18">
        <f si="8" t="shared"/>
        <v>2.452321133597252E-2</v>
      </c>
      <c r="H100" s="12">
        <v>0.83333333333333337</v>
      </c>
      <c r="I100" s="17">
        <f si="7" t="shared"/>
        <v>1.8286324220158238E-2</v>
      </c>
      <c r="J100" s="17">
        <f si="7" t="shared"/>
        <v>8.3516204992414265E-3</v>
      </c>
      <c r="K100" s="17">
        <f si="7" t="shared"/>
        <v>3.1744328345551256E-2</v>
      </c>
      <c r="L100" s="17">
        <f si="7" t="shared"/>
        <v>7.8601855444062705E-3</v>
      </c>
      <c r="M100" s="18">
        <f si="7" t="shared"/>
        <v>2.306501476126812E-2</v>
      </c>
    </row>
    <row r="101" spans="1:13" x14ac:dyDescent="0.25">
      <c r="A101" s="12">
        <v>0.85416666666666663</v>
      </c>
      <c r="B101" s="18">
        <f si="8" t="shared"/>
        <v>1.3038784428420066E-2</v>
      </c>
      <c r="C101" s="18">
        <f si="8" t="shared"/>
        <v>5.3334923021955728E-3</v>
      </c>
      <c r="D101" s="18">
        <f si="8" t="shared"/>
        <v>3.605725331777597E-2</v>
      </c>
      <c r="E101" s="18">
        <f si="8" t="shared"/>
        <v>9.5990818689176203E-4</v>
      </c>
      <c r="F101" s="18">
        <f si="8" t="shared"/>
        <v>2.1014667628893039E-2</v>
      </c>
      <c r="H101" s="12">
        <v>0.85416666666666663</v>
      </c>
      <c r="I101" s="17">
        <f si="7" t="shared"/>
        <v>1.3878078582926697E-2</v>
      </c>
      <c r="J101" s="17">
        <f si="7" t="shared"/>
        <v>6.8323897634479077E-3</v>
      </c>
      <c r="K101" s="17">
        <f si="7" t="shared"/>
        <v>2.9316040516655574E-2</v>
      </c>
      <c r="L101" s="17">
        <f si="7" t="shared"/>
        <v>7.5796271525899218E-3</v>
      </c>
      <c r="M101" s="18">
        <f si="7" t="shared"/>
        <v>2.0306912339833637E-2</v>
      </c>
    </row>
    <row r="102" spans="1:13" x14ac:dyDescent="0.25">
      <c r="A102" s="12">
        <v>0.875</v>
      </c>
      <c r="B102" s="18">
        <f si="8" t="shared"/>
        <v>1.0462710695777894E-2</v>
      </c>
      <c r="C102" s="18">
        <f si="8" t="shared"/>
        <v>4.2883064345479336E-3</v>
      </c>
      <c r="D102" s="18">
        <f si="8" t="shared"/>
        <v>3.0421413098603869E-2</v>
      </c>
      <c r="E102" s="18">
        <f si="8" t="shared"/>
        <v>6.4837182751011362E-4</v>
      </c>
      <c r="F102" s="18">
        <f si="8" t="shared"/>
        <v>1.7489580919312245E-2</v>
      </c>
      <c r="H102" s="12">
        <v>0.875</v>
      </c>
      <c r="I102" s="17">
        <f si="7" t="shared"/>
        <v>1.1444661489384139E-2</v>
      </c>
      <c r="J102" s="17">
        <f si="7" t="shared"/>
        <v>5.8876732802506651E-3</v>
      </c>
      <c r="K102" s="17">
        <f si="7" t="shared"/>
        <v>2.6245141182068183E-2</v>
      </c>
      <c r="L102" s="17">
        <f si="7" t="shared"/>
        <v>7.2226061907685497E-3</v>
      </c>
      <c r="M102" s="18">
        <f si="7" t="shared"/>
        <v>1.7884724512230381E-2</v>
      </c>
    </row>
    <row r="103" spans="1:13" x14ac:dyDescent="0.25">
      <c r="A103" s="12">
        <v>0.89583333333333337</v>
      </c>
      <c r="B103" s="18">
        <f si="8" t="shared"/>
        <v>8.9162923805051805E-3</v>
      </c>
      <c r="C103" s="18">
        <f si="8" t="shared"/>
        <v>3.2585130338649779E-3</v>
      </c>
      <c r="D103" s="18">
        <f si="8" t="shared"/>
        <v>2.4028274034786301E-2</v>
      </c>
      <c r="E103" s="18">
        <f si="8" t="shared"/>
        <v>3.9162097789366971E-4</v>
      </c>
      <c r="F103" s="18">
        <f si="8" t="shared"/>
        <v>1.4031335193667435E-2</v>
      </c>
      <c r="H103" s="12">
        <v>0.89583333333333337</v>
      </c>
      <c r="I103" s="17">
        <f si="7" t="shared"/>
        <v>1.0061872394137165E-2</v>
      </c>
      <c r="J103" s="17">
        <f si="7" t="shared"/>
        <v>5.2934519655204347E-3</v>
      </c>
      <c r="K103" s="17">
        <f si="7" t="shared"/>
        <v>2.2826268818810218E-2</v>
      </c>
      <c r="L103" s="17">
        <f si="7" t="shared"/>
        <v>6.6002191903114594E-3</v>
      </c>
      <c r="M103" s="18">
        <f si="7" t="shared"/>
        <v>1.5630408193547378E-2</v>
      </c>
    </row>
    <row r="104" spans="1:13" x14ac:dyDescent="0.25">
      <c r="A104" s="12">
        <v>0.91666666666666663</v>
      </c>
      <c r="B104" s="18">
        <f si="8" t="shared"/>
        <v>7.8334166907255663E-3</v>
      </c>
      <c r="C104" s="18">
        <f si="8" t="shared"/>
        <v>2.2989585502734599E-3</v>
      </c>
      <c r="D104" s="18">
        <f si="8" t="shared"/>
        <v>1.7817701790519384E-2</v>
      </c>
      <c r="E104" s="18">
        <f si="8" t="shared"/>
        <v>2.1783890210701884E-4</v>
      </c>
      <c r="F104" s="18">
        <f si="8" t="shared"/>
        <v>1.0838189226861158E-2</v>
      </c>
      <c r="H104" s="12">
        <v>0.91666666666666663</v>
      </c>
      <c r="I104" s="17">
        <f si="7" t="shared"/>
        <v>9.094497754568687E-3</v>
      </c>
      <c r="J104" s="17">
        <f si="7" t="shared"/>
        <v>4.8759060404431993E-3</v>
      </c>
      <c r="K104" s="17">
        <f si="7" t="shared"/>
        <v>1.9274278937851066E-2</v>
      </c>
      <c r="L104" s="17">
        <f si="7" t="shared"/>
        <v>5.6296769814533319E-3</v>
      </c>
      <c r="M104" s="18">
        <f si="7" t="shared"/>
        <v>1.3434883346813467E-2</v>
      </c>
    </row>
    <row r="105" spans="1:13" x14ac:dyDescent="0.25">
      <c r="A105" s="12">
        <v>0.9375</v>
      </c>
      <c r="B105" s="18">
        <f si="8" t="shared"/>
        <v>6.8221764081725245E-3</v>
      </c>
      <c r="C105" s="18">
        <f si="8" t="shared"/>
        <v>1.4941190896399475E-3</v>
      </c>
      <c r="D105" s="18">
        <f si="8" t="shared"/>
        <v>1.2435557674844739E-2</v>
      </c>
      <c r="E105" s="18">
        <f si="8" t="shared"/>
        <v>1.1993653417125505E-4</v>
      </c>
      <c r="F105" s="18">
        <f si="8" t="shared"/>
        <v>8.0507313855000696E-3</v>
      </c>
      <c r="H105" s="12">
        <v>0.9375</v>
      </c>
      <c r="I105" s="17">
        <f si="7" t="shared"/>
        <v>8.1301792914053959E-3</v>
      </c>
      <c r="J105" s="17">
        <f si="7" t="shared"/>
        <v>4.4632942682351507E-3</v>
      </c>
      <c r="K105" s="17">
        <f si="7" t="shared"/>
        <v>1.5683843336648358E-2</v>
      </c>
      <c r="L105" s="17">
        <f si="7" t="shared"/>
        <v>4.3996882389136932E-3</v>
      </c>
      <c r="M105" s="18">
        <f si="7" t="shared"/>
        <v>1.1205489662665004E-2</v>
      </c>
    </row>
    <row r="106" spans="1:13" x14ac:dyDescent="0.25">
      <c r="A106" s="12">
        <v>0.95833333333333337</v>
      </c>
      <c r="B106" s="18">
        <f si="8" t="shared"/>
        <v>5.6527065118149155E-3</v>
      </c>
      <c r="C106" s="18">
        <f si="8" t="shared"/>
        <v>8.8999944787566954E-4</v>
      </c>
      <c r="D106" s="18">
        <f si="8" t="shared"/>
        <v>8.1505211910053599E-3</v>
      </c>
      <c r="E106" s="18">
        <f si="8" t="shared"/>
        <v>6.9953315031515942E-5</v>
      </c>
      <c r="F106" s="18">
        <f si="8" t="shared"/>
        <v>5.7027774007305425E-3</v>
      </c>
      <c r="H106" s="12">
        <v>0.95833333333333337</v>
      </c>
      <c r="I106" s="17">
        <f si="7" t="shared"/>
        <v>6.9273556654841509E-3</v>
      </c>
      <c r="J106" s="17">
        <f si="7" t="shared"/>
        <v>3.9049464111905944E-3</v>
      </c>
      <c r="K106" s="17">
        <f si="7" t="shared"/>
        <v>1.2110555366088922E-2</v>
      </c>
      <c r="L106" s="17">
        <f si="7" t="shared"/>
        <v>3.1183989848879044E-3</v>
      </c>
      <c r="M106" s="18">
        <f si="7" t="shared"/>
        <v>8.8908204226171399E-3</v>
      </c>
    </row>
    <row r="107" spans="1:13" x14ac:dyDescent="0.25">
      <c r="A107" s="12">
        <v>0.97916666666666663</v>
      </c>
      <c r="B107" s="18">
        <f si="8" t="shared"/>
        <v>4.2932989234068198E-3</v>
      </c>
      <c r="C107" s="18">
        <f si="8" t="shared"/>
        <v>4.8199708411720589E-4</v>
      </c>
      <c r="D107" s="18">
        <f si="8" t="shared"/>
        <v>4.9675391861835417E-3</v>
      </c>
      <c r="E107" s="18">
        <f si="8" t="shared"/>
        <v>4.2220614728184323E-5</v>
      </c>
      <c r="F107" s="18">
        <f si="8" t="shared"/>
        <v>3.7825219162347531E-3</v>
      </c>
      <c r="H107" s="12">
        <v>0.97916666666666663</v>
      </c>
      <c r="I107" s="17">
        <f si="7" t="shared"/>
        <v>5.4396800758809601E-3</v>
      </c>
      <c r="J107" s="17">
        <f si="7" t="shared"/>
        <v>3.1436112032516344E-3</v>
      </c>
      <c r="K107" s="17">
        <f si="7" t="shared"/>
        <v>8.6870619418581482E-3</v>
      </c>
      <c r="L107" s="17">
        <f si="7" t="shared"/>
        <v>1.9935274460997315E-3</v>
      </c>
      <c r="M107" s="18">
        <f si="7" t="shared"/>
        <v>6.5490266580945549E-3</v>
      </c>
    </row>
    <row r="108" spans="1:13" x14ac:dyDescent="0.25">
      <c r="A108" s="12">
        <v>1</v>
      </c>
      <c r="B108" s="18">
        <f si="8" t="shared"/>
        <v>2.899360452362376E-3</v>
      </c>
      <c r="C108" s="18">
        <f si="8" t="shared"/>
        <v>2.3387859944261975E-4</v>
      </c>
      <c r="D108" s="18">
        <f si="8" t="shared"/>
        <v>2.7683749036291091E-3</v>
      </c>
      <c r="E108" s="18">
        <f si="8" t="shared"/>
        <v>2.3918214977302568E-5</v>
      </c>
      <c r="F108" s="18">
        <f si="8" t="shared"/>
        <v>2.2915314956675203E-3</v>
      </c>
      <c r="H108" s="12">
        <v>1</v>
      </c>
      <c r="I108" s="17">
        <f si="7" t="shared"/>
        <v>3.8247257076167713E-3</v>
      </c>
      <c r="J108" s="17">
        <f si="7" t="shared"/>
        <v>2.2568738602721621E-3</v>
      </c>
      <c r="K108" s="17">
        <f si="7" t="shared"/>
        <v>5.6533548242747008E-3</v>
      </c>
      <c r="L108" s="17">
        <f si="7" t="shared"/>
        <v>1.1435739475842387E-3</v>
      </c>
      <c r="M108" s="18">
        <f si="7" t="shared"/>
        <v>4.3658559235925367E-3</v>
      </c>
    </row>
    <row r="109" spans="1:13" x14ac:dyDescent="0.25">
      <c r="A109" s="12">
        <v>1.0208333333333333</v>
      </c>
      <c r="B109" s="18">
        <f si="8" t="shared"/>
        <v>1.6993710720946003E-3</v>
      </c>
      <c r="C109" s="18">
        <f si="8" t="shared"/>
        <v>9.9461933888187026E-5</v>
      </c>
      <c r="D109" s="18">
        <f si="8" t="shared"/>
        <v>1.3814826521740531E-3</v>
      </c>
      <c r="E109" s="18">
        <f si="8" t="shared"/>
        <v>1.1660002928313906E-5</v>
      </c>
      <c r="F109" s="18">
        <f si="8" t="shared"/>
        <v>1.2349832750187392E-3</v>
      </c>
      <c r="H109" s="12">
        <v>1.0208333333333333</v>
      </c>
      <c r="I109" s="17">
        <f si="7" t="shared"/>
        <v>2.3503556453113592E-3</v>
      </c>
      <c r="J109" s="17">
        <f si="7" t="shared"/>
        <v>1.4098014872089555E-3</v>
      </c>
      <c r="K109" s="17">
        <f si="7" t="shared"/>
        <v>3.2601596174510533E-3</v>
      </c>
      <c r="L109" s="17">
        <f si="7" t="shared"/>
        <v>5.8373011384609496E-4</v>
      </c>
      <c r="M109" s="18">
        <f si="7" t="shared"/>
        <v>2.5707891277112656E-3</v>
      </c>
    </row>
    <row r="110" spans="1:13" x14ac:dyDescent="0.25">
      <c r="A110" s="12">
        <v>4.1666666666666664E-2</v>
      </c>
      <c r="B110" s="18">
        <f si="8" t="shared"/>
        <v>8.4704269695053222E-4</v>
      </c>
      <c r="C110" s="18">
        <f si="8" t="shared"/>
        <v>3.6028594618476976E-5</v>
      </c>
      <c r="D110" s="18">
        <f si="8" t="shared"/>
        <v>6.0360262444337956E-4</v>
      </c>
      <c r="E110" s="18">
        <f si="8" t="shared"/>
        <v>4.6362869788255826E-6</v>
      </c>
      <c r="F110" s="18">
        <f si="8" t="shared"/>
        <v>5.7739591024705912E-4</v>
      </c>
      <c r="H110" s="12">
        <v>4.1666666666666664E-2</v>
      </c>
      <c r="I110" s="17">
        <f si="7" t="shared"/>
        <v>1.235688909507138E-3</v>
      </c>
      <c r="J110" s="17">
        <f si="7" t="shared"/>
        <v>7.5054972966436592E-4</v>
      </c>
      <c r="K110" s="17">
        <f si="7" t="shared"/>
        <v>1.6284001895445295E-3</v>
      </c>
      <c r="L110" s="17">
        <f si="7" t="shared"/>
        <v>2.6151031638132658E-4</v>
      </c>
      <c r="M110" s="18">
        <f si="7" t="shared"/>
        <v>1.3068805057668792E-3</v>
      </c>
    </row>
    <row r="111" spans="1:13" x14ac:dyDescent="0.25">
      <c r="A111" s="12">
        <v>6.25E-2</v>
      </c>
      <c r="B111" s="18">
        <f si="8" t="shared"/>
        <v>3.5209259825050559E-4</v>
      </c>
      <c r="C111" s="18">
        <f si="8" t="shared"/>
        <v>1.0738480691666626E-5</v>
      </c>
      <c r="D111" s="18">
        <f si="8" t="shared"/>
        <v>2.2559162405715613E-4</v>
      </c>
      <c r="E111" s="18">
        <f si="8" t="shared"/>
        <v>1.4476081205984575E-6</v>
      </c>
      <c r="F111" s="18">
        <f si="8" t="shared"/>
        <v>2.2860234735274962E-4</v>
      </c>
      <c r="H111" s="12">
        <v>6.25E-2</v>
      </c>
      <c r="I111" s="17">
        <f si="7" t="shared"/>
        <v>5.4432053186836949E-4</v>
      </c>
      <c r="J111" s="17">
        <f si="7" t="shared"/>
        <v>3.3378810946415108E-4</v>
      </c>
      <c r="K111" s="17">
        <f si="7" t="shared"/>
        <v>6.884419614306182E-4</v>
      </c>
      <c r="L111" s="17">
        <f si="7" t="shared"/>
        <v>1.0081239771806854E-4</v>
      </c>
      <c r="M111" s="18">
        <f si="7" t="shared"/>
        <v>5.6066749823775015E-4</v>
      </c>
    </row>
    <row r="112" spans="1:13" x14ac:dyDescent="0.25">
      <c r="A112" s="12">
        <v>8.3333333333333329E-2</v>
      </c>
      <c r="B112" s="18">
        <f si="8" t="shared"/>
        <v>1.1940474524377122E-4</v>
      </c>
      <c r="C112" s="18">
        <f si="8" t="shared"/>
        <v>2.5237302818730992E-6</v>
      </c>
      <c r="D112" s="18">
        <f si="8" t="shared"/>
        <v>7.0304648275082402E-5</v>
      </c>
      <c r="E112" s="18">
        <f si="8" t="shared"/>
        <v>3.4061367543493116E-7</v>
      </c>
      <c r="F112" s="18">
        <f si="8" t="shared"/>
        <v>7.4718114365928984E-5</v>
      </c>
      <c r="H112" s="12">
        <v>8.3333333333333329E-2</v>
      </c>
      <c r="I112" s="17">
        <f si="7" t="shared"/>
        <v>1.9627664487774531E-4</v>
      </c>
      <c r="J112" s="17">
        <f si="7" t="shared"/>
        <v>1.2124565604985522E-4</v>
      </c>
      <c r="K112" s="17">
        <f si="7" t="shared"/>
        <v>2.4018727564395809E-4</v>
      </c>
      <c r="L112" s="17">
        <f si="7" t="shared"/>
        <v>3.2585895408911324E-5</v>
      </c>
      <c r="M112" s="18">
        <f si="7" t="shared"/>
        <v>1.9799586332800987E-4</v>
      </c>
    </row>
    <row r="113" spans="1:13" x14ac:dyDescent="0.25">
      <c r="A113" s="12">
        <v>0.10416666666666667</v>
      </c>
      <c r="B113" s="18">
        <f si="8" t="shared"/>
        <v>3.2119255828557322E-5</v>
      </c>
      <c r="C113" s="18">
        <f si="8" t="shared"/>
        <v>4.4174588149482922E-7</v>
      </c>
      <c r="D113" s="18">
        <f si="8" t="shared"/>
        <v>1.7711465133240528E-5</v>
      </c>
      <c r="E113" s="18">
        <f si="8" t="shared"/>
        <v>5.6768945905821854E-8</v>
      </c>
      <c r="F113" s="18">
        <f si="8" t="shared"/>
        <v>1.9551964675119452E-5</v>
      </c>
      <c r="H113" s="12">
        <v>0.10416666666666667</v>
      </c>
      <c r="I113" s="17">
        <f ref="I113:M115" si="9" t="shared">I56/I$59</f>
        <v>5.6258960622584261E-5</v>
      </c>
      <c r="J113" s="17">
        <f si="9" t="shared"/>
        <v>3.4951625050727652E-5</v>
      </c>
      <c r="K113" s="17">
        <f si="9" t="shared"/>
        <v>6.7033331016173869E-5</v>
      </c>
      <c r="L113" s="17">
        <f si="9" t="shared"/>
        <v>8.5407247650808664E-6</v>
      </c>
      <c r="M113" s="18">
        <f si="9" t="shared"/>
        <v>5.5815886586636517E-5</v>
      </c>
    </row>
    <row r="114" spans="1:13" x14ac:dyDescent="0.25">
      <c r="A114" s="12">
        <v>0.125</v>
      </c>
      <c r="B114" s="18">
        <f ref="B114:F115" si="10" t="shared">B57/B$59</f>
        <v>6.4970337031049031E-6</v>
      </c>
      <c r="C114" s="18">
        <f si="10" t="shared"/>
        <v>5.2687048583175827E-8</v>
      </c>
      <c r="D114" s="18">
        <f si="10" t="shared"/>
        <v>3.4143211074875603E-6</v>
      </c>
      <c r="E114" s="18">
        <f si="10" t="shared"/>
        <v>5.9756785164023002E-9</v>
      </c>
      <c r="F114" s="18">
        <f si="10" t="shared"/>
        <v>3.8777088006734648E-6</v>
      </c>
      <c r="H114" s="12">
        <v>0.125</v>
      </c>
      <c r="I114" s="17">
        <f si="9" t="shared"/>
        <v>1.2118454240027931E-5</v>
      </c>
      <c r="J114" s="17">
        <f si="9" t="shared"/>
        <v>7.562172553976175E-6</v>
      </c>
      <c r="K114" s="17">
        <f si="9" t="shared"/>
        <v>1.4135703659686375E-5</v>
      </c>
      <c r="L114" s="17">
        <f si="9" t="shared"/>
        <v>1.7116990112574527E-6</v>
      </c>
      <c r="M114" s="18">
        <f si="9" t="shared"/>
        <v>1.1866572314878516E-5</v>
      </c>
    </row>
    <row ht="15.75" r="115" spans="1:13" thickBot="1" x14ac:dyDescent="0.3">
      <c r="A115" s="13" t="s">
        <v>34</v>
      </c>
      <c r="B115" s="20">
        <f si="10" t="shared"/>
        <v>0</v>
      </c>
      <c r="C115" s="20">
        <f si="10" t="shared"/>
        <v>0</v>
      </c>
      <c r="D115" s="20">
        <f si="10" t="shared"/>
        <v>0</v>
      </c>
      <c r="E115" s="20">
        <f si="10" t="shared"/>
        <v>0</v>
      </c>
      <c r="F115" s="20">
        <f si="10" t="shared"/>
        <v>0</v>
      </c>
      <c r="H115" s="13" t="s">
        <v>34</v>
      </c>
      <c r="I115" s="19">
        <f si="9" t="shared"/>
        <v>0</v>
      </c>
      <c r="J115" s="19">
        <f si="9" t="shared"/>
        <v>0</v>
      </c>
      <c r="K115" s="19">
        <f si="9" t="shared"/>
        <v>0</v>
      </c>
      <c r="L115" s="19">
        <f si="9" t="shared"/>
        <v>0</v>
      </c>
      <c r="M115" s="20">
        <f si="9" t="shared"/>
        <v>0</v>
      </c>
    </row>
  </sheetData>
  <pageMargins bottom="0.75" footer="0.3" header="0.3" left="0.7" right="0.7" top="0.75"/>
  <pageSetup orientation="portrait" r:id="rId1"/>
  <drawing r:id="rId2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3"/>
  <dimension ref="A1:Q113"/>
  <sheetViews>
    <sheetView workbookViewId="0"/>
  </sheetViews>
  <sheetFormatPr defaultRowHeight="15" x14ac:dyDescent="0.25"/>
  <cols>
    <col min="1" max="1" customWidth="true" width="12.7109375" collapsed="true"/>
    <col min="2" max="6" customWidth="true" width="10.7109375" collapsed="true"/>
    <col min="7" max="7" customWidth="true" width="6.42578125" collapsed="true"/>
    <col min="8" max="8" customWidth="true" width="12.7109375" collapsed="true"/>
    <col min="9" max="13" customWidth="true" width="10.7109375" collapsed="true"/>
  </cols>
  <sheetData>
    <row r="1" spans="1:17" x14ac:dyDescent="0.25">
      <c r="A1" t="s">
        <v>10</v>
      </c>
    </row>
    <row r="2" spans="1:17" x14ac:dyDescent="0.25">
      <c r="A2" t="s">
        <v>46</v>
      </c>
    </row>
    <row r="3" spans="1:17" x14ac:dyDescent="0.25">
      <c r="A3" t="s">
        <v>7</v>
      </c>
    </row>
    <row r="5" spans="1:17" x14ac:dyDescent="0.25">
      <c r="O5" s="5"/>
      <c r="P5" s="5"/>
      <c r="Q5" s="5"/>
    </row>
    <row ht="15.75" r="6" spans="1:17" thickBot="1" x14ac:dyDescent="0.3">
      <c r="A6" s="3" t="s">
        <v>50</v>
      </c>
      <c r="B6" s="1"/>
      <c r="C6" s="1"/>
      <c r="D6" s="1"/>
      <c r="E6" s="1"/>
      <c r="F6" s="1"/>
      <c r="H6" s="3" t="s">
        <v>15</v>
      </c>
      <c r="I6" s="1"/>
      <c r="J6" s="1"/>
      <c r="K6" s="1"/>
      <c r="L6" s="1"/>
      <c r="M6" s="1"/>
      <c r="O6" s="11"/>
      <c r="P6" s="5"/>
      <c r="Q6" s="5"/>
    </row>
    <row r="7" spans="1:17" x14ac:dyDescent="0.25">
      <c r="A7" s="2" t="s">
        <v>14</v>
      </c>
      <c r="B7" s="4" t="s">
        <v>1</v>
      </c>
      <c r="C7" s="4" t="s">
        <v>2</v>
      </c>
      <c r="D7" s="4" t="s">
        <v>16</v>
      </c>
      <c r="E7" s="4" t="s">
        <v>3</v>
      </c>
      <c r="F7" s="4" t="s">
        <v>0</v>
      </c>
      <c r="H7" s="2" t="s">
        <v>14</v>
      </c>
      <c r="I7" s="4" t="s">
        <v>1</v>
      </c>
      <c r="J7" s="4" t="s">
        <v>2</v>
      </c>
      <c r="K7" s="4" t="s">
        <v>16</v>
      </c>
      <c r="L7" s="4" t="s">
        <v>3</v>
      </c>
      <c r="M7" s="4" t="s">
        <v>0</v>
      </c>
      <c r="O7" s="5"/>
      <c r="P7" s="14"/>
      <c r="Q7" s="14"/>
    </row>
    <row r="8" spans="1:17" x14ac:dyDescent="0.25">
      <c r="A8" s="15">
        <v>0</v>
      </c>
      <c r="B8" s="6" t="n">
        <v>24816.356200000002</v>
      </c>
      <c r="C8" s="6" t="n">
        <v>2206.0817</v>
      </c>
      <c r="D8" s="6" t="n">
        <v>990763.9924</v>
      </c>
      <c r="E8" s="6" t="n">
        <v>82272.3095</v>
      </c>
      <c r="F8" s="6">
        <f>SUM(B8:E8)</f>
        <v>325774.84079799999</v>
      </c>
      <c r="H8" s="15">
        <v>0</v>
      </c>
      <c r="I8" s="14" t="n">
        <v>18663.0</v>
      </c>
      <c r="J8" s="14" t="n">
        <v>26396.0</v>
      </c>
      <c r="K8" s="14" t="n">
        <v>1096473.0</v>
      </c>
      <c r="L8" s="14" t="n">
        <v>337656.0</v>
      </c>
      <c r="M8" s="14">
        <f>SUM(I8:L8)</f>
        <v>471896</v>
      </c>
      <c r="O8" s="5"/>
      <c r="P8" s="14"/>
      <c r="Q8" s="14"/>
    </row>
    <row r="9" spans="1:17" x14ac:dyDescent="0.25">
      <c r="A9" s="12">
        <v>2.0833333333333332E-2</v>
      </c>
      <c r="B9" s="6" t="n">
        <v>25659.228420846564</v>
      </c>
      <c r="C9" s="6" t="n">
        <v>6358.051268959521</v>
      </c>
      <c r="D9" s="6" t="n">
        <v>748914.8168015324</v>
      </c>
      <c r="E9" s="6" t="n">
        <v>58914.0137032361</v>
      </c>
      <c r="F9" s="6">
        <f ref="F9:F56" si="0" t="shared">SUM(B9:E9)</f>
        <v>244896.08074518127</v>
      </c>
      <c r="H9" s="12">
        <v>2.0833333333333332E-2</v>
      </c>
      <c r="I9" s="9" t="n">
        <v>17692.387254714966</v>
      </c>
      <c r="J9" s="9" t="n">
        <v>23090.480904579163</v>
      </c>
      <c r="K9" s="9" t="n">
        <v>809430.6653060913</v>
      </c>
      <c r="L9" s="9" t="n">
        <v>238923.21096801758</v>
      </c>
      <c r="M9" s="14">
        <f ref="M9:M56" si="1" t="shared">SUM(I9:L9)</f>
        <v>355324.06763076782</v>
      </c>
      <c r="O9" s="5"/>
      <c r="P9" s="16"/>
      <c r="Q9" s="16"/>
    </row>
    <row r="10" spans="1:17" x14ac:dyDescent="0.25">
      <c r="A10" s="12">
        <v>4.1666666666666664E-2</v>
      </c>
      <c r="B10" s="6" t="n">
        <v>26693.133159547906</v>
      </c>
      <c r="C10" s="6" t="n">
        <v>9952.700888272095</v>
      </c>
      <c r="D10" s="6" t="n">
        <v>533378.5083458772</v>
      </c>
      <c r="E10" s="6" t="n">
        <v>38521.20323931866</v>
      </c>
      <c r="F10" s="6">
        <f si="0" t="shared"/>
        <v>173673.39388054225</v>
      </c>
      <c r="H10" s="12">
        <v>4.1666666666666664E-2</v>
      </c>
      <c r="I10" s="9" t="n">
        <v>17254.946761131287</v>
      </c>
      <c r="J10" s="9" t="n">
        <v>20439.834503173828</v>
      </c>
      <c r="K10" s="9" t="n">
        <v>557116.0970649719</v>
      </c>
      <c r="L10" s="9" t="n">
        <v>153779.4029226303</v>
      </c>
      <c r="M10" s="14">
        <f si="1" t="shared"/>
        <v>253133.07767772675</v>
      </c>
      <c r="O10" s="5"/>
      <c r="P10" s="16"/>
      <c r="Q10" s="16"/>
    </row>
    <row r="11" spans="1:17" x14ac:dyDescent="0.25">
      <c r="A11" s="12">
        <v>6.25E-2</v>
      </c>
      <c r="B11" s="6" t="n">
        <v>28052.39981008683</v>
      </c>
      <c r="C11" s="6" t="n">
        <v>12640.98351093626</v>
      </c>
      <c r="D11" s="6" t="n">
        <v>360692.4684659951</v>
      </c>
      <c r="E11" s="6" t="n">
        <v>22946.56267876892</v>
      </c>
      <c r="F11" s="6">
        <f si="0" t="shared"/>
        <v>118083.48537004883</v>
      </c>
      <c r="H11" s="12">
        <v>6.25E-2</v>
      </c>
      <c r="I11" s="9" t="n">
        <v>17681.795046806335</v>
      </c>
      <c r="J11" s="9" t="n">
        <v>18815.266932487488</v>
      </c>
      <c r="K11" s="9" t="n">
        <v>360715.3442001343</v>
      </c>
      <c r="L11" s="9" t="n">
        <v>90252.54826164246</v>
      </c>
      <c r="M11" s="14">
        <f si="1" t="shared"/>
        <v>173991.25101184845</v>
      </c>
      <c r="O11" s="5"/>
      <c r="P11" s="16"/>
      <c r="Q11" s="16"/>
    </row>
    <row r="12" spans="1:17" x14ac:dyDescent="0.25">
      <c r="A12" s="12">
        <v>8.3333333333333329E-2</v>
      </c>
      <c r="B12" s="6" t="n">
        <v>29793.860393695548</v>
      </c>
      <c r="C12" s="6" t="n">
        <v>14345.538449519636</v>
      </c>
      <c r="D12" s="6" t="n">
        <v>234209.6322910386</v>
      </c>
      <c r="E12" s="6" t="n">
        <v>12489.536185237408</v>
      </c>
      <c r="F12" s="6">
        <f si="0" t="shared"/>
        <v>79105.775805542449</v>
      </c>
      <c r="H12" s="12">
        <v>8.3333333333333329E-2</v>
      </c>
      <c r="I12" s="9" t="n">
        <v>19008.27666568756</v>
      </c>
      <c r="J12" s="9" t="n">
        <v>18231.636496543884</v>
      </c>
      <c r="K12" s="9" t="n">
        <v>223216.9914970398</v>
      </c>
      <c r="L12" s="9" t="n">
        <v>48912.61598587036</v>
      </c>
      <c r="M12" s="14">
        <f si="1" t="shared"/>
        <v>118950.29605293274</v>
      </c>
      <c r="O12" s="5"/>
      <c r="P12" s="16"/>
      <c r="Q12" s="16"/>
    </row>
    <row r="13" spans="1:17" x14ac:dyDescent="0.25">
      <c r="A13" s="12">
        <v>0.10416666666666667</v>
      </c>
      <c r="B13" s="6" t="n">
        <v>31884.019390417296</v>
      </c>
      <c r="C13" s="6" t="n">
        <v>15206.252621290494</v>
      </c>
      <c r="D13" s="6" t="n">
        <v>147645.18569382312</v>
      </c>
      <c r="E13" s="6" t="n">
        <v>6258.802414540768</v>
      </c>
      <c r="F13" s="6">
        <f si="0" t="shared"/>
        <v>54053.776383410892</v>
      </c>
      <c r="H13" s="12">
        <v>0.10416666666666667</v>
      </c>
      <c r="I13" s="9" t="n">
        <v>21012.184727668762</v>
      </c>
      <c r="J13" s="9" t="n">
        <v>18502.621766090393</v>
      </c>
      <c r="K13" s="9" t="n">
        <v>134562.7410955429</v>
      </c>
      <c r="L13" s="9" t="n">
        <v>25074.457569122314</v>
      </c>
      <c r="M13" s="14">
        <f si="1" t="shared"/>
        <v>83699.864128112793</v>
      </c>
      <c r="O13" s="5"/>
      <c r="P13" s="5"/>
      <c r="Q13" s="5"/>
    </row>
    <row r="14" spans="1:17" x14ac:dyDescent="0.25">
      <c r="A14" s="12">
        <v>0.125</v>
      </c>
      <c r="B14" s="6" t="n">
        <v>34156.660326589015</v>
      </c>
      <c r="C14" s="6" t="n">
        <v>15571.747903137495</v>
      </c>
      <c r="D14" s="6" t="n">
        <v>91129.85935459442</v>
      </c>
      <c r="E14" s="6" t="n">
        <v>2914.8299804816247</v>
      </c>
      <c r="F14" s="6">
        <f si="0" t="shared"/>
        <v>38949.772254437972</v>
      </c>
      <c r="H14" s="12">
        <v>0.125</v>
      </c>
      <c r="I14" s="9" t="n">
        <v>23342.737586021423</v>
      </c>
      <c r="J14" s="9" t="n">
        <v>19458.449803352356</v>
      </c>
      <c r="K14" s="9" t="n">
        <v>80399.25367927551</v>
      </c>
      <c r="L14" s="9" t="n">
        <v>12556.309361457825</v>
      </c>
      <c r="M14" s="14">
        <f si="1" t="shared"/>
        <v>62289.670687675476</v>
      </c>
    </row>
    <row r="15" spans="1:17" x14ac:dyDescent="0.25">
      <c r="A15" s="12">
        <v>0.14583333333333334</v>
      </c>
      <c r="B15" s="6" t="n">
        <v>36291.92484785634</v>
      </c>
      <c r="C15" s="6" t="n">
        <v>16138.44438552027</v>
      </c>
      <c r="D15" s="6" t="n">
        <v>55481.22733099585</v>
      </c>
      <c r="E15" s="6" t="n">
        <v>1268.8828538078308</v>
      </c>
      <c r="F15" s="6">
        <f si="0" t="shared"/>
        <v>30288.537508690955</v>
      </c>
      <c r="H15" s="12">
        <v>0.14583333333333334</v>
      </c>
      <c r="I15" s="9" t="n">
        <v>25703.00600337982</v>
      </c>
      <c r="J15" s="9" t="n">
        <v>21052.322595596313</v>
      </c>
      <c r="K15" s="9" t="n">
        <v>48227.07645893097</v>
      </c>
      <c r="L15" s="9" t="n">
        <v>6326.994528770447</v>
      </c>
      <c r="M15" s="14">
        <f si="1" t="shared"/>
        <v>49700.234130859375</v>
      </c>
    </row>
    <row r="16" spans="1:17" x14ac:dyDescent="0.25">
      <c r="A16" s="12">
        <v>0.16666666666666666</v>
      </c>
      <c r="B16" s="6" t="n">
        <v>37936.2288041526</v>
      </c>
      <c r="C16" s="6" t="n">
        <v>18105.11038003054</v>
      </c>
      <c r="D16" s="6" t="n">
        <v>33678.24137735386</v>
      </c>
      <c r="E16" s="6" t="n">
        <v>515.5183437534332</v>
      </c>
      <c r="F16" s="6">
        <f si="0" t="shared"/>
        <v>25732.925188871995</v>
      </c>
      <c r="H16" s="12">
        <v>0.16666666666666666</v>
      </c>
      <c r="I16" s="9" t="n">
        <v>28055.710401535034</v>
      </c>
      <c r="J16" s="9" t="n">
        <v>23308.467143058777</v>
      </c>
      <c r="K16" s="9" t="n">
        <v>29330.728835105896</v>
      </c>
      <c r="L16" s="9" t="n">
        <v>3255.419711112976</v>
      </c>
      <c r="M16" s="14">
        <f si="1" t="shared"/>
        <v>42624.348720550537</v>
      </c>
    </row>
    <row r="17" spans="1:13" x14ac:dyDescent="0.25">
      <c r="A17" s="12">
        <v>0.1875</v>
      </c>
      <c r="B17" s="6" t="n">
        <v>39006.727949758155</v>
      </c>
      <c r="C17" s="6" t="n">
        <v>22975.438891464142</v>
      </c>
      <c r="D17" s="6" t="n">
        <v>20740.753642683318</v>
      </c>
      <c r="E17" s="6" t="n">
        <v>194.40344358768465</v>
      </c>
      <c r="F17" s="6">
        <f si="0" t="shared"/>
        <v>24165.291664609485</v>
      </c>
      <c r="H17" s="12">
        <v>0.1875</v>
      </c>
      <c r="I17" s="9" t="n">
        <v>30783.660711288452</v>
      </c>
      <c r="J17" s="9" t="n">
        <v>26189.791600227356</v>
      </c>
      <c r="K17" s="9" t="n">
        <v>18242.213680267334</v>
      </c>
      <c r="L17" s="9" t="n">
        <v>1703.105435371399</v>
      </c>
      <c r="M17" s="14">
        <f si="1" t="shared"/>
        <v>39201.508285522461</v>
      </c>
    </row>
    <row r="18" spans="1:13" x14ac:dyDescent="0.25">
      <c r="A18" s="12">
        <v>0.20833333333333334</v>
      </c>
      <c r="B18" s="6" t="n">
        <v>40055.36938928919</v>
      </c>
      <c r="C18" s="6" t="n">
        <v>31689.78899805174</v>
      </c>
      <c r="D18" s="6" t="n">
        <v>13236.795698190595</v>
      </c>
      <c r="E18" s="6" t="n">
        <v>68.09606997423172</v>
      </c>
      <c r="F18" s="6">
        <f si="0" t="shared"/>
        <v>25473.61500056646</v>
      </c>
      <c r="H18" s="12">
        <v>0.20833333333333334</v>
      </c>
      <c r="I18" s="9" t="n">
        <v>34710.51716709137</v>
      </c>
      <c r="J18" s="9" t="n">
        <v>29503.42952632904</v>
      </c>
      <c r="K18" s="9" t="n">
        <v>11677.02047920227</v>
      </c>
      <c r="L18" s="9" t="n">
        <v>890.0682363510132</v>
      </c>
      <c r="M18" s="14">
        <f si="1" t="shared"/>
        <v>38486.86662197113</v>
      </c>
    </row>
    <row r="19" spans="1:13" x14ac:dyDescent="0.25">
      <c r="A19" s="12">
        <v>0.22916666666666666</v>
      </c>
      <c r="B19" s="6" t="n">
        <v>42463.04324112434</v>
      </c>
      <c r="C19" s="6" t="n">
        <v>43360.58124520941</v>
      </c>
      <c r="D19" s="6" t="n">
        <v>8877.40208857155</v>
      </c>
      <c r="E19" s="6" t="n">
        <v>22.45139491662979</v>
      </c>
      <c r="F19" s="6">
        <f si="0" t="shared"/>
        <v>30050.902626056522</v>
      </c>
      <c r="H19" s="12">
        <v>0.22916666666666666</v>
      </c>
      <c r="I19" s="9" t="n">
        <v>40939.77626514435</v>
      </c>
      <c r="J19" s="9" t="n">
        <v>32911.524483680725</v>
      </c>
      <c r="K19" s="9" t="n">
        <v>7714.60662651062</v>
      </c>
      <c r="L19" s="9" t="n">
        <v>454.2125930786133</v>
      </c>
      <c r="M19" s="14">
        <f si="1" t="shared"/>
        <v>39980.059082984924</v>
      </c>
    </row>
    <row r="20" spans="1:13" x14ac:dyDescent="0.25">
      <c r="A20" s="12">
        <v>0.25</v>
      </c>
      <c r="B20" s="6" t="n">
        <v>48235.70467866954</v>
      </c>
      <c r="C20" s="6" t="n">
        <v>54713.76979564828</v>
      </c>
      <c r="D20" s="6" t="n">
        <v>6226.54327684784</v>
      </c>
      <c r="E20" s="6" t="n">
        <v>7.055528864192962</v>
      </c>
      <c r="F20" s="6">
        <f si="0" t="shared"/>
        <v>37970.793400201139</v>
      </c>
      <c r="H20" s="12">
        <v>0.25</v>
      </c>
      <c r="I20" s="9" t="n">
        <v>50543.40920448303</v>
      </c>
      <c r="J20" s="9" t="n">
        <v>36012.26325130463</v>
      </c>
      <c r="K20" s="9" t="n">
        <v>5258.504344940186</v>
      </c>
      <c r="L20" s="9" t="n">
        <v>222.15300273895264</v>
      </c>
      <c r="M20" s="14">
        <f si="1" t="shared"/>
        <v>43296.139426231384</v>
      </c>
    </row>
    <row r="21" spans="1:13" x14ac:dyDescent="0.25">
      <c r="A21" s="12">
        <v>0.27083333333333331</v>
      </c>
      <c r="B21" s="6" t="n">
        <v>59223.197325630186</v>
      </c>
      <c r="C21" s="6" t="n">
        <v>61317.47871683626</v>
      </c>
      <c r="D21" s="6" t="n">
        <v>4472.654726128293</v>
      </c>
      <c r="E21" s="6" t="n">
        <v>2.075240696907043</v>
      </c>
      <c r="F21" s="6">
        <f si="0" t="shared"/>
        <v>48225.060888322158</v>
      </c>
      <c r="H21" s="12">
        <v>0.27083333333333331</v>
      </c>
      <c r="I21" s="9" t="n">
        <v>64124.703313827515</v>
      </c>
      <c r="J21" s="9" t="n">
        <v>38393.27528953552</v>
      </c>
      <c r="K21" s="9" t="n">
        <v>3687.7759113311768</v>
      </c>
      <c r="L21" s="9" t="n">
        <v>103.665358543396</v>
      </c>
      <c r="M21" s="14">
        <f si="1" t="shared"/>
        <v>48004.424676895142</v>
      </c>
    </row>
    <row r="22" spans="1:13" x14ac:dyDescent="0.25">
      <c r="A22" s="12">
        <v>0.29166666666666669</v>
      </c>
      <c r="B22" s="6" t="n">
        <v>75789.48894722835</v>
      </c>
      <c r="C22" s="6" t="n">
        <v>60195.57509990397</v>
      </c>
      <c r="D22" s="6" t="n">
        <v>3224.0879477268227</v>
      </c>
      <c r="E22" s="6" t="n">
        <v>0.5376714834213256</v>
      </c>
      <c r="F22" s="6">
        <f si="0" t="shared"/>
        <v>58635.511663217323</v>
      </c>
      <c r="H22" s="12">
        <v>0.29166666666666669</v>
      </c>
      <c r="I22" s="9" t="n">
        <v>81243.65858459473</v>
      </c>
      <c r="J22" s="9" t="n">
        <v>39622.21004295349</v>
      </c>
      <c r="K22" s="9" t="n">
        <v>2649.2997465133667</v>
      </c>
      <c r="L22" s="9" t="n">
        <v>46.92848777770996</v>
      </c>
      <c r="M22" s="14">
        <f si="1" t="shared"/>
        <v>53564.814249992371</v>
      </c>
    </row>
    <row r="23" spans="1:13" x14ac:dyDescent="0.25">
      <c r="A23" s="12">
        <v>0.3125</v>
      </c>
      <c r="B23" s="6" t="n">
        <v>95526.84153702109</v>
      </c>
      <c r="C23" s="6" t="n">
        <v>51783.95320222425</v>
      </c>
      <c r="D23" s="6" t="n">
        <v>2323.899687768746</v>
      </c>
      <c r="E23" s="6" t="n">
        <v>0.11281093425750732</v>
      </c>
      <c r="F23" s="6">
        <f si="0" t="shared"/>
        <v>66595.15120625186</v>
      </c>
      <c r="H23" s="12">
        <v>0.3125</v>
      </c>
      <c r="I23" s="9" t="n">
        <v>99830.6546831131</v>
      </c>
      <c r="J23" s="9" t="n">
        <v>39268.72643184662</v>
      </c>
      <c r="K23" s="9" t="n">
        <v>1942.5850439071655</v>
      </c>
      <c r="L23" s="9" t="n">
        <v>21.33181095123291</v>
      </c>
      <c r="M23" s="14">
        <f si="1" t="shared"/>
        <v>59207.255027770996</v>
      </c>
    </row>
    <row r="24" spans="1:13" x14ac:dyDescent="0.25">
      <c r="A24" s="12">
        <v>0.33333333333333331</v>
      </c>
      <c r="B24" s="6" t="n">
        <v>113183.28803280888</v>
      </c>
      <c r="C24" s="6" t="n">
        <v>39491.76872074355</v>
      </c>
      <c r="D24" s="6" t="n">
        <v>1707.480159982872</v>
      </c>
      <c r="E24" s="6" t="n">
        <v>0.017421123123168944</v>
      </c>
      <c r="F24" s="6">
        <f si="0" t="shared"/>
        <v>70080.296193520742</v>
      </c>
      <c r="H24" s="12">
        <v>0.33333333333333331</v>
      </c>
      <c r="I24" s="9" t="n">
        <v>116054.74599170685</v>
      </c>
      <c r="J24" s="9" t="n">
        <v>37057.106718063354</v>
      </c>
      <c r="K24" s="9" t="n">
        <v>1451.5053787231445</v>
      </c>
      <c r="L24" s="9" t="n">
        <v>10.049583435058594</v>
      </c>
      <c r="M24" s="14">
        <f si="1" t="shared"/>
        <v>63742.404232978821</v>
      </c>
    </row>
    <row r="25" spans="1:13" x14ac:dyDescent="0.25">
      <c r="A25" s="12">
        <v>0.35416666666666669</v>
      </c>
      <c r="B25" s="6" t="n">
        <v>122607.30587863151</v>
      </c>
      <c r="C25" s="6" t="n">
        <v>27345.05538694248</v>
      </c>
      <c r="D25" s="6" t="n">
        <v>1321.0646686262128</v>
      </c>
      <c r="E25" s="6" t="n">
        <v>0.0017349501609802247</v>
      </c>
      <c r="F25" s="6">
        <f si="0" t="shared"/>
        <v>68260.482394078368</v>
      </c>
      <c r="H25" s="12">
        <v>0.35416666666666669</v>
      </c>
      <c r="I25" s="9" t="n">
        <v>125240.78264045715</v>
      </c>
      <c r="J25" s="9" t="n">
        <v>33073.50068569183</v>
      </c>
      <c r="K25" s="9" t="n">
        <v>1101.8482751846313</v>
      </c>
      <c r="L25" s="9" t="n">
        <v>4.924696922302246</v>
      </c>
      <c r="M25" s="14">
        <f si="1" t="shared"/>
        <v>65589.756759643555</v>
      </c>
    </row>
    <row r="26" spans="1:13" x14ac:dyDescent="0.25">
      <c r="A26" s="12">
        <v>0.375</v>
      </c>
      <c r="B26" s="6" t="n">
        <v>119912.98472428942</v>
      </c>
      <c r="C26" s="6" t="n">
        <v>17829.03467498502</v>
      </c>
      <c r="D26" s="6" t="n">
        <v>1094.5082796910283</v>
      </c>
      <c r="E26" s="6" t="n">
        <v>8.33414077758789E-5</v>
      </c>
      <c r="F26" s="6">
        <f si="0" t="shared"/>
        <v>61560.784569081421</v>
      </c>
      <c r="H26" s="12">
        <v>0.375</v>
      </c>
      <c r="I26" s="9" t="n">
        <v>123838.66947174072</v>
      </c>
      <c r="J26" s="9" t="n">
        <v>27820.34743976593</v>
      </c>
      <c r="K26" s="9" t="n">
        <v>841.1612539291382</v>
      </c>
      <c r="L26" s="9" t="n">
        <v>2.444746971130371</v>
      </c>
      <c r="M26" s="14">
        <f si="1" t="shared"/>
        <v>63320.487839698792</v>
      </c>
    </row>
    <row r="27" spans="1:13" x14ac:dyDescent="0.25">
      <c r="A27" s="12">
        <v>0.39583333333333331</v>
      </c>
      <c r="B27" s="6" t="n">
        <v>105646.33382124892</v>
      </c>
      <c r="C27" s="6" t="n">
        <v>11399.161822025868</v>
      </c>
      <c r="D27" s="6" t="n">
        <v>949.9971398617743</v>
      </c>
      <c r="E27" s="6" t="n">
        <v>0.0</v>
      </c>
      <c r="F27" s="6">
        <f si="0" t="shared"/>
        <v>51414.255577307486</v>
      </c>
      <c r="H27" s="12">
        <v>0.39583333333333331</v>
      </c>
      <c r="I27" s="9" t="n">
        <v>111382.80793952942</v>
      </c>
      <c r="J27" s="9" t="n">
        <v>22032.31136417389</v>
      </c>
      <c r="K27" s="9" t="n">
        <v>634.9081649780273</v>
      </c>
      <c r="L27" s="9" t="n">
        <v>1.1829442977905273</v>
      </c>
      <c r="M27" s="14">
        <f si="1" t="shared"/>
        <v>56516.682047843933</v>
      </c>
    </row>
    <row r="28" spans="1:13" x14ac:dyDescent="0.25">
      <c r="A28" s="12">
        <v>0.41666666666666669</v>
      </c>
      <c r="B28" s="6" t="n">
        <v>84272.58911327657</v>
      </c>
      <c r="C28" s="6" t="n">
        <v>7336.628178221511</v>
      </c>
      <c r="D28" s="6" t="n">
        <v>828.0517881287574</v>
      </c>
      <c r="E28" s="6" t="n">
        <v>0.0</v>
      </c>
      <c r="F28" s="6">
        <f si="0" t="shared"/>
        <v>39830.587902229832</v>
      </c>
      <c r="H28" s="12">
        <v>0.41666666666666669</v>
      </c>
      <c r="I28" s="9" t="n">
        <v>90965.26717090607</v>
      </c>
      <c r="J28" s="9" t="n">
        <v>16405.018533706665</v>
      </c>
      <c r="K28" s="9" t="n">
        <v>466.4335651397705</v>
      </c>
      <c r="L28" s="9" t="n">
        <v>0.5376014709472656</v>
      </c>
      <c r="M28" s="14">
        <f si="1" t="shared"/>
        <v>46251.724230766296</v>
      </c>
    </row>
    <row r="29" spans="1:13" x14ac:dyDescent="0.25">
      <c r="A29" s="12">
        <v>0.4375</v>
      </c>
      <c r="B29" s="6" t="n">
        <v>61519.06191397543</v>
      </c>
      <c r="C29" s="6" t="n">
        <v>4758.7246019395825</v>
      </c>
      <c r="D29" s="6" t="n">
        <v>708.1486518870353</v>
      </c>
      <c r="E29" s="6" t="n">
        <v>0.0</v>
      </c>
      <c r="F29" s="6">
        <f si="0" t="shared"/>
        <v>28789.174782365062</v>
      </c>
      <c r="H29" s="12">
        <v>0.4375</v>
      </c>
      <c r="I29" s="9" t="n">
        <v>67730.15532112122</v>
      </c>
      <c r="J29" s="9" t="n">
        <v>11436.946769714355</v>
      </c>
      <c r="K29" s="9" t="n">
        <v>331.8820924758911</v>
      </c>
      <c r="L29" s="9" t="n">
        <v>0.2221822738647461</v>
      </c>
      <c r="M29" s="14">
        <f si="1" t="shared"/>
        <v>34686.360591888428</v>
      </c>
    </row>
    <row r="30" spans="1:13" x14ac:dyDescent="0.25">
      <c r="A30" s="12">
        <v>0.45833333333333331</v>
      </c>
      <c r="B30" s="6" t="n">
        <v>41706.4390417182</v>
      </c>
      <c r="C30" s="6" t="n">
        <v>3078.60669711895</v>
      </c>
      <c r="D30" s="6" t="n">
        <v>603.1548012060165</v>
      </c>
      <c r="E30" s="6" t="n">
        <v>0.0</v>
      </c>
      <c r="F30" s="6">
        <f si="0" t="shared"/>
        <v>19650.601881710394</v>
      </c>
      <c r="H30" s="12">
        <v>0.45833333333333331</v>
      </c>
      <c r="I30" s="9" t="n">
        <v>46462.45642566681</v>
      </c>
      <c r="J30" s="9" t="n">
        <v>7416.4231300354</v>
      </c>
      <c r="K30" s="9" t="n">
        <v>231.1231107711792</v>
      </c>
      <c r="L30" s="9" t="n">
        <v>0.08112335205078125</v>
      </c>
      <c r="M30" s="14">
        <f si="1" t="shared"/>
        <v>24039.718757629395</v>
      </c>
    </row>
    <row r="31" spans="1:13" x14ac:dyDescent="0.25">
      <c r="A31" s="12">
        <v>0.47916666666666669</v>
      </c>
      <c r="B31" s="6" t="n">
        <v>26692.930853305148</v>
      </c>
      <c r="C31" s="6" t="n">
        <v>1987.2836748225209</v>
      </c>
      <c r="D31" s="6" t="n">
        <v>529.4897173606872</v>
      </c>
      <c r="E31" s="6" t="n">
        <v>0.0</v>
      </c>
      <c r="F31" s="6">
        <f si="0" t="shared"/>
        <v>12902.928029160827</v>
      </c>
      <c r="H31" s="12">
        <v>0.47916666666666669</v>
      </c>
      <c r="I31" s="9" t="n">
        <v>29903.206823349</v>
      </c>
      <c r="J31" s="9" t="n">
        <v>4451.871216773987</v>
      </c>
      <c r="K31" s="9" t="n">
        <v>160.93484020233154</v>
      </c>
      <c r="L31" s="9" t="n">
        <v>0.025411605834960938</v>
      </c>
      <c r="M31" s="14">
        <f si="1" t="shared"/>
        <v>15694.466026306152</v>
      </c>
    </row>
    <row r="32" spans="1:13" x14ac:dyDescent="0.25">
      <c r="A32" s="12">
        <v>0.5</v>
      </c>
      <c r="B32" s="6" t="n">
        <v>16389.762014454842</v>
      </c>
      <c r="C32" s="6" t="n">
        <v>1303.7531091070173</v>
      </c>
      <c r="D32" s="6" t="n">
        <v>481.0472694395065</v>
      </c>
      <c r="E32" s="6" t="n">
        <v>0.0</v>
      </c>
      <c r="F32" s="6">
        <f si="0" t="shared"/>
        <v>8330.1773540608174</v>
      </c>
      <c r="H32" s="12">
        <v>0.5</v>
      </c>
      <c r="I32" s="9" t="n">
        <v>18542.98283958435</v>
      </c>
      <c r="J32" s="9" t="n">
        <v>2485.3069744110107</v>
      </c>
      <c r="K32" s="9" t="n">
        <v>113.9559965133667</v>
      </c>
      <c r="L32" s="9" t="n">
        <v>0.006594657897949219</v>
      </c>
      <c r="M32" s="14">
        <f si="1" t="shared"/>
        <v>9950.3500480651855</v>
      </c>
    </row>
    <row r="33" spans="1:13" x14ac:dyDescent="0.25">
      <c r="A33" s="12">
        <v>0.52083333333333337</v>
      </c>
      <c r="B33" s="6" t="n">
        <v>9810.601616565322</v>
      </c>
      <c r="C33" s="6" t="n">
        <v>892.253715865898</v>
      </c>
      <c r="D33" s="6" t="n">
        <v>431.59991888484956</v>
      </c>
      <c r="E33" s="6" t="n">
        <v>0.0</v>
      </c>
      <c r="F33" s="6">
        <f si="0" t="shared"/>
        <v>5387.364222722751</v>
      </c>
      <c r="H33" s="12">
        <v>0.52083333333333337</v>
      </c>
      <c r="I33" s="9" t="n">
        <v>11443.199174880981</v>
      </c>
      <c r="J33" s="9" t="n">
        <v>1321.1701126098633</v>
      </c>
      <c r="K33" s="9" t="n">
        <v>81.67129325866699</v>
      </c>
      <c r="L33" s="9" t="n">
        <v>0.0013523101806640625</v>
      </c>
      <c r="M33" s="14">
        <f si="1" t="shared"/>
        <v>6349.2199945449829</v>
      </c>
    </row>
    <row r="34" spans="1:13" x14ac:dyDescent="0.25">
      <c r="A34" s="12">
        <v>0.54166666666666663</v>
      </c>
      <c r="B34" s="6" t="n">
        <v>5835.93354182043</v>
      </c>
      <c r="C34" s="6" t="n">
        <v>655.0947206018446</v>
      </c>
      <c r="D34" s="6" t="n">
        <v>359.2065257777214</v>
      </c>
      <c r="E34" s="6" t="n">
        <v>0.0</v>
      </c>
      <c r="F34" s="6">
        <f si="0" t="shared"/>
        <v>3519.8084637976131</v>
      </c>
      <c r="H34" s="12">
        <v>0.54166666666666663</v>
      </c>
      <c r="I34" s="9" t="n">
        <v>7224.49252986908</v>
      </c>
      <c r="J34" s="9" t="n">
        <v>700.9822673797607</v>
      </c>
      <c r="K34" s="9" t="n">
        <v>57.620798110961914</v>
      </c>
      <c r="L34" s="9" t="n">
        <v>2.040863037109375E-4</v>
      </c>
      <c r="M34" s="14">
        <f si="1" t="shared"/>
        <v>4176.3865613937378</v>
      </c>
    </row>
    <row r="35" spans="1:13" x14ac:dyDescent="0.25">
      <c r="A35" s="12">
        <v>0.5625</v>
      </c>
      <c r="B35" s="6" t="n">
        <v>3532.937678162479</v>
      </c>
      <c r="C35" s="6" t="n">
        <v>540.1678646251678</v>
      </c>
      <c r="D35" s="6" t="n">
        <v>264.7638545093537</v>
      </c>
      <c r="E35" s="6" t="n">
        <v>0.0</v>
      </c>
      <c r="F35" s="6">
        <f si="0" t="shared"/>
        <v>2316.5032791513981</v>
      </c>
      <c r="H35" s="12">
        <v>0.5625</v>
      </c>
      <c r="I35" s="9" t="n">
        <v>4707.771613121033</v>
      </c>
      <c r="J35" s="9" t="n">
        <v>391.8079261779785</v>
      </c>
      <c r="K35" s="9" t="n">
        <v>38.560237884521484</v>
      </c>
      <c r="L35" s="9" t="n">
        <v>2.002716064453125E-5</v>
      </c>
      <c r="M35" s="14">
        <f si="1" t="shared"/>
        <v>2824.9646425247192</v>
      </c>
    </row>
    <row r="36" spans="1:13" x14ac:dyDescent="0.25">
      <c r="A36" s="12">
        <v>0.58333333333333337</v>
      </c>
      <c r="B36" s="6" t="n">
        <v>2220.805805611515</v>
      </c>
      <c r="C36" s="6" t="n">
        <v>524.034778288269</v>
      </c>
      <c r="D36" s="6" t="n">
        <v>168.1135705637932</v>
      </c>
      <c r="E36" s="6" t="n">
        <v>0.0</v>
      </c>
      <c r="F36" s="6">
        <f si="0" t="shared"/>
        <v>1523.8827303756048</v>
      </c>
      <c r="H36" s="12">
        <v>0.58333333333333337</v>
      </c>
      <c r="I36" s="9" t="n">
        <v>3138.486508369446</v>
      </c>
      <c r="J36" s="9" t="n">
        <v>236.56821727752686</v>
      </c>
      <c r="K36" s="9" t="n">
        <v>23.65231990814209</v>
      </c>
      <c r="L36" s="9" t="n">
        <v>9.5367431640625E-7</v>
      </c>
      <c r="M36" s="14">
        <f si="1" t="shared"/>
        <v>1929.2352266311646</v>
      </c>
    </row>
    <row r="37" spans="1:13" x14ac:dyDescent="0.25">
      <c r="A37" s="12">
        <v>0.60416666666666663</v>
      </c>
      <c r="B37" s="6" t="n">
        <v>1451.449701809597</v>
      </c>
      <c r="C37" s="6" t="n">
        <v>577.3500225831986</v>
      </c>
      <c r="D37" s="6" t="n">
        <v>90.31875915441513</v>
      </c>
      <c r="E37" s="6" t="n">
        <v>0.0</v>
      </c>
      <c r="F37" s="6">
        <f si="0" t="shared"/>
        <v>994.80257576259226</v>
      </c>
      <c r="H37" s="12">
        <v>0.60416666666666663</v>
      </c>
      <c r="I37" s="9" t="n">
        <v>2129.549717903137</v>
      </c>
      <c r="J37" s="9" t="n">
        <v>152.59921836853027</v>
      </c>
      <c r="K37" s="9" t="n">
        <v>12.929336547851562</v>
      </c>
      <c r="L37" s="9" t="n">
        <v>0.0</v>
      </c>
      <c r="M37" s="14">
        <f si="1" t="shared"/>
        <v>1323.3859062194824</v>
      </c>
    </row>
    <row r="38" spans="1:13" x14ac:dyDescent="0.25">
      <c r="A38" s="12">
        <v>0.625</v>
      </c>
      <c r="B38" s="6" t="n">
        <v>964.7567174817085</v>
      </c>
      <c r="C38" s="6" t="n">
        <v>645.2532837666512</v>
      </c>
      <c r="D38" s="6" t="n">
        <v>40.40727093343736</v>
      </c>
      <c r="E38" s="6" t="n">
        <v>0.0</v>
      </c>
      <c r="F38" s="6">
        <f si="0" t="shared"/>
        <v>637.83060857788553</v>
      </c>
      <c r="H38" s="12">
        <v>0.625</v>
      </c>
      <c r="I38" s="9" t="n">
        <v>1494.4443397521973</v>
      </c>
      <c r="J38" s="9" t="n">
        <v>103.53896713256836</v>
      </c>
      <c r="K38" s="9" t="n">
        <v>6.150308609008789</v>
      </c>
      <c r="L38" s="9" t="n">
        <v>0.0</v>
      </c>
      <c r="M38" s="14">
        <f si="1" t="shared"/>
        <v>935.01497554779053</v>
      </c>
    </row>
    <row r="39" spans="1:13" x14ac:dyDescent="0.25">
      <c r="A39" s="12">
        <v>0.64583333333333337</v>
      </c>
      <c r="B39" s="6" t="n">
        <v>631.7073453613282</v>
      </c>
      <c r="C39" s="6" t="n">
        <v>663.7496491152763</v>
      </c>
      <c r="D39" s="6" t="n">
        <v>14.769813288402561</v>
      </c>
      <c r="E39" s="6" t="n">
        <v>0.0</v>
      </c>
      <c r="F39" s="6">
        <f si="0" t="shared"/>
        <v>393.28009163223169</v>
      </c>
      <c r="H39" s="12">
        <v>0.64583333333333337</v>
      </c>
      <c r="I39" s="9" t="n">
        <v>1109.7916069030762</v>
      </c>
      <c r="J39" s="9" t="n">
        <v>73.2860050201416</v>
      </c>
      <c r="K39" s="9" t="n">
        <v>2.489161491394043</v>
      </c>
      <c r="L39" s="9" t="n">
        <v>0.0</v>
      </c>
      <c r="M39" s="14">
        <f si="1" t="shared"/>
        <v>705.27566623687744</v>
      </c>
    </row>
    <row r="40" spans="1:13" x14ac:dyDescent="0.25">
      <c r="A40" s="12">
        <v>0.66666666666666663</v>
      </c>
      <c r="B40" s="6" t="n">
        <v>398.47758939790725</v>
      </c>
      <c r="C40" s="6" t="n">
        <v>597.2433974508285</v>
      </c>
      <c r="D40" s="6" t="n">
        <v>4.296084910869599</v>
      </c>
      <c r="E40" s="6" t="n">
        <v>0.0</v>
      </c>
      <c r="F40" s="6">
        <f si="0" t="shared"/>
        <v>225.80272823446654</v>
      </c>
      <c r="H40" s="12">
        <v>0.66666666666666663</v>
      </c>
      <c r="I40" s="9" t="n">
        <v>865.9211311340332</v>
      </c>
      <c r="J40" s="9" t="n">
        <v>52.990097999572754</v>
      </c>
      <c r="K40" s="9" t="n">
        <v>0.8367481231689453</v>
      </c>
      <c r="L40" s="9" t="n">
        <v>0.0</v>
      </c>
      <c r="M40" s="14">
        <f si="1" t="shared"/>
        <v>568.12109851837158</v>
      </c>
    </row>
    <row r="41" spans="1:13" x14ac:dyDescent="0.25">
      <c r="A41" s="12">
        <v>0.6875</v>
      </c>
      <c r="B41" s="6" t="n">
        <v>243.67644263448716</v>
      </c>
      <c r="C41" s="6" t="n">
        <v>459.9039667872429</v>
      </c>
      <c r="D41" s="6" t="n">
        <v>0.9560577182769776</v>
      </c>
      <c r="E41" s="6" t="n">
        <v>0.0</v>
      </c>
      <c r="F41" s="6">
        <f si="0" t="shared"/>
        <v>116.46234122789859</v>
      </c>
      <c r="H41" s="12">
        <v>0.6875</v>
      </c>
      <c r="I41" s="9" t="n">
        <v>678.6572179794312</v>
      </c>
      <c r="J41" s="9" t="n">
        <v>37.52501583099365</v>
      </c>
      <c r="K41" s="9" t="n">
        <v>0.2270193099975586</v>
      </c>
      <c r="L41" s="9" t="n">
        <v>0.0</v>
      </c>
      <c r="M41" s="14">
        <f si="1" t="shared"/>
        <v>466.30944061279297</v>
      </c>
    </row>
    <row r="42" spans="1:13" x14ac:dyDescent="0.25">
      <c r="A42" s="12">
        <v>0.70833333333333337</v>
      </c>
      <c r="B42" s="6" t="n">
        <v>152.91484508552549</v>
      </c>
      <c r="C42" s="6" t="n">
        <v>300.25405129404066</v>
      </c>
      <c r="D42" s="6" t="n">
        <v>0.15278779344558716</v>
      </c>
      <c r="E42" s="6" t="n">
        <v>0.0</v>
      </c>
      <c r="F42" s="6">
        <f si="0" t="shared"/>
        <v>52.201610509954456</v>
      </c>
      <c r="H42" s="12">
        <v>0.70833333333333337</v>
      </c>
      <c r="I42" s="9" t="n">
        <v>506.70330333709717</v>
      </c>
      <c r="J42" s="9" t="n">
        <v>24.824997901916504</v>
      </c>
      <c r="K42" s="9" t="n">
        <v>0.047870635986328125</v>
      </c>
      <c r="L42" s="9" t="n">
        <v>0.0</v>
      </c>
      <c r="M42" s="14">
        <f si="1" t="shared"/>
        <v>368.18620014190674</v>
      </c>
    </row>
    <row r="43" spans="1:13" x14ac:dyDescent="0.25">
      <c r="A43" s="12">
        <v>0.72916666666666663</v>
      </c>
      <c r="B43" s="6" t="n">
        <v>108.61764315891264</v>
      </c>
      <c r="C43" s="6" t="n">
        <v>165.38897200832366</v>
      </c>
      <c r="D43" s="6" t="n">
        <v>0.015600309181213376</v>
      </c>
      <c r="E43" s="6" t="n">
        <v>0.0</v>
      </c>
      <c r="F43" s="6">
        <f si="0" t="shared"/>
        <v>19.745221465737348</v>
      </c>
      <c r="H43" s="12">
        <v>0.72916666666666663</v>
      </c>
      <c r="I43" s="9" t="n">
        <v>346.5945587158203</v>
      </c>
      <c r="J43" s="9" t="n">
        <v>14.780083656311035</v>
      </c>
      <c r="K43" s="9" t="n">
        <v>0.007427215576171875</v>
      </c>
      <c r="L43" s="9" t="n">
        <v>0.0</v>
      </c>
      <c r="M43" s="14">
        <f si="1" t="shared"/>
        <v>268.48110580444336</v>
      </c>
    </row>
    <row r="44" spans="1:13" x14ac:dyDescent="0.25">
      <c r="A44" s="12">
        <v>0.75</v>
      </c>
      <c r="B44" s="6" t="n">
        <v>90.24923531637191</v>
      </c>
      <c r="C44" s="6" t="n">
        <v>76.56531347026825</v>
      </c>
      <c r="D44" s="6" t="n">
        <v>7.638745307922363E-4</v>
      </c>
      <c r="E44" s="6" t="n">
        <v>0.0</v>
      </c>
      <c r="F44" s="6">
        <f si="0" t="shared"/>
        <v>6.1242798117065433</v>
      </c>
      <c r="H44" s="12">
        <v>0.75</v>
      </c>
      <c r="I44" s="9" t="n">
        <v>211.89331722259521</v>
      </c>
      <c r="J44" s="9" t="n">
        <v>7.7213134765625</v>
      </c>
      <c r="K44" s="9" t="n">
        <v>7.753372192382812E-4</v>
      </c>
      <c r="L44" s="9" t="n">
        <v>0.0</v>
      </c>
      <c r="M44" s="14">
        <f si="1" t="shared"/>
        <v>176.90175342559814</v>
      </c>
    </row>
    <row r="45" spans="1:13" x14ac:dyDescent="0.25">
      <c r="A45" s="12">
        <v>0.77083333333333337</v>
      </c>
      <c r="B45" s="6" t="n">
        <v>79.54262385377882</v>
      </c>
      <c r="C45" s="6" t="n">
        <v>29.639670668601994</v>
      </c>
      <c r="D45" s="6" t="n">
        <v>0.0</v>
      </c>
      <c r="E45" s="6" t="n">
        <v>0.0</v>
      </c>
      <c r="F45" s="6">
        <f si="0" t="shared"/>
        <v>1.5070941402807234</v>
      </c>
      <c r="H45" s="12">
        <v>0.77083333333333337</v>
      </c>
      <c r="I45" s="9" t="n">
        <v>113.88027286529541</v>
      </c>
      <c r="J45" s="9" t="n">
        <v>3.4795093536376953</v>
      </c>
      <c r="K45" s="9" t="n">
        <v>4.57763671875E-5</v>
      </c>
      <c r="L45" s="9" t="n">
        <v>0.0</v>
      </c>
      <c r="M45" s="14">
        <f si="1" t="shared"/>
        <v>104.72267246246338</v>
      </c>
    </row>
    <row r="46" spans="1:13" x14ac:dyDescent="0.25">
      <c r="A46" s="12">
        <v>0.79166666666666663</v>
      </c>
      <c r="B46" s="6" t="n">
        <v>65.80147696065902</v>
      </c>
      <c r="C46" s="6" t="n">
        <v>9.511005383682253</v>
      </c>
      <c r="D46" s="6" t="n">
        <v>0.0</v>
      </c>
      <c r="E46" s="6" t="n">
        <v>0.0</v>
      </c>
      <c r="F46" s="6">
        <f si="0" t="shared"/>
        <v>0.28151771969890593</v>
      </c>
      <c r="H46" s="12">
        <v>0.79166666666666663</v>
      </c>
      <c r="I46" s="9" t="n">
        <v>53.17162799835205</v>
      </c>
      <c r="J46" s="9" t="n">
        <v>1.3356990814208984</v>
      </c>
      <c r="K46" s="9" t="n">
        <v>9.5367431640625E-7</v>
      </c>
      <c r="L46" s="9" t="n">
        <v>0.0</v>
      </c>
      <c r="M46" s="14">
        <f si="1" t="shared"/>
        <v>56.536076545715332</v>
      </c>
    </row>
    <row r="47" spans="1:13" x14ac:dyDescent="0.25">
      <c r="A47" s="12">
        <v>0.8125</v>
      </c>
      <c r="B47" s="6" t="n">
        <v>47.45128713111877</v>
      </c>
      <c r="C47" s="6" t="n">
        <v>2.487804083824158</v>
      </c>
      <c r="D47" s="6" t="n">
        <v>0.0</v>
      </c>
      <c r="E47" s="6" t="n">
        <v>0.0</v>
      </c>
      <c r="F47" s="6">
        <f si="0" t="shared"/>
        <v>3.7295147854804991E-2</v>
      </c>
      <c r="H47" s="12">
        <v>0.8125</v>
      </c>
      <c r="I47" s="9" t="n">
        <v>21.469822883605957</v>
      </c>
      <c r="J47" s="9" t="n">
        <v>0.4322977066040039</v>
      </c>
      <c r="K47" s="9" t="n">
        <v>0.0</v>
      </c>
      <c r="L47" s="9" t="n">
        <v>0.0</v>
      </c>
      <c r="M47" s="14">
        <f si="1" t="shared"/>
        <v>29.176566123962402</v>
      </c>
    </row>
    <row r="48" spans="1:13" x14ac:dyDescent="0.25">
      <c r="A48" s="12">
        <v>0.83333333333333337</v>
      </c>
      <c r="B48" s="6" t="n">
        <v>28.733014098644254</v>
      </c>
      <c r="C48" s="6" t="n">
        <v>0.5137156746864319</v>
      </c>
      <c r="D48" s="6" t="n">
        <v>0.0</v>
      </c>
      <c r="E48" s="6" t="n">
        <v>0.0</v>
      </c>
      <c r="F48" s="6">
        <f si="0" t="shared"/>
        <v>3.1008696565628059E-3</v>
      </c>
      <c r="H48" s="12">
        <v>0.83333333333333337</v>
      </c>
      <c r="I48" s="9" t="n">
        <v>7.62176513671875</v>
      </c>
      <c r="J48" s="9" t="n">
        <v>0.1168050765991211</v>
      </c>
      <c r="K48" s="9" t="n">
        <v>0.0</v>
      </c>
      <c r="L48" s="9" t="n">
        <v>0.0</v>
      </c>
      <c r="M48" s="14">
        <f si="1" t="shared"/>
        <v>15.504615783691406</v>
      </c>
    </row>
    <row r="49" spans="1:13" x14ac:dyDescent="0.25">
      <c r="A49" s="12">
        <v>0.85416666666666663</v>
      </c>
      <c r="B49" s="6" t="n">
        <v>14.275101635074616</v>
      </c>
      <c r="C49" s="6" t="n">
        <v>0.07883555307388306</v>
      </c>
      <c r="D49" s="6" t="n">
        <v>0.0</v>
      </c>
      <c r="E49" s="6" t="n">
        <v>0.0</v>
      </c>
      <c r="F49" s="6">
        <f si="0" t="shared"/>
        <v>1.2051876068115235E-4</v>
      </c>
      <c r="H49" s="12">
        <v>0.85416666666666663</v>
      </c>
      <c r="I49" s="9" t="n">
        <v>2.5533065795898438</v>
      </c>
      <c r="J49" s="9" t="n">
        <v>0.026017189025878906</v>
      </c>
      <c r="K49" s="9" t="n">
        <v>0.0</v>
      </c>
      <c r="L49" s="9" t="n">
        <v>0.0</v>
      </c>
      <c r="M49" s="14">
        <f si="1" t="shared"/>
        <v>8.846405029296875</v>
      </c>
    </row>
    <row r="50" spans="1:13" x14ac:dyDescent="0.25">
      <c r="A50" s="12">
        <v>0.875</v>
      </c>
      <c r="B50" s="6" t="n">
        <v>5.69696728630066</v>
      </c>
      <c r="C50" s="6" t="n">
        <v>0.007984070777893065</v>
      </c>
      <c r="D50" s="6" t="n">
        <v>0.0</v>
      </c>
      <c r="E50" s="6" t="n">
        <v>0.0</v>
      </c>
      <c r="F50" s="6">
        <f si="0" t="shared"/>
        <v>0</v>
      </c>
      <c r="H50" s="12">
        <v>0.875</v>
      </c>
      <c r="I50" s="9" t="n">
        <v>0.9303655624389648</v>
      </c>
      <c r="J50" s="9" t="n">
        <v>0.0046672821044921875</v>
      </c>
      <c r="K50" s="9" t="n">
        <v>0.0</v>
      </c>
      <c r="L50" s="9" t="n">
        <v>0.0</v>
      </c>
      <c r="M50" s="14">
        <f si="1" t="shared"/>
        <v>5.1701679229736328</v>
      </c>
    </row>
    <row r="51" spans="1:13" x14ac:dyDescent="0.25">
      <c r="A51" s="12">
        <v>0.89583333333333337</v>
      </c>
      <c r="B51" s="6" t="n">
        <v>1.779098745250702</v>
      </c>
      <c r="C51" s="6" t="n">
        <v>3.982509613037109E-4</v>
      </c>
      <c r="D51" s="6" t="n">
        <v>0.0</v>
      </c>
      <c r="E51" s="6" t="n">
        <v>0.0</v>
      </c>
      <c r="F51" s="6">
        <f si="0" t="shared"/>
        <v>0</v>
      </c>
      <c r="H51" s="12">
        <v>0.89583333333333337</v>
      </c>
      <c r="I51" s="9" t="n">
        <v>0.3998126983642578</v>
      </c>
      <c r="J51" s="9" t="n">
        <v>6.40869140625E-4</v>
      </c>
      <c r="K51" s="9" t="n">
        <v>0.0</v>
      </c>
      <c r="L51" s="9" t="n">
        <v>0.0</v>
      </c>
      <c r="M51" s="14">
        <f si="1" t="shared"/>
        <v>2.8300104141235352</v>
      </c>
    </row>
    <row r="52" spans="1:13" x14ac:dyDescent="0.25">
      <c r="A52" s="12">
        <v>0.91666666666666663</v>
      </c>
      <c r="B52" s="6" t="n">
        <v>0.4185583076477051</v>
      </c>
      <c r="C52" s="6" t="n">
        <v>0.0</v>
      </c>
      <c r="D52" s="6" t="n">
        <v>0.0</v>
      </c>
      <c r="E52" s="6" t="n">
        <v>0.0</v>
      </c>
      <c r="F52" s="6">
        <f si="0" t="shared"/>
        <v>0</v>
      </c>
      <c r="H52" s="12">
        <v>0.91666666666666663</v>
      </c>
      <c r="I52" s="9" t="n">
        <v>0.18132972717285156</v>
      </c>
      <c r="J52" s="9" t="n">
        <v>6.008148193359375E-5</v>
      </c>
      <c r="K52" s="9" t="n">
        <v>0.0</v>
      </c>
      <c r="L52" s="9" t="n">
        <v>0.0</v>
      </c>
      <c r="M52" s="14">
        <f si="1" t="shared"/>
        <v>1.3542385101318359</v>
      </c>
    </row>
    <row r="53" spans="1:13" x14ac:dyDescent="0.25">
      <c r="A53" s="12">
        <v>0.9375</v>
      </c>
      <c r="B53" s="6" t="n">
        <v>0.06975971794128419</v>
      </c>
      <c r="C53" s="6" t="n">
        <v>0.0</v>
      </c>
      <c r="D53" s="6" t="n">
        <v>0.0</v>
      </c>
      <c r="E53" s="6" t="n">
        <v>0.0</v>
      </c>
      <c r="F53" s="6">
        <f si="0" t="shared"/>
        <v>0</v>
      </c>
      <c r="H53" s="12">
        <v>0.9375</v>
      </c>
      <c r="I53" s="9" t="n">
        <v>0.07465362548828125</v>
      </c>
      <c r="J53" s="9" t="n">
        <v>2.86102294921875E-6</v>
      </c>
      <c r="K53" s="9" t="n">
        <v>0.0</v>
      </c>
      <c r="L53" s="9" t="n">
        <v>0.0</v>
      </c>
      <c r="M53" s="14">
        <f si="1" t="shared"/>
        <v>0.54357147216796875</v>
      </c>
    </row>
    <row r="54" spans="1:13" x14ac:dyDescent="0.25">
      <c r="A54" s="12">
        <v>0.95833333333333337</v>
      </c>
      <c r="B54" s="6" t="n">
        <v>0.007343128204345702</v>
      </c>
      <c r="C54" s="6" t="n">
        <v>0.0</v>
      </c>
      <c r="D54" s="6" t="n">
        <v>0.0</v>
      </c>
      <c r="E54" s="6" t="n">
        <v>0.0</v>
      </c>
      <c r="F54" s="6">
        <f si="0" t="shared"/>
        <v>0</v>
      </c>
      <c r="H54" s="12">
        <v>0.95833333333333337</v>
      </c>
      <c r="I54" s="9" t="n">
        <v>0.025638580322265625</v>
      </c>
      <c r="J54" s="9" t="n">
        <v>0.0</v>
      </c>
      <c r="K54" s="9" t="n">
        <v>0.0</v>
      </c>
      <c r="L54" s="9" t="n">
        <v>0.0</v>
      </c>
      <c r="M54" s="14">
        <f si="1" t="shared"/>
        <v>0.17764568328857422</v>
      </c>
    </row>
    <row r="55" spans="1:13" x14ac:dyDescent="0.25">
      <c r="A55" s="12">
        <v>0.97916666666666663</v>
      </c>
      <c r="B55" s="6" t="n">
        <v>3.6715641021728516E-4</v>
      </c>
      <c r="C55" s="6" t="n">
        <v>0.0</v>
      </c>
      <c r="D55" s="6" t="n">
        <v>0.0</v>
      </c>
      <c r="E55" s="6" t="n">
        <v>0.0</v>
      </c>
      <c r="F55" s="6">
        <f si="0" t="shared"/>
        <v>0</v>
      </c>
      <c r="H55" s="12">
        <v>0.97916666666666663</v>
      </c>
      <c r="I55" s="9" t="n">
        <v>0.00681304931640625</v>
      </c>
      <c r="J55" s="9" t="n">
        <v>0.0</v>
      </c>
      <c r="K55" s="9" t="n">
        <v>0.0</v>
      </c>
      <c r="L55" s="9" t="n">
        <v>0.0</v>
      </c>
      <c r="M55" s="14">
        <f si="1" t="shared"/>
        <v>4.4705390930175781E-2</v>
      </c>
    </row>
    <row r="56" spans="1:13" x14ac:dyDescent="0.25">
      <c r="A56" s="21" t="s">
        <v>13</v>
      </c>
      <c r="B56" s="22" t="n">
        <v>0.0</v>
      </c>
      <c r="C56" s="22" t="n">
        <v>0.0</v>
      </c>
      <c r="D56" s="22" t="n">
        <v>0.0</v>
      </c>
      <c r="E56" s="22" t="n">
        <v>0.0</v>
      </c>
      <c r="F56" s="22">
        <f si="0" t="shared"/>
        <v>0</v>
      </c>
      <c r="G56" s="5"/>
      <c r="H56" s="21" t="s">
        <v>13</v>
      </c>
      <c r="I56" s="24" t="n">
        <v>0.0</v>
      </c>
      <c r="J56" s="24" t="n">
        <v>0.0</v>
      </c>
      <c r="K56" s="24" t="n">
        <v>0.0</v>
      </c>
      <c r="L56" s="24" t="n">
        <v>0.0</v>
      </c>
      <c r="M56" s="27">
        <f si="1" t="shared"/>
        <v>0</v>
      </c>
    </row>
    <row ht="15.75" r="57" spans="1:13" thickBot="1" x14ac:dyDescent="0.3">
      <c r="A57" s="1"/>
      <c r="B57" s="7">
        <f>SUM(B8:B56)</f>
        <v>551257.53180062131</v>
      </c>
      <c r="C57" s="7">
        <f>SUM(C8:C56)</f>
        <v>218200.56477756723</v>
      </c>
      <c r="D57" s="7">
        <f>SUM(D8:D56)</f>
        <v>867576.96384283039</v>
      </c>
      <c r="E57" s="7">
        <f>SUM(E8:E56)</f>
        <v>120654.77992811342</v>
      </c>
      <c r="F57" s="7">
        <f>SUM(F8:F56)</f>
        <v>1757689.8403491322</v>
      </c>
      <c r="H57" s="1"/>
      <c r="I57" s="7">
        <f>SUM(I8:I56)</f>
        <v>565353.63609886169</v>
      </c>
      <c r="J57" s="7">
        <f>SUM(J8:J56)</f>
        <v>275938.10176277161</v>
      </c>
      <c r="K57" s="7">
        <f>SUM(K8:K56)</f>
        <v>1321619.3909425735</v>
      </c>
      <c r="L57" s="7">
        <f>SUM(L8:L56)</f>
        <v>170547.08838939667</v>
      </c>
      <c r="M57" s="7">
        <f>SUM(M8:M56)</f>
        <v>2333458.2171936035</v>
      </c>
    </row>
    <row ht="15.75" r="63" spans="1:13" thickBot="1" x14ac:dyDescent="0.3">
      <c r="A63" s="3" t="s">
        <v>50</v>
      </c>
      <c r="B63" s="1"/>
      <c r="C63" s="1"/>
      <c r="D63" s="1"/>
      <c r="E63" s="1"/>
      <c r="F63" s="1"/>
      <c r="H63" s="3" t="s">
        <v>15</v>
      </c>
      <c r="I63" s="1"/>
      <c r="J63" s="1"/>
      <c r="K63" s="1"/>
      <c r="L63" s="1"/>
      <c r="M63" s="1"/>
    </row>
    <row r="64" spans="1:13" x14ac:dyDescent="0.25">
      <c r="A64" s="2" t="s">
        <v>14</v>
      </c>
      <c r="B64" s="4" t="s">
        <v>48</v>
      </c>
      <c r="C64" s="4" t="s">
        <v>48</v>
      </c>
      <c r="D64" s="4" t="s">
        <v>48</v>
      </c>
      <c r="E64" s="4" t="s">
        <v>48</v>
      </c>
      <c r="F64" s="4" t="s">
        <v>0</v>
      </c>
      <c r="H64" s="2" t="s">
        <v>14</v>
      </c>
      <c r="I64" s="4" t="s">
        <v>35</v>
      </c>
      <c r="J64" s="4" t="s">
        <v>35</v>
      </c>
      <c r="K64" s="4" t="s">
        <v>35</v>
      </c>
      <c r="L64" s="4" t="s">
        <v>35</v>
      </c>
      <c r="M64" s="4" t="s">
        <v>0</v>
      </c>
    </row>
    <row r="65" spans="1:13" x14ac:dyDescent="0.25">
      <c r="A65" s="15">
        <v>0</v>
      </c>
      <c r="B65" s="18">
        <f>B8/B$57</f>
        <v>2.4990954365740375E-2</v>
      </c>
      <c r="C65" s="18">
        <f ref="C65:F65" si="2" t="shared">C8/C$57</f>
        <v>7.9542825600350444E-3</v>
      </c>
      <c r="D65" s="18">
        <f si="2" t="shared"/>
        <v>0.30848527331286374</v>
      </c>
      <c r="E65" s="18">
        <f si="2" t="shared"/>
        <v>0.3533058801681786</v>
      </c>
      <c r="F65" s="18">
        <f si="2" t="shared"/>
        <v>0.18534262036429072</v>
      </c>
      <c r="G65" s="18"/>
      <c r="H65" s="15">
        <v>0</v>
      </c>
      <c r="I65" s="18">
        <f ref="I65:M65" si="3" t="shared">I8/I$57</f>
        <v>1.4564335442887547E-2</v>
      </c>
      <c r="J65" s="18">
        <f si="3" t="shared"/>
        <v>3.5710907399340019E-2</v>
      </c>
      <c r="K65" s="18">
        <f si="3" t="shared"/>
        <v>0.30265143107103532</v>
      </c>
      <c r="L65" s="18">
        <f si="3" t="shared"/>
        <v>0.31556094277682195</v>
      </c>
      <c r="M65" s="18">
        <f si="3" t="shared"/>
        <v>0.20223031915589149</v>
      </c>
    </row>
    <row r="66" spans="1:13" x14ac:dyDescent="0.25">
      <c r="A66" s="12">
        <v>2.0833333333333332E-2</v>
      </c>
      <c r="B66" s="18">
        <f ref="B66:F66" si="4" t="shared">B9/B$57</f>
        <v>2.2764372900826259E-2</v>
      </c>
      <c r="C66" s="18">
        <f si="4" t="shared"/>
        <v>1.041534759432703E-2</v>
      </c>
      <c r="D66" s="18">
        <f si="4" t="shared"/>
        <v>0.22947952742262023</v>
      </c>
      <c r="E66" s="18">
        <f si="4" t="shared"/>
        <v>0.25679266376766452</v>
      </c>
      <c r="F66" s="18">
        <f si="4" t="shared"/>
        <v>0.13932838156277746</v>
      </c>
      <c r="G66" s="18"/>
      <c r="H66" s="12">
        <v>2.0833333333333332E-2</v>
      </c>
      <c r="I66" s="18">
        <f ref="I66:M66" si="5" t="shared">I9/I$57</f>
        <v>1.4066444889370963E-2</v>
      </c>
      <c r="J66" s="18">
        <f si="5" t="shared"/>
        <v>3.0130444857363253E-2</v>
      </c>
      <c r="K66" s="18">
        <f si="5" t="shared"/>
        <v>0.22648928192733331</v>
      </c>
      <c r="L66" s="18">
        <f si="5" t="shared"/>
        <v>0.23292562567732319</v>
      </c>
      <c r="M66" s="18">
        <f si="5" t="shared"/>
        <v>0.15227359333569207</v>
      </c>
    </row>
    <row r="67" spans="1:13" x14ac:dyDescent="0.25">
      <c r="A67" s="12">
        <v>4.1666666666666664E-2</v>
      </c>
      <c r="B67" s="18">
        <f ref="B67:F67" si="6" t="shared">B10/B$57</f>
        <v>2.0977113362074137E-2</v>
      </c>
      <c r="C67" s="18">
        <f si="6" t="shared"/>
        <v>1.2251110532230653E-2</v>
      </c>
      <c r="D67" s="18">
        <f si="6" t="shared"/>
        <v>0.1599267740032719</v>
      </c>
      <c r="E67" s="18">
        <f si="6" t="shared"/>
        <v>0.17146123752715733</v>
      </c>
      <c r="F67" s="18">
        <f si="6" t="shared"/>
        <v>9.8807758851268829E-2</v>
      </c>
      <c r="G67" s="18"/>
      <c r="H67" s="12">
        <v>4.1666666666666664E-2</v>
      </c>
      <c r="I67" s="18">
        <f ref="I67:M67" si="7" t="shared">I10/I$57</f>
        <v>1.4016518857849358E-2</v>
      </c>
      <c r="J67" s="18">
        <f si="7" t="shared"/>
        <v>2.5898004231660415E-2</v>
      </c>
      <c r="K67" s="18">
        <f si="7" t="shared"/>
        <v>0.1594272292899713</v>
      </c>
      <c r="L67" s="18">
        <f si="7" t="shared"/>
        <v>0.16042738831472136</v>
      </c>
      <c r="M67" s="18">
        <f si="7" t="shared"/>
        <v>0.10847979870073014</v>
      </c>
    </row>
    <row r="68" spans="1:13" x14ac:dyDescent="0.25">
      <c r="A68" s="12">
        <v>6.25E-2</v>
      </c>
      <c r="B68" s="18">
        <f ref="B68:F68" si="8" t="shared">B11/B$57</f>
        <v>1.9912462240596156E-2</v>
      </c>
      <c r="C68" s="18">
        <f si="8" t="shared"/>
        <v>1.320431461537569E-2</v>
      </c>
      <c r="D68" s="18">
        <f si="8" t="shared"/>
        <v>0.1055769455504036</v>
      </c>
      <c r="E68" s="18">
        <f si="8" t="shared"/>
        <v>0.10467281786726276</v>
      </c>
      <c r="F68" s="18">
        <f si="8" t="shared"/>
        <v>6.7181070664090403E-2</v>
      </c>
      <c r="G68" s="18"/>
      <c r="H68" s="12">
        <v>6.25E-2</v>
      </c>
      <c r="I68" s="18">
        <f ref="I68:M68" si="9" t="shared">I11/I$57</f>
        <v>1.4679949469155979E-2</v>
      </c>
      <c r="J68" s="18">
        <f si="9" t="shared"/>
        <v>2.3866840744162645E-2</v>
      </c>
      <c r="K68" s="18">
        <f si="9" t="shared"/>
        <v>0.10692777100456849</v>
      </c>
      <c r="L68" s="18">
        <f si="9" t="shared"/>
        <v>0.10430141053581365</v>
      </c>
      <c r="M68" s="18">
        <f si="9" t="shared"/>
        <v>7.4563688233125397E-2</v>
      </c>
    </row>
    <row r="69" spans="1:13" x14ac:dyDescent="0.25">
      <c r="A69" s="12">
        <v>8.3333333333333329E-2</v>
      </c>
      <c r="B69" s="18">
        <f ref="B69:F69" si="10" t="shared">B12/B$57</f>
        <v>1.9644116276868098E-2</v>
      </c>
      <c r="C69" s="18">
        <f si="10" t="shared"/>
        <v>1.3451336613886531E-2</v>
      </c>
      <c r="D69" s="18">
        <f si="10" t="shared"/>
        <v>6.7208108405981085E-2</v>
      </c>
      <c r="E69" s="18">
        <f si="10" t="shared"/>
        <v>5.8294523216554255E-2</v>
      </c>
      <c r="F69" s="18">
        <f si="10" t="shared"/>
        <v>4.5005537376167325E-2</v>
      </c>
      <c r="G69" s="18"/>
      <c r="H69" s="12">
        <v>8.3333333333333329E-2</v>
      </c>
      <c r="I69" s="18">
        <f ref="I69:M69" si="11" t="shared">I12/I$57</f>
        <v>1.6046980275221476E-2</v>
      </c>
      <c r="J69" s="18">
        <f si="11" t="shared"/>
        <v>2.420133360124186E-2</v>
      </c>
      <c r="K69" s="18">
        <f si="11" t="shared"/>
        <v>6.9637711410357447E-2</v>
      </c>
      <c r="L69" s="18">
        <f si="11" t="shared"/>
        <v>6.5468473936012198E-2</v>
      </c>
      <c r="M69" s="18">
        <f si="11" t="shared"/>
        <v>5.0975969990151151E-2</v>
      </c>
    </row>
    <row r="70" spans="1:13" x14ac:dyDescent="0.25">
      <c r="A70" s="12">
        <v>0.10416666666666667</v>
      </c>
      <c r="B70" s="18">
        <f ref="B70:F70" si="12" t="shared">B13/B$57</f>
        <v>2.0076450912385409E-2</v>
      </c>
      <c r="C70" s="18">
        <f si="12" t="shared"/>
        <v>1.3367216389236269E-2</v>
      </c>
      <c r="D70" s="18">
        <f si="12" t="shared"/>
        <v>4.2062926920204947E-2</v>
      </c>
      <c r="E70" s="18">
        <f si="12" t="shared"/>
        <v>2.9645912203847654E-2</v>
      </c>
      <c r="F70" s="18">
        <f si="12" t="shared"/>
        <v>3.0752738704272264E-2</v>
      </c>
      <c r="G70" s="18"/>
      <c r="H70" s="12">
        <v>0.10416666666666667</v>
      </c>
      <c r="I70" s="18">
        <f ref="I70:M70" si="13" t="shared">I13/I$57</f>
        <v>1.785780158311644E-2</v>
      </c>
      <c r="J70" s="18">
        <f si="13" t="shared"/>
        <v>2.6559275505978374E-2</v>
      </c>
      <c r="K70" s="18">
        <f si="13" t="shared"/>
        <v>4.4866798543831792E-2</v>
      </c>
      <c r="L70" s="18">
        <f si="13" t="shared"/>
        <v>4.0917403538878031E-2</v>
      </c>
      <c r="M70" s="18">
        <f si="13" t="shared"/>
        <v>3.586945054828395E-2</v>
      </c>
    </row>
    <row r="71" spans="1:13" x14ac:dyDescent="0.25">
      <c r="A71" s="12">
        <v>0.125</v>
      </c>
      <c r="B71" s="18">
        <f ref="B71:F71" si="14" t="shared">B14/B$57</f>
        <v>2.0999590406756297E-2</v>
      </c>
      <c r="C71" s="18">
        <f si="14" t="shared"/>
        <v>1.3283208187228687E-2</v>
      </c>
      <c r="D71" s="18">
        <f si="14" t="shared"/>
        <v>2.6283970886954829E-2</v>
      </c>
      <c r="E71" s="18">
        <f si="14" t="shared"/>
        <v>1.3856215979446918E-2</v>
      </c>
      <c r="F71" s="18">
        <f si="14" t="shared"/>
        <v>2.2159638953537633E-2</v>
      </c>
      <c r="G71" s="18"/>
      <c r="H71" s="12">
        <v>0.125</v>
      </c>
      <c r="I71" s="18">
        <f ref="I71:M71" si="15" t="shared">I14/I$57</f>
        <v>1.9721307475437159E-2</v>
      </c>
      <c r="J71" s="18">
        <f si="15" t="shared"/>
        <v>3.0470293088428271E-2</v>
      </c>
      <c r="K71" s="18">
        <f si="15" t="shared"/>
        <v>2.8949763564176098E-2</v>
      </c>
      <c r="L71" s="18">
        <f si="15" t="shared"/>
        <v>2.6219586129840457E-2</v>
      </c>
      <c r="M71" s="18">
        <f si="15" t="shared"/>
        <v>2.6694144437087813E-2</v>
      </c>
    </row>
    <row r="72" spans="1:13" x14ac:dyDescent="0.25">
      <c r="A72" s="12">
        <v>0.14583333333333334</v>
      </c>
      <c r="B72" s="18">
        <f ref="B72:F72" si="16" t="shared">B15/B$57</f>
        <v>2.2135094705718058E-2</v>
      </c>
      <c r="C72" s="18">
        <f si="16" t="shared"/>
        <v>1.3555928980108245E-2</v>
      </c>
      <c r="D72" s="18">
        <f si="16" t="shared"/>
        <v>1.6595168526586615E-2</v>
      </c>
      <c r="E72" s="18">
        <f si="16" t="shared"/>
        <v>6.0578002063322511E-3</v>
      </c>
      <c r="F72" s="18">
        <f si="16" t="shared"/>
        <v>1.7232014894433653E-2</v>
      </c>
      <c r="G72" s="18"/>
      <c r="H72" s="12">
        <v>0.14583333333333334</v>
      </c>
      <c r="I72" s="18">
        <f ref="I72:M72" si="17" t="shared">I15/I$57</f>
        <v>2.1294256169396585E-2</v>
      </c>
      <c r="J72" s="18">
        <f si="17" t="shared"/>
        <v>3.5635109400367189E-2</v>
      </c>
      <c r="K72" s="18">
        <f si="17" t="shared"/>
        <v>1.8804783086264751E-2</v>
      </c>
      <c r="L72" s="18">
        <f si="17" t="shared"/>
        <v>1.7447372407519503E-2</v>
      </c>
      <c r="M72" s="18">
        <f si="17" t="shared"/>
        <v>2.1298960386199974E-2</v>
      </c>
    </row>
    <row r="73" spans="1:13" x14ac:dyDescent="0.25">
      <c r="A73" s="12">
        <v>0.16666666666666666</v>
      </c>
      <c r="B73" s="18">
        <f ref="B73:F73" si="18" t="shared">B16/B$57</f>
        <v>2.3230930660627622E-2</v>
      </c>
      <c r="C73" s="18">
        <f si="18" t="shared"/>
        <v>1.5046924963535551E-2</v>
      </c>
      <c r="D73" s="18">
        <f si="18" t="shared"/>
        <v>1.0756876706997402E-2</v>
      </c>
      <c r="E73" s="18">
        <f si="18" t="shared"/>
        <v>2.5778815605212793E-3</v>
      </c>
      <c r="F73" s="18">
        <f si="18" t="shared"/>
        <v>1.4640196807282353E-2</v>
      </c>
      <c r="G73" s="18"/>
      <c r="H73" s="12">
        <v>0.16666666666666666</v>
      </c>
      <c r="I73" s="18">
        <f ref="I73:M73" si="19" t="shared">I16/I$57</f>
        <v>2.2475891261026153E-2</v>
      </c>
      <c r="J73" s="18">
        <f si="19" t="shared"/>
        <v>4.1977280411640741E-2</v>
      </c>
      <c r="K73" s="18">
        <f si="19" t="shared"/>
        <v>1.2333149120244734E-2</v>
      </c>
      <c r="L73" s="18">
        <f si="19" t="shared"/>
        <v>1.1930205247876685E-2</v>
      </c>
      <c r="M73" s="18">
        <f si="19" t="shared"/>
        <v>1.8266600364421293E-2</v>
      </c>
    </row>
    <row r="74" spans="1:13" x14ac:dyDescent="0.25">
      <c r="A74" s="12">
        <v>0.1875</v>
      </c>
      <c r="B74" s="18">
        <f ref="B74:F74" si="20" t="shared">B17/B$57</f>
        <v>2.4244572542239443E-2</v>
      </c>
      <c r="C74" s="18">
        <f si="20" t="shared"/>
        <v>1.972518755942046E-2</v>
      </c>
      <c r="D74" s="18">
        <f si="20" t="shared"/>
        <v>7.3273611889133998E-3</v>
      </c>
      <c r="E74" s="18">
        <f si="20" t="shared"/>
        <v>1.1536352428815409E-3</v>
      </c>
      <c r="F74" s="18">
        <f si="20" t="shared"/>
        <v>1.3748325278940852E-2</v>
      </c>
      <c r="G74" s="18"/>
      <c r="H74" s="12">
        <v>0.1875</v>
      </c>
      <c r="I74" s="18">
        <f ref="I74:M74" si="21" t="shared">I17/I$57</f>
        <v>2.3537005119510332E-2</v>
      </c>
      <c r="J74" s="18">
        <f si="21" t="shared"/>
        <v>4.9471637894984273E-2</v>
      </c>
      <c r="K74" s="18">
        <f si="21" t="shared"/>
        <v>8.2077525002456787E-3</v>
      </c>
      <c r="L74" s="18">
        <f si="21" t="shared"/>
        <v>8.186256120203201E-3</v>
      </c>
      <c r="M74" s="18">
        <f si="21" t="shared"/>
        <v>1.6799747257814288E-2</v>
      </c>
    </row>
    <row r="75" spans="1:13" x14ac:dyDescent="0.25">
      <c r="A75" s="12">
        <v>0.20833333333333334</v>
      </c>
      <c r="B75" s="18">
        <f ref="B75:F75" si="22" t="shared">B18/B$57</f>
        <v>2.5548373479036435E-2</v>
      </c>
      <c r="C75" s="18">
        <f si="22" t="shared"/>
        <v>3.0611672895853877E-2</v>
      </c>
      <c r="D75" s="18">
        <f si="22" t="shared"/>
        <v>5.3448142652143026E-3</v>
      </c>
      <c r="E75" s="18">
        <f si="22" t="shared"/>
        <v>6.0801277708311E-4</v>
      </c>
      <c r="F75" s="18">
        <f si="22" t="shared"/>
        <v>1.449266782784988E-2</v>
      </c>
      <c r="G75" s="18"/>
      <c r="H75" s="12">
        <v>0.20833333333333334</v>
      </c>
      <c r="I75" s="18">
        <f ref="I75:M75" si="23" t="shared">I18/I$57</f>
        <v>2.5103753064125964E-2</v>
      </c>
      <c r="J75" s="18">
        <f si="23" t="shared"/>
        <v>5.7880724933870004E-2</v>
      </c>
      <c r="K75" s="18">
        <f si="23" t="shared"/>
        <v>5.5840666024654685E-3</v>
      </c>
      <c r="L75" s="18">
        <f si="23" t="shared"/>
        <v>5.5284466437118254E-3</v>
      </c>
      <c r="M75" s="18">
        <f si="23" t="shared"/>
        <v>1.6493488650616766E-2</v>
      </c>
    </row>
    <row r="76" spans="1:13" x14ac:dyDescent="0.25">
      <c r="A76" s="12">
        <v>0.22916666666666666</v>
      </c>
      <c r="B76" s="18">
        <f ref="B76:F76" si="24" t="shared">B19/B$57</f>
        <v>2.8022814902078426E-2</v>
      </c>
      <c r="C76" s="18">
        <f si="24" t="shared"/>
        <v>5.0160321141889057E-2</v>
      </c>
      <c r="D76" s="18">
        <f si="24" t="shared"/>
        <v>4.1597349937499556E-3</v>
      </c>
      <c r="E76" s="18">
        <f si="24" t="shared"/>
        <v>4.078925858364086E-4</v>
      </c>
      <c r="F76" s="18">
        <f si="24" t="shared"/>
        <v>1.7096817616063294E-2</v>
      </c>
      <c r="G76" s="18"/>
      <c r="H76" s="12">
        <v>0.22916666666666666</v>
      </c>
      <c r="I76" s="18">
        <f ref="I76:M76" si="25" t="shared">I19/I$57</f>
        <v>2.8004117280614672E-2</v>
      </c>
      <c r="J76" s="18">
        <f si="25" t="shared"/>
        <v>6.6508604755922449E-2</v>
      </c>
      <c r="K76" s="18">
        <f si="25" t="shared"/>
        <v>3.9128183056790569E-3</v>
      </c>
      <c r="L76" s="18">
        <f si="25" t="shared"/>
        <v>3.6606597350100174E-3</v>
      </c>
      <c r="M76" s="18">
        <f si="25" t="shared"/>
        <v>1.7133394027971077E-2</v>
      </c>
    </row>
    <row r="77" spans="1:13" x14ac:dyDescent="0.25">
      <c r="A77" s="12">
        <v>0.25</v>
      </c>
      <c r="B77" s="18">
        <f ref="B77:F77" si="26" t="shared">B20/B$57</f>
        <v>3.2910906786970354E-2</v>
      </c>
      <c r="C77" s="18">
        <f si="26" t="shared"/>
        <v>7.7295144099483626E-2</v>
      </c>
      <c r="D77" s="18">
        <f si="26" t="shared"/>
        <v>3.3688304169872578E-3</v>
      </c>
      <c r="E77" s="18">
        <f si="26" t="shared"/>
        <v>3.3023468757166778E-4</v>
      </c>
      <c r="F77" s="18">
        <f si="26" t="shared"/>
        <v>2.1602669895764405E-2</v>
      </c>
      <c r="G77" s="18"/>
      <c r="H77" s="12">
        <v>0.25</v>
      </c>
      <c r="I77" s="18">
        <f ref="I77:M77" si="27" t="shared">I20/I$57</f>
        <v>3.3075818817237229E-2</v>
      </c>
      <c r="J77" s="18">
        <f si="27" t="shared"/>
        <v>7.4071928442250037E-2</v>
      </c>
      <c r="K77" s="18">
        <f si="27" t="shared"/>
        <v>2.8349947138510863E-3</v>
      </c>
      <c r="L77" s="18">
        <f si="27" t="shared"/>
        <v>2.4072746097791222E-3</v>
      </c>
      <c r="M77" s="18">
        <f si="27" t="shared"/>
        <v>1.855449525824493E-2</v>
      </c>
    </row>
    <row r="78" spans="1:13" x14ac:dyDescent="0.25">
      <c r="A78" s="12">
        <v>0.27083333333333331</v>
      </c>
      <c r="B78" s="18">
        <f ref="B78:F78" si="28" t="shared">B21/B$57</f>
        <v>4.1336843381952156E-2</v>
      </c>
      <c r="C78" s="18">
        <f si="28" t="shared"/>
        <v>0.10544218442287133</v>
      </c>
      <c r="D78" s="18">
        <f si="28" t="shared"/>
        <v>2.7620523234336315E-3</v>
      </c>
      <c r="E78" s="18">
        <f si="28" t="shared"/>
        <v>2.8160900039011193E-4</v>
      </c>
      <c r="F78" s="18">
        <f si="28" t="shared"/>
        <v>2.743661582452064E-2</v>
      </c>
      <c r="G78" s="18"/>
      <c r="H78" s="12">
        <v>0.27083333333333331</v>
      </c>
      <c r="I78" s="18">
        <f ref="I78:M78" si="29" t="shared">I21/I$57</f>
        <v>4.0983027883779201E-2</v>
      </c>
      <c r="J78" s="18">
        <f si="29" t="shared"/>
        <v>7.8859433191356243E-2</v>
      </c>
      <c r="K78" s="18">
        <f si="29" t="shared"/>
        <v>2.1191961645827791E-3</v>
      </c>
      <c r="L78" s="18">
        <f si="29" t="shared"/>
        <v>1.6032393270799057E-3</v>
      </c>
      <c r="M78" s="18">
        <f si="29" t="shared"/>
        <v>2.0572223802073884E-2</v>
      </c>
    </row>
    <row r="79" spans="1:13" x14ac:dyDescent="0.25">
      <c r="A79" s="12">
        <v>0.29166666666666669</v>
      </c>
      <c r="B79" s="18">
        <f ref="B79:F79" si="30" t="shared">B22/B$57</f>
        <v>5.3489212726830056E-2</v>
      </c>
      <c r="C79" s="18">
        <f si="30" t="shared"/>
        <v>0.12449340229407486</v>
      </c>
      <c r="D79" s="18">
        <f si="30" t="shared"/>
        <v>2.2561662409133305E-3</v>
      </c>
      <c r="E79" s="18">
        <f si="30" t="shared"/>
        <v>2.2586530445408117E-4</v>
      </c>
      <c r="F79" s="18">
        <f si="30" t="shared"/>
        <v>3.3359418890178301E-2</v>
      </c>
      <c r="G79" s="18"/>
      <c r="H79" s="12">
        <v>0.29166666666666669</v>
      </c>
      <c r="I79" s="18">
        <f ref="I79:M79" si="31" t="shared">I22/I$57</f>
        <v>5.1921630418172625E-2</v>
      </c>
      <c r="J79" s="18">
        <f si="31" t="shared"/>
        <v>7.9297206531972961E-2</v>
      </c>
      <c r="K79" s="18">
        <f si="31" t="shared"/>
        <v>1.6218173920866149E-3</v>
      </c>
      <c r="L79" s="18">
        <f si="31" t="shared"/>
        <v>1.0916969804811759E-3</v>
      </c>
      <c r="M79" s="18">
        <f si="31" t="shared"/>
        <v>2.2955120368263349E-2</v>
      </c>
    </row>
    <row r="80" spans="1:13" x14ac:dyDescent="0.25">
      <c r="A80" s="12">
        <v>0.3125</v>
      </c>
      <c r="B80" s="18">
        <f ref="B80:F80" si="32" t="shared">B23/B$57</f>
        <v>6.7783241917255627E-2</v>
      </c>
      <c r="C80" s="18">
        <f si="32" t="shared"/>
        <v>0.12659014747350938</v>
      </c>
      <c r="D80" s="18">
        <f si="32" t="shared"/>
        <v>1.8302180589686876E-3</v>
      </c>
      <c r="E80" s="18">
        <f si="32" t="shared"/>
        <v>1.5939582954709722E-4</v>
      </c>
      <c r="F80" s="18">
        <f si="32" t="shared"/>
        <v>3.788788538086104E-2</v>
      </c>
      <c r="G80" s="18"/>
      <c r="H80" s="12">
        <v>0.3125</v>
      </c>
      <c r="I80" s="18">
        <f ref="I80:M80" si="33" t="shared">I23/I$57</f>
        <v>6.5094152932553204E-2</v>
      </c>
      <c r="J80" s="18">
        <f si="33" t="shared"/>
        <v>7.4704148127315448E-2</v>
      </c>
      <c r="K80" s="18">
        <f si="33" t="shared"/>
        <v>1.2590904516318773E-3</v>
      </c>
      <c r="L80" s="18">
        <f si="33" t="shared"/>
        <v>7.5216643042361447E-4</v>
      </c>
      <c r="M80" s="18">
        <f si="33" t="shared"/>
        <v>2.5373179854481474E-2</v>
      </c>
    </row>
    <row r="81" spans="1:13" x14ac:dyDescent="0.25">
      <c r="A81" s="12">
        <v>0.33333333333333331</v>
      </c>
      <c r="B81" s="18">
        <f ref="B81:F81" si="34" t="shared">B24/B$57</f>
        <v>8.0716787769106596E-2</v>
      </c>
      <c r="C81" s="18">
        <f si="34" t="shared"/>
        <v>0.11131663188848703</v>
      </c>
      <c r="D81" s="18">
        <f si="34" t="shared"/>
        <v>1.4796512869754187E-3</v>
      </c>
      <c r="E81" s="18">
        <f si="34" t="shared"/>
        <v>9.5277408409543166E-5</v>
      </c>
      <c r="F81" s="18">
        <f si="34" t="shared"/>
        <v>3.9870683999402648E-2</v>
      </c>
      <c r="G81" s="18"/>
      <c r="H81" s="12">
        <v>0.33333333333333331</v>
      </c>
      <c r="I81" s="18">
        <f ref="I81:M81" si="35" t="shared">I24/I$57</f>
        <v>7.8215969959726503E-2</v>
      </c>
      <c r="J81" s="18">
        <f si="35" t="shared"/>
        <v>6.571600487505426E-2</v>
      </c>
      <c r="K81" s="18">
        <f si="35" t="shared"/>
        <v>9.8498406222615321E-4</v>
      </c>
      <c r="L81" s="18">
        <f si="35" t="shared"/>
        <v>5.1245400323441314E-4</v>
      </c>
      <c r="M81" s="18">
        <f si="35" t="shared"/>
        <v>2.7316711207128596E-2</v>
      </c>
    </row>
    <row r="82" spans="1:13" x14ac:dyDescent="0.25">
      <c r="A82" s="12">
        <v>0.35416666666666669</v>
      </c>
      <c r="B82" s="18">
        <f ref="B82:F82" si="36" t="shared">B25/B$57</f>
        <v>8.8031497663914604E-2</v>
      </c>
      <c r="C82" s="18">
        <f si="36" t="shared"/>
        <v>8.5659346905539807E-2</v>
      </c>
      <c r="D82" s="18">
        <f si="36" t="shared"/>
        <v>1.1939774626988759E-3</v>
      </c>
      <c r="E82" s="18">
        <f si="36" t="shared"/>
        <v>4.7002331019378922E-5</v>
      </c>
      <c r="F82" s="18">
        <f si="36" t="shared"/>
        <v>3.8835339903039834E-2</v>
      </c>
      <c r="G82" s="18"/>
      <c r="H82" s="12">
        <v>0.35416666666666669</v>
      </c>
      <c r="I82" s="18">
        <f ref="I82:M82" si="37" t="shared">I25/I$57</f>
        <v>8.7734000242845431E-2</v>
      </c>
      <c r="J82" s="18">
        <f si="37" t="shared"/>
        <v>5.4026358532299847E-2</v>
      </c>
      <c r="K82" s="18">
        <f si="37" t="shared"/>
        <v>7.7427705517683508E-4</v>
      </c>
      <c r="L82" s="18">
        <f si="37" t="shared"/>
        <v>3.3885259934295997E-4</v>
      </c>
      <c r="M82" s="18">
        <f si="37" t="shared"/>
        <v>2.810839134652552E-2</v>
      </c>
    </row>
    <row r="83" spans="1:13" x14ac:dyDescent="0.25">
      <c r="A83" s="12">
        <v>0.375</v>
      </c>
      <c r="B83" s="18">
        <f ref="B83:F83" si="38" t="shared">B26/B$57</f>
        <v>8.6831021139698303E-2</v>
      </c>
      <c r="C83" s="18">
        <f si="38" t="shared"/>
        <v>5.8953823019829758E-2</v>
      </c>
      <c r="D83" s="18">
        <f si="38" t="shared"/>
        <v>9.5497870030293586E-4</v>
      </c>
      <c r="E83" s="18">
        <f si="38" t="shared"/>
        <v>1.8691110440239305E-5</v>
      </c>
      <c r="F83" s="18">
        <f si="38" t="shared"/>
        <v>3.5023690275670892E-2</v>
      </c>
      <c r="G83" s="18"/>
      <c r="H83" s="12">
        <v>0.375</v>
      </c>
      <c r="I83" s="18">
        <f ref="I83:M83" si="39" t="shared">I26/I$57</f>
        <v>9.0181406631271041E-2</v>
      </c>
      <c r="J83" s="18">
        <f si="39" t="shared"/>
        <v>4.1642548042209369E-2</v>
      </c>
      <c r="K83" s="18">
        <f si="39" t="shared"/>
        <v>6.1148694129546926E-4</v>
      </c>
      <c r="L83" s="18">
        <f si="39" t="shared"/>
        <v>2.180220975586472E-4</v>
      </c>
      <c r="M83" s="18">
        <f si="39" t="shared"/>
        <v>2.7135899573060659E-2</v>
      </c>
    </row>
    <row r="84" spans="1:13" x14ac:dyDescent="0.25">
      <c r="A84" s="12">
        <v>0.39583333333333331</v>
      </c>
      <c r="B84" s="18">
        <f ref="B84:F84" si="40" t="shared">B27/B$57</f>
        <v>7.7234475279552683E-2</v>
      </c>
      <c r="C84" s="18">
        <f si="40" t="shared"/>
        <v>3.7533219069906733E-2</v>
      </c>
      <c r="D84" s="18">
        <f si="40" t="shared"/>
        <v>7.4655814349347657E-4</v>
      </c>
      <c r="E84" s="18">
        <f si="40" t="shared"/>
        <v>5.8275216910295544E-6</v>
      </c>
      <c r="F84" s="18">
        <f si="40" t="shared"/>
        <v>2.9251039857575215E-2</v>
      </c>
      <c r="G84" s="18"/>
      <c r="H84" s="12">
        <v>0.39583333333333331</v>
      </c>
      <c r="I84" s="18">
        <f ref="I84:M84" si="41" t="shared">I27/I$57</f>
        <v>8.4054750745073445E-2</v>
      </c>
      <c r="J84" s="18">
        <f si="41" t="shared"/>
        <v>3.0191903645360826E-2</v>
      </c>
      <c r="K84" s="18">
        <f si="41" t="shared"/>
        <v>4.8481081891669684E-4</v>
      </c>
      <c r="L84" s="18">
        <f si="41" t="shared"/>
        <v>1.4184424511249556E-4</v>
      </c>
      <c r="M84" s="18">
        <f si="41" t="shared"/>
        <v>2.4220138861459985E-2</v>
      </c>
    </row>
    <row r="85" spans="1:13" x14ac:dyDescent="0.25">
      <c r="A85" s="12">
        <v>0.41666666666666669</v>
      </c>
      <c r="B85" s="18">
        <f ref="B85:F85" si="42" t="shared">B28/B$57</f>
        <v>6.2252747571791146E-2</v>
      </c>
      <c r="C85" s="18">
        <f si="42" t="shared"/>
        <v>2.3025547546449039E-2</v>
      </c>
      <c r="D85" s="18">
        <f si="42" t="shared"/>
        <v>5.6356859918115908E-4</v>
      </c>
      <c r="E85" s="18">
        <f si="42" t="shared"/>
        <v>1.3701475778145563E-6</v>
      </c>
      <c r="F85" s="18">
        <f si="42" t="shared"/>
        <v>2.2660760156819379E-2</v>
      </c>
      <c r="G85" s="18"/>
      <c r="H85" s="12">
        <v>0.41666666666666669</v>
      </c>
      <c r="I85" s="18">
        <f ref="I85:M85" si="43" t="shared">I28/I$57</f>
        <v>7.0815126907627382E-2</v>
      </c>
      <c r="J85" s="18">
        <f si="43" t="shared"/>
        <v>2.0627953803938066E-2</v>
      </c>
      <c r="K85" s="18">
        <f si="43" t="shared"/>
        <v>3.8370100136727919E-4</v>
      </c>
      <c r="L85" s="18">
        <f si="43" t="shared"/>
        <v>9.9618488110056274E-5</v>
      </c>
      <c r="M85" s="18">
        <f si="43" t="shared"/>
        <v>1.9821106669050275E-2</v>
      </c>
    </row>
    <row r="86" spans="1:13" x14ac:dyDescent="0.25">
      <c r="A86" s="12">
        <v>0.4375</v>
      </c>
      <c r="B86" s="18">
        <f ref="B86:F86" si="44" t="shared">B29/B$57</f>
        <v>4.6014163840127881E-2</v>
      </c>
      <c r="C86" s="18">
        <f si="44" t="shared"/>
        <v>1.405474858638003E-2</v>
      </c>
      <c r="D86" s="18">
        <f si="44" t="shared"/>
        <v>4.1118976588479678E-4</v>
      </c>
      <c r="E86" s="18">
        <f si="44" t="shared"/>
        <v>2.2832068796068992E-7</v>
      </c>
      <c r="F86" s="18">
        <f si="44" t="shared"/>
        <v>1.6378984574802247E-2</v>
      </c>
      <c r="G86" s="18"/>
      <c r="H86" s="12">
        <v>0.4375</v>
      </c>
      <c r="I86" s="18">
        <f ref="I86:M86" si="45" t="shared">I29/I$57</f>
        <v>5.4144165354394959E-2</v>
      </c>
      <c r="J86" s="18">
        <f si="45" t="shared"/>
        <v>1.3289552448388113E-2</v>
      </c>
      <c r="K86" s="18">
        <f si="45" t="shared"/>
        <v>2.9919933638957651E-4</v>
      </c>
      <c r="L86" s="18">
        <f si="45" t="shared"/>
        <v>7.7622636385178722E-5</v>
      </c>
      <c r="M86" s="18">
        <f si="45" t="shared"/>
        <v>1.486478752278878E-2</v>
      </c>
    </row>
    <row r="87" spans="1:13" x14ac:dyDescent="0.25">
      <c r="A87" s="12">
        <v>0.45833333333333331</v>
      </c>
      <c r="B87" s="18">
        <f ref="B87:F87" si="46" t="shared">B30/B$57</f>
        <v>3.1771031083300837E-2</v>
      </c>
      <c r="C87" s="18">
        <f si="46" t="shared"/>
        <v>8.6130109277955409E-3</v>
      </c>
      <c r="D87" s="18">
        <f si="46" t="shared"/>
        <v>2.9647508638529072E-4</v>
      </c>
      <c r="E87" s="18">
        <f si="46" t="shared"/>
        <v>2.4033756627441042E-8</v>
      </c>
      <c r="F87" s="18">
        <f si="46" t="shared"/>
        <v>1.117978919295976E-2</v>
      </c>
      <c r="G87" s="18"/>
      <c r="H87" s="12">
        <v>0.45833333333333331</v>
      </c>
      <c r="I87" s="18">
        <f ref="I87:M87" si="47" t="shared">I30/I$57</f>
        <v>3.8027008825239121E-2</v>
      </c>
      <c r="J87" s="18">
        <f si="47" t="shared"/>
        <v>8.0882460990214233E-3</v>
      </c>
      <c r="K87" s="18">
        <f si="47" t="shared"/>
        <v>2.2576153972418881E-4</v>
      </c>
      <c r="L87" s="18">
        <f si="47" t="shared"/>
        <v>6.323734187520896E-5</v>
      </c>
      <c r="M87" s="18">
        <f si="47" t="shared"/>
        <v>1.0302185220415649E-2</v>
      </c>
    </row>
    <row r="88" spans="1:13" x14ac:dyDescent="0.25">
      <c r="A88" s="12">
        <v>0.47916666666666669</v>
      </c>
      <c r="B88" s="18">
        <f ref="B88:F88" si="48" t="shared">B31/B$57</f>
        <v>2.0979460153027478E-2</v>
      </c>
      <c r="C88" s="18">
        <f si="48" t="shared"/>
        <v>5.2575086187164515E-3</v>
      </c>
      <c r="D88" s="18">
        <f si="48" t="shared"/>
        <v>2.1975123789906578E-4</v>
      </c>
      <c r="E88" s="18">
        <f si="48" t="shared"/>
        <v>1.2016878313720522E-9</v>
      </c>
      <c r="F88" s="18">
        <f si="48" t="shared"/>
        <v>7.3408446319504815E-3</v>
      </c>
      <c r="G88" s="18"/>
      <c r="H88" s="12">
        <v>0.47916666666666669</v>
      </c>
      <c r="I88" s="18">
        <f ref="I88:M88" si="49" t="shared">I31/I$57</f>
        <v>2.5080249277078422E-2</v>
      </c>
      <c r="J88" s="18">
        <f si="49" t="shared"/>
        <v>4.683133781219458E-3</v>
      </c>
      <c r="K88" s="18">
        <f si="49" t="shared"/>
        <v>1.6239197368481351E-4</v>
      </c>
      <c r="L88" s="18">
        <f si="49" t="shared"/>
        <v>4.9138780832131988E-5</v>
      </c>
      <c r="M88" s="18">
        <f si="49" t="shared"/>
        <v>6.7258397474892545E-3</v>
      </c>
    </row>
    <row r="89" spans="1:13" x14ac:dyDescent="0.25">
      <c r="A89" s="12">
        <v>0.5</v>
      </c>
      <c r="B89" s="18">
        <f ref="B89:F89" si="50" t="shared">B32/B$57</f>
        <v>1.3581301936224725E-2</v>
      </c>
      <c r="C89" s="18">
        <f si="50" t="shared"/>
        <v>3.1810388254415716E-3</v>
      </c>
      <c r="D89" s="18">
        <f si="50" t="shared"/>
        <v>1.7206300765138882E-4</v>
      </c>
      <c r="E89" s="18">
        <f si="50" t="shared"/>
        <v>0</v>
      </c>
      <c r="F89" s="18">
        <f si="50" t="shared"/>
        <v>4.7392760445188571E-3</v>
      </c>
      <c r="G89" s="18"/>
      <c r="H89" s="12">
        <v>0.5</v>
      </c>
      <c r="I89" s="18">
        <f ref="I89:M89" si="51" t="shared">I32/I$57</f>
        <v>1.6049353111643783E-2</v>
      </c>
      <c r="J89" s="18">
        <f si="51" t="shared"/>
        <v>2.622826429606004E-3</v>
      </c>
      <c r="K89" s="18">
        <f si="51" t="shared"/>
        <v>1.1140493360702103E-4</v>
      </c>
      <c r="L89" s="18">
        <f si="51" t="shared"/>
        <v>3.4109304810255325E-5</v>
      </c>
      <c r="M89" s="18">
        <f si="51" t="shared"/>
        <v>4.2642075074445698E-3</v>
      </c>
    </row>
    <row r="90" spans="1:13" x14ac:dyDescent="0.25">
      <c r="A90" s="12">
        <v>0.52083333333333337</v>
      </c>
      <c r="B90" s="18">
        <f ref="B90:F90" si="52" t="shared">B33/B$57</f>
        <v>8.7883642627582682E-3</v>
      </c>
      <c r="C90" s="18">
        <f si="52" t="shared"/>
        <v>1.9314740229744787E-3</v>
      </c>
      <c r="D90" s="18">
        <f si="52" t="shared"/>
        <v>1.3977262313015688E-4</v>
      </c>
      <c r="E90" s="18">
        <f si="52" t="shared"/>
        <v>0</v>
      </c>
      <c r="F90" s="18">
        <f si="52" t="shared"/>
        <v>3.0650255233043004E-3</v>
      </c>
      <c r="G90" s="18"/>
      <c r="H90" s="12">
        <v>0.52083333333333337</v>
      </c>
      <c r="I90" s="18">
        <f ref="I90:M90" si="53" t="shared">I33/I$57</f>
        <v>1.0334898200397223E-2</v>
      </c>
      <c r="J90" s="18">
        <f si="53" t="shared"/>
        <v>1.4619612852939446E-3</v>
      </c>
      <c r="K90" s="18">
        <f si="53" t="shared"/>
        <v>7.5254256921913006E-5</v>
      </c>
      <c r="L90" s="18">
        <f si="53" t="shared"/>
        <v>2.0401468931787576E-5</v>
      </c>
      <c r="M90" s="18">
        <f si="53" t="shared"/>
        <v>2.7209486537029333E-3</v>
      </c>
    </row>
    <row r="91" spans="1:13" x14ac:dyDescent="0.25">
      <c r="A91" s="12">
        <v>0.54166666666666663</v>
      </c>
      <c r="B91" s="18">
        <f ref="B91:F91" si="54" t="shared">B34/B$57</f>
        <v>5.72708690869843E-3</v>
      </c>
      <c r="C91" s="18">
        <f si="54" t="shared"/>
        <v>1.215869440450292E-3</v>
      </c>
      <c r="D91" s="18">
        <f si="54" t="shared"/>
        <v>1.1227277297380364E-4</v>
      </c>
      <c r="E91" s="18">
        <f si="54" t="shared"/>
        <v>0</v>
      </c>
      <c r="F91" s="18">
        <f si="54" t="shared"/>
        <v>2.0025196613177609E-3</v>
      </c>
      <c r="G91" s="18"/>
      <c r="H91" s="12">
        <v>0.54166666666666663</v>
      </c>
      <c r="I91" s="18">
        <f ref="I91:M91" si="55" t="shared">I34/I$57</f>
        <v>6.8485208719789624E-3</v>
      </c>
      <c r="J91" s="18">
        <f si="55" t="shared"/>
        <v>8.4030161312089943E-4</v>
      </c>
      <c r="K91" s="18">
        <f si="55" t="shared"/>
        <v>5.3664265368155774E-5</v>
      </c>
      <c r="L91" s="18">
        <f si="55" t="shared"/>
        <v>1.0292868638471338E-5</v>
      </c>
      <c r="M91" s="18">
        <f si="55" t="shared"/>
        <v>1.7897841626736226E-3</v>
      </c>
    </row>
    <row r="92" spans="1:13" x14ac:dyDescent="0.25">
      <c r="A92" s="12">
        <v>0.5625</v>
      </c>
      <c r="B92" s="18">
        <f ref="B92:F92" si="56" t="shared">B35/B$57</f>
        <v>3.7412274508674321E-3</v>
      </c>
      <c r="C92" s="18">
        <f si="56" t="shared"/>
        <v>8.2135697449221823E-4</v>
      </c>
      <c r="D92" s="18">
        <f si="56" t="shared"/>
        <v>8.6335755886737133E-5</v>
      </c>
      <c r="E92" s="18">
        <f si="56" t="shared"/>
        <v>0</v>
      </c>
      <c r="F92" s="18">
        <f si="56" t="shared"/>
        <v>1.3179249410073782E-3</v>
      </c>
      <c r="G92" s="18"/>
      <c r="H92" s="12">
        <v>0.5625</v>
      </c>
      <c r="I92" s="18">
        <f ref="I92:M92" si="57" t="shared">I35/I$57</f>
        <v>4.6450000888230199E-3</v>
      </c>
      <c r="J92" s="18">
        <f si="57" t="shared"/>
        <v>5.1210335396774224E-4</v>
      </c>
      <c r="K92" s="18">
        <f si="57" t="shared"/>
        <v>4.3018363804346729E-5</v>
      </c>
      <c r="L92" s="18">
        <f si="57" t="shared"/>
        <v>4.3050952400821344E-6</v>
      </c>
      <c r="M92" s="18">
        <f si="57" t="shared"/>
        <v>1.2106343373579833E-3</v>
      </c>
    </row>
    <row r="93" spans="1:13" x14ac:dyDescent="0.25">
      <c r="A93" s="12">
        <v>0.58333333333333337</v>
      </c>
      <c r="B93" s="18">
        <f ref="B93:F93" si="58" t="shared">B36/B$57</f>
        <v>2.4297489187196228E-3</v>
      </c>
      <c r="C93" s="18">
        <f si="58" t="shared"/>
        <v>5.912656049352603E-4</v>
      </c>
      <c r="D93" s="18">
        <f si="58" t="shared"/>
        <v>6.3914617293387194E-5</v>
      </c>
      <c r="E93" s="18">
        <f si="58" t="shared"/>
        <v>0</v>
      </c>
      <c r="F93" s="18">
        <f si="58" t="shared"/>
        <v>8.6698045092694742E-4</v>
      </c>
      <c r="G93" s="18"/>
      <c r="H93" s="12">
        <v>0.58333333333333337</v>
      </c>
      <c r="I93" s="18">
        <f ref="I93:M93" si="59" t="shared">I36/I$57</f>
        <v>3.1602770223128022E-3</v>
      </c>
      <c r="J93" s="18">
        <f si="59" t="shared"/>
        <v>3.3351098811344677E-4</v>
      </c>
      <c r="K93" s="18">
        <f si="59" t="shared"/>
        <v>3.8046530462477331E-5</v>
      </c>
      <c r="L93" s="18">
        <f si="59" t="shared"/>
        <v>1.4641093843842864E-6</v>
      </c>
      <c r="M93" s="18">
        <f si="59" t="shared"/>
        <v>8.2677084698410048E-4</v>
      </c>
    </row>
    <row r="94" spans="1:13" x14ac:dyDescent="0.25">
      <c r="A94" s="12">
        <v>0.60416666666666663</v>
      </c>
      <c r="B94" s="18">
        <f ref="B94:F94" si="60" t="shared">B37/B$57</f>
        <v>1.5623383355520388E-3</v>
      </c>
      <c r="C94" s="18">
        <f si="60" t="shared"/>
        <v>4.2578862586673585E-4</v>
      </c>
      <c r="D94" s="18">
        <f si="60" t="shared"/>
        <v>4.6848272974732482E-5</v>
      </c>
      <c r="E94" s="18">
        <f si="60" t="shared"/>
        <v>0</v>
      </c>
      <c r="F94" s="18">
        <f si="60" t="shared"/>
        <v>5.659716253266807E-4</v>
      </c>
      <c r="G94" s="18"/>
      <c r="H94" s="12">
        <v>0.60416666666666663</v>
      </c>
      <c r="I94" s="18">
        <f ref="I94:M94" si="61" t="shared">I37/I$57</f>
        <v>2.148405399997045E-3</v>
      </c>
      <c r="J94" s="18">
        <f si="61" t="shared"/>
        <v>2.3005712847538285E-4</v>
      </c>
      <c r="K94" s="18">
        <f si="61" t="shared"/>
        <v>3.4221880639948974E-5</v>
      </c>
      <c r="L94" s="18">
        <f si="61" t="shared"/>
        <v>3.944549308283343E-7</v>
      </c>
      <c r="M94" s="18">
        <f si="61" t="shared"/>
        <v>5.6713503437446939E-4</v>
      </c>
    </row>
    <row r="95" spans="1:13" x14ac:dyDescent="0.25">
      <c r="A95" s="12">
        <v>0.625</v>
      </c>
      <c r="B95" s="18">
        <f ref="B95:F95" si="62" t="shared">B38/B$57</f>
        <v>9.908929123692645E-4</v>
      </c>
      <c r="C95" s="18">
        <f si="62" t="shared"/>
        <v>2.8352783829030571E-4</v>
      </c>
      <c r="D95" s="18">
        <f si="62" t="shared"/>
        <v>3.4264963479082726E-5</v>
      </c>
      <c r="E95" s="18">
        <f si="62" t="shared"/>
        <v>0</v>
      </c>
      <c r="F95" s="18">
        <f si="62" t="shared"/>
        <v>3.6288006788000348E-4</v>
      </c>
      <c r="G95" s="18"/>
      <c r="H95" s="12">
        <v>0.625</v>
      </c>
      <c r="I95" s="18">
        <f ref="I95:M95" si="63" t="shared">I38/I$57</f>
        <v>1.5049390135470034E-3</v>
      </c>
      <c r="J95" s="18">
        <f si="63" t="shared"/>
        <v>1.6513968686216683E-4</v>
      </c>
      <c r="K95" s="18">
        <f si="63" t="shared"/>
        <v>2.9214223700330888E-5</v>
      </c>
      <c r="L95" s="18">
        <f si="63" t="shared"/>
        <v>8.1009180234332934E-8</v>
      </c>
      <c r="M95" s="18">
        <f si="63" t="shared"/>
        <v>4.0069925771900534E-4</v>
      </c>
    </row>
    <row r="96" spans="1:13" x14ac:dyDescent="0.25">
      <c r="A96" s="12">
        <v>0.64583333333333337</v>
      </c>
      <c r="B96" s="18">
        <f ref="B96:F96" si="64" t="shared">B39/B$57</f>
        <v>6.1043079860481229E-4</v>
      </c>
      <c r="C96" s="18">
        <f si="64" t="shared"/>
        <v>1.644190223011271E-4</v>
      </c>
      <c r="D96" s="18">
        <f si="64" t="shared"/>
        <v>2.4089151283373001E-5</v>
      </c>
      <c r="E96" s="18">
        <f si="64" t="shared"/>
        <v>0</v>
      </c>
      <c r="F96" s="18">
        <f si="64" t="shared"/>
        <v>2.2374828744194935E-4</v>
      </c>
      <c r="G96" s="18"/>
      <c r="H96" s="12">
        <v>0.64583333333333337</v>
      </c>
      <c r="I96" s="18">
        <f ref="I96:M96" si="65" t="shared">I39/I$57</f>
        <v>1.1354807987937409E-3</v>
      </c>
      <c r="J96" s="18">
        <f si="65" t="shared"/>
        <v>1.2000001548589179E-4</v>
      </c>
      <c r="K96" s="18">
        <f si="65" t="shared"/>
        <v>2.2860484161177351E-5</v>
      </c>
      <c r="L96" s="18">
        <f si="65" t="shared"/>
        <v>1.1916239599597119E-8</v>
      </c>
      <c r="M96" s="18">
        <f si="65" t="shared"/>
        <v>3.0224482317283411E-4</v>
      </c>
    </row>
    <row r="97" spans="1:13" x14ac:dyDescent="0.25">
      <c r="A97" s="12">
        <v>0.66666666666666663</v>
      </c>
      <c r="B97" s="18">
        <f ref="B97:F97" si="66" t="shared">B40/B$57</f>
        <v>3.5388113193525602E-4</v>
      </c>
      <c r="C97" s="18">
        <f si="66" t="shared"/>
        <v>7.9794623096072367E-5</v>
      </c>
      <c r="D97" s="18">
        <f si="66" t="shared"/>
        <v>1.5343718911447227E-5</v>
      </c>
      <c r="E97" s="18">
        <f si="66" t="shared"/>
        <v>0</v>
      </c>
      <c r="F97" s="18">
        <f si="66" t="shared"/>
        <v>1.2846562746793544E-4</v>
      </c>
      <c r="G97" s="18"/>
      <c r="H97" s="12">
        <v>0.66666666666666663</v>
      </c>
      <c r="I97" s="18">
        <f ref="I97:M97" si="67" t="shared">I40/I$57</f>
        <v>9.255822997361003E-4</v>
      </c>
      <c r="J97" s="18">
        <f si="67" t="shared"/>
        <v>8.4971258813274438E-5</v>
      </c>
      <c r="K97" s="18">
        <f si="67" t="shared"/>
        <v>1.6186794325386032E-5</v>
      </c>
      <c r="L97" s="18">
        <f si="67" t="shared"/>
        <v>1.1183706803939109E-9</v>
      </c>
      <c r="M97" s="18">
        <f si="67" t="shared"/>
        <v>2.4346744001340541E-4</v>
      </c>
    </row>
    <row r="98" spans="1:13" x14ac:dyDescent="0.25">
      <c r="A98" s="12">
        <v>0.6875</v>
      </c>
      <c r="B98" s="18">
        <f ref="B98:F98" si="68" t="shared">B41/B$57</f>
        <v>1.8557131916145154E-4</v>
      </c>
      <c r="C98" s="18">
        <f si="68" t="shared"/>
        <v>3.1439281116192284E-5</v>
      </c>
      <c r="D98" s="18">
        <f si="68" t="shared"/>
        <v>8.419639135947519E-6</v>
      </c>
      <c r="E98" s="18">
        <f si="68" t="shared"/>
        <v>0</v>
      </c>
      <c r="F98" s="18">
        <f si="68" t="shared"/>
        <v>6.625875541544095E-5</v>
      </c>
      <c r="G98" s="18"/>
      <c r="H98" s="12">
        <v>0.6875</v>
      </c>
      <c r="I98" s="18">
        <f ref="I98:M98" si="69" t="shared">I41/I$57</f>
        <v>7.7316661554955896E-4</v>
      </c>
      <c r="J98" s="18">
        <f si="69" t="shared"/>
        <v>5.6295045321417398E-5</v>
      </c>
      <c r="K98" s="18">
        <f si="69" t="shared"/>
        <v>1.0338019226658604E-5</v>
      </c>
      <c r="L98" s="18">
        <f si="69" t="shared"/>
        <v>5.0326680617725988E-11</v>
      </c>
      <c r="M98" s="18">
        <f si="69" t="shared"/>
        <v>1.9983620755533073E-4</v>
      </c>
    </row>
    <row r="99" spans="1:13" x14ac:dyDescent="0.25">
      <c r="A99" s="12">
        <v>0.70833333333333337</v>
      </c>
      <c r="B99" s="18">
        <f ref="B99:F99" si="70" t="shared">B42/B$57</f>
        <v>8.4789864564791047E-5</v>
      </c>
      <c r="C99" s="18">
        <f si="70" t="shared"/>
        <v>9.7504942136695831E-6</v>
      </c>
      <c r="D99" s="18">
        <f si="70" t="shared"/>
        <v>3.8417291409082186E-6</v>
      </c>
      <c r="E99" s="18">
        <f si="70" t="shared"/>
        <v>0</v>
      </c>
      <c r="F99" s="18">
        <f si="70" t="shared"/>
        <v>2.9698988588103566E-5</v>
      </c>
      <c r="G99" s="18"/>
      <c r="H99" s="12">
        <v>0.70833333333333337</v>
      </c>
      <c r="I99" s="18">
        <f ref="I99:M99" si="71" t="shared">I42/I$57</f>
        <v>6.208647609004292E-4</v>
      </c>
      <c r="J99" s="18">
        <f si="71" t="shared"/>
        <v>3.3708979708665502E-5</v>
      </c>
      <c r="K99" s="18">
        <f si="71" t="shared"/>
        <v>5.9597023333717337E-6</v>
      </c>
      <c r="L99" s="18">
        <f si="71" t="shared"/>
        <v>0</v>
      </c>
      <c r="M99" s="18">
        <f si="71" t="shared"/>
        <v>1.5778564082656504E-4</v>
      </c>
    </row>
    <row r="100" spans="1:13" x14ac:dyDescent="0.25">
      <c r="A100" s="12">
        <v>0.72916666666666663</v>
      </c>
      <c r="B100" s="18">
        <f ref="B100:F100" si="72" t="shared">B43/B$57</f>
        <v>3.2682511889689446E-5</v>
      </c>
      <c r="C100" s="18">
        <f si="72" t="shared"/>
        <v>2.285925435469474E-6</v>
      </c>
      <c r="D100" s="18">
        <f si="72" t="shared"/>
        <v>1.4176844920777016E-6</v>
      </c>
      <c r="E100" s="18">
        <f si="72" t="shared"/>
        <v>0</v>
      </c>
      <c r="F100" s="18">
        <f si="72" t="shared"/>
        <v>1.1233620979350561E-5</v>
      </c>
      <c r="G100" s="18"/>
      <c r="H100" s="12">
        <v>0.72916666666666663</v>
      </c>
      <c r="I100" s="18">
        <f ref="I100:M100" si="73" t="shared">I43/I$57</f>
        <v>4.5895315625131506E-4</v>
      </c>
      <c r="J100" s="18">
        <f si="73" t="shared"/>
        <v>1.7768076319971484E-5</v>
      </c>
      <c r="K100" s="18">
        <f si="73" t="shared"/>
        <v>3.107839439367659E-6</v>
      </c>
      <c r="L100" s="18">
        <f si="73" t="shared"/>
        <v>0</v>
      </c>
      <c r="M100" s="18">
        <f si="73" t="shared"/>
        <v>1.1505717300879697E-4</v>
      </c>
    </row>
    <row r="101" spans="1:13" x14ac:dyDescent="0.25">
      <c r="A101" s="12">
        <v>0.75</v>
      </c>
      <c r="B101" s="18">
        <f ref="B101:F101" si="74" t="shared">B44/B$57</f>
        <v>1.0312182855647755E-5</v>
      </c>
      <c r="C101" s="18">
        <f si="74" t="shared"/>
        <v>3.8040886365079781E-7</v>
      </c>
      <c r="D101" s="18">
        <f si="74" t="shared"/>
        <v>4.1103663328143058E-7</v>
      </c>
      <c r="E101" s="18">
        <f si="74" t="shared"/>
        <v>0</v>
      </c>
      <c r="F101" s="18">
        <f si="74" t="shared"/>
        <v>3.4842778692343523E-6</v>
      </c>
      <c r="G101" s="18"/>
      <c r="H101" s="12">
        <v>0.75</v>
      </c>
      <c r="I101" s="18">
        <f ref="I101:M101" si="75" t="shared">I44/I$57</f>
        <v>3.055294700141562E-4</v>
      </c>
      <c r="J101" s="18">
        <f si="75" t="shared"/>
        <v>8.0752549809752748E-6</v>
      </c>
      <c r="K101" s="18">
        <f si="75" t="shared"/>
        <v>1.4688692526307559E-6</v>
      </c>
      <c r="L101" s="18">
        <f si="75" t="shared"/>
        <v>0</v>
      </c>
      <c r="M101" s="18">
        <f si="75" t="shared"/>
        <v>7.5810979653346354E-5</v>
      </c>
    </row>
    <row r="102" spans="1:13" x14ac:dyDescent="0.25">
      <c r="A102" s="12">
        <v>0.77083333333333337</v>
      </c>
      <c r="B102" s="18">
        <f ref="B102:F102" si="76" t="shared">B45/B$57</f>
        <v>2.5763441742442269E-6</v>
      </c>
      <c r="C102" s="18">
        <f si="76" t="shared"/>
        <v>4.0025097406637844E-8</v>
      </c>
      <c r="D102" s="18">
        <f si="76" t="shared"/>
        <v>9.0057152408083076E-8</v>
      </c>
      <c r="E102" s="18">
        <f si="76" t="shared"/>
        <v>0</v>
      </c>
      <c r="F102" s="18">
        <f si="76" t="shared"/>
        <v>8.5742894206031668E-7</v>
      </c>
      <c r="G102" s="18"/>
      <c r="H102" s="12">
        <v>0.77083333333333337</v>
      </c>
      <c r="I102" s="18">
        <f ref="I102:M102" si="77" t="shared">I45/I$57</f>
        <v>1.8224835134258489E-4</v>
      </c>
      <c r="J102" s="18">
        <f si="77" t="shared"/>
        <v>3.1050030053134929E-6</v>
      </c>
      <c r="K102" s="18">
        <f si="77" t="shared"/>
        <v>6.2886162865959595E-7</v>
      </c>
      <c r="L102" s="18">
        <f si="77" t="shared"/>
        <v>0</v>
      </c>
      <c r="M102" s="18">
        <f si="77" t="shared"/>
        <v>4.4878743356463833E-5</v>
      </c>
    </row>
    <row r="103" spans="1:13" x14ac:dyDescent="0.25">
      <c r="A103" s="12">
        <v>0.79166666666666663</v>
      </c>
      <c r="B103" s="18">
        <f ref="B103:F103" si="78" t="shared">B46/B$57</f>
        <v>4.8783083907713703E-7</v>
      </c>
      <c r="C103" s="18">
        <f si="78" t="shared"/>
        <v>2.001254870331892E-9</v>
      </c>
      <c r="D103" s="18">
        <f si="78" t="shared"/>
        <v>1.4016762750572532E-8</v>
      </c>
      <c r="E103" s="18">
        <f si="78" t="shared"/>
        <v>0</v>
      </c>
      <c r="F103" s="18">
        <f si="78" t="shared"/>
        <v>1.6016347892355553E-7</v>
      </c>
      <c r="G103" s="18"/>
      <c r="H103" s="12">
        <v>0.79166666666666663</v>
      </c>
      <c r="I103" s="18">
        <f ref="I103:M103" si="79" t="shared">I46/I$57</f>
        <v>9.8951949397361937E-5</v>
      </c>
      <c r="J103" s="18">
        <f si="79" t="shared"/>
        <v>9.8904040818154734E-7</v>
      </c>
      <c r="K103" s="18">
        <f si="79" t="shared"/>
        <v>2.4236797995030082E-7</v>
      </c>
      <c r="L103" s="18">
        <f si="79" t="shared"/>
        <v>0</v>
      </c>
      <c r="M103" s="18">
        <f si="79" t="shared"/>
        <v>2.4228450344274847E-5</v>
      </c>
    </row>
    <row r="104" spans="1:13" x14ac:dyDescent="0.25">
      <c r="A104" s="12">
        <v>0.8125</v>
      </c>
      <c r="B104" s="18">
        <f ref="B104:F104" si="80" t="shared">B47/B$57</f>
        <v>6.5480609539244336E-8</v>
      </c>
      <c r="C104" s="18">
        <f si="80" t="shared"/>
        <v>0</v>
      </c>
      <c r="D104" s="18">
        <f si="80" t="shared"/>
        <v>1.3813975120921417E-9</v>
      </c>
      <c r="E104" s="18">
        <f si="80" t="shared"/>
        <v>0</v>
      </c>
      <c r="F104" s="18">
        <f si="80" t="shared"/>
        <v>2.1218275829253815E-8</v>
      </c>
      <c r="G104" s="18"/>
      <c r="H104" s="12">
        <v>0.8125</v>
      </c>
      <c r="I104" s="18">
        <f ref="I104:M104" si="81" t="shared">I47/I$57</f>
        <v>5.1290024148493493E-5</v>
      </c>
      <c r="J104" s="18">
        <f si="81" t="shared"/>
        <v>2.5394855213268894E-7</v>
      </c>
      <c r="K104" s="18">
        <f si="81" t="shared"/>
        <v>8.2845632670535396E-8</v>
      </c>
      <c r="L104" s="18">
        <f si="81" t="shared"/>
        <v>0</v>
      </c>
      <c r="M104" s="18">
        <f si="81" t="shared"/>
        <v>1.2503573412620341E-5</v>
      </c>
    </row>
    <row r="105" spans="1:13" x14ac:dyDescent="0.25">
      <c r="A105" s="12">
        <v>0.83333333333333337</v>
      </c>
      <c r="B105" s="18">
        <f ref="B105:F105" si="82" t="shared">B48/B$57</f>
        <v>5.5230764663078083E-9</v>
      </c>
      <c r="C105" s="18">
        <f si="82" t="shared"/>
        <v>0</v>
      </c>
      <c r="D105" s="18">
        <f si="82" t="shared"/>
        <v>6.4815178529858591E-11</v>
      </c>
      <c r="E105" s="18">
        <f si="82" t="shared"/>
        <v>0</v>
      </c>
      <c r="F105" s="18">
        <f si="82" t="shared"/>
        <v>1.7641733970237185E-9</v>
      </c>
      <c r="G105" s="18"/>
      <c r="H105" s="12">
        <v>0.83333333333333337</v>
      </c>
      <c r="I105" s="18">
        <f ref="I105:M105" si="83" t="shared">I48/I$57</f>
        <v>2.7342732055194743E-5</v>
      </c>
      <c r="J105" s="18">
        <f si="83" t="shared"/>
        <v>5.0521515760848789E-8</v>
      </c>
      <c r="K105" s="18">
        <f si="83" t="shared"/>
        <v>2.4486614281475737E-8</v>
      </c>
      <c r="L105" s="18">
        <f si="83" t="shared"/>
        <v>0</v>
      </c>
      <c r="M105" s="18">
        <f si="83" t="shared"/>
        <v>6.644479712320905E-6</v>
      </c>
    </row>
    <row r="106" spans="1:13" x14ac:dyDescent="0.25">
      <c r="A106" s="12">
        <v>0.85416666666666663</v>
      </c>
      <c r="B106" s="18">
        <f ref="B106:F106" si="84" t="shared">B49/B$57</f>
        <v>2.1862515018614121E-10</v>
      </c>
      <c r="C106" s="18">
        <f si="84" t="shared"/>
        <v>0</v>
      </c>
      <c r="D106" s="18">
        <f si="84" t="shared"/>
        <v>0</v>
      </c>
      <c r="E106" s="18">
        <f si="84" t="shared"/>
        <v>0</v>
      </c>
      <c r="F106" s="18">
        <f si="84" t="shared"/>
        <v>6.8566568409596974E-11</v>
      </c>
      <c r="G106" s="18"/>
      <c r="H106" s="12">
        <v>0.85416666666666663</v>
      </c>
      <c r="I106" s="18">
        <f ref="I106:M106" si="85" t="shared">I49/I$57</f>
        <v>1.5629888574048202E-5</v>
      </c>
      <c r="J106" s="18">
        <f si="85" t="shared"/>
        <v>7.3096870867557251E-9</v>
      </c>
      <c r="K106" s="18">
        <f si="85" t="shared"/>
        <v>6.0332581483885965E-9</v>
      </c>
      <c r="L106" s="18">
        <f si="85" t="shared"/>
        <v>0</v>
      </c>
      <c r="M106" s="18">
        <f si="85" t="shared"/>
        <v>3.7911135344588439E-6</v>
      </c>
    </row>
    <row r="107" spans="1:13" x14ac:dyDescent="0.25">
      <c r="A107" s="12">
        <v>0.875</v>
      </c>
      <c r="B107" s="18">
        <f ref="B107:F107" si="86" t="shared">B50/B$57</f>
        <v>0</v>
      </c>
      <c r="C107" s="18">
        <f si="86" t="shared"/>
        <v>0</v>
      </c>
      <c r="D107" s="18">
        <f si="86" t="shared"/>
        <v>0</v>
      </c>
      <c r="E107" s="18">
        <f si="86" t="shared"/>
        <v>0</v>
      </c>
      <c r="F107" s="18">
        <f si="86" t="shared"/>
        <v>0</v>
      </c>
      <c r="G107" s="18"/>
      <c r="H107" s="12">
        <v>0.875</v>
      </c>
      <c r="I107" s="18">
        <f ref="I107:M107" si="87" t="shared">I50/I$57</f>
        <v>9.1419271324833342E-6</v>
      </c>
      <c r="J107" s="18">
        <f si="87" t="shared"/>
        <v>6.8431113152606784E-10</v>
      </c>
      <c r="K107" s="18">
        <f si="87" t="shared"/>
        <v>1.1783650946440113E-9</v>
      </c>
      <c r="L107" s="18">
        <f si="87" t="shared"/>
        <v>0</v>
      </c>
      <c r="M107" s="18">
        <f si="87" t="shared"/>
        <v>2.2156676665038703E-6</v>
      </c>
    </row>
    <row r="108" spans="1:13" x14ac:dyDescent="0.25">
      <c r="A108" s="12">
        <v>0.89583333333333337</v>
      </c>
      <c r="B108" s="18">
        <f ref="B108:F108" si="88" t="shared">B51/B$57</f>
        <v>0</v>
      </c>
      <c r="C108" s="18">
        <f si="88" t="shared"/>
        <v>0</v>
      </c>
      <c r="D108" s="18">
        <f si="88" t="shared"/>
        <v>0</v>
      </c>
      <c r="E108" s="18">
        <f si="88" t="shared"/>
        <v>0</v>
      </c>
      <c r="F108" s="18">
        <f si="88" t="shared"/>
        <v>0</v>
      </c>
      <c r="G108" s="18"/>
      <c r="H108" s="12">
        <v>0.89583333333333337</v>
      </c>
      <c r="I108" s="18">
        <f ref="I108:M108" si="89" t="shared">I51/I$57</f>
        <v>5.0053232824622662E-6</v>
      </c>
      <c r="J108" s="18">
        <f si="89" t="shared"/>
        <v>3.1105051433003087E-11</v>
      </c>
      <c r="K108" s="18">
        <f si="89" t="shared"/>
        <v>1.6957489114595385E-10</v>
      </c>
      <c r="L108" s="18">
        <f si="89" t="shared"/>
        <v>0</v>
      </c>
      <c r="M108" s="18">
        <f si="89" t="shared"/>
        <v>1.2127966951673657E-6</v>
      </c>
    </row>
    <row r="109" spans="1:13" x14ac:dyDescent="0.25">
      <c r="A109" s="12">
        <v>0.91666666666666663</v>
      </c>
      <c r="B109" s="18">
        <f ref="B109:F109" si="90" t="shared">B52/B$57</f>
        <v>0</v>
      </c>
      <c r="C109" s="18">
        <f si="90" t="shared"/>
        <v>0</v>
      </c>
      <c r="D109" s="18">
        <f si="90" t="shared"/>
        <v>0</v>
      </c>
      <c r="E109" s="18">
        <f si="90" t="shared"/>
        <v>0</v>
      </c>
      <c r="F109" s="18">
        <f si="90" t="shared"/>
        <v>0</v>
      </c>
      <c r="G109" s="18"/>
      <c r="H109" s="12">
        <v>0.91666666666666663</v>
      </c>
      <c r="I109" s="18">
        <f ref="I109:M109" si="91" t="shared">I52/I$57</f>
        <v>2.3953459265627985E-6</v>
      </c>
      <c r="J109" s="18">
        <f si="91" t="shared"/>
        <v>0</v>
      </c>
      <c r="K109" s="18">
        <f si="91" t="shared"/>
        <v>1.587509619238717E-11</v>
      </c>
      <c r="L109" s="18">
        <f si="91" t="shared"/>
        <v>0</v>
      </c>
      <c r="M109" s="18">
        <f si="91" t="shared"/>
        <v>5.8035687125375119E-7</v>
      </c>
    </row>
    <row r="110" spans="1:13" x14ac:dyDescent="0.25">
      <c r="A110" s="12">
        <v>0.9375</v>
      </c>
      <c r="B110" s="18">
        <f ref="B110:F110" si="92" t="shared">B53/B$57</f>
        <v>0</v>
      </c>
      <c r="C110" s="18">
        <f si="92" t="shared"/>
        <v>0</v>
      </c>
      <c r="D110" s="18">
        <f si="92" t="shared"/>
        <v>0</v>
      </c>
      <c r="E110" s="18">
        <f si="92" t="shared"/>
        <v>0</v>
      </c>
      <c r="F110" s="18">
        <f si="92" t="shared"/>
        <v>0</v>
      </c>
      <c r="G110" s="18"/>
      <c r="H110" s="12">
        <v>0.9375</v>
      </c>
      <c r="I110" s="18">
        <f ref="I110:M110" si="93" t="shared">I53/I$57</f>
        <v>9.6146992569903584E-7</v>
      </c>
      <c r="J110" s="18">
        <f si="93" t="shared"/>
        <v>0</v>
      </c>
      <c r="K110" s="18">
        <f si="93" t="shared"/>
        <v>7.2159528147214412E-13</v>
      </c>
      <c r="L110" s="18">
        <f si="93" t="shared"/>
        <v>0</v>
      </c>
      <c r="M110" s="18">
        <f si="93" t="shared"/>
        <v>2.3294673466307429E-7</v>
      </c>
    </row>
    <row r="111" spans="1:13" x14ac:dyDescent="0.25">
      <c r="A111" s="12">
        <v>0.95833333333333337</v>
      </c>
      <c r="B111" s="18">
        <f ref="B111:F111" si="94" t="shared">B54/B$57</f>
        <v>0</v>
      </c>
      <c r="C111" s="18">
        <f si="94" t="shared"/>
        <v>0</v>
      </c>
      <c r="D111" s="18">
        <f si="94" t="shared"/>
        <v>0</v>
      </c>
      <c r="E111" s="18">
        <f si="94" t="shared"/>
        <v>0</v>
      </c>
      <c r="F111" s="18">
        <f si="94" t="shared"/>
        <v>0</v>
      </c>
      <c r="G111" s="18"/>
      <c r="H111" s="12">
        <v>0.95833333333333337</v>
      </c>
      <c r="I111" s="18">
        <f ref="I111:M111" si="95" t="shared">I54/I$57</f>
        <v>3.1422046652851077E-7</v>
      </c>
      <c r="J111" s="18">
        <f si="95" t="shared"/>
        <v>0</v>
      </c>
      <c r="K111" s="18">
        <f si="95" t="shared"/>
        <v>0</v>
      </c>
      <c r="L111" s="18">
        <f si="95" t="shared"/>
        <v>0</v>
      </c>
      <c r="M111" s="18">
        <f si="95" t="shared"/>
        <v>7.6129789674239202E-8</v>
      </c>
    </row>
    <row r="112" spans="1:13" x14ac:dyDescent="0.25">
      <c r="A112" s="12">
        <v>0.97916666666666663</v>
      </c>
      <c r="B112" s="18">
        <f ref="B112:F112" si="96" t="shared">B55/B$57</f>
        <v>0</v>
      </c>
      <c r="C112" s="18">
        <f si="96" t="shared"/>
        <v>0</v>
      </c>
      <c r="D112" s="18">
        <f si="96" t="shared"/>
        <v>0</v>
      </c>
      <c r="E112" s="18">
        <f si="96" t="shared"/>
        <v>0</v>
      </c>
      <c r="F112" s="18">
        <f si="96" t="shared"/>
        <v>0</v>
      </c>
      <c r="G112" s="18"/>
      <c r="H112" s="12">
        <v>0.97916666666666663</v>
      </c>
      <c r="I112" s="18">
        <f ref="I112:M112" si="97" t="shared">I55/I$57</f>
        <v>7.9075092253157953E-8</v>
      </c>
      <c r="J112" s="18">
        <f si="97" t="shared"/>
        <v>0</v>
      </c>
      <c r="K112" s="18">
        <f si="97" t="shared"/>
        <v>0</v>
      </c>
      <c r="L112" s="18">
        <f si="97" t="shared"/>
        <v>0</v>
      </c>
      <c r="M112" s="18">
        <f si="97" t="shared"/>
        <v>1.915842786503455E-8</v>
      </c>
    </row>
    <row ht="15.75" r="113" spans="1:13" thickBot="1" x14ac:dyDescent="0.3">
      <c r="A113" s="13" t="s">
        <v>13</v>
      </c>
      <c r="B113" s="18">
        <f ref="B113:F113" si="98" t="shared">B56/B$57</f>
        <v>0</v>
      </c>
      <c r="C113" s="18">
        <f si="98" t="shared"/>
        <v>0</v>
      </c>
      <c r="D113" s="18">
        <f si="98" t="shared"/>
        <v>0</v>
      </c>
      <c r="E113" s="18">
        <f si="98" t="shared"/>
        <v>0</v>
      </c>
      <c r="F113" s="18">
        <f si="98" t="shared"/>
        <v>0</v>
      </c>
      <c r="G113" s="28"/>
      <c r="H113" s="13" t="s">
        <v>13</v>
      </c>
      <c r="I113" s="18">
        <f ref="I113:M113" si="99" t="shared">I56/I$57</f>
        <v>0</v>
      </c>
      <c r="J113" s="18">
        <f si="99" t="shared"/>
        <v>0</v>
      </c>
      <c r="K113" s="18">
        <f si="99" t="shared"/>
        <v>0</v>
      </c>
      <c r="L113" s="18">
        <f si="99" t="shared"/>
        <v>0</v>
      </c>
      <c r="M113" s="18">
        <f si="99" t="shared"/>
        <v>0</v>
      </c>
    </row>
  </sheetData>
  <pageMargins bottom="0.75" footer="0.3" header="0.3" left="0.7" right="0.7" top="0.75"/>
  <pageSetup orientation="portrait" r:id="rId1"/>
  <drawing r:id="rId2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1:Z58"/>
  <sheetViews>
    <sheetView tabSelected="1" workbookViewId="0">
      <selection activeCell="T29" sqref="T29"/>
    </sheetView>
  </sheetViews>
  <sheetFormatPr defaultRowHeight="15" x14ac:dyDescent="0.25"/>
  <cols>
    <col min="1" max="1" customWidth="true" width="12.7109375" collapsed="true"/>
    <col min="2" max="10" customWidth="true" width="10.7109375" collapsed="true"/>
    <col min="11" max="11" customWidth="true" width="6.42578125" collapsed="true"/>
    <col min="12" max="12" customWidth="true" width="12.7109375" collapsed="true"/>
    <col min="13" max="21" customWidth="true" width="10.7109375" collapsed="true"/>
  </cols>
  <sheetData>
    <row r="1" spans="1:26" x14ac:dyDescent="0.25">
      <c r="A1" t="s">
        <v>25</v>
      </c>
    </row>
    <row r="2" spans="1:26" x14ac:dyDescent="0.25">
      <c r="A2" t="s">
        <v>46</v>
      </c>
    </row>
    <row r="3" spans="1:26" x14ac:dyDescent="0.25">
      <c r="A3" t="s">
        <v>7</v>
      </c>
    </row>
    <row r="4" spans="1:26" x14ac:dyDescent="0.25">
      <c r="A4" t="s">
        <v>8</v>
      </c>
    </row>
    <row r="5" spans="1:26" x14ac:dyDescent="0.25">
      <c r="W5" s="5"/>
      <c r="X5" s="5"/>
      <c r="Y5" s="5"/>
      <c r="Z5" s="5"/>
    </row>
    <row ht="15.75" r="6" spans="1:26" thickBot="1" x14ac:dyDescent="0.3">
      <c r="A6" s="3" t="s">
        <v>51</v>
      </c>
      <c r="B6" s="1"/>
      <c r="C6" s="1"/>
      <c r="D6" s="1"/>
      <c r="E6" s="1"/>
      <c r="F6" s="1"/>
      <c r="G6" s="1"/>
      <c r="H6" s="1"/>
      <c r="I6" s="1"/>
      <c r="J6" s="1"/>
      <c r="L6" s="3" t="s">
        <v>26</v>
      </c>
      <c r="M6" s="1"/>
      <c r="N6" s="1"/>
      <c r="O6" s="1"/>
      <c r="P6" s="1"/>
      <c r="Q6" s="1"/>
      <c r="R6" s="1"/>
      <c r="S6" s="1"/>
      <c r="T6" s="1"/>
      <c r="U6" s="1"/>
      <c r="W6" s="11"/>
      <c r="X6" s="5"/>
      <c r="Y6" s="5"/>
      <c r="Z6" s="5"/>
    </row>
    <row r="7" spans="1:26" x14ac:dyDescent="0.25">
      <c r="A7" s="2" t="s">
        <v>4</v>
      </c>
      <c r="B7" s="4" t="s">
        <v>17</v>
      </c>
      <c r="C7" s="4" t="s">
        <v>18</v>
      </c>
      <c r="D7" s="4" t="s">
        <v>19</v>
      </c>
      <c r="E7" s="4" t="s">
        <v>20</v>
      </c>
      <c r="F7" s="4" t="s">
        <v>21</v>
      </c>
      <c r="G7" s="4" t="s">
        <v>24</v>
      </c>
      <c r="H7" s="4" t="s">
        <v>22</v>
      </c>
      <c r="I7" s="4" t="s">
        <v>23</v>
      </c>
      <c r="J7" s="4" t="s">
        <v>0</v>
      </c>
      <c r="L7" s="2" t="s">
        <v>4</v>
      </c>
      <c r="M7" s="4" t="s">
        <v>17</v>
      </c>
      <c r="N7" s="4" t="s">
        <v>18</v>
      </c>
      <c r="O7" s="4" t="s">
        <v>19</v>
      </c>
      <c r="P7" s="4" t="s">
        <v>20</v>
      </c>
      <c r="Q7" s="4" t="s">
        <v>21</v>
      </c>
      <c r="R7" s="4" t="s">
        <v>24</v>
      </c>
      <c r="S7" s="4" t="s">
        <v>22</v>
      </c>
      <c r="T7" s="4" t="s">
        <v>23</v>
      </c>
      <c r="U7" s="4" t="s">
        <v>0</v>
      </c>
      <c r="W7" s="5"/>
      <c r="X7" s="14"/>
      <c r="Y7" s="14"/>
      <c r="Z7" s="5"/>
    </row>
    <row r="8" spans="1:26" x14ac:dyDescent="0.25">
      <c r="A8" t="s">
        <v>5</v>
      </c>
      <c r="B8" s="6" t="n">
        <v>0.0</v>
      </c>
      <c r="C8" s="6" t="n">
        <v>0.0</v>
      </c>
      <c r="D8" s="6" t="n">
        <v>0.0</v>
      </c>
      <c r="E8" s="6" t="n">
        <v>0.0</v>
      </c>
      <c r="F8" s="6" t="n">
        <v>0.0</v>
      </c>
      <c r="G8" s="6" t="n">
        <v>0.0</v>
      </c>
      <c r="H8" s="6" t="n">
        <v>0.0</v>
      </c>
      <c r="I8" s="6" t="n">
        <v>0.0</v>
      </c>
      <c r="J8" s="6">
        <f>SUM(B8:I8)</f>
        <v>0</v>
      </c>
      <c r="L8" t="s">
        <v>5</v>
      </c>
      <c r="M8" s="9" t="n">
        <v>777.0</v>
      </c>
      <c r="N8" s="9" t="n">
        <v>379.0</v>
      </c>
      <c r="O8" s="9" t="n">
        <v>0.0</v>
      </c>
      <c r="P8" s="9" t="n">
        <v>0.0</v>
      </c>
      <c r="Q8" s="9" t="n">
        <v>400.0</v>
      </c>
      <c r="R8" s="9" t="n">
        <v>65.0</v>
      </c>
      <c r="S8" s="9" t="n">
        <v>0.0</v>
      </c>
      <c r="T8" s="9" t="n">
        <v>0.0</v>
      </c>
      <c r="U8">
        <f>SUM(M8:T8)</f>
        <v>722</v>
      </c>
      <c r="W8" s="5"/>
      <c r="X8" s="16"/>
      <c r="Y8" s="16"/>
      <c r="Z8" s="5"/>
    </row>
    <row r="9" spans="1:26" x14ac:dyDescent="0.25">
      <c r="A9" s="12">
        <v>0.125</v>
      </c>
      <c r="B9" s="6" t="n">
        <v>2717.68045002079</v>
      </c>
      <c r="C9" s="6" t="n">
        <v>228.0805872364044</v>
      </c>
      <c r="D9" s="6" t="n">
        <v>0.5685913729667664</v>
      </c>
      <c r="E9" s="6" t="n">
        <v>8.621077323055268</v>
      </c>
      <c r="F9" s="6" t="n">
        <v>115.79339453163146</v>
      </c>
      <c r="G9" s="6" t="n">
        <v>0.0</v>
      </c>
      <c r="H9" s="6" t="n">
        <v>0.0</v>
      </c>
      <c r="I9" s="6" t="n">
        <v>0.0</v>
      </c>
      <c r="J9" s="6">
        <f ref="J9:J58" si="0" t="shared">SUM(B9:I9)</f>
        <v>929.67895232744888</v>
      </c>
      <c r="L9" s="12">
        <v>0.125</v>
      </c>
      <c r="M9" s="9" t="n">
        <v>1121.3825378417969</v>
      </c>
      <c r="N9" s="9" t="n">
        <v>283.28580951690674</v>
      </c>
      <c r="O9" s="9" t="n">
        <v>0.0</v>
      </c>
      <c r="P9" s="9" t="n">
        <v>0.0</v>
      </c>
      <c r="Q9" s="9" t="n">
        <v>277.02184200286865</v>
      </c>
      <c r="R9" s="9" t="n">
        <v>43.38181400299072</v>
      </c>
      <c r="S9" s="9" t="n">
        <v>0.0</v>
      </c>
      <c r="T9" s="9" t="n">
        <v>0.0</v>
      </c>
      <c r="U9">
        <f ref="U9:U58" si="1" t="shared">SUM(M9:T9)</f>
        <v>2500.117241859436</v>
      </c>
      <c r="W9" s="5"/>
      <c r="X9" s="16"/>
      <c r="Y9" s="16"/>
      <c r="Z9" s="5"/>
    </row>
    <row r="10" spans="1:26" x14ac:dyDescent="0.25">
      <c r="A10" s="12">
        <v>0.14583333333333334</v>
      </c>
      <c r="B10" s="6" t="n">
        <v>6518.802475252818</v>
      </c>
      <c r="C10" s="6" t="n">
        <v>488.07565255117413</v>
      </c>
      <c r="D10" s="6" t="n">
        <v>2.2121850676536563</v>
      </c>
      <c r="E10" s="6" t="n">
        <v>22.152661748504638</v>
      </c>
      <c r="F10" s="6" t="n">
        <v>265.6301991583824</v>
      </c>
      <c r="G10" s="6" t="n">
        <v>0.0</v>
      </c>
      <c r="H10" s="6" t="n">
        <v>0.0</v>
      </c>
      <c r="I10" s="6" t="n">
        <v>0.0</v>
      </c>
      <c r="J10" s="6">
        <f si="0" t="shared"/>
        <v>2286.7763216511198</v>
      </c>
      <c r="L10" s="12">
        <v>0.14583333333333334</v>
      </c>
      <c r="M10" s="9" t="n">
        <v>2129.9015674591064</v>
      </c>
      <c r="N10" s="9" t="n">
        <v>247.31054306030273</v>
      </c>
      <c r="O10" s="9" t="n">
        <v>0.0</v>
      </c>
      <c r="P10" s="9" t="n">
        <v>0.0</v>
      </c>
      <c r="Q10" s="9" t="n">
        <v>187.99071788787842</v>
      </c>
      <c r="R10" s="9" t="n">
        <v>25.755850791931152</v>
      </c>
      <c r="S10" s="9" t="n">
        <v>0.0</v>
      </c>
      <c r="T10" s="9" t="n">
        <v>0.0</v>
      </c>
      <c r="U10">
        <f si="1" t="shared"/>
        <v>4402.5291576385498</v>
      </c>
      <c r="W10" s="5"/>
      <c r="X10" s="16"/>
      <c r="Y10" s="16"/>
      <c r="Z10" s="5"/>
    </row>
    <row r="11" spans="1:26" x14ac:dyDescent="0.25">
      <c r="A11" s="12">
        <v>0.16666666666666666</v>
      </c>
      <c r="B11" s="6" t="n">
        <v>12534.80468585844</v>
      </c>
      <c r="C11" s="6" t="n">
        <v>837.5429225648879</v>
      </c>
      <c r="D11" s="6" t="n">
        <v>7.006007639217377</v>
      </c>
      <c r="E11" s="6" t="n">
        <v>47.48049010572434</v>
      </c>
      <c r="F11" s="6" t="n">
        <v>486.4555903505325</v>
      </c>
      <c r="G11" s="6" t="n">
        <v>0.0</v>
      </c>
      <c r="H11" s="6" t="n">
        <v>0.0</v>
      </c>
      <c r="I11" s="6" t="n">
        <v>0.0</v>
      </c>
      <c r="J11" s="6">
        <f si="0" t="shared"/>
        <v>4583.0673966478253</v>
      </c>
      <c r="L11" s="12">
        <v>0.16666666666666666</v>
      </c>
      <c r="M11" s="9" t="n">
        <v>4876.867831230164</v>
      </c>
      <c r="N11" s="9" t="n">
        <v>350.67009353637695</v>
      </c>
      <c r="O11" s="9" t="n">
        <v>0.0</v>
      </c>
      <c r="P11" s="9" t="n">
        <v>0.0</v>
      </c>
      <c r="Q11" s="9" t="n">
        <v>167.1993055343628</v>
      </c>
      <c r="R11" s="9" t="n">
        <v>14.763749122619629</v>
      </c>
      <c r="S11" s="9" t="n">
        <v>0.0</v>
      </c>
      <c r="T11" s="9" t="n">
        <v>0.0</v>
      </c>
      <c r="U11">
        <f si="1" t="shared"/>
        <v>6818.6827745437622</v>
      </c>
      <c r="W11" s="5"/>
      <c r="X11" s="16"/>
      <c r="Y11" s="16"/>
      <c r="Z11" s="5"/>
    </row>
    <row r="12" spans="1:26" x14ac:dyDescent="0.25">
      <c r="A12" s="12">
        <v>0.1875</v>
      </c>
      <c r="B12" s="6" t="n">
        <v>21842.952710917856</v>
      </c>
      <c r="C12" s="6" t="n">
        <v>1366.0525607289312</v>
      </c>
      <c r="D12" s="6" t="n">
        <v>19.275551996898653</v>
      </c>
      <c r="E12" s="6" t="n">
        <v>94.66699851379394</v>
      </c>
      <c r="F12" s="6" t="n">
        <v>816.4886227099419</v>
      </c>
      <c r="G12" s="6" t="n">
        <v>0.0</v>
      </c>
      <c r="H12" s="6" t="n">
        <v>0.0</v>
      </c>
      <c r="I12" s="6" t="n">
        <v>0.0</v>
      </c>
      <c r="J12" s="6">
        <f si="0" t="shared"/>
        <v>8440.4781086233816</v>
      </c>
      <c r="L12" s="12">
        <v>0.1875</v>
      </c>
      <c r="M12" s="9" t="n">
        <v>11011.595554351807</v>
      </c>
      <c r="N12" s="9" t="n">
        <v>707.2917747497559</v>
      </c>
      <c r="O12" s="9" t="n">
        <v>0.0</v>
      </c>
      <c r="P12" s="9" t="n">
        <v>0.0</v>
      </c>
      <c r="Q12" s="9" t="n">
        <v>252.95260334014893</v>
      </c>
      <c r="R12" s="9" t="n">
        <v>11.472549438476562</v>
      </c>
      <c r="S12" s="9" t="n">
        <v>0.0</v>
      </c>
      <c r="T12" s="9" t="n">
        <v>0.0</v>
      </c>
      <c r="U12">
        <f si="1" t="shared"/>
        <v>10491.548667907715</v>
      </c>
      <c r="W12" s="5"/>
      <c r="X12" s="5"/>
      <c r="Y12" s="5"/>
      <c r="Z12" s="5"/>
    </row>
    <row r="13" spans="1:26" x14ac:dyDescent="0.25">
      <c r="A13" s="12">
        <v>0.20833333333333334</v>
      </c>
      <c r="B13" s="6" t="n">
        <v>35175.30103123341</v>
      </c>
      <c r="C13" s="6" t="n">
        <v>2173.266866423988</v>
      </c>
      <c r="D13" s="6" t="n">
        <v>47.049615126323694</v>
      </c>
      <c r="E13" s="6" t="n">
        <v>176.23057113656995</v>
      </c>
      <c r="F13" s="6" t="n">
        <v>1281.9913881874083</v>
      </c>
      <c r="G13" s="6" t="n">
        <v>0.0</v>
      </c>
      <c r="H13" s="6" t="n">
        <v>0.0</v>
      </c>
      <c r="I13" s="6" t="n">
        <v>0.0</v>
      </c>
      <c r="J13" s="6">
        <f si="0" t="shared"/>
        <v>14468.476073402928</v>
      </c>
      <c r="L13" s="12">
        <v>0.20833333333333334</v>
      </c>
      <c r="M13" s="9" t="n">
        <v>22405.912888526917</v>
      </c>
      <c r="N13" s="9" t="n">
        <v>1457.851448059082</v>
      </c>
      <c r="O13" s="9" t="n">
        <v>0.0</v>
      </c>
      <c r="P13" s="9" t="n">
        <v>0.0</v>
      </c>
      <c r="Q13" s="9" t="n">
        <v>489.5503759384155</v>
      </c>
      <c r="R13" s="9" t="n">
        <v>16.19607448577881</v>
      </c>
      <c r="S13" s="9" t="n">
        <v>0.0</v>
      </c>
      <c r="T13" s="9" t="n">
        <v>0.0</v>
      </c>
      <c r="U13">
        <f si="1" t="shared"/>
        <v>16297.881935119629</v>
      </c>
    </row>
    <row r="14" spans="1:26" x14ac:dyDescent="0.25">
      <c r="A14" s="12">
        <v>0.22916666666666666</v>
      </c>
      <c r="B14" s="6" t="n">
        <v>52491.99706815148</v>
      </c>
      <c r="C14" s="6" t="n">
        <v>3327.322353164863</v>
      </c>
      <c r="D14" s="6" t="n">
        <v>102.86055118131637</v>
      </c>
      <c r="E14" s="6" t="n">
        <v>303.748942611885</v>
      </c>
      <c r="F14" s="6" t="n">
        <v>1871.905398446369</v>
      </c>
      <c r="G14" s="6" t="n">
        <v>0.0</v>
      </c>
      <c r="H14" s="6" t="n">
        <v>0.0</v>
      </c>
      <c r="I14" s="6" t="n">
        <v>0.0</v>
      </c>
      <c r="J14" s="6">
        <f si="0" t="shared"/>
        <v>22929.03499253251</v>
      </c>
      <c r="L14" s="12">
        <v>0.22916666666666666</v>
      </c>
      <c r="M14" s="9" t="n">
        <v>40177.325117111206</v>
      </c>
      <c r="N14" s="9" t="n">
        <v>2721.492154121399</v>
      </c>
      <c r="O14" s="9" t="n">
        <v>0.0</v>
      </c>
      <c r="P14" s="9" t="n">
        <v>0.0</v>
      </c>
      <c r="Q14" s="9" t="n">
        <v>917.2313795089722</v>
      </c>
      <c r="R14" s="9" t="n">
        <v>29.238298416137695</v>
      </c>
      <c r="S14" s="9" t="n">
        <v>0.0</v>
      </c>
      <c r="T14" s="9" t="n">
        <v>0.0</v>
      </c>
      <c r="U14">
        <f si="1" t="shared"/>
        <v>24729.642654418945</v>
      </c>
    </row>
    <row r="15" spans="1:26" x14ac:dyDescent="0.25">
      <c r="A15" s="12">
        <v>0.25</v>
      </c>
      <c r="B15" s="6" t="n">
        <v>72513.0073322262</v>
      </c>
      <c r="C15" s="6" t="n">
        <v>4823.691406878089</v>
      </c>
      <c r="D15" s="6" t="n">
        <v>201.94821625642777</v>
      </c>
      <c r="E15" s="6" t="n">
        <v>482.2116930448531</v>
      </c>
      <c r="F15" s="6" t="n">
        <v>2517.6430242871284</v>
      </c>
      <c r="G15" s="6" t="n">
        <v>0.0</v>
      </c>
      <c r="H15" s="6" t="n">
        <v>0.0</v>
      </c>
      <c r="I15" s="6" t="n">
        <v>0.0</v>
      </c>
      <c r="J15" s="6">
        <f si="0" t="shared"/>
        <v>33280.363858536606</v>
      </c>
      <c r="L15" s="12">
        <v>0.25</v>
      </c>
      <c r="M15" s="9" t="n">
        <v>63448.26548862457</v>
      </c>
      <c r="N15" s="9" t="n">
        <v>4512.116846084595</v>
      </c>
      <c r="O15" s="9" t="n">
        <v>0.0</v>
      </c>
      <c r="P15" s="9" t="n">
        <v>0.0</v>
      </c>
      <c r="Q15" s="9" t="n">
        <v>1546.7081270217896</v>
      </c>
      <c r="R15" s="9" t="n">
        <v>50.62800216674805</v>
      </c>
      <c r="S15" s="9" t="n">
        <v>0.0</v>
      </c>
      <c r="T15" s="9" t="n">
        <v>0.0</v>
      </c>
      <c r="U15">
        <f si="1" t="shared"/>
        <v>35306.75673866272</v>
      </c>
    </row>
    <row r="16" spans="1:26" x14ac:dyDescent="0.25">
      <c r="A16" s="12">
        <v>0.27083333333333331</v>
      </c>
      <c r="B16" s="6" t="n">
        <v>92433.17242155419</v>
      </c>
      <c r="C16" s="6" t="n">
        <v>6559.7882538414</v>
      </c>
      <c r="D16" s="6" t="n">
        <v>355.8306321095467</v>
      </c>
      <c r="E16" s="6" t="n">
        <v>703.849146621704</v>
      </c>
      <c r="F16" s="6" t="n">
        <v>3103.276969439697</v>
      </c>
      <c r="G16" s="6" t="n">
        <v>0.0</v>
      </c>
      <c r="H16" s="6" t="n">
        <v>0.0</v>
      </c>
      <c r="I16" s="6" t="n">
        <v>0.0</v>
      </c>
      <c r="J16" s="6">
        <f si="0" t="shared"/>
        <v>43905.158251909575</v>
      </c>
      <c r="L16" s="12">
        <v>0.27083333333333331</v>
      </c>
      <c r="M16" s="9" t="n">
        <v>88683.01381874084</v>
      </c>
      <c r="N16" s="9" t="n">
        <v>6663.133664131165</v>
      </c>
      <c r="O16" s="9" t="n">
        <v>0.0</v>
      </c>
      <c r="P16" s="9" t="n">
        <v>0.0</v>
      </c>
      <c r="Q16" s="9" t="n">
        <v>2330.5133085250854</v>
      </c>
      <c r="R16" s="9" t="n">
        <v>79.01168727874756</v>
      </c>
      <c r="S16" s="9" t="n">
        <v>0.0</v>
      </c>
      <c r="T16" s="9" t="n">
        <v>0.0</v>
      </c>
      <c r="U16">
        <f si="1" t="shared"/>
        <v>46310.769408226013</v>
      </c>
    </row>
    <row r="17" spans="1:21" x14ac:dyDescent="0.25">
      <c r="A17" s="12">
        <v>0.29166666666666669</v>
      </c>
      <c r="B17" s="6" t="n">
        <v>108251.2299023801</v>
      </c>
      <c r="C17" s="6" t="n">
        <v>8332.00163676262</v>
      </c>
      <c r="D17" s="6" t="n">
        <v>561.7238987600326</v>
      </c>
      <c r="E17" s="6" t="n">
        <v>944.8278581945418</v>
      </c>
      <c r="F17" s="6" t="n">
        <v>3509.3375920705794</v>
      </c>
      <c r="G17" s="6" t="n">
        <v>0.0</v>
      </c>
      <c r="H17" s="6" t="n">
        <v>0.0</v>
      </c>
      <c r="I17" s="6" t="n">
        <v>0.0</v>
      </c>
      <c r="J17" s="6">
        <f si="0" t="shared"/>
        <v>52383.047644210994</v>
      </c>
      <c r="L17" s="12">
        <v>0.29166666666666669</v>
      </c>
      <c r="M17" s="9" t="n">
        <v>110389.51652431488</v>
      </c>
      <c r="N17" s="9" t="n">
        <v>8822.079600334167</v>
      </c>
      <c r="O17" s="9" t="n">
        <v>0.0</v>
      </c>
      <c r="P17" s="9" t="n">
        <v>0.0</v>
      </c>
      <c r="Q17" s="9" t="n">
        <v>3153.4048557281494</v>
      </c>
      <c r="R17" s="9" t="n">
        <v>110.75415706634521</v>
      </c>
      <c r="S17" s="9" t="n">
        <v>0.0</v>
      </c>
      <c r="T17" s="9" t="n">
        <v>0.0</v>
      </c>
      <c r="U17">
        <f si="1" t="shared"/>
        <v>55153.398508071899</v>
      </c>
    </row>
    <row r="18" spans="1:21" x14ac:dyDescent="0.25">
      <c r="A18" s="12">
        <v>0.3125</v>
      </c>
      <c r="B18" s="6" t="n">
        <v>116022.31357957136</v>
      </c>
      <c r="C18" s="6" t="n">
        <v>9866.405240515138</v>
      </c>
      <c r="D18" s="6" t="n">
        <v>793.2553563316345</v>
      </c>
      <c r="E18" s="6" t="n">
        <v>1169.07440793972</v>
      </c>
      <c r="F18" s="6" t="n">
        <v>3660.7069822957037</v>
      </c>
      <c r="G18" s="6" t="n">
        <v>0.0</v>
      </c>
      <c r="H18" s="6" t="n">
        <v>0.0</v>
      </c>
      <c r="I18" s="6" t="n">
        <v>0.0</v>
      </c>
      <c r="J18" s="6">
        <f si="0" t="shared"/>
        <v>56384.165281097761</v>
      </c>
      <c r="L18" s="12">
        <v>0.3125</v>
      </c>
      <c r="M18" s="9" t="n">
        <v>123157.9710597992</v>
      </c>
      <c r="N18" s="9" t="n">
        <v>10545.692284584045</v>
      </c>
      <c r="O18" s="9" t="n">
        <v>0.0</v>
      </c>
      <c r="P18" s="9" t="n">
        <v>0.0</v>
      </c>
      <c r="Q18" s="9" t="n">
        <v>3857.1894178390503</v>
      </c>
      <c r="R18" s="9" t="n">
        <v>140.24391841888428</v>
      </c>
      <c r="S18" s="9" t="n">
        <v>0.0</v>
      </c>
      <c r="T18" s="9" t="n">
        <v>0.0</v>
      </c>
      <c r="U18">
        <f si="1" t="shared"/>
        <v>59349.226640701294</v>
      </c>
    </row>
    <row r="19" spans="1:21" x14ac:dyDescent="0.25">
      <c r="A19" s="12">
        <v>0.33333333333333331</v>
      </c>
      <c r="B19" s="6" t="n">
        <v>113630.45613121416</v>
      </c>
      <c r="C19" s="6" t="n">
        <v>10894.767872969438</v>
      </c>
      <c r="D19" s="6" t="n">
        <v>1001.6298208447456</v>
      </c>
      <c r="E19" s="6" t="n">
        <v>1340.0982481595993</v>
      </c>
      <c r="F19" s="6" t="n">
        <v>3547.7500599971772</v>
      </c>
      <c r="G19" s="6" t="n">
        <v>0.0</v>
      </c>
      <c r="H19" s="6" t="n">
        <v>0.0</v>
      </c>
      <c r="I19" s="6" t="n">
        <v>0.0</v>
      </c>
      <c r="J19" s="6">
        <f si="0" t="shared"/>
        <v>54766.107094698717</v>
      </c>
      <c r="L19" s="12">
        <v>0.33333333333333331</v>
      </c>
      <c r="M19" s="9" t="n">
        <v>123975.03977584839</v>
      </c>
      <c r="N19" s="9" t="n">
        <v>11461.582319259644</v>
      </c>
      <c r="O19" s="9" t="n">
        <v>0.0</v>
      </c>
      <c r="P19" s="9" t="n">
        <v>0.0</v>
      </c>
      <c r="Q19" s="9" t="n">
        <v>4294.41517829895</v>
      </c>
      <c r="R19" s="9" t="n">
        <v>161.5758228302002</v>
      </c>
      <c r="S19" s="9" t="n">
        <v>0.0</v>
      </c>
      <c r="T19" s="9" t="n">
        <v>0.0</v>
      </c>
      <c r="U19">
        <f si="1" t="shared"/>
        <v>57635.858836174011</v>
      </c>
    </row>
    <row r="20" spans="1:21" x14ac:dyDescent="0.25">
      <c r="A20" s="12">
        <v>0.35416666666666669</v>
      </c>
      <c r="B20" s="6" t="n">
        <v>101944.77079009687</v>
      </c>
      <c r="C20" s="6" t="n">
        <v>11254.445725128175</v>
      </c>
      <c r="D20" s="6" t="n">
        <v>1133.1165740412712</v>
      </c>
      <c r="E20" s="6" t="n">
        <v>1434.777748629856</v>
      </c>
      <c r="F20" s="6" t="n">
        <v>3220.483122753334</v>
      </c>
      <c r="G20" s="6" t="n">
        <v>0.0</v>
      </c>
      <c r="H20" s="6" t="n">
        <v>0.0</v>
      </c>
      <c r="I20" s="6" t="n">
        <v>0.0</v>
      </c>
      <c r="J20" s="6">
        <f si="0" t="shared"/>
        <v>48174.638866428912</v>
      </c>
      <c r="L20" s="12">
        <v>0.35416666666666669</v>
      </c>
      <c r="M20" s="9" t="n">
        <v>113434.45233535767</v>
      </c>
      <c r="N20" s="9" t="n">
        <v>11414.847811698914</v>
      </c>
      <c r="O20" s="9" t="n">
        <v>0.0</v>
      </c>
      <c r="P20" s="9" t="n">
        <v>0.0</v>
      </c>
      <c r="Q20" s="9" t="n">
        <v>4385.797122955322</v>
      </c>
      <c r="R20" s="9" t="n">
        <v>170.8615598678589</v>
      </c>
      <c r="S20" s="9" t="n">
        <v>0.0</v>
      </c>
      <c r="T20" s="9" t="n">
        <v>0.0</v>
      </c>
      <c r="U20">
        <f si="1" t="shared"/>
        <v>50593.975651741028</v>
      </c>
    </row>
    <row r="21" spans="1:21" x14ac:dyDescent="0.25">
      <c r="A21" s="12">
        <v>0.375</v>
      </c>
      <c r="B21" s="6" t="n">
        <v>84429.80969013568</v>
      </c>
      <c r="C21" s="6" t="n">
        <v>10949.238611079123</v>
      </c>
      <c r="D21" s="6" t="n">
        <v>1156.5689683667183</v>
      </c>
      <c r="E21" s="6" t="n">
        <v>1450.5881848708154</v>
      </c>
      <c r="F21" s="6" t="n">
        <v>2772.536764584541</v>
      </c>
      <c r="G21" s="6" t="n">
        <v>3.217267036437988E-4</v>
      </c>
      <c r="H21" s="6" t="n">
        <v>0.0</v>
      </c>
      <c r="I21" s="6" t="n">
        <v>0.0</v>
      </c>
      <c r="J21" s="6">
        <f si="0" t="shared"/>
        <v>38715.956842618922</v>
      </c>
      <c r="L21" s="12">
        <v>0.375</v>
      </c>
      <c r="M21" s="9" t="n">
        <v>95203.30108833313</v>
      </c>
      <c r="N21" s="9" t="n">
        <v>10524.035935401917</v>
      </c>
      <c r="O21" s="9" t="n">
        <v>0.0</v>
      </c>
      <c r="P21" s="9" t="n">
        <v>0.0</v>
      </c>
      <c r="Q21" s="9" t="n">
        <v>4151.951008796692</v>
      </c>
      <c r="R21" s="9" t="n">
        <v>167.95975971221924</v>
      </c>
      <c r="S21" s="9" t="n">
        <v>0.0</v>
      </c>
      <c r="T21" s="9" t="n">
        <v>0.0</v>
      </c>
      <c r="U21">
        <f si="1" t="shared"/>
        <v>40368.857414245605</v>
      </c>
    </row>
    <row r="22" spans="1:21" x14ac:dyDescent="0.25">
      <c r="A22" s="12">
        <v>0.39583333333333331</v>
      </c>
      <c r="B22" s="6" t="n">
        <v>65450.53267447424</v>
      </c>
      <c r="C22" s="6" t="n">
        <v>10123.844335533046</v>
      </c>
      <c r="D22" s="6" t="n">
        <v>1082.1252592946053</v>
      </c>
      <c r="E22" s="6" t="n">
        <v>1403.9004501551628</v>
      </c>
      <c r="F22" s="6" t="n">
        <v>2318.101235495758</v>
      </c>
      <c r="G22" s="6" t="n">
        <v>0.006434534072875976</v>
      </c>
      <c r="H22" s="6" t="n">
        <v>0.0</v>
      </c>
      <c r="I22" s="6" t="n">
        <v>0.0</v>
      </c>
      <c r="J22" s="6">
        <f si="0" t="shared"/>
        <v>28922.20466252933</v>
      </c>
      <c r="L22" s="12">
        <v>0.39583333333333331</v>
      </c>
      <c r="M22" s="9" t="n">
        <v>74240.02346611023</v>
      </c>
      <c r="N22" s="9" t="n">
        <v>9121.477996826172</v>
      </c>
      <c r="O22" s="9" t="n">
        <v>0.0</v>
      </c>
      <c r="P22" s="9" t="n">
        <v>0.0</v>
      </c>
      <c r="Q22" s="9" t="n">
        <v>3702.7269229888916</v>
      </c>
      <c r="R22" s="9" t="n">
        <v>156.6071252822876</v>
      </c>
      <c r="S22" s="9" t="n">
        <v>0.0</v>
      </c>
      <c r="T22" s="9" t="n">
        <v>0.0</v>
      </c>
      <c r="U22">
        <f si="1" t="shared"/>
        <v>29659.480097770691</v>
      </c>
    </row>
    <row r="23" spans="1:21" x14ac:dyDescent="0.25">
      <c r="A23" s="12">
        <v>0.41666666666666669</v>
      </c>
      <c r="B23" s="6" t="n">
        <v>48484.92293341579</v>
      </c>
      <c r="C23" s="6" t="n">
        <v>8979.90796756687</v>
      </c>
      <c r="D23" s="6" t="n">
        <v>954.2475367163659</v>
      </c>
      <c r="E23" s="6" t="n">
        <v>1323.7214540843966</v>
      </c>
      <c r="F23" s="6" t="n">
        <v>1957.8626115125653</v>
      </c>
      <c r="G23" s="6" t="n">
        <v>0.06133095712661742</v>
      </c>
      <c r="H23" s="6" t="n">
        <v>0.0</v>
      </c>
      <c r="I23" s="6" t="n">
        <v>0.0</v>
      </c>
      <c r="J23" s="6">
        <f si="0" t="shared"/>
        <v>20703.598535506218</v>
      </c>
      <c r="L23" s="12">
        <v>0.41666666666666669</v>
      </c>
      <c r="M23" s="9" t="n">
        <v>54864.90578174591</v>
      </c>
      <c r="N23" s="9" t="n">
        <v>7611.261976242065</v>
      </c>
      <c r="O23" s="9" t="n">
        <v>0.0</v>
      </c>
      <c r="P23" s="9" t="n">
        <v>0.0</v>
      </c>
      <c r="Q23" s="9" t="n">
        <v>3188.862289428711</v>
      </c>
      <c r="R23" s="9" t="n">
        <v>142.71681022644043</v>
      </c>
      <c r="S23" s="9" t="n">
        <v>0.0</v>
      </c>
      <c r="T23" s="9" t="n">
        <v>0.0</v>
      </c>
      <c r="U23">
        <f si="1" t="shared"/>
        <v>20601.838940620422</v>
      </c>
    </row>
    <row r="24" spans="1:21" x14ac:dyDescent="0.25">
      <c r="A24" s="12">
        <v>0.4375</v>
      </c>
      <c r="B24" s="6" t="n">
        <v>35282.54103392773</v>
      </c>
      <c r="C24" s="6" t="n">
        <v>7708.970814219856</v>
      </c>
      <c r="D24" s="6" t="n">
        <v>822.8339859990119</v>
      </c>
      <c r="E24" s="6" t="n">
        <v>1243.8559471744538</v>
      </c>
      <c r="F24" s="6" t="n">
        <v>1746.6779822517394</v>
      </c>
      <c r="G24" s="6" t="n">
        <v>0.3708261108398437</v>
      </c>
      <c r="H24" s="6" t="n">
        <v>0.0</v>
      </c>
      <c r="I24" s="6" t="n">
        <v>0.0</v>
      </c>
      <c r="J24" s="6">
        <f si="0" t="shared"/>
        <v>14872.411631241694</v>
      </c>
      <c r="L24" s="12">
        <v>0.4375</v>
      </c>
      <c r="M24" s="9" t="n">
        <v>39577.742007255554</v>
      </c>
      <c r="N24" s="9" t="n">
        <v>6315.1003313064575</v>
      </c>
      <c r="O24" s="9" t="n">
        <v>0.0</v>
      </c>
      <c r="P24" s="9" t="n">
        <v>0.0</v>
      </c>
      <c r="Q24" s="9" t="n">
        <v>2740.1491470336914</v>
      </c>
      <c r="R24" s="9" t="n">
        <v>131.69057369232178</v>
      </c>
      <c r="S24" s="9" t="n">
        <v>0.0</v>
      </c>
      <c r="T24" s="9" t="n">
        <v>0.0</v>
      </c>
      <c r="U24">
        <f si="1" t="shared"/>
        <v>14163.930096626282</v>
      </c>
    </row>
    <row r="25" spans="1:21" x14ac:dyDescent="0.25">
      <c r="A25" s="12">
        <v>0.45833333333333331</v>
      </c>
      <c r="B25" s="6" t="n">
        <v>26058.197147264866</v>
      </c>
      <c r="C25" s="6" t="n">
        <v>6476.723273412227</v>
      </c>
      <c r="D25" s="6" t="n">
        <v>716.536729371643</v>
      </c>
      <c r="E25" s="6" t="n">
        <v>1192.0037752140045</v>
      </c>
      <c r="F25" s="6" t="n">
        <v>1682.164589651394</v>
      </c>
      <c r="G25" s="6" t="n">
        <v>1.5975233453750608</v>
      </c>
      <c r="H25" s="6" t="n">
        <v>0.0</v>
      </c>
      <c r="I25" s="6" t="n">
        <v>0.0</v>
      </c>
      <c r="J25" s="6">
        <f si="0" t="shared"/>
        <v>11310.536447010936</v>
      </c>
      <c r="L25" s="12">
        <v>0.45833333333333331</v>
      </c>
      <c r="M25" s="9" t="n">
        <v>28903.7699842453</v>
      </c>
      <c r="N25" s="9" t="n">
        <v>5378.644864082336</v>
      </c>
      <c r="O25" s="9" t="n">
        <v>0.0</v>
      </c>
      <c r="P25" s="9" t="n">
        <v>0.0</v>
      </c>
      <c r="Q25" s="9" t="n">
        <v>2421.7259607315063</v>
      </c>
      <c r="R25" s="9" t="n">
        <v>126.28810596466064</v>
      </c>
      <c r="S25" s="9" t="n">
        <v>0.0</v>
      </c>
      <c r="T25" s="9" t="n">
        <v>0.0</v>
      </c>
      <c r="U25">
        <f si="1" t="shared"/>
        <v>10233.642778396606</v>
      </c>
    </row>
    <row r="26" spans="1:21" x14ac:dyDescent="0.25">
      <c r="A26" s="12">
        <v>0.47916666666666669</v>
      </c>
      <c r="B26" s="6" t="n">
        <v>20143.568118645097</v>
      </c>
      <c r="C26" s="6" t="n">
        <v>5423.179450794029</v>
      </c>
      <c r="D26" s="6" t="n">
        <v>638.694773841381</v>
      </c>
      <c r="E26" s="6" t="n">
        <v>1177.0803585173608</v>
      </c>
      <c r="F26" s="6" t="n">
        <v>1713.4446077440264</v>
      </c>
      <c r="G26" s="6" t="n">
        <v>5.223530202484131</v>
      </c>
      <c r="H26" s="6" t="n">
        <v>0.0</v>
      </c>
      <c r="I26" s="6" t="n">
        <v>0.0</v>
      </c>
      <c r="J26" s="6">
        <f si="0" t="shared"/>
        <v>9437.3435717482553</v>
      </c>
      <c r="L26" s="12">
        <v>0.47916666666666669</v>
      </c>
      <c r="M26" s="9" t="n">
        <v>22010.888374328613</v>
      </c>
      <c r="N26" s="9" t="n">
        <v>4775.070888519287</v>
      </c>
      <c r="O26" s="9" t="n">
        <v>0.0</v>
      </c>
      <c r="P26" s="9" t="n">
        <v>0.0</v>
      </c>
      <c r="Q26" s="9" t="n">
        <v>2229.0084533691406</v>
      </c>
      <c r="R26" s="9" t="n">
        <v>126.25559711456299</v>
      </c>
      <c r="S26" s="9" t="n">
        <v>0.0</v>
      </c>
      <c r="T26" s="9" t="n">
        <v>0.0</v>
      </c>
      <c r="U26">
        <f si="1" t="shared"/>
        <v>8122.0693101882935</v>
      </c>
    </row>
    <row r="27" spans="1:21" x14ac:dyDescent="0.25">
      <c r="A27" s="12">
        <v>0.5</v>
      </c>
      <c r="B27" s="6" t="n">
        <v>16574.658495555785</v>
      </c>
      <c r="C27" s="6" t="n">
        <v>4639.39812124834</v>
      </c>
      <c r="D27" s="6" t="n">
        <v>581.3584851496696</v>
      </c>
      <c r="E27" s="6" t="n">
        <v>1183.1873183834075</v>
      </c>
      <c r="F27" s="6" t="n">
        <v>1757.9478571579934</v>
      </c>
      <c r="G27" s="6" t="n">
        <v>13.492923876285554</v>
      </c>
      <c r="H27" s="6" t="n">
        <v>8.81852912902832E-4</v>
      </c>
      <c r="I27" s="6" t="n">
        <v>0.0</v>
      </c>
      <c r="J27" s="6">
        <f si="0" t="shared"/>
        <v>8606.7583807307765</v>
      </c>
      <c r="L27" s="12">
        <v>0.5</v>
      </c>
      <c r="M27" s="9" t="n">
        <v>17589.175988197327</v>
      </c>
      <c r="N27" s="9" t="n">
        <v>4385.308380126953</v>
      </c>
      <c r="O27" s="9" t="n">
        <v>0.0</v>
      </c>
      <c r="P27" s="9" t="n">
        <v>0.0</v>
      </c>
      <c r="Q27" s="9" t="n">
        <v>2117.14430809021</v>
      </c>
      <c r="R27" s="9" t="n">
        <v>129.66840839385986</v>
      </c>
      <c r="S27" s="9" t="n">
        <v>0.0</v>
      </c>
      <c r="T27" s="9" t="n">
        <v>0.0</v>
      </c>
      <c r="U27">
        <f si="1" t="shared"/>
        <v>7069.8447275161743</v>
      </c>
    </row>
    <row r="28" spans="1:21" x14ac:dyDescent="0.25">
      <c r="A28" s="12">
        <v>0.52083333333333337</v>
      </c>
      <c r="B28" s="6" t="n">
        <v>14455.481619692897</v>
      </c>
      <c r="C28" s="6" t="n">
        <v>4137.128257157135</v>
      </c>
      <c r="D28" s="6" t="n">
        <v>536.8848903819083</v>
      </c>
      <c r="E28" s="6" t="n">
        <v>1177.788069214344</v>
      </c>
      <c r="F28" s="6" t="n">
        <v>1727.700358690548</v>
      </c>
      <c r="G28" s="6" t="n">
        <v>28.3247184551239</v>
      </c>
      <c r="H28" s="6" t="n">
        <v>0.01763705825805664</v>
      </c>
      <c r="I28" s="6" t="n">
        <v>0.0</v>
      </c>
      <c r="J28" s="6">
        <f si="0" t="shared"/>
        <v>8292.761065617342</v>
      </c>
      <c r="L28" s="12">
        <v>0.52083333333333337</v>
      </c>
      <c r="M28" s="9" t="n">
        <v>14528.558826446533</v>
      </c>
      <c r="N28" s="9" t="n">
        <v>4093.092216491699</v>
      </c>
      <c r="O28" s="9" t="n">
        <v>0.0</v>
      </c>
      <c r="P28" s="9" t="n">
        <v>0.0</v>
      </c>
      <c r="Q28" s="9" t="n">
        <v>2040.186264038086</v>
      </c>
      <c r="R28" s="9" t="n">
        <v>134.76611804962158</v>
      </c>
      <c r="S28" s="9" t="n">
        <v>0.0</v>
      </c>
      <c r="T28" s="9" t="n">
        <v>0.0</v>
      </c>
      <c r="U28">
        <f si="1" t="shared"/>
        <v>6520.2715110778809</v>
      </c>
    </row>
    <row r="29" spans="1:21" x14ac:dyDescent="0.25">
      <c r="A29" s="12">
        <v>0.54166666666666663</v>
      </c>
      <c r="B29" s="6" t="n">
        <v>13127.419711609647</v>
      </c>
      <c r="C29" s="6" t="n">
        <v>3854.138225001049</v>
      </c>
      <c r="D29" s="6" t="n">
        <v>497.55467975616455</v>
      </c>
      <c r="E29" s="6" t="n">
        <v>1130.985911060047</v>
      </c>
      <c r="F29" s="6" t="n">
        <v>1569.1928826696394</v>
      </c>
      <c r="G29" s="6" t="n">
        <v>49.407253170490264</v>
      </c>
      <c r="H29" s="6" t="n">
        <v>0.1678340101242065</v>
      </c>
      <c r="I29" s="6" t="n">
        <v>0.0</v>
      </c>
      <c r="J29" s="6">
        <f si="0" t="shared"/>
        <v>8124.1300033905854</v>
      </c>
      <c r="L29" s="12">
        <v>0.54166666666666663</v>
      </c>
      <c r="M29" s="9" t="n">
        <v>12182.627388000488</v>
      </c>
      <c r="N29" s="9" t="n">
        <v>3837.98241519928</v>
      </c>
      <c r="O29" s="9" t="n">
        <v>0.0</v>
      </c>
      <c r="P29" s="9" t="n">
        <v>0.0</v>
      </c>
      <c r="Q29" s="9" t="n">
        <v>1974.2591972351074</v>
      </c>
      <c r="R29" s="9" t="n">
        <v>140.9100103378296</v>
      </c>
      <c r="S29" s="9" t="n">
        <v>0.0</v>
      </c>
      <c r="T29" s="9" t="n">
        <v>0.0</v>
      </c>
      <c r="U29">
        <f si="1" t="shared"/>
        <v>6160.6181440353394</v>
      </c>
    </row>
    <row r="30" spans="1:21" x14ac:dyDescent="0.25">
      <c r="A30" s="12">
        <v>0.5625</v>
      </c>
      <c r="B30" s="6" t="n">
        <v>12176.853798725508</v>
      </c>
      <c r="C30" s="6" t="n">
        <v>3699.307188579178</v>
      </c>
      <c r="D30" s="6" t="n">
        <v>452.9648865009308</v>
      </c>
      <c r="E30" s="6" t="n">
        <v>1033.8230694135666</v>
      </c>
      <c r="F30" s="6" t="n">
        <v>1296.0489452296256</v>
      </c>
      <c r="G30" s="6" t="n">
        <v>73.01459184799194</v>
      </c>
      <c r="H30" s="6" t="n">
        <v>1.0109514541625977</v>
      </c>
      <c r="I30" s="6" t="n">
        <v>0.0</v>
      </c>
      <c r="J30" s="6">
        <f si="0" t="shared"/>
        <v>7870.5878057768068</v>
      </c>
      <c r="L30" s="12">
        <v>0.5625</v>
      </c>
      <c r="M30" s="9" t="n">
        <v>10291.359670639038</v>
      </c>
      <c r="N30" s="9" t="n">
        <v>3611.789239883423</v>
      </c>
      <c r="O30" s="9" t="n">
        <v>0.0</v>
      </c>
      <c r="P30" s="9" t="n">
        <v>0.0</v>
      </c>
      <c r="Q30" s="9" t="n">
        <v>1916.517102241516</v>
      </c>
      <c r="R30" s="9" t="n">
        <v>148.24503707885742</v>
      </c>
      <c r="S30" s="9" t="n">
        <v>0.0</v>
      </c>
      <c r="T30" s="9" t="n">
        <v>0.0</v>
      </c>
      <c r="U30">
        <f si="1" t="shared"/>
        <v>5847.9143562316895</v>
      </c>
    </row>
    <row r="31" spans="1:21" x14ac:dyDescent="0.25">
      <c r="A31" s="12">
        <v>0.58333333333333337</v>
      </c>
      <c r="B31" s="6" t="n">
        <v>11337.720649502658</v>
      </c>
      <c r="C31" s="6" t="n">
        <v>3598.680855485153</v>
      </c>
      <c r="D31" s="6" t="n">
        <v>395.4878681454659</v>
      </c>
      <c r="E31" s="6" t="n">
        <v>904.2560691812516</v>
      </c>
      <c r="F31" s="6" t="n">
        <v>982.4402876326561</v>
      </c>
      <c r="G31" s="6" t="n">
        <v>93.12362563571929</v>
      </c>
      <c r="H31" s="6" t="n">
        <v>4.3261491308212285</v>
      </c>
      <c r="I31" s="6" t="n">
        <v>0.0</v>
      </c>
      <c r="J31" s="6">
        <f si="0" t="shared"/>
        <v>7427.7807575962506</v>
      </c>
      <c r="L31" s="12">
        <v>0.58333333333333337</v>
      </c>
      <c r="M31" s="9" t="n">
        <v>8779.111445426941</v>
      </c>
      <c r="N31" s="9" t="n">
        <v>3424.742380142212</v>
      </c>
      <c r="O31" s="9" t="n">
        <v>0.0</v>
      </c>
      <c r="P31" s="9" t="n">
        <v>0.0</v>
      </c>
      <c r="Q31" s="9" t="n">
        <v>1870.8006763458252</v>
      </c>
      <c r="R31" s="9" t="n">
        <v>156.79340839385986</v>
      </c>
      <c r="S31" s="9" t="n">
        <v>0.0</v>
      </c>
      <c r="T31" s="9" t="n">
        <v>0.0</v>
      </c>
      <c r="U31">
        <f si="1" t="shared"/>
        <v>5523.7715902328491</v>
      </c>
    </row>
    <row r="32" spans="1:21" x14ac:dyDescent="0.25">
      <c r="A32" s="12">
        <v>0.60416666666666663</v>
      </c>
      <c r="B32" s="6" t="n">
        <v>10406.796980945683</v>
      </c>
      <c r="C32" s="6" t="n">
        <v>3511.4303225860594</v>
      </c>
      <c r="D32" s="6" t="n">
        <v>328.75115162000657</v>
      </c>
      <c r="E32" s="6" t="n">
        <v>777.4646264926911</v>
      </c>
      <c r="F32" s="6" t="n">
        <v>716.3254428252221</v>
      </c>
      <c r="G32" s="6" t="n">
        <v>104.37944046783448</v>
      </c>
      <c r="H32" s="6" t="n">
        <v>13.993678168487547</v>
      </c>
      <c r="I32" s="6" t="n">
        <v>0.0</v>
      </c>
      <c r="J32" s="6">
        <f si="0" t="shared"/>
        <v>6800.3300482623772</v>
      </c>
      <c r="L32" s="12">
        <v>0.60416666666666663</v>
      </c>
      <c r="M32" s="9" t="n">
        <v>7603.925505638123</v>
      </c>
      <c r="N32" s="9" t="n">
        <v>3277.1491899490356</v>
      </c>
      <c r="O32" s="9" t="n">
        <v>0.0</v>
      </c>
      <c r="P32" s="9" t="n">
        <v>0.0</v>
      </c>
      <c r="Q32" s="9" t="n">
        <v>1836.1277437210083</v>
      </c>
      <c r="R32" s="9" t="n">
        <v>165.9760503768921</v>
      </c>
      <c r="S32" s="9" t="n">
        <v>0.0</v>
      </c>
      <c r="T32" s="9" t="n">
        <v>0.0</v>
      </c>
      <c r="U32">
        <f si="1" t="shared"/>
        <v>5164.7087125778198</v>
      </c>
    </row>
    <row r="33" spans="1:21" x14ac:dyDescent="0.25">
      <c r="A33" s="12">
        <v>0.625</v>
      </c>
      <c r="B33" s="6" t="n">
        <v>9253.744789506436</v>
      </c>
      <c r="C33" s="6" t="n">
        <v>3418.5920456756594</v>
      </c>
      <c r="D33" s="6" t="n">
        <v>267.1712980187416</v>
      </c>
      <c r="E33" s="6" t="n">
        <v>686.6540798568726</v>
      </c>
      <c r="F33" s="6" t="n">
        <v>549.0368778536797</v>
      </c>
      <c r="G33" s="6" t="n">
        <v>104.57522249336242</v>
      </c>
      <c r="H33" s="6" t="n">
        <v>35.54669898319244</v>
      </c>
      <c r="I33" s="6" t="n">
        <v>0.0</v>
      </c>
      <c r="J33" s="6">
        <f si="0" t="shared"/>
        <v>6070.6521256096121</v>
      </c>
      <c r="L33" s="12">
        <v>0.625</v>
      </c>
      <c r="M33" s="9" t="n">
        <v>6707.671464920044</v>
      </c>
      <c r="N33" s="9" t="n">
        <v>3153.028841972351</v>
      </c>
      <c r="O33" s="9" t="n">
        <v>0.0</v>
      </c>
      <c r="P33" s="9" t="n">
        <v>0.0</v>
      </c>
      <c r="Q33" s="9" t="n">
        <v>1805.1270580291748</v>
      </c>
      <c r="R33" s="9" t="n">
        <v>174.83056735992432</v>
      </c>
      <c r="S33" s="9" t="n">
        <v>0.0</v>
      </c>
      <c r="T33" s="9" t="n">
        <v>0.0</v>
      </c>
      <c r="U33">
        <f si="1" t="shared"/>
        <v>4767.7695274353027</v>
      </c>
    </row>
    <row r="34" spans="1:21" x14ac:dyDescent="0.25">
      <c r="A34" s="12">
        <v>0.64583333333333337</v>
      </c>
      <c r="B34" s="6" t="n">
        <v>7879.383802316952</v>
      </c>
      <c r="C34" s="6" t="n">
        <v>3302.644808633137</v>
      </c>
      <c r="D34" s="6" t="n">
        <v>224.7637323945999</v>
      </c>
      <c r="E34" s="6" t="n">
        <v>646.0221667562486</v>
      </c>
      <c r="F34" s="6" t="n">
        <v>476.3901056128502</v>
      </c>
      <c r="G34" s="6" t="n">
        <v>95.17331034851074</v>
      </c>
      <c r="H34" s="6" t="n">
        <v>72.73269406127929</v>
      </c>
      <c r="I34" s="6" t="n">
        <v>0.0</v>
      </c>
      <c r="J34" s="6">
        <f si="0" t="shared"/>
        <v>5348.6820908210875</v>
      </c>
      <c r="L34" s="12">
        <v>0.64583333333333337</v>
      </c>
      <c r="M34" s="9" t="n">
        <v>6025.410048484802</v>
      </c>
      <c r="N34" s="9" t="n">
        <v>3029.2157764434814</v>
      </c>
      <c r="O34" s="9" t="n">
        <v>0.0</v>
      </c>
      <c r="P34" s="9" t="n">
        <v>0.0</v>
      </c>
      <c r="Q34" s="9" t="n">
        <v>1768.4224729537964</v>
      </c>
      <c r="R34" s="9" t="n">
        <v>182.41649341583252</v>
      </c>
      <c r="S34" s="9" t="n">
        <v>0.0</v>
      </c>
      <c r="T34" s="9" t="n">
        <v>0.0</v>
      </c>
      <c r="U34">
        <f si="1" t="shared"/>
        <v>4350.3861980438232</v>
      </c>
    </row>
    <row r="35" spans="1:21" x14ac:dyDescent="0.25">
      <c r="A35" s="12">
        <v>0.66666666666666663</v>
      </c>
      <c r="B35" s="6" t="n">
        <v>6415.973331032943</v>
      </c>
      <c r="C35" s="6" t="n">
        <v>3133.6238700303074</v>
      </c>
      <c r="D35" s="6" t="n">
        <v>203.73178414640427</v>
      </c>
      <c r="E35" s="6" t="n">
        <v>644.9129257226945</v>
      </c>
      <c r="F35" s="6" t="n">
        <v>455.40505248861314</v>
      </c>
      <c r="G35" s="6" t="n">
        <v>80.79239935626983</v>
      </c>
      <c r="H35" s="6" t="n">
        <v>122.01565207099915</v>
      </c>
      <c r="I35" s="6" t="n">
        <v>0.0</v>
      </c>
      <c r="J35" s="6">
        <f si="0" t="shared"/>
        <v>4713.6546500927379</v>
      </c>
      <c r="L35" s="12">
        <v>0.66666666666666663</v>
      </c>
      <c r="M35" s="9" t="n">
        <v>5500.153040885925</v>
      </c>
      <c r="N35" s="9" t="n">
        <v>2885.6132020950317</v>
      </c>
      <c r="O35" s="9" t="n">
        <v>0.0</v>
      </c>
      <c r="P35" s="9" t="n">
        <v>0.0</v>
      </c>
      <c r="Q35" s="9" t="n">
        <v>1718.035478591919</v>
      </c>
      <c r="R35" s="9" t="n">
        <v>187.8821153640747</v>
      </c>
      <c r="S35" s="9" t="n">
        <v>0.0</v>
      </c>
      <c r="T35" s="9" t="n">
        <v>0.0</v>
      </c>
      <c r="U35">
        <f si="1" t="shared"/>
        <v>3944.1219577789307</v>
      </c>
    </row>
    <row r="36" spans="1:21" x14ac:dyDescent="0.25">
      <c r="A36" s="12">
        <v>0.6875</v>
      </c>
      <c r="B36" s="6" t="n">
        <v>5042.1511090261465</v>
      </c>
      <c r="C36" s="6" t="n">
        <v>2874.3699173254963</v>
      </c>
      <c r="D36" s="6" t="n">
        <v>193.25687585115435</v>
      </c>
      <c r="E36" s="6" t="n">
        <v>654.140182584858</v>
      </c>
      <c r="F36" s="6" t="n">
        <v>437.1840228265762</v>
      </c>
      <c r="G36" s="6" t="n">
        <v>68.84279322280884</v>
      </c>
      <c r="H36" s="6" t="n">
        <v>169.9732965164185</v>
      </c>
      <c r="I36" s="6" t="n">
        <v>0.0</v>
      </c>
      <c r="J36" s="6">
        <f si="0" t="shared"/>
        <v>4176.2963368040746</v>
      </c>
      <c r="L36" s="12">
        <v>0.6875</v>
      </c>
      <c r="M36" s="9" t="n">
        <v>5081.293535232544</v>
      </c>
      <c r="N36" s="9" t="n">
        <v>2708.6970777511597</v>
      </c>
      <c r="O36" s="9" t="n">
        <v>0.0</v>
      </c>
      <c r="P36" s="9" t="n">
        <v>0.0</v>
      </c>
      <c r="Q36" s="9" t="n">
        <v>1647.2635164260864</v>
      </c>
      <c r="R36" s="9" t="n">
        <v>190.1932487487793</v>
      </c>
      <c r="S36" s="9" t="n">
        <v>0.0</v>
      </c>
      <c r="T36" s="9" t="n">
        <v>0.0</v>
      </c>
      <c r="U36">
        <f si="1" t="shared"/>
        <v>3576.2466592788696</v>
      </c>
    </row>
    <row r="37" spans="1:21" x14ac:dyDescent="0.25">
      <c r="A37" s="12">
        <v>0.70833333333333337</v>
      </c>
      <c r="B37" s="6" t="n">
        <v>3884.8718897738454</v>
      </c>
      <c r="C37" s="6" t="n">
        <v>2505.9328478225707</v>
      </c>
      <c r="D37" s="6" t="n">
        <v>178.60430905723575</v>
      </c>
      <c r="E37" s="6" t="n">
        <v>639.9234616442682</v>
      </c>
      <c r="F37" s="6" t="n">
        <v>393.66658890886305</v>
      </c>
      <c r="G37" s="6" t="n">
        <v>68.12881803274153</v>
      </c>
      <c r="H37" s="6" t="n">
        <v>198.44569883232117</v>
      </c>
      <c r="I37" s="6" t="n">
        <v>0.0</v>
      </c>
      <c r="J37" s="6">
        <f si="0" t="shared"/>
        <v>3686.6184085273117</v>
      </c>
      <c r="L37" s="12">
        <v>0.70833333333333337</v>
      </c>
      <c r="M37" s="9" t="n">
        <v>4714.1381578445435</v>
      </c>
      <c r="N37" s="9" t="n">
        <v>2489.769519805908</v>
      </c>
      <c r="O37" s="9" t="n">
        <v>0.0</v>
      </c>
      <c r="P37" s="9" t="n">
        <v>0.0</v>
      </c>
      <c r="Q37" s="9" t="n">
        <v>1549.2966861724854</v>
      </c>
      <c r="R37" s="9" t="n">
        <v>187.9306468963623</v>
      </c>
      <c r="S37" s="9" t="n">
        <v>0.0</v>
      </c>
      <c r="T37" s="9" t="n">
        <v>0.0</v>
      </c>
      <c r="U37">
        <f si="1" t="shared"/>
        <v>3249.9787712097168</v>
      </c>
    </row>
    <row r="38" spans="1:21" x14ac:dyDescent="0.25">
      <c r="A38" s="12">
        <v>0.72916666666666663</v>
      </c>
      <c r="B38" s="6" t="n">
        <v>2980.92258562479</v>
      </c>
      <c r="C38" s="6" t="n">
        <v>2052.1607967922205</v>
      </c>
      <c r="D38" s="6" t="n">
        <v>151.73730684785846</v>
      </c>
      <c r="E38" s="6" t="n">
        <v>579.7524606858253</v>
      </c>
      <c r="F38" s="6" t="n">
        <v>324.9430036018372</v>
      </c>
      <c r="G38" s="6" t="n">
        <v>84.36403131752013</v>
      </c>
      <c r="H38" s="6" t="n">
        <v>195.47345799255373</v>
      </c>
      <c r="I38" s="6" t="n">
        <v>0.0</v>
      </c>
      <c r="J38" s="6">
        <f si="0" t="shared"/>
        <v>3180.7919051611666</v>
      </c>
      <c r="L38" s="12">
        <v>0.72916666666666663</v>
      </c>
      <c r="M38" s="9" t="n">
        <v>4337.427616119385</v>
      </c>
      <c r="N38" s="9" t="n">
        <v>2224.116689682007</v>
      </c>
      <c r="O38" s="9" t="n">
        <v>0.0</v>
      </c>
      <c r="P38" s="9" t="n">
        <v>0.0</v>
      </c>
      <c r="Q38" s="9" t="n">
        <v>1418.0983695983887</v>
      </c>
      <c r="R38" s="9" t="n">
        <v>179.59249305725098</v>
      </c>
      <c r="S38" s="9" t="n">
        <v>0.0</v>
      </c>
      <c r="T38" s="9" t="n">
        <v>0.0</v>
      </c>
      <c r="U38">
        <f si="1" t="shared"/>
        <v>2940.487419128418</v>
      </c>
    </row>
    <row r="39" spans="1:21" x14ac:dyDescent="0.25">
      <c r="A39" s="12">
        <v>0.75</v>
      </c>
      <c r="B39" s="6" t="n">
        <v>2299.9333736082076</v>
      </c>
      <c r="C39" s="6" t="n">
        <v>1576.8539059659001</v>
      </c>
      <c r="D39" s="6" t="n">
        <v>114.9547148013115</v>
      </c>
      <c r="E39" s="6" t="n">
        <v>473.54457237920764</v>
      </c>
      <c r="F39" s="6" t="n">
        <v>247.7190847986221</v>
      </c>
      <c r="G39" s="6" t="n">
        <v>114.14779405641556</v>
      </c>
      <c r="H39" s="6" t="n">
        <v>163.1801984539032</v>
      </c>
      <c r="I39" s="6" t="n">
        <v>0.0</v>
      </c>
      <c r="J39" s="6">
        <f si="0" t="shared"/>
        <v>2629.7793620528955</v>
      </c>
      <c r="L39" s="12">
        <v>0.75</v>
      </c>
      <c r="M39" s="9" t="n">
        <v>3899.050877571106</v>
      </c>
      <c r="N39" s="9" t="n">
        <v>1915.2133684158325</v>
      </c>
      <c r="O39" s="9" t="n">
        <v>0.0</v>
      </c>
      <c r="P39" s="9" t="n">
        <v>0.0</v>
      </c>
      <c r="Q39" s="9" t="n">
        <v>1252.9279508590698</v>
      </c>
      <c r="R39" s="9" t="n">
        <v>164.5103359222412</v>
      </c>
      <c r="S39" s="9" t="n">
        <v>0.0</v>
      </c>
      <c r="T39" s="9" t="n">
        <v>0.0</v>
      </c>
      <c r="U39">
        <f si="1" t="shared"/>
        <v>2613.0514230728149</v>
      </c>
    </row>
    <row r="40" spans="1:21" x14ac:dyDescent="0.25">
      <c r="A40" s="12">
        <v>0.77083333333333337</v>
      </c>
      <c r="B40" s="6" t="n">
        <v>1786.6990298919677</v>
      </c>
      <c r="C40" s="6" t="n">
        <v>1151.8328429671287</v>
      </c>
      <c r="D40" s="6" t="n">
        <v>76.64569674367905</v>
      </c>
      <c r="E40" s="6" t="n">
        <v>343.4499366547584</v>
      </c>
      <c r="F40" s="6" t="n">
        <v>178.0857256272316</v>
      </c>
      <c r="G40" s="6" t="n">
        <v>143.45966392669675</v>
      </c>
      <c r="H40" s="6" t="n">
        <v>115.71868054962158</v>
      </c>
      <c r="I40" s="6" t="n">
        <v>0.0</v>
      </c>
      <c r="J40" s="6">
        <f si="0" t="shared"/>
        <v>2055.7494883507743</v>
      </c>
      <c r="L40" s="12">
        <v>0.77083333333333337</v>
      </c>
      <c r="M40" s="9" t="n">
        <v>3382.4765243530273</v>
      </c>
      <c r="N40" s="9" t="n">
        <v>1581.041340827942</v>
      </c>
      <c r="O40" s="9" t="n">
        <v>0.0</v>
      </c>
      <c r="P40" s="9" t="n">
        <v>0.0</v>
      </c>
      <c r="Q40" s="9" t="n">
        <v>1063.6766366958618</v>
      </c>
      <c r="R40" s="9" t="n">
        <v>143.85537433624268</v>
      </c>
      <c r="S40" s="9" t="n">
        <v>0.0</v>
      </c>
      <c r="T40" s="9" t="n">
        <v>0.0</v>
      </c>
      <c r="U40">
        <f si="1" t="shared"/>
        <v>2250.5591297149658</v>
      </c>
    </row>
    <row r="41" spans="1:21" x14ac:dyDescent="0.25">
      <c r="A41" s="12">
        <v>0.79166666666666663</v>
      </c>
      <c r="B41" s="6" t="n">
        <v>1392.0534780272485</v>
      </c>
      <c r="C41" s="6" t="n">
        <v>822.6593926485061</v>
      </c>
      <c r="D41" s="6" t="n">
        <v>44.65552797403336</v>
      </c>
      <c r="E41" s="6" t="n">
        <v>221.51764169158932</v>
      </c>
      <c r="F41" s="6" t="n">
        <v>122.63303336057663</v>
      </c>
      <c r="G41" s="6" t="n">
        <v>155.02374851856231</v>
      </c>
      <c r="H41" s="6" t="n">
        <v>69.6987009601593</v>
      </c>
      <c r="I41" s="6" t="n">
        <v>0.0</v>
      </c>
      <c r="J41" s="6">
        <f si="0" t="shared"/>
        <v>1513.0719766502818</v>
      </c>
      <c r="L41" s="12">
        <v>0.79166666666666663</v>
      </c>
      <c r="M41" s="9" t="n">
        <v>2820.2765045166016</v>
      </c>
      <c r="N41" s="9" t="n">
        <v>1253.900782585144</v>
      </c>
      <c r="O41" s="9" t="n">
        <v>0.0</v>
      </c>
      <c r="P41" s="9" t="n">
        <v>0.0</v>
      </c>
      <c r="Q41" s="9" t="n">
        <v>871.1528844833374</v>
      </c>
      <c r="R41" s="9" t="n">
        <v>120.75756549835205</v>
      </c>
      <c r="S41" s="9" t="n">
        <v>0.0</v>
      </c>
      <c r="T41" s="9" t="n">
        <v>0.0</v>
      </c>
      <c r="U41">
        <f si="1" t="shared"/>
        <v>1867.9503040313721</v>
      </c>
    </row>
    <row r="42" spans="1:21" x14ac:dyDescent="0.25">
      <c r="A42" s="12">
        <v>0.8125</v>
      </c>
      <c r="B42" s="6" t="n">
        <v>1086.9200749213219</v>
      </c>
      <c r="C42" s="6" t="n">
        <v>597.721639922142</v>
      </c>
      <c r="D42" s="6" t="n">
        <v>22.543092340850833</v>
      </c>
      <c r="E42" s="6" t="n">
        <v>133.2336957184791</v>
      </c>
      <c r="F42" s="6" t="n">
        <v>80.58420696134567</v>
      </c>
      <c r="G42" s="6" t="n">
        <v>140.21510869216917</v>
      </c>
      <c r="H42" s="6" t="n">
        <v>35.5295288269043</v>
      </c>
      <c r="I42" s="6" t="n">
        <v>0.0</v>
      </c>
      <c r="J42" s="6">
        <f si="0" t="shared"/>
        <v>1055.2600739727307</v>
      </c>
      <c r="L42" s="12">
        <v>0.8125</v>
      </c>
      <c r="M42" s="9" t="n">
        <v>2276.5895977020264</v>
      </c>
      <c r="N42" s="9" t="n">
        <v>968.7703943252563</v>
      </c>
      <c r="O42" s="9" t="n">
        <v>0.0</v>
      </c>
      <c r="P42" s="9" t="n">
        <v>0.0</v>
      </c>
      <c r="Q42" s="9" t="n">
        <v>699.124924659729</v>
      </c>
      <c r="R42" s="9" t="n">
        <v>99.03505325317383</v>
      </c>
      <c r="S42" s="9" t="n">
        <v>0.0</v>
      </c>
      <c r="T42" s="9" t="n">
        <v>0.0</v>
      </c>
      <c r="U42">
        <f si="1" t="shared"/>
        <v>1501.980260848999</v>
      </c>
    </row>
    <row r="43" spans="1:21" x14ac:dyDescent="0.25">
      <c r="A43" s="12">
        <v>0.83333333333333337</v>
      </c>
      <c r="B43" s="6" t="n">
        <v>861.8372477132797</v>
      </c>
      <c r="C43" s="6" t="n">
        <v>460.2269904047012</v>
      </c>
      <c r="D43" s="6" t="n">
        <v>9.722670867633823</v>
      </c>
      <c r="E43" s="6" t="n">
        <v>87.20166109685897</v>
      </c>
      <c r="F43" s="6" t="n">
        <v>49.48952133750916</v>
      </c>
      <c r="G43" s="6" t="n">
        <v>105.01909803743362</v>
      </c>
      <c r="H43" s="6" t="n">
        <v>15.201217995643617</v>
      </c>
      <c r="I43" s="6" t="n">
        <v>0.0</v>
      </c>
      <c r="J43" s="6">
        <f si="0" t="shared"/>
        <v>710.48056585690972</v>
      </c>
      <c r="L43" s="12">
        <v>0.83333333333333337</v>
      </c>
      <c r="M43" s="9" t="n">
        <v>1808.3596210479736</v>
      </c>
      <c r="N43" s="9" t="n">
        <v>746.8090658187866</v>
      </c>
      <c r="O43" s="9" t="n">
        <v>0.0</v>
      </c>
      <c r="P43" s="9" t="n">
        <v>0.0</v>
      </c>
      <c r="Q43" s="9" t="n">
        <v>562.663031578064</v>
      </c>
      <c r="R43" s="9" t="n">
        <v>81.2916841506958</v>
      </c>
      <c r="S43" s="9" t="n">
        <v>0.0</v>
      </c>
      <c r="T43" s="9" t="n">
        <v>0.0</v>
      </c>
      <c r="U43">
        <f si="1" t="shared"/>
        <v>1186.4059219360352</v>
      </c>
    </row>
    <row r="44" spans="1:21" x14ac:dyDescent="0.25">
      <c r="A44" s="12">
        <v>0.85416666666666663</v>
      </c>
      <c r="B44" s="6" t="n">
        <v>713.4119227874756</v>
      </c>
      <c r="C44" s="6" t="n">
        <v>383.86390768728256</v>
      </c>
      <c r="D44" s="6" t="n">
        <v>3.504342169380189</v>
      </c>
      <c r="E44" s="6" t="n">
        <v>75.05289677000044</v>
      </c>
      <c r="F44" s="6" t="n">
        <v>27.796861084556582</v>
      </c>
      <c r="G44" s="6" t="n">
        <v>64.60669599723816</v>
      </c>
      <c r="H44" s="6" t="n">
        <v>5.376768573760987</v>
      </c>
      <c r="I44" s="6" t="n">
        <v>0.0</v>
      </c>
      <c r="J44" s="6">
        <f si="0" t="shared"/>
        <v>475.52522907775972</v>
      </c>
      <c r="L44" s="12">
        <v>0.85416666666666663</v>
      </c>
      <c r="M44" s="9" t="n">
        <v>1436.2561140060425</v>
      </c>
      <c r="N44" s="9" t="n">
        <v>587.1116361618042</v>
      </c>
      <c r="O44" s="9" t="n">
        <v>0.0</v>
      </c>
      <c r="P44" s="9" t="n">
        <v>0.0</v>
      </c>
      <c r="Q44" s="9" t="n">
        <v>461.9416675567627</v>
      </c>
      <c r="R44" s="9" t="n">
        <v>67.86022472381592</v>
      </c>
      <c r="S44" s="9" t="n">
        <v>0.0</v>
      </c>
      <c r="T44" s="9" t="n">
        <v>0.0</v>
      </c>
      <c r="U44">
        <f si="1" t="shared"/>
        <v>933.90774631500244</v>
      </c>
    </row>
    <row r="45" spans="1:21" x14ac:dyDescent="0.25">
      <c r="A45" s="12">
        <v>0.875</v>
      </c>
      <c r="B45" s="6" t="n">
        <v>626.1995808397294</v>
      </c>
      <c r="C45" s="6" t="n">
        <v>340.0843389813424</v>
      </c>
      <c r="D45" s="6" t="n">
        <v>1.0224207720756535</v>
      </c>
      <c r="E45" s="6" t="n">
        <v>78.85461416988372</v>
      </c>
      <c r="F45" s="6" t="n">
        <v>14.184642508029937</v>
      </c>
      <c r="G45" s="6" t="n">
        <v>32.30146147527695</v>
      </c>
      <c r="H45" s="6" t="n">
        <v>1.5336321325302125</v>
      </c>
      <c r="I45" s="6" t="n">
        <v>0.0</v>
      </c>
      <c r="J45" s="6">
        <f si="0" t="shared"/>
        <v>325.45350693239789</v>
      </c>
      <c r="L45" s="12">
        <v>0.875</v>
      </c>
      <c r="M45" s="9" t="n">
        <v>1145.5830554962158</v>
      </c>
      <c r="N45" s="9" t="n">
        <v>472.71595191955566</v>
      </c>
      <c r="O45" s="9" t="n">
        <v>0.0</v>
      </c>
      <c r="P45" s="9" t="n">
        <v>0.0</v>
      </c>
      <c r="Q45" s="9" t="n">
        <v>386.02379989624023</v>
      </c>
      <c r="R45" s="9" t="n">
        <v>57.332077980041504</v>
      </c>
      <c r="S45" s="9" t="n">
        <v>0.0</v>
      </c>
      <c r="T45" s="9" t="n">
        <v>0.0</v>
      </c>
      <c r="U45">
        <f si="1" t="shared"/>
        <v>736.57991313934326</v>
      </c>
    </row>
    <row r="46" spans="1:21" x14ac:dyDescent="0.25">
      <c r="A46" s="12">
        <v>0.89583333333333337</v>
      </c>
      <c r="B46" s="6" t="n">
        <v>566.6748480567933</v>
      </c>
      <c r="C46" s="6" t="n">
        <v>302.0339830705643</v>
      </c>
      <c r="D46" s="6" t="n">
        <v>0.23076383695602423</v>
      </c>
      <c r="E46" s="6" t="n">
        <v>81.07839973468782</v>
      </c>
      <c r="F46" s="6" t="n">
        <v>6.690223744964599</v>
      </c>
      <c r="G46" s="6" t="n">
        <v>12.920500744628907</v>
      </c>
      <c r="H46" s="6" t="n">
        <v>0.33906766510009767</v>
      </c>
      <c r="I46" s="6" t="n">
        <v>0.0</v>
      </c>
      <c r="J46" s="6">
        <f si="0" t="shared"/>
        <v>229.37143304390716</v>
      </c>
      <c r="L46" s="12">
        <v>0.89583333333333337</v>
      </c>
      <c r="M46" s="9" t="n">
        <v>908.581241607666</v>
      </c>
      <c r="N46" s="9" t="n">
        <v>383.9751024246216</v>
      </c>
      <c r="O46" s="9" t="n">
        <v>0.0</v>
      </c>
      <c r="P46" s="9" t="n">
        <v>0.0</v>
      </c>
      <c r="Q46" s="9" t="n">
        <v>322.14016914367676</v>
      </c>
      <c r="R46" s="9" t="n">
        <v>48.00010395050049</v>
      </c>
      <c r="S46" s="9" t="n">
        <v>0.0</v>
      </c>
      <c r="T46" s="9" t="n">
        <v>0.0</v>
      </c>
      <c r="U46">
        <f si="1" t="shared"/>
        <v>578.75355911254883</v>
      </c>
    </row>
    <row r="47" spans="1:21" x14ac:dyDescent="0.25">
      <c r="A47" s="12">
        <v>0.91666666666666663</v>
      </c>
      <c r="B47" s="6" t="n">
        <v>497.82148578643796</v>
      </c>
      <c r="C47" s="6" t="n">
        <v>252.13639237585068</v>
      </c>
      <c r="D47" s="6" t="n">
        <v>0.03761963977813721</v>
      </c>
      <c r="E47" s="6" t="n">
        <v>72.47522857513428</v>
      </c>
      <c r="F47" s="6" t="n">
        <v>3.027517226219177</v>
      </c>
      <c r="G47" s="6" t="n">
        <v>4.0376564826965335</v>
      </c>
      <c r="H47" s="6" t="n">
        <v>0.05445362071990967</v>
      </c>
      <c r="I47" s="6" t="n">
        <v>0.0</v>
      </c>
      <c r="J47" s="6">
        <f si="0" t="shared"/>
        <v>162.8382167022028</v>
      </c>
      <c r="L47" s="12">
        <v>0.91666666666666663</v>
      </c>
      <c r="M47" s="9" t="n">
        <v>704.8971176147461</v>
      </c>
      <c r="N47" s="9" t="n">
        <v>307.99652099609375</v>
      </c>
      <c r="O47" s="9" t="n">
        <v>0.0</v>
      </c>
      <c r="P47" s="9" t="n">
        <v>0.0</v>
      </c>
      <c r="Q47" s="9" t="n">
        <v>262.51263332366943</v>
      </c>
      <c r="R47" s="9" t="n">
        <v>38.9500617980957</v>
      </c>
      <c r="S47" s="9" t="n">
        <v>0.0</v>
      </c>
      <c r="T47" s="9" t="n">
        <v>0.0</v>
      </c>
      <c r="U47">
        <f si="1" t="shared"/>
        <v>448.18353843688965</v>
      </c>
    </row>
    <row r="48" spans="1:21" x14ac:dyDescent="0.25">
      <c r="A48" s="12">
        <v>0.9375</v>
      </c>
      <c r="B48" s="6" t="n">
        <v>401.6497779868126</v>
      </c>
      <c r="C48" s="6" t="n">
        <v>188.72187426490785</v>
      </c>
      <c r="D48" s="6" t="n">
        <v>0.003925512313842774</v>
      </c>
      <c r="E48" s="6" t="n">
        <v>54.14611546134949</v>
      </c>
      <c r="F48" s="6" t="n">
        <v>1.3546005888938903</v>
      </c>
      <c r="G48" s="6" t="n">
        <v>0.9500368194580079</v>
      </c>
      <c r="H48" s="6" t="n">
        <v>0.005639133453369142</v>
      </c>
      <c r="I48" s="6" t="n">
        <v>0.0</v>
      </c>
      <c r="J48" s="6">
        <f si="0" t="shared"/>
        <v>112.35153926988123</v>
      </c>
      <c r="L48" s="12">
        <v>0.9375</v>
      </c>
      <c r="M48" s="9" t="n">
        <v>527.0935792922974</v>
      </c>
      <c r="N48" s="9" t="n">
        <v>239.68154335021973</v>
      </c>
      <c r="O48" s="9" t="n">
        <v>0.0</v>
      </c>
      <c r="P48" s="9" t="n">
        <v>0.0</v>
      </c>
      <c r="Q48" s="9" t="n">
        <v>205.26276969909668</v>
      </c>
      <c r="R48" s="9" t="n">
        <v>30.183429718017578</v>
      </c>
      <c r="S48" s="9" t="n">
        <v>0.0</v>
      </c>
      <c r="T48" s="9" t="n">
        <v>0.0</v>
      </c>
      <c r="U48">
        <f si="1" t="shared"/>
        <v>338.57840538024902</v>
      </c>
    </row>
    <row r="49" spans="1:21" x14ac:dyDescent="0.25">
      <c r="A49" s="12">
        <v>0.95833333333333337</v>
      </c>
      <c r="B49" s="6" t="n">
        <v>287.59886332788466</v>
      </c>
      <c r="C49" s="6" t="n">
        <v>123.17648468599319</v>
      </c>
      <c r="D49" s="6" t="n">
        <v>1.9627561569213867E-4</v>
      </c>
      <c r="E49" s="6" t="n">
        <v>33.294287924385074</v>
      </c>
      <c r="F49" s="6" t="n">
        <v>0.5911523982048035</v>
      </c>
      <c r="G49" s="6" t="n">
        <v>0.158339469909668</v>
      </c>
      <c r="H49" s="6" t="n">
        <v>2.8195667266845705E-4</v>
      </c>
      <c r="I49" s="6" t="n">
        <v>0.0</v>
      </c>
      <c r="J49" s="6">
        <f si="0" t="shared"/>
        <v>73.083890180054638</v>
      </c>
      <c r="L49" s="12">
        <v>0.95833333333333337</v>
      </c>
      <c r="M49" s="9" t="n">
        <v>375.2907247543335</v>
      </c>
      <c r="N49" s="9" t="n">
        <v>178.23134803771973</v>
      </c>
      <c r="O49" s="9" t="n">
        <v>0.0</v>
      </c>
      <c r="P49" s="9" t="n">
        <v>0.0</v>
      </c>
      <c r="Q49" s="9" t="n">
        <v>151.8326072692871</v>
      </c>
      <c r="R49" s="9" t="n">
        <v>22.12393856048584</v>
      </c>
      <c r="S49" s="9" t="n">
        <v>0.0</v>
      </c>
      <c r="T49" s="9" t="n">
        <v>0.0</v>
      </c>
      <c r="U49">
        <f si="1" t="shared"/>
        <v>246.78794193267822</v>
      </c>
    </row>
    <row r="50" spans="1:21" x14ac:dyDescent="0.25">
      <c r="A50" s="12">
        <v>0.97916666666666663</v>
      </c>
      <c r="B50" s="6" t="n">
        <v>179.89403793172838</v>
      </c>
      <c r="C50" s="6" t="n">
        <v>69.04620360059738</v>
      </c>
      <c r="D50" s="6" t="n">
        <v>0.0</v>
      </c>
      <c r="E50" s="6" t="n">
        <v>16.64497687892914</v>
      </c>
      <c r="F50" s="6" t="n">
        <v>0.23808880996704102</v>
      </c>
      <c r="G50" s="6" t="n">
        <v>0.016667312622070312</v>
      </c>
      <c r="H50" s="6" t="n">
        <v>0.0</v>
      </c>
      <c r="I50" s="6" t="n">
        <v>0.0</v>
      </c>
      <c r="J50" s="6">
        <f si="0" t="shared"/>
        <v>44.037526421090107</v>
      </c>
      <c r="L50" s="12">
        <v>0.97916666666666663</v>
      </c>
      <c r="M50" s="9" t="n">
        <v>251.02989673614502</v>
      </c>
      <c r="N50" s="9" t="n">
        <v>124.38515377044678</v>
      </c>
      <c r="O50" s="9" t="n">
        <v>0.0</v>
      </c>
      <c r="P50" s="9" t="n">
        <v>0.0</v>
      </c>
      <c r="Q50" s="9" t="n">
        <v>104.60184097290039</v>
      </c>
      <c r="R50" s="9" t="n">
        <v>15.170628547668457</v>
      </c>
      <c r="S50" s="9" t="n">
        <v>0.0</v>
      </c>
      <c r="T50" s="9" t="n">
        <v>0.0</v>
      </c>
      <c r="U50">
        <f si="1" t="shared"/>
        <v>170.6907844543457</v>
      </c>
    </row>
    <row r="51" spans="1:21" x14ac:dyDescent="0.25">
      <c r="A51" s="12">
        <v>1</v>
      </c>
      <c r="B51" s="6" t="n">
        <v>97.91932971763612</v>
      </c>
      <c r="C51" s="6" t="n">
        <v>32.928740052509305</v>
      </c>
      <c r="D51" s="6" t="n">
        <v>0.0</v>
      </c>
      <c r="E51" s="6" t="n">
        <v>6.6579035430908196</v>
      </c>
      <c r="F51" s="6" t="n">
        <v>0.08304286861419677</v>
      </c>
      <c r="G51" s="6" t="n">
        <v>8.333656311035157E-4</v>
      </c>
      <c r="H51" s="6" t="n">
        <v>0.0</v>
      </c>
      <c r="I51" s="6" t="n">
        <v>0.0</v>
      </c>
      <c r="J51" s="6">
        <f si="0" t="shared"/>
        <v>24.382380048436158</v>
      </c>
      <c r="L51" s="12">
        <v>1</v>
      </c>
      <c r="M51" s="9" t="n">
        <v>154.90142822265625</v>
      </c>
      <c r="N51" s="9" t="n">
        <v>79.61369323730469</v>
      </c>
      <c r="O51" s="9" t="n">
        <v>0.0</v>
      </c>
      <c r="P51" s="9" t="n">
        <v>0.0</v>
      </c>
      <c r="Q51" s="9" t="n">
        <v>65.82419300079346</v>
      </c>
      <c r="R51" s="9" t="n">
        <v>9.567632675170898</v>
      </c>
      <c r="S51" s="9" t="n">
        <v>0.0</v>
      </c>
      <c r="T51" s="9" t="n">
        <v>0.0</v>
      </c>
      <c r="U51">
        <f si="1" t="shared"/>
        <v>109.34796619415283</v>
      </c>
    </row>
    <row r="52" spans="1:21" x14ac:dyDescent="0.25">
      <c r="A52" s="12">
        <v>1.0208333333333333</v>
      </c>
      <c r="B52" s="6" t="n">
        <v>46.53681159114838</v>
      </c>
      <c r="C52" s="6" t="n">
        <v>13.243684243106841</v>
      </c>
      <c r="D52" s="6" t="n">
        <v>0.0</v>
      </c>
      <c r="E52" s="6" t="n">
        <v>2.0805948572158814</v>
      </c>
      <c r="F52" s="6" t="n">
        <v>0.023743114471435546</v>
      </c>
      <c r="G52" s="6" t="n">
        <v>0.0</v>
      </c>
      <c r="H52" s="6" t="n">
        <v>0.0</v>
      </c>
      <c r="I52" s="6" t="n">
        <v>0.0</v>
      </c>
      <c r="J52" s="6">
        <f si="0" t="shared"/>
        <v>12.325030123533246</v>
      </c>
      <c r="L52" s="12">
        <v>1.0208333333333333</v>
      </c>
      <c r="M52" s="9" t="n">
        <v>86.1602201461792</v>
      </c>
      <c r="N52" s="9" t="n">
        <v>45.53300762176514</v>
      </c>
      <c r="O52" s="9" t="n">
        <v>0.0</v>
      </c>
      <c r="P52" s="9" t="n">
        <v>0.0</v>
      </c>
      <c r="Q52" s="9" t="n">
        <v>36.99099540710449</v>
      </c>
      <c r="R52" s="9" t="n">
        <v>5.423811912536621</v>
      </c>
      <c r="S52" s="9" t="n">
        <v>0.0</v>
      </c>
      <c r="T52" s="9" t="n">
        <v>0.0</v>
      </c>
      <c r="U52">
        <f si="1" t="shared"/>
        <v>63.041157722473145</v>
      </c>
    </row>
    <row r="53" spans="1:21" x14ac:dyDescent="0.25">
      <c r="A53" s="12">
        <v>4.1666666666666664E-2</v>
      </c>
      <c r="B53" s="6" t="n">
        <v>19.425108483886717</v>
      </c>
      <c r="C53" s="6" t="n">
        <v>4.434838808059693</v>
      </c>
      <c r="D53" s="6" t="n">
        <v>0.0</v>
      </c>
      <c r="E53" s="6" t="n">
        <v>0.48955173110961914</v>
      </c>
      <c r="F53" s="6" t="n">
        <v>0.0052778635025024405</v>
      </c>
      <c r="G53" s="6" t="n">
        <v>0.0</v>
      </c>
      <c r="H53" s="6" t="n">
        <v>0.0</v>
      </c>
      <c r="I53" s="6" t="n">
        <v>0.0</v>
      </c>
      <c r="J53" s="6">
        <f si="0" t="shared"/>
        <v>5.6141208401012408</v>
      </c>
      <c r="L53" s="12">
        <v>4.1666666666666664E-2</v>
      </c>
      <c r="M53" s="9" t="n">
        <v>42.087045669555664</v>
      </c>
      <c r="N53" s="9" t="n">
        <v>22.662861824035645</v>
      </c>
      <c r="O53" s="9" t="n">
        <v>0.0</v>
      </c>
      <c r="P53" s="9" t="n">
        <v>0.0</v>
      </c>
      <c r="Q53" s="9" t="n">
        <v>18.122979164123535</v>
      </c>
      <c r="R53" s="9" t="n">
        <v>2.6924171447753906</v>
      </c>
      <c r="S53" s="9" t="n">
        <v>0.0</v>
      </c>
      <c r="T53" s="9" t="n">
        <v>0.0</v>
      </c>
      <c r="U53">
        <f si="1" t="shared"/>
        <v>31.760730743408203</v>
      </c>
    </row>
    <row r="54" spans="1:21" x14ac:dyDescent="0.25">
      <c r="A54" s="12">
        <v>6.25E-2</v>
      </c>
      <c r="B54" s="6" t="n">
        <v>7.133005420684814</v>
      </c>
      <c r="C54" s="6" t="n">
        <v>1.2097619132995605</v>
      </c>
      <c r="D54" s="6" t="n">
        <v>0.0</v>
      </c>
      <c r="E54" s="6" t="n">
        <v>0.08159195518493652</v>
      </c>
      <c r="F54" s="6" t="n">
        <v>8.512115478515624E-4</v>
      </c>
      <c r="G54" s="6" t="n">
        <v>0.0</v>
      </c>
      <c r="H54" s="6" t="n">
        <v>0.0</v>
      </c>
      <c r="I54" s="6" t="n">
        <v>0.0</v>
      </c>
      <c r="J54" s="6">
        <f si="0" t="shared"/>
        <v>2.2494468841600419</v>
      </c>
      <c r="L54" s="12">
        <v>6.25E-2</v>
      </c>
      <c r="M54" s="9" t="n">
        <v>17.56509780883789</v>
      </c>
      <c r="N54" s="9" t="n">
        <v>9.564373016357422</v>
      </c>
      <c r="O54" s="9" t="n">
        <v>0.0</v>
      </c>
      <c r="P54" s="9" t="n">
        <v>0.0</v>
      </c>
      <c r="Q54" s="9" t="n">
        <v>7.550359725952148</v>
      </c>
      <c r="R54" s="9" t="n">
        <v>1.1387529373168945</v>
      </c>
      <c r="S54" s="9" t="n">
        <v>0.0</v>
      </c>
      <c r="T54" s="9" t="n">
        <v>0.0</v>
      </c>
      <c r="U54">
        <f si="1" t="shared"/>
        <v>13.592057228088379</v>
      </c>
    </row>
    <row r="55" spans="1:21" x14ac:dyDescent="0.25">
      <c r="A55" s="12">
        <v>8.3333333333333329E-2</v>
      </c>
      <c r="B55" s="6" t="n">
        <v>2.278366462898254</v>
      </c>
      <c r="C55" s="6" t="n">
        <v>0.2589370622634888</v>
      </c>
      <c r="D55" s="6" t="n">
        <v>0.0</v>
      </c>
      <c r="E55" s="6" t="n">
        <v>0.008588626861572265</v>
      </c>
      <c r="F55" s="6" t="n">
        <v>8.834838867187497E-5</v>
      </c>
      <c r="G55" s="6" t="n">
        <v>0.0</v>
      </c>
      <c r="H55" s="6" t="n">
        <v>0.0</v>
      </c>
      <c r="I55" s="6" t="n">
        <v>0.0</v>
      </c>
      <c r="J55" s="6">
        <f si="0" t="shared"/>
        <v>0.76592424041461937</v>
      </c>
      <c r="L55" s="12">
        <v>8.3333333333333329E-2</v>
      </c>
      <c r="M55" s="9" t="n">
        <v>6.082920074462891</v>
      </c>
      <c r="N55" s="9" t="n">
        <v>3.330923080444336</v>
      </c>
      <c r="O55" s="9" t="n">
        <v>0.0</v>
      </c>
      <c r="P55" s="9" t="n">
        <v>0.0</v>
      </c>
      <c r="Q55" s="9" t="n">
        <v>2.6037635803222656</v>
      </c>
      <c r="R55" s="9" t="n">
        <v>0.3986635208129883</v>
      </c>
      <c r="S55" s="9" t="n">
        <v>0.0</v>
      </c>
      <c r="T55" s="9" t="n">
        <v>0.0</v>
      </c>
      <c r="U55">
        <f si="1" t="shared"/>
        <v>4.8010845184326172</v>
      </c>
    </row>
    <row r="56" spans="1:21" x14ac:dyDescent="0.25">
      <c r="A56" s="12">
        <v>0.10416666666666667</v>
      </c>
      <c r="B56" s="6" t="n">
        <v>0.6137757322311401</v>
      </c>
      <c r="C56" s="6" t="n">
        <v>0.04076675300598145</v>
      </c>
      <c r="D56" s="6" t="n">
        <v>0.0</v>
      </c>
      <c r="E56" s="6" t="n">
        <v>4.294313430786133E-4</v>
      </c>
      <c r="F56" s="6" t="n">
        <v>4.41741943359375E-6</v>
      </c>
      <c r="G56" s="6" t="n">
        <v>0.0</v>
      </c>
      <c r="H56" s="6" t="n">
        <v>0.0</v>
      </c>
      <c r="I56" s="6" t="n">
        <v>0.0</v>
      </c>
      <c r="J56" s="6">
        <f si="0" t="shared"/>
        <v>0.21232097869110106</v>
      </c>
      <c r="L56" s="12">
        <v>0.10416666666666667</v>
      </c>
      <c r="M56" s="9" t="n">
        <v>1.6896886825561523</v>
      </c>
      <c r="N56" s="9" t="n">
        <v>0.9272308349609375</v>
      </c>
      <c r="O56" s="9" t="n">
        <v>0.0</v>
      </c>
      <c r="P56" s="9" t="n">
        <v>0.0</v>
      </c>
      <c r="Q56" s="9" t="n">
        <v>0.7196826934814453</v>
      </c>
      <c r="R56" s="9" t="n">
        <v>0.11172199249267578</v>
      </c>
      <c r="S56" s="9" t="n">
        <v>0.0</v>
      </c>
      <c r="T56" s="9" t="n">
        <v>0.0</v>
      </c>
      <c r="U56">
        <f si="1" t="shared"/>
        <v>1.3545589447021484</v>
      </c>
    </row>
    <row r="57" spans="1:21" x14ac:dyDescent="0.25">
      <c r="A57" s="12">
        <v>0.125</v>
      </c>
      <c r="B57" s="6" t="n">
        <v>0.1302007409095764</v>
      </c>
      <c r="C57" s="6" t="n">
        <v>0.004185043334960938</v>
      </c>
      <c r="D57" s="6" t="n">
        <v>0.0</v>
      </c>
      <c r="E57" s="6" t="n">
        <v>0.0</v>
      </c>
      <c r="F57" s="6" t="n">
        <v>0.0</v>
      </c>
      <c r="G57" s="6" t="n">
        <v>0.0</v>
      </c>
      <c r="H57" s="6" t="n">
        <v>0.0</v>
      </c>
      <c r="I57" s="6" t="n">
        <v>0.0</v>
      </c>
      <c r="J57" s="6">
        <f si="0" t="shared"/>
        <v>4.4800583611488337E-2</v>
      </c>
      <c r="L57" s="12">
        <v>0.125</v>
      </c>
      <c r="M57" s="9" t="n">
        <v>0.3550262451171875</v>
      </c>
      <c r="N57" s="9" t="n">
        <v>0.19487857818603516</v>
      </c>
      <c r="O57" s="9" t="n">
        <v>0.0</v>
      </c>
      <c r="P57" s="9" t="n">
        <v>0.0</v>
      </c>
      <c r="Q57" s="9" t="n">
        <v>0.15053176879882812</v>
      </c>
      <c r="R57" s="9" t="n">
        <v>0.023641586303710938</v>
      </c>
      <c r="S57" s="9" t="n">
        <v>0.0</v>
      </c>
      <c r="T57" s="9" t="n">
        <v>0.0</v>
      </c>
      <c r="U57">
        <f si="1" t="shared"/>
        <v>0.28810977935791016</v>
      </c>
    </row>
    <row ht="15.75" r="58" spans="1:21" thickBot="1" x14ac:dyDescent="0.3">
      <c r="A58" s="13" t="s">
        <v>6</v>
      </c>
      <c r="B58" s="7" t="n">
        <v>0.0</v>
      </c>
      <c r="C58" s="7" t="n">
        <v>0.0</v>
      </c>
      <c r="D58" s="7" t="n">
        <v>0.0</v>
      </c>
      <c r="E58" s="7" t="n">
        <v>0.0</v>
      </c>
      <c r="F58" s="7" t="n">
        <v>0.0</v>
      </c>
      <c r="G58" s="7" t="n">
        <v>0.0</v>
      </c>
      <c r="H58" s="7" t="n">
        <v>0.0</v>
      </c>
      <c r="I58" s="7" t="n">
        <v>0.0</v>
      </c>
      <c r="J58" s="7">
        <f si="0" t="shared"/>
        <v>0</v>
      </c>
      <c r="L58" s="13" t="s">
        <v>6</v>
      </c>
      <c r="M58" s="10" t="n">
        <v>0.0</v>
      </c>
      <c r="N58" s="10" t="n">
        <v>0.0</v>
      </c>
      <c r="O58" s="10" t="n">
        <v>0.0</v>
      </c>
      <c r="P58" s="10" t="n">
        <v>0.0</v>
      </c>
      <c r="Q58" s="10" t="n">
        <v>0.0</v>
      </c>
      <c r="R58" s="10" t="n">
        <v>0.0</v>
      </c>
      <c r="S58" s="10" t="n">
        <v>0.0</v>
      </c>
      <c r="T58" s="10" t="n">
        <v>0.0</v>
      </c>
      <c r="U58" s="1">
        <f si="1" t="shared"/>
        <v>0</v>
      </c>
    </row>
  </sheetData>
  <pageMargins bottom="0.75" footer="0.3" header="0.3" left="0.7" right="0.7" top="0.75"/>
  <pageSetup orientation="portrait" r:id="rId1"/>
  <drawing r:id="rId2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5"/>
  <dimension ref="A1:Z58"/>
  <sheetViews>
    <sheetView topLeftCell="L1" workbookViewId="0">
      <selection activeCell="T5" sqref="T5"/>
    </sheetView>
  </sheetViews>
  <sheetFormatPr defaultRowHeight="15" x14ac:dyDescent="0.25"/>
  <cols>
    <col min="1" max="1" customWidth="true" width="12.7109375" collapsed="true"/>
    <col min="2" max="10" customWidth="true" width="10.7109375" collapsed="true"/>
    <col min="11" max="11" customWidth="true" width="6.42578125" collapsed="true"/>
    <col min="12" max="12" customWidth="true" width="12.7109375" collapsed="true"/>
    <col min="13" max="21" customWidth="true" width="10.7109375" collapsed="true"/>
  </cols>
  <sheetData>
    <row r="1" spans="1:26" x14ac:dyDescent="0.25">
      <c r="A1" t="s">
        <v>32</v>
      </c>
    </row>
    <row r="2" spans="1:26" x14ac:dyDescent="0.25">
      <c r="A2" t="s">
        <v>46</v>
      </c>
    </row>
    <row r="3" spans="1:26" x14ac:dyDescent="0.25">
      <c r="A3" t="s">
        <v>7</v>
      </c>
    </row>
    <row r="4" spans="1:26" x14ac:dyDescent="0.25">
      <c r="A4" t="s">
        <v>8</v>
      </c>
    </row>
    <row r="5" spans="1:26" x14ac:dyDescent="0.25">
      <c r="W5" s="5"/>
      <c r="X5" s="5"/>
      <c r="Y5" s="5"/>
      <c r="Z5" s="5"/>
    </row>
    <row ht="15.75" r="6" spans="1:26" thickBot="1" x14ac:dyDescent="0.3">
      <c r="A6" s="3" t="s">
        <v>52</v>
      </c>
      <c r="B6" s="1"/>
      <c r="C6" s="1"/>
      <c r="D6" s="1"/>
      <c r="E6" s="1"/>
      <c r="F6" s="1"/>
      <c r="G6" s="1"/>
      <c r="H6" s="1"/>
      <c r="I6" s="1"/>
      <c r="J6" s="1"/>
      <c r="L6" s="3" t="s">
        <v>27</v>
      </c>
      <c r="M6" s="1"/>
      <c r="N6" s="1"/>
      <c r="O6" s="1"/>
      <c r="P6" s="1"/>
      <c r="Q6" s="1"/>
      <c r="R6" s="1"/>
      <c r="S6" s="1"/>
      <c r="T6" s="1"/>
      <c r="U6" s="1"/>
      <c r="W6" s="11"/>
      <c r="X6" s="5"/>
      <c r="Y6" s="5"/>
      <c r="Z6" s="5"/>
    </row>
    <row r="7" spans="1:26" x14ac:dyDescent="0.25">
      <c r="A7" s="2" t="s">
        <v>4</v>
      </c>
      <c r="B7" s="4" t="s">
        <v>17</v>
      </c>
      <c r="C7" s="4" t="s">
        <v>18</v>
      </c>
      <c r="D7" s="4" t="s">
        <v>19</v>
      </c>
      <c r="E7" s="4" t="s">
        <v>20</v>
      </c>
      <c r="F7" s="4" t="s">
        <v>21</v>
      </c>
      <c r="G7" s="4" t="s">
        <v>24</v>
      </c>
      <c r="H7" s="4" t="s">
        <v>22</v>
      </c>
      <c r="I7" s="4" t="s">
        <v>23</v>
      </c>
      <c r="J7" s="4" t="s">
        <v>0</v>
      </c>
      <c r="L7" s="2" t="s">
        <v>4</v>
      </c>
      <c r="M7" s="4" t="s">
        <v>17</v>
      </c>
      <c r="N7" s="4" t="s">
        <v>18</v>
      </c>
      <c r="O7" s="4" t="s">
        <v>19</v>
      </c>
      <c r="P7" s="4" t="s">
        <v>20</v>
      </c>
      <c r="Q7" s="4" t="s">
        <v>21</v>
      </c>
      <c r="R7" s="4" t="s">
        <v>24</v>
      </c>
      <c r="S7" s="4" t="s">
        <v>22</v>
      </c>
      <c r="T7" s="4" t="s">
        <v>23</v>
      </c>
      <c r="U7" s="4" t="s">
        <v>0</v>
      </c>
      <c r="W7" s="5"/>
      <c r="X7" s="14"/>
      <c r="Y7" s="14"/>
      <c r="Z7" s="5"/>
    </row>
    <row r="8" spans="1:26" x14ac:dyDescent="0.25">
      <c r="A8" t="s">
        <v>5</v>
      </c>
      <c r="B8" s="6" t="n">
        <v>0.0</v>
      </c>
      <c r="C8" s="6" t="n">
        <v>0.0</v>
      </c>
      <c r="D8" s="6" t="n">
        <v>0.0</v>
      </c>
      <c r="E8" s="6" t="n">
        <v>0.0</v>
      </c>
      <c r="F8" s="6" t="n">
        <v>0.0</v>
      </c>
      <c r="G8" s="6" t="n">
        <v>0.0</v>
      </c>
      <c r="H8" s="6" t="n">
        <v>0.0</v>
      </c>
      <c r="I8" s="6" t="n">
        <v>0.0</v>
      </c>
      <c r="J8" s="6">
        <f>SUM(B8:I8)</f>
        <v>0</v>
      </c>
      <c r="L8" t="s">
        <v>5</v>
      </c>
      <c r="M8" s="9" t="n">
        <v>6.0</v>
      </c>
      <c r="N8" s="9" t="n">
        <v>0.0</v>
      </c>
      <c r="O8" s="9" t="n">
        <v>0.0</v>
      </c>
      <c r="P8" s="9" t="n">
        <v>0.0</v>
      </c>
      <c r="Q8" s="9" t="n">
        <v>7.0</v>
      </c>
      <c r="R8" s="9" t="n">
        <v>0.0</v>
      </c>
      <c r="S8" s="9" t="n">
        <v>0.0</v>
      </c>
      <c r="T8" s="9" t="n">
        <v>0.0</v>
      </c>
      <c r="U8">
        <f>SUM(M8:T8)</f>
        <v>2</v>
      </c>
      <c r="W8" s="5"/>
      <c r="X8" s="16"/>
      <c r="Y8" s="16"/>
      <c r="Z8" s="5"/>
    </row>
    <row r="9" spans="1:26" x14ac:dyDescent="0.25">
      <c r="A9" s="12">
        <v>0.125</v>
      </c>
      <c r="B9" s="6" t="n">
        <v>1.901590347290039E-4</v>
      </c>
      <c r="C9" s="6" t="n">
        <v>3.4793657879829407</v>
      </c>
      <c r="D9" s="6" t="n">
        <v>0.0</v>
      </c>
      <c r="E9" s="6" t="n">
        <v>1.8257994615554811</v>
      </c>
      <c r="F9" s="6" t="n">
        <v>5.273261874771119</v>
      </c>
      <c r="G9" s="6" t="n">
        <v>15.069812956142426</v>
      </c>
      <c r="H9" s="6" t="n">
        <v>51.36231292009353</v>
      </c>
      <c r="I9" s="6" t="n">
        <v>0.0</v>
      </c>
      <c r="J9" s="6">
        <f ref="J9:J58" si="0" t="shared">SUM(B9:I9)</f>
        <v>37.456459952220918</v>
      </c>
      <c r="L9" s="12">
        <v>0.125</v>
      </c>
      <c r="M9" s="9" t="n">
        <v>8.162911415100098</v>
      </c>
      <c r="N9" s="9" t="n">
        <v>0.0</v>
      </c>
      <c r="O9" s="9" t="n">
        <v>0.0</v>
      </c>
      <c r="P9" s="9" t="n">
        <v>0.0</v>
      </c>
      <c r="Q9" s="9" t="n">
        <v>16.34173583984375</v>
      </c>
      <c r="R9" s="9" t="n">
        <v>19.182957649230957</v>
      </c>
      <c r="S9" s="9" t="n">
        <v>33.32521343231201</v>
      </c>
      <c r="T9" s="9" t="n">
        <v>0.0</v>
      </c>
      <c r="U9">
        <f ref="U9:U58" si="1" t="shared">SUM(M9:T9)</f>
        <v>31.237634658813477</v>
      </c>
      <c r="W9" s="5"/>
      <c r="X9" s="16"/>
      <c r="Y9" s="16"/>
      <c r="Z9" s="5"/>
    </row>
    <row r="10" spans="1:26" x14ac:dyDescent="0.25">
      <c r="A10" s="12">
        <v>0.14583333333333334</v>
      </c>
      <c r="B10" s="6" t="n">
        <v>0.004249014377593993</v>
      </c>
      <c r="C10" s="6" t="n">
        <v>16.821535507392888</v>
      </c>
      <c r="D10" s="6" t="n">
        <v>0.0</v>
      </c>
      <c r="E10" s="6" t="n">
        <v>10.456964677333831</v>
      </c>
      <c r="F10" s="6" t="n">
        <v>10.480165403747561</v>
      </c>
      <c r="G10" s="6" t="n">
        <v>65.67100949048995</v>
      </c>
      <c r="H10" s="6" t="n">
        <v>155.06110315036773</v>
      </c>
      <c r="I10" s="6" t="n">
        <v>0.0</v>
      </c>
      <c r="J10" s="6">
        <f si="0" t="shared"/>
        <v>177.29719883773518</v>
      </c>
      <c r="L10" s="12">
        <v>0.14583333333333334</v>
      </c>
      <c r="M10" s="9" t="n">
        <v>10.461079597473145</v>
      </c>
      <c r="N10" s="9" t="n">
        <v>0.0</v>
      </c>
      <c r="O10" s="9" t="n">
        <v>0.0</v>
      </c>
      <c r="P10" s="9" t="n">
        <v>0.0</v>
      </c>
      <c r="Q10" s="9" t="n">
        <v>28.37782382965088</v>
      </c>
      <c r="R10" s="9" t="n">
        <v>81.29467678070068</v>
      </c>
      <c r="S10" s="9" t="n">
        <v>156.37322616577148</v>
      </c>
      <c r="T10" s="9" t="n">
        <v>0.0</v>
      </c>
      <c r="U10">
        <f si="1" t="shared"/>
        <v>133.96175956726074</v>
      </c>
      <c r="W10" s="5"/>
      <c r="X10" s="16"/>
      <c r="Y10" s="16"/>
      <c r="Z10" s="5"/>
    </row>
    <row r="11" spans="1:26" x14ac:dyDescent="0.25">
      <c r="A11" s="12">
        <v>0.16666666666666666</v>
      </c>
      <c r="B11" s="6" t="n">
        <v>0.04555399160385132</v>
      </c>
      <c r="C11" s="6" t="n">
        <v>61.23064551916124</v>
      </c>
      <c r="D11" s="6" t="n">
        <v>0.0</v>
      </c>
      <c r="E11" s="6" t="n">
        <v>44.268488869190215</v>
      </c>
      <c r="F11" s="6" t="n">
        <v>19.060551490497595</v>
      </c>
      <c r="G11" s="6" t="n">
        <v>226.75170460023878</v>
      </c>
      <c r="H11" s="6" t="n">
        <v>481.85329555282595</v>
      </c>
      <c r="I11" s="6" t="n">
        <v>0.0</v>
      </c>
      <c r="J11" s="6">
        <f si="0" t="shared"/>
        <v>651.70538515727617</v>
      </c>
      <c r="L11" s="12">
        <v>0.16666666666666666</v>
      </c>
      <c r="M11" s="9" t="n">
        <v>16.49226665496826</v>
      </c>
      <c r="N11" s="9" t="n">
        <v>0.0</v>
      </c>
      <c r="O11" s="9" t="n">
        <v>0.0</v>
      </c>
      <c r="P11" s="9" t="n">
        <v>0.0</v>
      </c>
      <c r="Q11" s="9" t="n">
        <v>59.456119537353516</v>
      </c>
      <c r="R11" s="9" t="n">
        <v>282.55599880218506</v>
      </c>
      <c r="S11" s="9" t="n">
        <v>589.3022108078003</v>
      </c>
      <c r="T11" s="9" t="n">
        <v>0.0</v>
      </c>
      <c r="U11">
        <f si="1" t="shared"/>
        <v>480.32581806182861</v>
      </c>
      <c r="W11" s="5"/>
      <c r="X11" s="16"/>
      <c r="Y11" s="16"/>
      <c r="Z11" s="5"/>
    </row>
    <row r="12" spans="1:26" x14ac:dyDescent="0.25">
      <c r="A12" s="12">
        <v>0.1875</v>
      </c>
      <c r="B12" s="6" t="n">
        <v>0.31163172626495356</v>
      </c>
      <c r="C12" s="6" t="n">
        <v>177.0467789655686</v>
      </c>
      <c r="D12" s="6" t="n">
        <v>3.56658935546875E-4</v>
      </c>
      <c r="E12" s="6" t="n">
        <v>146.07782728338242</v>
      </c>
      <c r="F12" s="6" t="n">
        <v>42.79777605323792</v>
      </c>
      <c r="G12" s="6" t="n">
        <v>645.087289337635</v>
      </c>
      <c r="H12" s="6" t="n">
        <v>1482.8611081165313</v>
      </c>
      <c r="I12" s="6" t="n">
        <v>0.0</v>
      </c>
      <c r="J12" s="6">
        <f si="0" t="shared"/>
        <v>1938.109694763571</v>
      </c>
      <c r="L12" s="12">
        <v>0.1875</v>
      </c>
      <c r="M12" s="9" t="n">
        <v>36.16530513763428</v>
      </c>
      <c r="N12" s="9" t="n">
        <v>0.0</v>
      </c>
      <c r="O12" s="9" t="n">
        <v>0.0</v>
      </c>
      <c r="P12" s="9" t="n">
        <v>0.0</v>
      </c>
      <c r="Q12" s="9" t="n">
        <v>152.23256015777588</v>
      </c>
      <c r="R12" s="9" t="n">
        <v>819.1871395111084</v>
      </c>
      <c r="S12" s="9" t="n">
        <v>1819.0978240966797</v>
      </c>
      <c r="T12" s="9" t="n">
        <v>0.0</v>
      </c>
      <c r="U12">
        <f si="1" t="shared"/>
        <v>1438.611686706543</v>
      </c>
      <c r="W12" s="5"/>
      <c r="X12" s="5"/>
      <c r="Y12" s="5"/>
      <c r="Z12" s="5"/>
    </row>
    <row r="13" spans="1:26" x14ac:dyDescent="0.25">
      <c r="A13" s="12">
        <v>0.20833333333333334</v>
      </c>
      <c r="B13" s="6" t="n">
        <v>1.5263022320747373</v>
      </c>
      <c r="C13" s="6" t="n">
        <v>417.87692684669497</v>
      </c>
      <c r="D13" s="6" t="n">
        <v>0.007133178710937499</v>
      </c>
      <c r="E13" s="6" t="n">
        <v>387.24004079751967</v>
      </c>
      <c r="F13" s="6" t="n">
        <v>108.03077542552948</v>
      </c>
      <c r="G13" s="6" t="n">
        <v>1527.2608655182837</v>
      </c>
      <c r="H13" s="6" t="n">
        <v>4024.1794761025426</v>
      </c>
      <c r="I13" s="6" t="n">
        <v>0.0</v>
      </c>
      <c r="J13" s="6">
        <f si="0" t="shared"/>
        <v>4742.1592510940736</v>
      </c>
      <c r="L13" s="12">
        <v>0.20833333333333334</v>
      </c>
      <c r="M13" s="9" t="n">
        <v>86.33367919921875</v>
      </c>
      <c r="N13" s="9" t="n">
        <v>0.0</v>
      </c>
      <c r="O13" s="9" t="n">
        <v>0.0</v>
      </c>
      <c r="P13" s="9" t="n">
        <v>0.0</v>
      </c>
      <c r="Q13" s="9" t="n">
        <v>379.7618827819824</v>
      </c>
      <c r="R13" s="9" t="n">
        <v>1977.8752279281616</v>
      </c>
      <c r="S13" s="9" t="n">
        <v>4631.5434465408325</v>
      </c>
      <c r="T13" s="9" t="n">
        <v>0.0</v>
      </c>
      <c r="U13">
        <f si="1" t="shared"/>
        <v>3606.8598537445068</v>
      </c>
    </row>
    <row r="14" spans="1:26" x14ac:dyDescent="0.25">
      <c r="A14" s="12">
        <v>0.22916666666666666</v>
      </c>
      <c r="B14" s="6" t="n">
        <v>5.694085702705383</v>
      </c>
      <c r="C14" s="6" t="n">
        <v>821.5179804597855</v>
      </c>
      <c r="D14" s="6" t="n">
        <v>0.06776519775390623</v>
      </c>
      <c r="E14" s="6" t="n">
        <v>843.1850896593093</v>
      </c>
      <c r="F14" s="6" t="n">
        <v>258.44511976614</v>
      </c>
      <c r="G14" s="6" t="n">
        <v>3030.971573063374</v>
      </c>
      <c r="H14" s="6" t="n">
        <v>9267.186750094319</v>
      </c>
      <c r="I14" s="6" t="n">
        <v>0.0</v>
      </c>
      <c r="J14" s="6">
        <f si="0" t="shared"/>
        <v>9666.7657697031427</v>
      </c>
      <c r="L14" s="12">
        <v>0.22916666666666666</v>
      </c>
      <c r="M14" s="9" t="n">
        <v>186.34689712524414</v>
      </c>
      <c r="N14" s="9" t="n">
        <v>0.0</v>
      </c>
      <c r="O14" s="9" t="n">
        <v>0.0</v>
      </c>
      <c r="P14" s="9" t="n">
        <v>0.0</v>
      </c>
      <c r="Q14" s="9" t="n">
        <v>826.3759641647339</v>
      </c>
      <c r="R14" s="9" t="n">
        <v>3997.1271772384644</v>
      </c>
      <c r="S14" s="9" t="n">
        <v>9835.55065536499</v>
      </c>
      <c r="T14" s="9" t="n">
        <v>0.0</v>
      </c>
      <c r="U14">
        <f si="1" t="shared"/>
        <v>7627.0667238235474</v>
      </c>
    </row>
    <row r="15" spans="1:26" x14ac:dyDescent="0.25">
      <c r="A15" s="12">
        <v>0.25</v>
      </c>
      <c r="B15" s="6" t="n">
        <v>16.814610087108612</v>
      </c>
      <c r="C15" s="6" t="n">
        <v>1367.7363171528816</v>
      </c>
      <c r="D15" s="6" t="n">
        <v>0.40659118652343745</v>
      </c>
      <c r="E15" s="6" t="n">
        <v>1535.1941547759054</v>
      </c>
      <c r="F15" s="6" t="n">
        <v>543.7460009437561</v>
      </c>
      <c r="G15" s="6" t="n">
        <v>5072.573878138448</v>
      </c>
      <c r="H15" s="6" t="n">
        <v>18071.102593386175</v>
      </c>
      <c r="I15" s="6" t="n">
        <v>0.0</v>
      </c>
      <c r="J15" s="6">
        <f si="0" t="shared"/>
        <v>16573.432751015476</v>
      </c>
      <c r="L15" s="12">
        <v>0.25</v>
      </c>
      <c r="M15" s="9" t="n">
        <v>347.32269954681396</v>
      </c>
      <c r="N15" s="9" t="n">
        <v>0.0</v>
      </c>
      <c r="O15" s="9" t="n">
        <v>0.0</v>
      </c>
      <c r="P15" s="9" t="n">
        <v>0.0</v>
      </c>
      <c r="Q15" s="9" t="n">
        <v>1539.1949625015259</v>
      </c>
      <c r="R15" s="9" t="n">
        <v>6811.945368766785</v>
      </c>
      <c r="S15" s="9" t="n">
        <v>17635.804014205933</v>
      </c>
      <c r="T15" s="9" t="n">
        <v>0.0</v>
      </c>
      <c r="U15">
        <f si="1" t="shared"/>
        <v>13720.187040328979</v>
      </c>
    </row>
    <row r="16" spans="1:26" x14ac:dyDescent="0.25">
      <c r="A16" s="12">
        <v>0.27083333333333331</v>
      </c>
      <c r="B16" s="6" t="n">
        <v>40.35373139591218</v>
      </c>
      <c r="C16" s="6" t="n">
        <v>1958.5497941001893</v>
      </c>
      <c r="D16" s="6" t="n">
        <v>1.7280125427246091</v>
      </c>
      <c r="E16" s="6" t="n">
        <v>2375.3818624793053</v>
      </c>
      <c r="F16" s="6" t="n">
        <v>987.4937715094567</v>
      </c>
      <c r="G16" s="6" t="n">
        <v>7195.268213529494</v>
      </c>
      <c r="H16" s="6" t="n">
        <v>30045.12296992388</v>
      </c>
      <c r="I16" s="6" t="n">
        <v>0.0</v>
      </c>
      <c r="J16" s="6">
        <f si="0" t="shared"/>
        <v>24070.225480116591</v>
      </c>
      <c r="L16" s="12">
        <v>0.27083333333333331</v>
      </c>
      <c r="M16" s="9" t="n">
        <v>560.3008108139038</v>
      </c>
      <c r="N16" s="9" t="n">
        <v>0.0</v>
      </c>
      <c r="O16" s="9" t="n">
        <v>0.0</v>
      </c>
      <c r="P16" s="9" t="n">
        <v>0.0</v>
      </c>
      <c r="Q16" s="9" t="n">
        <v>2474.5869340896606</v>
      </c>
      <c r="R16" s="9" t="n">
        <v>9869.29749584198</v>
      </c>
      <c r="S16" s="9" t="n">
        <v>27036.70174217224</v>
      </c>
      <c r="T16" s="9" t="n">
        <v>0.0</v>
      </c>
      <c r="U16">
        <f si="1" t="shared"/>
        <v>21170.242762565613</v>
      </c>
    </row>
    <row r="17" spans="1:21" x14ac:dyDescent="0.25">
      <c r="A17" s="12">
        <v>0.29166666666666669</v>
      </c>
      <c r="B17" s="6" t="n">
        <v>80.30954544878007</v>
      </c>
      <c r="C17" s="6" t="n">
        <v>2452.292024817181</v>
      </c>
      <c r="D17" s="6" t="n">
        <v>5.52964013671875</v>
      </c>
      <c r="E17" s="6" t="n">
        <v>3177.232147582722</v>
      </c>
      <c r="F17" s="6" t="n">
        <v>1548.417367111111</v>
      </c>
      <c r="G17" s="6" t="n">
        <v>8687.37133728886</v>
      </c>
      <c r="H17" s="6" t="n">
        <v>42905.75065065765</v>
      </c>
      <c r="I17" s="6" t="n">
        <v>0.0</v>
      </c>
      <c r="J17" s="6">
        <f si="0" t="shared"/>
        <v>29773.845709561621</v>
      </c>
      <c r="L17" s="12">
        <v>0.29166666666666669</v>
      </c>
      <c r="M17" s="9" t="n">
        <v>793.4414234161377</v>
      </c>
      <c r="N17" s="9" t="n">
        <v>0.0</v>
      </c>
      <c r="O17" s="9" t="n">
        <v>0.0</v>
      </c>
      <c r="P17" s="9" t="n">
        <v>0.0</v>
      </c>
      <c r="Q17" s="9" t="n">
        <v>3486.8399934768677</v>
      </c>
      <c r="R17" s="9" t="n">
        <v>12260.49224281311</v>
      </c>
      <c r="S17" s="9" t="n">
        <v>35904.99112987518</v>
      </c>
      <c r="T17" s="9" t="n">
        <v>0.0</v>
      </c>
      <c r="U17">
        <f si="1" t="shared"/>
        <v>28229.363986968994</v>
      </c>
    </row>
    <row r="18" spans="1:21" x14ac:dyDescent="0.25">
      <c r="A18" s="12">
        <v>0.3125</v>
      </c>
      <c r="B18" s="6" t="n">
        <v>134.9439865436554</v>
      </c>
      <c r="C18" s="6" t="n">
        <v>2735.81416684866</v>
      </c>
      <c r="D18" s="6" t="n">
        <v>13.824100341796871</v>
      </c>
      <c r="E18" s="6" t="n">
        <v>3749.73158448391</v>
      </c>
      <c r="F18" s="6" t="n">
        <v>2111.0124178661345</v>
      </c>
      <c r="G18" s="6" t="n">
        <v>8961.237252336314</v>
      </c>
      <c r="H18" s="6" t="n">
        <v>52924.78287218961</v>
      </c>
      <c r="I18" s="6" t="n">
        <v>0.0</v>
      </c>
      <c r="J18" s="6">
        <f si="0" t="shared"/>
        <v>31498.878274162707</v>
      </c>
      <c r="L18" s="12">
        <v>0.3125</v>
      </c>
      <c r="M18" s="9" t="n">
        <v>1003.4055652618408</v>
      </c>
      <c r="N18" s="9" t="n">
        <v>0.0</v>
      </c>
      <c r="O18" s="9" t="n">
        <v>0.0</v>
      </c>
      <c r="P18" s="9" t="n">
        <v>0.0</v>
      </c>
      <c r="Q18" s="9" t="n">
        <v>4382.039940834045</v>
      </c>
      <c r="R18" s="9" t="n">
        <v>13184.183974266052</v>
      </c>
      <c r="S18" s="9" t="n">
        <v>41894.43085002899</v>
      </c>
      <c r="T18" s="9" t="n">
        <v>0.0</v>
      </c>
      <c r="U18">
        <f si="1" t="shared"/>
        <v>32745.359363555908</v>
      </c>
    </row>
    <row r="19" spans="1:21" x14ac:dyDescent="0.25">
      <c r="A19" s="12">
        <v>0.33333333333333331</v>
      </c>
      <c r="B19" s="6" t="n">
        <v>195.24431637983324</v>
      </c>
      <c r="C19" s="6" t="n">
        <v>2776.0712897964486</v>
      </c>
      <c r="D19" s="6" t="n">
        <v>27.64820068359375</v>
      </c>
      <c r="E19" s="6" t="n">
        <v>4005.32825218649</v>
      </c>
      <c r="F19" s="6" t="n">
        <v>2530.2104241443635</v>
      </c>
      <c r="G19" s="6" t="n">
        <v>7927.301320367815</v>
      </c>
      <c r="H19" s="6" t="n">
        <v>56585.02855927609</v>
      </c>
      <c r="I19" s="6" t="n">
        <v>0.0</v>
      </c>
      <c r="J19" s="6">
        <f si="0" t="shared"/>
        <v>28602.827337067571</v>
      </c>
      <c r="L19" s="12">
        <v>0.33333333333333331</v>
      </c>
      <c r="M19" s="9" t="n">
        <v>1153.7286281585693</v>
      </c>
      <c r="N19" s="9" t="n">
        <v>0.0</v>
      </c>
      <c r="O19" s="9" t="n">
        <v>0.0</v>
      </c>
      <c r="P19" s="9" t="n">
        <v>0.0</v>
      </c>
      <c r="Q19" s="9" t="n">
        <v>5002.407225608826</v>
      </c>
      <c r="R19" s="9" t="n">
        <v>12409.76001548767</v>
      </c>
      <c r="S19" s="9" t="n">
        <v>43623.32429599762</v>
      </c>
      <c r="T19" s="9" t="n">
        <v>0.0</v>
      </c>
      <c r="U19">
        <f si="1" t="shared"/>
        <v>33239.149495124817</v>
      </c>
    </row>
    <row r="20" spans="1:21" x14ac:dyDescent="0.25">
      <c r="A20" s="12">
        <v>0.35416666666666669</v>
      </c>
      <c r="B20" s="6" t="n">
        <v>249.40923310852048</v>
      </c>
      <c r="C20" s="6" t="n">
        <v>2611.184187475014</v>
      </c>
      <c r="D20" s="6" t="n">
        <v>44.92832611083984</v>
      </c>
      <c r="E20" s="6" t="n">
        <v>3984.855222118569</v>
      </c>
      <c r="F20" s="6" t="n">
        <v>2707.4254223875046</v>
      </c>
      <c r="G20" s="6" t="n">
        <v>6046.290060633279</v>
      </c>
      <c r="H20" s="6" t="n">
        <v>52507.21096769141</v>
      </c>
      <c r="I20" s="6" t="n">
        <v>0.0</v>
      </c>
      <c r="J20" s="6">
        <f si="0" t="shared"/>
        <v>22380.481691197016</v>
      </c>
      <c r="L20" s="12">
        <v>0.35416666666666669</v>
      </c>
      <c r="M20" s="9" t="n">
        <v>1227.3670949935913</v>
      </c>
      <c r="N20" s="9" t="n">
        <v>0.0</v>
      </c>
      <c r="O20" s="9" t="n">
        <v>0.0</v>
      </c>
      <c r="P20" s="9" t="n">
        <v>0.0</v>
      </c>
      <c r="Q20" s="9" t="n">
        <v>5280.756365776062</v>
      </c>
      <c r="R20" s="9" t="n">
        <v>10363.239621162415</v>
      </c>
      <c r="S20" s="9" t="n">
        <v>41214.505942344666</v>
      </c>
      <c r="T20" s="9" t="n">
        <v>0.0</v>
      </c>
      <c r="U20">
        <f si="1" t="shared"/>
        <v>29703.806210517883</v>
      </c>
    </row>
    <row r="21" spans="1:21" x14ac:dyDescent="0.25">
      <c r="A21" s="12">
        <v>0.375</v>
      </c>
      <c r="B21" s="6" t="n">
        <v>290.39581092147824</v>
      </c>
      <c r="C21" s="6" t="n">
        <v>2305.684255561924</v>
      </c>
      <c r="D21" s="6" t="n">
        <v>59.904434814453126</v>
      </c>
      <c r="E21" s="6" t="n">
        <v>3785.0260639275557</v>
      </c>
      <c r="F21" s="6" t="n">
        <v>2639.6095313250535</v>
      </c>
      <c r="G21" s="6" t="n">
        <v>4020.006843656254</v>
      </c>
      <c r="H21" s="6" t="n">
        <v>42272.71516590414</v>
      </c>
      <c r="I21" s="6" t="n">
        <v>0.0</v>
      </c>
      <c r="J21" s="6">
        <f si="0" t="shared"/>
        <v>15183.390889290547</v>
      </c>
      <c r="L21" s="12">
        <v>0.375</v>
      </c>
      <c r="M21" s="9" t="n">
        <v>1227.9272136688232</v>
      </c>
      <c r="N21" s="9" t="n">
        <v>0.0</v>
      </c>
      <c r="O21" s="9" t="n">
        <v>0.0</v>
      </c>
      <c r="P21" s="9" t="n">
        <v>0.0</v>
      </c>
      <c r="Q21" s="9" t="n">
        <v>5240.723541259766</v>
      </c>
      <c r="R21" s="9" t="n">
        <v>7801.3997230529785</v>
      </c>
      <c r="S21" s="9" t="n">
        <v>35920.4888048172</v>
      </c>
      <c r="T21" s="9" t="n">
        <v>0.0</v>
      </c>
      <c r="U21">
        <f si="1" t="shared"/>
        <v>23552.298903465271</v>
      </c>
    </row>
    <row r="22" spans="1:21" x14ac:dyDescent="0.25">
      <c r="A22" s="12">
        <v>0.39583333333333331</v>
      </c>
      <c r="B22" s="6" t="n">
        <v>318.45967332315445</v>
      </c>
      <c r="C22" s="6" t="n">
        <v>1923.3191906409265</v>
      </c>
      <c r="D22" s="6" t="n">
        <v>65.89487829589844</v>
      </c>
      <c r="E22" s="6" t="n">
        <v>3474.1513924587252</v>
      </c>
      <c r="F22" s="6" t="n">
        <v>2405.690687026214</v>
      </c>
      <c r="G22" s="6" t="n">
        <v>2392.8825497188564</v>
      </c>
      <c r="H22" s="6" t="n">
        <v>29502.305855209543</v>
      </c>
      <c r="I22" s="6" t="n">
        <v>0.0</v>
      </c>
      <c r="J22" s="6">
        <f si="0" t="shared"/>
        <v>9050.3271011747802</v>
      </c>
      <c r="L22" s="12">
        <v>0.39583333333333331</v>
      </c>
      <c r="M22" s="9" t="n">
        <v>1173.816593170166</v>
      </c>
      <c r="N22" s="9" t="n">
        <v>0.0</v>
      </c>
      <c r="O22" s="9" t="n">
        <v>0.0</v>
      </c>
      <c r="P22" s="9" t="n">
        <v>0.0</v>
      </c>
      <c r="Q22" s="9" t="n">
        <v>4965.898704528809</v>
      </c>
      <c r="R22" s="9" t="n">
        <v>5387.474262237549</v>
      </c>
      <c r="S22" s="9" t="n">
        <v>29329.861285209656</v>
      </c>
      <c r="T22" s="9" t="n">
        <v>0.0</v>
      </c>
      <c r="U22">
        <f si="1" t="shared"/>
        <v>16791.540308952332</v>
      </c>
    </row>
    <row r="23" spans="1:21" x14ac:dyDescent="0.25">
      <c r="A23" s="12">
        <v>0.41666666666666669</v>
      </c>
      <c r="B23" s="6" t="n">
        <v>335.2102288708687</v>
      </c>
      <c r="C23" s="6" t="n">
        <v>1529.700372086525</v>
      </c>
      <c r="D23" s="6" t="n">
        <v>59.9047486363411</v>
      </c>
      <c r="E23" s="6" t="n">
        <v>3078.5979887785916</v>
      </c>
      <c r="F23" s="6" t="n">
        <v>2112.71306280241</v>
      </c>
      <c r="G23" s="6" t="n">
        <v>1355.9776125289916</v>
      </c>
      <c r="H23" s="6" t="n">
        <v>17882.5043766345</v>
      </c>
      <c r="I23" s="6" t="n">
        <v>0.0</v>
      </c>
      <c r="J23" s="6">
        <f si="0" t="shared"/>
        <v>4895.0342376857316</v>
      </c>
      <c r="L23" s="12">
        <v>0.41666666666666669</v>
      </c>
      <c r="M23" s="9" t="n">
        <v>1090.6548748016357</v>
      </c>
      <c r="N23" s="9" t="n">
        <v>0.0</v>
      </c>
      <c r="O23" s="9" t="n">
        <v>0.0</v>
      </c>
      <c r="P23" s="9" t="n">
        <v>0.0</v>
      </c>
      <c r="Q23" s="9" t="n">
        <v>4565.941531181335</v>
      </c>
      <c r="R23" s="9" t="n">
        <v>3472.7879600524902</v>
      </c>
      <c r="S23" s="9" t="n">
        <v>22765.732233047485</v>
      </c>
      <c r="T23" s="9" t="n">
        <v>0.0</v>
      </c>
      <c r="U23">
        <f si="1" t="shared"/>
        <v>11043.563528060913</v>
      </c>
    </row>
    <row r="24" spans="1:21" x14ac:dyDescent="0.25">
      <c r="A24" s="12">
        <v>0.4375</v>
      </c>
      <c r="B24" s="6" t="n">
        <v>336.5730168935776</v>
      </c>
      <c r="C24" s="6" t="n">
        <v>1191.1481601537705</v>
      </c>
      <c r="D24" s="6" t="n">
        <v>44.93460254859924</v>
      </c>
      <c r="E24" s="6" t="n">
        <v>2628.2135713320736</v>
      </c>
      <c r="F24" s="6" t="n">
        <v>1849.5297310756685</v>
      </c>
      <c r="G24" s="6" t="n">
        <v>810.9362499361038</v>
      </c>
      <c r="H24" s="6" t="n">
        <v>9548.148646455096</v>
      </c>
      <c r="I24" s="6" t="n">
        <v>0.0</v>
      </c>
      <c r="J24" s="6">
        <f si="0" t="shared"/>
        <v>2592.3807735518803</v>
      </c>
      <c r="L24" s="12">
        <v>0.4375</v>
      </c>
      <c r="M24" s="9" t="n">
        <v>1003.2951040267944</v>
      </c>
      <c r="N24" s="9" t="n">
        <v>0.0</v>
      </c>
      <c r="O24" s="9" t="n">
        <v>0.0</v>
      </c>
      <c r="P24" s="9" t="n">
        <v>0.0</v>
      </c>
      <c r="Q24" s="9" t="n">
        <v>4145.423260688782</v>
      </c>
      <c r="R24" s="9" t="n">
        <v>2124.699224472046</v>
      </c>
      <c r="S24" s="9" t="n">
        <v>17059.865307807922</v>
      </c>
      <c r="T24" s="9" t="n">
        <v>0.0</v>
      </c>
      <c r="U24">
        <f si="1" t="shared"/>
        <v>7022.6646919250488</v>
      </c>
    </row>
    <row r="25" spans="1:21" x14ac:dyDescent="0.25">
      <c r="A25" s="12">
        <v>0.45833333333333331</v>
      </c>
      <c r="B25" s="6" t="n">
        <v>314.6602959651947</v>
      </c>
      <c r="C25" s="6" t="n">
        <v>950.4387863798141</v>
      </c>
      <c r="D25" s="6" t="n">
        <v>27.70782684230804</v>
      </c>
      <c r="E25" s="6" t="n">
        <v>2185.2813670815467</v>
      </c>
      <c r="F25" s="6" t="n">
        <v>1668.092515974522</v>
      </c>
      <c r="G25" s="6" t="n">
        <v>551.1636438974381</v>
      </c>
      <c r="H25" s="6" t="n">
        <v>4730.8725157236095</v>
      </c>
      <c r="I25" s="6" t="n">
        <v>0.0</v>
      </c>
      <c r="J25" s="6">
        <f si="0" t="shared"/>
        <v>1541.3692561518469</v>
      </c>
      <c r="L25" s="12">
        <v>0.45833333333333331</v>
      </c>
      <c r="M25" s="9" t="n">
        <v>928.4902019500732</v>
      </c>
      <c r="N25" s="9" t="n">
        <v>0.0</v>
      </c>
      <c r="O25" s="9" t="n">
        <v>0.0</v>
      </c>
      <c r="P25" s="9" t="n">
        <v>0.0</v>
      </c>
      <c r="Q25" s="9" t="n">
        <v>3775.478241920471</v>
      </c>
      <c r="R25" s="9" t="n">
        <v>1257.0622520446777</v>
      </c>
      <c r="S25" s="9" t="n">
        <v>12561.285257339478</v>
      </c>
      <c r="T25" s="9" t="n">
        <v>0.0</v>
      </c>
      <c r="U25">
        <f si="1" t="shared"/>
        <v>4622.6203565597534</v>
      </c>
    </row>
    <row r="26" spans="1:21" x14ac:dyDescent="0.25">
      <c r="A26" s="12">
        <v>0.47916666666666669</v>
      </c>
      <c r="B26" s="6" t="n">
        <v>267.4469612175941</v>
      </c>
      <c r="C26" s="6" t="n">
        <v>804.3737408622742</v>
      </c>
      <c r="D26" s="6" t="n">
        <v>14.18185729408264</v>
      </c>
      <c r="E26" s="6" t="n">
        <v>1816.3403615485192</v>
      </c>
      <c r="F26" s="6" t="n">
        <v>1579.1262101262096</v>
      </c>
      <c r="G26" s="6" t="n">
        <v>406.4941309260368</v>
      </c>
      <c r="H26" s="6" t="n">
        <v>2478.337838268661</v>
      </c>
      <c r="I26" s="6" t="n">
        <v>0.0</v>
      </c>
      <c r="J26" s="6">
        <f si="0" t="shared"/>
        <v>1151.0285399466609</v>
      </c>
      <c r="L26" s="12">
        <v>0.47916666666666669</v>
      </c>
      <c r="M26" s="9" t="n">
        <v>871.6403713226318</v>
      </c>
      <c r="N26" s="9" t="n">
        <v>0.0</v>
      </c>
      <c r="O26" s="9" t="n">
        <v>0.0</v>
      </c>
      <c r="P26" s="9" t="n">
        <v>0.0</v>
      </c>
      <c r="Q26" s="9" t="n">
        <v>3479.837655067444</v>
      </c>
      <c r="R26" s="9" t="n">
        <v>738.1420650482178</v>
      </c>
      <c r="S26" s="9" t="n">
        <v>9244.714545249939</v>
      </c>
      <c r="T26" s="9" t="n">
        <v>0.0</v>
      </c>
      <c r="U26">
        <f si="1" t="shared"/>
        <v>3337.8291997909546</v>
      </c>
    </row>
    <row r="27" spans="1:21" x14ac:dyDescent="0.25">
      <c r="A27" s="12">
        <v>0.5</v>
      </c>
      <c r="B27" s="6" t="n">
        <v>204.52823757705687</v>
      </c>
      <c r="C27" s="6" t="n">
        <v>712.4798581548691</v>
      </c>
      <c r="D27" s="6" t="n">
        <v>7.050320530796051</v>
      </c>
      <c r="E27" s="6" t="n">
        <v>1542.1621876087193</v>
      </c>
      <c r="F27" s="6" t="n">
        <v>1551.9787648086551</v>
      </c>
      <c r="G27" s="6" t="n">
        <v>295.0484936947822</v>
      </c>
      <c r="H27" s="6" t="n">
        <v>1610.9634021693225</v>
      </c>
      <c r="I27" s="6" t="n">
        <v>0.0</v>
      </c>
      <c r="J27" s="6">
        <f si="0" t="shared"/>
        <v>1031.6614848286085</v>
      </c>
      <c r="L27" s="12">
        <v>0.5</v>
      </c>
      <c r="M27" s="9" t="n">
        <v>829.6538925170898</v>
      </c>
      <c r="N27" s="9" t="n">
        <v>0.0</v>
      </c>
      <c r="O27" s="9" t="n">
        <v>0.0</v>
      </c>
      <c r="P27" s="9" t="n">
        <v>0.0</v>
      </c>
      <c r="Q27" s="9" t="n">
        <v>3245.146680831909</v>
      </c>
      <c r="R27" s="9" t="n">
        <v>445.82137966156006</v>
      </c>
      <c r="S27" s="9" t="n">
        <v>6873.256730079651</v>
      </c>
      <c r="T27" s="9" t="n">
        <v>0.0</v>
      </c>
      <c r="U27">
        <f si="1" t="shared"/>
        <v>2655.2169466018677</v>
      </c>
    </row>
    <row r="28" spans="1:21" x14ac:dyDescent="0.25">
      <c r="A28" s="12">
        <v>0.52083333333333337</v>
      </c>
      <c r="B28" s="6" t="n">
        <v>141.80443843564987</v>
      </c>
      <c r="C28" s="6" t="n">
        <v>629.4209375926972</v>
      </c>
      <c r="D28" s="6" t="n">
        <v>6.597981962871551</v>
      </c>
      <c r="E28" s="6" t="n">
        <v>1326.1780091519358</v>
      </c>
      <c r="F28" s="6" t="n">
        <v>1528.6052688494685</v>
      </c>
      <c r="G28" s="6" t="n">
        <v>204.6854252272606</v>
      </c>
      <c r="H28" s="6" t="n">
        <v>1287.8481380210874</v>
      </c>
      <c r="I28" s="6" t="n">
        <v>0.0</v>
      </c>
      <c r="J28" s="6">
        <f si="0" t="shared"/>
        <v>980.38947884803781</v>
      </c>
      <c r="L28" s="12">
        <v>0.52083333333333337</v>
      </c>
      <c r="M28" s="9" t="n">
        <v>796.9977798461914</v>
      </c>
      <c r="N28" s="9" t="n">
        <v>0.0</v>
      </c>
      <c r="O28" s="9" t="n">
        <v>0.0</v>
      </c>
      <c r="P28" s="9" t="n">
        <v>0.0</v>
      </c>
      <c r="Q28" s="9" t="n">
        <v>3046.2135276794434</v>
      </c>
      <c r="R28" s="9" t="n">
        <v>288.01322841644287</v>
      </c>
      <c r="S28" s="9" t="n">
        <v>5166.660474777222</v>
      </c>
      <c r="T28" s="9" t="n">
        <v>0.0</v>
      </c>
      <c r="U28">
        <f si="1" t="shared"/>
        <v>2240.4063301086426</v>
      </c>
    </row>
    <row r="29" spans="1:21" x14ac:dyDescent="0.25">
      <c r="A29" s="12">
        <v>0.54166666666666663</v>
      </c>
      <c r="B29" s="6" t="n">
        <v>91.23680268592835</v>
      </c>
      <c r="C29" s="6" t="n">
        <v>531.56237849226</v>
      </c>
      <c r="D29" s="6" t="n">
        <v>12.615022104263307</v>
      </c>
      <c r="E29" s="6" t="n">
        <v>1115.8421554968836</v>
      </c>
      <c r="F29" s="6" t="n">
        <v>1458.0301281169893</v>
      </c>
      <c r="G29" s="6" t="n">
        <v>149.4998154978752</v>
      </c>
      <c r="H29" s="6" t="n">
        <v>1102.5484432209014</v>
      </c>
      <c r="I29" s="6" t="n">
        <v>0.0</v>
      </c>
      <c r="J29" s="6">
        <f si="0" t="shared"/>
        <v>912.94795060106946</v>
      </c>
      <c r="L29" s="12">
        <v>0.54166666666666663</v>
      </c>
      <c r="M29" s="9" t="n">
        <v>769.7894811630249</v>
      </c>
      <c r="N29" s="9" t="n">
        <v>0.0</v>
      </c>
      <c r="O29" s="9" t="n">
        <v>0.0</v>
      </c>
      <c r="P29" s="9" t="n">
        <v>0.0</v>
      </c>
      <c r="Q29" s="9" t="n">
        <v>2864.993064880371</v>
      </c>
      <c r="R29" s="9" t="n">
        <v>205.18271350860596</v>
      </c>
      <c r="S29" s="9" t="n">
        <v>3907.6434211730957</v>
      </c>
      <c r="T29" s="9" t="n">
        <v>0.0</v>
      </c>
      <c r="U29">
        <f si="1" t="shared"/>
        <v>1944.3541584014893</v>
      </c>
    </row>
    <row r="30" spans="1:21" x14ac:dyDescent="0.25">
      <c r="A30" s="12">
        <v>0.5625</v>
      </c>
      <c r="B30" s="6" t="n">
        <v>56.16692990970611</v>
      </c>
      <c r="C30" s="6" t="n">
        <v>422.48065861892707</v>
      </c>
      <c r="D30" s="6" t="n">
        <v>24.67796041965485</v>
      </c>
      <c r="E30" s="6" t="n">
        <v>893.4901048069955</v>
      </c>
      <c r="F30" s="6" t="n">
        <v>1331.0282647881509</v>
      </c>
      <c r="G30" s="6" t="n">
        <v>136.25579471120835</v>
      </c>
      <c r="H30" s="6" t="n">
        <v>939.2591580338478</v>
      </c>
      <c r="I30" s="6" t="n">
        <v>0.0</v>
      </c>
      <c r="J30" s="6">
        <f si="0" t="shared"/>
        <v>815.89157823277651</v>
      </c>
      <c r="L30" s="12">
        <v>0.5625</v>
      </c>
      <c r="M30" s="9" t="n">
        <v>745.806360244751</v>
      </c>
      <c r="N30" s="9" t="n">
        <v>0.0</v>
      </c>
      <c r="O30" s="9" t="n">
        <v>0.0</v>
      </c>
      <c r="P30" s="9" t="n">
        <v>0.0</v>
      </c>
      <c r="Q30" s="9" t="n">
        <v>2691.8974657058716</v>
      </c>
      <c r="R30" s="9" t="n">
        <v>163.4675531387329</v>
      </c>
      <c r="S30" s="9" t="n">
        <v>2962.5975093841553</v>
      </c>
      <c r="T30" s="9" t="n">
        <v>0.0</v>
      </c>
      <c r="U30">
        <f si="1" t="shared"/>
        <v>1731.6670122146606</v>
      </c>
    </row>
    <row r="31" spans="1:21" x14ac:dyDescent="0.25">
      <c r="A31" s="12">
        <v>0.58333333333333337</v>
      </c>
      <c r="B31" s="6" t="n">
        <v>34.65515430431366</v>
      </c>
      <c r="C31" s="6" t="n">
        <v>322.97937259836203</v>
      </c>
      <c r="D31" s="6" t="n">
        <v>40.80998421382904</v>
      </c>
      <c r="E31" s="6" t="n">
        <v>687.0285232043267</v>
      </c>
      <c r="F31" s="6" t="n">
        <v>1184.3865777346614</v>
      </c>
      <c r="G31" s="6" t="n">
        <v>154.03213353624344</v>
      </c>
      <c r="H31" s="6" t="n">
        <v>802.0171210422517</v>
      </c>
      <c r="I31" s="6" t="n">
        <v>0.0</v>
      </c>
      <c r="J31" s="6">
        <f si="0" t="shared"/>
        <v>720.6361300486783</v>
      </c>
      <c r="L31" s="12">
        <v>0.58333333333333337</v>
      </c>
      <c r="M31" s="9" t="n">
        <v>722.7077407836914</v>
      </c>
      <c r="N31" s="9" t="n">
        <v>0.0</v>
      </c>
      <c r="O31" s="9" t="n">
        <v>0.0</v>
      </c>
      <c r="P31" s="9" t="n">
        <v>0.0</v>
      </c>
      <c r="Q31" s="9" t="n">
        <v>2516.894757270813</v>
      </c>
      <c r="R31" s="9" t="n">
        <v>144.94769477844238</v>
      </c>
      <c r="S31" s="9" t="n">
        <v>2252.478618621826</v>
      </c>
      <c r="T31" s="9" t="n">
        <v>0.0</v>
      </c>
      <c r="U31">
        <f si="1" t="shared"/>
        <v>1608.4278078079224</v>
      </c>
    </row>
    <row r="32" spans="1:21" x14ac:dyDescent="0.25">
      <c r="A32" s="12">
        <v>0.60416666666666663</v>
      </c>
      <c r="B32" s="6" t="n">
        <v>25.328189245128634</v>
      </c>
      <c r="C32" s="6" t="n">
        <v>255.37880522403722</v>
      </c>
      <c r="D32" s="6" t="n">
        <v>57.02504031667709</v>
      </c>
      <c r="E32" s="6" t="n">
        <v>537.4225328134537</v>
      </c>
      <c r="F32" s="6" t="n">
        <v>1070.0009830056192</v>
      </c>
      <c r="G32" s="6" t="n">
        <v>181.75634627695084</v>
      </c>
      <c r="H32" s="6" t="n">
        <v>706.6182911955834</v>
      </c>
      <c r="I32" s="6" t="n">
        <v>0.0</v>
      </c>
      <c r="J32" s="6">
        <f si="0" t="shared"/>
        <v>680.49317008766366</v>
      </c>
      <c r="L32" s="12">
        <v>0.60416666666666663</v>
      </c>
      <c r="M32" s="9" t="n">
        <v>698.0750551223755</v>
      </c>
      <c r="N32" s="9" t="n">
        <v>0.0</v>
      </c>
      <c r="O32" s="9" t="n">
        <v>0.0</v>
      </c>
      <c r="P32" s="9" t="n">
        <v>0.0</v>
      </c>
      <c r="Q32" s="9" t="n">
        <v>2326.0130710601807</v>
      </c>
      <c r="R32" s="9" t="n">
        <v>139.93885326385498</v>
      </c>
      <c r="S32" s="9" t="n">
        <v>1721.7645483016968</v>
      </c>
      <c r="T32" s="9" t="n">
        <v>0.0</v>
      </c>
      <c r="U32">
        <f si="1" t="shared"/>
        <v>1580.4317827224731</v>
      </c>
    </row>
    <row r="33" spans="1:21" x14ac:dyDescent="0.25">
      <c r="A33" s="12">
        <v>0.625</v>
      </c>
      <c r="B33" s="6" t="n">
        <v>30.537080344581597</v>
      </c>
      <c r="C33" s="6" t="n">
        <v>228.95231720809937</v>
      </c>
      <c r="D33" s="6" t="n">
        <v>69.47357583503722</v>
      </c>
      <c r="E33" s="6" t="n">
        <v>462.22522570657725</v>
      </c>
      <c r="F33" s="6" t="n">
        <v>1017.9425519443513</v>
      </c>
      <c r="G33" s="6" t="n">
        <v>200.87666561527254</v>
      </c>
      <c r="H33" s="6" t="n">
        <v>644.7952150211335</v>
      </c>
      <c r="I33" s="6" t="n">
        <v>0.0</v>
      </c>
      <c r="J33" s="6">
        <f si="0" t="shared"/>
        <v>742.67757945384415</v>
      </c>
      <c r="L33" s="12">
        <v>0.625</v>
      </c>
      <c r="M33" s="9" t="n">
        <v>672.3476057052612</v>
      </c>
      <c r="N33" s="9" t="n">
        <v>0.0</v>
      </c>
      <c r="O33" s="9" t="n">
        <v>0.0</v>
      </c>
      <c r="P33" s="9" t="n">
        <v>0.0</v>
      </c>
      <c r="Q33" s="9" t="n">
        <v>2109.9489641189575</v>
      </c>
      <c r="R33" s="9" t="n">
        <v>142.60154151916504</v>
      </c>
      <c r="S33" s="9" t="n">
        <v>1325.5973300933838</v>
      </c>
      <c r="T33" s="9" t="n">
        <v>0.0</v>
      </c>
      <c r="U33">
        <f si="1" t="shared"/>
        <v>1638.9645376205444</v>
      </c>
    </row>
    <row r="34" spans="1:21" x14ac:dyDescent="0.25">
      <c r="A34" s="12">
        <v>0.64583333333333337</v>
      </c>
      <c r="B34" s="6" t="n">
        <v>55.76980836582182</v>
      </c>
      <c r="C34" s="6" t="n">
        <v>233.79025384359363</v>
      </c>
      <c r="D34" s="6" t="n">
        <v>77.30760985565185</v>
      </c>
      <c r="E34" s="6" t="n">
        <v>447.6634713180542</v>
      </c>
      <c r="F34" s="6" t="n">
        <v>1024.18543656044</v>
      </c>
      <c r="G34" s="6" t="n">
        <v>203.02942807960508</v>
      </c>
      <c r="H34" s="6" t="n">
        <v>595.4726421675682</v>
      </c>
      <c r="I34" s="6" t="n">
        <v>0.0</v>
      </c>
      <c r="J34" s="6">
        <f si="0" t="shared"/>
        <v>920.52592206019131</v>
      </c>
      <c r="L34" s="12">
        <v>0.64583333333333337</v>
      </c>
      <c r="M34" s="9" t="n">
        <v>651.8948440551758</v>
      </c>
      <c r="N34" s="9" t="n">
        <v>0.0</v>
      </c>
      <c r="O34" s="9" t="n">
        <v>0.0</v>
      </c>
      <c r="P34" s="9" t="n">
        <v>0.0</v>
      </c>
      <c r="Q34" s="9" t="n">
        <v>1875.8825635910034</v>
      </c>
      <c r="R34" s="9" t="n">
        <v>148.77173709869385</v>
      </c>
      <c r="S34" s="9" t="n">
        <v>1029.0411128997803</v>
      </c>
      <c r="T34" s="9" t="n">
        <v>0.0</v>
      </c>
      <c r="U34">
        <f si="1" t="shared"/>
        <v>1758.9212284088135</v>
      </c>
    </row>
    <row r="35" spans="1:21" x14ac:dyDescent="0.25">
      <c r="A35" s="12">
        <v>0.66666666666666663</v>
      </c>
      <c r="B35" s="6" t="n">
        <v>106.0915525697708</v>
      </c>
      <c r="C35" s="6" t="n">
        <v>247.59336269941335</v>
      </c>
      <c r="D35" s="6" t="n">
        <v>82.52632103061676</v>
      </c>
      <c r="E35" s="6" t="n">
        <v>464.871998815155</v>
      </c>
      <c r="F35" s="6" t="n">
        <v>1062.8909218400954</v>
      </c>
      <c r="G35" s="6" t="n">
        <v>189.36833728809356</v>
      </c>
      <c r="H35" s="6" t="n">
        <v>546.5884112571716</v>
      </c>
      <c r="I35" s="6" t="n">
        <v>0.0</v>
      </c>
      <c r="J35" s="6">
        <f si="0" t="shared"/>
        <v>1176.4614974784431</v>
      </c>
      <c r="L35" s="12">
        <v>0.66666666666666663</v>
      </c>
      <c r="M35" s="9" t="n">
        <v>647.7711887359619</v>
      </c>
      <c r="N35" s="9" t="n">
        <v>0.0</v>
      </c>
      <c r="O35" s="9" t="n">
        <v>0.0</v>
      </c>
      <c r="P35" s="9" t="n">
        <v>0.0</v>
      </c>
      <c r="Q35" s="9" t="n">
        <v>1647.8033895492554</v>
      </c>
      <c r="R35" s="9" t="n">
        <v>154.89450931549072</v>
      </c>
      <c r="S35" s="9" t="n">
        <v>807.0350303649902</v>
      </c>
      <c r="T35" s="9" t="n">
        <v>0.0</v>
      </c>
      <c r="U35">
        <f si="1" t="shared"/>
        <v>1900.1075344085693</v>
      </c>
    </row>
    <row r="36" spans="1:21" x14ac:dyDescent="0.25">
      <c r="A36" s="12">
        <v>0.6875</v>
      </c>
      <c r="B36" s="6" t="n">
        <v>180.4984725847244</v>
      </c>
      <c r="C36" s="6" t="n">
        <v>249.9777507432938</v>
      </c>
      <c r="D36" s="6" t="n">
        <v>86.35438126277923</v>
      </c>
      <c r="E36" s="6" t="n">
        <v>487.1111651184083</v>
      </c>
      <c r="F36" s="6" t="n">
        <v>1100.2903355340954</v>
      </c>
      <c r="G36" s="6" t="n">
        <v>164.92088846473692</v>
      </c>
      <c r="H36" s="6" t="n">
        <v>501.7100026626587</v>
      </c>
      <c r="I36" s="6" t="n">
        <v>0.0</v>
      </c>
      <c r="J36" s="6">
        <f si="0" t="shared"/>
        <v>1426.1398079031583</v>
      </c>
      <c r="L36" s="12">
        <v>0.6875</v>
      </c>
      <c r="M36" s="9" t="n">
        <v>668.3418912887573</v>
      </c>
      <c r="N36" s="9" t="n">
        <v>0.0</v>
      </c>
      <c r="O36" s="9" t="n">
        <v>0.0</v>
      </c>
      <c r="P36" s="9" t="n">
        <v>0.0</v>
      </c>
      <c r="Q36" s="9" t="n">
        <v>1451.1853818893433</v>
      </c>
      <c r="R36" s="9" t="n">
        <v>157.69586277008057</v>
      </c>
      <c r="S36" s="9" t="n">
        <v>640.986572265625</v>
      </c>
      <c r="T36" s="9" t="n">
        <v>0.0</v>
      </c>
      <c r="U36">
        <f si="1" t="shared"/>
        <v>2012.669960975647</v>
      </c>
    </row>
    <row r="37" spans="1:21" x14ac:dyDescent="0.25">
      <c r="A37" s="12">
        <v>0.70833333333333337</v>
      </c>
      <c r="B37" s="6" t="n">
        <v>266.6181824651718</v>
      </c>
      <c r="C37" s="6" t="n">
        <v>232.43656634969713</v>
      </c>
      <c r="D37" s="6" t="n">
        <v>86.50507527008055</v>
      </c>
      <c r="E37" s="6" t="n">
        <v>496.6732086901666</v>
      </c>
      <c r="F37" s="6" t="n">
        <v>1099.160322783756</v>
      </c>
      <c r="G37" s="6" t="n">
        <v>134.12155777311324</v>
      </c>
      <c r="H37" s="6" t="n">
        <v>469.4827382597923</v>
      </c>
      <c r="I37" s="6" t="n">
        <v>0.0</v>
      </c>
      <c r="J37" s="6">
        <f si="0" t="shared"/>
        <v>1569.067141832493</v>
      </c>
      <c r="L37" s="12">
        <v>0.70833333333333337</v>
      </c>
      <c r="M37" s="9" t="n">
        <v>709.920334815979</v>
      </c>
      <c r="N37" s="9" t="n">
        <v>0.0</v>
      </c>
      <c r="O37" s="9" t="n">
        <v>0.0</v>
      </c>
      <c r="P37" s="9" t="n">
        <v>0.0</v>
      </c>
      <c r="Q37" s="9" t="n">
        <v>1294.0445203781128</v>
      </c>
      <c r="R37" s="9" t="n">
        <v>154.47186183929443</v>
      </c>
      <c r="S37" s="9" t="n">
        <v>514.6832189559937</v>
      </c>
      <c r="T37" s="9" t="n">
        <v>0.0</v>
      </c>
      <c r="U37">
        <f si="1" t="shared"/>
        <v>2048.6499633789062</v>
      </c>
    </row>
    <row r="38" spans="1:21" x14ac:dyDescent="0.25">
      <c r="A38" s="12">
        <v>0.72916666666666663</v>
      </c>
      <c r="B38" s="6" t="n">
        <v>340.5859853142738</v>
      </c>
      <c r="C38" s="6" t="n">
        <v>197.8974932760239</v>
      </c>
      <c r="D38" s="6" t="n">
        <v>79.11588212699888</v>
      </c>
      <c r="E38" s="6" t="n">
        <v>485.26338815240865</v>
      </c>
      <c r="F38" s="6" t="n">
        <v>1026.23514627285</v>
      </c>
      <c r="G38" s="6" t="n">
        <v>100.43721552734375</v>
      </c>
      <c r="H38" s="6" t="n">
        <v>450.0762776639939</v>
      </c>
      <c r="I38" s="6" t="n">
        <v>0.0</v>
      </c>
      <c r="J38" s="6">
        <f si="0" t="shared"/>
        <v>1536.3553120545389</v>
      </c>
      <c r="L38" s="12">
        <v>0.72916666666666663</v>
      </c>
      <c r="M38" s="9" t="n">
        <v>753.9046878814697</v>
      </c>
      <c r="N38" s="9" t="n">
        <v>0.0</v>
      </c>
      <c r="O38" s="9" t="n">
        <v>0.0</v>
      </c>
      <c r="P38" s="9" t="n">
        <v>0.0</v>
      </c>
      <c r="Q38" s="9" t="n">
        <v>1161.380178451538</v>
      </c>
      <c r="R38" s="9" t="n">
        <v>143.72873973846436</v>
      </c>
      <c r="S38" s="9" t="n">
        <v>413.1038007736206</v>
      </c>
      <c r="T38" s="9" t="n">
        <v>0.0</v>
      </c>
      <c r="U38">
        <f si="1" t="shared"/>
        <v>1976.3910970687866</v>
      </c>
    </row>
    <row r="39" spans="1:21" x14ac:dyDescent="0.25">
      <c r="A39" s="12">
        <v>0.75</v>
      </c>
      <c r="B39" s="6" t="n">
        <v>375.98664388847345</v>
      </c>
      <c r="C39" s="6" t="n">
        <v>154.35251296281817</v>
      </c>
      <c r="D39" s="6" t="n">
        <v>63.31999726343154</v>
      </c>
      <c r="E39" s="6" t="n">
        <v>451.9387250665665</v>
      </c>
      <c r="F39" s="6" t="n">
        <v>871.1009745610236</v>
      </c>
      <c r="G39" s="6" t="n">
        <v>67.76328776264191</v>
      </c>
      <c r="H39" s="6" t="n">
        <v>431.34738626689915</v>
      </c>
      <c r="I39" s="6" t="n">
        <v>0.0</v>
      </c>
      <c r="J39" s="6">
        <f si="0" t="shared"/>
        <v>1328.0392013553401</v>
      </c>
      <c r="L39" s="12">
        <v>0.75</v>
      </c>
      <c r="M39" s="9" t="n">
        <v>775.8450613021851</v>
      </c>
      <c r="N39" s="9" t="n">
        <v>0.0</v>
      </c>
      <c r="O39" s="9" t="n">
        <v>0.0</v>
      </c>
      <c r="P39" s="9" t="n">
        <v>0.0</v>
      </c>
      <c r="Q39" s="9" t="n">
        <v>1028.4938955307007</v>
      </c>
      <c r="R39" s="9" t="n">
        <v>125.80681037902832</v>
      </c>
      <c r="S39" s="9" t="n">
        <v>324.65929985046387</v>
      </c>
      <c r="T39" s="9" t="n">
        <v>0.0</v>
      </c>
      <c r="U39">
        <f si="1" t="shared"/>
        <v>1792.1685848236084</v>
      </c>
    </row>
    <row r="40" spans="1:21" x14ac:dyDescent="0.25">
      <c r="A40" s="12">
        <v>0.77083333333333337</v>
      </c>
      <c r="B40" s="6" t="n">
        <v>358.9470506504058</v>
      </c>
      <c r="C40" s="6" t="n">
        <v>109.79862487068176</v>
      </c>
      <c r="D40" s="6" t="n">
        <v>43.08957518863677</v>
      </c>
      <c r="E40" s="6" t="n">
        <v>399.09619499807354</v>
      </c>
      <c r="F40" s="6" t="n">
        <v>660.181163995838</v>
      </c>
      <c r="G40" s="6" t="n">
        <v>40.273958648681635</v>
      </c>
      <c r="H40" s="6" t="n">
        <v>396.3759859571457</v>
      </c>
      <c r="I40" s="6" t="n">
        <v>0.0</v>
      </c>
      <c r="J40" s="6">
        <f si="0" t="shared"/>
        <v>1011.7590133762446</v>
      </c>
      <c r="L40" s="12">
        <v>0.77083333333333337</v>
      </c>
      <c r="M40" s="9" t="n">
        <v>761.3933506011963</v>
      </c>
      <c r="N40" s="9" t="n">
        <v>0.0</v>
      </c>
      <c r="O40" s="9" t="n">
        <v>0.0</v>
      </c>
      <c r="P40" s="9" t="n">
        <v>0.0</v>
      </c>
      <c r="Q40" s="9" t="n">
        <v>881.7273225784302</v>
      </c>
      <c r="R40" s="9" t="n">
        <v>103.06491565704346</v>
      </c>
      <c r="S40" s="9" t="n">
        <v>244.1206455230713</v>
      </c>
      <c r="T40" s="9" t="n">
        <v>0.0</v>
      </c>
      <c r="U40">
        <f si="1" t="shared"/>
        <v>1524.0290832519531</v>
      </c>
    </row>
    <row r="41" spans="1:21" x14ac:dyDescent="0.25">
      <c r="A41" s="12">
        <v>0.79166666666666663</v>
      </c>
      <c r="B41" s="6" t="n">
        <v>298.4247421312332</v>
      </c>
      <c r="C41" s="6" t="n">
        <v>70.47146264400482</v>
      </c>
      <c r="D41" s="6" t="n">
        <v>24.447824057579034</v>
      </c>
      <c r="E41" s="6" t="n">
        <v>329.57318363513946</v>
      </c>
      <c r="F41" s="6" t="n">
        <v>445.09685012006753</v>
      </c>
      <c r="G41" s="6" t="n">
        <v>20.659015580654142</v>
      </c>
      <c r="H41" s="6" t="n">
        <v>335.4461871484757</v>
      </c>
      <c r="I41" s="6" t="n">
        <v>0.0</v>
      </c>
      <c r="J41" s="6">
        <f si="0" t="shared"/>
        <v>682.03310805857268</v>
      </c>
      <c r="L41" s="12">
        <v>0.79166666666666663</v>
      </c>
      <c r="M41" s="9" t="n">
        <v>715.5812578201294</v>
      </c>
      <c r="N41" s="9" t="n">
        <v>0.0</v>
      </c>
      <c r="O41" s="9" t="n">
        <v>0.0</v>
      </c>
      <c r="P41" s="9" t="n">
        <v>0.0</v>
      </c>
      <c r="Q41" s="9" t="n">
        <v>728.5916938781738</v>
      </c>
      <c r="R41" s="9" t="n">
        <v>79.23044872283936</v>
      </c>
      <c r="S41" s="9" t="n">
        <v>172.79626083374023</v>
      </c>
      <c r="T41" s="9" t="n">
        <v>0.0</v>
      </c>
      <c r="U41">
        <f si="1" t="shared"/>
        <v>1223.2618474960327</v>
      </c>
    </row>
    <row r="42" spans="1:21" x14ac:dyDescent="0.25">
      <c r="A42" s="12">
        <v>0.8125</v>
      </c>
      <c r="B42" s="6" t="n">
        <v>221.40276919784546</v>
      </c>
      <c r="C42" s="6" t="n">
        <v>40.26925764760971</v>
      </c>
      <c r="D42" s="6" t="n">
        <v>11.373442947006223</v>
      </c>
      <c r="E42" s="6" t="n">
        <v>248.4040719506264</v>
      </c>
      <c r="F42" s="6" t="n">
        <v>271.73738319578166</v>
      </c>
      <c r="G42" s="6" t="n">
        <v>8.969006037712095</v>
      </c>
      <c r="H42" s="6" t="n">
        <v>253.9726489461899</v>
      </c>
      <c r="I42" s="6" t="n">
        <v>0.0</v>
      </c>
      <c r="J42" s="6">
        <f si="0" t="shared"/>
        <v>411.26768538604546</v>
      </c>
      <c r="L42" s="12">
        <v>0.8125</v>
      </c>
      <c r="M42" s="9" t="n">
        <v>656.1711912155151</v>
      </c>
      <c r="N42" s="9" t="n">
        <v>0.0</v>
      </c>
      <c r="O42" s="9" t="n">
        <v>0.0</v>
      </c>
      <c r="P42" s="9" t="n">
        <v>0.0</v>
      </c>
      <c r="Q42" s="9" t="n">
        <v>589.187403678894</v>
      </c>
      <c r="R42" s="9" t="n">
        <v>57.95565700531006</v>
      </c>
      <c r="S42" s="9" t="n">
        <v>115.02406406402588</v>
      </c>
      <c r="T42" s="9" t="n">
        <v>0.0</v>
      </c>
      <c r="U42">
        <f si="1" t="shared"/>
        <v>943.39540863037109</v>
      </c>
    </row>
    <row r="43" spans="1:21" x14ac:dyDescent="0.25">
      <c r="A43" s="12">
        <v>0.83333333333333337</v>
      </c>
      <c r="B43" s="6" t="n">
        <v>155.19199592485427</v>
      </c>
      <c r="C43" s="6" t="n">
        <v>20.24080701379776</v>
      </c>
      <c r="D43" s="6" t="n">
        <v>4.2577540715217586</v>
      </c>
      <c r="E43" s="6" t="n">
        <v>165.92148881559373</v>
      </c>
      <c r="F43" s="6" t="n">
        <v>157.61195073537826</v>
      </c>
      <c r="G43" s="6" t="n">
        <v>3.2240578834533684</v>
      </c>
      <c r="H43" s="6" t="n">
        <v>172.19422357702257</v>
      </c>
      <c r="I43" s="6" t="n">
        <v>0.0</v>
      </c>
      <c r="J43" s="6">
        <f si="0" t="shared"/>
        <v>226.27411469268512</v>
      </c>
      <c r="L43" s="12">
        <v>0.83333333333333337</v>
      </c>
      <c r="M43" s="9" t="n">
        <v>596.9327154159546</v>
      </c>
      <c r="N43" s="9" t="n">
        <v>0.0</v>
      </c>
      <c r="O43" s="9" t="n">
        <v>0.0</v>
      </c>
      <c r="P43" s="9" t="n">
        <v>0.0</v>
      </c>
      <c r="Q43" s="9" t="n">
        <v>477.98213291168213</v>
      </c>
      <c r="R43" s="9" t="n">
        <v>41.35018253326416</v>
      </c>
      <c r="S43" s="9" t="n">
        <v>73.4849100112915</v>
      </c>
      <c r="T43" s="9" t="n">
        <v>0.0</v>
      </c>
      <c r="U43">
        <f si="1" t="shared"/>
        <v>717.0852575302124</v>
      </c>
    </row>
    <row r="44" spans="1:21" x14ac:dyDescent="0.25">
      <c r="A44" s="12">
        <v>0.85416666666666663</v>
      </c>
      <c r="B44" s="6" t="n">
        <v>111.56792201051711</v>
      </c>
      <c r="C44" s="6" t="n">
        <v>8.861373035621643</v>
      </c>
      <c r="D44" s="6" t="n">
        <v>1.2506450171470642</v>
      </c>
      <c r="E44" s="6" t="n">
        <v>95.57503380479814</v>
      </c>
      <c r="F44" s="6" t="n">
        <v>93.43093834085464</v>
      </c>
      <c r="G44" s="6" t="n">
        <v>0.9326141309738158</v>
      </c>
      <c r="H44" s="6" t="n">
        <v>119.60528827304839</v>
      </c>
      <c r="I44" s="6" t="n">
        <v>0.0</v>
      </c>
      <c r="J44" s="6">
        <f si="0" t="shared"/>
        <v>116.9319244619217</v>
      </c>
      <c r="L44" s="12">
        <v>0.85416666666666663</v>
      </c>
      <c r="M44" s="9" t="n">
        <v>536.8447790145874</v>
      </c>
      <c r="N44" s="9" t="n">
        <v>0.0</v>
      </c>
      <c r="O44" s="9" t="n">
        <v>0.0</v>
      </c>
      <c r="P44" s="9" t="n">
        <v>0.0</v>
      </c>
      <c r="Q44" s="9" t="n">
        <v>392.91955757141113</v>
      </c>
      <c r="R44" s="9" t="n">
        <v>29.475850105285645</v>
      </c>
      <c r="S44" s="9" t="n">
        <v>46.823917388916016</v>
      </c>
      <c r="T44" s="9" t="n">
        <v>0.0</v>
      </c>
      <c r="U44">
        <f si="1" t="shared"/>
        <v>546.68501091003418</v>
      </c>
    </row>
    <row r="45" spans="1:21" x14ac:dyDescent="0.25">
      <c r="A45" s="12">
        <v>0.875</v>
      </c>
      <c r="B45" s="6" t="n">
        <v>85.38951462926863</v>
      </c>
      <c r="C45" s="6" t="n">
        <v>3.346269244480133</v>
      </c>
      <c r="D45" s="6" t="n">
        <v>0.277578161239624</v>
      </c>
      <c r="E45" s="6" t="n">
        <v>46.873303788375864</v>
      </c>
      <c r="F45" s="6" t="n">
        <v>59.67341250839233</v>
      </c>
      <c r="G45" s="6" t="n">
        <v>0.20834120178222654</v>
      </c>
      <c r="H45" s="6" t="n">
        <v>129.75024254179002</v>
      </c>
      <c r="I45" s="6" t="n">
        <v>0.0</v>
      </c>
      <c r="J45" s="6">
        <f si="0" t="shared"/>
        <v>58.644382486431127</v>
      </c>
      <c r="L45" s="12">
        <v>0.875</v>
      </c>
      <c r="M45" s="9" t="n">
        <v>464.88176822662354</v>
      </c>
      <c r="N45" s="9" t="n">
        <v>0.0</v>
      </c>
      <c r="O45" s="9" t="n">
        <v>0.0</v>
      </c>
      <c r="P45" s="9" t="n">
        <v>0.0</v>
      </c>
      <c r="Q45" s="9" t="n">
        <v>320.225811958313</v>
      </c>
      <c r="R45" s="9" t="n">
        <v>21.056798934936523</v>
      </c>
      <c r="S45" s="9" t="n">
        <v>30.722573280334473</v>
      </c>
      <c r="T45" s="9" t="n">
        <v>0.0</v>
      </c>
      <c r="U45">
        <f si="1" t="shared"/>
        <v>414.51193237304687</v>
      </c>
    </row>
    <row r="46" spans="1:21" x14ac:dyDescent="0.25">
      <c r="A46" s="12">
        <v>0.89583333333333337</v>
      </c>
      <c r="B46" s="6" t="n">
        <v>65.61181176280975</v>
      </c>
      <c r="C46" s="6" t="n">
        <v>1.0745265422821044</v>
      </c>
      <c r="D46" s="6" t="n">
        <v>0.043773980140686036</v>
      </c>
      <c r="E46" s="6" t="n">
        <v>20.71419775876999</v>
      </c>
      <c r="F46" s="6" t="n">
        <v>40.555327986717224</v>
      </c>
      <c r="G46" s="6" t="n">
        <v>0.03367544422149658</v>
      </c>
      <c r="H46" s="6" t="n">
        <v>233.17898663291933</v>
      </c>
      <c r="I46" s="6" t="n">
        <v>0.0</v>
      </c>
      <c r="J46" s="6">
        <f si="0" t="shared"/>
        <v>29.190928185688019</v>
      </c>
      <c r="L46" s="12">
        <v>0.89583333333333337</v>
      </c>
      <c r="M46" s="9" t="n">
        <v>374.27099609375</v>
      </c>
      <c r="N46" s="9" t="n">
        <v>0.0</v>
      </c>
      <c r="O46" s="9" t="n">
        <v>0.0</v>
      </c>
      <c r="P46" s="9" t="n">
        <v>0.0</v>
      </c>
      <c r="Q46" s="9" t="n">
        <v>247.98988819122314</v>
      </c>
      <c r="R46" s="9" t="n">
        <v>14.686202049255371</v>
      </c>
      <c r="S46" s="9" t="n">
        <v>20.609901428222656</v>
      </c>
      <c r="T46" s="9" t="n">
        <v>0.0</v>
      </c>
      <c r="U46">
        <f si="1" t="shared"/>
        <v>302.27125549316406</v>
      </c>
    </row>
    <row r="47" spans="1:21" x14ac:dyDescent="0.25">
      <c r="A47" s="12">
        <v>0.91666666666666663</v>
      </c>
      <c r="B47" s="6" t="n">
        <v>46.12056725416183</v>
      </c>
      <c r="C47" s="6" t="n">
        <v>0.2862198062896728</v>
      </c>
      <c r="D47" s="6" t="n">
        <v>0.004371982955932617</v>
      </c>
      <c r="E47" s="6" t="n">
        <v>11.167611398506164</v>
      </c>
      <c r="F47" s="6" t="n">
        <v>27.975417427730562</v>
      </c>
      <c r="G47" s="6" t="n">
        <v>0.003497501373291015</v>
      </c>
      <c r="H47" s="6" t="n">
        <v>438.7018179157257</v>
      </c>
      <c r="I47" s="6" t="n">
        <v>0.0</v>
      </c>
      <c r="J47" s="6">
        <f si="0" t="shared"/>
        <v>14.365199559216499</v>
      </c>
      <c r="L47" s="12">
        <v>0.91666666666666663</v>
      </c>
      <c r="M47" s="9" t="n">
        <v>271.83087635040283</v>
      </c>
      <c r="N47" s="9" t="n">
        <v>0.0</v>
      </c>
      <c r="O47" s="9" t="n">
        <v>0.0</v>
      </c>
      <c r="P47" s="9" t="n">
        <v>0.0</v>
      </c>
      <c r="Q47" s="9" t="n">
        <v>175.19026470184326</v>
      </c>
      <c r="R47" s="9" t="n">
        <v>9.593732833862305</v>
      </c>
      <c r="S47" s="9" t="n">
        <v>13.541830062866211</v>
      </c>
      <c r="T47" s="9" t="n">
        <v>0.0</v>
      </c>
      <c r="U47">
        <f si="1" t="shared"/>
        <v>203.44841003417969</v>
      </c>
    </row>
    <row r="48" spans="1:21" x14ac:dyDescent="0.25">
      <c r="A48" s="12">
        <v>0.9375</v>
      </c>
      <c r="B48" s="6" t="n">
        <v>27.773202118015288</v>
      </c>
      <c r="C48" s="6" t="n">
        <v>0.06062521953582763</v>
      </c>
      <c r="D48" s="6" t="n">
        <v>2.0793180465698241E-4</v>
      </c>
      <c r="E48" s="6" t="n">
        <v>10.46238782453537</v>
      </c>
      <c r="F48" s="6" t="n">
        <v>18.995820310783387</v>
      </c>
      <c r="G48" s="6" t="n">
        <v>1.7487506866455078E-4</v>
      </c>
      <c r="H48" s="6" t="n">
        <v>706.0920198745729</v>
      </c>
      <c r="I48" s="6" t="n">
        <v>0.0</v>
      </c>
      <c r="J48" s="6">
        <f si="0" t="shared"/>
        <v>6.7577298050537102</v>
      </c>
      <c r="L48" s="12">
        <v>0.9375</v>
      </c>
      <c r="M48" s="9" t="n">
        <v>174.50770378112793</v>
      </c>
      <c r="N48" s="9" t="n">
        <v>0.0</v>
      </c>
      <c r="O48" s="9" t="n">
        <v>0.0</v>
      </c>
      <c r="P48" s="9" t="n">
        <v>0.0</v>
      </c>
      <c r="Q48" s="9" t="n">
        <v>109.73794460296631</v>
      </c>
      <c r="R48" s="9" t="n">
        <v>5.641626358032227</v>
      </c>
      <c r="S48" s="9" t="n">
        <v>8.337599754333496</v>
      </c>
      <c r="T48" s="9" t="n">
        <v>0.0</v>
      </c>
      <c r="U48">
        <f si="1" t="shared"/>
        <v>122.01653671264648</v>
      </c>
    </row>
    <row r="49" spans="1:21" x14ac:dyDescent="0.25">
      <c r="A49" s="12">
        <v>0.95833333333333337</v>
      </c>
      <c r="B49" s="6" t="n">
        <v>13.800322419071197</v>
      </c>
      <c r="C49" s="6" t="n">
        <v>0.009519250202178956</v>
      </c>
      <c r="D49" s="6" t="n">
        <v>0.0</v>
      </c>
      <c r="E49" s="6" t="n">
        <v>12.44211786403656</v>
      </c>
      <c r="F49" s="6" t="n">
        <v>12.572634904193878</v>
      </c>
      <c r="G49" s="6" t="n">
        <v>0.0</v>
      </c>
      <c r="H49" s="6" t="n">
        <v>940.1622630597117</v>
      </c>
      <c r="I49" s="6" t="n">
        <v>0.0</v>
      </c>
      <c r="J49" s="6">
        <f si="0" t="shared"/>
        <v>2.8870169488677977</v>
      </c>
      <c r="L49" s="12">
        <v>0.95833333333333337</v>
      </c>
      <c r="M49" s="9" t="n">
        <v>97.99237728118896</v>
      </c>
      <c r="N49" s="9" t="n">
        <v>0.0</v>
      </c>
      <c r="O49" s="9" t="n">
        <v>0.0</v>
      </c>
      <c r="P49" s="9" t="n">
        <v>0.0</v>
      </c>
      <c r="Q49" s="9" t="n">
        <v>60.040534019470215</v>
      </c>
      <c r="R49" s="9" t="n">
        <v>2.8930139541625977</v>
      </c>
      <c r="S49" s="9" t="n">
        <v>4.706097602844238</v>
      </c>
      <c r="T49" s="9" t="n">
        <v>0.0</v>
      </c>
      <c r="U49">
        <f si="1" t="shared"/>
        <v>63.480792999267578</v>
      </c>
    </row>
    <row r="50" spans="1:21" x14ac:dyDescent="0.25">
      <c r="A50" s="12">
        <v>0.97916666666666663</v>
      </c>
      <c r="B50" s="6" t="n">
        <v>5.512305627441406</v>
      </c>
      <c r="C50" s="6" t="n">
        <v>9.774761199951173E-4</v>
      </c>
      <c r="D50" s="6" t="n">
        <v>0.0</v>
      </c>
      <c r="E50" s="6" t="n">
        <v>13.47273853149414</v>
      </c>
      <c r="F50" s="6" t="n">
        <v>8.017801142692566</v>
      </c>
      <c r="G50" s="6" t="n">
        <v>0.0</v>
      </c>
      <c r="H50" s="6" t="n">
        <v>1034.0003118194581</v>
      </c>
      <c r="I50" s="6" t="n">
        <v>0.0</v>
      </c>
      <c r="J50" s="6">
        <f si="0" t="shared"/>
        <v>1.0604547704133986</v>
      </c>
      <c r="L50" s="12">
        <v>0.97916666666666663</v>
      </c>
      <c r="M50" s="9" t="n">
        <v>48.1577262878418</v>
      </c>
      <c r="N50" s="9" t="n">
        <v>0.0</v>
      </c>
      <c r="O50" s="9" t="n">
        <v>0.0</v>
      </c>
      <c r="P50" s="9" t="n">
        <v>0.0</v>
      </c>
      <c r="Q50" s="9" t="n">
        <v>28.65955638885498</v>
      </c>
      <c r="R50" s="9" t="n">
        <v>1.2602605819702148</v>
      </c>
      <c r="S50" s="9" t="n">
        <v>2.44844913482666</v>
      </c>
      <c r="T50" s="9" t="n">
        <v>0.0</v>
      </c>
      <c r="U50">
        <f si="1" t="shared"/>
        <v>28.059303283691406</v>
      </c>
    </row>
    <row r="51" spans="1:21" x14ac:dyDescent="0.25">
      <c r="A51" s="12">
        <v>1</v>
      </c>
      <c r="B51" s="6" t="n">
        <v>1.7222548727989198</v>
      </c>
      <c r="C51" s="6" t="n">
        <v>4.887380599975586E-5</v>
      </c>
      <c r="D51" s="6" t="n">
        <v>0.0</v>
      </c>
      <c r="E51" s="6" t="n">
        <v>12.228547573947903</v>
      </c>
      <c r="F51" s="6" t="n">
        <v>4.7943591146469124</v>
      </c>
      <c r="G51" s="6" t="n">
        <v>0.0</v>
      </c>
      <c r="H51" s="6" t="n">
        <v>939.9845208024027</v>
      </c>
      <c r="I51" s="6" t="n">
        <v>0.0</v>
      </c>
      <c r="J51" s="6">
        <f si="0" t="shared"/>
        <v>0.31758802208137515</v>
      </c>
      <c r="L51" s="12">
        <v>1</v>
      </c>
      <c r="M51" s="9" t="n">
        <v>21.02307891845703</v>
      </c>
      <c r="N51" s="9" t="n">
        <v>0.0</v>
      </c>
      <c r="O51" s="9" t="n">
        <v>0.0</v>
      </c>
      <c r="P51" s="9" t="n">
        <v>0.0</v>
      </c>
      <c r="Q51" s="9" t="n">
        <v>12.143694877624512</v>
      </c>
      <c r="R51" s="9" t="n">
        <v>0.45490360260009766</v>
      </c>
      <c r="S51" s="9" t="n">
        <v>1.2052679061889648</v>
      </c>
      <c r="T51" s="9" t="n">
        <v>0.0</v>
      </c>
      <c r="U51">
        <f si="1" t="shared"/>
        <v>10.367070198059082</v>
      </c>
    </row>
    <row r="52" spans="1:21" x14ac:dyDescent="0.25">
      <c r="A52" s="12">
        <v>1.0208333333333333</v>
      </c>
      <c r="B52" s="6" t="n">
        <v>0.40523644065856934</v>
      </c>
      <c r="C52" s="6" t="n">
        <v>0.0</v>
      </c>
      <c r="D52" s="6" t="n">
        <v>0.0</v>
      </c>
      <c r="E52" s="6" t="n">
        <v>9.170564005851745</v>
      </c>
      <c r="F52" s="6" t="n">
        <v>2.5886777925491335</v>
      </c>
      <c r="G52" s="6" t="n">
        <v>0.0</v>
      </c>
      <c r="H52" s="6" t="n">
        <v>704.9877191333771</v>
      </c>
      <c r="I52" s="6" t="n">
        <v>0.0</v>
      </c>
      <c r="J52" s="6">
        <f si="0" t="shared"/>
        <v>7.3314203408241282E-2</v>
      </c>
      <c r="L52" s="12">
        <v>1.0208333333333333</v>
      </c>
      <c r="M52" s="9" t="n">
        <v>8.403129577636719</v>
      </c>
      <c r="N52" s="9" t="n">
        <v>0.0</v>
      </c>
      <c r="O52" s="9" t="n">
        <v>0.0</v>
      </c>
      <c r="P52" s="9" t="n">
        <v>0.0</v>
      </c>
      <c r="Q52" s="9" t="n">
        <v>4.753178596496582</v>
      </c>
      <c r="R52" s="9" t="n">
        <v>0.13230514526367188</v>
      </c>
      <c r="S52" s="9" t="n">
        <v>0.5750017166137695</v>
      </c>
      <c r="T52" s="9" t="n">
        <v>0.0</v>
      </c>
      <c r="U52">
        <f si="1" t="shared"/>
        <v>3.1759281158447266</v>
      </c>
    </row>
    <row r="53" spans="1:21" x14ac:dyDescent="0.25">
      <c r="A53" s="12">
        <v>4.1666666666666664E-2</v>
      </c>
      <c r="B53" s="6" t="n">
        <v>0.06753940677642822</v>
      </c>
      <c r="C53" s="6" t="n">
        <v>0.0</v>
      </c>
      <c r="D53" s="6" t="n">
        <v>0.0</v>
      </c>
      <c r="E53" s="6" t="n">
        <v>5.6434240036010745</v>
      </c>
      <c r="F53" s="6" t="n">
        <v>1.2160606431961059</v>
      </c>
      <c r="G53" s="6" t="n">
        <v>0.0</v>
      </c>
      <c r="H53" s="6" t="n">
        <v>433.83859638977054</v>
      </c>
      <c r="I53" s="6" t="n">
        <v>0.0</v>
      </c>
      <c r="J53" s="6">
        <f si="0" t="shared"/>
        <v>1.213167303943634E-2</v>
      </c>
      <c r="L53" s="12">
        <v>4.1666666666666664E-2</v>
      </c>
      <c r="M53" s="9" t="n">
        <v>3.1752777099609375</v>
      </c>
      <c r="N53" s="9" t="n">
        <v>0.0</v>
      </c>
      <c r="O53" s="9" t="n">
        <v>0.0</v>
      </c>
      <c r="P53" s="9" t="n">
        <v>0.0</v>
      </c>
      <c r="Q53" s="9" t="n">
        <v>1.7998342514038086</v>
      </c>
      <c r="R53" s="9" t="n">
        <v>0.029909133911132812</v>
      </c>
      <c r="S53" s="9" t="n">
        <v>0.2632417678833008</v>
      </c>
      <c r="T53" s="9" t="n">
        <v>0.0</v>
      </c>
      <c r="U53">
        <f si="1" t="shared"/>
        <v>0.81901836395263672</v>
      </c>
    </row>
    <row r="54" spans="1:21" x14ac:dyDescent="0.25">
      <c r="A54" s="12">
        <v>6.25E-2</v>
      </c>
      <c r="B54" s="6" t="n">
        <v>0.007109411239624024</v>
      </c>
      <c r="C54" s="6" t="n">
        <v>0.0</v>
      </c>
      <c r="D54" s="6" t="n">
        <v>0.0</v>
      </c>
      <c r="E54" s="6" t="n">
        <v>2.8217120018005373</v>
      </c>
      <c r="F54" s="6" t="n">
        <v>0.48134694290161123</v>
      </c>
      <c r="G54" s="6" t="n">
        <v>0.0</v>
      </c>
      <c r="H54" s="6" t="n">
        <v>216.91929819488527</v>
      </c>
      <c r="I54" s="6" t="n">
        <v>0.0</v>
      </c>
      <c r="J54" s="6">
        <f si="0" t="shared"/>
        <v>1.2746907615661621E-3</v>
      </c>
      <c r="L54" s="12">
        <v>6.25E-2</v>
      </c>
      <c r="M54" s="9" t="n">
        <v>1.1364097595214844</v>
      </c>
      <c r="N54" s="9" t="n">
        <v>0.0</v>
      </c>
      <c r="O54" s="9" t="n">
        <v>0.0</v>
      </c>
      <c r="P54" s="9" t="n">
        <v>0.0</v>
      </c>
      <c r="Q54" s="9" t="n">
        <v>0.6635150909423828</v>
      </c>
      <c r="R54" s="9" t="n">
        <v>0.004990577697753906</v>
      </c>
      <c r="S54" s="9" t="n">
        <v>0.11009407043457031</v>
      </c>
      <c r="T54" s="9" t="n">
        <v>0.0</v>
      </c>
      <c r="U54">
        <f si="1" t="shared"/>
        <v>0.19040584564208984</v>
      </c>
    </row>
    <row r="55" spans="1:21" x14ac:dyDescent="0.25">
      <c r="A55" s="12">
        <v>8.3333333333333329E-2</v>
      </c>
      <c r="B55" s="6" t="n">
        <v>3.554705619812012E-4</v>
      </c>
      <c r="C55" s="6" t="n">
        <v>0.0</v>
      </c>
      <c r="D55" s="6" t="n">
        <v>0.0</v>
      </c>
      <c r="E55" s="6" t="n">
        <v>1.1286848007202148</v>
      </c>
      <c r="F55" s="6" t="n">
        <v>0.15596447181701656</v>
      </c>
      <c r="G55" s="6" t="n">
        <v>0.0</v>
      </c>
      <c r="H55" s="6" t="n">
        <v>86.76771927795411</v>
      </c>
      <c r="I55" s="6" t="n">
        <v>0.0</v>
      </c>
      <c r="J55" s="6">
        <f si="0" t="shared"/>
        <v>6.3734538078308103E-5</v>
      </c>
      <c r="L55" s="12">
        <v>8.3333333333333329E-2</v>
      </c>
      <c r="M55" s="9" t="n">
        <v>0.36830615997314453</v>
      </c>
      <c r="N55" s="9" t="n">
        <v>0.0</v>
      </c>
      <c r="O55" s="9" t="n">
        <v>0.0</v>
      </c>
      <c r="P55" s="9" t="n">
        <v>0.0</v>
      </c>
      <c r="Q55" s="9" t="n">
        <v>0.22502899169921875</v>
      </c>
      <c r="R55" s="9" t="n">
        <v>5.655288696289062E-4</v>
      </c>
      <c r="S55" s="9" t="n">
        <v>0.039481163024902344</v>
      </c>
      <c r="T55" s="9" t="n">
        <v>0.0</v>
      </c>
      <c r="U55">
        <f si="1" t="shared"/>
        <v>4.480743408203125E-2</v>
      </c>
    </row>
    <row r="56" spans="1:21" x14ac:dyDescent="0.25">
      <c r="A56" s="12">
        <v>0.10416666666666667</v>
      </c>
      <c r="B56" s="6" t="n">
        <v>0.0</v>
      </c>
      <c r="C56" s="6" t="n">
        <v>0.0</v>
      </c>
      <c r="D56" s="6" t="n">
        <v>0.0</v>
      </c>
      <c r="E56" s="6" t="n">
        <v>0.35264120063781734</v>
      </c>
      <c r="F56" s="6" t="n">
        <v>0.04009896183013915</v>
      </c>
      <c r="G56" s="6" t="n">
        <v>0.0</v>
      </c>
      <c r="H56" s="6" t="n">
        <v>27.109315801239013</v>
      </c>
      <c r="I56" s="6" t="n">
        <v>0.0</v>
      </c>
      <c r="J56" s="6">
        <f si="0" t="shared"/>
        <v>0</v>
      </c>
      <c r="L56" s="12">
        <v>0.10416666666666667</v>
      </c>
      <c r="M56" s="9" t="n">
        <v>0.10064220428466797</v>
      </c>
      <c r="N56" s="9" t="n">
        <v>0.0</v>
      </c>
      <c r="O56" s="9" t="n">
        <v>0.0</v>
      </c>
      <c r="P56" s="9" t="n">
        <v>0.0</v>
      </c>
      <c r="Q56" s="9" t="n">
        <v>0.06449317932128906</v>
      </c>
      <c r="R56" s="9" t="n">
        <v>3.719329833984375E-5</v>
      </c>
      <c r="S56" s="9" t="n">
        <v>0.011445999145507812</v>
      </c>
      <c r="T56" s="9" t="n">
        <v>0.0</v>
      </c>
      <c r="U56">
        <f si="1" t="shared"/>
        <v>1.0897636413574219E-2</v>
      </c>
    </row>
    <row r="57" spans="1:21" x14ac:dyDescent="0.25">
      <c r="A57" s="12">
        <v>0.125</v>
      </c>
      <c r="B57" s="6" t="n">
        <v>0.0</v>
      </c>
      <c r="C57" s="6" t="n">
        <v>0.0</v>
      </c>
      <c r="D57" s="6" t="n">
        <v>0.0</v>
      </c>
      <c r="E57" s="6" t="n">
        <v>0.08153553771972656</v>
      </c>
      <c r="F57" s="6" t="n">
        <v>0.007759589195251463</v>
      </c>
      <c r="G57" s="6" t="n">
        <v>0.0</v>
      </c>
      <c r="H57" s="6" t="n">
        <v>6.268049896240235</v>
      </c>
      <c r="I57" s="6" t="n">
        <v>0.0</v>
      </c>
      <c r="J57" s="6">
        <f si="0" t="shared"/>
        <v>0</v>
      </c>
      <c r="L57" s="12">
        <v>0.125</v>
      </c>
      <c r="M57" s="9" t="n">
        <v>0.021195411682128906</v>
      </c>
      <c r="N57" s="9" t="n">
        <v>0.0</v>
      </c>
      <c r="O57" s="9" t="n">
        <v>0.0</v>
      </c>
      <c r="P57" s="9" t="n">
        <v>0.0</v>
      </c>
      <c r="Q57" s="9" t="n">
        <v>0.014181137084960938</v>
      </c>
      <c r="R57" s="9" t="n">
        <v>9.5367431640625E-7</v>
      </c>
      <c r="S57" s="9" t="n">
        <v>0.0024967193603515625</v>
      </c>
      <c r="T57" s="9" t="n">
        <v>0.0</v>
      </c>
      <c r="U57">
        <f si="1" t="shared"/>
        <v>2.3221969604492188E-3</v>
      </c>
    </row>
    <row ht="15.75" r="58" spans="1:21" thickBot="1" x14ac:dyDescent="0.3">
      <c r="A58" s="13" t="s">
        <v>6</v>
      </c>
      <c r="B58" s="7" t="n">
        <v>0.0</v>
      </c>
      <c r="C58" s="7" t="n">
        <v>0.0</v>
      </c>
      <c r="D58" s="7" t="n">
        <v>0.0</v>
      </c>
      <c r="E58" s="7" t="n">
        <v>0.0</v>
      </c>
      <c r="F58" s="7" t="n">
        <v>0.0</v>
      </c>
      <c r="G58" s="7" t="n">
        <v>0.0</v>
      </c>
      <c r="H58" s="7" t="n">
        <v>0.0</v>
      </c>
      <c r="I58" s="7" t="n">
        <v>0.0</v>
      </c>
      <c r="J58" s="7">
        <f si="0" t="shared"/>
        <v>0</v>
      </c>
      <c r="L58" s="13" t="s">
        <v>6</v>
      </c>
      <c r="M58" s="10" t="n">
        <v>0.0</v>
      </c>
      <c r="N58" s="10" t="n">
        <v>0.0</v>
      </c>
      <c r="O58" s="10" t="n">
        <v>0.0</v>
      </c>
      <c r="P58" s="10" t="n">
        <v>0.0</v>
      </c>
      <c r="Q58" s="10" t="n">
        <v>0.0</v>
      </c>
      <c r="R58" s="10" t="n">
        <v>0.0</v>
      </c>
      <c r="S58" s="10" t="n">
        <v>0.0</v>
      </c>
      <c r="T58" s="10" t="n">
        <v>0.0</v>
      </c>
      <c r="U58" s="1">
        <f si="1" t="shared"/>
        <v>0</v>
      </c>
    </row>
  </sheetData>
  <pageMargins bottom="0.75" footer="0.3" header="0.3" left="0.7" right="0.7" top="0.75"/>
  <pageSetup orientation="portrait" r:id="rId1"/>
  <drawing r:id="rId2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6"/>
  <dimension ref="A1:Z58"/>
  <sheetViews>
    <sheetView topLeftCell="L1" workbookViewId="0">
      <selection sqref="A1:XFD1048576"/>
    </sheetView>
  </sheetViews>
  <sheetFormatPr defaultRowHeight="15" x14ac:dyDescent="0.25"/>
  <cols>
    <col min="1" max="1" customWidth="true" width="12.7109375" collapsed="true"/>
    <col min="2" max="10" customWidth="true" width="10.7109375" collapsed="true"/>
    <col min="11" max="11" customWidth="true" width="6.42578125" collapsed="true"/>
    <col min="12" max="12" customWidth="true" width="12.7109375" collapsed="true"/>
    <col min="13" max="21" customWidth="true" width="10.7109375" collapsed="true"/>
  </cols>
  <sheetData>
    <row r="1" spans="1:26" x14ac:dyDescent="0.25">
      <c r="A1" t="s">
        <v>29</v>
      </c>
    </row>
    <row r="2" spans="1:26" x14ac:dyDescent="0.25">
      <c r="A2" t="s">
        <v>46</v>
      </c>
    </row>
    <row r="3" spans="1:26" x14ac:dyDescent="0.25">
      <c r="A3" t="s">
        <v>7</v>
      </c>
    </row>
    <row r="4" spans="1:26" x14ac:dyDescent="0.25">
      <c r="A4" t="s">
        <v>8</v>
      </c>
    </row>
    <row r="5" spans="1:26" x14ac:dyDescent="0.25">
      <c r="W5" s="5"/>
      <c r="X5" s="5"/>
      <c r="Y5" s="5"/>
      <c r="Z5" s="5"/>
    </row>
    <row ht="15.75" r="6" spans="1:26" thickBot="1" x14ac:dyDescent="0.3">
      <c r="A6" s="3" t="s">
        <v>53</v>
      </c>
      <c r="B6" s="1"/>
      <c r="C6" s="1"/>
      <c r="D6" s="1"/>
      <c r="E6" s="1"/>
      <c r="F6" s="1"/>
      <c r="G6" s="1"/>
      <c r="H6" s="1"/>
      <c r="I6" s="1"/>
      <c r="J6" s="1"/>
      <c r="L6" s="3" t="s">
        <v>28</v>
      </c>
      <c r="M6" s="1"/>
      <c r="N6" s="1"/>
      <c r="O6" s="1"/>
      <c r="P6" s="1"/>
      <c r="Q6" s="1"/>
      <c r="R6" s="1"/>
      <c r="S6" s="1"/>
      <c r="T6" s="1"/>
      <c r="U6" s="1"/>
      <c r="W6" s="11"/>
      <c r="X6" s="5"/>
      <c r="Y6" s="5"/>
      <c r="Z6" s="5"/>
    </row>
    <row r="7" spans="1:26" x14ac:dyDescent="0.25">
      <c r="A7" s="2" t="s">
        <v>4</v>
      </c>
      <c r="B7" s="4" t="s">
        <v>17</v>
      </c>
      <c r="C7" s="4" t="s">
        <v>18</v>
      </c>
      <c r="D7" s="4" t="s">
        <v>19</v>
      </c>
      <c r="E7" s="4" t="s">
        <v>20</v>
      </c>
      <c r="F7" s="4" t="s">
        <v>21</v>
      </c>
      <c r="G7" s="4" t="s">
        <v>24</v>
      </c>
      <c r="H7" s="4" t="s">
        <v>22</v>
      </c>
      <c r="I7" s="4" t="s">
        <v>23</v>
      </c>
      <c r="J7" s="4" t="s">
        <v>0</v>
      </c>
      <c r="L7" s="2" t="s">
        <v>4</v>
      </c>
      <c r="M7" s="4" t="s">
        <v>17</v>
      </c>
      <c r="N7" s="4" t="s">
        <v>18</v>
      </c>
      <c r="O7" s="4" t="s">
        <v>19</v>
      </c>
      <c r="P7" s="4" t="s">
        <v>20</v>
      </c>
      <c r="Q7" s="4" t="s">
        <v>21</v>
      </c>
      <c r="R7" s="4" t="s">
        <v>24</v>
      </c>
      <c r="S7" s="4" t="s">
        <v>22</v>
      </c>
      <c r="T7" s="4" t="s">
        <v>23</v>
      </c>
      <c r="U7" s="4" t="s">
        <v>0</v>
      </c>
      <c r="W7" s="5"/>
      <c r="X7" s="14"/>
      <c r="Y7" s="14"/>
      <c r="Z7" s="5"/>
    </row>
    <row r="8" spans="1:26" x14ac:dyDescent="0.25">
      <c r="A8" t="s">
        <v>5</v>
      </c>
      <c r="B8" s="6" t="n">
        <v>0.0</v>
      </c>
      <c r="C8" s="6" t="n">
        <v>0.0</v>
      </c>
      <c r="D8" s="6" t="n">
        <v>0.0</v>
      </c>
      <c r="E8" s="6" t="n">
        <v>0.0</v>
      </c>
      <c r="F8" s="6" t="n">
        <v>0.0</v>
      </c>
      <c r="G8" s="6" t="n">
        <v>0.0</v>
      </c>
      <c r="H8" s="6" t="n">
        <v>0.0</v>
      </c>
      <c r="I8" s="6" t="n">
        <v>0.0</v>
      </c>
      <c r="J8" s="6">
        <f>SUM(B8:I8)</f>
        <v>773.53164200000015</v>
      </c>
      <c r="L8" t="s">
        <v>5</v>
      </c>
      <c r="M8" s="9" t="n">
        <v>60.0</v>
      </c>
      <c r="N8" s="9" t="n">
        <v>9.0</v>
      </c>
      <c r="O8" s="9" t="n">
        <v>1.0</v>
      </c>
      <c r="P8" s="9" t="n">
        <v>10.0</v>
      </c>
      <c r="Q8" s="9" t="n">
        <v>16.0</v>
      </c>
      <c r="R8" s="9" t="n">
        <v>0.0</v>
      </c>
      <c r="S8" s="9" t="n">
        <v>12.0</v>
      </c>
      <c r="T8" s="9" t="n">
        <v>0.0</v>
      </c>
      <c r="U8">
        <f>SUM(M8:T8)</f>
        <v>3172</v>
      </c>
      <c r="W8" s="5"/>
      <c r="X8" s="16"/>
      <c r="Y8" s="16"/>
      <c r="Z8" s="5"/>
    </row>
    <row r="9" spans="1:26" x14ac:dyDescent="0.25">
      <c r="A9" s="12">
        <v>0.125</v>
      </c>
      <c r="B9" s="6" t="n">
        <v>637.0842920734406</v>
      </c>
      <c r="C9" s="6" t="n">
        <v>141.006718803215</v>
      </c>
      <c r="D9" s="6" t="n">
        <v>63.58142168655395</v>
      </c>
      <c r="E9" s="6" t="n">
        <v>254.20902184963222</v>
      </c>
      <c r="F9" s="6" t="n">
        <v>33.86385381593704</v>
      </c>
      <c r="G9" s="6" t="n">
        <v>3.9018478393554687E-4</v>
      </c>
      <c r="H9" s="6" t="n">
        <v>178.35907814674377</v>
      </c>
      <c r="I9" s="6" t="n">
        <v>0.0</v>
      </c>
      <c r="J9" s="6">
        <f ref="J9:J58" si="0" t="shared">SUM(B9:I9)</f>
        <v>608.65544286001773</v>
      </c>
      <c r="L9" s="12">
        <v>0.125</v>
      </c>
      <c r="M9" s="9" t="n">
        <v>355.28983211517334</v>
      </c>
      <c r="N9" s="9" t="n">
        <v>49.30162811279297</v>
      </c>
      <c r="O9" s="9" t="n">
        <v>33.96370029449463</v>
      </c>
      <c r="P9" s="9" t="n">
        <v>104.41543769836426</v>
      </c>
      <c r="Q9" s="9" t="n">
        <v>58.34831142425537</v>
      </c>
      <c r="R9" s="9" t="n">
        <v>11.510100364685059</v>
      </c>
      <c r="S9" s="9" t="n">
        <v>105.71016883850098</v>
      </c>
      <c r="T9" s="9" t="n">
        <v>0.0</v>
      </c>
      <c r="U9">
        <f ref="U9:U58" si="1" t="shared">SUM(M9:T9)</f>
        <v>2595.1529760360718</v>
      </c>
      <c r="W9" s="5"/>
      <c r="X9" s="16"/>
      <c r="Y9" s="16"/>
      <c r="Z9" s="5"/>
    </row>
    <row r="10" spans="1:26" x14ac:dyDescent="0.25">
      <c r="A10" s="12">
        <v>0.14583333333333334</v>
      </c>
      <c r="B10" s="6" t="n">
        <v>1329.2625960775376</v>
      </c>
      <c r="C10" s="6" t="n">
        <v>264.3413536747932</v>
      </c>
      <c r="D10" s="6" t="n">
        <v>148.8510476568222</v>
      </c>
      <c r="E10" s="6" t="n">
        <v>524.9072166721343</v>
      </c>
      <c r="F10" s="6" t="n">
        <v>69.35178495292664</v>
      </c>
      <c r="G10" s="6" t="n">
        <v>0.008622964668273924</v>
      </c>
      <c r="H10" s="6" t="n">
        <v>328.6522231302261</v>
      </c>
      <c r="I10" s="6" t="n">
        <v>0.0</v>
      </c>
      <c r="J10" s="6">
        <f si="0" t="shared"/>
        <v>553.85778568026831</v>
      </c>
      <c r="L10" s="12">
        <v>0.14583333333333334</v>
      </c>
      <c r="M10" s="9" t="n">
        <v>573.7672967910767</v>
      </c>
      <c r="N10" s="9" t="n">
        <v>83.39378833770752</v>
      </c>
      <c r="O10" s="9" t="n">
        <v>65.05543804168701</v>
      </c>
      <c r="P10" s="9" t="n">
        <v>177.99069213867188</v>
      </c>
      <c r="Q10" s="9" t="n">
        <v>82.4489860534668</v>
      </c>
      <c r="R10" s="9" t="n">
        <v>18.922932624816895</v>
      </c>
      <c r="S10" s="9" t="n">
        <v>165.43050575256348</v>
      </c>
      <c r="T10" s="9" t="n">
        <v>0.0</v>
      </c>
      <c r="U10">
        <f si="1" t="shared"/>
        <v>2170.6028833389282</v>
      </c>
      <c r="W10" s="5"/>
      <c r="X10" s="16"/>
      <c r="Y10" s="16"/>
      <c r="Z10" s="5"/>
    </row>
    <row r="11" spans="1:26" x14ac:dyDescent="0.25">
      <c r="A11" s="12">
        <v>0.16666666666666666</v>
      </c>
      <c r="B11" s="6" t="n">
        <v>2133.9259363366127</v>
      </c>
      <c r="C11" s="6" t="n">
        <v>387.6747125320435</v>
      </c>
      <c r="D11" s="6" t="n">
        <v>288.13134855718613</v>
      </c>
      <c r="E11" s="6" t="n">
        <v>847.2986780199049</v>
      </c>
      <c r="F11" s="6" t="n">
        <v>107.19044428033828</v>
      </c>
      <c r="G11" s="6" t="n">
        <v>0.09052048873901367</v>
      </c>
      <c r="H11" s="6" t="n">
        <v>425.2546194559096</v>
      </c>
      <c r="I11" s="6" t="n">
        <v>0.0</v>
      </c>
      <c r="J11" s="6">
        <f si="0" t="shared"/>
        <v>731.64519123718924</v>
      </c>
      <c r="L11" s="12">
        <v>0.16666666666666666</v>
      </c>
      <c r="M11" s="9" t="n">
        <v>772.878321647644</v>
      </c>
      <c r="N11" s="9" t="n">
        <v>133.23210048675537</v>
      </c>
      <c r="O11" s="9" t="n">
        <v>121.99250984191895</v>
      </c>
      <c r="P11" s="9" t="n">
        <v>272.92655181884766</v>
      </c>
      <c r="Q11" s="9" t="n">
        <v>88.46614360809326</v>
      </c>
      <c r="R11" s="9" t="n">
        <v>22.726160049438477</v>
      </c>
      <c r="S11" s="9" t="n">
        <v>198.76049041748047</v>
      </c>
      <c r="T11" s="9" t="n">
        <v>0.0</v>
      </c>
      <c r="U11">
        <f si="1" t="shared"/>
        <v>2067.7143077850342</v>
      </c>
      <c r="W11" s="5"/>
      <c r="X11" s="16"/>
      <c r="Y11" s="16"/>
      <c r="Z11" s="5"/>
    </row>
    <row r="12" spans="1:26" x14ac:dyDescent="0.25">
      <c r="A12" s="12">
        <v>0.1875</v>
      </c>
      <c r="B12" s="6" t="n">
        <v>3119.6051356148723</v>
      </c>
      <c r="C12" s="6" t="n">
        <v>577.4235703660011</v>
      </c>
      <c r="D12" s="6" t="n">
        <v>528.9654447040558</v>
      </c>
      <c r="E12" s="6" t="n">
        <v>1301.4157583493231</v>
      </c>
      <c r="F12" s="6" t="n">
        <v>148.89779711141588</v>
      </c>
      <c r="G12" s="6" t="n">
        <v>0.6006051979064941</v>
      </c>
      <c r="H12" s="6" t="n">
        <v>460.7694124310493</v>
      </c>
      <c r="I12" s="6" t="n">
        <v>0.0</v>
      </c>
      <c r="J12" s="6">
        <f si="0" t="shared"/>
        <v>1298.0851401668626</v>
      </c>
      <c r="L12" s="12">
        <v>0.1875</v>
      </c>
      <c r="M12" s="9" t="n">
        <v>1196.695306777954</v>
      </c>
      <c r="N12" s="9" t="n">
        <v>270.5685558319092</v>
      </c>
      <c r="O12" s="9" t="n">
        <v>290.6975107192993</v>
      </c>
      <c r="P12" s="9" t="n">
        <v>542.9632253646851</v>
      </c>
      <c r="Q12" s="9" t="n">
        <v>100.43294715881348</v>
      </c>
      <c r="R12" s="9" t="n">
        <v>29.464529037475586</v>
      </c>
      <c r="S12" s="9" t="n">
        <v>270.0848693847656</v>
      </c>
      <c r="T12" s="9" t="n">
        <v>0.0</v>
      </c>
      <c r="U12">
        <f si="1" t="shared"/>
        <v>2492.4953565597534</v>
      </c>
      <c r="W12" s="5"/>
      <c r="X12" s="5"/>
      <c r="Y12" s="5"/>
      <c r="Z12" s="5"/>
    </row>
    <row r="13" spans="1:26" x14ac:dyDescent="0.25">
      <c r="A13" s="12">
        <v>0.20833333333333334</v>
      </c>
      <c r="B13" s="6" t="n">
        <v>4371.390172705842</v>
      </c>
      <c r="C13" s="6" t="n">
        <v>933.682388854599</v>
      </c>
      <c r="D13" s="6" t="n">
        <v>934.7137869915007</v>
      </c>
      <c r="E13" s="6" t="n">
        <v>2042.1967968188283</v>
      </c>
      <c r="F13" s="6" t="n">
        <v>201.2437119653702</v>
      </c>
      <c r="G13" s="6" t="n">
        <v>2.8270806503295898</v>
      </c>
      <c r="H13" s="6" t="n">
        <v>467.4623925004005</v>
      </c>
      <c r="I13" s="6" t="n">
        <v>0.0</v>
      </c>
      <c r="J13" s="6">
        <f si="0" t="shared"/>
        <v>2451.899608087635</v>
      </c>
      <c r="L13" s="12">
        <v>0.20833333333333334</v>
      </c>
      <c r="M13" s="9" t="n">
        <v>2217.329231262207</v>
      </c>
      <c r="N13" s="9" t="n">
        <v>624.6944398880005</v>
      </c>
      <c r="O13" s="9" t="n">
        <v>736.1573076248169</v>
      </c>
      <c r="P13" s="9" t="n">
        <v>1276.144404411316</v>
      </c>
      <c r="Q13" s="9" t="n">
        <v>158.7275514602661</v>
      </c>
      <c r="R13" s="9" t="n">
        <v>49.73081874847412</v>
      </c>
      <c r="S13" s="9" t="n">
        <v>485.2188444137573</v>
      </c>
      <c r="T13" s="9" t="n">
        <v>0.0</v>
      </c>
      <c r="U13">
        <f si="1" t="shared"/>
        <v>3684.0526132583618</v>
      </c>
    </row>
    <row r="14" spans="1:26" x14ac:dyDescent="0.25">
      <c r="A14" s="12">
        <v>0.22916666666666666</v>
      </c>
      <c r="B14" s="6" t="n">
        <v>5969.436111955548</v>
      </c>
      <c r="C14" s="6" t="n">
        <v>1556.223081271553</v>
      </c>
      <c r="D14" s="6" t="n">
        <v>1589.2329811463353</v>
      </c>
      <c r="E14" s="6" t="n">
        <v>3312.7624966608996</v>
      </c>
      <c r="F14" s="6" t="n">
        <v>279.39482072982787</v>
      </c>
      <c r="G14" s="6" t="n">
        <v>10.04452620792389</v>
      </c>
      <c r="H14" s="6" t="n">
        <v>523.5368382533072</v>
      </c>
      <c r="I14" s="6" t="n">
        <v>0.0</v>
      </c>
      <c r="J14" s="6">
        <f si="0" t="shared"/>
        <v>4381.3248190935192</v>
      </c>
      <c r="L14" s="12">
        <v>0.22916666666666666</v>
      </c>
      <c r="M14" s="9" t="n">
        <v>4176.968649864197</v>
      </c>
      <c r="N14" s="9" t="n">
        <v>1362.2071380615234</v>
      </c>
      <c r="O14" s="9" t="n">
        <v>1693.6530323028564</v>
      </c>
      <c r="P14" s="9" t="n">
        <v>2865.6170778274536</v>
      </c>
      <c r="Q14" s="9" t="n">
        <v>307.22356033325195</v>
      </c>
      <c r="R14" s="9" t="n">
        <v>94.0901346206665</v>
      </c>
      <c r="S14" s="9" t="n">
        <v>954.6548843383789</v>
      </c>
      <c r="T14" s="9" t="n">
        <v>0.0</v>
      </c>
      <c r="U14">
        <f si="1" t="shared"/>
        <v>5853.1796159744263</v>
      </c>
    </row>
    <row r="15" spans="1:26" x14ac:dyDescent="0.25">
      <c r="A15" s="12">
        <v>0.25</v>
      </c>
      <c r="B15" s="6" t="n">
        <v>7929.824124230005</v>
      </c>
      <c r="C15" s="6" t="n">
        <v>2506.5108611367223</v>
      </c>
      <c r="D15" s="6" t="n">
        <v>2607.3691096858024</v>
      </c>
      <c r="E15" s="6" t="n">
        <v>5404.403556781768</v>
      </c>
      <c r="F15" s="6" t="n">
        <v>402.4152940365791</v>
      </c>
      <c r="G15" s="6" t="n">
        <v>27.985604275035865</v>
      </c>
      <c r="H15" s="6" t="n">
        <v>732.6505169202804</v>
      </c>
      <c r="I15" s="6" t="n">
        <v>0.0</v>
      </c>
      <c r="J15" s="6">
        <f si="0" t="shared"/>
        <v>7123.403603153838</v>
      </c>
      <c r="L15" s="12">
        <v>0.25</v>
      </c>
      <c r="M15" s="9" t="n">
        <v>7172.074458122253</v>
      </c>
      <c r="N15" s="9" t="n">
        <v>2624.49663066864</v>
      </c>
      <c r="O15" s="9" t="n">
        <v>3400.8762741088867</v>
      </c>
      <c r="P15" s="9" t="n">
        <v>5688.736696243286</v>
      </c>
      <c r="Q15" s="9" t="n">
        <v>578.4142971038818</v>
      </c>
      <c r="R15" s="9" t="n">
        <v>168.1000509262085</v>
      </c>
      <c r="S15" s="9" t="n">
        <v>1742.425615310669</v>
      </c>
      <c r="T15" s="9" t="n">
        <v>0.0</v>
      </c>
      <c r="U15">
        <f si="1" t="shared"/>
        <v>9066.0977611541748</v>
      </c>
    </row>
    <row r="16" spans="1:26" x14ac:dyDescent="0.25">
      <c r="A16" s="12">
        <v>0.27083333333333331</v>
      </c>
      <c r="B16" s="6" t="n">
        <v>10134.429887833883</v>
      </c>
      <c r="C16" s="6" t="n">
        <v>3777.843969562435</v>
      </c>
      <c r="D16" s="6" t="n">
        <v>4136.2243782371515</v>
      </c>
      <c r="E16" s="6" t="n">
        <v>8531.997261084936</v>
      </c>
      <c r="F16" s="6" t="n">
        <v>579.8722537844657</v>
      </c>
      <c r="G16" s="6" t="n">
        <v>62.727426746559146</v>
      </c>
      <c r="H16" s="6" t="n">
        <v>1181.0065419203759</v>
      </c>
      <c r="I16" s="6" t="n">
        <v>0.0</v>
      </c>
      <c r="J16" s="6">
        <f si="0" t="shared"/>
        <v>10411.791386685427</v>
      </c>
      <c r="L16" s="12">
        <v>0.27083333333333331</v>
      </c>
      <c r="M16" s="9" t="n">
        <v>10887.067260742188</v>
      </c>
      <c r="N16" s="9" t="n">
        <v>4435.046143531799</v>
      </c>
      <c r="O16" s="9" t="n">
        <v>5970.054069519043</v>
      </c>
      <c r="P16" s="9" t="n">
        <v>9897.687173843384</v>
      </c>
      <c r="Q16" s="9" t="n">
        <v>976.428957939148</v>
      </c>
      <c r="R16" s="9" t="n">
        <v>267.9107971191406</v>
      </c>
      <c r="S16" s="9" t="n">
        <v>2814.8259563446045</v>
      </c>
      <c r="T16" s="9" t="n">
        <v>0.0</v>
      </c>
      <c r="U16">
        <f si="1" t="shared"/>
        <v>13133.600598335266</v>
      </c>
    </row>
    <row r="17" spans="1:21" x14ac:dyDescent="0.25">
      <c r="A17" s="12">
        <v>0.29166666666666669</v>
      </c>
      <c r="B17" s="6" t="n">
        <v>12305.88465443211</v>
      </c>
      <c r="C17" s="6" t="n">
        <v>5282.452399111271</v>
      </c>
      <c r="D17" s="6" t="n">
        <v>6320.02360653286</v>
      </c>
      <c r="E17" s="6" t="n">
        <v>12648.476731853865</v>
      </c>
      <c r="F17" s="6" t="n">
        <v>798.646089020538</v>
      </c>
      <c r="G17" s="6" t="n">
        <v>115.23538964033129</v>
      </c>
      <c r="H17" s="6" t="n">
        <v>1885.9475315020563</v>
      </c>
      <c r="I17" s="6" t="n">
        <v>0.0</v>
      </c>
      <c r="J17" s="6">
        <f si="0" t="shared"/>
        <v>13677.254144341528</v>
      </c>
      <c r="L17" s="12">
        <v>0.29166666666666669</v>
      </c>
      <c r="M17" s="9" t="n">
        <v>14626.001099586487</v>
      </c>
      <c r="N17" s="9" t="n">
        <v>6629.263418197632</v>
      </c>
      <c r="O17" s="9" t="n">
        <v>9259.141182899475</v>
      </c>
      <c r="P17" s="9" t="n">
        <v>15220.904609680176</v>
      </c>
      <c r="Q17" s="9" t="n">
        <v>1464.0466527938843</v>
      </c>
      <c r="R17" s="9" t="n">
        <v>379.3239793777466</v>
      </c>
      <c r="S17" s="9" t="n">
        <v>4021.585726737976</v>
      </c>
      <c r="T17" s="9" t="n">
        <v>0.0</v>
      </c>
      <c r="U17">
        <f si="1" t="shared"/>
        <v>17593.591903686523</v>
      </c>
    </row>
    <row r="18" spans="1:21" x14ac:dyDescent="0.25">
      <c r="A18" s="12">
        <v>0.3125</v>
      </c>
      <c r="B18" s="6" t="n">
        <v>14073.601297019388</v>
      </c>
      <c r="C18" s="6" t="n">
        <v>6862.7227106431</v>
      </c>
      <c r="D18" s="6" t="n">
        <v>9212.393424533368</v>
      </c>
      <c r="E18" s="6" t="n">
        <v>17317.857747260092</v>
      </c>
      <c r="F18" s="6" t="n">
        <v>1023.1803544859883</v>
      </c>
      <c r="G18" s="6" t="n">
        <v>176.2710915565491</v>
      </c>
      <c r="H18" s="6" t="n">
        <v>2759.7716801908496</v>
      </c>
      <c r="I18" s="6" t="n">
        <v>0.0</v>
      </c>
      <c r="J18" s="6">
        <f si="0" t="shared"/>
        <v>16290.958775080895</v>
      </c>
      <c r="L18" s="12">
        <v>0.3125</v>
      </c>
      <c r="M18" s="9" t="n">
        <v>17586.392462730408</v>
      </c>
      <c r="N18" s="9" t="n">
        <v>8868.572657585144</v>
      </c>
      <c r="O18" s="9" t="n">
        <v>12837.983682632446</v>
      </c>
      <c r="P18" s="9" t="n">
        <v>20929.364943504333</v>
      </c>
      <c r="Q18" s="9" t="n">
        <v>1965.6190118789673</v>
      </c>
      <c r="R18" s="9" t="n">
        <v>482.46440505981445</v>
      </c>
      <c r="S18" s="9" t="n">
        <v>5137.58216381073</v>
      </c>
      <c r="T18" s="9" t="n">
        <v>0.0</v>
      </c>
      <c r="U18">
        <f si="1" t="shared"/>
        <v>21842.794293403625</v>
      </c>
    </row>
    <row r="19" spans="1:21" x14ac:dyDescent="0.25">
      <c r="A19" s="12">
        <v>0.33333333333333331</v>
      </c>
      <c r="B19" s="6" t="n">
        <v>15123.966663680078</v>
      </c>
      <c r="C19" s="6" t="n">
        <v>8328.852435340596</v>
      </c>
      <c r="D19" s="6" t="n">
        <v>12663.719756637098</v>
      </c>
      <c r="E19" s="6" t="n">
        <v>21804.463874492736</v>
      </c>
      <c r="F19" s="6" t="n">
        <v>1212.969888989162</v>
      </c>
      <c r="G19" s="6" t="n">
        <v>228.63487079658506</v>
      </c>
      <c r="H19" s="6" t="n">
        <v>3620.440080970288</v>
      </c>
      <c r="I19" s="6" t="n">
        <v>0.0</v>
      </c>
      <c r="J19" s="6">
        <f si="0" t="shared"/>
        <v>17911.659899233844</v>
      </c>
      <c r="L19" s="12">
        <v>0.33333333333333331</v>
      </c>
      <c r="M19" s="9" t="n">
        <v>19217.107788085938</v>
      </c>
      <c r="N19" s="9" t="n">
        <v>10753.014155387878</v>
      </c>
      <c r="O19" s="9" t="n">
        <v>16106.002217292786</v>
      </c>
      <c r="P19" s="9" t="n">
        <v>26048.130242347717</v>
      </c>
      <c r="Q19" s="9" t="n">
        <v>2391.043144226074</v>
      </c>
      <c r="R19" s="9" t="n">
        <v>560.2170782089233</v>
      </c>
      <c r="S19" s="9" t="n">
        <v>5952.438586235046</v>
      </c>
      <c r="T19" s="9" t="n">
        <v>0.0</v>
      </c>
      <c r="U19">
        <f si="1" t="shared"/>
        <v>25379.299785614014</v>
      </c>
    </row>
    <row r="20" spans="1:21" x14ac:dyDescent="0.25">
      <c r="A20" s="12">
        <v>0.35416666666666669</v>
      </c>
      <c r="B20" s="6" t="n">
        <v>15358.770583464811</v>
      </c>
      <c r="C20" s="6" t="n">
        <v>9513.039392592145</v>
      </c>
      <c r="D20" s="6" t="n">
        <v>16267.189254904937</v>
      </c>
      <c r="E20" s="6" t="n">
        <v>25401.580572484112</v>
      </c>
      <c r="F20" s="6" t="n">
        <v>1346.4232380840297</v>
      </c>
      <c r="G20" s="6" t="n">
        <v>259.1405055353165</v>
      </c>
      <c r="H20" s="6" t="n">
        <v>4263.215967330169</v>
      </c>
      <c r="I20" s="6" t="n">
        <v>0.0</v>
      </c>
      <c r="J20" s="6">
        <f si="0" t="shared"/>
        <v>18653.42383675617</v>
      </c>
      <c r="L20" s="12">
        <v>0.35416666666666669</v>
      </c>
      <c r="M20" s="9" t="n">
        <v>19419.789627075195</v>
      </c>
      <c r="N20" s="9" t="n">
        <v>11975.878357887268</v>
      </c>
      <c r="O20" s="9" t="n">
        <v>18515.942909240723</v>
      </c>
      <c r="P20" s="9" t="n">
        <v>29724.578211784363</v>
      </c>
      <c r="Q20" s="9" t="n">
        <v>2670.2747354507446</v>
      </c>
      <c r="R20" s="9" t="n">
        <v>605.1430683135986</v>
      </c>
      <c r="S20" s="9" t="n">
        <v>6355.370443344116</v>
      </c>
      <c r="T20" s="9" t="n">
        <v>0.0</v>
      </c>
      <c r="U20">
        <f si="1" t="shared"/>
        <v>28009.209641456604</v>
      </c>
    </row>
    <row r="21" spans="1:21" x14ac:dyDescent="0.25">
      <c r="A21" s="12">
        <v>0.375</v>
      </c>
      <c r="B21" s="6" t="n">
        <v>14952.59685852909</v>
      </c>
      <c r="C21" s="6" t="n">
        <v>10317.09494677105</v>
      </c>
      <c r="D21" s="6" t="n">
        <v>19450.94267549696</v>
      </c>
      <c r="E21" s="6" t="n">
        <v>27780.59768312387</v>
      </c>
      <c r="F21" s="6" t="n">
        <v>1434.3211157595629</v>
      </c>
      <c r="G21" s="6" t="n">
        <v>271.83036760959624</v>
      </c>
      <c r="H21" s="6" t="n">
        <v>4559.4105450046545</v>
      </c>
      <c r="I21" s="6" t="n">
        <v>0.0</v>
      </c>
      <c r="J21" s="6">
        <f si="0" t="shared"/>
        <v>18927.297038257806</v>
      </c>
      <c r="L21" s="12">
        <v>0.375</v>
      </c>
      <c r="M21" s="9" t="n">
        <v>18491.018726348877</v>
      </c>
      <c r="N21" s="9" t="n">
        <v>12431.377216339111</v>
      </c>
      <c r="O21" s="9" t="n">
        <v>19776.691383361816</v>
      </c>
      <c r="P21" s="9" t="n">
        <v>31542.387192726135</v>
      </c>
      <c r="Q21" s="9" t="n">
        <v>2778.4811153411865</v>
      </c>
      <c r="R21" s="9" t="n">
        <v>620.6898775100708</v>
      </c>
      <c r="S21" s="9" t="n">
        <v>6365.363327026367</v>
      </c>
      <c r="T21" s="9" t="n">
        <v>0.0</v>
      </c>
      <c r="U21">
        <f si="1" t="shared"/>
        <v>29856.840393066406</v>
      </c>
    </row>
    <row r="22" spans="1:21" x14ac:dyDescent="0.25">
      <c r="A22" s="12">
        <v>0.39583333333333331</v>
      </c>
      <c r="B22" s="6" t="n">
        <v>14251.042871329879</v>
      </c>
      <c r="C22" s="6" t="n">
        <v>10731.391021954538</v>
      </c>
      <c r="D22" s="6" t="n">
        <v>21707.79078272915</v>
      </c>
      <c r="E22" s="6" t="n">
        <v>29064.695764163684</v>
      </c>
      <c r="F22" s="6" t="n">
        <v>1512.3275335842131</v>
      </c>
      <c r="G22" s="6" t="n">
        <v>288.69215500450133</v>
      </c>
      <c r="H22" s="6" t="n">
        <v>4515.027188294316</v>
      </c>
      <c r="I22" s="6" t="n">
        <v>0.0</v>
      </c>
      <c r="J22" s="6">
        <f si="0" t="shared"/>
        <v>19102.05227797804</v>
      </c>
      <c r="L22" s="12">
        <v>0.39583333333333331</v>
      </c>
      <c r="M22" s="9" t="n">
        <v>16906.23893547058</v>
      </c>
      <c r="N22" s="9" t="n">
        <v>12221.540147781372</v>
      </c>
      <c r="O22" s="9" t="n">
        <v>19924.387420654297</v>
      </c>
      <c r="P22" s="9" t="n">
        <v>31611.323784828186</v>
      </c>
      <c r="Q22" s="9" t="n">
        <v>2738.4240217208862</v>
      </c>
      <c r="R22" s="9" t="n">
        <v>617.162127494812</v>
      </c>
      <c r="S22" s="9" t="n">
        <v>6098.881410598755</v>
      </c>
      <c r="T22" s="9" t="n">
        <v>0.0</v>
      </c>
      <c r="U22">
        <f si="1" t="shared"/>
        <v>31168.343020439148</v>
      </c>
    </row>
    <row r="23" spans="1:21" x14ac:dyDescent="0.25">
      <c r="A23" s="12">
        <v>0.41666666666666669</v>
      </c>
      <c r="B23" s="6" t="n">
        <v>13568.692108170317</v>
      </c>
      <c r="C23" s="6" t="n">
        <v>10822.436793856334</v>
      </c>
      <c r="D23" s="6" t="n">
        <v>22825.397337941835</v>
      </c>
      <c r="E23" s="6" t="n">
        <v>29579.025643516543</v>
      </c>
      <c r="F23" s="6" t="n">
        <v>1615.076873208618</v>
      </c>
      <c r="G23" s="6" t="n">
        <v>333.129500701809</v>
      </c>
      <c r="H23" s="6" t="n">
        <v>4250.123575936986</v>
      </c>
      <c r="I23" s="6" t="n">
        <v>0.0</v>
      </c>
      <c r="J23" s="6">
        <f si="0" t="shared"/>
        <v>19271.363525955709</v>
      </c>
      <c r="L23" s="12">
        <v>0.41666666666666669</v>
      </c>
      <c r="M23" s="9" t="n">
        <v>15119.794907569885</v>
      </c>
      <c r="N23" s="9" t="n">
        <v>11580.975953102112</v>
      </c>
      <c r="O23" s="9" t="n">
        <v>19252.849968910217</v>
      </c>
      <c r="P23" s="9" t="n">
        <v>30433.682683944702</v>
      </c>
      <c r="Q23" s="9" t="n">
        <v>2603.501191139221</v>
      </c>
      <c r="R23" s="9" t="n">
        <v>606.617169380188</v>
      </c>
      <c r="S23" s="9" t="n">
        <v>5709.250696182251</v>
      </c>
      <c r="T23" s="9" t="n">
        <v>0.0</v>
      </c>
      <c r="U23">
        <f si="1" t="shared"/>
        <v>32095.263586044312</v>
      </c>
    </row>
    <row r="24" spans="1:21" x14ac:dyDescent="0.25">
      <c r="A24" s="12">
        <v>0.4375</v>
      </c>
      <c r="B24" s="6" t="n">
        <v>13029.863285742664</v>
      </c>
      <c r="C24" s="6" t="n">
        <v>10705.563422952937</v>
      </c>
      <c r="D24" s="6" t="n">
        <v>22960.619511507222</v>
      </c>
      <c r="E24" s="6" t="n">
        <v>29558.60622610569</v>
      </c>
      <c r="F24" s="6" t="n">
        <v>1748.8036150341986</v>
      </c>
      <c r="G24" s="6" t="n">
        <v>407.70495976772315</v>
      </c>
      <c r="H24" s="6" t="n">
        <v>3927.020051852227</v>
      </c>
      <c r="I24" s="6" t="n">
        <v>0.0</v>
      </c>
      <c r="J24" s="6">
        <f si="0" t="shared"/>
        <v>19289.527601763661</v>
      </c>
      <c r="L24" s="12">
        <v>0.4375</v>
      </c>
      <c r="M24" s="9" t="n">
        <v>13478.443922042847</v>
      </c>
      <c r="N24" s="9" t="n">
        <v>10784.814147949219</v>
      </c>
      <c r="O24" s="9" t="n">
        <v>18184.40623664856</v>
      </c>
      <c r="P24" s="9" t="n">
        <v>28688.490361213684</v>
      </c>
      <c r="Q24" s="9" t="n">
        <v>2436.7210779190063</v>
      </c>
      <c r="R24" s="9" t="n">
        <v>600.5124225616455</v>
      </c>
      <c r="S24" s="9" t="n">
        <v>5340.538513183594</v>
      </c>
      <c r="T24" s="9" t="n">
        <v>0.0</v>
      </c>
      <c r="U24">
        <f si="1" t="shared"/>
        <v>32657.91600227356</v>
      </c>
    </row>
    <row r="25" spans="1:21" x14ac:dyDescent="0.25">
      <c r="A25" s="12">
        <v>0.45833333333333331</v>
      </c>
      <c r="B25" s="6" t="n">
        <v>12564.308633008384</v>
      </c>
      <c r="C25" s="6" t="n">
        <v>10519.203608933734</v>
      </c>
      <c r="D25" s="6" t="n">
        <v>22520.36913141355</v>
      </c>
      <c r="E25" s="6" t="n">
        <v>29108.362414277843</v>
      </c>
      <c r="F25" s="6" t="n">
        <v>1886.022485431862</v>
      </c>
      <c r="G25" s="6" t="n">
        <v>485.61348653020866</v>
      </c>
      <c r="H25" s="6" t="n">
        <v>3686.7955716732026</v>
      </c>
      <c r="I25" s="6" t="n">
        <v>0.0</v>
      </c>
      <c r="J25" s="6">
        <f si="0" t="shared"/>
        <v>19001.314840331113</v>
      </c>
      <c r="L25" s="12">
        <v>0.45833333333333331</v>
      </c>
      <c r="M25" s="9" t="n">
        <v>12231.306657791138</v>
      </c>
      <c r="N25" s="9" t="n">
        <v>10089.516422271729</v>
      </c>
      <c r="O25" s="9" t="n">
        <v>17160.711484909058</v>
      </c>
      <c r="P25" s="9" t="n">
        <v>27062.79847049713</v>
      </c>
      <c r="Q25" s="9" t="n">
        <v>2297.590431213379</v>
      </c>
      <c r="R25" s="9" t="n">
        <v>610.3664627075195</v>
      </c>
      <c r="S25" s="9" t="n">
        <v>5113.217921257019</v>
      </c>
      <c r="T25" s="9" t="n">
        <v>0.0</v>
      </c>
      <c r="U25">
        <f si="1" t="shared"/>
        <v>32879.605794906616</v>
      </c>
    </row>
    <row r="26" spans="1:21" x14ac:dyDescent="0.25">
      <c r="A26" s="12">
        <v>0.47916666666666669</v>
      </c>
      <c r="B26" s="6" t="n">
        <v>12050.585413138104</v>
      </c>
      <c r="C26" s="6" t="n">
        <v>10403.789526102257</v>
      </c>
      <c r="D26" s="6" t="n">
        <v>21936.12235260544</v>
      </c>
      <c r="E26" s="6" t="n">
        <v>28388.560281966213</v>
      </c>
      <c r="F26" s="6" t="n">
        <v>1991.731696488762</v>
      </c>
      <c r="G26" s="6" t="n">
        <v>526.5769434911729</v>
      </c>
      <c r="H26" s="6" t="n">
        <v>3619.7281080791477</v>
      </c>
      <c r="I26" s="6" t="n">
        <v>0.0</v>
      </c>
      <c r="J26" s="6">
        <f si="0" t="shared"/>
        <v>18457.053459988259</v>
      </c>
      <c r="L26" s="12">
        <v>0.47916666666666669</v>
      </c>
      <c r="M26" s="9" t="n">
        <v>11560.772703170776</v>
      </c>
      <c r="N26" s="9" t="n">
        <v>9704.297930717468</v>
      </c>
      <c r="O26" s="9" t="n">
        <v>16563.897119522095</v>
      </c>
      <c r="P26" s="9" t="n">
        <v>26141.99903011322</v>
      </c>
      <c r="Q26" s="9" t="n">
        <v>2236.086820602417</v>
      </c>
      <c r="R26" s="9" t="n">
        <v>648.3951768875122</v>
      </c>
      <c r="S26" s="9" t="n">
        <v>5126.095730781555</v>
      </c>
      <c r="T26" s="9" t="n">
        <v>0.0</v>
      </c>
      <c r="U26">
        <f si="1" t="shared"/>
        <v>32898.891410827637</v>
      </c>
    </row>
    <row r="27" spans="1:21" x14ac:dyDescent="0.25">
      <c r="A27" s="12">
        <v>0.5</v>
      </c>
      <c r="B27" s="6" t="n">
        <v>11491.551173408603</v>
      </c>
      <c r="C27" s="6" t="n">
        <v>10479.964932489585</v>
      </c>
      <c r="D27" s="6" t="n">
        <v>21452.950887503623</v>
      </c>
      <c r="E27" s="6" t="n">
        <v>27742.170730031114</v>
      </c>
      <c r="F27" s="6" t="n">
        <v>2060.037267675972</v>
      </c>
      <c r="G27" s="6" t="n">
        <v>508.1503908735276</v>
      </c>
      <c r="H27" s="6" t="n">
        <v>3754.3578644433983</v>
      </c>
      <c r="I27" s="6" t="n">
        <v>0.0</v>
      </c>
      <c r="J27" s="6">
        <f si="0" t="shared"/>
        <v>17948.870297543628</v>
      </c>
      <c r="L27" s="12">
        <v>0.5</v>
      </c>
      <c r="M27" s="9" t="n">
        <v>11577.202595710754</v>
      </c>
      <c r="N27" s="9" t="n">
        <v>9762.908526420593</v>
      </c>
      <c r="O27" s="9" t="n">
        <v>16636.120752334595</v>
      </c>
      <c r="P27" s="9" t="n">
        <v>26301.804389953613</v>
      </c>
      <c r="Q27" s="9" t="n">
        <v>2285.9276247024536</v>
      </c>
      <c r="R27" s="9" t="n">
        <v>725.2595338821411</v>
      </c>
      <c r="S27" s="9" t="n">
        <v>5449.955297470093</v>
      </c>
      <c r="T27" s="9" t="n">
        <v>0.0</v>
      </c>
      <c r="U27">
        <f si="1" t="shared"/>
        <v>32924.307945251465</v>
      </c>
    </row>
    <row r="28" spans="1:21" x14ac:dyDescent="0.25">
      <c r="A28" s="12">
        <v>0.52083333333333337</v>
      </c>
      <c r="B28" s="6" t="n">
        <v>11086.661033391665</v>
      </c>
      <c r="C28" s="6" t="n">
        <v>10822.81328317318</v>
      </c>
      <c r="D28" s="6" t="n">
        <v>21036.16888655262</v>
      </c>
      <c r="E28" s="6" t="n">
        <v>27572.081735558037</v>
      </c>
      <c r="F28" s="6" t="n">
        <v>2123.3836587067603</v>
      </c>
      <c r="G28" s="6" t="n">
        <v>448.7283341086388</v>
      </c>
      <c r="H28" s="6" t="n">
        <v>4057.3237216506004</v>
      </c>
      <c r="I28" s="6" t="n">
        <v>0.0</v>
      </c>
      <c r="J28" s="6">
        <f si="0" t="shared"/>
        <v>17853.814141517967</v>
      </c>
      <c r="L28" s="12">
        <v>0.52083333333333337</v>
      </c>
      <c r="M28" s="9" t="n">
        <v>12284.506156921387</v>
      </c>
      <c r="N28" s="9" t="n">
        <v>10288.822974205017</v>
      </c>
      <c r="O28" s="9" t="n">
        <v>17400.673740386963</v>
      </c>
      <c r="P28" s="9" t="n">
        <v>27599.695072174072</v>
      </c>
      <c r="Q28" s="9" t="n">
        <v>2455.6424045562744</v>
      </c>
      <c r="R28" s="9" t="n">
        <v>845.8169527053833</v>
      </c>
      <c r="S28" s="9" t="n">
        <v>6109.9269552230835</v>
      </c>
      <c r="T28" s="9" t="n">
        <v>0.0</v>
      </c>
      <c r="U28">
        <f si="1" t="shared"/>
        <v>33096.275484085083</v>
      </c>
    </row>
    <row r="29" spans="1:21" x14ac:dyDescent="0.25">
      <c r="A29" s="12">
        <v>0.54166666666666663</v>
      </c>
      <c r="B29" s="6" t="n">
        <v>11144.798391371343</v>
      </c>
      <c r="C29" s="6" t="n">
        <v>11433.361206514455</v>
      </c>
      <c r="D29" s="6" t="n">
        <v>20456.51285823803</v>
      </c>
      <c r="E29" s="6" t="n">
        <v>28061.698181328302</v>
      </c>
      <c r="F29" s="6" t="n">
        <v>2219.59364862299</v>
      </c>
      <c r="G29" s="6" t="n">
        <v>402.8484849660874</v>
      </c>
      <c r="H29" s="6" t="n">
        <v>4462.459453164387</v>
      </c>
      <c r="I29" s="6" t="n">
        <v>0.0</v>
      </c>
      <c r="J29" s="6">
        <f si="0" t="shared"/>
        <v>18399.355718846149</v>
      </c>
      <c r="L29" s="12">
        <v>0.54166666666666663</v>
      </c>
      <c r="M29" s="9" t="n">
        <v>13571.6402053833</v>
      </c>
      <c r="N29" s="9" t="n">
        <v>11184.084477424622</v>
      </c>
      <c r="O29" s="9" t="n">
        <v>18643.42289829254</v>
      </c>
      <c r="P29" s="9" t="n">
        <v>29749.531202316284</v>
      </c>
      <c r="Q29" s="9" t="n">
        <v>2725.7810039520264</v>
      </c>
      <c r="R29" s="9" t="n">
        <v>1007.2747478485107</v>
      </c>
      <c r="S29" s="9" t="n">
        <v>7078.613955497742</v>
      </c>
      <c r="T29" s="9" t="n">
        <v>0.0</v>
      </c>
      <c r="U29">
        <f si="1" t="shared"/>
        <v>33412.220588684082</v>
      </c>
    </row>
    <row r="30" spans="1:21" x14ac:dyDescent="0.25">
      <c r="A30" s="12">
        <v>0.5625</v>
      </c>
      <c r="B30" s="6" t="n">
        <v>11906.341949986265</v>
      </c>
      <c r="C30" s="6" t="n">
        <v>12214.1679912817</v>
      </c>
      <c r="D30" s="6" t="n">
        <v>19505.134665570356</v>
      </c>
      <c r="E30" s="6" t="n">
        <v>28992.878435859682</v>
      </c>
      <c r="F30" s="6" t="n">
        <v>2346.9357530137063</v>
      </c>
      <c r="G30" s="6" t="n">
        <v>430.26306322011953</v>
      </c>
      <c r="H30" s="6" t="n">
        <v>4934.958420615769</v>
      </c>
      <c r="I30" s="6" t="n">
        <v>0.0</v>
      </c>
      <c r="J30" s="6">
        <f si="0" t="shared"/>
        <v>19507.951033582489</v>
      </c>
      <c r="L30" s="12">
        <v>0.5625</v>
      </c>
      <c r="M30" s="9" t="n">
        <v>15265.626742362976</v>
      </c>
      <c r="N30" s="9" t="n">
        <v>12267.349133491516</v>
      </c>
      <c r="O30" s="9" t="n">
        <v>19997.259353637695</v>
      </c>
      <c r="P30" s="9" t="n">
        <v>32237.650791168213</v>
      </c>
      <c r="Q30" s="9" t="n">
        <v>3059.016001701355</v>
      </c>
      <c r="R30" s="9" t="n">
        <v>1202.6975173950195</v>
      </c>
      <c r="S30" s="9" t="n">
        <v>8296.145195007324</v>
      </c>
      <c r="T30" s="9" t="n">
        <v>0.0</v>
      </c>
      <c r="U30">
        <f si="1" t="shared"/>
        <v>33778.840437889099</v>
      </c>
    </row>
    <row r="31" spans="1:21" x14ac:dyDescent="0.25">
      <c r="A31" s="12">
        <v>0.58333333333333337</v>
      </c>
      <c r="B31" s="6" t="n">
        <v>13421.8633439888</v>
      </c>
      <c r="C31" s="6" t="n">
        <v>12968.84772949505</v>
      </c>
      <c r="D31" s="6" t="n">
        <v>18168.77657191801</v>
      </c>
      <c r="E31" s="6" t="n">
        <v>29832.70839139166</v>
      </c>
      <c r="F31" s="6" t="n">
        <v>2454.8211029000286</v>
      </c>
      <c r="G31" s="6" t="n">
        <v>559.3791753455164</v>
      </c>
      <c r="H31" s="6" t="n">
        <v>5533.799862228203</v>
      </c>
      <c r="I31" s="6" t="n">
        <v>0.0</v>
      </c>
      <c r="J31" s="6">
        <f si="0" t="shared"/>
        <v>20832.43719628367</v>
      </c>
      <c r="L31" s="12">
        <v>0.58333333333333337</v>
      </c>
      <c r="M31" s="9" t="n">
        <v>17214.159637451172</v>
      </c>
      <c r="N31" s="9" t="n">
        <v>13339.860904693604</v>
      </c>
      <c r="O31" s="9" t="n">
        <v>21084.583585739136</v>
      </c>
      <c r="P31" s="9" t="n">
        <v>34510.21354866028</v>
      </c>
      <c r="Q31" s="9" t="n">
        <v>3416.7290058135986</v>
      </c>
      <c r="R31" s="9" t="n">
        <v>1426.4682903289795</v>
      </c>
      <c r="S31" s="9" t="n">
        <v>9697.692778587341</v>
      </c>
      <c r="T31" s="9" t="n">
        <v>0.0</v>
      </c>
      <c r="U31">
        <f si="1" t="shared"/>
        <v>34122.22211933136</v>
      </c>
    </row>
    <row r="32" spans="1:21" x14ac:dyDescent="0.25">
      <c r="A32" s="12">
        <v>0.60416666666666663</v>
      </c>
      <c r="B32" s="6" t="n">
        <v>15594.804777963065</v>
      </c>
      <c r="C32" s="6" t="n">
        <v>13456.971737881757</v>
      </c>
      <c r="D32" s="6" t="n">
        <v>16625.348561191655</v>
      </c>
      <c r="E32" s="6" t="n">
        <v>30044.936573899555</v>
      </c>
      <c r="F32" s="6" t="n">
        <v>2484.3381863430022</v>
      </c>
      <c r="G32" s="6" t="n">
        <v>768.6048545229914</v>
      </c>
      <c r="H32" s="6" t="n">
        <v>6418.544528562833</v>
      </c>
      <c r="I32" s="6" t="n">
        <v>0.0</v>
      </c>
      <c r="J32" s="6">
        <f si="0" t="shared"/>
        <v>21982.777105147208</v>
      </c>
      <c r="L32" s="12">
        <v>0.60416666666666663</v>
      </c>
      <c r="M32" s="9" t="n">
        <v>19329.27779865265</v>
      </c>
      <c r="N32" s="9" t="n">
        <v>14228.873482704163</v>
      </c>
      <c r="O32" s="9" t="n">
        <v>21618.71199989319</v>
      </c>
      <c r="P32" s="9" t="n">
        <v>36093.18412590027</v>
      </c>
      <c r="Q32" s="9" t="n">
        <v>3767.2824850082397</v>
      </c>
      <c r="R32" s="9" t="n">
        <v>1673.8652000427246</v>
      </c>
      <c r="S32" s="9" t="n">
        <v>11207.322752952576</v>
      </c>
      <c r="T32" s="9" t="n">
        <v>0.0</v>
      </c>
      <c r="U32">
        <f si="1" t="shared"/>
        <v>34452.064776420593</v>
      </c>
    </row>
    <row r="33" spans="1:21" x14ac:dyDescent="0.25">
      <c r="A33" s="12">
        <v>0.625</v>
      </c>
      <c r="B33" s="6" t="n">
        <v>18353.443711578748</v>
      </c>
      <c r="C33" s="6" t="n">
        <v>13512.586570261288</v>
      </c>
      <c r="D33" s="6" t="n">
        <v>15102.623447321412</v>
      </c>
      <c r="E33" s="6" t="n">
        <v>29411.467407643315</v>
      </c>
      <c r="F33" s="6" t="n">
        <v>2423.091367825985</v>
      </c>
      <c r="G33" s="6" t="n">
        <v>997.3403259387019</v>
      </c>
      <c r="H33" s="6" t="n">
        <v>7776.636666062261</v>
      </c>
      <c r="I33" s="6" t="n">
        <v>0.0</v>
      </c>
      <c r="J33" s="6">
        <f si="0" t="shared"/>
        <v>22807.472179579432</v>
      </c>
      <c r="L33" s="12">
        <v>0.625</v>
      </c>
      <c r="M33" s="9" t="n">
        <v>21562.218739509583</v>
      </c>
      <c r="N33" s="9" t="n">
        <v>14787.467980384827</v>
      </c>
      <c r="O33" s="9" t="n">
        <v>21417.37018585205</v>
      </c>
      <c r="P33" s="9" t="n">
        <v>36597.68402004242</v>
      </c>
      <c r="Q33" s="9" t="n">
        <v>4079.854537963867</v>
      </c>
      <c r="R33" s="9" t="n">
        <v>1931.5902252197266</v>
      </c>
      <c r="S33" s="9" t="n">
        <v>12688.057188987732</v>
      </c>
      <c r="T33" s="9" t="n">
        <v>0.0</v>
      </c>
      <c r="U33">
        <f si="1" t="shared"/>
        <v>34840.52916431427</v>
      </c>
    </row>
    <row r="34" spans="1:21" x14ac:dyDescent="0.25">
      <c r="A34" s="12">
        <v>0.64583333333333337</v>
      </c>
      <c r="B34" s="6" t="n">
        <v>21786.75147374411</v>
      </c>
      <c r="C34" s="6" t="n">
        <v>13164.876253798011</v>
      </c>
      <c r="D34" s="6" t="n">
        <v>13758.740129234597</v>
      </c>
      <c r="E34" s="6" t="n">
        <v>28147.692402083205</v>
      </c>
      <c r="F34" s="6" t="n">
        <v>2324.783059657287</v>
      </c>
      <c r="G34" s="6" t="n">
        <v>1180.265821034527</v>
      </c>
      <c r="H34" s="6" t="n">
        <v>9698.869410756972</v>
      </c>
      <c r="I34" s="6" t="n">
        <v>0.0</v>
      </c>
      <c r="J34" s="6">
        <f si="0" t="shared"/>
        <v>23525.995249250271</v>
      </c>
      <c r="L34" s="12">
        <v>0.64583333333333337</v>
      </c>
      <c r="M34" s="9" t="n">
        <v>23845.55851173401</v>
      </c>
      <c r="N34" s="9" t="n">
        <v>14883.171140670776</v>
      </c>
      <c r="O34" s="9" t="n">
        <v>20378.68071746826</v>
      </c>
      <c r="P34" s="9" t="n">
        <v>35705.84344577789</v>
      </c>
      <c r="Q34" s="9" t="n">
        <v>4314.741026878357</v>
      </c>
      <c r="R34" s="9" t="n">
        <v>2167.5281982421875</v>
      </c>
      <c r="S34" s="9" t="n">
        <v>13900.548245429993</v>
      </c>
      <c r="T34" s="9" t="n">
        <v>0.0</v>
      </c>
      <c r="U34">
        <f si="1" t="shared"/>
        <v>35353.125301361084</v>
      </c>
    </row>
    <row r="35" spans="1:21" x14ac:dyDescent="0.25">
      <c r="A35" s="12">
        <v>0.66666666666666663</v>
      </c>
      <c r="B35" s="6" t="n">
        <v>26083.06698817787</v>
      </c>
      <c r="C35" s="6" t="n">
        <v>12647.585329366304</v>
      </c>
      <c r="D35" s="6" t="n">
        <v>12663.609996221352</v>
      </c>
      <c r="E35" s="6" t="n">
        <v>26748.387768584154</v>
      </c>
      <c r="F35" s="6" t="n">
        <v>2276.4157294611928</v>
      </c>
      <c r="G35" s="6" t="n">
        <v>1282.4215984870912</v>
      </c>
      <c r="H35" s="6" t="n">
        <v>12067.619038741399</v>
      </c>
      <c r="I35" s="6" t="n">
        <v>0.0</v>
      </c>
      <c r="J35" s="6">
        <f si="0" t="shared"/>
        <v>24589.827197314287</v>
      </c>
      <c r="L35" s="12">
        <v>0.66666666666666663</v>
      </c>
      <c r="M35" s="9" t="n">
        <v>26053.426951408386</v>
      </c>
      <c r="N35" s="9" t="n">
        <v>14418.377548217773</v>
      </c>
      <c r="O35" s="9" t="n">
        <v>18494.09569168091</v>
      </c>
      <c r="P35" s="9" t="n">
        <v>33246.0779838562</v>
      </c>
      <c r="Q35" s="9" t="n">
        <v>4426.049006462097</v>
      </c>
      <c r="R35" s="9" t="n">
        <v>2333.4150581359863</v>
      </c>
      <c r="S35" s="9" t="n">
        <v>14543.051293373108</v>
      </c>
      <c r="T35" s="9" t="n">
        <v>0.0</v>
      </c>
      <c r="U35">
        <f si="1" t="shared"/>
        <v>35989.43460559845</v>
      </c>
    </row>
    <row r="36" spans="1:21" x14ac:dyDescent="0.25">
      <c r="A36" s="12">
        <v>0.6875</v>
      </c>
      <c r="B36" s="6" t="n">
        <v>31263.692947121523</v>
      </c>
      <c r="C36" s="6" t="n">
        <v>12242.057688848116</v>
      </c>
      <c r="D36" s="6" t="n">
        <v>11825.154130563642</v>
      </c>
      <c r="E36" s="6" t="n">
        <v>25672.24557961512</v>
      </c>
      <c r="F36" s="6" t="n">
        <v>2339.4439815326687</v>
      </c>
      <c r="G36" s="6" t="n">
        <v>1310.1645646279335</v>
      </c>
      <c r="H36" s="6" t="n">
        <v>14522.56099145565</v>
      </c>
      <c r="I36" s="6" t="n">
        <v>0.0</v>
      </c>
      <c r="J36" s="6">
        <f si="0" t="shared"/>
        <v>26329.084880180755</v>
      </c>
      <c r="L36" s="12">
        <v>0.6875</v>
      </c>
      <c r="M36" s="9" t="n">
        <v>27987.280532836914</v>
      </c>
      <c r="N36" s="9" t="n">
        <v>13379.542405128479</v>
      </c>
      <c r="O36" s="9" t="n">
        <v>15899.29495048523</v>
      </c>
      <c r="P36" s="9" t="n">
        <v>29331.538608551025</v>
      </c>
      <c r="Q36" s="9" t="n">
        <v>4378.6986951828</v>
      </c>
      <c r="R36" s="9" t="n">
        <v>2384.0725116729736</v>
      </c>
      <c r="S36" s="9" t="n">
        <v>14379.368023872375</v>
      </c>
      <c r="T36" s="9" t="n">
        <v>0.0</v>
      </c>
      <c r="U36">
        <f si="1" t="shared"/>
        <v>36653.921277999878</v>
      </c>
    </row>
    <row r="37" spans="1:21" x14ac:dyDescent="0.25">
      <c r="A37" s="12">
        <v>0.70833333333333337</v>
      </c>
      <c r="B37" s="6" t="n">
        <v>36883.166219281</v>
      </c>
      <c r="C37" s="6" t="n">
        <v>12052.017182657624</v>
      </c>
      <c r="D37" s="6" t="n">
        <v>11189.443652676679</v>
      </c>
      <c r="E37" s="6" t="n">
        <v>25050.852469028378</v>
      </c>
      <c r="F37" s="6" t="n">
        <v>2507.6859453721045</v>
      </c>
      <c r="G37" s="6" t="n">
        <v>1292.2429423350334</v>
      </c>
      <c r="H37" s="6" t="n">
        <v>16534.813270736027</v>
      </c>
      <c r="I37" s="6" t="n">
        <v>0.0</v>
      </c>
      <c r="J37" s="6">
        <f si="0" t="shared"/>
        <v>28591.818305818633</v>
      </c>
      <c r="L37" s="12">
        <v>0.70833333333333337</v>
      </c>
      <c r="M37" s="9" t="n">
        <v>29370.42809867859</v>
      </c>
      <c r="N37" s="9" t="n">
        <v>11866.841977119446</v>
      </c>
      <c r="O37" s="9" t="n">
        <v>12889.72841835022</v>
      </c>
      <c r="P37" s="9" t="n">
        <v>24416.637117385864</v>
      </c>
      <c r="Q37" s="9" t="n">
        <v>4165.169744491577</v>
      </c>
      <c r="R37" s="9" t="n">
        <v>2300.0710306167603</v>
      </c>
      <c r="S37" s="9" t="n">
        <v>13367.081563949585</v>
      </c>
      <c r="T37" s="9" t="n">
        <v>0.0</v>
      </c>
      <c r="U37">
        <f si="1" t="shared"/>
        <v>37142.581996917725</v>
      </c>
    </row>
    <row r="38" spans="1:21" x14ac:dyDescent="0.25">
      <c r="A38" s="12">
        <v>0.72916666666666663</v>
      </c>
      <c r="B38" s="6" t="n">
        <v>41932.550126155846</v>
      </c>
      <c r="C38" s="6" t="n">
        <v>11901.905119540597</v>
      </c>
      <c r="D38" s="6" t="n">
        <v>10623.19340632658</v>
      </c>
      <c r="E38" s="6" t="n">
        <v>24588.698944218544</v>
      </c>
      <c r="F38" s="6" t="n">
        <v>2707.467138357639</v>
      </c>
      <c r="G38" s="6" t="n">
        <v>1251.7821747169494</v>
      </c>
      <c r="H38" s="6" t="n">
        <v>17574.116593517017</v>
      </c>
      <c r="I38" s="6" t="n">
        <v>0.0</v>
      </c>
      <c r="J38" s="6">
        <f si="0" t="shared"/>
        <v>30625.237838344128</v>
      </c>
      <c r="L38" s="12">
        <v>0.72916666666666663</v>
      </c>
      <c r="M38" s="9" t="n">
        <v>29878.347244262695</v>
      </c>
      <c r="N38" s="9" t="n">
        <v>10068.891839027405</v>
      </c>
      <c r="O38" s="9" t="n">
        <v>9847.0196018219</v>
      </c>
      <c r="P38" s="9" t="n">
        <v>19174.086389541626</v>
      </c>
      <c r="Q38" s="9" t="n">
        <v>3808.802306175232</v>
      </c>
      <c r="R38" s="9" t="n">
        <v>2096.5502920150757</v>
      </c>
      <c r="S38" s="9" t="n">
        <v>11685.381372451782</v>
      </c>
      <c r="T38" s="9" t="n">
        <v>0.0</v>
      </c>
      <c r="U38">
        <f si="1" t="shared"/>
        <v>37153.644521713257</v>
      </c>
    </row>
    <row r="39" spans="1:21" x14ac:dyDescent="0.25">
      <c r="A39" s="12">
        <v>0.75</v>
      </c>
      <c r="B39" s="6" t="n">
        <v>45088.941836378275</v>
      </c>
      <c r="C39" s="6" t="n">
        <v>11459.557568188571</v>
      </c>
      <c r="D39" s="6" t="n">
        <v>9931.608904534816</v>
      </c>
      <c r="E39" s="6" t="n">
        <v>23728.022476707363</v>
      </c>
      <c r="F39" s="6" t="n">
        <v>2835.0766636730195</v>
      </c>
      <c r="G39" s="6" t="n">
        <v>1195.4492957118032</v>
      </c>
      <c r="H39" s="6" t="n">
        <v>17308.597711822797</v>
      </c>
      <c r="I39" s="6" t="n">
        <v>0.0</v>
      </c>
      <c r="J39" s="6">
        <f si="0" t="shared"/>
        <v>31349.655113006371</v>
      </c>
      <c r="L39" s="12">
        <v>0.75</v>
      </c>
      <c r="M39" s="9" t="n">
        <v>29264.480863571167</v>
      </c>
      <c r="N39" s="9" t="n">
        <v>8201.442268371582</v>
      </c>
      <c r="O39" s="9" t="n">
        <v>7112.0401792526245</v>
      </c>
      <c r="P39" s="9" t="n">
        <v>14259.277599334717</v>
      </c>
      <c r="Q39" s="9" t="n">
        <v>3356.173204421997</v>
      </c>
      <c r="R39" s="9" t="n">
        <v>1814.4458847045898</v>
      </c>
      <c r="S39" s="9" t="n">
        <v>9650.77618598938</v>
      </c>
      <c r="T39" s="9" t="n">
        <v>0.0</v>
      </c>
      <c r="U39">
        <f si="1" t="shared"/>
        <v>36368.541178703308</v>
      </c>
    </row>
    <row r="40" spans="1:21" x14ac:dyDescent="0.25">
      <c r="A40" s="12">
        <v>0.77083333333333337</v>
      </c>
      <c r="B40" s="6" t="n">
        <v>45249.68274597253</v>
      </c>
      <c r="C40" s="6" t="n">
        <v>10483.551216383934</v>
      </c>
      <c r="D40" s="6" t="n">
        <v>8935.5184479311</v>
      </c>
      <c r="E40" s="6" t="n">
        <v>21992.43929812956</v>
      </c>
      <c r="F40" s="6" t="n">
        <v>2806.917933902264</v>
      </c>
      <c r="G40" s="6" t="n">
        <v>1123.8347477168081</v>
      </c>
      <c r="H40" s="6" t="n">
        <v>15743.591895866775</v>
      </c>
      <c r="I40" s="6" t="n">
        <v>0.0</v>
      </c>
      <c r="J40" s="6">
        <f si="0" t="shared"/>
        <v>29929.433589587268</v>
      </c>
      <c r="L40" s="12">
        <v>0.77083333333333337</v>
      </c>
      <c r="M40" s="9" t="n">
        <v>27550.183384895325</v>
      </c>
      <c r="N40" s="9" t="n">
        <v>6455.179874420166</v>
      </c>
      <c r="O40" s="9" t="n">
        <v>4891.359129905701</v>
      </c>
      <c r="P40" s="9" t="n">
        <v>10121.050905227661</v>
      </c>
      <c r="Q40" s="9" t="n">
        <v>2867.9942483901978</v>
      </c>
      <c r="R40" s="9" t="n">
        <v>1504.311463356018</v>
      </c>
      <c r="S40" s="9" t="n">
        <v>7595.533640861511</v>
      </c>
      <c r="T40" s="9" t="n">
        <v>0.0</v>
      </c>
      <c r="U40">
        <f si="1" t="shared"/>
        <v>34605.366399765015</v>
      </c>
    </row>
    <row r="41" spans="1:21" x14ac:dyDescent="0.25">
      <c r="A41" s="12">
        <v>0.79166666666666663</v>
      </c>
      <c r="B41" s="6" t="n">
        <v>42072.55094572066</v>
      </c>
      <c r="C41" s="6" t="n">
        <v>8990.69678353691</v>
      </c>
      <c r="D41" s="6" t="n">
        <v>7575.5783840255735</v>
      </c>
      <c r="E41" s="6" t="n">
        <v>19280.731430791093</v>
      </c>
      <c r="F41" s="6" t="n">
        <v>2596.2204029401787</v>
      </c>
      <c r="G41" s="6" t="n">
        <v>1044.6106299423216</v>
      </c>
      <c r="H41" s="6" t="n">
        <v>13218.251028077317</v>
      </c>
      <c r="I41" s="6" t="n">
        <v>0.0</v>
      </c>
      <c r="J41" s="6">
        <f si="0" t="shared"/>
        <v>26282.160269957538</v>
      </c>
      <c r="L41" s="12">
        <v>0.79166666666666663</v>
      </c>
      <c r="M41" s="9" t="n">
        <v>25102.603991508484</v>
      </c>
      <c r="N41" s="9" t="n">
        <v>4969.312766075134</v>
      </c>
      <c r="O41" s="9" t="n">
        <v>3243.0399198532104</v>
      </c>
      <c r="P41" s="9" t="n">
        <v>6947.802654266357</v>
      </c>
      <c r="Q41" s="9" t="n">
        <v>2408.387004852295</v>
      </c>
      <c r="R41" s="9" t="n">
        <v>1212.2139196395874</v>
      </c>
      <c r="S41" s="9" t="n">
        <v>5778.767631530762</v>
      </c>
      <c r="T41" s="9" t="n">
        <v>0.0</v>
      </c>
      <c r="U41">
        <f si="1" t="shared"/>
        <v>31935.891611099243</v>
      </c>
    </row>
    <row r="42" spans="1:21" x14ac:dyDescent="0.25">
      <c r="A42" s="12">
        <v>0.8125</v>
      </c>
      <c r="B42" s="6" t="n">
        <v>36175.110004917995</v>
      </c>
      <c r="C42" s="6" t="n">
        <v>7228.304735946083</v>
      </c>
      <c r="D42" s="6" t="n">
        <v>5971.675328463745</v>
      </c>
      <c r="E42" s="6" t="n">
        <v>15908.82010715294</v>
      </c>
      <c r="F42" s="6" t="n">
        <v>2240.180796515084</v>
      </c>
      <c r="G42" s="6" t="n">
        <v>972.3879251886367</v>
      </c>
      <c r="H42" s="6" t="n">
        <v>10257.855448762226</v>
      </c>
      <c r="I42" s="6" t="n">
        <v>0.0</v>
      </c>
      <c r="J42" s="6">
        <f si="0" t="shared"/>
        <v>21151.712365552306</v>
      </c>
      <c r="L42" s="12">
        <v>0.8125</v>
      </c>
      <c r="M42" s="9" t="n">
        <v>22453.075293540955</v>
      </c>
      <c r="N42" s="9" t="n">
        <v>3815.011689186096</v>
      </c>
      <c r="O42" s="9" t="n">
        <v>2116.983913421631</v>
      </c>
      <c r="P42" s="9" t="n">
        <v>4714.241141319275</v>
      </c>
      <c r="Q42" s="9" t="n">
        <v>2026.355749130249</v>
      </c>
      <c r="R42" s="9" t="n">
        <v>969.0567493438721</v>
      </c>
      <c r="S42" s="9" t="n">
        <v>4342.841096878052</v>
      </c>
      <c r="T42" s="9" t="n">
        <v>0.0</v>
      </c>
      <c r="U42">
        <f si="1" t="shared"/>
        <v>28637.789908409119</v>
      </c>
    </row>
    <row r="43" spans="1:21" x14ac:dyDescent="0.25">
      <c r="A43" s="12">
        <v>0.83333333333333337</v>
      </c>
      <c r="B43" s="6" t="n">
        <v>28847.380144999304</v>
      </c>
      <c r="C43" s="6" t="n">
        <v>5509.7986287450785</v>
      </c>
      <c r="D43" s="6" t="n">
        <v>4376.5860788246155</v>
      </c>
      <c r="E43" s="6" t="n">
        <v>12403.816184052945</v>
      </c>
      <c r="F43" s="6" t="n">
        <v>1816.3995163999562</v>
      </c>
      <c r="G43" s="6" t="n">
        <v>917.2522381124495</v>
      </c>
      <c r="H43" s="6" t="n">
        <v>7373.106641456604</v>
      </c>
      <c r="I43" s="6" t="n">
        <v>0.0</v>
      </c>
      <c r="J43" s="6">
        <f si="0" t="shared"/>
        <v>15692.489461682049</v>
      </c>
      <c r="L43" s="12">
        <v>0.83333333333333337</v>
      </c>
      <c r="M43" s="9" t="n">
        <v>19960.417781829834</v>
      </c>
      <c r="N43" s="9" t="n">
        <v>2982.3974618911743</v>
      </c>
      <c r="O43" s="9" t="n">
        <v>1403.9789381027222</v>
      </c>
      <c r="P43" s="9" t="n">
        <v>3256.2753648757935</v>
      </c>
      <c r="Q43" s="9" t="n">
        <v>1735.1955213546753</v>
      </c>
      <c r="R43" s="9" t="n">
        <v>783.5924777984619</v>
      </c>
      <c r="S43" s="9" t="n">
        <v>3303.7157049179077</v>
      </c>
      <c r="T43" s="9" t="n">
        <v>0.0</v>
      </c>
      <c r="U43">
        <f si="1" t="shared"/>
        <v>25003.963213920593</v>
      </c>
    </row>
    <row r="44" spans="1:21" x14ac:dyDescent="0.25">
      <c r="A44" s="12">
        <v>0.85416666666666663</v>
      </c>
      <c r="B44" s="6" t="n">
        <v>21478.018261709403</v>
      </c>
      <c r="C44" s="6" t="n">
        <v>4058.338752721691</v>
      </c>
      <c r="D44" s="6" t="n">
        <v>3039.3902354795455</v>
      </c>
      <c r="E44" s="6" t="n">
        <v>9235.355106324005</v>
      </c>
      <c r="F44" s="6" t="n">
        <v>1403.6933397747994</v>
      </c>
      <c r="G44" s="6" t="n">
        <v>874.0715682717322</v>
      </c>
      <c r="H44" s="6" t="n">
        <v>4917.184078293229</v>
      </c>
      <c r="I44" s="6" t="n">
        <v>0.0</v>
      </c>
      <c r="J44" s="6">
        <f si="0" t="shared"/>
        <v>10889.596627938503</v>
      </c>
      <c r="L44" s="12">
        <v>0.85416666666666663</v>
      </c>
      <c r="M44" s="9" t="n">
        <v>17618.594655036926</v>
      </c>
      <c r="N44" s="9" t="n">
        <v>2390.3544311523438</v>
      </c>
      <c r="O44" s="9" t="n">
        <v>974.5002164840698</v>
      </c>
      <c r="P44" s="9" t="n">
        <v>2344.0922985076904</v>
      </c>
      <c r="Q44" s="9" t="n">
        <v>1508.233642578125</v>
      </c>
      <c r="R44" s="9" t="n">
        <v>643.5505952835083</v>
      </c>
      <c r="S44" s="9" t="n">
        <v>2576.964756011963</v>
      </c>
      <c r="T44" s="9" t="n">
        <v>0.0</v>
      </c>
      <c r="U44">
        <f si="1" t="shared"/>
        <v>21190.792437553406</v>
      </c>
    </row>
    <row r="45" spans="1:21" x14ac:dyDescent="0.25">
      <c r="A45" s="12">
        <v>0.875</v>
      </c>
      <c r="B45" s="6" t="n">
        <v>15069.269498005675</v>
      </c>
      <c r="C45" s="6" t="n">
        <v>2951.175750829792</v>
      </c>
      <c r="D45" s="6" t="n">
        <v>2077.1147536337853</v>
      </c>
      <c r="E45" s="6" t="n">
        <v>6657.667112641717</v>
      </c>
      <c r="F45" s="6" t="n">
        <v>1051.022427278042</v>
      </c>
      <c r="G45" s="6" t="n">
        <v>821.8788912654877</v>
      </c>
      <c r="H45" s="6" t="n">
        <v>3046.018472827244</v>
      </c>
      <c r="I45" s="6" t="n">
        <v>0.0</v>
      </c>
      <c r="J45" s="6">
        <f si="0" t="shared"/>
        <v>7212.5307959990387</v>
      </c>
      <c r="L45" s="12">
        <v>0.875</v>
      </c>
      <c r="M45" s="9" t="n">
        <v>15184.329977989197</v>
      </c>
      <c r="N45" s="9" t="n">
        <v>1930.5273504257202</v>
      </c>
      <c r="O45" s="9" t="n">
        <v>710.0803489685059</v>
      </c>
      <c r="P45" s="9" t="n">
        <v>1753.328896522522</v>
      </c>
      <c r="Q45" s="9" t="n">
        <v>1299.8858976364136</v>
      </c>
      <c r="R45" s="9" t="n">
        <v>527.0275058746338</v>
      </c>
      <c r="S45" s="9" t="n">
        <v>2037.927318572998</v>
      </c>
      <c r="T45" s="9" t="n">
        <v>0.0</v>
      </c>
      <c r="U45">
        <f si="1" t="shared"/>
        <v>17250.223196983337</v>
      </c>
    </row>
    <row r="46" spans="1:21" x14ac:dyDescent="0.25">
      <c r="A46" s="12">
        <v>0.89583333333333337</v>
      </c>
      <c r="B46" s="6" t="n">
        <v>10070.369538358784</v>
      </c>
      <c r="C46" s="6" t="n">
        <v>2154.9783154750826</v>
      </c>
      <c r="D46" s="6" t="n">
        <v>1448.85231248312</v>
      </c>
      <c r="E46" s="6" t="n">
        <v>4700.753026408196</v>
      </c>
      <c r="F46" s="6" t="n">
        <v>770.4781649542809</v>
      </c>
      <c r="G46" s="6" t="n">
        <v>735.6404064396859</v>
      </c>
      <c r="H46" s="6" t="n">
        <v>1754.5447391193388</v>
      </c>
      <c r="I46" s="6" t="n">
        <v>0.0</v>
      </c>
      <c r="J46" s="6">
        <f si="0" t="shared"/>
        <v>4642.5440943940248</v>
      </c>
      <c r="L46" s="12">
        <v>0.89583333333333337</v>
      </c>
      <c r="M46" s="9" t="n">
        <v>12484.156294822693</v>
      </c>
      <c r="N46" s="9" t="n">
        <v>1521.84029006958</v>
      </c>
      <c r="O46" s="9" t="n">
        <v>526.3558902740479</v>
      </c>
      <c r="P46" s="9" t="n">
        <v>1321.5245485305786</v>
      </c>
      <c r="Q46" s="9" t="n">
        <v>1077.318063735962</v>
      </c>
      <c r="R46" s="9" t="n">
        <v>417.40277004241943</v>
      </c>
      <c r="S46" s="9" t="n">
        <v>1586.9904718399048</v>
      </c>
      <c r="T46" s="9" t="n">
        <v>0.0</v>
      </c>
      <c r="U46">
        <f si="1" t="shared"/>
        <v>13287.491953849792</v>
      </c>
    </row>
    <row r="47" spans="1:21" x14ac:dyDescent="0.25">
      <c r="A47" s="12">
        <v>0.91666666666666663</v>
      </c>
      <c r="B47" s="6" t="n">
        <v>6484.43702188406</v>
      </c>
      <c r="C47" s="6" t="n">
        <v>1589.7332490213394</v>
      </c>
      <c r="D47" s="6" t="n">
        <v>1032.478654860115</v>
      </c>
      <c r="E47" s="6" t="n">
        <v>3254.602921412564</v>
      </c>
      <c r="F47" s="6" t="n">
        <v>551.3225668633462</v>
      </c>
      <c r="G47" s="6" t="n">
        <v>604.3755655550003</v>
      </c>
      <c r="H47" s="6" t="n">
        <v>941.3982169832229</v>
      </c>
      <c r="I47" s="6" t="n">
        <v>0.0</v>
      </c>
      <c r="J47" s="6">
        <f si="0" t="shared"/>
        <v>2919.6356673554565</v>
      </c>
      <c r="L47" s="12">
        <v>0.91666666666666663</v>
      </c>
      <c r="M47" s="9" t="n">
        <v>9608.767855644226</v>
      </c>
      <c r="N47" s="9" t="n">
        <v>1137.752405166626</v>
      </c>
      <c r="O47" s="9" t="n">
        <v>380.03806018829346</v>
      </c>
      <c r="P47" s="9" t="n">
        <v>967.2694721221924</v>
      </c>
      <c r="Q47" s="9" t="n">
        <v>838.1601505279541</v>
      </c>
      <c r="R47" s="9" t="n">
        <v>311.22331142425537</v>
      </c>
      <c r="S47" s="9" t="n">
        <v>1181.9204769134521</v>
      </c>
      <c r="T47" s="9" t="n">
        <v>0.0</v>
      </c>
      <c r="U47">
        <f si="1" t="shared"/>
        <v>9553.3470678329468</v>
      </c>
    </row>
    <row r="48" spans="1:21" x14ac:dyDescent="0.25">
      <c r="A48" s="12">
        <v>0.9375</v>
      </c>
      <c r="B48" s="6" t="n">
        <v>4070.089053046132</v>
      </c>
      <c r="C48" s="6" t="n">
        <v>1175.0120774850848</v>
      </c>
      <c r="D48" s="6" t="n">
        <v>722.1586282464027</v>
      </c>
      <c r="E48" s="6" t="n">
        <v>2176.6118160462383</v>
      </c>
      <c r="F48" s="6" t="n">
        <v>378.9184105534554</v>
      </c>
      <c r="G48" s="6" t="n">
        <v>442.1074973067284</v>
      </c>
      <c r="H48" s="6" t="n">
        <v>471.15273919487</v>
      </c>
      <c r="I48" s="6" t="n">
        <v>0.0</v>
      </c>
      <c r="J48" s="6">
        <f si="0" t="shared"/>
        <v>1773.248558622138</v>
      </c>
      <c r="L48" s="12">
        <v>0.9375</v>
      </c>
      <c r="M48" s="9" t="n">
        <v>6854.267508506775</v>
      </c>
      <c r="N48" s="9" t="n">
        <v>793.40354347229</v>
      </c>
      <c r="O48" s="9" t="n">
        <v>258.7065715789795</v>
      </c>
      <c r="P48" s="9" t="n">
        <v>669.8960132598877</v>
      </c>
      <c r="Q48" s="9" t="n">
        <v>604.1324100494385</v>
      </c>
      <c r="R48" s="9" t="n">
        <v>215.1261806488037</v>
      </c>
      <c r="S48" s="9" t="n">
        <v>826.6061372756958</v>
      </c>
      <c r="T48" s="9" t="n">
        <v>0.0</v>
      </c>
      <c r="U48">
        <f si="1" t="shared"/>
        <v>6363.6818656921387</v>
      </c>
    </row>
    <row r="49" spans="1:21" x14ac:dyDescent="0.25">
      <c r="A49" s="12">
        <v>0.95833333333333337</v>
      </c>
      <c r="B49" s="6" t="n">
        <v>2510.3858546868323</v>
      </c>
      <c r="C49" s="6" t="n">
        <v>851.0740041903497</v>
      </c>
      <c r="D49" s="6" t="n">
        <v>472.2327502741813</v>
      </c>
      <c r="E49" s="6" t="n">
        <v>1366.4981157100679</v>
      </c>
      <c r="F49" s="6" t="n">
        <v>244.80033556900025</v>
      </c>
      <c r="G49" s="6" t="n">
        <v>281.121397429657</v>
      </c>
      <c r="H49" s="6" t="n">
        <v>219.29887986431117</v>
      </c>
      <c r="I49" s="6" t="n">
        <v>0.0</v>
      </c>
      <c r="J49" s="6">
        <f si="0" t="shared"/>
        <v>1017.9047579924356</v>
      </c>
      <c r="L49" s="12">
        <v>0.95833333333333337</v>
      </c>
      <c r="M49" s="9" t="n">
        <v>4519.318223953247</v>
      </c>
      <c r="N49" s="9" t="n">
        <v>513.2813568115234</v>
      </c>
      <c r="O49" s="9" t="n">
        <v>163.3088207244873</v>
      </c>
      <c r="P49" s="9" t="n">
        <v>433.36205768585205</v>
      </c>
      <c r="Q49" s="9" t="n">
        <v>401.4466676712036</v>
      </c>
      <c r="R49" s="9" t="n">
        <v>137.21820735931396</v>
      </c>
      <c r="S49" s="9" t="n">
        <v>538.8962621688843</v>
      </c>
      <c r="T49" s="9" t="n">
        <v>0.0</v>
      </c>
      <c r="U49">
        <f si="1" t="shared"/>
        <v>3930.2125177383423</v>
      </c>
    </row>
    <row r="50" spans="1:21" x14ac:dyDescent="0.25">
      <c r="A50" s="12">
        <v>0.97916666666666663</v>
      </c>
      <c r="B50" s="6" t="n">
        <v>1517.6846360583306</v>
      </c>
      <c r="C50" s="6" t="n">
        <v>585.2098200422288</v>
      </c>
      <c r="D50" s="6" t="n">
        <v>280.19388387727736</v>
      </c>
      <c r="E50" s="6" t="n">
        <v>779.2745594172478</v>
      </c>
      <c r="F50" s="6" t="n">
        <v>145.82724976243972</v>
      </c>
      <c r="G50" s="6" t="n">
        <v>152.28342021512987</v>
      </c>
      <c r="H50" s="6" t="n">
        <v>93.73774531764982</v>
      </c>
      <c r="I50" s="6" t="n">
        <v>0.0</v>
      </c>
      <c r="J50" s="6">
        <f si="0" t="shared"/>
        <v>540.86759023478703</v>
      </c>
      <c r="L50" s="12">
        <v>0.97916666666666663</v>
      </c>
      <c r="M50" s="9" t="n">
        <v>2753.733425140381</v>
      </c>
      <c r="N50" s="9" t="n">
        <v>307.9826030731201</v>
      </c>
      <c r="O50" s="9" t="n">
        <v>95.00498580932617</v>
      </c>
      <c r="P50" s="9" t="n">
        <v>260.2221622467041</v>
      </c>
      <c r="Q50" s="9" t="n">
        <v>245.45279026031494</v>
      </c>
      <c r="R50" s="9" t="n">
        <v>80.85543060302734</v>
      </c>
      <c r="S50" s="9" t="n">
        <v>326.69879627227783</v>
      </c>
      <c r="T50" s="9" t="n">
        <v>0.0</v>
      </c>
      <c r="U50">
        <f si="1" t="shared"/>
        <v>2265.0118541717529</v>
      </c>
    </row>
    <row r="51" spans="1:21" x14ac:dyDescent="0.25">
      <c r="A51" s="12">
        <v>1</v>
      </c>
      <c r="B51" s="6" t="n">
        <v>882.9185798022271</v>
      </c>
      <c r="C51" s="6" t="n">
        <v>368.8982660788537</v>
      </c>
      <c r="D51" s="6" t="n">
        <v>150.2026739012718</v>
      </c>
      <c r="E51" s="6" t="n">
        <v>391.9106885414124</v>
      </c>
      <c r="F51" s="6" t="n">
        <v>79.0019569782257</v>
      </c>
      <c r="G51" s="6" t="n">
        <v>68.92370309677125</v>
      </c>
      <c r="H51" s="6" t="n">
        <v>35.891366966152184</v>
      </c>
      <c r="I51" s="6" t="n">
        <v>0.0</v>
      </c>
      <c r="J51" s="6">
        <f si="0" t="shared"/>
        <v>262.20851136649702</v>
      </c>
      <c r="L51" s="12">
        <v>1</v>
      </c>
      <c r="M51" s="9" t="n">
        <v>1544.8246097564697</v>
      </c>
      <c r="N51" s="9" t="n">
        <v>170.9288558959961</v>
      </c>
      <c r="O51" s="9" t="n">
        <v>50.747063636779785</v>
      </c>
      <c r="P51" s="9" t="n">
        <v>143.96788692474365</v>
      </c>
      <c r="Q51" s="9" t="n">
        <v>137.45003604888916</v>
      </c>
      <c r="R51" s="9" t="n">
        <v>44.004615783691406</v>
      </c>
      <c r="S51" s="9" t="n">
        <v>183.25668716430664</v>
      </c>
      <c r="T51" s="9" t="n">
        <v>0.0</v>
      </c>
      <c r="U51">
        <f si="1" t="shared"/>
        <v>1223.6563329696655</v>
      </c>
    </row>
    <row r="52" spans="1:21" x14ac:dyDescent="0.25">
      <c r="A52" s="12">
        <v>1.0208333333333333</v>
      </c>
      <c r="B52" s="6" t="n">
        <v>478.9201196976662</v>
      </c>
      <c r="C52" s="6" t="n">
        <v>206.2492149559975</v>
      </c>
      <c r="D52" s="6" t="n">
        <v>74.07112614603041</v>
      </c>
      <c r="E52" s="6" t="n">
        <v>169.73573936443333</v>
      </c>
      <c r="F52" s="6" t="n">
        <v>38.552400110149385</v>
      </c>
      <c r="G52" s="6" t="n">
        <v>25.49916354722977</v>
      </c>
      <c r="H52" s="6" t="n">
        <v>11.880310072135924</v>
      </c>
      <c r="I52" s="6" t="n">
        <v>0.0</v>
      </c>
      <c r="J52" s="6">
        <f si="0" t="shared"/>
        <v>114.91532073865986</v>
      </c>
      <c r="L52" s="12">
        <v>1.0208333333333333</v>
      </c>
      <c r="M52" s="9" t="n">
        <v>788.4786024093628</v>
      </c>
      <c r="N52" s="9" t="n">
        <v>86.75740337371826</v>
      </c>
      <c r="O52" s="9" t="n">
        <v>24.68705940246582</v>
      </c>
      <c r="P52" s="9" t="n">
        <v>72.38532161712646</v>
      </c>
      <c r="Q52" s="9" t="n">
        <v>69.69917392730713</v>
      </c>
      <c r="R52" s="9" t="n">
        <v>21.941036224365234</v>
      </c>
      <c r="S52" s="9" t="n">
        <v>93.88642978668213</v>
      </c>
      <c r="T52" s="9" t="n">
        <v>0.0</v>
      </c>
      <c r="U52">
        <f si="1" t="shared"/>
        <v>615.43150424957275</v>
      </c>
    </row>
    <row r="53" spans="1:21" x14ac:dyDescent="0.25">
      <c r="A53" s="12">
        <v>4.1666666666666664E-2</v>
      </c>
      <c r="B53" s="6" t="n">
        <v>233.61778366508486</v>
      </c>
      <c r="C53" s="6" t="n">
        <v>99.29775120716096</v>
      </c>
      <c r="D53" s="6" t="n">
        <v>34.51956952848434</v>
      </c>
      <c r="E53" s="6" t="n">
        <v>62.09498196430208</v>
      </c>
      <c r="F53" s="6" t="n">
        <v>16.78773566522598</v>
      </c>
      <c r="G53" s="6" t="n">
        <v>7.497092719364167</v>
      </c>
      <c r="H53" s="6" t="n">
        <v>3.254096447277069</v>
      </c>
      <c r="I53" s="6" t="n">
        <v>0.0</v>
      </c>
      <c r="J53" s="6">
        <f si="0" t="shared"/>
        <v>45.098112801390648</v>
      </c>
      <c r="L53" s="12">
        <v>4.1666666666666664E-2</v>
      </c>
      <c r="M53" s="9" t="n">
        <v>358.6139192581177</v>
      </c>
      <c r="N53" s="9" t="n">
        <v>39.419081687927246</v>
      </c>
      <c r="O53" s="9" t="n">
        <v>10.75898265838623</v>
      </c>
      <c r="P53" s="9" t="n">
        <v>32.38173007965088</v>
      </c>
      <c r="Q53" s="9" t="n">
        <v>31.39817523956299</v>
      </c>
      <c r="R53" s="9" t="n">
        <v>9.835453987121582</v>
      </c>
      <c r="S53" s="9" t="n">
        <v>42.9754753112793</v>
      </c>
      <c r="T53" s="9" t="n">
        <v>0.0</v>
      </c>
      <c r="U53">
        <f si="1" t="shared"/>
        <v>281.68440818786621</v>
      </c>
    </row>
    <row r="54" spans="1:21" x14ac:dyDescent="0.25">
      <c r="A54" s="12">
        <v>6.25E-2</v>
      </c>
      <c r="B54" s="6" t="n">
        <v>99.0225096874237</v>
      </c>
      <c r="C54" s="6" t="n">
        <v>40.0597700331688</v>
      </c>
      <c r="D54" s="6" t="n">
        <v>15.33807976770401</v>
      </c>
      <c r="E54" s="6" t="n">
        <v>18.84679826841355</v>
      </c>
      <c r="F54" s="6" t="n">
        <v>6.429862211322784</v>
      </c>
      <c r="G54" s="6" t="n">
        <v>1.6827836027145386</v>
      </c>
      <c r="H54" s="6" t="n">
        <v>0.6991413475990295</v>
      </c>
      <c r="I54" s="6" t="n">
        <v>0.0</v>
      </c>
      <c r="J54" s="6">
        <f si="0" t="shared"/>
        <v>15.590234502180099</v>
      </c>
      <c r="L54" s="12">
        <v>6.25E-2</v>
      </c>
      <c r="M54" s="9" t="n">
        <v>141.4090461730957</v>
      </c>
      <c r="N54" s="9" t="n">
        <v>15.577113151550293</v>
      </c>
      <c r="O54" s="9" t="n">
        <v>4.097212791442871</v>
      </c>
      <c r="P54" s="9" t="n">
        <v>12.546075820922852</v>
      </c>
      <c r="Q54" s="9" t="n">
        <v>12.248492240905762</v>
      </c>
      <c r="R54" s="9" t="n">
        <v>3.8549556732177734</v>
      </c>
      <c r="S54" s="9" t="n">
        <v>17.080751419067383</v>
      </c>
      <c r="T54" s="9" t="n">
        <v>0.0</v>
      </c>
      <c r="U54">
        <f si="1" t="shared"/>
        <v>113.36742401123047</v>
      </c>
    </row>
    <row r="55" spans="1:21" x14ac:dyDescent="0.25">
      <c r="A55" s="12">
        <v>8.3333333333333329E-2</v>
      </c>
      <c r="B55" s="6" t="n">
        <v>35.346287705135346</v>
      </c>
      <c r="C55" s="6" t="n">
        <v>13.16967522211075</v>
      </c>
      <c r="D55" s="6" t="n">
        <v>6.311021719837189</v>
      </c>
      <c r="E55" s="6" t="n">
        <v>4.646865287208558</v>
      </c>
      <c r="F55" s="6" t="n">
        <v>2.1150942882537844</v>
      </c>
      <c r="G55" s="6" t="n">
        <v>0.2705962724685669</v>
      </c>
      <c r="H55" s="6" t="n">
        <v>0.10949781007766721</v>
      </c>
      <c r="I55" s="6" t="n">
        <v>0.0</v>
      </c>
      <c r="J55" s="6">
        <f si="0" t="shared"/>
        <v>4.6171394201087956</v>
      </c>
      <c r="L55" s="12">
        <v>8.3333333333333329E-2</v>
      </c>
      <c r="M55" s="9" t="n">
        <v>46.827531814575195</v>
      </c>
      <c r="N55" s="9" t="n">
        <v>5.178099632263184</v>
      </c>
      <c r="O55" s="9" t="n">
        <v>1.3208818435668945</v>
      </c>
      <c r="P55" s="9" t="n">
        <v>4.0807342529296875</v>
      </c>
      <c r="Q55" s="9" t="n">
        <v>4.013553619384766</v>
      </c>
      <c r="R55" s="9" t="n">
        <v>1.2774171829223633</v>
      </c>
      <c r="S55" s="9" t="n">
        <v>5.7049150466918945</v>
      </c>
      <c r="T55" s="9" t="n">
        <v>0.0</v>
      </c>
      <c r="U55">
        <f si="1" t="shared"/>
        <v>38.572632789611816</v>
      </c>
    </row>
    <row r="56" spans="1:21" x14ac:dyDescent="0.25">
      <c r="A56" s="12">
        <v>0.10416666666666667</v>
      </c>
      <c r="B56" s="6" t="n">
        <v>10.299154216861726</v>
      </c>
      <c r="C56" s="6" t="n">
        <v>3.414097710990906</v>
      </c>
      <c r="D56" s="6" t="n">
        <v>2.2697984104156497</v>
      </c>
      <c r="E56" s="6" t="n">
        <v>0.9018439776420594</v>
      </c>
      <c r="F56" s="6" t="n">
        <v>0.5763351521492004</v>
      </c>
      <c r="G56" s="6" t="n">
        <v>0.02773900785446167</v>
      </c>
      <c r="H56" s="6" t="n">
        <v>0.011053187942504882</v>
      </c>
      <c r="I56" s="6" t="n">
        <v>0.0</v>
      </c>
      <c r="J56" s="6">
        <f si="0" t="shared"/>
        <v>1.1246581828403475</v>
      </c>
      <c r="L56" s="12">
        <v>0.10416666666666667</v>
      </c>
      <c r="M56" s="9" t="n">
        <v>12.550517082214355</v>
      </c>
      <c r="N56" s="9" t="n">
        <v>1.3939638137817383</v>
      </c>
      <c r="O56" s="9" t="n">
        <v>0.34699440002441406</v>
      </c>
      <c r="P56" s="9" t="n">
        <v>1.0744638442993164</v>
      </c>
      <c r="Q56" s="9" t="n">
        <v>1.0653924942016602</v>
      </c>
      <c r="R56" s="9" t="n">
        <v>0.3442411422729492</v>
      </c>
      <c r="S56" s="9" t="n">
        <v>1.542283058166504</v>
      </c>
      <c r="T56" s="9" t="n">
        <v>0.0</v>
      </c>
      <c r="U56">
        <f si="1" t="shared"/>
        <v>10.636343955993652</v>
      </c>
    </row>
    <row r="57" spans="1:21" x14ac:dyDescent="0.25">
      <c r="A57" s="12">
        <v>0.125</v>
      </c>
      <c r="B57" s="6" t="n">
        <v>2.3184332538604737</v>
      </c>
      <c r="C57" s="6" t="n">
        <v>0.6601575941085815</v>
      </c>
      <c r="D57" s="6" t="n">
        <v>0.647562982082367</v>
      </c>
      <c r="E57" s="6" t="n">
        <v>0.12968237409591676</v>
      </c>
      <c r="F57" s="6" t="n">
        <v>0.12172440977096557</v>
      </c>
      <c r="G57" s="6" t="n">
        <v>0.0013610713005065918</v>
      </c>
      <c r="H57" s="6" t="n">
        <v>5.37807559967041E-4</v>
      </c>
      <c r="I57" s="6" t="n">
        <v>0.0</v>
      </c>
      <c r="J57" s="6">
        <f si="0" t="shared"/>
        <v>0.21078376097869872</v>
      </c>
      <c r="L57" s="12">
        <v>0.125</v>
      </c>
      <c r="M57" s="9" t="n">
        <v>2.5628414154052734</v>
      </c>
      <c r="N57" s="9" t="n">
        <v>0.2858772277832031</v>
      </c>
      <c r="O57" s="9" t="n">
        <v>0.06982898712158203</v>
      </c>
      <c r="P57" s="9" t="n">
        <v>0.21575164794921875</v>
      </c>
      <c r="Q57" s="9" t="n">
        <v>0.2157459259033203</v>
      </c>
      <c r="R57" s="9" t="n">
        <v>0.07089042663574219</v>
      </c>
      <c r="S57" s="9" t="n">
        <v>0.3175230026245117</v>
      </c>
      <c r="T57" s="9" t="n">
        <v>0.0</v>
      </c>
      <c r="U57">
        <f si="1" t="shared"/>
        <v>2.2298564910888672</v>
      </c>
    </row>
    <row ht="15.75" r="58" spans="1:21" thickBot="1" x14ac:dyDescent="0.3">
      <c r="A58" s="13" t="s">
        <v>6</v>
      </c>
      <c r="B58" s="7" t="n">
        <v>0.0</v>
      </c>
      <c r="C58" s="7" t="n">
        <v>0.0</v>
      </c>
      <c r="D58" s="7" t="n">
        <v>0.0</v>
      </c>
      <c r="E58" s="7" t="n">
        <v>0.0</v>
      </c>
      <c r="F58" s="7" t="n">
        <v>0.0</v>
      </c>
      <c r="G58" s="7" t="n">
        <v>0.0</v>
      </c>
      <c r="H58" s="7" t="n">
        <v>0.0</v>
      </c>
      <c r="I58" s="7" t="n">
        <v>0.0</v>
      </c>
      <c r="J58" s="7">
        <f si="0" t="shared"/>
        <v>0</v>
      </c>
      <c r="L58" s="13" t="s">
        <v>6</v>
      </c>
      <c r="M58" s="10" t="n">
        <v>0.0</v>
      </c>
      <c r="N58" s="10" t="n">
        <v>0.0</v>
      </c>
      <c r="O58" s="10" t="n">
        <v>0.0</v>
      </c>
      <c r="P58" s="10" t="n">
        <v>0.0</v>
      </c>
      <c r="Q58" s="10" t="n">
        <v>0.0</v>
      </c>
      <c r="R58" s="10" t="n">
        <v>0.0</v>
      </c>
      <c r="S58" s="10" t="n">
        <v>0.0</v>
      </c>
      <c r="T58" s="10" t="n">
        <v>0.0</v>
      </c>
      <c r="U58" s="1">
        <f si="1" t="shared"/>
        <v>0</v>
      </c>
    </row>
  </sheetData>
  <pageMargins bottom="0.75" footer="0.3" header="0.3" left="0.7" right="0.7" top="0.75"/>
  <pageSetup orientation="portrait" r:id="rId1"/>
  <drawing r:id="rId2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7"/>
  <dimension ref="A1:Z58"/>
  <sheetViews>
    <sheetView topLeftCell="L1" workbookViewId="0">
      <selection activeCell="B40" sqref="B40"/>
    </sheetView>
  </sheetViews>
  <sheetFormatPr defaultRowHeight="15" x14ac:dyDescent="0.25"/>
  <cols>
    <col min="1" max="1" customWidth="true" width="12.7109375" collapsed="true"/>
    <col min="2" max="10" customWidth="true" width="10.7109375" collapsed="true"/>
    <col min="11" max="11" customWidth="true" width="6.42578125" collapsed="true"/>
    <col min="12" max="12" customWidth="true" width="12.7109375" collapsed="true"/>
    <col min="13" max="21" customWidth="true" width="10.7109375" collapsed="true"/>
  </cols>
  <sheetData>
    <row r="1" spans="1:26" x14ac:dyDescent="0.25">
      <c r="A1" t="s">
        <v>30</v>
      </c>
    </row>
    <row r="2" spans="1:26" x14ac:dyDescent="0.25">
      <c r="A2" t="s">
        <v>46</v>
      </c>
    </row>
    <row r="3" spans="1:26" x14ac:dyDescent="0.25">
      <c r="A3" t="s">
        <v>7</v>
      </c>
    </row>
    <row r="4" spans="1:26" x14ac:dyDescent="0.25">
      <c r="A4" t="s">
        <v>8</v>
      </c>
    </row>
    <row r="5" spans="1:26" x14ac:dyDescent="0.25">
      <c r="W5" s="5"/>
      <c r="X5" s="5"/>
      <c r="Y5" s="5"/>
      <c r="Z5" s="5"/>
    </row>
    <row ht="15.75" r="6" spans="1:26" thickBot="1" x14ac:dyDescent="0.3">
      <c r="A6" s="3" t="s">
        <v>54</v>
      </c>
      <c r="B6" s="1"/>
      <c r="C6" s="1"/>
      <c r="D6" s="1"/>
      <c r="E6" s="1"/>
      <c r="F6" s="1"/>
      <c r="G6" s="1"/>
      <c r="H6" s="1"/>
      <c r="I6" s="1"/>
      <c r="J6" s="1"/>
      <c r="L6" s="3" t="s">
        <v>31</v>
      </c>
      <c r="M6" s="1"/>
      <c r="N6" s="1"/>
      <c r="O6" s="1"/>
      <c r="P6" s="1"/>
      <c r="Q6" s="1"/>
      <c r="R6" s="1"/>
      <c r="S6" s="1"/>
      <c r="T6" s="1"/>
      <c r="U6" s="1"/>
      <c r="W6" s="11"/>
      <c r="X6" s="5"/>
      <c r="Y6" s="5"/>
      <c r="Z6" s="5"/>
    </row>
    <row r="7" spans="1:26" x14ac:dyDescent="0.25">
      <c r="A7" s="2" t="s">
        <v>4</v>
      </c>
      <c r="B7" s="4" t="s">
        <v>17</v>
      </c>
      <c r="C7" s="4" t="s">
        <v>18</v>
      </c>
      <c r="D7" s="4" t="s">
        <v>19</v>
      </c>
      <c r="E7" s="4" t="s">
        <v>20</v>
      </c>
      <c r="F7" s="4" t="s">
        <v>21</v>
      </c>
      <c r="G7" s="4" t="s">
        <v>24</v>
      </c>
      <c r="H7" s="4" t="s">
        <v>22</v>
      </c>
      <c r="I7" s="4" t="s">
        <v>23</v>
      </c>
      <c r="J7" s="4" t="s">
        <v>0</v>
      </c>
      <c r="L7" s="2" t="s">
        <v>4</v>
      </c>
      <c r="M7" s="4" t="s">
        <v>17</v>
      </c>
      <c r="N7" s="4" t="s">
        <v>18</v>
      </c>
      <c r="O7" s="4" t="s">
        <v>19</v>
      </c>
      <c r="P7" s="4" t="s">
        <v>20</v>
      </c>
      <c r="Q7" s="4" t="s">
        <v>21</v>
      </c>
      <c r="R7" s="4" t="s">
        <v>24</v>
      </c>
      <c r="S7" s="4" t="s">
        <v>22</v>
      </c>
      <c r="T7" s="4" t="s">
        <v>23</v>
      </c>
      <c r="U7" s="4" t="s">
        <v>0</v>
      </c>
      <c r="W7" s="5"/>
      <c r="X7" s="14"/>
      <c r="Y7" s="14"/>
      <c r="Z7" s="5"/>
    </row>
    <row r="8" spans="1:26" x14ac:dyDescent="0.25">
      <c r="A8" t="s">
        <v>5</v>
      </c>
      <c r="B8" s="6" t="n">
        <v>0.0</v>
      </c>
      <c r="C8" s="6" t="n">
        <v>0.0</v>
      </c>
      <c r="D8" s="6" t="n">
        <v>0.0</v>
      </c>
      <c r="E8" s="6" t="n">
        <v>0.0</v>
      </c>
      <c r="F8" s="6" t="n">
        <v>0.0</v>
      </c>
      <c r="G8" s="6" t="n">
        <v>0.0</v>
      </c>
      <c r="H8" s="6" t="n">
        <v>0.0</v>
      </c>
      <c r="I8" s="6" t="n">
        <v>0.0</v>
      </c>
      <c r="J8" s="6">
        <f>SUM(B8:I8)</f>
        <v>0</v>
      </c>
      <c r="L8" t="s">
        <v>5</v>
      </c>
      <c r="M8" s="9" t="n">
        <v>45.0</v>
      </c>
      <c r="N8" s="9" t="n">
        <v>34.0</v>
      </c>
      <c r="O8" s="9" t="n">
        <v>0.0</v>
      </c>
      <c r="P8" s="9" t="n">
        <v>0.0</v>
      </c>
      <c r="Q8" s="9" t="n">
        <v>49.0</v>
      </c>
      <c r="R8" s="9" t="n">
        <v>4.0</v>
      </c>
      <c r="S8" s="9" t="n">
        <v>0.0</v>
      </c>
      <c r="T8" s="9" t="n">
        <v>0.0</v>
      </c>
      <c r="U8">
        <f>SUM(M8:T8)</f>
        <v>47</v>
      </c>
      <c r="W8" s="5"/>
      <c r="X8" s="16"/>
      <c r="Y8" s="16"/>
      <c r="Z8" s="5"/>
    </row>
    <row r="9" spans="1:26" x14ac:dyDescent="0.25">
      <c r="A9" s="12">
        <v>0.125</v>
      </c>
      <c r="B9" s="6" t="n">
        <v>0.9632711054801942</v>
      </c>
      <c r="C9" s="6" t="n">
        <v>2.507190417480469</v>
      </c>
      <c r="D9" s="6" t="n">
        <v>0.0</v>
      </c>
      <c r="E9" s="6" t="n">
        <v>0.0</v>
      </c>
      <c r="F9" s="6" t="n">
        <v>0.0</v>
      </c>
      <c r="G9" s="6" t="n">
        <v>0.0</v>
      </c>
      <c r="H9" s="6" t="n">
        <v>0.0</v>
      </c>
      <c r="I9" s="6" t="n">
        <v>0.0</v>
      </c>
      <c r="J9" s="6">
        <f ref="J9:J58" si="0" t="shared">SUM(B9:I9)</f>
        <v>0.2378517388095856</v>
      </c>
      <c r="L9" s="12">
        <v>0.125</v>
      </c>
      <c r="M9" s="9" t="n">
        <v>338.1798219680786</v>
      </c>
      <c r="N9" s="9" t="n">
        <v>33.53736972808838</v>
      </c>
      <c r="O9" s="9" t="n">
        <v>0.0</v>
      </c>
      <c r="P9" s="9" t="n">
        <v>0.0</v>
      </c>
      <c r="Q9" s="9" t="n">
        <v>59.66345977783203</v>
      </c>
      <c r="R9" s="9" t="n">
        <v>2.766864776611328</v>
      </c>
      <c r="S9" s="9" t="n">
        <v>0.0</v>
      </c>
      <c r="T9" s="9" t="n">
        <v>0.0</v>
      </c>
      <c r="U9">
        <f ref="U9:U58" si="1" t="shared">SUM(M9:T9)</f>
        <v>101.85947513580322</v>
      </c>
      <c r="W9" s="5"/>
      <c r="X9" s="16"/>
      <c r="Y9" s="16"/>
      <c r="Z9" s="5"/>
    </row>
    <row r="10" spans="1:26" x14ac:dyDescent="0.25">
      <c r="A10" s="12">
        <v>0.14583333333333334</v>
      </c>
      <c r="B10" s="6" t="n">
        <v>4.075054500102997</v>
      </c>
      <c r="C10" s="6" t="n">
        <v>5.791322898674011</v>
      </c>
      <c r="D10" s="6" t="n">
        <v>0.0</v>
      </c>
      <c r="E10" s="6" t="n">
        <v>0.0</v>
      </c>
      <c r="F10" s="6" t="n">
        <v>0.0</v>
      </c>
      <c r="G10" s="6" t="n">
        <v>0.0</v>
      </c>
      <c r="H10" s="6" t="n">
        <v>0.0</v>
      </c>
      <c r="I10" s="6" t="n">
        <v>0.0</v>
      </c>
      <c r="J10" s="6">
        <f si="0" t="shared"/>
        <v>1.1081696325941086</v>
      </c>
      <c r="L10" s="12">
        <v>0.14583333333333334</v>
      </c>
      <c r="M10" s="9" t="n">
        <v>492.99472999572754</v>
      </c>
      <c r="N10" s="9" t="n">
        <v>30.129003524780273</v>
      </c>
      <c r="O10" s="9" t="n">
        <v>0.0</v>
      </c>
      <c r="P10" s="9" t="n">
        <v>0.0</v>
      </c>
      <c r="Q10" s="9" t="n">
        <v>60.607011795043945</v>
      </c>
      <c r="R10" s="9" t="n">
        <v>1.7075214385986328</v>
      </c>
      <c r="S10" s="9" t="n">
        <v>0.0</v>
      </c>
      <c r="T10" s="9" t="n">
        <v>0.0</v>
      </c>
      <c r="U10">
        <f si="1" t="shared"/>
        <v>162.60293197631836</v>
      </c>
      <c r="W10" s="5"/>
      <c r="X10" s="16"/>
      <c r="Y10" s="16"/>
      <c r="Z10" s="5"/>
    </row>
    <row r="11" spans="1:26" x14ac:dyDescent="0.25">
      <c r="A11" s="12">
        <v>0.16666666666666666</v>
      </c>
      <c r="B11" s="6" t="n">
        <v>13.263395465278625</v>
      </c>
      <c r="C11" s="6" t="n">
        <v>10.142271302318573</v>
      </c>
      <c r="D11" s="6" t="n">
        <v>0.0</v>
      </c>
      <c r="E11" s="6" t="n">
        <v>0.0</v>
      </c>
      <c r="F11" s="6" t="n">
        <v>9.683427810668945E-5</v>
      </c>
      <c r="G11" s="6" t="n">
        <v>0.0</v>
      </c>
      <c r="H11" s="6" t="n">
        <v>0.0</v>
      </c>
      <c r="I11" s="6" t="n">
        <v>0.0</v>
      </c>
      <c r="J11" s="6">
        <f si="0" t="shared"/>
        <v>4.0175027307662967</v>
      </c>
      <c r="L11" s="12">
        <v>0.16666666666666666</v>
      </c>
      <c r="M11" s="9" t="n">
        <v>474.872181892395</v>
      </c>
      <c r="N11" s="9" t="n">
        <v>24.036887168884277</v>
      </c>
      <c r="O11" s="9" t="n">
        <v>0.0</v>
      </c>
      <c r="P11" s="9" t="n">
        <v>0.0</v>
      </c>
      <c r="Q11" s="9" t="n">
        <v>49.93722438812256</v>
      </c>
      <c r="R11" s="9" t="n">
        <v>0.9327983856201172</v>
      </c>
      <c r="S11" s="9" t="n">
        <v>0.0</v>
      </c>
      <c r="T11" s="9" t="n">
        <v>0.0</v>
      </c>
      <c r="U11">
        <f si="1" t="shared"/>
        <v>228.54934787750244</v>
      </c>
      <c r="W11" s="5"/>
      <c r="X11" s="16"/>
      <c r="Y11" s="16"/>
      <c r="Z11" s="5"/>
    </row>
    <row r="12" spans="1:26" x14ac:dyDescent="0.25">
      <c r="A12" s="12">
        <v>0.1875</v>
      </c>
      <c r="B12" s="6" t="n">
        <v>35.52632260484695</v>
      </c>
      <c r="C12" s="6" t="n">
        <v>15.403658356189728</v>
      </c>
      <c r="D12" s="6" t="n">
        <v>0.0</v>
      </c>
      <c r="E12" s="6" t="n">
        <v>0.0</v>
      </c>
      <c r="F12" s="6" t="n">
        <v>0.001936685562133789</v>
      </c>
      <c r="G12" s="6" t="n">
        <v>0.0</v>
      </c>
      <c r="H12" s="6" t="n">
        <v>0.0</v>
      </c>
      <c r="I12" s="6" t="n">
        <v>0.0</v>
      </c>
      <c r="J12" s="6">
        <f si="0" t="shared"/>
        <v>12.107133894024848</v>
      </c>
      <c r="L12" s="12">
        <v>0.1875</v>
      </c>
      <c r="M12" s="9" t="n">
        <v>366.6388120651245</v>
      </c>
      <c r="N12" s="9" t="n">
        <v>19.678312301635742</v>
      </c>
      <c r="O12" s="9" t="n">
        <v>0.0</v>
      </c>
      <c r="P12" s="9" t="n">
        <v>0.0</v>
      </c>
      <c r="Q12" s="9" t="n">
        <v>34.1354398727417</v>
      </c>
      <c r="R12" s="9" t="n">
        <v>0.4711618423461914</v>
      </c>
      <c r="S12" s="9" t="n">
        <v>0.0</v>
      </c>
      <c r="T12" s="9" t="n">
        <v>0.0</v>
      </c>
      <c r="U12">
        <f si="1" t="shared"/>
        <v>294.3567533493042</v>
      </c>
      <c r="W12" s="5"/>
      <c r="X12" s="5"/>
      <c r="Y12" s="5"/>
      <c r="Z12" s="5"/>
    </row>
    <row r="13" spans="1:26" x14ac:dyDescent="0.25">
      <c r="A13" s="12">
        <v>0.20833333333333334</v>
      </c>
      <c r="B13" s="6" t="n">
        <v>81.78633176898957</v>
      </c>
      <c r="C13" s="6" t="n">
        <v>21.498348230457307</v>
      </c>
      <c r="D13" s="6" t="n">
        <v>0.0</v>
      </c>
      <c r="E13" s="6" t="n">
        <v>0.0</v>
      </c>
      <c r="F13" s="6" t="n">
        <v>0.01886127519607544</v>
      </c>
      <c r="G13" s="6" t="n">
        <v>0.0</v>
      </c>
      <c r="H13" s="6" t="n">
        <v>0.0</v>
      </c>
      <c r="I13" s="6" t="n">
        <v>0.0</v>
      </c>
      <c r="J13" s="6">
        <f si="0" t="shared"/>
        <v>31.366653040553093</v>
      </c>
      <c r="L13" s="12">
        <v>0.20833333333333334</v>
      </c>
      <c r="M13" s="9" t="n">
        <v>306.006555557251</v>
      </c>
      <c r="N13" s="9" t="n">
        <v>25.00913715362549</v>
      </c>
      <c r="O13" s="9" t="n">
        <v>0.0</v>
      </c>
      <c r="P13" s="9" t="n">
        <v>0.0</v>
      </c>
      <c r="Q13" s="9" t="n">
        <v>22.539856910705566</v>
      </c>
      <c r="R13" s="9" t="n">
        <v>0.30530261993408203</v>
      </c>
      <c r="S13" s="9" t="n">
        <v>0.0</v>
      </c>
      <c r="T13" s="9" t="n">
        <v>0.0</v>
      </c>
      <c r="U13">
        <f si="1" t="shared"/>
        <v>362.63561153411865</v>
      </c>
    </row>
    <row r="14" spans="1:26" x14ac:dyDescent="0.25">
      <c r="A14" s="12">
        <v>0.22916666666666666</v>
      </c>
      <c r="B14" s="6" t="n">
        <v>168.48608648481368</v>
      </c>
      <c r="C14" s="6" t="n">
        <v>28.694313148880006</v>
      </c>
      <c r="D14" s="6" t="n">
        <v>0.0</v>
      </c>
      <c r="E14" s="6" t="n">
        <v>0.0</v>
      </c>
      <c r="F14" s="6" t="n">
        <v>0.11964632415771484</v>
      </c>
      <c r="G14" s="6" t="n">
        <v>0.0</v>
      </c>
      <c r="H14" s="6" t="n">
        <v>0.0</v>
      </c>
      <c r="I14" s="6" t="n">
        <v>0.0</v>
      </c>
      <c r="J14" s="6">
        <f si="0" t="shared"/>
        <v>71.316802361725806</v>
      </c>
      <c r="L14" s="12">
        <v>0.22916666666666666</v>
      </c>
      <c r="M14" s="9" t="n">
        <v>429.5723075866699</v>
      </c>
      <c r="N14" s="9" t="n">
        <v>51.4187536239624</v>
      </c>
      <c r="O14" s="9" t="n">
        <v>0.0</v>
      </c>
      <c r="P14" s="9" t="n">
        <v>0.0</v>
      </c>
      <c r="Q14" s="9" t="n">
        <v>22.62147331237793</v>
      </c>
      <c r="R14" s="9" t="n">
        <v>0.43964481353759766</v>
      </c>
      <c r="S14" s="9" t="n">
        <v>0.0</v>
      </c>
      <c r="T14" s="9" t="n">
        <v>0.0</v>
      </c>
      <c r="U14">
        <f si="1" t="shared"/>
        <v>459.08470630645752</v>
      </c>
    </row>
    <row r="15" spans="1:26" x14ac:dyDescent="0.25">
      <c r="A15" s="12">
        <v>0.25</v>
      </c>
      <c r="B15" s="6" t="n">
        <v>320.5211030516624</v>
      </c>
      <c r="C15" s="6" t="n">
        <v>37.05848899059296</v>
      </c>
      <c r="D15" s="6" t="n">
        <v>0.0</v>
      </c>
      <c r="E15" s="6" t="n">
        <v>0.0</v>
      </c>
      <c r="F15" s="6" t="n">
        <v>0.5571908873558044</v>
      </c>
      <c r="G15" s="6" t="n">
        <v>0.0</v>
      </c>
      <c r="H15" s="6" t="n">
        <v>0.0</v>
      </c>
      <c r="I15" s="6" t="n">
        <v>0.0</v>
      </c>
      <c r="J15" s="6">
        <f si="0" t="shared"/>
        <v>143.97818019294263</v>
      </c>
      <c r="L15" s="12">
        <v>0.25</v>
      </c>
      <c r="M15" s="9" t="n">
        <v>864.1313486099243</v>
      </c>
      <c r="N15" s="9" t="n">
        <v>113.97373485565186</v>
      </c>
      <c r="O15" s="9" t="n">
        <v>0.0</v>
      </c>
      <c r="P15" s="9" t="n">
        <v>0.0</v>
      </c>
      <c r="Q15" s="9" t="n">
        <v>39.68556308746338</v>
      </c>
      <c r="R15" s="9" t="n">
        <v>0.9573640823364258</v>
      </c>
      <c r="S15" s="9" t="n">
        <v>0.0</v>
      </c>
      <c r="T15" s="9" t="n">
        <v>0.0</v>
      </c>
      <c r="U15">
        <f si="1" t="shared"/>
        <v>635.09764194488525</v>
      </c>
    </row>
    <row r="16" spans="1:26" x14ac:dyDescent="0.25">
      <c r="A16" s="12">
        <v>0.27083333333333331</v>
      </c>
      <c r="B16" s="6" t="n">
        <v>571.6519899922371</v>
      </c>
      <c r="C16" s="6" t="n">
        <v>45.85649800930023</v>
      </c>
      <c r="D16" s="6" t="n">
        <v>0.0</v>
      </c>
      <c r="E16" s="6" t="n">
        <v>0.0</v>
      </c>
      <c r="F16" s="6" t="n">
        <v>2.0324764618873594</v>
      </c>
      <c r="G16" s="6" t="n">
        <v>0.0</v>
      </c>
      <c r="H16" s="6" t="n">
        <v>0.0</v>
      </c>
      <c r="I16" s="6" t="n">
        <v>0.0</v>
      </c>
      <c r="J16" s="6">
        <f si="0" t="shared"/>
        <v>260.16932048196412</v>
      </c>
      <c r="L16" s="12">
        <v>0.27083333333333331</v>
      </c>
      <c r="M16" s="9" t="n">
        <v>1735.7154083251953</v>
      </c>
      <c r="N16" s="9" t="n">
        <v>229.8016471862793</v>
      </c>
      <c r="O16" s="9" t="n">
        <v>0.0</v>
      </c>
      <c r="P16" s="9" t="n">
        <v>0.0</v>
      </c>
      <c r="Q16" s="9" t="n">
        <v>78.8642406463623</v>
      </c>
      <c r="R16" s="9" t="n">
        <v>2.0422372817993164</v>
      </c>
      <c r="S16" s="9" t="n">
        <v>0.0</v>
      </c>
      <c r="T16" s="9" t="n">
        <v>0.0</v>
      </c>
      <c r="U16">
        <f si="1" t="shared"/>
        <v>949.22211933135986</v>
      </c>
    </row>
    <row r="17" spans="1:21" x14ac:dyDescent="0.25">
      <c r="A17" s="12">
        <v>0.29166666666666669</v>
      </c>
      <c r="B17" s="6" t="n">
        <v>955.3271127085684</v>
      </c>
      <c r="C17" s="6" t="n">
        <v>54.30871472063065</v>
      </c>
      <c r="D17" s="6" t="n">
        <v>0.0</v>
      </c>
      <c r="E17" s="6" t="n">
        <v>0.0</v>
      </c>
      <c r="F17" s="6" t="n">
        <v>6.046942787170409</v>
      </c>
      <c r="G17" s="6" t="n">
        <v>0.0</v>
      </c>
      <c r="H17" s="6" t="n">
        <v>0.0</v>
      </c>
      <c r="I17" s="6" t="n">
        <v>0.0</v>
      </c>
      <c r="J17" s="6">
        <f si="0" t="shared"/>
        <v>425.0242541843329</v>
      </c>
      <c r="L17" s="12">
        <v>0.29166666666666669</v>
      </c>
      <c r="M17" s="9" t="n">
        <v>3169.63565158844</v>
      </c>
      <c r="N17" s="9" t="n">
        <v>414.8761281967163</v>
      </c>
      <c r="O17" s="9" t="n">
        <v>0.0</v>
      </c>
      <c r="P17" s="9" t="n">
        <v>0.0</v>
      </c>
      <c r="Q17" s="9" t="n">
        <v>146.67677402496338</v>
      </c>
      <c r="R17" s="9" t="n">
        <v>3.9807443618774414</v>
      </c>
      <c r="S17" s="9" t="n">
        <v>0.0</v>
      </c>
      <c r="T17" s="9" t="n">
        <v>0.0</v>
      </c>
      <c r="U17">
        <f si="1" t="shared"/>
        <v>1437.6184911727905</v>
      </c>
    </row>
    <row r="18" spans="1:21" x14ac:dyDescent="0.25">
      <c r="A18" s="12">
        <v>0.3125</v>
      </c>
      <c r="B18" s="6" t="n">
        <v>1487.0542464180944</v>
      </c>
      <c r="C18" s="6" t="n">
        <v>63.53613345060349</v>
      </c>
      <c r="D18" s="6" t="n">
        <v>0.0</v>
      </c>
      <c r="E18" s="6" t="n">
        <v>0.0</v>
      </c>
      <c r="F18" s="6" t="n">
        <v>15.115259439468382</v>
      </c>
      <c r="G18" s="6" t="n">
        <v>0.0</v>
      </c>
      <c r="H18" s="6" t="n">
        <v>0.0</v>
      </c>
      <c r="I18" s="6" t="n">
        <v>0.0</v>
      </c>
      <c r="J18" s="6">
        <f si="0" t="shared"/>
        <v>639.22456443330486</v>
      </c>
      <c r="L18" s="12">
        <v>0.3125</v>
      </c>
      <c r="M18" s="9" t="n">
        <v>5307.873406410217</v>
      </c>
      <c r="N18" s="9" t="n">
        <v>683.8087043762207</v>
      </c>
      <c r="O18" s="9" t="n">
        <v>0.0</v>
      </c>
      <c r="P18" s="9" t="n">
        <v>0.0</v>
      </c>
      <c r="Q18" s="9" t="n">
        <v>252.66096591949463</v>
      </c>
      <c r="R18" s="9" t="n">
        <v>7.181304931640625</v>
      </c>
      <c r="S18" s="9" t="n">
        <v>0.0</v>
      </c>
      <c r="T18" s="9" t="n">
        <v>0.0</v>
      </c>
      <c r="U18">
        <f si="1" t="shared"/>
        <v>2097.7314128875732</v>
      </c>
    </row>
    <row r="19" spans="1:21" x14ac:dyDescent="0.25">
      <c r="A19" s="12">
        <v>0.33333333333333331</v>
      </c>
      <c r="B19" s="6" t="n">
        <v>2157.3758164155956</v>
      </c>
      <c r="C19" s="6" t="n">
        <v>77.4655641166687</v>
      </c>
      <c r="D19" s="6" t="n">
        <v>0.0</v>
      </c>
      <c r="E19" s="6" t="n">
        <v>0.0</v>
      </c>
      <c r="F19" s="6" t="n">
        <v>32.623693569564814</v>
      </c>
      <c r="G19" s="6" t="n">
        <v>0.0</v>
      </c>
      <c r="H19" s="6" t="n">
        <v>0.0</v>
      </c>
      <c r="I19" s="6" t="n">
        <v>0.0</v>
      </c>
      <c r="J19" s="6">
        <f si="0" t="shared"/>
        <v>914.56354103839317</v>
      </c>
      <c r="L19" s="12">
        <v>0.33333333333333331</v>
      </c>
      <c r="M19" s="9" t="n">
        <v>8362.36708164215</v>
      </c>
      <c r="N19" s="9" t="n">
        <v>1054.8353900909424</v>
      </c>
      <c r="O19" s="9" t="n">
        <v>0.0</v>
      </c>
      <c r="P19" s="9" t="n">
        <v>0.0</v>
      </c>
      <c r="Q19" s="9" t="n">
        <v>411.7350664138794</v>
      </c>
      <c r="R19" s="9" t="n">
        <v>12.192423820495605</v>
      </c>
      <c r="S19" s="9" t="n">
        <v>0.0</v>
      </c>
      <c r="T19" s="9" t="n">
        <v>0.0</v>
      </c>
      <c r="U19">
        <f si="1" t="shared"/>
        <v>2900.5885143280029</v>
      </c>
    </row>
    <row r="20" spans="1:21" x14ac:dyDescent="0.25">
      <c r="A20" s="12">
        <v>0.35416666666666669</v>
      </c>
      <c r="B20" s="6" t="n">
        <v>2960.0206203825946</v>
      </c>
      <c r="C20" s="6" t="n">
        <v>101.15355136528015</v>
      </c>
      <c r="D20" s="6" t="n">
        <v>0.0</v>
      </c>
      <c r="E20" s="6" t="n">
        <v>0.0</v>
      </c>
      <c r="F20" s="6" t="n">
        <v>62.644050613212585</v>
      </c>
      <c r="G20" s="6" t="n">
        <v>0.0</v>
      </c>
      <c r="H20" s="6" t="n">
        <v>0.0</v>
      </c>
      <c r="I20" s="6" t="n">
        <v>0.0</v>
      </c>
      <c r="J20" s="6">
        <f si="0" t="shared"/>
        <v>1305.6844032990257</v>
      </c>
      <c r="L20" s="12">
        <v>0.35416666666666669</v>
      </c>
      <c r="M20" s="9" t="n">
        <v>12625.739890098572</v>
      </c>
      <c r="N20" s="9" t="n">
        <v>1551.344783782959</v>
      </c>
      <c r="O20" s="9" t="n">
        <v>0.0</v>
      </c>
      <c r="P20" s="9" t="n">
        <v>0.0</v>
      </c>
      <c r="Q20" s="9" t="n">
        <v>643.4851675033569</v>
      </c>
      <c r="R20" s="9" t="n">
        <v>19.597779273986816</v>
      </c>
      <c r="S20" s="9" t="n">
        <v>0.0</v>
      </c>
      <c r="T20" s="9" t="n">
        <v>0.0</v>
      </c>
      <c r="U20">
        <f si="1" t="shared"/>
        <v>3819.3066358566284</v>
      </c>
    </row>
    <row r="21" spans="1:21" x14ac:dyDescent="0.25">
      <c r="A21" s="12">
        <v>0.375</v>
      </c>
      <c r="B21" s="6" t="n">
        <v>3951.2962248910903</v>
      </c>
      <c r="C21" s="6" t="n">
        <v>138.04669598426818</v>
      </c>
      <c r="D21" s="6" t="n">
        <v>0.0</v>
      </c>
      <c r="E21" s="6" t="n">
        <v>0.0</v>
      </c>
      <c r="F21" s="6" t="n">
        <v>110.40835469007492</v>
      </c>
      <c r="G21" s="6" t="n">
        <v>0.0</v>
      </c>
      <c r="H21" s="6" t="n">
        <v>0.0</v>
      </c>
      <c r="I21" s="6" t="n">
        <v>0.0</v>
      </c>
      <c r="J21" s="6">
        <f si="0" t="shared"/>
        <v>1938.6174145642908</v>
      </c>
      <c r="L21" s="12">
        <v>0.375</v>
      </c>
      <c r="M21" s="9" t="n">
        <v>18317.635228157043</v>
      </c>
      <c r="N21" s="9" t="n">
        <v>2186.84259223938</v>
      </c>
      <c r="O21" s="9" t="n">
        <v>0.0</v>
      </c>
      <c r="P21" s="9" t="n">
        <v>0.0</v>
      </c>
      <c r="Q21" s="9" t="n">
        <v>963.0622758865356</v>
      </c>
      <c r="R21" s="9" t="n">
        <v>29.688953399658203</v>
      </c>
      <c r="S21" s="9" t="n">
        <v>0.0</v>
      </c>
      <c r="T21" s="9" t="n">
        <v>0.0</v>
      </c>
      <c r="U21">
        <f si="1" t="shared"/>
        <v>4842.9429903030396</v>
      </c>
    </row>
    <row r="22" spans="1:21" x14ac:dyDescent="0.25">
      <c r="A22" s="12">
        <v>0.39583333333333331</v>
      </c>
      <c r="B22" s="6" t="n">
        <v>5284.9180506768225</v>
      </c>
      <c r="C22" s="6" t="n">
        <v>188.96424572296144</v>
      </c>
      <c r="D22" s="6" t="n">
        <v>0.0</v>
      </c>
      <c r="E22" s="6" t="n">
        <v>0.0</v>
      </c>
      <c r="F22" s="6" t="n">
        <v>182.7154977004051</v>
      </c>
      <c r="G22" s="6" t="n">
        <v>0.0</v>
      </c>
      <c r="H22" s="6" t="n">
        <v>0.0</v>
      </c>
      <c r="I22" s="6" t="n">
        <v>0.0</v>
      </c>
      <c r="J22" s="6">
        <f si="0" t="shared"/>
        <v>2989.0201560240566</v>
      </c>
      <c r="L22" s="12">
        <v>0.39583333333333331</v>
      </c>
      <c r="M22" s="9" t="n">
        <v>25292.152165412903</v>
      </c>
      <c r="N22" s="9" t="n">
        <v>2936.383557319641</v>
      </c>
      <c r="O22" s="9" t="n">
        <v>0.0</v>
      </c>
      <c r="P22" s="9" t="n">
        <v>0.0</v>
      </c>
      <c r="Q22" s="9" t="n">
        <v>1366.014973640442</v>
      </c>
      <c r="R22" s="9" t="n">
        <v>42.063690185546875</v>
      </c>
      <c r="S22" s="9" t="n">
        <v>0.0</v>
      </c>
      <c r="T22" s="9" t="n">
        <v>0.0</v>
      </c>
      <c r="U22">
        <f si="1" t="shared"/>
        <v>5958.4704427719116</v>
      </c>
    </row>
    <row r="23" spans="1:21" x14ac:dyDescent="0.25">
      <c r="A23" s="12">
        <v>0.41666666666666669</v>
      </c>
      <c r="B23" s="6" t="n">
        <v>7142.471573314857</v>
      </c>
      <c r="C23" s="6" t="n">
        <v>253.11245035829546</v>
      </c>
      <c r="D23" s="6" t="n">
        <v>0.0</v>
      </c>
      <c r="E23" s="6" t="n">
        <v>0.0</v>
      </c>
      <c r="F23" s="6" t="n">
        <v>284.7284240121841</v>
      </c>
      <c r="G23" s="6" t="n">
        <v>0.0</v>
      </c>
      <c r="H23" s="6" t="n">
        <v>0.0</v>
      </c>
      <c r="I23" s="6" t="n">
        <v>0.0</v>
      </c>
      <c r="J23" s="6">
        <f si="0" t="shared"/>
        <v>4567.5519182993648</v>
      </c>
      <c r="L23" s="12">
        <v>0.41666666666666669</v>
      </c>
      <c r="M23" s="9" t="n">
        <v>32836.52830696106</v>
      </c>
      <c r="N23" s="9" t="n">
        <v>3719.231595993042</v>
      </c>
      <c r="O23" s="9" t="n">
        <v>0.0</v>
      </c>
      <c r="P23" s="9" t="n">
        <v>0.0</v>
      </c>
      <c r="Q23" s="9" t="n">
        <v>1818.385820388794</v>
      </c>
      <c r="R23" s="9" t="n">
        <v>55.49751949310303</v>
      </c>
      <c r="S23" s="9" t="n">
        <v>0.0</v>
      </c>
      <c r="T23" s="9" t="n">
        <v>0.0</v>
      </c>
      <c r="U23">
        <f si="1" t="shared"/>
        <v>7114.9390821456909</v>
      </c>
    </row>
    <row r="24" spans="1:21" x14ac:dyDescent="0.25">
      <c r="A24" s="12">
        <v>0.4375</v>
      </c>
      <c r="B24" s="6" t="n">
        <v>9541.745473774814</v>
      </c>
      <c r="C24" s="6" t="n">
        <v>328.48573800935753</v>
      </c>
      <c r="D24" s="6" t="n">
        <v>0.0</v>
      </c>
      <c r="E24" s="6" t="n">
        <v>0.0</v>
      </c>
      <c r="F24" s="6" t="n">
        <v>410.7185881138802</v>
      </c>
      <c r="G24" s="6" t="n">
        <v>0.0</v>
      </c>
      <c r="H24" s="6" t="n">
        <v>0.0</v>
      </c>
      <c r="I24" s="6" t="n">
        <v>0.0</v>
      </c>
      <c r="J24" s="6">
        <f si="0" t="shared"/>
        <v>6548.4822042883343</v>
      </c>
      <c r="L24" s="12">
        <v>0.4375</v>
      </c>
      <c r="M24" s="9" t="n">
        <v>39762.710538864136</v>
      </c>
      <c r="N24" s="9" t="n">
        <v>4412.928469657898</v>
      </c>
      <c r="O24" s="9" t="n">
        <v>0.0</v>
      </c>
      <c r="P24" s="9" t="n">
        <v>0.0</v>
      </c>
      <c r="Q24" s="9" t="n">
        <v>2260.202630996704</v>
      </c>
      <c r="R24" s="9" t="n">
        <v>68.22786521911621</v>
      </c>
      <c r="S24" s="9" t="n">
        <v>0.0</v>
      </c>
      <c r="T24" s="9" t="n">
        <v>0.0</v>
      </c>
      <c r="U24">
        <f si="1" t="shared"/>
        <v>8197.7406282424927</v>
      </c>
    </row>
    <row r="25" spans="1:21" x14ac:dyDescent="0.25">
      <c r="A25" s="12">
        <v>0.45833333333333331</v>
      </c>
      <c r="B25" s="6" t="n">
        <v>12143.380083648013</v>
      </c>
      <c r="C25" s="6" t="n">
        <v>409.4949395428658</v>
      </c>
      <c r="D25" s="6" t="n">
        <v>0.0</v>
      </c>
      <c r="E25" s="6" t="n">
        <v>0.0</v>
      </c>
      <c r="F25" s="6" t="n">
        <v>534.8883293239594</v>
      </c>
      <c r="G25" s="6" t="n">
        <v>0.0</v>
      </c>
      <c r="H25" s="6" t="n">
        <v>0.0</v>
      </c>
      <c r="I25" s="6" t="n">
        <v>0.0</v>
      </c>
      <c r="J25" s="6">
        <f si="0" t="shared"/>
        <v>8487.4476898937428</v>
      </c>
      <c r="L25" s="12">
        <v>0.45833333333333331</v>
      </c>
      <c r="M25" s="9" t="n">
        <v>44737.12797451019</v>
      </c>
      <c r="N25" s="9" t="n">
        <v>4889.738038063049</v>
      </c>
      <c r="O25" s="9" t="n">
        <v>0.0</v>
      </c>
      <c r="P25" s="9" t="n">
        <v>0.0</v>
      </c>
      <c r="Q25" s="9" t="n">
        <v>2618.573377609253</v>
      </c>
      <c r="R25" s="9" t="n">
        <v>78.38710498809814</v>
      </c>
      <c r="S25" s="9" t="n">
        <v>0.0</v>
      </c>
      <c r="T25" s="9" t="n">
        <v>0.0</v>
      </c>
      <c r="U25">
        <f si="1" t="shared"/>
        <v>9031.3809757232666</v>
      </c>
    </row>
    <row r="26" spans="1:21" x14ac:dyDescent="0.25">
      <c r="A26" s="12">
        <v>0.47916666666666669</v>
      </c>
      <c r="B26" s="6" t="n">
        <v>14261.360087638188</v>
      </c>
      <c r="C26" s="6" t="n">
        <v>483.3257977014542</v>
      </c>
      <c r="D26" s="6" t="n">
        <v>0.0</v>
      </c>
      <c r="E26" s="6" t="n">
        <v>0.0</v>
      </c>
      <c r="F26" s="6" t="n">
        <v>615.6244446864127</v>
      </c>
      <c r="G26" s="6" t="n">
        <v>0.0</v>
      </c>
      <c r="H26" s="6" t="n">
        <v>0.0</v>
      </c>
      <c r="I26" s="6" t="n">
        <v>0.0</v>
      </c>
      <c r="J26" s="6">
        <f si="0" t="shared"/>
        <v>9770.9996707088885</v>
      </c>
      <c r="L26" s="12">
        <v>0.47916666666666669</v>
      </c>
      <c r="M26" s="9" t="n">
        <v>46657.53645801544</v>
      </c>
      <c r="N26" s="9" t="n">
        <v>5052.589475631714</v>
      </c>
      <c r="O26" s="9" t="n">
        <v>0.0</v>
      </c>
      <c r="P26" s="9" t="n">
        <v>0.0</v>
      </c>
      <c r="Q26" s="9" t="n">
        <v>2824.0414123535156</v>
      </c>
      <c r="R26" s="9" t="n">
        <v>84.34315299987793</v>
      </c>
      <c r="S26" s="9" t="n">
        <v>0.0</v>
      </c>
      <c r="T26" s="9" t="n">
        <v>0.0</v>
      </c>
      <c r="U26">
        <f si="1" t="shared"/>
        <v>9421.0664014816284</v>
      </c>
    </row>
    <row r="27" spans="1:21" x14ac:dyDescent="0.25">
      <c r="A27" s="12">
        <v>0.5</v>
      </c>
      <c r="B27" s="6" t="n">
        <v>15166.442158504296</v>
      </c>
      <c r="C27" s="6" t="n">
        <v>529.9182658169747</v>
      </c>
      <c r="D27" s="6" t="n">
        <v>0.0</v>
      </c>
      <c r="E27" s="6" t="n">
        <v>0.0</v>
      </c>
      <c r="F27" s="6" t="n">
        <v>617.9708634770393</v>
      </c>
      <c r="G27" s="6" t="n">
        <v>0.0</v>
      </c>
      <c r="H27" s="6" t="n">
        <v>0.0</v>
      </c>
      <c r="I27" s="6" t="n">
        <v>0.0</v>
      </c>
      <c r="J27" s="6">
        <f si="0" t="shared"/>
        <v>9952.1674851257376</v>
      </c>
      <c r="L27" s="12">
        <v>0.5</v>
      </c>
      <c r="M27" s="9" t="n">
        <v>44997.077907562256</v>
      </c>
      <c r="N27" s="9" t="n">
        <v>4863.403922080994</v>
      </c>
      <c r="O27" s="9" t="n">
        <v>0.0</v>
      </c>
      <c r="P27" s="9" t="n">
        <v>0.0</v>
      </c>
      <c r="Q27" s="9" t="n">
        <v>2831.6618041992188</v>
      </c>
      <c r="R27" s="9" t="n">
        <v>85.1050386428833</v>
      </c>
      <c r="S27" s="9" t="n">
        <v>0.0</v>
      </c>
      <c r="T27" s="9" t="n">
        <v>0.0</v>
      </c>
      <c r="U27">
        <f si="1" t="shared"/>
        <v>9236.1603240966797</v>
      </c>
    </row>
    <row r="28" spans="1:21" x14ac:dyDescent="0.25">
      <c r="A28" s="12">
        <v>0.52083333333333337</v>
      </c>
      <c r="B28" s="6" t="n">
        <v>14504.327191461753</v>
      </c>
      <c r="C28" s="6" t="n">
        <v>529.7643806128502</v>
      </c>
      <c r="D28" s="6" t="n">
        <v>0.0</v>
      </c>
      <c r="E28" s="6" t="n">
        <v>0.0</v>
      </c>
      <c r="F28" s="6" t="n">
        <v>538.5183504333496</v>
      </c>
      <c r="G28" s="6" t="n">
        <v>0.0</v>
      </c>
      <c r="H28" s="6" t="n">
        <v>0.0</v>
      </c>
      <c r="I28" s="6" t="n">
        <v>0.0</v>
      </c>
      <c r="J28" s="6">
        <f si="0" t="shared"/>
        <v>9020.0602585693978</v>
      </c>
      <c r="L28" s="12">
        <v>0.52083333333333337</v>
      </c>
      <c r="M28" s="9" t="n">
        <v>40083.43585395813</v>
      </c>
      <c r="N28" s="9" t="n">
        <v>4365.304665565491</v>
      </c>
      <c r="O28" s="9" t="n">
        <v>0.0</v>
      </c>
      <c r="P28" s="9" t="n">
        <v>0.0</v>
      </c>
      <c r="Q28" s="9" t="n">
        <v>2645.279366493225</v>
      </c>
      <c r="R28" s="9" t="n">
        <v>80.91472816467285</v>
      </c>
      <c r="S28" s="9" t="n">
        <v>0.0</v>
      </c>
      <c r="T28" s="9" t="n">
        <v>0.0</v>
      </c>
      <c r="U28">
        <f si="1" t="shared"/>
        <v>8502.627893447876</v>
      </c>
    </row>
    <row r="29" spans="1:21" x14ac:dyDescent="0.25">
      <c r="A29" s="12">
        <v>0.54166666666666663</v>
      </c>
      <c r="B29" s="6" t="n">
        <v>12507.097706584165</v>
      </c>
      <c r="C29" s="6" t="n">
        <v>477.0896698127747</v>
      </c>
      <c r="D29" s="6" t="n">
        <v>0.0</v>
      </c>
      <c r="E29" s="6" t="n">
        <v>0.0</v>
      </c>
      <c r="F29" s="6" t="n">
        <v>409.3150811861992</v>
      </c>
      <c r="G29" s="6" t="n">
        <v>0.0</v>
      </c>
      <c r="H29" s="6" t="n">
        <v>0.0</v>
      </c>
      <c r="I29" s="6" t="n">
        <v>0.0</v>
      </c>
      <c r="J29" s="6">
        <f si="0" t="shared"/>
        <v>7379.6482935795257</v>
      </c>
      <c r="L29" s="12">
        <v>0.54166666666666663</v>
      </c>
      <c r="M29" s="9" t="n">
        <v>33117.76477146149</v>
      </c>
      <c r="N29" s="9" t="n">
        <v>3682.3082418441772</v>
      </c>
      <c r="O29" s="9" t="n">
        <v>0.0</v>
      </c>
      <c r="P29" s="9" t="n">
        <v>0.0</v>
      </c>
      <c r="Q29" s="9" t="n">
        <v>2326.709934234619</v>
      </c>
      <c r="R29" s="9" t="n">
        <v>73.5304946899414</v>
      </c>
      <c r="S29" s="9" t="n">
        <v>0.0</v>
      </c>
      <c r="T29" s="9" t="n">
        <v>0.0</v>
      </c>
      <c r="U29">
        <f si="1" t="shared"/>
        <v>7426.9422292709351</v>
      </c>
    </row>
    <row r="30" spans="1:21" x14ac:dyDescent="0.25">
      <c r="A30" s="12">
        <v>0.5625</v>
      </c>
      <c r="B30" s="6" t="n">
        <v>9839.743143514155</v>
      </c>
      <c r="C30" s="6" t="n">
        <v>387.8446050328255</v>
      </c>
      <c r="D30" s="6" t="n">
        <v>0.0</v>
      </c>
      <c r="E30" s="6" t="n">
        <v>0.0</v>
      </c>
      <c r="F30" s="6" t="n">
        <v>276.17093489818575</v>
      </c>
      <c r="G30" s="6" t="n">
        <v>0.0</v>
      </c>
      <c r="H30" s="6" t="n">
        <v>0.0</v>
      </c>
      <c r="I30" s="6" t="n">
        <v>0.0</v>
      </c>
      <c r="J30" s="6">
        <f si="0" t="shared"/>
        <v>5576.8880354829307</v>
      </c>
      <c r="L30" s="12">
        <v>0.5625</v>
      </c>
      <c r="M30" s="9" t="n">
        <v>25732.352473258972</v>
      </c>
      <c r="N30" s="9" t="n">
        <v>2975.547908782959</v>
      </c>
      <c r="O30" s="9" t="n">
        <v>0.0</v>
      </c>
      <c r="P30" s="9" t="n">
        <v>0.0</v>
      </c>
      <c r="Q30" s="9" t="n">
        <v>1970.9605140686035</v>
      </c>
      <c r="R30" s="9" t="n">
        <v>65.56068134307861</v>
      </c>
      <c r="S30" s="9" t="n">
        <v>0.0</v>
      </c>
      <c r="T30" s="9" t="n">
        <v>0.0</v>
      </c>
      <c r="U30">
        <f si="1" t="shared"/>
        <v>6299.3058862686157</v>
      </c>
    </row>
    <row r="31" spans="1:21" x14ac:dyDescent="0.25">
      <c r="A31" s="12">
        <v>0.58333333333333337</v>
      </c>
      <c r="B31" s="6" t="n">
        <v>7226.607892228507</v>
      </c>
      <c r="C31" s="6" t="n">
        <v>292.6773035739899</v>
      </c>
      <c r="D31" s="6" t="n">
        <v>0.0</v>
      </c>
      <c r="E31" s="6" t="n">
        <v>0.0</v>
      </c>
      <c r="F31" s="6" t="n">
        <v>171.3093424944878</v>
      </c>
      <c r="G31" s="6" t="n">
        <v>0.0</v>
      </c>
      <c r="H31" s="6" t="n">
        <v>0.0</v>
      </c>
      <c r="I31" s="6" t="n">
        <v>0.0</v>
      </c>
      <c r="J31" s="6">
        <f si="0" t="shared"/>
        <v>4010.9095879636243</v>
      </c>
      <c r="L31" s="12">
        <v>0.58333333333333337</v>
      </c>
      <c r="M31" s="9" t="n">
        <v>19270.56843471527</v>
      </c>
      <c r="N31" s="9" t="n">
        <v>2372.53564453125</v>
      </c>
      <c r="O31" s="9" t="n">
        <v>0.0</v>
      </c>
      <c r="P31" s="9" t="n">
        <v>0.0</v>
      </c>
      <c r="Q31" s="9" t="n">
        <v>1658.5757369995117</v>
      </c>
      <c r="R31" s="9" t="n">
        <v>59.10391902923584</v>
      </c>
      <c r="S31" s="9" t="n">
        <v>0.0</v>
      </c>
      <c r="T31" s="9" t="n">
        <v>0.0</v>
      </c>
      <c r="U31">
        <f si="1" t="shared"/>
        <v>5332.0083208084106</v>
      </c>
    </row>
    <row r="32" spans="1:21" x14ac:dyDescent="0.25">
      <c r="A32" s="12">
        <v>0.60416666666666663</v>
      </c>
      <c r="B32" s="6" t="n">
        <v>5134.995325133323</v>
      </c>
      <c r="C32" s="6" t="n">
        <v>218.1383108345032</v>
      </c>
      <c r="D32" s="6" t="n">
        <v>0.0</v>
      </c>
      <c r="E32" s="6" t="n">
        <v>0.0</v>
      </c>
      <c r="F32" s="6" t="n">
        <v>102.43764861936569</v>
      </c>
      <c r="G32" s="6" t="n">
        <v>0.0</v>
      </c>
      <c r="H32" s="6" t="n">
        <v>0.0</v>
      </c>
      <c r="I32" s="6" t="n">
        <v>0.0</v>
      </c>
      <c r="J32" s="6">
        <f si="0" t="shared"/>
        <v>2826.7266679355494</v>
      </c>
      <c r="L32" s="12">
        <v>0.60416666666666663</v>
      </c>
      <c r="M32" s="9" t="n">
        <v>14307.603729248047</v>
      </c>
      <c r="N32" s="9" t="n">
        <v>1921.2842512130737</v>
      </c>
      <c r="O32" s="9" t="n">
        <v>0.0</v>
      </c>
      <c r="P32" s="9" t="n">
        <v>0.0</v>
      </c>
      <c r="Q32" s="9" t="n">
        <v>1422.3755359649658</v>
      </c>
      <c r="R32" s="9" t="n">
        <v>54.82046413421631</v>
      </c>
      <c r="S32" s="9" t="n">
        <v>0.0</v>
      </c>
      <c r="T32" s="9" t="n">
        <v>0.0</v>
      </c>
      <c r="U32">
        <f si="1" t="shared"/>
        <v>4564.3316812515259</v>
      </c>
    </row>
    <row r="33" spans="1:21" x14ac:dyDescent="0.25">
      <c r="A33" s="12">
        <v>0.625</v>
      </c>
      <c r="B33" s="6" t="n">
        <v>3679.054689550495</v>
      </c>
      <c r="C33" s="6" t="n">
        <v>171.79546514463425</v>
      </c>
      <c r="D33" s="6" t="n">
        <v>0.0</v>
      </c>
      <c r="E33" s="6" t="n">
        <v>0.0</v>
      </c>
      <c r="F33" s="6" t="n">
        <v>60.90215063095093</v>
      </c>
      <c r="G33" s="6" t="n">
        <v>0.0</v>
      </c>
      <c r="H33" s="6" t="n">
        <v>0.0</v>
      </c>
      <c r="I33" s="6" t="n">
        <v>0.0</v>
      </c>
      <c r="J33" s="6">
        <f si="0" t="shared"/>
        <v>1985.500734765229</v>
      </c>
      <c r="L33" s="12">
        <v>0.625</v>
      </c>
      <c r="M33" s="9" t="n">
        <v>10723.263506889343</v>
      </c>
      <c r="N33" s="9" t="n">
        <v>1601.0121688842773</v>
      </c>
      <c r="O33" s="9" t="n">
        <v>0.0</v>
      </c>
      <c r="P33" s="9" t="n">
        <v>0.0</v>
      </c>
      <c r="Q33" s="9" t="n">
        <v>1252.2203512191772</v>
      </c>
      <c r="R33" s="9" t="n">
        <v>52.18009662628174</v>
      </c>
      <c r="S33" s="9" t="n">
        <v>0.0</v>
      </c>
      <c r="T33" s="9" t="n">
        <v>0.0</v>
      </c>
      <c r="U33">
        <f si="1" t="shared"/>
        <v>3907.3885631561279</v>
      </c>
    </row>
    <row r="34" spans="1:21" x14ac:dyDescent="0.25">
      <c r="A34" s="12">
        <v>0.64583333333333337</v>
      </c>
      <c r="B34" s="6" t="n">
        <v>2721.682468586636</v>
      </c>
      <c r="C34" s="6" t="n">
        <v>143.40952636480333</v>
      </c>
      <c r="D34" s="6" t="n">
        <v>0.0</v>
      </c>
      <c r="E34" s="6" t="n">
        <v>0.0</v>
      </c>
      <c r="F34" s="6" t="n">
        <v>35.36401881275177</v>
      </c>
      <c r="G34" s="6" t="n">
        <v>0.0</v>
      </c>
      <c r="H34" s="6" t="n">
        <v>0.0</v>
      </c>
      <c r="I34" s="6" t="n">
        <v>0.0</v>
      </c>
      <c r="J34" s="6">
        <f si="0" t="shared"/>
        <v>1388.8300855676734</v>
      </c>
      <c r="L34" s="12">
        <v>0.64583333333333337</v>
      </c>
      <c r="M34" s="9" t="n">
        <v>8122.183203697205</v>
      </c>
      <c r="N34" s="9" t="n">
        <v>1367.7000827789307</v>
      </c>
      <c r="O34" s="9" t="n">
        <v>0.0</v>
      </c>
      <c r="P34" s="9" t="n">
        <v>0.0</v>
      </c>
      <c r="Q34" s="9" t="n">
        <v>1124.2534828186035</v>
      </c>
      <c r="R34" s="9" t="n">
        <v>50.449928283691406</v>
      </c>
      <c r="S34" s="9" t="n">
        <v>0.0</v>
      </c>
      <c r="T34" s="9" t="n">
        <v>0.0</v>
      </c>
      <c r="U34">
        <f si="1" t="shared"/>
        <v>3269.7210702896118</v>
      </c>
    </row>
    <row r="35" spans="1:21" x14ac:dyDescent="0.25">
      <c r="A35" s="12">
        <v>0.66666666666666663</v>
      </c>
      <c r="B35" s="6" t="n">
        <v>2052.3908350782394</v>
      </c>
      <c r="C35" s="6" t="n">
        <v>118.39623728141785</v>
      </c>
      <c r="D35" s="6" t="n">
        <v>0.0</v>
      </c>
      <c r="E35" s="6" t="n">
        <v>0.0</v>
      </c>
      <c r="F35" s="6" t="n">
        <v>18.95432667942047</v>
      </c>
      <c r="G35" s="6" t="n">
        <v>0.0</v>
      </c>
      <c r="H35" s="6" t="n">
        <v>0.0</v>
      </c>
      <c r="I35" s="6" t="n">
        <v>0.0</v>
      </c>
      <c r="J35" s="6">
        <f si="0" t="shared"/>
        <v>958.01794817835525</v>
      </c>
      <c r="L35" s="12">
        <v>0.66666666666666663</v>
      </c>
      <c r="M35" s="9" t="n">
        <v>6181.63614654541</v>
      </c>
      <c r="N35" s="9" t="n">
        <v>1189.6489334106445</v>
      </c>
      <c r="O35" s="9" t="n">
        <v>0.0</v>
      </c>
      <c r="P35" s="9" t="n">
        <v>0.0</v>
      </c>
      <c r="Q35" s="9" t="n">
        <v>1023.9614343643188</v>
      </c>
      <c r="R35" s="9" t="n">
        <v>49.39221668243408</v>
      </c>
      <c r="S35" s="9" t="n">
        <v>0.0</v>
      </c>
      <c r="T35" s="9" t="n">
        <v>0.0</v>
      </c>
      <c r="U35">
        <f si="1" t="shared"/>
        <v>2643.2130632400513</v>
      </c>
    </row>
    <row r="36" spans="1:21" x14ac:dyDescent="0.25">
      <c r="A36" s="12">
        <v>0.6875</v>
      </c>
      <c r="B36" s="6" t="n">
        <v>1522.2766288752555</v>
      </c>
      <c r="C36" s="6" t="n">
        <v>89.76012170619964</v>
      </c>
      <c r="D36" s="6" t="n">
        <v>0.0</v>
      </c>
      <c r="E36" s="6" t="n">
        <v>0.0</v>
      </c>
      <c r="F36" s="6" t="n">
        <v>8.830259983634948</v>
      </c>
      <c r="G36" s="6" t="n">
        <v>0.0</v>
      </c>
      <c r="H36" s="6" t="n">
        <v>0.0</v>
      </c>
      <c r="I36" s="6" t="n">
        <v>0.0</v>
      </c>
      <c r="J36" s="6">
        <f si="0" t="shared"/>
        <v>650.04655086605533</v>
      </c>
      <c r="L36" s="12">
        <v>0.6875</v>
      </c>
      <c r="M36" s="9" t="n">
        <v>4733.270416259766</v>
      </c>
      <c r="N36" s="9" t="n">
        <v>1052.2176761627197</v>
      </c>
      <c r="O36" s="9" t="n">
        <v>0.0</v>
      </c>
      <c r="P36" s="9" t="n">
        <v>0.0</v>
      </c>
      <c r="Q36" s="9" t="n">
        <v>947.6347713470459</v>
      </c>
      <c r="R36" s="9" t="n">
        <v>49.117258071899414</v>
      </c>
      <c r="S36" s="9" t="n">
        <v>0.0</v>
      </c>
      <c r="T36" s="9" t="n">
        <v>0.0</v>
      </c>
      <c r="U36">
        <f si="1" t="shared"/>
        <v>2089.8046598434448</v>
      </c>
    </row>
    <row r="37" spans="1:21" x14ac:dyDescent="0.25">
      <c r="A37" s="12">
        <v>0.70833333333333337</v>
      </c>
      <c r="B37" s="6" t="n">
        <v>1081.0362211803435</v>
      </c>
      <c r="C37" s="6" t="n">
        <v>59.81524343185425</v>
      </c>
      <c r="D37" s="6" t="n">
        <v>0.0</v>
      </c>
      <c r="E37" s="6" t="n">
        <v>0.0</v>
      </c>
      <c r="F37" s="6" t="n">
        <v>3.4076219723701477</v>
      </c>
      <c r="G37" s="6" t="n">
        <v>0.0</v>
      </c>
      <c r="H37" s="6" t="n">
        <v>0.0</v>
      </c>
      <c r="I37" s="6" t="n">
        <v>0.0</v>
      </c>
      <c r="J37" s="6">
        <f si="0" t="shared"/>
        <v>440.60553804449648</v>
      </c>
      <c r="L37" s="12">
        <v>0.70833333333333337</v>
      </c>
      <c r="M37" s="9" t="n">
        <v>3679.374327659607</v>
      </c>
      <c r="N37" s="9" t="n">
        <v>944.2353706359863</v>
      </c>
      <c r="O37" s="9" t="n">
        <v>0.0</v>
      </c>
      <c r="P37" s="9" t="n">
        <v>0.0</v>
      </c>
      <c r="Q37" s="9" t="n">
        <v>890.2618656158447</v>
      </c>
      <c r="R37" s="9" t="n">
        <v>49.40463352203369</v>
      </c>
      <c r="S37" s="9" t="n">
        <v>0.0</v>
      </c>
      <c r="T37" s="9" t="n">
        <v>0.0</v>
      </c>
      <c r="U37">
        <f si="1" t="shared"/>
        <v>1669.1489553451538</v>
      </c>
    </row>
    <row r="38" spans="1:21" x14ac:dyDescent="0.25">
      <c r="A38" s="12">
        <v>0.72916666666666663</v>
      </c>
      <c r="B38" s="6" t="n">
        <v>737.6967145983695</v>
      </c>
      <c r="C38" s="6" t="n">
        <v>34.407105349159245</v>
      </c>
      <c r="D38" s="6" t="n">
        <v>0.0</v>
      </c>
      <c r="E38" s="6" t="n">
        <v>0.0</v>
      </c>
      <c r="F38" s="6" t="n">
        <v>1.045449077129364</v>
      </c>
      <c r="G38" s="6" t="n">
        <v>0.0</v>
      </c>
      <c r="H38" s="6" t="n">
        <v>0.0</v>
      </c>
      <c r="I38" s="6" t="n">
        <v>0.0</v>
      </c>
      <c r="J38" s="6">
        <f si="0" t="shared"/>
        <v>306.63133596928304</v>
      </c>
      <c r="L38" s="12">
        <v>0.72916666666666663</v>
      </c>
      <c r="M38" s="9" t="n">
        <v>2914.93971824646</v>
      </c>
      <c r="N38" s="9" t="n">
        <v>848.4438991546631</v>
      </c>
      <c r="O38" s="9" t="n">
        <v>0.0</v>
      </c>
      <c r="P38" s="9" t="n">
        <v>0.0</v>
      </c>
      <c r="Q38" s="9" t="n">
        <v>837.1757688522339</v>
      </c>
      <c r="R38" s="9" t="n">
        <v>49.297078132629395</v>
      </c>
      <c r="S38" s="9" t="n">
        <v>0.0</v>
      </c>
      <c r="T38" s="9" t="n">
        <v>0.0</v>
      </c>
      <c r="U38">
        <f si="1" t="shared"/>
        <v>1385.6558713912964</v>
      </c>
    </row>
    <row r="39" spans="1:21" x14ac:dyDescent="0.25">
      <c r="A39" s="12">
        <v>0.75</v>
      </c>
      <c r="B39" s="6" t="n">
        <v>505.21983398637764</v>
      </c>
      <c r="C39" s="6" t="n">
        <v>17.280668607234958</v>
      </c>
      <c r="D39" s="6" t="n">
        <v>0.0</v>
      </c>
      <c r="E39" s="6" t="n">
        <v>0.0</v>
      </c>
      <c r="F39" s="6" t="n">
        <v>0.24367234840393065</v>
      </c>
      <c r="G39" s="6" t="n">
        <v>0.0</v>
      </c>
      <c r="H39" s="6" t="n">
        <v>0.0</v>
      </c>
      <c r="I39" s="6" t="n">
        <v>0.0</v>
      </c>
      <c r="J39" s="6">
        <f si="0" t="shared"/>
        <v>221.9893757131662</v>
      </c>
      <c r="L39" s="12">
        <v>0.75</v>
      </c>
      <c r="M39" s="9" t="n">
        <v>2326.7027673721313</v>
      </c>
      <c r="N39" s="9" t="n">
        <v>746.340576171875</v>
      </c>
      <c r="O39" s="9" t="n">
        <v>0.0</v>
      </c>
      <c r="P39" s="9" t="n">
        <v>0.0</v>
      </c>
      <c r="Q39" s="9" t="n">
        <v>769.7683916091919</v>
      </c>
      <c r="R39" s="9" t="n">
        <v>47.55558967590332</v>
      </c>
      <c r="S39" s="9" t="n">
        <v>0.0</v>
      </c>
      <c r="T39" s="9" t="n">
        <v>0.0</v>
      </c>
      <c r="U39">
        <f si="1" t="shared"/>
        <v>1194.2930488586426</v>
      </c>
    </row>
    <row r="40" spans="1:21" x14ac:dyDescent="0.25">
      <c r="A40" s="12">
        <v>0.77083333333333337</v>
      </c>
      <c r="B40" s="6" t="n">
        <v>371.49044792003633</v>
      </c>
      <c r="C40" s="6" t="n">
        <v>8.66912512254715</v>
      </c>
      <c r="D40" s="6" t="n">
        <v>0.0</v>
      </c>
      <c r="E40" s="6" t="n">
        <v>0.0</v>
      </c>
      <c r="F40" s="6" t="n">
        <v>0.04042575902938842</v>
      </c>
      <c r="G40" s="6" t="n">
        <v>0.0</v>
      </c>
      <c r="H40" s="6" t="n">
        <v>0.0</v>
      </c>
      <c r="I40" s="6" t="n">
        <v>0.0</v>
      </c>
      <c r="J40" s="6">
        <f si="0" t="shared"/>
        <v>163.17446313898941</v>
      </c>
      <c r="L40" s="12">
        <v>0.77083333333333337</v>
      </c>
      <c r="M40" s="9" t="n">
        <v>1837.7358903884888</v>
      </c>
      <c r="N40" s="9" t="n">
        <v>631.0908851623535</v>
      </c>
      <c r="O40" s="9" t="n">
        <v>0.0</v>
      </c>
      <c r="P40" s="9" t="n">
        <v>0.0</v>
      </c>
      <c r="Q40" s="9" t="n">
        <v>680.8596305847168</v>
      </c>
      <c r="R40" s="9" t="n">
        <v>43.73366355895996</v>
      </c>
      <c r="S40" s="9" t="n">
        <v>0.0</v>
      </c>
      <c r="T40" s="9" t="n">
        <v>0.0</v>
      </c>
      <c r="U40">
        <f si="1" t="shared"/>
        <v>1043.99951171875</v>
      </c>
    </row>
    <row r="41" spans="1:21" x14ac:dyDescent="0.25">
      <c r="A41" s="12">
        <v>0.79166666666666663</v>
      </c>
      <c r="B41" s="6" t="n">
        <v>301.2122136004448</v>
      </c>
      <c r="C41" s="6" t="n">
        <v>6.841349210739136</v>
      </c>
      <c r="D41" s="6" t="n">
        <v>0.0</v>
      </c>
      <c r="E41" s="6" t="n">
        <v>0.0</v>
      </c>
      <c r="F41" s="6" t="n">
        <v>0.004247831344604491</v>
      </c>
      <c r="G41" s="6" t="n">
        <v>0.0</v>
      </c>
      <c r="H41" s="6" t="n">
        <v>0.0</v>
      </c>
      <c r="I41" s="6" t="n">
        <v>0.0</v>
      </c>
      <c r="J41" s="6">
        <f si="0" t="shared"/>
        <v>115.82010885602187</v>
      </c>
      <c r="L41" s="12">
        <v>0.79166666666666663</v>
      </c>
      <c r="M41" s="9" t="n">
        <v>1434.835765838623</v>
      </c>
      <c r="N41" s="9" t="n">
        <v>514.0482053756714</v>
      </c>
      <c r="O41" s="9" t="n">
        <v>0.0</v>
      </c>
      <c r="P41" s="9" t="n">
        <v>0.0</v>
      </c>
      <c r="Q41" s="9" t="n">
        <v>584.1911687850952</v>
      </c>
      <c r="R41" s="9" t="n">
        <v>38.8372278213501</v>
      </c>
      <c r="S41" s="9" t="n">
        <v>0.0</v>
      </c>
      <c r="T41" s="9" t="n">
        <v>0.0</v>
      </c>
      <c r="U41">
        <f si="1" t="shared"/>
        <v>912.06069087982178</v>
      </c>
    </row>
    <row r="42" spans="1:21" x14ac:dyDescent="0.25">
      <c r="A42" s="12">
        <v>0.8125</v>
      </c>
      <c r="B42" s="6" t="n">
        <v>253.91379481391908</v>
      </c>
      <c r="C42" s="6" t="n">
        <v>9.64186493549347</v>
      </c>
      <c r="D42" s="6" t="n">
        <v>0.0</v>
      </c>
      <c r="E42" s="6" t="n">
        <v>0.0</v>
      </c>
      <c r="F42" s="6" t="n">
        <v>2.123915672302246E-4</v>
      </c>
      <c r="G42" s="6" t="n">
        <v>0.0</v>
      </c>
      <c r="H42" s="6" t="n">
        <v>0.0</v>
      </c>
      <c r="I42" s="6" t="n">
        <v>0.0</v>
      </c>
      <c r="J42" s="6">
        <f si="0" t="shared"/>
        <v>75.727556729331965</v>
      </c>
      <c r="L42" s="12">
        <v>0.8125</v>
      </c>
      <c r="M42" s="9" t="n">
        <v>1145.1611776351929</v>
      </c>
      <c r="N42" s="9" t="n">
        <v>416.2247714996338</v>
      </c>
      <c r="O42" s="9" t="n">
        <v>0.0</v>
      </c>
      <c r="P42" s="9" t="n">
        <v>0.0</v>
      </c>
      <c r="Q42" s="9" t="n">
        <v>505.70058727264404</v>
      </c>
      <c r="R42" s="9" t="n">
        <v>34.712120056152344</v>
      </c>
      <c r="S42" s="9" t="n">
        <v>0.0</v>
      </c>
      <c r="T42" s="9" t="n">
        <v>0.0</v>
      </c>
      <c r="U42">
        <f si="1" t="shared"/>
        <v>803.03493881225586</v>
      </c>
    </row>
    <row r="43" spans="1:21" x14ac:dyDescent="0.25">
      <c r="A43" s="12">
        <v>0.83333333333333337</v>
      </c>
      <c r="B43" s="6" t="n">
        <v>202.8321299776077</v>
      </c>
      <c r="C43" s="6" t="n">
        <v>14.752926436424257</v>
      </c>
      <c r="D43" s="6" t="n">
        <v>0.0</v>
      </c>
      <c r="E43" s="6" t="n">
        <v>0.0</v>
      </c>
      <c r="F43" s="6" t="n">
        <v>0.0</v>
      </c>
      <c r="G43" s="6" t="n">
        <v>0.0</v>
      </c>
      <c r="H43" s="6" t="n">
        <v>0.0</v>
      </c>
      <c r="I43" s="6" t="n">
        <v>0.0</v>
      </c>
      <c r="J43" s="6">
        <f si="0" t="shared"/>
        <v>44.438978309336662</v>
      </c>
      <c r="L43" s="12">
        <v>0.83333333333333337</v>
      </c>
      <c r="M43" s="9" t="n">
        <v>981.3072538375854</v>
      </c>
      <c r="N43" s="9" t="n">
        <v>350.78077697753906</v>
      </c>
      <c r="O43" s="9" t="n">
        <v>0.0</v>
      </c>
      <c r="P43" s="9" t="n">
        <v>0.0</v>
      </c>
      <c r="Q43" s="9" t="n">
        <v>461.5098295211792</v>
      </c>
      <c r="R43" s="9" t="n">
        <v>32.521525382995605</v>
      </c>
      <c r="S43" s="9" t="n">
        <v>0.0</v>
      </c>
      <c r="T43" s="9" t="n">
        <v>0.0</v>
      </c>
      <c r="U43">
        <f si="1" t="shared"/>
        <v>723.04311466217041</v>
      </c>
    </row>
    <row r="44" spans="1:21" x14ac:dyDescent="0.25">
      <c r="A44" s="12">
        <v>0.85416666666666663</v>
      </c>
      <c r="B44" s="6" t="n">
        <v>143.20015897283554</v>
      </c>
      <c r="C44" s="6" t="n">
        <v>19.505444191551213</v>
      </c>
      <c r="D44" s="6" t="n">
        <v>0.0</v>
      </c>
      <c r="E44" s="6" t="n">
        <v>0.0</v>
      </c>
      <c r="F44" s="6" t="n">
        <v>0.0</v>
      </c>
      <c r="G44" s="6" t="n">
        <v>0.0</v>
      </c>
      <c r="H44" s="6" t="n">
        <v>0.0</v>
      </c>
      <c r="I44" s="6" t="n">
        <v>0.0</v>
      </c>
      <c r="J44" s="6">
        <f si="0" t="shared"/>
        <v>23.650584787978172</v>
      </c>
      <c r="L44" s="12">
        <v>0.85416666666666663</v>
      </c>
      <c r="M44" s="9" t="n">
        <v>905.2315921783447</v>
      </c>
      <c r="N44" s="9" t="n">
        <v>312.06770515441895</v>
      </c>
      <c r="O44" s="9" t="n">
        <v>0.0</v>
      </c>
      <c r="P44" s="9" t="n">
        <v>0.0</v>
      </c>
      <c r="Q44" s="9" t="n">
        <v>442.491005897522</v>
      </c>
      <c r="R44" s="9" t="n">
        <v>31.707316398620605</v>
      </c>
      <c r="S44" s="9" t="n">
        <v>0.0</v>
      </c>
      <c r="T44" s="9" t="n">
        <v>0.0</v>
      </c>
      <c r="U44">
        <f si="1" t="shared"/>
        <v>659.67071151733398</v>
      </c>
    </row>
    <row r="45" spans="1:21" x14ac:dyDescent="0.25">
      <c r="A45" s="12">
        <v>0.875</v>
      </c>
      <c r="B45" s="6" t="n">
        <v>85.70342945728302</v>
      </c>
      <c r="C45" s="6" t="n">
        <v>21.433790480804443</v>
      </c>
      <c r="D45" s="6" t="n">
        <v>0.0</v>
      </c>
      <c r="E45" s="6" t="n">
        <v>0.0</v>
      </c>
      <c r="F45" s="6" t="n">
        <v>0.0</v>
      </c>
      <c r="G45" s="6" t="n">
        <v>0.0</v>
      </c>
      <c r="H45" s="6" t="n">
        <v>0.0</v>
      </c>
      <c r="I45" s="6" t="n">
        <v>0.0</v>
      </c>
      <c r="J45" s="6">
        <f si="0" t="shared"/>
        <v>12.382706525850297</v>
      </c>
      <c r="L45" s="12">
        <v>0.875</v>
      </c>
      <c r="M45" s="9" t="n">
        <v>843.2251882553101</v>
      </c>
      <c r="N45" s="9" t="n">
        <v>280.83570194244385</v>
      </c>
      <c r="O45" s="9" t="n">
        <v>0.0</v>
      </c>
      <c r="P45" s="9" t="n">
        <v>0.0</v>
      </c>
      <c r="Q45" s="9" t="n">
        <v>420.667010307312</v>
      </c>
      <c r="R45" s="9" t="n">
        <v>30.449721336364746</v>
      </c>
      <c r="S45" s="9" t="n">
        <v>0.0</v>
      </c>
      <c r="T45" s="9" t="n">
        <v>0.0</v>
      </c>
      <c r="U45">
        <f si="1" t="shared"/>
        <v>586.55005741119385</v>
      </c>
    </row>
    <row r="46" spans="1:21" x14ac:dyDescent="0.25">
      <c r="A46" s="12">
        <v>0.89583333333333337</v>
      </c>
      <c r="B46" s="6" t="n">
        <v>42.31566170520782</v>
      </c>
      <c r="C46" s="6" t="n">
        <v>19.483295795917513</v>
      </c>
      <c r="D46" s="6" t="n">
        <v>0.0</v>
      </c>
      <c r="E46" s="6" t="n">
        <v>0.0</v>
      </c>
      <c r="F46" s="6" t="n">
        <v>0.0</v>
      </c>
      <c r="G46" s="6" t="n">
        <v>0.0</v>
      </c>
      <c r="H46" s="6" t="n">
        <v>0.0</v>
      </c>
      <c r="I46" s="6" t="n">
        <v>0.0</v>
      </c>
      <c r="J46" s="6">
        <f si="0" t="shared"/>
        <v>7.4892099848747256</v>
      </c>
      <c r="L46" s="12">
        <v>0.89583333333333337</v>
      </c>
      <c r="M46" s="9" t="n">
        <v>735.1502599716187</v>
      </c>
      <c r="N46" s="9" t="n">
        <v>239.90410900115967</v>
      </c>
      <c r="O46" s="9" t="n">
        <v>0.0</v>
      </c>
      <c r="P46" s="9" t="n">
        <v>0.0</v>
      </c>
      <c r="Q46" s="9" t="n">
        <v>371.8234224319458</v>
      </c>
      <c r="R46" s="9" t="n">
        <v>27.190038681030273</v>
      </c>
      <c r="S46" s="9" t="n">
        <v>0.0</v>
      </c>
      <c r="T46" s="9" t="n">
        <v>0.0</v>
      </c>
      <c r="U46">
        <f si="1" t="shared"/>
        <v>485.02261543273926</v>
      </c>
    </row>
    <row r="47" spans="1:21" x14ac:dyDescent="0.25">
      <c r="A47" s="12">
        <v>0.91666666666666663</v>
      </c>
      <c r="B47" s="6" t="n">
        <v>16.833846380901335</v>
      </c>
      <c r="C47" s="6" t="n">
        <v>14.61238593006134</v>
      </c>
      <c r="D47" s="6" t="n">
        <v>0.0</v>
      </c>
      <c r="E47" s="6" t="n">
        <v>0.0</v>
      </c>
      <c r="F47" s="6" t="n">
        <v>0.0</v>
      </c>
      <c r="G47" s="6" t="n">
        <v>0.0</v>
      </c>
      <c r="H47" s="6" t="n">
        <v>0.0</v>
      </c>
      <c r="I47" s="6" t="n">
        <v>0.0</v>
      </c>
      <c r="J47" s="6">
        <f si="0" t="shared"/>
        <v>5.5780294604415896</v>
      </c>
      <c r="L47" s="12">
        <v>0.91666666666666663</v>
      </c>
      <c r="M47" s="9" t="n">
        <v>571.2383499145508</v>
      </c>
      <c r="N47" s="9" t="n">
        <v>185.8265323638916</v>
      </c>
      <c r="O47" s="9" t="n">
        <v>0.0</v>
      </c>
      <c r="P47" s="9" t="n">
        <v>0.0</v>
      </c>
      <c r="Q47" s="9" t="n">
        <v>293.46916103363037</v>
      </c>
      <c r="R47" s="9" t="n">
        <v>21.810609817504883</v>
      </c>
      <c r="S47" s="9" t="n">
        <v>0.0</v>
      </c>
      <c r="T47" s="9" t="n">
        <v>0.0</v>
      </c>
      <c r="U47">
        <f si="1" t="shared"/>
        <v>359.83047580718994</v>
      </c>
    </row>
    <row r="48" spans="1:21" x14ac:dyDescent="0.25">
      <c r="A48" s="12">
        <v>0.9375</v>
      </c>
      <c r="B48" s="6" t="n">
        <v>5.2489890631675715</v>
      </c>
      <c r="C48" s="6" t="n">
        <v>8.992237495422364</v>
      </c>
      <c r="D48" s="6" t="n">
        <v>0.0</v>
      </c>
      <c r="E48" s="6" t="n">
        <v>0.0</v>
      </c>
      <c r="F48" s="6" t="n">
        <v>0.0</v>
      </c>
      <c r="G48" s="6" t="n">
        <v>0.0</v>
      </c>
      <c r="H48" s="6" t="n">
        <v>0.0</v>
      </c>
      <c r="I48" s="6" t="n">
        <v>0.0</v>
      </c>
      <c r="J48" s="6">
        <f si="0" t="shared"/>
        <v>4.4149693529233929</v>
      </c>
      <c r="L48" s="12">
        <v>0.9375</v>
      </c>
      <c r="M48" s="9" t="n">
        <v>386.82112312316895</v>
      </c>
      <c r="N48" s="9" t="n">
        <v>127.8505449295044</v>
      </c>
      <c r="O48" s="9" t="n">
        <v>0.0</v>
      </c>
      <c r="P48" s="9" t="n">
        <v>0.0</v>
      </c>
      <c r="Q48" s="9" t="n">
        <v>203.4573745727539</v>
      </c>
      <c r="R48" s="9" t="n">
        <v>15.533538818359375</v>
      </c>
      <c r="S48" s="9" t="n">
        <v>0.0</v>
      </c>
      <c r="T48" s="9" t="n">
        <v>0.0</v>
      </c>
      <c r="U48">
        <f si="1" t="shared"/>
        <v>234.53412818908691</v>
      </c>
    </row>
    <row r="49" spans="1:21" x14ac:dyDescent="0.25">
      <c r="A49" s="12">
        <v>0.95833333333333337</v>
      </c>
      <c r="B49" s="6" t="n">
        <v>1.2341163040161132</v>
      </c>
      <c r="C49" s="6" t="n">
        <v>4.496118747711182</v>
      </c>
      <c r="D49" s="6" t="n">
        <v>0.0</v>
      </c>
      <c r="E49" s="6" t="n">
        <v>0.0</v>
      </c>
      <c r="F49" s="6" t="n">
        <v>0.0</v>
      </c>
      <c r="G49" s="6" t="n">
        <v>0.0</v>
      </c>
      <c r="H49" s="6" t="n">
        <v>0.0</v>
      </c>
      <c r="I49" s="6" t="n">
        <v>0.0</v>
      </c>
      <c r="J49" s="6">
        <f si="0" t="shared"/>
        <v>3.1789717867984773</v>
      </c>
      <c r="L49" s="12">
        <v>0.95833333333333337</v>
      </c>
      <c r="M49" s="9" t="n">
        <v>227.15436935424805</v>
      </c>
      <c r="N49" s="9" t="n">
        <v>78.08078384399414</v>
      </c>
      <c r="O49" s="9" t="n">
        <v>0.0</v>
      </c>
      <c r="P49" s="9" t="n">
        <v>0.0</v>
      </c>
      <c r="Q49" s="9" t="n">
        <v>124.04082298278809</v>
      </c>
      <c r="R49" s="9" t="n">
        <v>9.874555587768555</v>
      </c>
      <c r="S49" s="9" t="n">
        <v>0.0</v>
      </c>
      <c r="T49" s="9" t="n">
        <v>0.0</v>
      </c>
      <c r="U49">
        <f si="1" t="shared"/>
        <v>133.3085765838623</v>
      </c>
    </row>
    <row r="50" spans="1:21" x14ac:dyDescent="0.25">
      <c r="A50" s="12">
        <v>0.97916666666666663</v>
      </c>
      <c r="B50" s="6" t="n">
        <v>0.2056489219665527</v>
      </c>
      <c r="C50" s="6" t="n">
        <v>1.7984474990844728</v>
      </c>
      <c r="D50" s="6" t="n">
        <v>0.0</v>
      </c>
      <c r="E50" s="6" t="n">
        <v>0.0</v>
      </c>
      <c r="F50" s="6" t="n">
        <v>0.0</v>
      </c>
      <c r="G50" s="6" t="n">
        <v>0.0</v>
      </c>
      <c r="H50" s="6" t="n">
        <v>0.0</v>
      </c>
      <c r="I50" s="6" t="n">
        <v>0.0</v>
      </c>
      <c r="J50" s="6">
        <f si="0" t="shared"/>
        <v>1.9352178215370179</v>
      </c>
      <c r="L50" s="12">
        <v>0.97916666666666663</v>
      </c>
      <c r="M50" s="9" t="n">
        <v>116.76952743530273</v>
      </c>
      <c r="N50" s="9" t="n">
        <v>42.963069915771484</v>
      </c>
      <c r="O50" s="9" t="n">
        <v>0.0</v>
      </c>
      <c r="P50" s="9" t="n">
        <v>0.0</v>
      </c>
      <c r="Q50" s="9" t="n">
        <v>67.54501342773438</v>
      </c>
      <c r="R50" s="9" t="n">
        <v>5.7037506103515625</v>
      </c>
      <c r="S50" s="9" t="n">
        <v>0.0</v>
      </c>
      <c r="T50" s="9" t="n">
        <v>0.0</v>
      </c>
      <c r="U50">
        <f si="1" t="shared"/>
        <v>66.533530235290527</v>
      </c>
    </row>
    <row r="51" spans="1:21" x14ac:dyDescent="0.25">
      <c r="A51" s="12">
        <v>1</v>
      </c>
      <c r="B51" s="6" t="n">
        <v>0.021647254943847654</v>
      </c>
      <c r="C51" s="6" t="n">
        <v>0.5620148434638977</v>
      </c>
      <c r="D51" s="6" t="n">
        <v>0.0</v>
      </c>
      <c r="E51" s="6" t="n">
        <v>0.0</v>
      </c>
      <c r="F51" s="6" t="n">
        <v>0.0</v>
      </c>
      <c r="G51" s="6" t="n">
        <v>0.0</v>
      </c>
      <c r="H51" s="6" t="n">
        <v>0.0</v>
      </c>
      <c r="I51" s="6" t="n">
        <v>0.0</v>
      </c>
      <c r="J51" s="6">
        <f si="0" t="shared"/>
        <v>0.96510642971324923</v>
      </c>
      <c r="L51" s="12">
        <v>1</v>
      </c>
      <c r="M51" s="9" t="n">
        <v>53.84450626373291</v>
      </c>
      <c r="N51" s="9" t="n">
        <v>21.82238483428955</v>
      </c>
      <c r="O51" s="9" t="n">
        <v>0.0</v>
      </c>
      <c r="P51" s="9" t="n">
        <v>0.0</v>
      </c>
      <c r="Q51" s="9" t="n">
        <v>33.716068267822266</v>
      </c>
      <c r="R51" s="9" t="n">
        <v>3.061941146850586</v>
      </c>
      <c r="S51" s="9" t="n">
        <v>0.0</v>
      </c>
      <c r="T51" s="9" t="n">
        <v>0.0</v>
      </c>
      <c r="U51">
        <f si="1" t="shared"/>
        <v>29.882606506347656</v>
      </c>
    </row>
    <row r="52" spans="1:21" x14ac:dyDescent="0.25">
      <c r="A52" s="12">
        <v>1.0208333333333333</v>
      </c>
      <c r="B52" s="6" t="n">
        <v>0.0010823627471923827</v>
      </c>
      <c r="C52" s="6" t="n">
        <v>0.1322387866973877</v>
      </c>
      <c r="D52" s="6" t="n">
        <v>0.0</v>
      </c>
      <c r="E52" s="6" t="n">
        <v>0.0</v>
      </c>
      <c r="F52" s="6" t="n">
        <v>0.0</v>
      </c>
      <c r="G52" s="6" t="n">
        <v>0.0</v>
      </c>
      <c r="H52" s="6" t="n">
        <v>0.0</v>
      </c>
      <c r="I52" s="6" t="n">
        <v>0.0</v>
      </c>
      <c r="J52" s="6">
        <f si="0" t="shared"/>
        <v>0.38584500418663026</v>
      </c>
      <c r="L52" s="12">
        <v>1.0208333333333333</v>
      </c>
      <c r="M52" s="9" t="n">
        <v>23.055928230285645</v>
      </c>
      <c r="N52" s="9" t="n">
        <v>10.426897048950195</v>
      </c>
      <c r="O52" s="9" t="n">
        <v>0.0</v>
      </c>
      <c r="P52" s="9" t="n">
        <v>0.0</v>
      </c>
      <c r="Q52" s="9" t="n">
        <v>15.78797435760498</v>
      </c>
      <c r="R52" s="9" t="n">
        <v>1.5458154678344727</v>
      </c>
      <c r="S52" s="9" t="n">
        <v>0.0</v>
      </c>
      <c r="T52" s="9" t="n">
        <v>0.0</v>
      </c>
      <c r="U52">
        <f si="1" t="shared"/>
        <v>12.561367988586426</v>
      </c>
    </row>
    <row r="53" spans="1:21" x14ac:dyDescent="0.25">
      <c r="A53" s="12">
        <v>4.1666666666666664E-2</v>
      </c>
      <c r="B53" s="6" t="n">
        <v>0.0</v>
      </c>
      <c r="C53" s="6" t="n">
        <v>0.02203979778289795</v>
      </c>
      <c r="D53" s="6" t="n">
        <v>0.0</v>
      </c>
      <c r="E53" s="6" t="n">
        <v>0.0</v>
      </c>
      <c r="F53" s="6" t="n">
        <v>0.0</v>
      </c>
      <c r="G53" s="6" t="n">
        <v>0.0</v>
      </c>
      <c r="H53" s="6" t="n">
        <v>0.0</v>
      </c>
      <c r="I53" s="6" t="n">
        <v>0.0</v>
      </c>
      <c r="J53" s="6">
        <f si="0" t="shared"/>
        <v>0.12056878718376161</v>
      </c>
      <c r="L53" s="12">
        <v>4.1666666666666664E-2</v>
      </c>
      <c r="M53" s="9" t="n">
        <v>9.38064956665039</v>
      </c>
      <c r="N53" s="9" t="n">
        <v>4.659306526184082</v>
      </c>
      <c r="O53" s="9" t="n">
        <v>0.0</v>
      </c>
      <c r="P53" s="9" t="n">
        <v>0.0</v>
      </c>
      <c r="Q53" s="9" t="n">
        <v>6.930157661437988</v>
      </c>
      <c r="R53" s="9" t="n">
        <v>0.724156379699707</v>
      </c>
      <c r="S53" s="9" t="n">
        <v>0.0</v>
      </c>
      <c r="T53" s="9" t="n">
        <v>0.0</v>
      </c>
      <c r="U53">
        <f si="1" t="shared"/>
        <v>5.0885744094848633</v>
      </c>
    </row>
    <row r="54" spans="1:21" x14ac:dyDescent="0.25">
      <c r="A54" s="12">
        <v>6.25E-2</v>
      </c>
      <c r="B54" s="6" t="n">
        <v>0.0</v>
      </c>
      <c r="C54" s="6" t="n">
        <v>0.002319978713989258</v>
      </c>
      <c r="D54" s="6" t="n">
        <v>0.0</v>
      </c>
      <c r="E54" s="6" t="n">
        <v>0.0</v>
      </c>
      <c r="F54" s="6" t="n">
        <v>0.0</v>
      </c>
      <c r="G54" s="6" t="n">
        <v>0.0</v>
      </c>
      <c r="H54" s="6" t="n">
        <v>0.0</v>
      </c>
      <c r="I54" s="6" t="n">
        <v>0.0</v>
      </c>
      <c r="J54" s="6">
        <f si="0" t="shared"/>
        <v>2.8369126396179202E-2</v>
      </c>
      <c r="L54" s="12">
        <v>6.25E-2</v>
      </c>
      <c r="M54" s="9" t="n">
        <v>3.569711685180664</v>
      </c>
      <c r="N54" s="9" t="n">
        <v>1.879948616027832</v>
      </c>
      <c r="O54" s="9" t="n">
        <v>0.0</v>
      </c>
      <c r="P54" s="9" t="n">
        <v>0.0</v>
      </c>
      <c r="Q54" s="9" t="n">
        <v>2.759280204772949</v>
      </c>
      <c r="R54" s="9" t="n">
        <v>0.3033323287963867</v>
      </c>
      <c r="S54" s="9" t="n">
        <v>0.0</v>
      </c>
      <c r="T54" s="9" t="n">
        <v>0.0</v>
      </c>
      <c r="U54">
        <f si="1" t="shared"/>
        <v>1.9555702209472656</v>
      </c>
    </row>
    <row r="55" spans="1:21" x14ac:dyDescent="0.25">
      <c r="A55" s="12">
        <v>8.3333333333333329E-2</v>
      </c>
      <c r="B55" s="6" t="n">
        <v>0.0</v>
      </c>
      <c r="C55" s="6" t="n">
        <v>1.159989356994629E-4</v>
      </c>
      <c r="D55" s="6" t="n">
        <v>0.0</v>
      </c>
      <c r="E55" s="6" t="n">
        <v>0.0</v>
      </c>
      <c r="F55" s="6" t="n">
        <v>0.0</v>
      </c>
      <c r="G55" s="6" t="n">
        <v>0.0</v>
      </c>
      <c r="H55" s="6" t="n">
        <v>0.0</v>
      </c>
      <c r="I55" s="6" t="n">
        <v>0.0</v>
      </c>
      <c r="J55" s="6">
        <f si="0" t="shared"/>
        <v>4.7281877326965337E-3</v>
      </c>
      <c r="L55" s="12">
        <v>8.3333333333333329E-2</v>
      </c>
      <c r="M55" s="9" t="n">
        <v>1.2044153213500977</v>
      </c>
      <c r="N55" s="9" t="n">
        <v>0.6512374877929688</v>
      </c>
      <c r="O55" s="9" t="n">
        <v>0.0</v>
      </c>
      <c r="P55" s="9" t="n">
        <v>0.0</v>
      </c>
      <c r="Q55" s="9" t="n">
        <v>0.9464311599731445</v>
      </c>
      <c r="R55" s="9" t="n">
        <v>0.10837364196777344</v>
      </c>
      <c r="S55" s="9" t="n">
        <v>0.0</v>
      </c>
      <c r="T55" s="9" t="n">
        <v>0.0</v>
      </c>
      <c r="U55">
        <f si="1" t="shared"/>
        <v>0.67130279541015625</v>
      </c>
    </row>
    <row r="56" spans="1:21" x14ac:dyDescent="0.25">
      <c r="A56" s="12">
        <v>0.10416666666666667</v>
      </c>
      <c r="B56" s="6" t="n">
        <v>0.0</v>
      </c>
      <c r="C56" s="6" t="n">
        <v>0.0</v>
      </c>
      <c r="D56" s="6" t="n">
        <v>0.0</v>
      </c>
      <c r="E56" s="6" t="n">
        <v>0.0</v>
      </c>
      <c r="F56" s="6" t="n">
        <v>0.0</v>
      </c>
      <c r="G56" s="6" t="n">
        <v>0.0</v>
      </c>
      <c r="H56" s="6" t="n">
        <v>0.0</v>
      </c>
      <c r="I56" s="6" t="n">
        <v>0.0</v>
      </c>
      <c r="J56" s="6">
        <f si="0" t="shared"/>
        <v>4.9770397186279299E-4</v>
      </c>
      <c r="L56" s="12">
        <v>0.10416666666666667</v>
      </c>
      <c r="M56" s="9" t="n">
        <v>0.3371105194091797</v>
      </c>
      <c r="N56" s="9" t="n">
        <v>0.18371868133544922</v>
      </c>
      <c r="O56" s="9" t="n">
        <v>0.0</v>
      </c>
      <c r="P56" s="9" t="n">
        <v>0.0</v>
      </c>
      <c r="Q56" s="9" t="n">
        <v>0.26470279693603516</v>
      </c>
      <c r="R56" s="9" t="n">
        <v>0.031455039978027344</v>
      </c>
      <c r="S56" s="9" t="n">
        <v>0.0</v>
      </c>
      <c r="T56" s="9" t="n">
        <v>0.0</v>
      </c>
      <c r="U56">
        <f si="1" t="shared"/>
        <v>0.19134140014648438</v>
      </c>
    </row>
    <row r="57" spans="1:21" x14ac:dyDescent="0.25">
      <c r="A57" s="12">
        <v>0.125</v>
      </c>
      <c r="B57" s="6" t="n">
        <v>0.0</v>
      </c>
      <c r="C57" s="6" t="n">
        <v>0.0</v>
      </c>
      <c r="D57" s="6" t="n">
        <v>0.0</v>
      </c>
      <c r="E57" s="6" t="n">
        <v>0.0</v>
      </c>
      <c r="F57" s="6" t="n">
        <v>0.0</v>
      </c>
      <c r="G57" s="6" t="n">
        <v>0.0</v>
      </c>
      <c r="H57" s="6" t="n">
        <v>0.0</v>
      </c>
      <c r="I57" s="6" t="n">
        <v>0.0</v>
      </c>
      <c r="J57" s="6">
        <f si="0" t="shared"/>
        <v>2.4885198593139647E-5</v>
      </c>
      <c r="L57" s="12">
        <v>0.125</v>
      </c>
      <c r="M57" s="9" t="n">
        <v>0.07213592529296875</v>
      </c>
      <c r="N57" s="9" t="n">
        <v>0.039337158203125</v>
      </c>
      <c r="O57" s="9" t="n">
        <v>0.0</v>
      </c>
      <c r="P57" s="9" t="n">
        <v>0.0</v>
      </c>
      <c r="Q57" s="9" t="n">
        <v>0.056199073791503906</v>
      </c>
      <c r="R57" s="9" t="n">
        <v>0.006924629211425781</v>
      </c>
      <c r="S57" s="9" t="n">
        <v>0.0</v>
      </c>
      <c r="T57" s="9" t="n">
        <v>0.0</v>
      </c>
      <c r="U57">
        <f si="1" t="shared"/>
        <v>4.1593551635742188E-2</v>
      </c>
    </row>
    <row ht="15.75" r="58" spans="1:21" thickBot="1" x14ac:dyDescent="0.3">
      <c r="A58" s="13" t="s">
        <v>6</v>
      </c>
      <c r="B58" s="7" t="n">
        <v>0.0</v>
      </c>
      <c r="C58" s="7" t="n">
        <v>0.0</v>
      </c>
      <c r="D58" s="7" t="n">
        <v>0.0</v>
      </c>
      <c r="E58" s="7" t="n">
        <v>0.0</v>
      </c>
      <c r="F58" s="7" t="n">
        <v>0.0</v>
      </c>
      <c r="G58" s="7" t="n">
        <v>0.0</v>
      </c>
      <c r="H58" s="7" t="n">
        <v>0.0</v>
      </c>
      <c r="I58" s="7" t="n">
        <v>0.0</v>
      </c>
      <c r="J58" s="7">
        <f si="0" t="shared"/>
        <v>0</v>
      </c>
      <c r="L58" s="13" t="s">
        <v>6</v>
      </c>
      <c r="M58" s="10" t="n">
        <v>0.0</v>
      </c>
      <c r="N58" s="10" t="n">
        <v>0.0</v>
      </c>
      <c r="O58" s="10" t="n">
        <v>0.0</v>
      </c>
      <c r="P58" s="10" t="n">
        <v>0.0</v>
      </c>
      <c r="Q58" s="10" t="n">
        <v>0.0</v>
      </c>
      <c r="R58" s="10" t="n">
        <v>0.0</v>
      </c>
      <c r="S58" s="10" t="n">
        <v>0.0</v>
      </c>
      <c r="T58" s="10" t="n">
        <v>0.0</v>
      </c>
      <c r="U58" s="1">
        <f si="1" t="shared"/>
        <v>0</v>
      </c>
    </row>
  </sheetData>
  <pageMargins bottom="0.75" footer="0.3" header="0.3" left="0.7" right="0.7" top="0.75"/>
  <pageSetup orientation="portrait" r:id="rId1"/>
  <drawing r:id="rId2"/>
</worksheet>
</file>

<file path=xl/worksheets/sheet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Z58"/>
  <sheetViews>
    <sheetView topLeftCell="K1" workbookViewId="0">
      <selection activeCell="A6" sqref="A6"/>
    </sheetView>
  </sheetViews>
  <sheetFormatPr defaultRowHeight="15" x14ac:dyDescent="0.25"/>
  <cols>
    <col min="1" max="1" customWidth="true" width="12.7109375" collapsed="true"/>
    <col min="2" max="10" customWidth="true" width="10.7109375" collapsed="true"/>
    <col min="11" max="11" customWidth="true" width="6.42578125" collapsed="true"/>
    <col min="12" max="12" customWidth="true" width="12.7109375" collapsed="true"/>
    <col min="13" max="21" customWidth="true" width="10.7109375" collapsed="true"/>
  </cols>
  <sheetData>
    <row r="1" spans="1:26" x14ac:dyDescent="0.25">
      <c r="A1" t="s">
        <v>38</v>
      </c>
    </row>
    <row r="2" spans="1:26" x14ac:dyDescent="0.25">
      <c r="A2" t="s">
        <v>46</v>
      </c>
    </row>
    <row r="3" spans="1:26" x14ac:dyDescent="0.25">
      <c r="A3" t="s">
        <v>7</v>
      </c>
    </row>
    <row r="4" spans="1:26" x14ac:dyDescent="0.25">
      <c r="A4" t="s">
        <v>8</v>
      </c>
    </row>
    <row r="5" spans="1:26" x14ac:dyDescent="0.25">
      <c r="W5" s="5"/>
      <c r="X5" s="5"/>
      <c r="Y5" s="5"/>
      <c r="Z5" s="5"/>
    </row>
    <row ht="15.75" r="6" spans="1:26" thickBot="1" x14ac:dyDescent="0.3">
      <c r="A6" s="3" t="s">
        <v>55</v>
      </c>
      <c r="B6" s="1"/>
      <c r="C6" s="1"/>
      <c r="D6" s="1"/>
      <c r="E6" s="1"/>
      <c r="F6" s="1"/>
      <c r="G6" s="1"/>
      <c r="H6" s="1"/>
      <c r="I6" s="1"/>
      <c r="J6" s="1"/>
      <c r="L6" s="3" t="s">
        <v>39</v>
      </c>
      <c r="M6" s="1"/>
      <c r="N6" s="1"/>
      <c r="O6" s="1"/>
      <c r="P6" s="1"/>
      <c r="Q6" s="1"/>
      <c r="R6" s="1"/>
      <c r="S6" s="1"/>
      <c r="T6" s="1"/>
      <c r="U6" s="1"/>
      <c r="W6" s="11"/>
      <c r="X6" s="5"/>
      <c r="Y6" s="5"/>
      <c r="Z6" s="5"/>
    </row>
    <row r="7" spans="1:26" x14ac:dyDescent="0.25">
      <c r="A7" s="2" t="s">
        <v>4</v>
      </c>
      <c r="B7" s="4" t="s">
        <v>17</v>
      </c>
      <c r="C7" s="4" t="s">
        <v>18</v>
      </c>
      <c r="D7" s="4" t="s">
        <v>19</v>
      </c>
      <c r="E7" s="4" t="s">
        <v>20</v>
      </c>
      <c r="F7" s="4" t="s">
        <v>21</v>
      </c>
      <c r="G7" s="4" t="s">
        <v>24</v>
      </c>
      <c r="H7" s="4" t="s">
        <v>22</v>
      </c>
      <c r="I7" s="4" t="s">
        <v>23</v>
      </c>
      <c r="J7" s="4" t="s">
        <v>0</v>
      </c>
      <c r="L7" s="2" t="s">
        <v>4</v>
      </c>
      <c r="M7" s="4" t="s">
        <v>17</v>
      </c>
      <c r="N7" s="4" t="s">
        <v>18</v>
      </c>
      <c r="O7" s="4" t="s">
        <v>19</v>
      </c>
      <c r="P7" s="4" t="s">
        <v>20</v>
      </c>
      <c r="Q7" s="4" t="s">
        <v>21</v>
      </c>
      <c r="R7" s="4" t="s">
        <v>24</v>
      </c>
      <c r="S7" s="4" t="s">
        <v>22</v>
      </c>
      <c r="T7" s="4" t="s">
        <v>23</v>
      </c>
      <c r="U7" s="4" t="s">
        <v>0</v>
      </c>
      <c r="W7" s="5"/>
      <c r="X7" s="14"/>
      <c r="Y7" s="14"/>
      <c r="Z7" s="5"/>
    </row>
    <row r="8" spans="1:26" x14ac:dyDescent="0.25">
      <c r="A8" t="s">
        <v>5</v>
      </c>
      <c r="B8" s="6" t="n">
        <v>0.0</v>
      </c>
      <c r="C8" s="6" t="n">
        <v>0.0</v>
      </c>
      <c r="D8" s="6" t="n">
        <v>0.0</v>
      </c>
      <c r="E8" s="6" t="n">
        <v>0.0</v>
      </c>
      <c r="F8" s="6" t="n">
        <v>0.0</v>
      </c>
      <c r="G8" s="6" t="n">
        <v>0.0</v>
      </c>
      <c r="H8" s="6" t="n">
        <v>0.0</v>
      </c>
      <c r="I8" s="6" t="n">
        <v>0.0</v>
      </c>
      <c r="J8" s="6">
        <f>SUM(B8:I8)</f>
        <v>5380.5293440000005</v>
      </c>
      <c r="L8" t="s">
        <v>5</v>
      </c>
      <c r="M8" s="9" t="n">
        <v>14728.0</v>
      </c>
      <c r="N8" s="9" t="n">
        <v>2580.0</v>
      </c>
      <c r="O8" s="9" t="n">
        <v>0.0</v>
      </c>
      <c r="P8" s="9" t="n">
        <v>0.0</v>
      </c>
      <c r="Q8" s="9" t="n">
        <v>2958.0</v>
      </c>
      <c r="R8" s="9" t="n">
        <v>370.0</v>
      </c>
      <c r="S8" s="9" t="n">
        <v>0.0</v>
      </c>
      <c r="T8" s="9" t="n">
        <v>0.0</v>
      </c>
      <c r="U8">
        <f>SUM(M8:T8)</f>
        <v>9024</v>
      </c>
      <c r="W8" s="5"/>
      <c r="X8" s="16"/>
      <c r="Y8" s="16"/>
      <c r="Z8" s="5"/>
    </row>
    <row r="9" spans="1:26" x14ac:dyDescent="0.25">
      <c r="A9" s="12">
        <v>0.125</v>
      </c>
      <c r="B9" s="6" t="n">
        <v>0.424306780052185</v>
      </c>
      <c r="C9" s="6" t="n">
        <v>5.584219641590119</v>
      </c>
      <c r="D9" s="6" t="n">
        <v>0.0</v>
      </c>
      <c r="E9" s="6" t="n">
        <v>5.574864567089081</v>
      </c>
      <c r="F9" s="6" t="n">
        <v>0.2774672086715698</v>
      </c>
      <c r="G9" s="6" t="n">
        <v>0.0</v>
      </c>
      <c r="H9" s="6" t="n">
        <v>0.0</v>
      </c>
      <c r="I9" s="6" t="n">
        <v>0.0</v>
      </c>
      <c r="J9" s="6">
        <f ref="J9:J58" si="0" t="shared">SUM(B9:I9)</f>
        <v>3572.2247214947529</v>
      </c>
      <c r="L9" s="12">
        <v>0.125</v>
      </c>
      <c r="M9" s="9" t="n">
        <v>9798.134048461914</v>
      </c>
      <c r="N9" s="9" t="n">
        <v>1714.0288372039795</v>
      </c>
      <c r="O9" s="9" t="n">
        <v>0.0</v>
      </c>
      <c r="P9" s="9" t="n">
        <v>0.0</v>
      </c>
      <c r="Q9" s="9" t="n">
        <v>1965.9192066192627</v>
      </c>
      <c r="R9" s="9" t="n">
        <v>245.59705448150635</v>
      </c>
      <c r="S9" s="9" t="n">
        <v>0.0</v>
      </c>
      <c r="T9" s="9" t="n">
        <v>0.0</v>
      </c>
      <c r="U9">
        <f ref="U9:U58" si="1" t="shared">SUM(M9:T9)</f>
        <v>6010.7459259033203</v>
      </c>
      <c r="W9" s="5"/>
      <c r="X9" s="16"/>
      <c r="Y9" s="16"/>
      <c r="Z9" s="5"/>
    </row>
    <row r="10" spans="1:26" x14ac:dyDescent="0.25">
      <c r="A10" s="12">
        <v>0.14583333333333334</v>
      </c>
      <c r="B10" s="6" t="n">
        <v>2.023119256210327</v>
      </c>
      <c r="C10" s="6" t="n">
        <v>10.991575440979007</v>
      </c>
      <c r="D10" s="6" t="n">
        <v>0.0</v>
      </c>
      <c r="E10" s="6" t="n">
        <v>10.900640842437745</v>
      </c>
      <c r="F10" s="6" t="n">
        <v>0.7536738767623901</v>
      </c>
      <c r="G10" s="6" t="n">
        <v>0.0</v>
      </c>
      <c r="H10" s="6" t="n">
        <v>0.0</v>
      </c>
      <c r="I10" s="6" t="n">
        <v>0.0</v>
      </c>
      <c r="J10" s="6">
        <f si="0" t="shared"/>
        <v>2067.1693785998154</v>
      </c>
      <c r="L10" s="12">
        <v>0.14583333333333334</v>
      </c>
      <c r="M10" s="9" t="n">
        <v>5683.20631313324</v>
      </c>
      <c r="N10" s="9" t="n">
        <v>991.9803743362427</v>
      </c>
      <c r="O10" s="9" t="n">
        <v>0.0</v>
      </c>
      <c r="P10" s="9" t="n">
        <v>0.0</v>
      </c>
      <c r="Q10" s="9" t="n">
        <v>1138.3478231430054</v>
      </c>
      <c r="R10" s="9" t="n">
        <v>141.91219425201416</v>
      </c>
      <c r="S10" s="9" t="n">
        <v>0.0</v>
      </c>
      <c r="T10" s="9" t="n">
        <v>0.0</v>
      </c>
      <c r="U10">
        <f si="1" t="shared"/>
        <v>3506.1464929580688</v>
      </c>
      <c r="W10" s="5"/>
      <c r="X10" s="16"/>
      <c r="Y10" s="16"/>
      <c r="Z10" s="5"/>
    </row>
    <row r="11" spans="1:26" x14ac:dyDescent="0.25">
      <c r="A11" s="12">
        <v>0.16666666666666666</v>
      </c>
      <c r="B11" s="6" t="n">
        <v>7.450120378208159</v>
      </c>
      <c r="C11" s="6" t="n">
        <v>15.689325598430635</v>
      </c>
      <c r="D11" s="6" t="n">
        <v>0.0</v>
      </c>
      <c r="E11" s="6" t="n">
        <v>15.123084786415102</v>
      </c>
      <c r="F11" s="6" t="n">
        <v>2.2393814578056332</v>
      </c>
      <c r="G11" s="6" t="n">
        <v>0.0</v>
      </c>
      <c r="H11" s="6" t="n">
        <v>0.0</v>
      </c>
      <c r="I11" s="6" t="n">
        <v>0.0</v>
      </c>
      <c r="J11" s="6">
        <f si="0" t="shared"/>
        <v>1029.9286818672163</v>
      </c>
      <c r="L11" s="12">
        <v>0.16666666666666666</v>
      </c>
      <c r="M11" s="9" t="n">
        <v>2825.677632331848</v>
      </c>
      <c r="N11" s="9" t="n">
        <v>491.92332458496094</v>
      </c>
      <c r="O11" s="9" t="n">
        <v>0.0</v>
      </c>
      <c r="P11" s="9" t="n">
        <v>0.0</v>
      </c>
      <c r="Q11" s="9" t="n">
        <v>564.2629728317261</v>
      </c>
      <c r="R11" s="9" t="n">
        <v>70.1096134185791</v>
      </c>
      <c r="S11" s="9" t="n">
        <v>0.0</v>
      </c>
      <c r="T11" s="9" t="n">
        <v>0.0</v>
      </c>
      <c r="U11">
        <f si="1" t="shared"/>
        <v>1785.8489103317261</v>
      </c>
      <c r="W11" s="5"/>
      <c r="X11" s="16"/>
      <c r="Y11" s="16"/>
      <c r="Z11" s="5"/>
    </row>
    <row r="12" spans="1:26" x14ac:dyDescent="0.25">
      <c r="A12" s="12">
        <v>0.1875</v>
      </c>
      <c r="B12" s="6" t="n">
        <v>22.52895535869598</v>
      </c>
      <c r="C12" s="6" t="n">
        <v>19.905836049556733</v>
      </c>
      <c r="D12" s="6" t="n">
        <v>0.0</v>
      </c>
      <c r="E12" s="6" t="n">
        <v>17.362332114505772</v>
      </c>
      <c r="F12" s="6" t="n">
        <v>7.3444000233650195</v>
      </c>
      <c r="G12" s="6" t="n">
        <v>0.0</v>
      </c>
      <c r="H12" s="6" t="n">
        <v>0.0</v>
      </c>
      <c r="I12" s="6" t="n">
        <v>0.0</v>
      </c>
      <c r="J12" s="6">
        <f si="0" t="shared"/>
        <v>447.36525645277413</v>
      </c>
      <c r="L12" s="12">
        <v>0.1875</v>
      </c>
      <c r="M12" s="9" t="n">
        <v>1188.21022605896</v>
      </c>
      <c r="N12" s="9" t="n">
        <v>207.49209785461426</v>
      </c>
      <c r="O12" s="9" t="n">
        <v>0.0</v>
      </c>
      <c r="P12" s="9" t="n">
        <v>0.0</v>
      </c>
      <c r="Q12" s="9" t="n">
        <v>235.3715524673462</v>
      </c>
      <c r="R12" s="9" t="n">
        <v>29.06728172302246</v>
      </c>
      <c r="S12" s="9" t="n">
        <v>0.0</v>
      </c>
      <c r="T12" s="9" t="n">
        <v>0.0</v>
      </c>
      <c r="U12">
        <f si="1" t="shared"/>
        <v>825.79148292541504</v>
      </c>
      <c r="W12" s="5"/>
      <c r="X12" s="5"/>
      <c r="Y12" s="5"/>
      <c r="Z12" s="5"/>
    </row>
    <row r="13" spans="1:26" x14ac:dyDescent="0.25">
      <c r="A13" s="12">
        <v>0.20833333333333334</v>
      </c>
      <c r="B13" s="6" t="n">
        <v>57.92977696561814</v>
      </c>
      <c r="C13" s="6" t="n">
        <v>27.192846402645113</v>
      </c>
      <c r="D13" s="6" t="n">
        <v>0.0012225962638854981</v>
      </c>
      <c r="E13" s="6" t="n">
        <v>18.384570884418494</v>
      </c>
      <c r="F13" s="6" t="n">
        <v>21.833517404174803</v>
      </c>
      <c r="G13" s="6" t="n">
        <v>0.0</v>
      </c>
      <c r="H13" s="6" t="n">
        <v>0.0</v>
      </c>
      <c r="I13" s="6" t="n">
        <v>0.0</v>
      </c>
      <c r="J13" s="6">
        <f si="0" t="shared"/>
        <v>195.99170962143234</v>
      </c>
      <c r="L13" s="12">
        <v>0.20833333333333334</v>
      </c>
      <c r="M13" s="9" t="n">
        <v>430.36455154418945</v>
      </c>
      <c r="N13" s="9" t="n">
        <v>79.73722553253174</v>
      </c>
      <c r="O13" s="9" t="n">
        <v>0.0</v>
      </c>
      <c r="P13" s="9" t="n">
        <v>0.0</v>
      </c>
      <c r="Q13" s="9" t="n">
        <v>81.90679931640625</v>
      </c>
      <c r="R13" s="9" t="n">
        <v>9.923638343811035</v>
      </c>
      <c r="S13" s="9" t="n">
        <v>0.0</v>
      </c>
      <c r="T13" s="9" t="n">
        <v>0.0</v>
      </c>
      <c r="U13">
        <f si="1" t="shared"/>
        <v>412.74400329589844</v>
      </c>
    </row>
    <row r="14" spans="1:26" x14ac:dyDescent="0.25">
      <c r="A14" s="12">
        <v>0.22916666666666666</v>
      </c>
      <c r="B14" s="6" t="n">
        <v>130.40795495176314</v>
      </c>
      <c r="C14" s="6" t="n">
        <v>46.47860045375825</v>
      </c>
      <c r="D14" s="6" t="n">
        <v>0.02486917848587036</v>
      </c>
      <c r="E14" s="6" t="n">
        <v>21.896065754699713</v>
      </c>
      <c r="F14" s="6" t="n">
        <v>54.00900570287705</v>
      </c>
      <c r="G14" s="6" t="n">
        <v>0.0</v>
      </c>
      <c r="H14" s="6" t="n">
        <v>0.0</v>
      </c>
      <c r="I14" s="6" t="n">
        <v>0.0</v>
      </c>
      <c r="J14" s="6">
        <f si="0" t="shared"/>
        <v>140.75101995991136</v>
      </c>
      <c r="L14" s="12">
        <v>0.22916666666666666</v>
      </c>
      <c r="M14" s="9" t="n">
        <v>170.9502878189087</v>
      </c>
      <c r="N14" s="9" t="n">
        <v>43.71179389953613</v>
      </c>
      <c r="O14" s="9" t="n">
        <v>0.0</v>
      </c>
      <c r="P14" s="9" t="n">
        <v>0.0</v>
      </c>
      <c r="Q14" s="9" t="n">
        <v>25.718388557434082</v>
      </c>
      <c r="R14" s="9" t="n">
        <v>2.789120674133301</v>
      </c>
      <c r="S14" s="9" t="n">
        <v>0.0</v>
      </c>
      <c r="T14" s="9" t="n">
        <v>0.0</v>
      </c>
      <c r="U14">
        <f si="1" t="shared"/>
        <v>307.60979080200195</v>
      </c>
    </row>
    <row r="15" spans="1:26" x14ac:dyDescent="0.25">
      <c r="A15" s="12">
        <v>0.25</v>
      </c>
      <c r="B15" s="6" t="n">
        <v>263.6262516350746</v>
      </c>
      <c r="C15" s="6" t="n">
        <v>90.92288903760911</v>
      </c>
      <c r="D15" s="6" t="n">
        <v>0.24063835430145264</v>
      </c>
      <c r="E15" s="6" t="n">
        <v>33.71640026979446</v>
      </c>
      <c r="F15" s="6" t="n">
        <v>109.72893877849579</v>
      </c>
      <c r="G15" s="6" t="n">
        <v>0.0</v>
      </c>
      <c r="H15" s="6" t="n">
        <v>0.0</v>
      </c>
      <c r="I15" s="6" t="n">
        <v>0.0</v>
      </c>
      <c r="J15" s="6">
        <f si="0" t="shared"/>
        <v>194.09868244980905</v>
      </c>
      <c r="L15" s="12">
        <v>0.25</v>
      </c>
      <c r="M15" s="9" t="n">
        <v>146.4467487335205</v>
      </c>
      <c r="N15" s="9" t="n">
        <v>55.87582874298096</v>
      </c>
      <c r="O15" s="9" t="n">
        <v>0.0</v>
      </c>
      <c r="P15" s="9" t="n">
        <v>0.0</v>
      </c>
      <c r="Q15" s="9" t="n">
        <v>12.374808311462402</v>
      </c>
      <c r="R15" s="9" t="n">
        <v>0.7855606079101562</v>
      </c>
      <c r="S15" s="9" t="n">
        <v>0.0</v>
      </c>
      <c r="T15" s="9" t="n">
        <v>0.0</v>
      </c>
      <c r="U15">
        <f si="1" t="shared"/>
        <v>344.57241344451904</v>
      </c>
    </row>
    <row r="16" spans="1:26" x14ac:dyDescent="0.25">
      <c r="A16" s="12">
        <v>0.27083333333333331</v>
      </c>
      <c r="B16" s="6" t="n">
        <v>488.400823739624</v>
      </c>
      <c r="C16" s="6" t="n">
        <v>172.87158202791213</v>
      </c>
      <c r="D16" s="6" t="n">
        <v>1.473290114402771</v>
      </c>
      <c r="E16" s="6" t="n">
        <v>58.49871105298995</v>
      </c>
      <c r="F16" s="6" t="n">
        <v>184.98380202465054</v>
      </c>
      <c r="G16" s="6" t="n">
        <v>0.0</v>
      </c>
      <c r="H16" s="6" t="n">
        <v>0.0</v>
      </c>
      <c r="I16" s="6" t="n">
        <v>0.0</v>
      </c>
      <c r="J16" s="6">
        <f si="0" t="shared"/>
        <v>321.86088486003774</v>
      </c>
      <c r="L16" s="12">
        <v>0.27083333333333331</v>
      </c>
      <c r="M16" s="9" t="n">
        <v>229.48120403289795</v>
      </c>
      <c r="N16" s="9" t="n">
        <v>96.34380149841309</v>
      </c>
      <c r="O16" s="9" t="n">
        <v>0.0</v>
      </c>
      <c r="P16" s="9" t="n">
        <v>0.0</v>
      </c>
      <c r="Q16" s="9" t="n">
        <v>14.970869064331055</v>
      </c>
      <c r="R16" s="9" t="n">
        <v>0.5095787048339844</v>
      </c>
      <c r="S16" s="9" t="n">
        <v>0.0</v>
      </c>
      <c r="T16" s="9" t="n">
        <v>0.0</v>
      </c>
      <c r="U16">
        <f si="1" t="shared"/>
        <v>445.07436561584473</v>
      </c>
    </row>
    <row r="17" spans="1:21" x14ac:dyDescent="0.25">
      <c r="A17" s="12">
        <v>0.29166666666666669</v>
      </c>
      <c r="B17" s="6" t="n">
        <v>839.8262628711701</v>
      </c>
      <c r="C17" s="6" t="n">
        <v>298.575920267582</v>
      </c>
      <c r="D17" s="6" t="n">
        <v>6.40540844707489</v>
      </c>
      <c r="E17" s="6" t="n">
        <v>96.38792342824934</v>
      </c>
      <c r="F17" s="6" t="n">
        <v>264.4094361055374</v>
      </c>
      <c r="G17" s="6" t="n">
        <v>0.0</v>
      </c>
      <c r="H17" s="6" t="n">
        <v>0.0</v>
      </c>
      <c r="I17" s="6" t="n">
        <v>0.0</v>
      </c>
      <c r="J17" s="6">
        <f si="0" t="shared"/>
        <v>522.52042140429489</v>
      </c>
      <c r="L17" s="12">
        <v>0.29166666666666669</v>
      </c>
      <c r="M17" s="9" t="n">
        <v>381.76972675323486</v>
      </c>
      <c r="N17" s="9" t="n">
        <v>160.25427150726318</v>
      </c>
      <c r="O17" s="9" t="n">
        <v>0.0</v>
      </c>
      <c r="P17" s="9" t="n">
        <v>0.0</v>
      </c>
      <c r="Q17" s="9" t="n">
        <v>24.20485782623291</v>
      </c>
      <c r="R17" s="9" t="n">
        <v>0.7559318542480469</v>
      </c>
      <c r="S17" s="9" t="n">
        <v>0.0</v>
      </c>
      <c r="T17" s="9" t="n">
        <v>0.0</v>
      </c>
      <c r="U17">
        <f si="1" t="shared"/>
        <v>591.71171379089355</v>
      </c>
    </row>
    <row r="18" spans="1:21" x14ac:dyDescent="0.25">
      <c r="A18" s="12">
        <v>0.3125</v>
      </c>
      <c r="B18" s="6" t="n">
        <v>1347.820230320263</v>
      </c>
      <c r="C18" s="6" t="n">
        <v>468.6145403193475</v>
      </c>
      <c r="D18" s="6" t="n">
        <v>21.049517767238616</v>
      </c>
      <c r="E18" s="6" t="n">
        <v>143.52780117540357</v>
      </c>
      <c r="F18" s="6" t="n">
        <v>332.67413594017023</v>
      </c>
      <c r="G18" s="6" t="n">
        <v>0.0</v>
      </c>
      <c r="H18" s="6" t="n">
        <v>0.0</v>
      </c>
      <c r="I18" s="6" t="n">
        <v>0.0</v>
      </c>
      <c r="J18" s="6">
        <f si="0" t="shared"/>
        <v>806.70205026207634</v>
      </c>
      <c r="L18" s="12">
        <v>0.3125</v>
      </c>
      <c r="M18" s="9" t="n">
        <v>614.6684226989746</v>
      </c>
      <c r="N18" s="9" t="n">
        <v>252.06264972686768</v>
      </c>
      <c r="O18" s="9" t="n">
        <v>0.0</v>
      </c>
      <c r="P18" s="9" t="n">
        <v>0.0</v>
      </c>
      <c r="Q18" s="9" t="n">
        <v>39.03794860839844</v>
      </c>
      <c r="R18" s="9" t="n">
        <v>1.2823076248168945</v>
      </c>
      <c r="S18" s="9" t="n">
        <v>0.0</v>
      </c>
      <c r="T18" s="9" t="n">
        <v>0.0</v>
      </c>
      <c r="U18">
        <f si="1" t="shared"/>
        <v>804.8700647354126</v>
      </c>
    </row>
    <row r="19" spans="1:21" x14ac:dyDescent="0.25">
      <c r="A19" s="12">
        <v>0.33333333333333331</v>
      </c>
      <c r="B19" s="6" t="n">
        <v>2026.4573221307755</v>
      </c>
      <c r="C19" s="6" t="n">
        <v>684.9760146482469</v>
      </c>
      <c r="D19" s="6" t="n">
        <v>54.38861207475662</v>
      </c>
      <c r="E19" s="6" t="n">
        <v>197.11068033037182</v>
      </c>
      <c r="F19" s="6" t="n">
        <v>391.5290344688414</v>
      </c>
      <c r="G19" s="6" t="n">
        <v>0.0</v>
      </c>
      <c r="H19" s="6" t="n">
        <v>0.0</v>
      </c>
      <c r="I19" s="6" t="n">
        <v>0.0</v>
      </c>
      <c r="J19" s="6">
        <f si="0" t="shared"/>
        <v>1189.1159091968118</v>
      </c>
      <c r="L19" s="12">
        <v>0.33333333333333331</v>
      </c>
      <c r="M19" s="9" t="n">
        <v>975.0223579406738</v>
      </c>
      <c r="N19" s="9" t="n">
        <v>384.96972370147705</v>
      </c>
      <c r="O19" s="9" t="n">
        <v>0.0</v>
      </c>
      <c r="P19" s="9" t="n">
        <v>0.0</v>
      </c>
      <c r="Q19" s="9" t="n">
        <v>62.26105308532715</v>
      </c>
      <c r="R19" s="9" t="n">
        <v>2.172591209411621</v>
      </c>
      <c r="S19" s="9" t="n">
        <v>0.0</v>
      </c>
      <c r="T19" s="9" t="n">
        <v>0.0</v>
      </c>
      <c r="U19">
        <f si="1" t="shared"/>
        <v>1132.1460332870483</v>
      </c>
    </row>
    <row r="20" spans="1:21" x14ac:dyDescent="0.25">
      <c r="A20" s="12">
        <v>0.35416666666666669</v>
      </c>
      <c r="B20" s="6" t="n">
        <v>2881.700709507751</v>
      </c>
      <c r="C20" s="6" t="n">
        <v>957.5161560635568</v>
      </c>
      <c r="D20" s="6" t="n">
        <v>113.70402160491946</v>
      </c>
      <c r="E20" s="6" t="n">
        <v>259.38943815374364</v>
      </c>
      <c r="F20" s="6" t="n">
        <v>463.13321616935724</v>
      </c>
      <c r="G20" s="6" t="n">
        <v>0.0</v>
      </c>
      <c r="H20" s="6" t="n">
        <v>0.0</v>
      </c>
      <c r="I20" s="6" t="n">
        <v>0.0</v>
      </c>
      <c r="J20" s="6">
        <f si="0" t="shared"/>
        <v>1695.1737753326436</v>
      </c>
      <c r="L20" s="12">
        <v>0.35416666666666669</v>
      </c>
      <c r="M20" s="9" t="n">
        <v>1533.4661540985107</v>
      </c>
      <c r="N20" s="9" t="n">
        <v>578.4868793487549</v>
      </c>
      <c r="O20" s="9" t="n">
        <v>0.0</v>
      </c>
      <c r="P20" s="9" t="n">
        <v>0.0</v>
      </c>
      <c r="Q20" s="9" t="n">
        <v>98.6079158782959</v>
      </c>
      <c r="R20" s="9" t="n">
        <v>3.590388298034668</v>
      </c>
      <c r="S20" s="9" t="n">
        <v>0.0</v>
      </c>
      <c r="T20" s="9" t="n">
        <v>0.0</v>
      </c>
      <c r="U20">
        <f si="1" t="shared"/>
        <v>1636.8598937988281</v>
      </c>
    </row>
    <row r="21" spans="1:21" x14ac:dyDescent="0.25">
      <c r="A21" s="12">
        <v>0.375</v>
      </c>
      <c r="B21" s="6" t="n">
        <v>3949.752582710933</v>
      </c>
      <c r="C21" s="6" t="n">
        <v>1303.3683382236482</v>
      </c>
      <c r="D21" s="6" t="n">
        <v>197.19855970029838</v>
      </c>
      <c r="E21" s="6" t="n">
        <v>334.4785526707649</v>
      </c>
      <c r="F21" s="6" t="n">
        <v>570.7747835961342</v>
      </c>
      <c r="G21" s="6" t="n">
        <v>0.0</v>
      </c>
      <c r="H21" s="6" t="n">
        <v>0.0</v>
      </c>
      <c r="I21" s="6" t="n">
        <v>0.0</v>
      </c>
      <c r="J21" s="6">
        <f si="0" t="shared"/>
        <v>2371.6370071870583</v>
      </c>
      <c r="L21" s="12">
        <v>0.375</v>
      </c>
      <c r="M21" s="9" t="n">
        <v>2352.3761138916016</v>
      </c>
      <c r="N21" s="9" t="n">
        <v>847.8563795089722</v>
      </c>
      <c r="O21" s="9" t="n">
        <v>0.0</v>
      </c>
      <c r="P21" s="9" t="n">
        <v>0.0</v>
      </c>
      <c r="Q21" s="9" t="n">
        <v>152.4084825515747</v>
      </c>
      <c r="R21" s="9" t="n">
        <v>5.6475372314453125</v>
      </c>
      <c r="S21" s="9" t="n">
        <v>0.0</v>
      </c>
      <c r="T21" s="9" t="n">
        <v>0.0</v>
      </c>
      <c r="U21">
        <f si="1" t="shared"/>
        <v>2371.3804388046265</v>
      </c>
    </row>
    <row r="22" spans="1:21" x14ac:dyDescent="0.25">
      <c r="A22" s="12">
        <v>0.39583333333333331</v>
      </c>
      <c r="B22" s="6" t="n">
        <v>5334.469513402652</v>
      </c>
      <c r="C22" s="6" t="n">
        <v>1743.570481688118</v>
      </c>
      <c r="D22" s="6" t="n">
        <v>291.7298217682839</v>
      </c>
      <c r="E22" s="6" t="n">
        <v>420.61012051038745</v>
      </c>
      <c r="F22" s="6" t="n">
        <v>714.9267909028052</v>
      </c>
      <c r="G22" s="6" t="n">
        <v>0.0</v>
      </c>
      <c r="H22" s="6" t="n">
        <v>0.0</v>
      </c>
      <c r="I22" s="6" t="n">
        <v>0.0</v>
      </c>
      <c r="J22" s="6">
        <f si="0" t="shared"/>
        <v>3274.7085835200269</v>
      </c>
      <c r="L22" s="12">
        <v>0.39583333333333331</v>
      </c>
      <c r="M22" s="9" t="n">
        <v>3441.986969947815</v>
      </c>
      <c r="N22" s="9" t="n">
        <v>1189.1703481674194</v>
      </c>
      <c r="O22" s="9" t="n">
        <v>0.0</v>
      </c>
      <c r="P22" s="9" t="n">
        <v>0.0</v>
      </c>
      <c r="Q22" s="9" t="n">
        <v>224.46328353881836</v>
      </c>
      <c r="R22" s="9" t="n">
        <v>8.31479549407959</v>
      </c>
      <c r="S22" s="9" t="n">
        <v>0.0</v>
      </c>
      <c r="T22" s="9" t="n">
        <v>0.0</v>
      </c>
      <c r="U22">
        <f si="1" t="shared"/>
        <v>3341.508885383606</v>
      </c>
    </row>
    <row r="23" spans="1:21" x14ac:dyDescent="0.25">
      <c r="A23" s="12">
        <v>0.41666666666666669</v>
      </c>
      <c r="B23" s="6" t="n">
        <v>7177.440341650677</v>
      </c>
      <c r="C23" s="6" t="n">
        <v>2303.1637570281982</v>
      </c>
      <c r="D23" s="6" t="n">
        <v>382.1571083208085</v>
      </c>
      <c r="E23" s="6" t="n">
        <v>507.8185282406807</v>
      </c>
      <c r="F23" s="6" t="n">
        <v>871.5336803881644</v>
      </c>
      <c r="G23" s="6" t="n">
        <v>0.0</v>
      </c>
      <c r="H23" s="6" t="n">
        <v>0.0</v>
      </c>
      <c r="I23" s="6" t="n">
        <v>0.0</v>
      </c>
      <c r="J23" s="6">
        <f si="0" t="shared"/>
        <v>4418.9361944872262</v>
      </c>
      <c r="L23" s="12">
        <v>0.41666666666666669</v>
      </c>
      <c r="M23" s="9" t="n">
        <v>4742.5705490112305</v>
      </c>
      <c r="N23" s="9" t="n">
        <v>1573.4157972335815</v>
      </c>
      <c r="O23" s="9" t="n">
        <v>0.0</v>
      </c>
      <c r="P23" s="9" t="n">
        <v>0.0</v>
      </c>
      <c r="Q23" s="9" t="n">
        <v>310.49786472320557</v>
      </c>
      <c r="R23" s="9" t="n">
        <v>11.44021224975586</v>
      </c>
      <c r="S23" s="9" t="n">
        <v>0.0</v>
      </c>
      <c r="T23" s="9" t="n">
        <v>0.0</v>
      </c>
      <c r="U23">
        <f si="1" t="shared"/>
        <v>4490.2412796020508</v>
      </c>
    </row>
    <row r="24" spans="1:21" x14ac:dyDescent="0.25">
      <c r="A24" s="12">
        <v>0.4375</v>
      </c>
      <c r="B24" s="6" t="n">
        <v>9540.877147871113</v>
      </c>
      <c r="C24" s="6" t="n">
        <v>3007.287583078384</v>
      </c>
      <c r="D24" s="6" t="n">
        <v>465.93632044830326</v>
      </c>
      <c r="E24" s="6" t="n">
        <v>585.3799803740501</v>
      </c>
      <c r="F24" s="6" t="n">
        <v>1014.7261076726912</v>
      </c>
      <c r="G24" s="6" t="n">
        <v>0.0</v>
      </c>
      <c r="H24" s="6" t="n">
        <v>0.0</v>
      </c>
      <c r="I24" s="6" t="n">
        <v>0.0</v>
      </c>
      <c r="J24" s="6">
        <f si="0" t="shared"/>
        <v>5720.5119387639979</v>
      </c>
      <c r="L24" s="12">
        <v>0.4375</v>
      </c>
      <c r="M24" s="9" t="n">
        <v>6161.611693382263</v>
      </c>
      <c r="N24" s="9" t="n">
        <v>1958.7971391677856</v>
      </c>
      <c r="O24" s="9" t="n">
        <v>0.0</v>
      </c>
      <c r="P24" s="9" t="n">
        <v>0.0</v>
      </c>
      <c r="Q24" s="9" t="n">
        <v>403.4587869644165</v>
      </c>
      <c r="R24" s="9" t="n">
        <v>14.9036283493042</v>
      </c>
      <c r="S24" s="9" t="n">
        <v>0.0</v>
      </c>
      <c r="T24" s="9" t="n">
        <v>0.0</v>
      </c>
      <c r="U24">
        <f si="1" t="shared"/>
        <v>5723.6796875</v>
      </c>
    </row>
    <row r="25" spans="1:21" x14ac:dyDescent="0.25">
      <c r="A25" s="12">
        <v>0.45833333333333331</v>
      </c>
      <c r="B25" s="6" t="n">
        <v>12300.086602234838</v>
      </c>
      <c r="C25" s="6" t="n">
        <v>3862.0736470411302</v>
      </c>
      <c r="D25" s="6" t="n">
        <v>556.0735510848045</v>
      </c>
      <c r="E25" s="6" t="n">
        <v>652.0486014881134</v>
      </c>
      <c r="F25" s="6" t="n">
        <v>1138.1355119379996</v>
      </c>
      <c r="G25" s="6" t="n">
        <v>0.0</v>
      </c>
      <c r="H25" s="6" t="n">
        <v>0.0</v>
      </c>
      <c r="I25" s="6" t="n">
        <v>0.0</v>
      </c>
      <c r="J25" s="6">
        <f si="0" t="shared"/>
        <v>7007.8650514833444</v>
      </c>
      <c r="L25" s="12">
        <v>0.45833333333333331</v>
      </c>
      <c r="M25" s="9" t="n">
        <v>7649.356113433838</v>
      </c>
      <c r="N25" s="9" t="n">
        <v>2314.545910835266</v>
      </c>
      <c r="O25" s="9" t="n">
        <v>0.0</v>
      </c>
      <c r="P25" s="9" t="n">
        <v>0.0</v>
      </c>
      <c r="Q25" s="9" t="n">
        <v>498.74531841278076</v>
      </c>
      <c r="R25" s="9" t="n">
        <v>18.792163848876953</v>
      </c>
      <c r="S25" s="9" t="n">
        <v>0.0</v>
      </c>
      <c r="T25" s="9" t="n">
        <v>0.0</v>
      </c>
      <c r="U25">
        <f si="1" t="shared"/>
        <v>6966.6130781173706</v>
      </c>
    </row>
    <row r="26" spans="1:21" x14ac:dyDescent="0.25">
      <c r="A26" s="12">
        <v>0.47916666666666669</v>
      </c>
      <c r="B26" s="6" t="n">
        <v>15199.550669476888</v>
      </c>
      <c r="C26" s="6" t="n">
        <v>4833.0547161394115</v>
      </c>
      <c r="D26" s="6" t="n">
        <v>665.0325262663841</v>
      </c>
      <c r="E26" s="6" t="n">
        <v>720.4492857427597</v>
      </c>
      <c r="F26" s="6" t="n">
        <v>1254.3694639529228</v>
      </c>
      <c r="G26" s="6" t="n">
        <v>0.0</v>
      </c>
      <c r="H26" s="6" t="n">
        <v>0.0</v>
      </c>
      <c r="I26" s="6" t="n">
        <v>0.0</v>
      </c>
      <c r="J26" s="6">
        <f si="0" t="shared"/>
        <v>8133.6298096254268</v>
      </c>
      <c r="L26" s="12">
        <v>0.47916666666666669</v>
      </c>
      <c r="M26" s="9" t="n">
        <v>9263.987317085266</v>
      </c>
      <c r="N26" s="9" t="n">
        <v>2638.3736534118652</v>
      </c>
      <c r="O26" s="9" t="n">
        <v>0.0</v>
      </c>
      <c r="P26" s="9" t="n">
        <v>0.0</v>
      </c>
      <c r="Q26" s="9" t="n">
        <v>598.6243238449097</v>
      </c>
      <c r="R26" s="9" t="n">
        <v>23.429058074951172</v>
      </c>
      <c r="S26" s="9" t="n">
        <v>0.0</v>
      </c>
      <c r="T26" s="9" t="n">
        <v>0.0</v>
      </c>
      <c r="U26">
        <f si="1" t="shared"/>
        <v>8209.8263874053955</v>
      </c>
    </row>
    <row r="27" spans="1:21" x14ac:dyDescent="0.25">
      <c r="A27" s="12">
        <v>0.5</v>
      </c>
      <c r="B27" s="6" t="n">
        <v>18117.305864133068</v>
      </c>
      <c r="C27" s="6" t="n">
        <v>5852.313492102527</v>
      </c>
      <c r="D27" s="6" t="n">
        <v>785.0070113891602</v>
      </c>
      <c r="E27" s="6" t="n">
        <v>813.5750313702583</v>
      </c>
      <c r="F27" s="6" t="n">
        <v>1382.0555565789223</v>
      </c>
      <c r="G27" s="6" t="n">
        <v>0.0</v>
      </c>
      <c r="H27" s="6" t="n">
        <v>0.0</v>
      </c>
      <c r="I27" s="6" t="n">
        <v>0.0</v>
      </c>
      <c r="J27" s="6">
        <f si="0" t="shared"/>
        <v>9128.0551903544438</v>
      </c>
      <c r="L27" s="12">
        <v>0.5</v>
      </c>
      <c r="M27" s="9" t="n">
        <v>11202.02976322174</v>
      </c>
      <c r="N27" s="9" t="n">
        <v>2957.4335050582886</v>
      </c>
      <c r="O27" s="9" t="n">
        <v>0.0</v>
      </c>
      <c r="P27" s="9" t="n">
        <v>0.0</v>
      </c>
      <c r="Q27" s="9" t="n">
        <v>713.2427988052368</v>
      </c>
      <c r="R27" s="9" t="n">
        <v>29.252963066101074</v>
      </c>
      <c r="S27" s="9" t="n">
        <v>0.0</v>
      </c>
      <c r="T27" s="9" t="n">
        <v>0.0</v>
      </c>
      <c r="U27">
        <f si="1" t="shared"/>
        <v>9529.0053777694702</v>
      </c>
    </row>
    <row r="28" spans="1:21" x14ac:dyDescent="0.25">
      <c r="A28" s="12">
        <v>0.52083333333333337</v>
      </c>
      <c r="B28" s="6" t="n">
        <v>21381.656793583483</v>
      </c>
      <c r="C28" s="6" t="n">
        <v>6859.066617358971</v>
      </c>
      <c r="D28" s="6" t="n">
        <v>887.6162095903396</v>
      </c>
      <c r="E28" s="6" t="n">
        <v>953.9659762595177</v>
      </c>
      <c r="F28" s="6" t="n">
        <v>1542.7857037812232</v>
      </c>
      <c r="G28" s="6" t="n">
        <v>0.0</v>
      </c>
      <c r="H28" s="6" t="n">
        <v>0.0</v>
      </c>
      <c r="I28" s="6" t="n">
        <v>0.0</v>
      </c>
      <c r="J28" s="6">
        <f si="0" t="shared"/>
        <v>10287.759633957452</v>
      </c>
      <c r="L28" s="12">
        <v>0.52083333333333337</v>
      </c>
      <c r="M28" s="9" t="n">
        <v>13825.429468154907</v>
      </c>
      <c r="N28" s="9" t="n">
        <v>3320.6177825927734</v>
      </c>
      <c r="O28" s="9" t="n">
        <v>0.0</v>
      </c>
      <c r="P28" s="9" t="n">
        <v>0.0</v>
      </c>
      <c r="Q28" s="9" t="n">
        <v>859.8183040618896</v>
      </c>
      <c r="R28" s="9" t="n">
        <v>36.77719497680664</v>
      </c>
      <c r="S28" s="9" t="n">
        <v>0.0</v>
      </c>
      <c r="T28" s="9" t="n">
        <v>0.0</v>
      </c>
      <c r="U28">
        <f si="1" t="shared"/>
        <v>11092.672587394714</v>
      </c>
    </row>
    <row r="29" spans="1:21" x14ac:dyDescent="0.25">
      <c r="A29" s="12">
        <v>0.54166666666666663</v>
      </c>
      <c r="B29" s="6" t="n">
        <v>25891.30159617214</v>
      </c>
      <c r="C29" s="6" t="n">
        <v>7831.879332472039</v>
      </c>
      <c r="D29" s="6" t="n">
        <v>945.638684569931</v>
      </c>
      <c r="E29" s="6" t="n">
        <v>1146.1722326467514</v>
      </c>
      <c r="F29" s="6" t="n">
        <v>1769.8791496120452</v>
      </c>
      <c r="G29" s="6" t="n">
        <v>5.24610137939453E-4</v>
      </c>
      <c r="H29" s="6" t="n">
        <v>0.0</v>
      </c>
      <c r="I29" s="6" t="n">
        <v>0.0</v>
      </c>
      <c r="J29" s="6">
        <f si="0" t="shared"/>
        <v>12140.912883276289</v>
      </c>
      <c r="L29" s="12">
        <v>0.54166666666666663</v>
      </c>
      <c r="M29" s="9" t="n">
        <v>17725.75010585785</v>
      </c>
      <c r="N29" s="9" t="n">
        <v>3796.1510677337646</v>
      </c>
      <c r="O29" s="9" t="n">
        <v>0.0</v>
      </c>
      <c r="P29" s="9" t="n">
        <v>0.0</v>
      </c>
      <c r="Q29" s="9" t="n">
        <v>1063.3848991394043</v>
      </c>
      <c r="R29" s="9" t="n">
        <v>46.84534931182861</v>
      </c>
      <c r="S29" s="9" t="n">
        <v>0.0</v>
      </c>
      <c r="T29" s="9" t="n">
        <v>0.0</v>
      </c>
      <c r="U29">
        <f si="1" t="shared"/>
        <v>13177.970626831055</v>
      </c>
    </row>
    <row r="30" spans="1:21" x14ac:dyDescent="0.25">
      <c r="A30" s="12">
        <v>0.5625</v>
      </c>
      <c r="B30" s="6" t="n">
        <v>32892.57369502497</v>
      </c>
      <c r="C30" s="6" t="n">
        <v>8768.601258857632</v>
      </c>
      <c r="D30" s="6" t="n">
        <v>954.055093483734</v>
      </c>
      <c r="E30" s="6" t="n">
        <v>1361.1222068100928</v>
      </c>
      <c r="F30" s="6" t="n">
        <v>2105.5576684170724</v>
      </c>
      <c r="G30" s="6" t="n">
        <v>0.010492202758789064</v>
      </c>
      <c r="H30" s="6" t="n">
        <v>0.0</v>
      </c>
      <c r="I30" s="6" t="n">
        <v>0.0</v>
      </c>
      <c r="J30" s="6">
        <f si="0" t="shared"/>
        <v>15300.783117587358</v>
      </c>
      <c r="L30" s="12">
        <v>0.5625</v>
      </c>
      <c r="M30" s="9" t="n">
        <v>23781.948035240173</v>
      </c>
      <c r="N30" s="9" t="n">
        <v>4473.365254402161</v>
      </c>
      <c r="O30" s="9" t="n">
        <v>0.0</v>
      </c>
      <c r="P30" s="9" t="n">
        <v>0.0</v>
      </c>
      <c r="Q30" s="9" t="n">
        <v>1358.4908685684204</v>
      </c>
      <c r="R30" s="9" t="n">
        <v>61.04629039764404</v>
      </c>
      <c r="S30" s="9" t="n">
        <v>0.0</v>
      </c>
      <c r="T30" s="9" t="n">
        <v>0.0</v>
      </c>
      <c r="U30">
        <f si="1" t="shared"/>
        <v>16166.248780250549</v>
      </c>
    </row>
    <row r="31" spans="1:21" x14ac:dyDescent="0.25">
      <c r="A31" s="12">
        <v>0.58333333333333337</v>
      </c>
      <c r="B31" s="6" t="n">
        <v>43452.79703868199</v>
      </c>
      <c r="C31" s="6" t="n">
        <v>9625.022652393724</v>
      </c>
      <c r="D31" s="6" t="n">
        <v>928.7363404780386</v>
      </c>
      <c r="E31" s="6" t="n">
        <v>1540.498454839802</v>
      </c>
      <c r="F31" s="6" t="n">
        <v>2568.4096774486543</v>
      </c>
      <c r="G31" s="6" t="n">
        <v>0.09967592620849608</v>
      </c>
      <c r="H31" s="6" t="n">
        <v>0.0</v>
      </c>
      <c r="I31" s="6" t="n">
        <v>0.0</v>
      </c>
      <c r="J31" s="6">
        <f si="0" t="shared"/>
        <v>20241.729453425884</v>
      </c>
      <c r="L31" s="12">
        <v>0.58333333333333337</v>
      </c>
      <c r="M31" s="9" t="n">
        <v>33049.94733810425</v>
      </c>
      <c r="N31" s="9" t="n">
        <v>5447.763559341431</v>
      </c>
      <c r="O31" s="9" t="n">
        <v>0.0</v>
      </c>
      <c r="P31" s="9" t="n">
        <v>0.0</v>
      </c>
      <c r="Q31" s="9" t="n">
        <v>1784.9892854690552</v>
      </c>
      <c r="R31" s="9" t="n">
        <v>81.76706600189209</v>
      </c>
      <c r="S31" s="9" t="n">
        <v>0.0</v>
      </c>
      <c r="T31" s="9" t="n">
        <v>0.0</v>
      </c>
      <c r="U31">
        <f si="1" t="shared"/>
        <v>20454.013246536255</v>
      </c>
    </row>
    <row r="32" spans="1:21" x14ac:dyDescent="0.25">
      <c r="A32" s="12">
        <v>0.60416666666666663</v>
      </c>
      <c r="B32" s="6" t="n">
        <v>57798.789859152224</v>
      </c>
      <c r="C32" s="6" t="n">
        <v>10275.323426545334</v>
      </c>
      <c r="D32" s="6" t="n">
        <v>887.3460279651641</v>
      </c>
      <c r="E32" s="6" t="n">
        <v>1629.3428832309723</v>
      </c>
      <c r="F32" s="6" t="n">
        <v>3108.804229315472</v>
      </c>
      <c r="G32" s="6" t="n">
        <v>0.5988889228820801</v>
      </c>
      <c r="H32" s="6" t="n">
        <v>2.8195667266845705E-4</v>
      </c>
      <c r="I32" s="6" t="n">
        <v>0.0</v>
      </c>
      <c r="J32" s="6">
        <f si="0" t="shared"/>
        <v>27030.319646486103</v>
      </c>
      <c r="L32" s="12">
        <v>0.60416666666666663</v>
      </c>
      <c r="M32" s="9" t="n">
        <v>46312.18318271637</v>
      </c>
      <c r="N32" s="9" t="n">
        <v>6770.623712539673</v>
      </c>
      <c r="O32" s="9" t="n">
        <v>0.0</v>
      </c>
      <c r="P32" s="9" t="n">
        <v>0.0</v>
      </c>
      <c r="Q32" s="9" t="n">
        <v>2370.4108629226685</v>
      </c>
      <c r="R32" s="9" t="n">
        <v>111.37334537506104</v>
      </c>
      <c r="S32" s="9" t="n">
        <v>0.0</v>
      </c>
      <c r="T32" s="9" t="n">
        <v>0.0</v>
      </c>
      <c r="U32">
        <f si="1" t="shared"/>
        <v>26250.361688613892</v>
      </c>
    </row>
    <row r="33" spans="1:21" x14ac:dyDescent="0.25">
      <c r="A33" s="12">
        <v>0.625</v>
      </c>
      <c r="B33" s="6" t="n">
        <v>74758.86253262406</v>
      </c>
      <c r="C33" s="6" t="n">
        <v>10546.73533856573</v>
      </c>
      <c r="D33" s="6" t="n">
        <v>835.5408663879393</v>
      </c>
      <c r="E33" s="6" t="n">
        <v>1615.7396072014812</v>
      </c>
      <c r="F33" s="6" t="n">
        <v>3598.087515466309</v>
      </c>
      <c r="G33" s="6" t="n">
        <v>2.5586130446434017</v>
      </c>
      <c r="H33" s="6" t="n">
        <v>0.005639133453369142</v>
      </c>
      <c r="I33" s="6" t="n">
        <v>0.0</v>
      </c>
      <c r="J33" s="6">
        <f si="0" t="shared"/>
        <v>35082.935366313752</v>
      </c>
      <c r="L33" s="12">
        <v>0.625</v>
      </c>
      <c r="M33" s="9" t="n">
        <v>63320.033796310425</v>
      </c>
      <c r="N33" s="9" t="n">
        <v>8375.62160205841</v>
      </c>
      <c r="O33" s="9" t="n">
        <v>0.0</v>
      </c>
      <c r="P33" s="9" t="n">
        <v>0.0</v>
      </c>
      <c r="Q33" s="9" t="n">
        <v>3100.6583757400513</v>
      </c>
      <c r="R33" s="9" t="n">
        <v>150.52802276611328</v>
      </c>
      <c r="S33" s="9" t="n">
        <v>0.0</v>
      </c>
      <c r="T33" s="9" t="n">
        <v>0.0</v>
      </c>
      <c r="U33">
        <f si="1" t="shared"/>
        <v>33322.098511695862</v>
      </c>
    </row>
    <row r="34" spans="1:21" x14ac:dyDescent="0.25">
      <c r="A34" s="12">
        <v>0.64583333333333337</v>
      </c>
      <c r="B34" s="6" t="n">
        <v>91600.49484866144</v>
      </c>
      <c r="C34" s="6" t="n">
        <v>10314.653600697038</v>
      </c>
      <c r="D34" s="6" t="n">
        <v>770.8873494905472</v>
      </c>
      <c r="E34" s="6" t="n">
        <v>1539.9975869679456</v>
      </c>
      <c r="F34" s="6" t="n">
        <v>3879.6316426999097</v>
      </c>
      <c r="G34" s="6" t="n">
        <v>8.296087322616575</v>
      </c>
      <c r="H34" s="6" t="n">
        <v>0.05445362071990967</v>
      </c>
      <c r="I34" s="6" t="n">
        <v>0.0</v>
      </c>
      <c r="J34" s="6">
        <f si="0" t="shared"/>
        <v>43090.926331966752</v>
      </c>
      <c r="L34" s="12">
        <v>0.64583333333333337</v>
      </c>
      <c r="M34" s="9" t="n">
        <v>82114.06265640259</v>
      </c>
      <c r="N34" s="9" t="n">
        <v>10031.074269294739</v>
      </c>
      <c r="O34" s="9" t="n">
        <v>0.0</v>
      </c>
      <c r="P34" s="9" t="n">
        <v>0.0</v>
      </c>
      <c r="Q34" s="9" t="n">
        <v>3894.9638814926147</v>
      </c>
      <c r="R34" s="9" t="n">
        <v>196.40262699127197</v>
      </c>
      <c r="S34" s="9" t="n">
        <v>0.0</v>
      </c>
      <c r="T34" s="9" t="n">
        <v>0.0</v>
      </c>
      <c r="U34">
        <f si="1" t="shared"/>
        <v>40816.487090110779</v>
      </c>
    </row>
    <row r="35" spans="1:21" x14ac:dyDescent="0.25">
      <c r="A35" s="12">
        <v>0.66666666666666663</v>
      </c>
      <c r="B35" s="6" t="n">
        <v>104540.14717489082</v>
      </c>
      <c r="C35" s="6" t="n">
        <v>9587.633808160399</v>
      </c>
      <c r="D35" s="6" t="n">
        <v>694.4388249012948</v>
      </c>
      <c r="E35" s="6" t="n">
        <v>1459.4361229290012</v>
      </c>
      <c r="F35" s="6" t="n">
        <v>3853.3219644931796</v>
      </c>
      <c r="G35" s="6" t="n">
        <v>21.32375236988067</v>
      </c>
      <c r="H35" s="6" t="n">
        <v>0.33906766510009767</v>
      </c>
      <c r="I35" s="6" t="n">
        <v>0.0</v>
      </c>
      <c r="J35" s="6">
        <f si="0" t="shared"/>
        <v>49265.2093011221</v>
      </c>
      <c r="L35" s="12">
        <v>0.66666666666666663</v>
      </c>
      <c r="M35" s="9" t="n">
        <v>99029.03284358978</v>
      </c>
      <c r="N35" s="9" t="n">
        <v>11371.730317115784</v>
      </c>
      <c r="O35" s="9" t="n">
        <v>0.0</v>
      </c>
      <c r="P35" s="9" t="n">
        <v>0.0</v>
      </c>
      <c r="Q35" s="9" t="n">
        <v>4608.12059879303</v>
      </c>
      <c r="R35" s="9" t="n">
        <v>242.0388584136963</v>
      </c>
      <c r="S35" s="9" t="n">
        <v>0.0</v>
      </c>
      <c r="T35" s="9" t="n">
        <v>0.0</v>
      </c>
      <c r="U35">
        <f si="1" t="shared"/>
        <v>47299.357442855835</v>
      </c>
    </row>
    <row r="36" spans="1:21" x14ac:dyDescent="0.25">
      <c r="A36" s="12">
        <v>0.6875</v>
      </c>
      <c r="B36" s="6" t="n">
        <v>109977.3914929057</v>
      </c>
      <c r="C36" s="6" t="n">
        <v>8518.266208695888</v>
      </c>
      <c r="D36" s="6" t="n">
        <v>614.7372495998383</v>
      </c>
      <c r="E36" s="6" t="n">
        <v>1399.5337172513964</v>
      </c>
      <c r="F36" s="6" t="n">
        <v>3527.3013025918963</v>
      </c>
      <c r="G36" s="6" t="n">
        <v>44.94439399909972</v>
      </c>
      <c r="H36" s="6" t="n">
        <v>1.5336321325302125</v>
      </c>
      <c r="I36" s="6" t="n">
        <v>0.0</v>
      </c>
      <c r="J36" s="6">
        <f si="0" t="shared"/>
        <v>51922.654667899697</v>
      </c>
      <c r="L36" s="12">
        <v>0.6875</v>
      </c>
      <c r="M36" s="9" t="n">
        <v>109764.44081306458</v>
      </c>
      <c r="N36" s="9" t="n">
        <v>12023.439690589905</v>
      </c>
      <c r="O36" s="9" t="n">
        <v>0.0</v>
      </c>
      <c r="P36" s="9" t="n">
        <v>0.0</v>
      </c>
      <c r="Q36" s="9" t="n">
        <v>5072.7416524887085</v>
      </c>
      <c r="R36" s="9" t="n">
        <v>277.92743968963623</v>
      </c>
      <c r="S36" s="9" t="n">
        <v>0.0</v>
      </c>
      <c r="T36" s="9" t="n">
        <v>0.0</v>
      </c>
      <c r="U36">
        <f si="1" t="shared"/>
        <v>51099.85645198822</v>
      </c>
    </row>
    <row r="37" spans="1:21" x14ac:dyDescent="0.25">
      <c r="A37" s="12">
        <v>0.70833333333333337</v>
      </c>
      <c r="B37" s="6" t="n">
        <v>106037.83625853481</v>
      </c>
      <c r="C37" s="6" t="n">
        <v>7335.167968267918</v>
      </c>
      <c r="D37" s="6" t="n">
        <v>541.8997822288512</v>
      </c>
      <c r="E37" s="6" t="n">
        <v>1337.8994876805307</v>
      </c>
      <c r="F37" s="6" t="n">
        <v>2998.999029882908</v>
      </c>
      <c r="G37" s="6" t="n">
        <v>80.02121822004318</v>
      </c>
      <c r="H37" s="6" t="n">
        <v>5.3767685737609865</v>
      </c>
      <c r="I37" s="6" t="n">
        <v>0.0</v>
      </c>
      <c r="J37" s="6">
        <f si="0" t="shared"/>
        <v>50195.245404917572</v>
      </c>
      <c r="L37" s="12">
        <v>0.70833333333333337</v>
      </c>
      <c r="M37" s="9" t="n">
        <v>111202.4088230133</v>
      </c>
      <c r="N37" s="9" t="n">
        <v>11768.696647644043</v>
      </c>
      <c r="O37" s="9" t="n">
        <v>0.0</v>
      </c>
      <c r="P37" s="9" t="n">
        <v>0.0</v>
      </c>
      <c r="Q37" s="9" t="n">
        <v>5168.5133419036865</v>
      </c>
      <c r="R37" s="9" t="n">
        <v>295.7321138381958</v>
      </c>
      <c r="S37" s="9" t="n">
        <v>0.0</v>
      </c>
      <c r="T37" s="9" t="n">
        <v>0.0</v>
      </c>
      <c r="U37">
        <f si="1" t="shared"/>
        <v>50928.151807785034</v>
      </c>
    </row>
    <row r="38" spans="1:21" x14ac:dyDescent="0.25">
      <c r="A38" s="12">
        <v>0.72916666666666663</v>
      </c>
      <c r="B38" s="6" t="n">
        <v>93576.68096849766</v>
      </c>
      <c r="C38" s="6" t="n">
        <v>6246.466714072133</v>
      </c>
      <c r="D38" s="6" t="n">
        <v>479.65480886697765</v>
      </c>
      <c r="E38" s="6" t="n">
        <v>1233.9861371720317</v>
      </c>
      <c r="F38" s="6" t="n">
        <v>2393.5639225920677</v>
      </c>
      <c r="G38" s="6" t="n">
        <v>123.66462150726318</v>
      </c>
      <c r="H38" s="6" t="n">
        <v>15.201217995643617</v>
      </c>
      <c r="I38" s="6" t="n">
        <v>0.0</v>
      </c>
      <c r="J38" s="6">
        <f si="0" t="shared"/>
        <v>44465.457603358765</v>
      </c>
      <c r="L38" s="12">
        <v>0.72916666666666663</v>
      </c>
      <c r="M38" s="9" t="n">
        <v>102955.26505851746</v>
      </c>
      <c r="N38" s="9" t="n">
        <v>10658.08694267273</v>
      </c>
      <c r="O38" s="9" t="n">
        <v>0.0</v>
      </c>
      <c r="P38" s="9" t="n">
        <v>0.0</v>
      </c>
      <c r="Q38" s="9" t="n">
        <v>4881.044379234314</v>
      </c>
      <c r="R38" s="9" t="n">
        <v>292.38823890686035</v>
      </c>
      <c r="S38" s="9" t="n">
        <v>0.0</v>
      </c>
      <c r="T38" s="9" t="n">
        <v>0.0</v>
      </c>
      <c r="U38">
        <f si="1" t="shared"/>
        <v>46515.196286201477</v>
      </c>
    </row>
    <row r="39" spans="1:21" x14ac:dyDescent="0.25">
      <c r="A39" s="12">
        <v>0.75</v>
      </c>
      <c r="B39" s="6" t="n">
        <v>75898.49167199622</v>
      </c>
      <c r="C39" s="6" t="n">
        <v>5373.6184636780745</v>
      </c>
      <c r="D39" s="6" t="n">
        <v>422.3351411169052</v>
      </c>
      <c r="E39" s="6" t="n">
        <v>1072.0085385704042</v>
      </c>
      <c r="F39" s="6" t="n">
        <v>1815.4644954983712</v>
      </c>
      <c r="G39" s="6" t="n">
        <v>169.65200156173708</v>
      </c>
      <c r="H39" s="6" t="n">
        <v>35.5295288269043</v>
      </c>
      <c r="I39" s="6" t="n">
        <v>0.0</v>
      </c>
      <c r="J39" s="6">
        <f si="0" t="shared"/>
        <v>36223.882843899424</v>
      </c>
      <c r="L39" s="12">
        <v>0.75</v>
      </c>
      <c r="M39" s="9" t="n">
        <v>87598.40532779694</v>
      </c>
      <c r="N39" s="9" t="n">
        <v>8992.982852935791</v>
      </c>
      <c r="O39" s="9" t="n">
        <v>0.0</v>
      </c>
      <c r="P39" s="9" t="n">
        <v>0.0</v>
      </c>
      <c r="Q39" s="9" t="n">
        <v>4311.785424232483</v>
      </c>
      <c r="R39" s="9" t="n">
        <v>271.8666172027588</v>
      </c>
      <c r="S39" s="9" t="n">
        <v>0.0</v>
      </c>
      <c r="T39" s="9" t="n">
        <v>0.0</v>
      </c>
      <c r="U39">
        <f si="1" t="shared"/>
        <v>38867.696769714355</v>
      </c>
    </row>
    <row r="40" spans="1:21" x14ac:dyDescent="0.25">
      <c r="A40" s="12">
        <v>0.77083333333333337</v>
      </c>
      <c r="B40" s="6" t="n">
        <v>57250.73159275199</v>
      </c>
      <c r="C40" s="6" t="n">
        <v>4739.575974133206</v>
      </c>
      <c r="D40" s="6" t="n">
        <v>359.30979030876165</v>
      </c>
      <c r="E40" s="6" t="n">
        <v>876.6829997366907</v>
      </c>
      <c r="F40" s="6" t="n">
        <v>1333.73004476614</v>
      </c>
      <c r="G40" s="6" t="n">
        <v>209.34184170532228</v>
      </c>
      <c r="H40" s="6" t="n">
        <v>69.6987009601593</v>
      </c>
      <c r="I40" s="6" t="n">
        <v>0.0</v>
      </c>
      <c r="J40" s="6">
        <f si="0" t="shared"/>
        <v>27408.129490621421</v>
      </c>
      <c r="L40" s="12">
        <v>0.77083333333333337</v>
      </c>
      <c r="M40" s="9" t="n">
        <v>69380.46599960327</v>
      </c>
      <c r="N40" s="9" t="n">
        <v>7184.799973487854</v>
      </c>
      <c r="O40" s="9" t="n">
        <v>0.0</v>
      </c>
      <c r="P40" s="9" t="n">
        <v>0.0</v>
      </c>
      <c r="Q40" s="9" t="n">
        <v>3629.4372234344482</v>
      </c>
      <c r="R40" s="9" t="n">
        <v>243.0476360321045</v>
      </c>
      <c r="S40" s="9" t="n">
        <v>0.0</v>
      </c>
      <c r="T40" s="9" t="n">
        <v>0.0</v>
      </c>
      <c r="U40">
        <f si="1" t="shared"/>
        <v>29883.335385322571</v>
      </c>
    </row>
    <row r="41" spans="1:21" x14ac:dyDescent="0.25">
      <c r="A41" s="12">
        <v>0.79166666666666663</v>
      </c>
      <c r="B41" s="6" t="n">
        <v>41041.715211143404</v>
      </c>
      <c r="C41" s="6" t="n">
        <v>4294.069429027271</v>
      </c>
      <c r="D41" s="6" t="n">
        <v>284.6145111003876</v>
      </c>
      <c r="E41" s="6" t="n">
        <v>693.517735877514</v>
      </c>
      <c r="F41" s="6" t="n">
        <v>980.7628936168671</v>
      </c>
      <c r="G41" s="6" t="n">
        <v>232.46226885509495</v>
      </c>
      <c r="H41" s="6" t="n">
        <v>115.71868054962158</v>
      </c>
      <c r="I41" s="6" t="n">
        <v>0.0</v>
      </c>
      <c r="J41" s="6">
        <f si="0" t="shared"/>
        <v>19629.213751112748</v>
      </c>
      <c r="L41" s="12">
        <v>0.79166666666666663</v>
      </c>
      <c r="M41" s="9" t="n">
        <v>52267.0237865448</v>
      </c>
      <c r="N41" s="9" t="n">
        <v>5578.14422416687</v>
      </c>
      <c r="O41" s="9" t="n">
        <v>0.0</v>
      </c>
      <c r="P41" s="9" t="n">
        <v>0.0</v>
      </c>
      <c r="Q41" s="9" t="n">
        <v>2992.788131713867</v>
      </c>
      <c r="R41" s="9" t="n">
        <v>214.98834800720215</v>
      </c>
      <c r="S41" s="9" t="n">
        <v>0.0</v>
      </c>
      <c r="T41" s="9" t="n">
        <v>0.0</v>
      </c>
      <c r="U41">
        <f si="1" t="shared"/>
        <v>21514.135724067688</v>
      </c>
    </row>
    <row r="42" spans="1:21" x14ac:dyDescent="0.25">
      <c r="A42" s="12">
        <v>0.8125</v>
      </c>
      <c r="B42" s="6" t="n">
        <v>28861.335667838768</v>
      </c>
      <c r="C42" s="6" t="n">
        <v>3947.535277569294</v>
      </c>
      <c r="D42" s="6" t="n">
        <v>204.2317474211693</v>
      </c>
      <c r="E42" s="6" t="n">
        <v>557.3990381087303</v>
      </c>
      <c r="F42" s="6" t="n">
        <v>750.0825919568061</v>
      </c>
      <c r="G42" s="6" t="n">
        <v>229.84379627151492</v>
      </c>
      <c r="H42" s="6" t="n">
        <v>163.18019845390322</v>
      </c>
      <c r="I42" s="6" t="n">
        <v>0.0</v>
      </c>
      <c r="J42" s="6">
        <f si="0" t="shared"/>
        <v>13717.667638910096</v>
      </c>
      <c r="L42" s="12">
        <v>0.8125</v>
      </c>
      <c r="M42" s="9" t="n">
        <v>38548.96666145325</v>
      </c>
      <c r="N42" s="9" t="n">
        <v>4342.3981676101685</v>
      </c>
      <c r="O42" s="9" t="n">
        <v>0.0</v>
      </c>
      <c r="P42" s="9" t="n">
        <v>0.0</v>
      </c>
      <c r="Q42" s="9" t="n">
        <v>2492.984411239624</v>
      </c>
      <c r="R42" s="9" t="n">
        <v>192.94606113433838</v>
      </c>
      <c r="S42" s="9" t="n">
        <v>0.0</v>
      </c>
      <c r="T42" s="9" t="n">
        <v>0.0</v>
      </c>
      <c r="U42">
        <f si="1" t="shared"/>
        <v>15008.836229324341</v>
      </c>
    </row>
    <row r="43" spans="1:21" x14ac:dyDescent="0.25">
      <c r="A43" s="12">
        <v>0.83333333333333337</v>
      </c>
      <c r="B43" s="6" t="n">
        <v>20644.190064123533</v>
      </c>
      <c r="C43" s="6" t="n">
        <v>3604.11266388607</v>
      </c>
      <c r="D43" s="6" t="n">
        <v>133.52250822200776</v>
      </c>
      <c r="E43" s="6" t="n">
        <v>475.8468593260766</v>
      </c>
      <c r="F43" s="6" t="n">
        <v>604.2350931199073</v>
      </c>
      <c r="G43" s="6" t="n">
        <v>199.0333699687958</v>
      </c>
      <c r="H43" s="6" t="n">
        <v>195.47345799255373</v>
      </c>
      <c r="I43" s="6" t="n">
        <v>0.0</v>
      </c>
      <c r="J43" s="6">
        <f si="0" t="shared"/>
        <v>9734.7593544545125</v>
      </c>
      <c r="L43" s="12">
        <v>0.83333333333333337</v>
      </c>
      <c r="M43" s="9" t="n">
        <v>28659.674556732178</v>
      </c>
      <c r="N43" s="9" t="n">
        <v>3476.6401023864746</v>
      </c>
      <c r="O43" s="9" t="n">
        <v>0.0</v>
      </c>
      <c r="P43" s="9" t="n">
        <v>0.0</v>
      </c>
      <c r="Q43" s="9" t="n">
        <v>2144.7513036727905</v>
      </c>
      <c r="R43" s="9" t="n">
        <v>177.71432495117188</v>
      </c>
      <c r="S43" s="9" t="n">
        <v>0.0</v>
      </c>
      <c r="T43" s="9" t="n">
        <v>0.0</v>
      </c>
      <c r="U43">
        <f si="1" t="shared"/>
        <v>10664.772020339966</v>
      </c>
    </row>
    <row r="44" spans="1:21" x14ac:dyDescent="0.25">
      <c r="A44" s="12">
        <v>0.85416666666666663</v>
      </c>
      <c r="B44" s="6" t="n">
        <v>15481.749230400084</v>
      </c>
      <c r="C44" s="6" t="n">
        <v>3197.1648127729422</v>
      </c>
      <c r="D44" s="6" t="n">
        <v>86.19520739154817</v>
      </c>
      <c r="E44" s="6" t="n">
        <v>433.9857115007401</v>
      </c>
      <c r="F44" s="6" t="n">
        <v>500.63871020307545</v>
      </c>
      <c r="G44" s="6" t="n">
        <v>148.31934196701053</v>
      </c>
      <c r="H44" s="6" t="n">
        <v>198.44569883232117</v>
      </c>
      <c r="I44" s="6" t="n">
        <v>0.0</v>
      </c>
      <c r="J44" s="6">
        <f si="0" t="shared"/>
        <v>7282.5514573344635</v>
      </c>
      <c r="L44" s="12">
        <v>0.85416666666666663</v>
      </c>
      <c r="M44" s="9" t="n">
        <v>21907.257124900818</v>
      </c>
      <c r="N44" s="9" t="n">
        <v>2890.7940559387207</v>
      </c>
      <c r="O44" s="9" t="n">
        <v>0.0</v>
      </c>
      <c r="P44" s="9" t="n">
        <v>0.0</v>
      </c>
      <c r="Q44" s="9" t="n">
        <v>1917.6654691696167</v>
      </c>
      <c r="R44" s="9" t="n">
        <v>167.7982635498047</v>
      </c>
      <c r="S44" s="9" t="n">
        <v>0.0</v>
      </c>
      <c r="T44" s="9" t="n">
        <v>0.0</v>
      </c>
      <c r="U44">
        <f si="1" t="shared"/>
        <v>8093.8379077911377</v>
      </c>
    </row>
    <row r="45" spans="1:21" x14ac:dyDescent="0.25">
      <c r="A45" s="12">
        <v>0.875</v>
      </c>
      <c r="B45" s="6" t="n">
        <v>12370.208253874112</v>
      </c>
      <c r="C45" s="6" t="n">
        <v>2717.244228879261</v>
      </c>
      <c r="D45" s="6" t="n">
        <v>64.65124276742935</v>
      </c>
      <c r="E45" s="6" t="n">
        <v>410.0321019724846</v>
      </c>
      <c r="F45" s="6" t="n">
        <v>416.7767833169937</v>
      </c>
      <c r="G45" s="6" t="n">
        <v>93.54927822017672</v>
      </c>
      <c r="H45" s="6" t="n">
        <v>169.97329651641846</v>
      </c>
      <c r="I45" s="6" t="n">
        <v>0.0</v>
      </c>
      <c r="J45" s="6">
        <f si="0" t="shared"/>
        <v>5843.7371553690846</v>
      </c>
      <c r="L45" s="12">
        <v>0.875</v>
      </c>
      <c r="M45" s="9" t="n">
        <v>17345.5282831192</v>
      </c>
      <c r="N45" s="9" t="n">
        <v>2487.8698959350586</v>
      </c>
      <c r="O45" s="9" t="n">
        <v>0.0</v>
      </c>
      <c r="P45" s="9" t="n">
        <v>0.0</v>
      </c>
      <c r="Q45" s="9" t="n">
        <v>1772.914451599121</v>
      </c>
      <c r="R45" s="9" t="n">
        <v>161.66673374176025</v>
      </c>
      <c r="S45" s="9" t="n">
        <v>0.0</v>
      </c>
      <c r="T45" s="9" t="n">
        <v>0.0</v>
      </c>
      <c r="U45">
        <f si="1" t="shared"/>
        <v>6674.6440763473511</v>
      </c>
    </row>
    <row r="46" spans="1:21" x14ac:dyDescent="0.25">
      <c r="A46" s="12">
        <v>0.89583333333333337</v>
      </c>
      <c r="B46" s="6" t="n">
        <v>10532.38969543686</v>
      </c>
      <c r="C46" s="6" t="n">
        <v>2209.2284231543545</v>
      </c>
      <c r="D46" s="6" t="n">
        <v>59.61165362138749</v>
      </c>
      <c r="E46" s="6" t="n">
        <v>386.53469730176926</v>
      </c>
      <c r="F46" s="6" t="n">
        <v>351.6822911474228</v>
      </c>
      <c r="G46" s="6" t="n">
        <v>49.14856180572511</v>
      </c>
      <c r="H46" s="6" t="n">
        <v>122.01565207099915</v>
      </c>
      <c r="I46" s="6" t="n">
        <v>0.0</v>
      </c>
      <c r="J46" s="6">
        <f si="0" t="shared"/>
        <v>4980.0162297442239</v>
      </c>
      <c r="L46" s="12">
        <v>0.89583333333333337</v>
      </c>
      <c r="M46" s="9" t="n">
        <v>14224.165195465088</v>
      </c>
      <c r="N46" s="9" t="n">
        <v>2197.473603248596</v>
      </c>
      <c r="O46" s="9" t="n">
        <v>0.0</v>
      </c>
      <c r="P46" s="9" t="n">
        <v>0.0</v>
      </c>
      <c r="Q46" s="9" t="n">
        <v>1677.428352355957</v>
      </c>
      <c r="R46" s="9" t="n">
        <v>157.94533920288086</v>
      </c>
      <c r="S46" s="9" t="n">
        <v>0.0</v>
      </c>
      <c r="T46" s="9" t="n">
        <v>0.0</v>
      </c>
      <c r="U46">
        <f si="1" t="shared"/>
        <v>5868.1872797012329</v>
      </c>
    </row>
    <row r="47" spans="1:21" x14ac:dyDescent="0.25">
      <c r="A47" s="12">
        <v>0.91666666666666663</v>
      </c>
      <c r="B47" s="6" t="n">
        <v>9390.372187476063</v>
      </c>
      <c r="C47" s="6" t="n">
        <v>1734.406667883968</v>
      </c>
      <c r="D47" s="6" t="n">
        <v>57.859561299228666</v>
      </c>
      <c r="E47" s="6" t="n">
        <v>352.3954860702515</v>
      </c>
      <c r="F47" s="6" t="n">
        <v>307.3398564393997</v>
      </c>
      <c r="G47" s="6" t="n">
        <v>21.144803864288335</v>
      </c>
      <c r="H47" s="6" t="n">
        <v>72.73269406127929</v>
      </c>
      <c r="I47" s="6" t="n">
        <v>0.0</v>
      </c>
      <c r="J47" s="6">
        <f si="0" t="shared"/>
        <v>4375.1977379584705</v>
      </c>
      <c r="L47" s="12">
        <v>0.91666666666666663</v>
      </c>
      <c r="M47" s="9" t="n">
        <v>11994.242429733276</v>
      </c>
      <c r="N47" s="9" t="n">
        <v>1965.3479976654053</v>
      </c>
      <c r="O47" s="9" t="n">
        <v>0.0</v>
      </c>
      <c r="P47" s="9" t="n">
        <v>0.0</v>
      </c>
      <c r="Q47" s="9" t="n">
        <v>1596.1051502227783</v>
      </c>
      <c r="R47" s="9" t="n">
        <v>154.106201171875</v>
      </c>
      <c r="S47" s="9" t="n">
        <v>0.0</v>
      </c>
      <c r="T47" s="9" t="n">
        <v>0.0</v>
      </c>
      <c r="U47">
        <f si="1" t="shared"/>
        <v>5304.0044584274292</v>
      </c>
    </row>
    <row r="48" spans="1:21" x14ac:dyDescent="0.25">
      <c r="A48" s="12">
        <v>0.9375</v>
      </c>
      <c r="B48" s="6" t="n">
        <v>8459.04327301464</v>
      </c>
      <c r="C48" s="6" t="n">
        <v>1327.9599884448053</v>
      </c>
      <c r="D48" s="6" t="n">
        <v>50.81574937343598</v>
      </c>
      <c r="E48" s="6" t="n">
        <v>301.65857484731674</v>
      </c>
      <c r="F48" s="6" t="n">
        <v>274.5738460249901</v>
      </c>
      <c r="G48" s="6" t="n">
        <v>7.2979995628356935</v>
      </c>
      <c r="H48" s="6" t="n">
        <v>35.54669898319244</v>
      </c>
      <c r="I48" s="6" t="n">
        <v>0.0</v>
      </c>
      <c r="J48" s="6">
        <f si="0" t="shared"/>
        <v>3810.3897657237194</v>
      </c>
      <c r="L48" s="12">
        <v>0.9375</v>
      </c>
      <c r="M48" s="9" t="n">
        <v>10184.651342391968</v>
      </c>
      <c r="N48" s="9" t="n">
        <v>1737.7176532745361</v>
      </c>
      <c r="O48" s="9" t="n">
        <v>0.0</v>
      </c>
      <c r="P48" s="9" t="n">
        <v>0.0</v>
      </c>
      <c r="Q48" s="9" t="n">
        <v>1485.3567876815796</v>
      </c>
      <c r="R48" s="9" t="n">
        <v>146.0381441116333</v>
      </c>
      <c r="S48" s="9" t="n">
        <v>0.0</v>
      </c>
      <c r="T48" s="9" t="n">
        <v>0.0</v>
      </c>
      <c r="U48">
        <f si="1" t="shared"/>
        <v>4741.6040306091309</v>
      </c>
    </row>
    <row r="49" spans="1:21" x14ac:dyDescent="0.25">
      <c r="A49" s="12">
        <v>0.95833333333333337</v>
      </c>
      <c r="B49" s="6" t="n">
        <v>7355.760205842209</v>
      </c>
      <c r="C49" s="6" t="n">
        <v>987.7629812913895</v>
      </c>
      <c r="D49" s="6" t="n">
        <v>37.79646926021576</v>
      </c>
      <c r="E49" s="6" t="n">
        <v>235.06531459636687</v>
      </c>
      <c r="F49" s="6" t="n">
        <v>237.66679403572084</v>
      </c>
      <c r="G49" s="6" t="n">
        <v>1.9661398287773135</v>
      </c>
      <c r="H49" s="6" t="n">
        <v>13.993678168487548</v>
      </c>
      <c r="I49" s="6" t="n">
        <v>0.0</v>
      </c>
      <c r="J49" s="6">
        <f si="0" t="shared"/>
        <v>3157.2058171138824</v>
      </c>
      <c r="L49" s="12">
        <v>0.95833333333333337</v>
      </c>
      <c r="M49" s="9" t="n">
        <v>8407.984328269958</v>
      </c>
      <c r="N49" s="9" t="n">
        <v>1469.1704950332642</v>
      </c>
      <c r="O49" s="9" t="n">
        <v>0.0</v>
      </c>
      <c r="P49" s="9" t="n">
        <v>0.0</v>
      </c>
      <c r="Q49" s="9" t="n">
        <v>1306.3087635040283</v>
      </c>
      <c r="R49" s="9" t="n">
        <v>129.91769886016846</v>
      </c>
      <c r="S49" s="9" t="n">
        <v>0.0</v>
      </c>
      <c r="T49" s="9" t="n">
        <v>0.0</v>
      </c>
      <c r="U49">
        <f si="1" t="shared"/>
        <v>4040.1049432754517</v>
      </c>
    </row>
    <row r="50" spans="1:21" x14ac:dyDescent="0.25">
      <c r="A50" s="12">
        <v>0.97916666666666663</v>
      </c>
      <c r="B50" s="6" t="n">
        <v>5915.499593983173</v>
      </c>
      <c r="C50" s="6" t="n">
        <v>697.0321019344331</v>
      </c>
      <c r="D50" s="6" t="n">
        <v>23.219426803684236</v>
      </c>
      <c r="E50" s="6" t="n">
        <v>161.82185409221648</v>
      </c>
      <c r="F50" s="6" t="n">
        <v>188.1763698105812</v>
      </c>
      <c r="G50" s="6" t="n">
        <v>0.39729909324645996</v>
      </c>
      <c r="H50" s="6" t="n">
        <v>4.326149130821228</v>
      </c>
      <c r="I50" s="6" t="n">
        <v>0.0</v>
      </c>
      <c r="J50" s="6">
        <f si="0" t="shared"/>
        <v>2397.9359811547561</v>
      </c>
      <c r="L50" s="12">
        <v>0.97916666666666663</v>
      </c>
      <c r="M50" s="9" t="n">
        <v>6485.701610565186</v>
      </c>
      <c r="N50" s="9" t="n">
        <v>1146.9281787872314</v>
      </c>
      <c r="O50" s="9" t="n">
        <v>0.0</v>
      </c>
      <c r="P50" s="9" t="n">
        <v>0.0</v>
      </c>
      <c r="Q50" s="9" t="n">
        <v>1050.276442527771</v>
      </c>
      <c r="R50" s="9" t="n">
        <v>105.11454582214355</v>
      </c>
      <c r="S50" s="9" t="n">
        <v>0.0</v>
      </c>
      <c r="T50" s="9" t="n">
        <v>0.0</v>
      </c>
      <c r="U50">
        <f si="1" t="shared"/>
        <v>3172.4772663116455</v>
      </c>
    </row>
    <row r="51" spans="1:21" x14ac:dyDescent="0.25">
      <c r="A51" s="12">
        <v>1</v>
      </c>
      <c r="B51" s="6" t="n">
        <v>4254.47074451704</v>
      </c>
      <c r="C51" s="6" t="n">
        <v>450.4148263957978</v>
      </c>
      <c r="D51" s="6" t="n">
        <v>11.60649073638916</v>
      </c>
      <c r="E51" s="6" t="n">
        <v>95.85598802652359</v>
      </c>
      <c r="F51" s="6" t="n">
        <v>131.04081079750063</v>
      </c>
      <c r="G51" s="6" t="n">
        <v>0.05649391651153565</v>
      </c>
      <c r="H51" s="6" t="n">
        <v>1.0109514541625977</v>
      </c>
      <c r="I51" s="6" t="n">
        <v>0.0</v>
      </c>
      <c r="J51" s="6">
        <f si="0" t="shared"/>
        <v>1619.3796134604893</v>
      </c>
      <c r="L51" s="12">
        <v>1</v>
      </c>
      <c r="M51" s="9" t="n">
        <v>4513.367621421814</v>
      </c>
      <c r="N51" s="9" t="n">
        <v>801.948582649231</v>
      </c>
      <c r="O51" s="9" t="n">
        <v>0.0</v>
      </c>
      <c r="P51" s="9" t="n">
        <v>0.0</v>
      </c>
      <c r="Q51" s="9" t="n">
        <v>750.8153715133667</v>
      </c>
      <c r="R51" s="9" t="n">
        <v>75.3745346069336</v>
      </c>
      <c r="S51" s="9" t="n">
        <v>0.0</v>
      </c>
      <c r="T51" s="9" t="n">
        <v>0.0</v>
      </c>
      <c r="U51">
        <f si="1" t="shared"/>
        <v>2230.6192989349365</v>
      </c>
    </row>
    <row r="52" spans="1:21" x14ac:dyDescent="0.25">
      <c r="A52" s="12">
        <v>1.0208333333333333</v>
      </c>
      <c r="B52" s="6" t="n">
        <v>2669.3688197722436</v>
      </c>
      <c r="C52" s="6" t="n">
        <v>257.2490826122284</v>
      </c>
      <c r="D52" s="6" t="n">
        <v>4.642471961975097</v>
      </c>
      <c r="E52" s="6" t="n">
        <v>47.750701473331446</v>
      </c>
      <c r="F52" s="6" t="n">
        <v>78.41189255542757</v>
      </c>
      <c r="G52" s="6" t="n">
        <v>0.005025639724731446</v>
      </c>
      <c r="H52" s="6" t="n">
        <v>0.16783401012420654</v>
      </c>
      <c r="I52" s="6" t="n">
        <v>0.0</v>
      </c>
      <c r="J52" s="6">
        <f si="0" t="shared"/>
        <v>949.14961939700993</v>
      </c>
      <c r="L52" s="12">
        <v>1.0208333333333333</v>
      </c>
      <c r="M52" s="9" t="n">
        <v>2755.1956367492676</v>
      </c>
      <c r="N52" s="9" t="n">
        <v>489.89882946014404</v>
      </c>
      <c r="O52" s="9" t="n">
        <v>0.0</v>
      </c>
      <c r="P52" s="9" t="n">
        <v>0.0</v>
      </c>
      <c r="Q52" s="9" t="n">
        <v>466.55966663360596</v>
      </c>
      <c r="R52" s="9" t="n">
        <v>46.908470153808594</v>
      </c>
      <c r="S52" s="9" t="n">
        <v>0.0</v>
      </c>
      <c r="T52" s="9" t="n">
        <v>0.0</v>
      </c>
      <c r="U52">
        <f si="1" t="shared"/>
        <v>1370.7515420913696</v>
      </c>
    </row>
    <row r="53" spans="1:21" x14ac:dyDescent="0.25">
      <c r="A53" s="12">
        <v>4.1666666666666664E-2</v>
      </c>
      <c r="B53" s="6" t="n">
        <v>1432.7613302523614</v>
      </c>
      <c r="C53" s="6" t="n">
        <v>125.9902056473732</v>
      </c>
      <c r="D53" s="6" t="n">
        <v>1.4507724881172182</v>
      </c>
      <c r="E53" s="6" t="n">
        <v>19.57326133651733</v>
      </c>
      <c r="F53" s="6" t="n">
        <v>39.68162314300538</v>
      </c>
      <c r="G53" s="6" t="n">
        <v>2.0961370468139647E-4</v>
      </c>
      <c r="H53" s="6" t="n">
        <v>0.01763705825805664</v>
      </c>
      <c r="I53" s="6" t="n">
        <v>0.0</v>
      </c>
      <c r="J53" s="6">
        <f si="0" t="shared"/>
        <v>473.0987049418593</v>
      </c>
      <c r="L53" s="12">
        <v>4.1666666666666664E-2</v>
      </c>
      <c r="M53" s="9" t="n">
        <v>1441.6994123458862</v>
      </c>
      <c r="N53" s="9" t="n">
        <v>255.9591188430786</v>
      </c>
      <c r="O53" s="9" t="n">
        <v>0.0</v>
      </c>
      <c r="P53" s="9" t="n">
        <v>0.0</v>
      </c>
      <c r="Q53" s="9" t="n">
        <v>247.08329486846924</v>
      </c>
      <c r="R53" s="9" t="n">
        <v>24.86856746673584</v>
      </c>
      <c r="S53" s="9" t="n">
        <v>0.0</v>
      </c>
      <c r="T53" s="9" t="n">
        <v>0.0</v>
      </c>
      <c r="U53">
        <f si="1" t="shared"/>
        <v>720.66645812988281</v>
      </c>
    </row>
    <row r="54" spans="1:21" x14ac:dyDescent="0.25">
      <c r="A54" s="12">
        <v>6.25E-2</v>
      </c>
      <c r="B54" s="6" t="n">
        <v>646.1703480064392</v>
      </c>
      <c r="C54" s="6" t="n">
        <v>51.54501446733474</v>
      </c>
      <c r="D54" s="6" t="n">
        <v>0.341358232498169</v>
      </c>
      <c r="E54" s="6" t="n">
        <v>6.44619468383789</v>
      </c>
      <c r="F54" s="6" t="n">
        <v>16.7301636713028</v>
      </c>
      <c r="G54" s="6" t="n">
        <v>0.0</v>
      </c>
      <c r="H54" s="6" t="n">
        <v>8.81852912902832E-4</v>
      </c>
      <c r="I54" s="6" t="n">
        <v>0.0</v>
      </c>
      <c r="J54" s="6">
        <f si="0" t="shared"/>
        <v>196.65425704231833</v>
      </c>
      <c r="L54" s="12">
        <v>6.25E-2</v>
      </c>
      <c r="M54" s="9" t="n">
        <v>632.826494216919</v>
      </c>
      <c r="N54" s="9" t="n">
        <v>112.04411506652832</v>
      </c>
      <c r="O54" s="9" t="n">
        <v>0.0</v>
      </c>
      <c r="P54" s="9" t="n">
        <v>0.0</v>
      </c>
      <c r="Q54" s="9" t="n">
        <v>109.34922885894775</v>
      </c>
      <c r="R54" s="9" t="n">
        <v>11.019864082336426</v>
      </c>
      <c r="S54" s="9" t="n">
        <v>0.0</v>
      </c>
      <c r="T54" s="9" t="n">
        <v>0.0</v>
      </c>
      <c r="U54">
        <f si="1" t="shared"/>
        <v>317.4533224105835</v>
      </c>
    </row>
    <row r="55" spans="1:21" x14ac:dyDescent="0.25">
      <c r="A55" s="12">
        <v>8.3333333333333329E-2</v>
      </c>
      <c r="B55" s="6" t="n">
        <v>240.15422689752577</v>
      </c>
      <c r="C55" s="6" t="n">
        <v>17.165897592258453</v>
      </c>
      <c r="D55" s="6" t="n">
        <v>0.05689303874969483</v>
      </c>
      <c r="E55" s="6" t="n">
        <v>1.6551156220436094</v>
      </c>
      <c r="F55" s="6" t="n">
        <v>5.7685013251304635</v>
      </c>
      <c r="G55" s="6" t="n">
        <v>0.0</v>
      </c>
      <c r="H55" s="6" t="n">
        <v>0.0</v>
      </c>
      <c r="I55" s="6" t="n">
        <v>0.0</v>
      </c>
      <c r="J55" s="6">
        <f si="0" t="shared"/>
        <v>66.691124948143965</v>
      </c>
      <c r="L55" s="12">
        <v>8.3333333333333329E-2</v>
      </c>
      <c r="M55" s="9" t="n">
        <v>227.59144687652588</v>
      </c>
      <c r="N55" s="9" t="n">
        <v>40.15848731994629</v>
      </c>
      <c r="O55" s="9" t="n">
        <v>0.0</v>
      </c>
      <c r="P55" s="9" t="n">
        <v>0.0</v>
      </c>
      <c r="Q55" s="9" t="n">
        <v>39.547120094299316</v>
      </c>
      <c r="R55" s="9" t="n">
        <v>3.9925355911254883</v>
      </c>
      <c r="S55" s="9" t="n">
        <v>0.0</v>
      </c>
      <c r="T55" s="9" t="n">
        <v>0.0</v>
      </c>
      <c r="U55">
        <f si="1" t="shared"/>
        <v>114.47055435180664</v>
      </c>
    </row>
    <row r="56" spans="1:21" x14ac:dyDescent="0.25">
      <c r="A56" s="12">
        <v>0.10416666666666667</v>
      </c>
      <c r="B56" s="6" t="n">
        <v>71.78693183193207</v>
      </c>
      <c r="C56" s="6" t="n">
        <v>4.514075340747833</v>
      </c>
      <c r="D56" s="6" t="n">
        <v>0.005988740921020508</v>
      </c>
      <c r="E56" s="6" t="n">
        <v>0.3175021068572998</v>
      </c>
      <c r="F56" s="6" t="n">
        <v>1.5847204675674442</v>
      </c>
      <c r="G56" s="6" t="n">
        <v>0.0</v>
      </c>
      <c r="H56" s="6" t="n">
        <v>0.0</v>
      </c>
      <c r="I56" s="6" t="n">
        <v>0.0</v>
      </c>
      <c r="J56" s="6">
        <f si="0" t="shared"/>
        <v>17.93956596390343</v>
      </c>
      <c r="L56" s="12">
        <v>0.10416666666666667</v>
      </c>
      <c r="M56" s="9" t="n">
        <v>65.11232566833496</v>
      </c>
      <c r="N56" s="9" t="n">
        <v>11.446029663085938</v>
      </c>
      <c r="O56" s="9" t="n">
        <v>0.0</v>
      </c>
      <c r="P56" s="9" t="n">
        <v>0.0</v>
      </c>
      <c r="Q56" s="9" t="n">
        <v>11.35657024383545</v>
      </c>
      <c r="R56" s="9" t="n">
        <v>1.149247169494629</v>
      </c>
      <c r="S56" s="9" t="n">
        <v>0.0</v>
      </c>
      <c r="T56" s="9" t="n">
        <v>0.0</v>
      </c>
      <c r="U56">
        <f si="1" t="shared"/>
        <v>32.810803413391113</v>
      </c>
    </row>
    <row r="57" spans="1:21" x14ac:dyDescent="0.25">
      <c r="A57" s="12">
        <v>0.125</v>
      </c>
      <c r="B57" s="6" t="n">
        <v>16.379807059955596</v>
      </c>
      <c r="C57" s="6" t="n">
        <v>0.8883345136642455</v>
      </c>
      <c r="D57" s="6" t="n">
        <v>2.994370460510254E-4</v>
      </c>
      <c r="E57" s="6" t="n">
        <v>0.04241513290405273</v>
      </c>
      <c r="F57" s="6" t="n">
        <v>0.3288843937873841</v>
      </c>
      <c r="G57" s="6" t="n">
        <v>0.0</v>
      </c>
      <c r="H57" s="6" t="n">
        <v>0.0</v>
      </c>
      <c r="I57" s="6" t="n">
        <v>0.0</v>
      </c>
      <c r="J57" s="6">
        <f si="0" t="shared"/>
        <v>3.6287878308477404</v>
      </c>
      <c r="L57" s="12">
        <v>0.125</v>
      </c>
      <c r="M57" s="9" t="n">
        <v>14.0082368850708</v>
      </c>
      <c r="N57" s="9" t="n">
        <v>2.453230857849121</v>
      </c>
      <c r="O57" s="9" t="n">
        <v>0.0</v>
      </c>
      <c r="P57" s="9" t="n">
        <v>0.0</v>
      </c>
      <c r="Q57" s="9" t="n">
        <v>2.4490785598754883</v>
      </c>
      <c r="R57" s="9" t="n">
        <v>0.24854373931884766</v>
      </c>
      <c r="S57" s="9" t="n">
        <v>0.0</v>
      </c>
      <c r="T57" s="9" t="n">
        <v>0.0</v>
      </c>
      <c r="U57">
        <f si="1" t="shared"/>
        <v>7.0676069259643555</v>
      </c>
    </row>
    <row ht="15.75" r="58" spans="1:21" thickBot="1" x14ac:dyDescent="0.3">
      <c r="A58" s="13" t="s">
        <v>6</v>
      </c>
      <c r="B58" s="7" t="n">
        <v>0.0</v>
      </c>
      <c r="C58" s="7" t="n">
        <v>0.0</v>
      </c>
      <c r="D58" s="7" t="n">
        <v>0.0</v>
      </c>
      <c r="E58" s="7" t="n">
        <v>0.0</v>
      </c>
      <c r="F58" s="7" t="n">
        <v>0.0</v>
      </c>
      <c r="G58" s="7" t="n">
        <v>0.0</v>
      </c>
      <c r="H58" s="7" t="n">
        <v>0.0</v>
      </c>
      <c r="I58" s="7" t="n">
        <v>0.0</v>
      </c>
      <c r="J58" s="7">
        <f si="0" t="shared"/>
        <v>0</v>
      </c>
      <c r="L58" s="13" t="s">
        <v>6</v>
      </c>
      <c r="M58" s="10" t="n">
        <v>0.0</v>
      </c>
      <c r="N58" s="10" t="n">
        <v>0.0</v>
      </c>
      <c r="O58" s="10" t="n">
        <v>0.0</v>
      </c>
      <c r="P58" s="10" t="n">
        <v>0.0</v>
      </c>
      <c r="Q58" s="10" t="n">
        <v>0.0</v>
      </c>
      <c r="R58" s="10" t="n">
        <v>0.0</v>
      </c>
      <c r="S58" s="10" t="n">
        <v>0.0</v>
      </c>
      <c r="T58" s="10" t="n">
        <v>0.0</v>
      </c>
      <c r="U58" s="1">
        <f si="1" t="shared"/>
        <v>0</v>
      </c>
    </row>
  </sheetData>
  <pageMargins bottom="0.75" footer="0.3" header="0.3" left="0.7" right="0.7" top="0.75"/>
  <drawing r:id="rId1"/>
</worksheet>
</file>

<file path=xl/worksheets/sheet9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Z58"/>
  <sheetViews>
    <sheetView topLeftCell="E1" workbookViewId="0">
      <selection activeCell="M30" sqref="M30"/>
    </sheetView>
  </sheetViews>
  <sheetFormatPr defaultRowHeight="15" x14ac:dyDescent="0.25"/>
  <cols>
    <col min="1" max="1" customWidth="true" width="12.7109375" collapsed="true"/>
    <col min="2" max="10" customWidth="true" width="10.7109375" collapsed="true"/>
    <col min="11" max="11" customWidth="true" width="6.42578125" collapsed="true"/>
    <col min="12" max="12" customWidth="true" width="12.7109375" collapsed="true"/>
    <col min="13" max="21" customWidth="true" width="10.7109375" collapsed="true"/>
  </cols>
  <sheetData>
    <row r="1" spans="1:26" x14ac:dyDescent="0.25">
      <c r="A1" t="s">
        <v>40</v>
      </c>
    </row>
    <row r="2" spans="1:26" x14ac:dyDescent="0.25">
      <c r="A2" t="s">
        <v>46</v>
      </c>
    </row>
    <row r="3" spans="1:26" x14ac:dyDescent="0.25">
      <c r="A3" t="s">
        <v>7</v>
      </c>
    </row>
    <row r="4" spans="1:26" x14ac:dyDescent="0.25">
      <c r="A4" t="s">
        <v>8</v>
      </c>
    </row>
    <row r="5" spans="1:26" x14ac:dyDescent="0.25">
      <c r="W5" s="5"/>
      <c r="X5" s="5"/>
      <c r="Y5" s="5"/>
      <c r="Z5" s="5"/>
    </row>
    <row ht="15.75" r="6" spans="1:26" thickBot="1" x14ac:dyDescent="0.3">
      <c r="A6" s="3" t="s">
        <v>56</v>
      </c>
      <c r="B6" s="1"/>
      <c r="C6" s="1"/>
      <c r="D6" s="1"/>
      <c r="E6" s="1"/>
      <c r="F6" s="1"/>
      <c r="G6" s="1"/>
      <c r="H6" s="1"/>
      <c r="I6" s="1"/>
      <c r="J6" s="1"/>
      <c r="L6" s="3" t="s">
        <v>41</v>
      </c>
      <c r="M6" s="1"/>
      <c r="N6" s="1"/>
      <c r="O6" s="1"/>
      <c r="P6" s="1"/>
      <c r="Q6" s="1"/>
      <c r="R6" s="1"/>
      <c r="S6" s="1"/>
      <c r="T6" s="1"/>
      <c r="U6" s="1"/>
      <c r="W6" s="11"/>
      <c r="X6" s="5"/>
      <c r="Y6" s="5"/>
      <c r="Z6" s="5"/>
    </row>
    <row r="7" spans="1:26" x14ac:dyDescent="0.25">
      <c r="A7" s="2" t="s">
        <v>4</v>
      </c>
      <c r="B7" s="4" t="s">
        <v>17</v>
      </c>
      <c r="C7" s="4" t="s">
        <v>18</v>
      </c>
      <c r="D7" s="4" t="s">
        <v>19</v>
      </c>
      <c r="E7" s="4" t="s">
        <v>20</v>
      </c>
      <c r="F7" s="4" t="s">
        <v>21</v>
      </c>
      <c r="G7" s="4" t="s">
        <v>24</v>
      </c>
      <c r="H7" s="4" t="s">
        <v>22</v>
      </c>
      <c r="I7" s="4" t="s">
        <v>23</v>
      </c>
      <c r="J7" s="4" t="s">
        <v>0</v>
      </c>
      <c r="L7" s="2" t="s">
        <v>4</v>
      </c>
      <c r="M7" s="4" t="s">
        <v>17</v>
      </c>
      <c r="N7" s="4" t="s">
        <v>18</v>
      </c>
      <c r="O7" s="4" t="s">
        <v>19</v>
      </c>
      <c r="P7" s="4" t="s">
        <v>20</v>
      </c>
      <c r="Q7" s="4" t="s">
        <v>21</v>
      </c>
      <c r="R7" s="4" t="s">
        <v>24</v>
      </c>
      <c r="S7" s="4" t="s">
        <v>22</v>
      </c>
      <c r="T7" s="4" t="s">
        <v>23</v>
      </c>
      <c r="U7" s="4" t="s">
        <v>0</v>
      </c>
      <c r="W7" s="5"/>
      <c r="X7" s="14"/>
      <c r="Y7" s="14"/>
      <c r="Z7" s="5"/>
    </row>
    <row r="8" spans="1:26" x14ac:dyDescent="0.25">
      <c r="A8" t="s">
        <v>5</v>
      </c>
      <c r="B8" s="6" t="n">
        <v>0.0</v>
      </c>
      <c r="C8" s="6" t="n">
        <v>0.0</v>
      </c>
      <c r="D8" s="6" t="n">
        <v>0.0</v>
      </c>
      <c r="E8" s="6" t="n">
        <v>0.0</v>
      </c>
      <c r="F8" s="6" t="n">
        <v>0.0</v>
      </c>
      <c r="G8" s="6" t="n">
        <v>0.0</v>
      </c>
      <c r="H8" s="6" t="n">
        <v>0.0</v>
      </c>
      <c r="I8" s="6" t="n">
        <v>0.0</v>
      </c>
      <c r="J8" s="6">
        <f>SUM(B8:I8)</f>
        <v>0</v>
      </c>
      <c r="L8" t="s">
        <v>5</v>
      </c>
      <c r="M8" s="9" t="n">
        <v>6.0</v>
      </c>
      <c r="N8" s="9" t="n">
        <v>0.0</v>
      </c>
      <c r="O8" s="9" t="n">
        <v>0.0</v>
      </c>
      <c r="P8" s="9" t="n">
        <v>0.0</v>
      </c>
      <c r="Q8" s="9" t="n">
        <v>7.0</v>
      </c>
      <c r="R8" s="9" t="n">
        <v>0.0</v>
      </c>
      <c r="S8" s="9" t="n">
        <v>0.0</v>
      </c>
      <c r="T8" s="9" t="n">
        <v>0.0</v>
      </c>
      <c r="U8">
        <f>SUM(M8:T8)</f>
        <v>15</v>
      </c>
      <c r="W8" s="5"/>
      <c r="X8" s="16"/>
      <c r="Y8" s="16"/>
      <c r="Z8" s="5"/>
    </row>
    <row r="9" spans="1:26" x14ac:dyDescent="0.25">
      <c r="A9" s="12">
        <v>0.125</v>
      </c>
      <c r="B9" s="6" t="n">
        <v>0.0</v>
      </c>
      <c r="C9" s="6" t="n">
        <v>0.0</v>
      </c>
      <c r="D9" s="6" t="n">
        <v>0.0</v>
      </c>
      <c r="E9" s="6" t="n">
        <v>0.0</v>
      </c>
      <c r="F9" s="6" t="n">
        <v>3.1040471858978265</v>
      </c>
      <c r="G9" s="6" t="n">
        <v>0.0</v>
      </c>
      <c r="H9" s="6" t="n">
        <v>0.0</v>
      </c>
      <c r="I9" s="6" t="n">
        <v>0.0</v>
      </c>
      <c r="J9" s="6">
        <f ref="J9:J58" si="0" t="shared">SUM(B9:I9)</f>
        <v>1.0310532070159913E-2</v>
      </c>
      <c r="L9" s="12">
        <v>0.125</v>
      </c>
      <c r="M9" s="9" t="n">
        <v>7.711113929748535</v>
      </c>
      <c r="N9" s="9" t="n">
        <v>0.0</v>
      </c>
      <c r="O9" s="9" t="n">
        <v>0.0</v>
      </c>
      <c r="P9" s="9" t="n">
        <v>0.0</v>
      </c>
      <c r="Q9" s="9" t="n">
        <v>14.312463760375977</v>
      </c>
      <c r="R9" s="9" t="n">
        <v>1.373861312866211</v>
      </c>
      <c r="S9" s="9" t="n">
        <v>1.868408203125</v>
      </c>
      <c r="T9" s="9" t="n">
        <v>0.0</v>
      </c>
      <c r="U9">
        <f ref="U9:U58" si="1" t="shared">SUM(M9:T9)</f>
        <v>10.086235046386719</v>
      </c>
      <c r="W9" s="5"/>
      <c r="X9" s="16"/>
      <c r="Y9" s="16"/>
      <c r="Z9" s="5"/>
    </row>
    <row r="10" spans="1:26" x14ac:dyDescent="0.25">
      <c r="A10" s="12">
        <v>0.14583333333333334</v>
      </c>
      <c r="B10" s="6" t="n">
        <v>0.0</v>
      </c>
      <c r="C10" s="6" t="n">
        <v>5.3261470794677735E-5</v>
      </c>
      <c r="D10" s="6" t="n">
        <v>0.0</v>
      </c>
      <c r="E10" s="6" t="n">
        <v>0.0</v>
      </c>
      <c r="F10" s="6" t="n">
        <v>5.266333127021789</v>
      </c>
      <c r="G10" s="6" t="n">
        <v>0.0</v>
      </c>
      <c r="H10" s="6" t="n">
        <v>6.285470008850099E-4</v>
      </c>
      <c r="I10" s="6" t="n">
        <v>0.0</v>
      </c>
      <c r="J10" s="6">
        <f si="0" t="shared"/>
        <v>6.7637733002662667E-2</v>
      </c>
      <c r="L10" s="12">
        <v>0.14583333333333334</v>
      </c>
      <c r="M10" s="9" t="n">
        <v>8.155609130859375</v>
      </c>
      <c r="N10" s="9" t="n">
        <v>0.0</v>
      </c>
      <c r="O10" s="9" t="n">
        <v>0.0</v>
      </c>
      <c r="P10" s="9" t="n">
        <v>0.0</v>
      </c>
      <c r="Q10" s="9" t="n">
        <v>18.04127311706543</v>
      </c>
      <c r="R10" s="9" t="n">
        <v>2.881831169128418</v>
      </c>
      <c r="S10" s="9" t="n">
        <v>3.819211959838867</v>
      </c>
      <c r="T10" s="9" t="n">
        <v>0.0</v>
      </c>
      <c r="U10">
        <f si="1" t="shared"/>
        <v>6.5967073440551758</v>
      </c>
      <c r="W10" s="5"/>
      <c r="X10" s="16"/>
      <c r="Y10" s="16"/>
      <c r="Z10" s="5"/>
    </row>
    <row r="11" spans="1:26" x14ac:dyDescent="0.25">
      <c r="A11" s="12">
        <v>0.16666666666666666</v>
      </c>
      <c r="B11" s="6" t="n">
        <v>0.0</v>
      </c>
      <c r="C11" s="6" t="n">
        <v>0.0010652294158935546</v>
      </c>
      <c r="D11" s="6" t="n">
        <v>0.0</v>
      </c>
      <c r="E11" s="6" t="n">
        <v>1.3406600952148436E-4</v>
      </c>
      <c r="F11" s="6" t="n">
        <v>6.038562603950499</v>
      </c>
      <c r="G11" s="6" t="n">
        <v>5.956974029541016E-4</v>
      </c>
      <c r="H11" s="6" t="n">
        <v>0.013108747577667241</v>
      </c>
      <c r="I11" s="6" t="n">
        <v>0.0</v>
      </c>
      <c r="J11" s="6">
        <f si="0" t="shared"/>
        <v>0.33131189449501036</v>
      </c>
      <c r="L11" s="12">
        <v>0.16666666666666666</v>
      </c>
      <c r="M11" s="9" t="n">
        <v>7.326451301574707</v>
      </c>
      <c r="N11" s="9" t="n">
        <v>0.0</v>
      </c>
      <c r="O11" s="9" t="n">
        <v>0.0</v>
      </c>
      <c r="P11" s="9" t="n">
        <v>0.0</v>
      </c>
      <c r="Q11" s="9" t="n">
        <v>18.379117965698242</v>
      </c>
      <c r="R11" s="9" t="n">
        <v>6.282402992248535</v>
      </c>
      <c r="S11" s="9" t="n">
        <v>8.408243179321289</v>
      </c>
      <c r="T11" s="9" t="n">
        <v>0.0</v>
      </c>
      <c r="U11">
        <f si="1" t="shared"/>
        <v>6.737004280090332</v>
      </c>
      <c r="W11" s="5"/>
      <c r="X11" s="16"/>
      <c r="Y11" s="16"/>
      <c r="Z11" s="5"/>
    </row>
    <row r="12" spans="1:26" x14ac:dyDescent="0.25">
      <c r="A12" s="12">
        <v>0.1875</v>
      </c>
      <c r="B12" s="6" t="n">
        <v>0.0</v>
      </c>
      <c r="C12" s="6" t="n">
        <v>0.012025425815582276</v>
      </c>
      <c r="D12" s="6" t="n">
        <v>0.0</v>
      </c>
      <c r="E12" s="6" t="n">
        <v>0.003479144573211669</v>
      </c>
      <c r="F12" s="6" t="n">
        <v>5.59921855506897</v>
      </c>
      <c r="G12" s="6" t="n">
        <v>0.012822583103179932</v>
      </c>
      <c r="H12" s="6" t="n">
        <v>0.1301800813674927</v>
      </c>
      <c r="I12" s="6" t="n">
        <v>0.0</v>
      </c>
      <c r="J12" s="6">
        <f si="0" t="shared"/>
        <v>1.2999516731452943</v>
      </c>
      <c r="L12" s="12">
        <v>0.1875</v>
      </c>
      <c r="M12" s="9" t="n">
        <v>6.781039237976074</v>
      </c>
      <c r="N12" s="9" t="n">
        <v>0.0</v>
      </c>
      <c r="O12" s="9" t="n">
        <v>0.0</v>
      </c>
      <c r="P12" s="9" t="n">
        <v>0.0</v>
      </c>
      <c r="Q12" s="9" t="n">
        <v>20.67714786529541</v>
      </c>
      <c r="R12" s="9" t="n">
        <v>16.501943588256836</v>
      </c>
      <c r="S12" s="9" t="n">
        <v>23.749317169189453</v>
      </c>
      <c r="T12" s="9" t="n">
        <v>0.0</v>
      </c>
      <c r="U12">
        <f si="1" t="shared"/>
        <v>14.917914390563965</v>
      </c>
      <c r="W12" s="5"/>
      <c r="X12" s="5"/>
      <c r="Y12" s="5"/>
      <c r="Z12" s="5"/>
    </row>
    <row r="13" spans="1:26" x14ac:dyDescent="0.25">
      <c r="A13" s="12">
        <v>0.20833333333333334</v>
      </c>
      <c r="B13" s="6" t="n">
        <v>0.0</v>
      </c>
      <c r="C13" s="6" t="n">
        <v>0.09901856298446654</v>
      </c>
      <c r="D13" s="6" t="n">
        <v>0.0</v>
      </c>
      <c r="E13" s="6" t="n">
        <v>0.04225528345108031</v>
      </c>
      <c r="F13" s="6" t="n">
        <v>4.64777067861557</v>
      </c>
      <c r="G13" s="6" t="n">
        <v>0.1313552074432373</v>
      </c>
      <c r="H13" s="6" t="n">
        <v>0.8187270174026491</v>
      </c>
      <c r="I13" s="6" t="n">
        <v>0.0</v>
      </c>
      <c r="J13" s="6">
        <f si="0" t="shared"/>
        <v>4.2302324814434051</v>
      </c>
      <c r="L13" s="12">
        <v>0.20833333333333334</v>
      </c>
      <c r="M13" s="9" t="n">
        <v>9.035940170288086</v>
      </c>
      <c r="N13" s="9" t="n">
        <v>0.0</v>
      </c>
      <c r="O13" s="9" t="n">
        <v>0.0</v>
      </c>
      <c r="P13" s="9" t="n">
        <v>0.0</v>
      </c>
      <c r="Q13" s="9" t="n">
        <v>34.462782859802246</v>
      </c>
      <c r="R13" s="9" t="n">
        <v>42.1883430480957</v>
      </c>
      <c r="S13" s="9" t="n">
        <v>66.72679615020752</v>
      </c>
      <c r="T13" s="9" t="n">
        <v>0.0</v>
      </c>
      <c r="U13">
        <f si="1" t="shared"/>
        <v>39.013795852661133</v>
      </c>
    </row>
    <row r="14" spans="1:26" x14ac:dyDescent="0.25">
      <c r="A14" s="12">
        <v>0.22916666666666666</v>
      </c>
      <c r="B14" s="6" t="n">
        <v>1.5631036758422852E-4</v>
      </c>
      <c r="C14" s="6" t="n">
        <v>0.62489331035614</v>
      </c>
      <c r="D14" s="6" t="n">
        <v>0.0</v>
      </c>
      <c r="E14" s="6" t="n">
        <v>0.32143282842636106</v>
      </c>
      <c r="F14" s="6" t="n">
        <v>4.7626475399971016</v>
      </c>
      <c r="G14" s="6" t="n">
        <v>0.8517356977462769</v>
      </c>
      <c r="H14" s="6" t="n">
        <v>3.660698105525971</v>
      </c>
      <c r="I14" s="6" t="n">
        <v>0.0</v>
      </c>
      <c r="J14" s="6">
        <f si="0" t="shared"/>
        <v>11.625277187808992</v>
      </c>
      <c r="L14" s="12">
        <v>0.22916666666666666</v>
      </c>
      <c r="M14" s="9" t="n">
        <v>16.690505027770996</v>
      </c>
      <c r="N14" s="9" t="n">
        <v>0.0</v>
      </c>
      <c r="O14" s="9" t="n">
        <v>0.0</v>
      </c>
      <c r="P14" s="9" t="n">
        <v>0.0</v>
      </c>
      <c r="Q14" s="9" t="n">
        <v>71.30840396881104</v>
      </c>
      <c r="R14" s="9" t="n">
        <v>93.45973491668701</v>
      </c>
      <c r="S14" s="9" t="n">
        <v>163.6333999633789</v>
      </c>
      <c r="T14" s="9" t="n">
        <v>0.0</v>
      </c>
      <c r="U14">
        <f si="1" t="shared"/>
        <v>89.100495338439941</v>
      </c>
    </row>
    <row r="15" spans="1:26" x14ac:dyDescent="0.25">
      <c r="A15" s="12">
        <v>0.25</v>
      </c>
      <c r="B15" s="6" t="n">
        <v>0.0031262073516845697</v>
      </c>
      <c r="C15" s="6" t="n">
        <v>3.054819265651702</v>
      </c>
      <c r="D15" s="6" t="n">
        <v>0.0</v>
      </c>
      <c r="E15" s="6" t="n">
        <v>1.7283667605400086</v>
      </c>
      <c r="F15" s="6" t="n">
        <v>10.494924405860901</v>
      </c>
      <c r="G15" s="6" t="n">
        <v>3.9225094835281373</v>
      </c>
      <c r="H15" s="6" t="n">
        <v>12.400179541873934</v>
      </c>
      <c r="I15" s="6" t="n">
        <v>0.0</v>
      </c>
      <c r="J15" s="6">
        <f si="0" t="shared"/>
        <v>27.27581544764805</v>
      </c>
      <c r="L15" s="12">
        <v>0.25</v>
      </c>
      <c r="M15" s="9" t="n">
        <v>31.596961975097656</v>
      </c>
      <c r="N15" s="9" t="n">
        <v>0.0</v>
      </c>
      <c r="O15" s="9" t="n">
        <v>0.0</v>
      </c>
      <c r="P15" s="9" t="n">
        <v>0.0</v>
      </c>
      <c r="Q15" s="9" t="n">
        <v>141.73843002319336</v>
      </c>
      <c r="R15" s="9" t="n">
        <v>176.12754344940186</v>
      </c>
      <c r="S15" s="9" t="n">
        <v>344.67095375061035</v>
      </c>
      <c r="T15" s="9" t="n">
        <v>0.0</v>
      </c>
      <c r="U15">
        <f si="1" t="shared"/>
        <v>172.25506496429443</v>
      </c>
    </row>
    <row r="16" spans="1:26" x14ac:dyDescent="0.25">
      <c r="A16" s="12">
        <v>0.27083333333333331</v>
      </c>
      <c r="B16" s="6" t="n">
        <v>0.029931696605682373</v>
      </c>
      <c r="C16" s="6" t="n">
        <v>11.71928854589462</v>
      </c>
      <c r="D16" s="6" t="n">
        <v>0.0</v>
      </c>
      <c r="E16" s="6" t="n">
        <v>7.03227547044754</v>
      </c>
      <c r="F16" s="6" t="n">
        <v>34.50637858943939</v>
      </c>
      <c r="G16" s="6" t="n">
        <v>13.648997086429596</v>
      </c>
      <c r="H16" s="6" t="n">
        <v>33.217044653701784</v>
      </c>
      <c r="I16" s="6" t="n">
        <v>0.0</v>
      </c>
      <c r="J16" s="6">
        <f si="0" t="shared"/>
        <v>55.21846807954789</v>
      </c>
      <c r="L16" s="12">
        <v>0.27083333333333331</v>
      </c>
      <c r="M16" s="9" t="n">
        <v>54.14425754547119</v>
      </c>
      <c r="N16" s="9" t="n">
        <v>0.0</v>
      </c>
      <c r="O16" s="9" t="n">
        <v>0.0</v>
      </c>
      <c r="P16" s="9" t="n">
        <v>0.0</v>
      </c>
      <c r="Q16" s="9" t="n">
        <v>251.28532218933105</v>
      </c>
      <c r="R16" s="9" t="n">
        <v>285.67617893218994</v>
      </c>
      <c r="S16" s="9" t="n">
        <v>632.8625087738037</v>
      </c>
      <c r="T16" s="9" t="n">
        <v>0.0</v>
      </c>
      <c r="U16">
        <f si="1" t="shared"/>
        <v>286.68717956542969</v>
      </c>
    </row>
    <row r="17" spans="1:21" x14ac:dyDescent="0.25">
      <c r="A17" s="12">
        <v>0.29166666666666669</v>
      </c>
      <c r="B17" s="6" t="n">
        <v>0.18306187057495119</v>
      </c>
      <c r="C17" s="6" t="n">
        <v>35.912375983333575</v>
      </c>
      <c r="D17" s="6" t="n">
        <v>3.56658935546875E-4</v>
      </c>
      <c r="E17" s="6" t="n">
        <v>22.6604187666893</v>
      </c>
      <c r="F17" s="6" t="n">
        <v>104.32447645378114</v>
      </c>
      <c r="G17" s="6" t="n">
        <v>37.289503863620766</v>
      </c>
      <c r="H17" s="6" t="n">
        <v>73.02862221498489</v>
      </c>
      <c r="I17" s="6" t="n">
        <v>0.0</v>
      </c>
      <c r="J17" s="6">
        <f si="0" t="shared"/>
        <v>97.921807193289752</v>
      </c>
      <c r="L17" s="12">
        <v>0.29166666666666669</v>
      </c>
      <c r="M17" s="9" t="n">
        <v>83.0724229812622</v>
      </c>
      <c r="N17" s="9" t="n">
        <v>0.0</v>
      </c>
      <c r="O17" s="9" t="n">
        <v>0.0</v>
      </c>
      <c r="P17" s="9" t="n">
        <v>0.0</v>
      </c>
      <c r="Q17" s="9" t="n">
        <v>397.9545907974243</v>
      </c>
      <c r="R17" s="9" t="n">
        <v>407.35695457458496</v>
      </c>
      <c r="S17" s="9" t="n">
        <v>1035.2525901794434</v>
      </c>
      <c r="T17" s="9" t="n">
        <v>0.0</v>
      </c>
      <c r="U17">
        <f si="1" t="shared"/>
        <v>423.16224479675293</v>
      </c>
    </row>
    <row r="18" spans="1:21" x14ac:dyDescent="0.25">
      <c r="A18" s="12">
        <v>0.3125</v>
      </c>
      <c r="B18" s="6" t="n">
        <v>0.8059494156837463</v>
      </c>
      <c r="C18" s="6" t="n">
        <v>89.63496393308638</v>
      </c>
      <c r="D18" s="6" t="n">
        <v>0.007133178710937499</v>
      </c>
      <c r="E18" s="6" t="n">
        <v>59.87907756032944</v>
      </c>
      <c r="F18" s="6" t="n">
        <v>262.54247055139547</v>
      </c>
      <c r="G18" s="6" t="n">
        <v>82.13967431917192</v>
      </c>
      <c r="H18" s="6" t="n">
        <v>137.58430581731798</v>
      </c>
      <c r="I18" s="6" t="n">
        <v>0.0</v>
      </c>
      <c r="J18" s="6">
        <f si="0" t="shared"/>
        <v>155.66668915422247</v>
      </c>
      <c r="L18" s="12">
        <v>0.3125</v>
      </c>
      <c r="M18" s="9" t="n">
        <v>116.29677391052246</v>
      </c>
      <c r="N18" s="9" t="n">
        <v>0.0</v>
      </c>
      <c r="O18" s="9" t="n">
        <v>0.0</v>
      </c>
      <c r="P18" s="9" t="n">
        <v>0.0</v>
      </c>
      <c r="Q18" s="9" t="n">
        <v>574.1078510284424</v>
      </c>
      <c r="R18" s="9" t="n">
        <v>525.2715711593628</v>
      </c>
      <c r="S18" s="9" t="n">
        <v>1545.8286151885986</v>
      </c>
      <c r="T18" s="9" t="n">
        <v>0.0</v>
      </c>
      <c r="U18">
        <f si="1" t="shared"/>
        <v>578.94400691986084</v>
      </c>
    </row>
    <row r="19" spans="1:21" x14ac:dyDescent="0.25">
      <c r="A19" s="12">
        <v>0.33333333333333331</v>
      </c>
      <c r="B19" s="6" t="n">
        <v>2.732404162502289</v>
      </c>
      <c r="C19" s="6" t="n">
        <v>185.96816043834684</v>
      </c>
      <c r="D19" s="6" t="n">
        <v>0.06776519775390623</v>
      </c>
      <c r="E19" s="6" t="n">
        <v>133.62985375766755</v>
      </c>
      <c r="F19" s="6" t="n">
        <v>548.400900912571</v>
      </c>
      <c r="G19" s="6" t="n">
        <v>149.00274042167663</v>
      </c>
      <c r="H19" s="6" t="n">
        <v>235.46237697534562</v>
      </c>
      <c r="I19" s="6" t="n">
        <v>0.0</v>
      </c>
      <c r="J19" s="6">
        <f si="0" t="shared"/>
        <v>229.22816421946715</v>
      </c>
      <c r="L19" s="12">
        <v>0.33333333333333331</v>
      </c>
      <c r="M19" s="9" t="n">
        <v>152.33406925201416</v>
      </c>
      <c r="N19" s="9" t="n">
        <v>0.0</v>
      </c>
      <c r="O19" s="9" t="n">
        <v>0.0</v>
      </c>
      <c r="P19" s="9" t="n">
        <v>0.0</v>
      </c>
      <c r="Q19" s="9" t="n">
        <v>772.1256446838379</v>
      </c>
      <c r="R19" s="9" t="n">
        <v>634.4824924468994</v>
      </c>
      <c r="S19" s="9" t="n">
        <v>2159.268130302429</v>
      </c>
      <c r="T19" s="9" t="n">
        <v>0.0</v>
      </c>
      <c r="U19">
        <f si="1" t="shared"/>
        <v>777.02882194519043</v>
      </c>
    </row>
    <row r="20" spans="1:21" x14ac:dyDescent="0.25">
      <c r="A20" s="12">
        <v>0.35416666666666669</v>
      </c>
      <c r="B20" s="6" t="n">
        <v>7.462564375400543</v>
      </c>
      <c r="C20" s="6" t="n">
        <v>327.88269949760434</v>
      </c>
      <c r="D20" s="6" t="n">
        <v>0.40659118652343745</v>
      </c>
      <c r="E20" s="6" t="n">
        <v>258.52848039503095</v>
      </c>
      <c r="F20" s="6" t="n">
        <v>960.9565252378466</v>
      </c>
      <c r="G20" s="6" t="n">
        <v>227.42472395505905</v>
      </c>
      <c r="H20" s="6" t="n">
        <v>391.3871826325417</v>
      </c>
      <c r="I20" s="6" t="n">
        <v>0.0</v>
      </c>
      <c r="J20" s="6">
        <f si="0" t="shared"/>
        <v>325.17993899565789</v>
      </c>
      <c r="L20" s="12">
        <v>0.35416666666666669</v>
      </c>
      <c r="M20" s="9" t="n">
        <v>191.02802085876465</v>
      </c>
      <c r="N20" s="9" t="n">
        <v>0.0</v>
      </c>
      <c r="O20" s="9" t="n">
        <v>0.0</v>
      </c>
      <c r="P20" s="9" t="n">
        <v>0.0</v>
      </c>
      <c r="Q20" s="9" t="n">
        <v>988.4741849899292</v>
      </c>
      <c r="R20" s="9" t="n">
        <v>745.4663372039795</v>
      </c>
      <c r="S20" s="9" t="n">
        <v>2880.9203128814697</v>
      </c>
      <c r="T20" s="9" t="n">
        <v>0.0</v>
      </c>
      <c r="U20">
        <f si="1" t="shared"/>
        <v>1071.6199903488159</v>
      </c>
    </row>
    <row r="21" spans="1:21" x14ac:dyDescent="0.25">
      <c r="A21" s="12">
        <v>0.375</v>
      </c>
      <c r="B21" s="6" t="n">
        <v>16.982119935798647</v>
      </c>
      <c r="C21" s="6" t="n">
        <v>503.8176712366104</v>
      </c>
      <c r="D21" s="6" t="n">
        <v>1.7280125427246091</v>
      </c>
      <c r="E21" s="6" t="n">
        <v>443.5385078334807</v>
      </c>
      <c r="F21" s="6" t="n">
        <v>1431.0497252874377</v>
      </c>
      <c r="G21" s="6" t="n">
        <v>300.82314511566165</v>
      </c>
      <c r="H21" s="6" t="n">
        <v>657.6545472540856</v>
      </c>
      <c r="I21" s="6" t="n">
        <v>0.0</v>
      </c>
      <c r="J21" s="6">
        <f si="0" t="shared"/>
        <v>459.66433822348881</v>
      </c>
      <c r="L21" s="12">
        <v>0.375</v>
      </c>
      <c r="M21" s="9" t="n">
        <v>232.7371826171875</v>
      </c>
      <c r="N21" s="9" t="n">
        <v>0.0</v>
      </c>
      <c r="O21" s="9" t="n">
        <v>0.0</v>
      </c>
      <c r="P21" s="9" t="n">
        <v>0.0</v>
      </c>
      <c r="Q21" s="9" t="n">
        <v>1221.3727235794067</v>
      </c>
      <c r="R21" s="9" t="n">
        <v>876.33860206604</v>
      </c>
      <c r="S21" s="9" t="n">
        <v>3719.019914627075</v>
      </c>
      <c r="T21" s="9" t="n">
        <v>0.0</v>
      </c>
      <c r="U21">
        <f si="1" t="shared"/>
        <v>1526.3598499298096</v>
      </c>
    </row>
    <row r="22" spans="1:21" x14ac:dyDescent="0.25">
      <c r="A22" s="12">
        <v>0.39583333333333331</v>
      </c>
      <c r="B22" s="6" t="n">
        <v>33.080975211811065</v>
      </c>
      <c r="C22" s="6" t="n">
        <v>694.3090078025818</v>
      </c>
      <c r="D22" s="6" t="n">
        <v>5.52964013671875</v>
      </c>
      <c r="E22" s="6" t="n">
        <v>687.0401944746017</v>
      </c>
      <c r="F22" s="6" t="n">
        <v>1839.5129523013118</v>
      </c>
      <c r="G22" s="6" t="n">
        <v>362.1426902593613</v>
      </c>
      <c r="H22" s="6" t="n">
        <v>1100.4944055635453</v>
      </c>
      <c r="I22" s="6" t="n">
        <v>0.0</v>
      </c>
      <c r="J22" s="6">
        <f si="0" t="shared"/>
        <v>655.69796438986486</v>
      </c>
      <c r="L22" s="12">
        <v>0.39583333333333331</v>
      </c>
      <c r="M22" s="9" t="n">
        <v>276.76557064056396</v>
      </c>
      <c r="N22" s="9" t="n">
        <v>0.0</v>
      </c>
      <c r="O22" s="9" t="n">
        <v>0.0</v>
      </c>
      <c r="P22" s="9" t="n">
        <v>0.0</v>
      </c>
      <c r="Q22" s="9" t="n">
        <v>1464.0586280822754</v>
      </c>
      <c r="R22" s="9" t="n">
        <v>1039.7094230651855</v>
      </c>
      <c r="S22" s="9" t="n">
        <v>4664.385254859924</v>
      </c>
      <c r="T22" s="9" t="n">
        <v>0.0</v>
      </c>
      <c r="U22">
        <f si="1" t="shared"/>
        <v>2178.1797304153442</v>
      </c>
    </row>
    <row r="23" spans="1:21" x14ac:dyDescent="0.25">
      <c r="A23" s="12">
        <v>0.41666666666666669</v>
      </c>
      <c r="B23" s="6" t="n">
        <v>56.3779511469841</v>
      </c>
      <c r="C23" s="6" t="n">
        <v>883.8484413352967</v>
      </c>
      <c r="D23" s="6" t="n">
        <v>13.824100341796871</v>
      </c>
      <c r="E23" s="6" t="n">
        <v>973.8020949793814</v>
      </c>
      <c r="F23" s="6" t="n">
        <v>2083.4198142577175</v>
      </c>
      <c r="G23" s="6" t="n">
        <v>428.5704666754723</v>
      </c>
      <c r="H23" s="6" t="n">
        <v>1756.2187884220125</v>
      </c>
      <c r="I23" s="6" t="n">
        <v>0.0</v>
      </c>
      <c r="J23" s="6">
        <f si="0" t="shared"/>
        <v>932.4772197200441</v>
      </c>
      <c r="L23" s="12">
        <v>0.41666666666666669</v>
      </c>
      <c r="M23" s="9" t="n">
        <v>320.80315494537354</v>
      </c>
      <c r="N23" s="9" t="n">
        <v>0.0</v>
      </c>
      <c r="O23" s="9" t="n">
        <v>0.0</v>
      </c>
      <c r="P23" s="9" t="n">
        <v>0.0</v>
      </c>
      <c r="Q23" s="9" t="n">
        <v>1701.4072170257568</v>
      </c>
      <c r="R23" s="9" t="n">
        <v>1235.7499523162842</v>
      </c>
      <c r="S23" s="9" t="n">
        <v>5680.353491783142</v>
      </c>
      <c r="T23" s="9" t="n">
        <v>0.0</v>
      </c>
      <c r="U23">
        <f si="1" t="shared"/>
        <v>3023.7968139648437</v>
      </c>
    </row>
    <row r="24" spans="1:21" x14ac:dyDescent="0.25">
      <c r="A24" s="12">
        <v>0.4375</v>
      </c>
      <c r="B24" s="6" t="n">
        <v>85.46707027425767</v>
      </c>
      <c r="C24" s="6" t="n">
        <v>1065.836228568554</v>
      </c>
      <c r="D24" s="6" t="n">
        <v>27.64820068359375</v>
      </c>
      <c r="E24" s="6" t="n">
        <v>1278.3192971339226</v>
      </c>
      <c r="F24" s="6" t="n">
        <v>2138.2209301382068</v>
      </c>
      <c r="G24" s="6" t="n">
        <v>544.1764942505837</v>
      </c>
      <c r="H24" s="6" t="n">
        <v>2602.8798859202384</v>
      </c>
      <c r="I24" s="6" t="n">
        <v>0.0</v>
      </c>
      <c r="J24" s="6">
        <f si="0" t="shared"/>
        <v>1295.2229911718578</v>
      </c>
      <c r="L24" s="12">
        <v>0.4375</v>
      </c>
      <c r="M24" s="9" t="n">
        <v>362.2370367050171</v>
      </c>
      <c r="N24" s="9" t="n">
        <v>0.0</v>
      </c>
      <c r="O24" s="9" t="n">
        <v>0.0</v>
      </c>
      <c r="P24" s="9" t="n">
        <v>0.0</v>
      </c>
      <c r="Q24" s="9" t="n">
        <v>1915.0268049240112</v>
      </c>
      <c r="R24" s="9" t="n">
        <v>1456.424160003662</v>
      </c>
      <c r="S24" s="9" t="n">
        <v>6718.365252494812</v>
      </c>
      <c r="T24" s="9" t="n">
        <v>0.0</v>
      </c>
      <c r="U24">
        <f si="1" t="shared"/>
        <v>4055.6076993942261</v>
      </c>
    </row>
    <row r="25" spans="1:21" x14ac:dyDescent="0.25">
      <c r="A25" s="12">
        <v>0.45833333333333331</v>
      </c>
      <c r="B25" s="6" t="n">
        <v>116.58820682621004</v>
      </c>
      <c r="C25" s="6" t="n">
        <v>1238.8865344513893</v>
      </c>
      <c r="D25" s="6" t="n">
        <v>44.92832611083984</v>
      </c>
      <c r="E25" s="6" t="n">
        <v>1580.023336274719</v>
      </c>
      <c r="F25" s="6" t="n">
        <v>2059.2069576270105</v>
      </c>
      <c r="G25" s="6" t="n">
        <v>775.9241934429168</v>
      </c>
      <c r="H25" s="6" t="n">
        <v>3629.5876520607944</v>
      </c>
      <c r="I25" s="6" t="n">
        <v>0.0</v>
      </c>
      <c r="J25" s="6">
        <f si="0" t="shared"/>
        <v>1751.875468725606</v>
      </c>
      <c r="L25" s="12">
        <v>0.45833333333333331</v>
      </c>
      <c r="M25" s="9" t="n">
        <v>400.3763065338135</v>
      </c>
      <c r="N25" s="9" t="n">
        <v>0.0</v>
      </c>
      <c r="O25" s="9" t="n">
        <v>0.0</v>
      </c>
      <c r="P25" s="9" t="n">
        <v>0.0</v>
      </c>
      <c r="Q25" s="9" t="n">
        <v>2093.6476402282715</v>
      </c>
      <c r="R25" s="9" t="n">
        <v>1695.9169702529907</v>
      </c>
      <c r="S25" s="9" t="n">
        <v>7750.617495536804</v>
      </c>
      <c r="T25" s="9" t="n">
        <v>0.0</v>
      </c>
      <c r="U25">
        <f si="1" t="shared"/>
        <v>5326.250337600708</v>
      </c>
    </row>
    <row r="26" spans="1:21" x14ac:dyDescent="0.25">
      <c r="A26" s="12">
        <v>0.47916666666666669</v>
      </c>
      <c r="B26" s="6" t="n">
        <v>144.38985395593647</v>
      </c>
      <c r="C26" s="6" t="n">
        <v>1404.2245616401674</v>
      </c>
      <c r="D26" s="6" t="n">
        <v>59.904434814453126</v>
      </c>
      <c r="E26" s="6" t="n">
        <v>1884.1933400957107</v>
      </c>
      <c r="F26" s="6" t="n">
        <v>1926.3729774683</v>
      </c>
      <c r="G26" s="6" t="n">
        <v>1216.8436448219297</v>
      </c>
      <c r="H26" s="6" t="n">
        <v>5038.929771794318</v>
      </c>
      <c r="I26" s="6" t="n">
        <v>0.0</v>
      </c>
      <c r="J26" s="6">
        <f si="0" t="shared"/>
        <v>2389.7507760974713</v>
      </c>
      <c r="L26" s="12">
        <v>0.47916666666666669</v>
      </c>
      <c r="M26" s="9" t="n">
        <v>438.2371492385864</v>
      </c>
      <c r="N26" s="9" t="n">
        <v>0.0</v>
      </c>
      <c r="O26" s="9" t="n">
        <v>0.0</v>
      </c>
      <c r="P26" s="9" t="n">
        <v>0.0</v>
      </c>
      <c r="Q26" s="9" t="n">
        <v>2242.516058921814</v>
      </c>
      <c r="R26" s="9" t="n">
        <v>1960.9045400619507</v>
      </c>
      <c r="S26" s="9" t="n">
        <v>8805.717029571533</v>
      </c>
      <c r="T26" s="9" t="n">
        <v>0.0</v>
      </c>
      <c r="U26">
        <f si="1" t="shared"/>
        <v>6979.4766864776611</v>
      </c>
    </row>
    <row r="27" spans="1:21" x14ac:dyDescent="0.25">
      <c r="A27" s="12">
        <v>0.5</v>
      </c>
      <c r="B27" s="6" t="n">
        <v>164.57265014734273</v>
      </c>
      <c r="C27" s="6" t="n">
        <v>1567.3436367721556</v>
      </c>
      <c r="D27" s="6" t="n">
        <v>65.89487829589844</v>
      </c>
      <c r="E27" s="6" t="n">
        <v>2224.897008440399</v>
      </c>
      <c r="F27" s="6" t="n">
        <v>1791.3577971722602</v>
      </c>
      <c r="G27" s="6" t="n">
        <v>1985.5550310129167</v>
      </c>
      <c r="H27" s="6" t="n">
        <v>7468.856772214698</v>
      </c>
      <c r="I27" s="6" t="n">
        <v>0.0</v>
      </c>
      <c r="J27" s="6">
        <f si="0" t="shared"/>
        <v>3499.7409617068624</v>
      </c>
      <c r="L27" s="12">
        <v>0.5</v>
      </c>
      <c r="M27" s="9" t="n">
        <v>484.12719440460205</v>
      </c>
      <c r="N27" s="9" t="n">
        <v>0.0</v>
      </c>
      <c r="O27" s="9" t="n">
        <v>0.0</v>
      </c>
      <c r="P27" s="9" t="n">
        <v>0.0</v>
      </c>
      <c r="Q27" s="9" t="n">
        <v>2391.511106491089</v>
      </c>
      <c r="R27" s="9" t="n">
        <v>2282.4390411376953</v>
      </c>
      <c r="S27" s="9" t="n">
        <v>10016.083926200867</v>
      </c>
      <c r="T27" s="9" t="n">
        <v>0.0</v>
      </c>
      <c r="U27">
        <f si="1" t="shared"/>
        <v>9199.4074325561523</v>
      </c>
    </row>
    <row r="28" spans="1:21" x14ac:dyDescent="0.25">
      <c r="A28" s="12">
        <v>0.52083333333333337</v>
      </c>
      <c r="B28" s="6" t="n">
        <v>178.10156243057253</v>
      </c>
      <c r="C28" s="6" t="n">
        <v>1734.2340971530916</v>
      </c>
      <c r="D28" s="6" t="n">
        <v>59.904434814453126</v>
      </c>
      <c r="E28" s="6" t="n">
        <v>2630.950649130058</v>
      </c>
      <c r="F28" s="6" t="n">
        <v>1669.4001998752594</v>
      </c>
      <c r="G28" s="6" t="n">
        <v>3177.1733963885313</v>
      </c>
      <c r="H28" s="6" t="n">
        <v>11960.175763046933</v>
      </c>
      <c r="I28" s="6" t="n">
        <v>0.0</v>
      </c>
      <c r="J28" s="6">
        <f si="0" t="shared"/>
        <v>5628.1812652195485</v>
      </c>
      <c r="L28" s="12">
        <v>0.52083333333333337</v>
      </c>
      <c r="M28" s="9" t="n">
        <v>553.830117225647</v>
      </c>
      <c r="N28" s="9" t="n">
        <v>0.0</v>
      </c>
      <c r="O28" s="9" t="n">
        <v>0.0</v>
      </c>
      <c r="P28" s="9" t="n">
        <v>0.0</v>
      </c>
      <c r="Q28" s="9" t="n">
        <v>2604.434079170227</v>
      </c>
      <c r="R28" s="9" t="n">
        <v>2732.881464958191</v>
      </c>
      <c r="S28" s="9" t="n">
        <v>11684.300252914429</v>
      </c>
      <c r="T28" s="9" t="n">
        <v>0.0</v>
      </c>
      <c r="U28">
        <f si="1" t="shared"/>
        <v>12095.009133338928</v>
      </c>
    </row>
    <row r="29" spans="1:21" x14ac:dyDescent="0.25">
      <c r="A29" s="12">
        <v>0.54166666666666663</v>
      </c>
      <c r="B29" s="6" t="n">
        <v>193.60951641807557</v>
      </c>
      <c r="C29" s="6" t="n">
        <v>1897.9908105522156</v>
      </c>
      <c r="D29" s="6" t="n">
        <v>44.92832611083984</v>
      </c>
      <c r="E29" s="6" t="n">
        <v>3073.092930804157</v>
      </c>
      <c r="F29" s="6" t="n">
        <v>1562.4933655867576</v>
      </c>
      <c r="G29" s="6" t="n">
        <v>4744.1571378466615</v>
      </c>
      <c r="H29" s="6" t="n">
        <v>19417.81844062147</v>
      </c>
      <c r="I29" s="6" t="n">
        <v>0.0</v>
      </c>
      <c r="J29" s="6">
        <f si="0" t="shared"/>
        <v>9366.2397349957828</v>
      </c>
      <c r="L29" s="12">
        <v>0.54166666666666663</v>
      </c>
      <c r="M29" s="9" t="n">
        <v>670.5037250518799</v>
      </c>
      <c r="N29" s="9" t="n">
        <v>0.0</v>
      </c>
      <c r="O29" s="9" t="n">
        <v>0.0</v>
      </c>
      <c r="P29" s="9" t="n">
        <v>0.0</v>
      </c>
      <c r="Q29" s="9" t="n">
        <v>2977.7629384994507</v>
      </c>
      <c r="R29" s="9" t="n">
        <v>3430.484896659851</v>
      </c>
      <c r="S29" s="9" t="n">
        <v>14293.509973526001</v>
      </c>
      <c r="T29" s="9" t="n">
        <v>0.0</v>
      </c>
      <c r="U29">
        <f si="1" t="shared"/>
        <v>15582.920550346375</v>
      </c>
    </row>
    <row r="30" spans="1:21" x14ac:dyDescent="0.25">
      <c r="A30" s="12">
        <v>0.5625</v>
      </c>
      <c r="B30" s="6" t="n">
        <v>222.93732350015642</v>
      </c>
      <c r="C30" s="6" t="n">
        <v>2029.7663601949694</v>
      </c>
      <c r="D30" s="6" t="n">
        <v>27.648200683593746</v>
      </c>
      <c r="E30" s="6" t="n">
        <v>3444.6521151687625</v>
      </c>
      <c r="F30" s="6" t="n">
        <v>1475.6054369934081</v>
      </c>
      <c r="G30" s="6" t="n">
        <v>6385.72774756155</v>
      </c>
      <c r="H30" s="6" t="n">
        <v>29669.05181956253</v>
      </c>
      <c r="I30" s="6" t="n">
        <v>0.0</v>
      </c>
      <c r="J30" s="6">
        <f si="0" t="shared"/>
        <v>14825.995047629825</v>
      </c>
      <c r="L30" s="12">
        <v>0.5625</v>
      </c>
      <c r="M30" s="9" t="n">
        <v>855.0437631607056</v>
      </c>
      <c r="N30" s="9" t="n">
        <v>0.0</v>
      </c>
      <c r="O30" s="9" t="n">
        <v>0.0</v>
      </c>
      <c r="P30" s="9" t="n">
        <v>0.0</v>
      </c>
      <c r="Q30" s="9" t="n">
        <v>3600.45419216156</v>
      </c>
      <c r="R30" s="9" t="n">
        <v>4489.733494758606</v>
      </c>
      <c r="S30" s="9" t="n">
        <v>18299.531366348267</v>
      </c>
      <c r="T30" s="9" t="n">
        <v>0.0</v>
      </c>
      <c r="U30">
        <f si="1" t="shared"/>
        <v>19314.414470672607</v>
      </c>
    </row>
    <row r="31" spans="1:21" x14ac:dyDescent="0.25">
      <c r="A31" s="12">
        <v>0.58333333333333337</v>
      </c>
      <c r="B31" s="6" t="n">
        <v>269.7193854909897</v>
      </c>
      <c r="C31" s="6" t="n">
        <v>2089.8367832913405</v>
      </c>
      <c r="D31" s="6" t="n">
        <v>13.824100341796873</v>
      </c>
      <c r="E31" s="6" t="n">
        <v>3611.3699510520937</v>
      </c>
      <c r="F31" s="6" t="n">
        <v>1412.6318288316727</v>
      </c>
      <c r="G31" s="6" t="n">
        <v>7593.3593096224795</v>
      </c>
      <c r="H31" s="6" t="n">
        <v>40759.86174171705</v>
      </c>
      <c r="I31" s="6" t="n">
        <v>0.0</v>
      </c>
      <c r="J31" s="6">
        <f si="0" t="shared"/>
        <v>21117.586232495451</v>
      </c>
      <c r="L31" s="12">
        <v>0.58333333333333337</v>
      </c>
      <c r="M31" s="9" t="n">
        <v>1104.954888343811</v>
      </c>
      <c r="N31" s="9" t="n">
        <v>0.0</v>
      </c>
      <c r="O31" s="9" t="n">
        <v>0.0</v>
      </c>
      <c r="P31" s="9" t="n">
        <v>0.0</v>
      </c>
      <c r="Q31" s="9" t="n">
        <v>4467.85740852356</v>
      </c>
      <c r="R31" s="9" t="n">
        <v>5903.029770851135</v>
      </c>
      <c r="S31" s="9" t="n">
        <v>23660.41227722168</v>
      </c>
      <c r="T31" s="9" t="n">
        <v>0.0</v>
      </c>
      <c r="U31">
        <f si="1" t="shared"/>
        <v>22666.203397750854</v>
      </c>
    </row>
    <row r="32" spans="1:21" x14ac:dyDescent="0.25">
      <c r="A32" s="12">
        <v>0.60416666666666663</v>
      </c>
      <c r="B32" s="6" t="n">
        <v>320.548958007431</v>
      </c>
      <c r="C32" s="6" t="n">
        <v>2053.0650486558916</v>
      </c>
      <c r="D32" s="6" t="n">
        <v>5.529640136718749</v>
      </c>
      <c r="E32" s="6" t="n">
        <v>3501.5915082696915</v>
      </c>
      <c r="F32" s="6" t="n">
        <v>1367.8463760158538</v>
      </c>
      <c r="G32" s="6" t="n">
        <v>7902.216874703504</v>
      </c>
      <c r="H32" s="6" t="n">
        <v>49315.497670888704</v>
      </c>
      <c r="I32" s="6" t="n">
        <v>0.0</v>
      </c>
      <c r="J32" s="6">
        <f si="0" t="shared"/>
        <v>26391.995509736444</v>
      </c>
      <c r="L32" s="12">
        <v>0.60416666666666663</v>
      </c>
      <c r="M32" s="9" t="n">
        <v>1376.7142314910889</v>
      </c>
      <c r="N32" s="9" t="n">
        <v>0.0</v>
      </c>
      <c r="O32" s="9" t="n">
        <v>0.0</v>
      </c>
      <c r="P32" s="9" t="n">
        <v>0.0</v>
      </c>
      <c r="Q32" s="9" t="n">
        <v>5409.533745765686</v>
      </c>
      <c r="R32" s="9" t="n">
        <v>7432.866711616516</v>
      </c>
      <c r="S32" s="9" t="n">
        <v>29425.289489746094</v>
      </c>
      <c r="T32" s="9" t="n">
        <v>0.0</v>
      </c>
      <c r="U32">
        <f si="1" t="shared"/>
        <v>24846.656403541565</v>
      </c>
    </row>
    <row r="33" spans="1:21" x14ac:dyDescent="0.25">
      <c r="A33" s="12">
        <v>0.625</v>
      </c>
      <c r="B33" s="6" t="n">
        <v>350.33926685361854</v>
      </c>
      <c r="C33" s="6" t="n">
        <v>1924.7718226615907</v>
      </c>
      <c r="D33" s="6" t="n">
        <v>1.7283263646125793</v>
      </c>
      <c r="E33" s="6" t="n">
        <v>3160.1135920379643</v>
      </c>
      <c r="F33" s="6" t="n">
        <v>1328.4289486397743</v>
      </c>
      <c r="G33" s="6" t="n">
        <v>7185.445207693578</v>
      </c>
      <c r="H33" s="6" t="n">
        <v>52147.49823154974</v>
      </c>
      <c r="I33" s="6" t="n">
        <v>0.0</v>
      </c>
      <c r="J33" s="6">
        <f si="0" t="shared"/>
        <v>28705.822653150608</v>
      </c>
      <c r="L33" s="12">
        <v>0.625</v>
      </c>
      <c r="M33" s="9" t="n">
        <v>1595.8524503707886</v>
      </c>
      <c r="N33" s="9" t="n">
        <v>0.0</v>
      </c>
      <c r="O33" s="9" t="n">
        <v>0.0</v>
      </c>
      <c r="P33" s="9" t="n">
        <v>0.0</v>
      </c>
      <c r="Q33" s="9" t="n">
        <v>6126.663920402527</v>
      </c>
      <c r="R33" s="9" t="n">
        <v>8650.72234249115</v>
      </c>
      <c r="S33" s="9" t="n">
        <v>33912.89752864838</v>
      </c>
      <c r="T33" s="9" t="n">
        <v>0.0</v>
      </c>
      <c r="U33">
        <f si="1" t="shared"/>
        <v>25178.915385246277</v>
      </c>
    </row>
    <row r="34" spans="1:21" x14ac:dyDescent="0.25">
      <c r="A34" s="12">
        <v>0.64583333333333337</v>
      </c>
      <c r="B34" s="6" t="n">
        <v>340.58991089954367</v>
      </c>
      <c r="C34" s="6" t="n">
        <v>1732.213328077793</v>
      </c>
      <c r="D34" s="6" t="n">
        <v>0.41328890295028686</v>
      </c>
      <c r="E34" s="6" t="n">
        <v>2716.7100322480205</v>
      </c>
      <c r="F34" s="6" t="n">
        <v>1285.436435388374</v>
      </c>
      <c r="G34" s="6" t="n">
        <v>5741.645114040661</v>
      </c>
      <c r="H34" s="6" t="n">
        <v>48142.522354346176</v>
      </c>
      <c r="I34" s="6" t="n">
        <v>0.0</v>
      </c>
      <c r="J34" s="6">
        <f si="0" t="shared"/>
        <v>27196.117992571639</v>
      </c>
      <c r="L34" s="12">
        <v>0.64583333333333337</v>
      </c>
      <c r="M34" s="9" t="n">
        <v>1698.8383207321167</v>
      </c>
      <c r="N34" s="9" t="n">
        <v>0.0</v>
      </c>
      <c r="O34" s="9" t="n">
        <v>0.0</v>
      </c>
      <c r="P34" s="9" t="n">
        <v>0.0</v>
      </c>
      <c r="Q34" s="9" t="n">
        <v>6356.150791168213</v>
      </c>
      <c r="R34" s="9" t="n">
        <v>9157.17886352539</v>
      </c>
      <c r="S34" s="9" t="n">
        <v>35594.750385284424</v>
      </c>
      <c r="T34" s="9" t="n">
        <v>0.0</v>
      </c>
      <c r="U34">
        <f si="1" t="shared"/>
        <v>23474.37752532959</v>
      </c>
    </row>
    <row r="35" spans="1:21" x14ac:dyDescent="0.25">
      <c r="A35" s="12">
        <v>0.66666666666666663</v>
      </c>
      <c r="B35" s="6" t="n">
        <v>294.05515948677055</v>
      </c>
      <c r="C35" s="6" t="n">
        <v>1503.6257573231696</v>
      </c>
      <c r="D35" s="6" t="n">
        <v>0.1358169298171997</v>
      </c>
      <c r="E35" s="6" t="n">
        <v>2300.9316758193972</v>
      </c>
      <c r="F35" s="6" t="n">
        <v>1240.3978091965673</v>
      </c>
      <c r="G35" s="6" t="n">
        <v>4097.4716013549805</v>
      </c>
      <c r="H35" s="6" t="n">
        <v>38958.35274081869</v>
      </c>
      <c r="I35" s="6" t="n">
        <v>0.0</v>
      </c>
      <c r="J35" s="6">
        <f si="0" t="shared"/>
        <v>22615.032935768162</v>
      </c>
      <c r="L35" s="12">
        <v>0.66666666666666663</v>
      </c>
      <c r="M35" s="9" t="n">
        <v>1674.9390382766724</v>
      </c>
      <c r="N35" s="9" t="n">
        <v>0.0</v>
      </c>
      <c r="O35" s="9" t="n">
        <v>0.0</v>
      </c>
      <c r="P35" s="9" t="n">
        <v>0.0</v>
      </c>
      <c r="Q35" s="9" t="n">
        <v>6039.196978569031</v>
      </c>
      <c r="R35" s="9" t="n">
        <v>8822.611827850342</v>
      </c>
      <c r="S35" s="9" t="n">
        <v>34033.75924015045</v>
      </c>
      <c r="T35" s="9" t="n">
        <v>0.0</v>
      </c>
      <c r="U35">
        <f si="1" t="shared"/>
        <v>20211.294532775879</v>
      </c>
    </row>
    <row r="36" spans="1:21" x14ac:dyDescent="0.25">
      <c r="A36" s="12">
        <v>0.6875</v>
      </c>
      <c r="B36" s="6" t="n">
        <v>231.75778457593913</v>
      </c>
      <c r="C36" s="6" t="n">
        <v>1258.0936992538452</v>
      </c>
      <c r="D36" s="6" t="n">
        <v>0.44493307781219477</v>
      </c>
      <c r="E36" s="6" t="n">
        <v>1979.7672711148266</v>
      </c>
      <c r="F36" s="6" t="n">
        <v>1201.0433685227395</v>
      </c>
      <c r="G36" s="6" t="n">
        <v>2699.1212980834007</v>
      </c>
      <c r="H36" s="6" t="n">
        <v>27932.773614474674</v>
      </c>
      <c r="I36" s="6" t="n">
        <v>0.0</v>
      </c>
      <c r="J36" s="6">
        <f si="0" t="shared"/>
        <v>16771.661473256881</v>
      </c>
      <c r="L36" s="12">
        <v>0.6875</v>
      </c>
      <c r="M36" s="9" t="n">
        <v>1568.5687627792358</v>
      </c>
      <c r="N36" s="9" t="n">
        <v>0.0</v>
      </c>
      <c r="O36" s="9" t="n">
        <v>0.0</v>
      </c>
      <c r="P36" s="9" t="n">
        <v>0.0</v>
      </c>
      <c r="Q36" s="9" t="n">
        <v>5341.834370613098</v>
      </c>
      <c r="R36" s="9" t="n">
        <v>7835.874731063843</v>
      </c>
      <c r="S36" s="9" t="n">
        <v>30044.3783826828</v>
      </c>
      <c r="T36" s="9" t="n">
        <v>0.0</v>
      </c>
      <c r="U36">
        <f si="1" t="shared"/>
        <v>16300.031628608704</v>
      </c>
    </row>
    <row r="37" spans="1:21" x14ac:dyDescent="0.25">
      <c r="A37" s="12">
        <v>0.70833333333333337</v>
      </c>
      <c r="B37" s="6" t="n">
        <v>177.0247478541374</v>
      </c>
      <c r="C37" s="6" t="n">
        <v>1011.8137392232894</v>
      </c>
      <c r="D37" s="6" t="n">
        <v>2.0010813870429995</v>
      </c>
      <c r="E37" s="6" t="n">
        <v>1757.2623572638513</v>
      </c>
      <c r="F37" s="6" t="n">
        <v>1172.1389767598153</v>
      </c>
      <c r="G37" s="6" t="n">
        <v>1730.1025249097825</v>
      </c>
      <c r="H37" s="6" t="n">
        <v>18130.348271963783</v>
      </c>
      <c r="I37" s="6" t="n">
        <v>0.0</v>
      </c>
      <c r="J37" s="6">
        <f si="0" t="shared"/>
        <v>11403.413682954819</v>
      </c>
      <c r="L37" s="12">
        <v>0.70833333333333337</v>
      </c>
      <c r="M37" s="9" t="n">
        <v>1439.718584060669</v>
      </c>
      <c r="N37" s="9" t="n">
        <v>0.0</v>
      </c>
      <c r="O37" s="9" t="n">
        <v>0.0</v>
      </c>
      <c r="P37" s="9" t="n">
        <v>0.0</v>
      </c>
      <c r="Q37" s="9" t="n">
        <v>4514.54226398468</v>
      </c>
      <c r="R37" s="9" t="n">
        <v>6533.3034410476685</v>
      </c>
      <c r="S37" s="9" t="n">
        <v>24984.00518321991</v>
      </c>
      <c r="T37" s="9" t="n">
        <v>0.0</v>
      </c>
      <c r="U37">
        <f si="1" t="shared"/>
        <v>12587.157128334045</v>
      </c>
    </row>
    <row r="38" spans="1:21" x14ac:dyDescent="0.25">
      <c r="A38" s="12">
        <v>0.72916666666666663</v>
      </c>
      <c r="B38" s="6" t="n">
        <v>143.1910490972519</v>
      </c>
      <c r="C38" s="6" t="n">
        <v>785.0324832644462</v>
      </c>
      <c r="D38" s="6" t="n">
        <v>6.906589694881439</v>
      </c>
      <c r="E38" s="6" t="n">
        <v>1608.7022864144324</v>
      </c>
      <c r="F38" s="6" t="n">
        <v>1151.93933790226</v>
      </c>
      <c r="G38" s="6" t="n">
        <v>1137.976347934723</v>
      </c>
      <c r="H38" s="6" t="n">
        <v>11043.892733878612</v>
      </c>
      <c r="I38" s="6" t="n">
        <v>0.0</v>
      </c>
      <c r="J38" s="6">
        <f si="0" t="shared"/>
        <v>7401.2347585496318</v>
      </c>
      <c r="L38" s="12">
        <v>0.72916666666666663</v>
      </c>
      <c r="M38" s="9" t="n">
        <v>1321.3179368972778</v>
      </c>
      <c r="N38" s="9" t="n">
        <v>0.0</v>
      </c>
      <c r="O38" s="9" t="n">
        <v>0.0</v>
      </c>
      <c r="P38" s="9" t="n">
        <v>0.0</v>
      </c>
      <c r="Q38" s="9" t="n">
        <v>3731.103874206543</v>
      </c>
      <c r="R38" s="9" t="n">
        <v>5189.075863838196</v>
      </c>
      <c r="S38" s="9" t="n">
        <v>19907.82838153839</v>
      </c>
      <c r="T38" s="9" t="n">
        <v>0.0</v>
      </c>
      <c r="U38">
        <f si="1" t="shared"/>
        <v>9506.3151197433472</v>
      </c>
    </row>
    <row r="39" spans="1:21" x14ac:dyDescent="0.25">
      <c r="A39" s="12">
        <v>0.75</v>
      </c>
      <c r="B39" s="6" t="n">
        <v>133.65279693021773</v>
      </c>
      <c r="C39" s="6" t="n">
        <v>597.2486962898255</v>
      </c>
      <c r="D39" s="6" t="n">
        <v>18.69524083786011</v>
      </c>
      <c r="E39" s="6" t="n">
        <v>1504.7579592781067</v>
      </c>
      <c r="F39" s="6" t="n">
        <v>1137.3942841640473</v>
      </c>
      <c r="G39" s="6" t="n">
        <v>776.2637588383675</v>
      </c>
      <c r="H39" s="6" t="n">
        <v>6619.579070579338</v>
      </c>
      <c r="I39" s="6" t="n">
        <v>0.0</v>
      </c>
      <c r="J39" s="6">
        <f si="0" t="shared"/>
        <v>4801.8519313203151</v>
      </c>
      <c r="L39" s="12">
        <v>0.75</v>
      </c>
      <c r="M39" s="9" t="n">
        <v>1210.5421075820923</v>
      </c>
      <c r="N39" s="9" t="n">
        <v>0.0</v>
      </c>
      <c r="O39" s="9" t="n">
        <v>0.0</v>
      </c>
      <c r="P39" s="9" t="n">
        <v>0.0</v>
      </c>
      <c r="Q39" s="9" t="n">
        <v>3039.485026359558</v>
      </c>
      <c r="R39" s="9" t="n">
        <v>3939.5455837249756</v>
      </c>
      <c r="S39" s="9" t="n">
        <v>15277.752130508423</v>
      </c>
      <c r="T39" s="9" t="n">
        <v>0.0</v>
      </c>
      <c r="U39">
        <f si="1" t="shared"/>
        <v>7099.8420209884644</v>
      </c>
    </row>
    <row r="40" spans="1:21" x14ac:dyDescent="0.25">
      <c r="A40" s="12">
        <v>0.77083333333333337</v>
      </c>
      <c r="B40" s="6" t="n">
        <v>148.07420582342147</v>
      </c>
      <c r="C40" s="6" t="n">
        <v>457.14824634609226</v>
      </c>
      <c r="D40" s="6" t="n">
        <v>40.65623390579224</v>
      </c>
      <c r="E40" s="6" t="n">
        <v>1415.4342012407305</v>
      </c>
      <c r="F40" s="6" t="n">
        <v>1130.7228377635004</v>
      </c>
      <c r="G40" s="6" t="n">
        <v>525.9998970664977</v>
      </c>
      <c r="H40" s="6" t="n">
        <v>4073.672834934521</v>
      </c>
      <c r="I40" s="6" t="n">
        <v>0.0</v>
      </c>
      <c r="J40" s="6">
        <f si="0" t="shared"/>
        <v>3234.5020553205795</v>
      </c>
      <c r="L40" s="12">
        <v>0.77083333333333337</v>
      </c>
      <c r="M40" s="9" t="n">
        <v>1092.3240022659302</v>
      </c>
      <c r="N40" s="9" t="n">
        <v>0.0</v>
      </c>
      <c r="O40" s="9" t="n">
        <v>0.0</v>
      </c>
      <c r="P40" s="9" t="n">
        <v>0.0</v>
      </c>
      <c r="Q40" s="9" t="n">
        <v>2422.427303314209</v>
      </c>
      <c r="R40" s="9" t="n">
        <v>2837.55908870697</v>
      </c>
      <c r="S40" s="9" t="n">
        <v>11208.607167243958</v>
      </c>
      <c r="T40" s="9" t="n">
        <v>0.0</v>
      </c>
      <c r="U40">
        <f si="1" t="shared"/>
        <v>5254.9385051727295</v>
      </c>
    </row>
    <row r="41" spans="1:21" x14ac:dyDescent="0.25">
      <c r="A41" s="12">
        <v>0.79166666666666663</v>
      </c>
      <c r="B41" s="6" t="n">
        <v>184.983008971405</v>
      </c>
      <c r="C41" s="6" t="n">
        <v>359.903898062706</v>
      </c>
      <c r="D41" s="6" t="n">
        <v>72.18966552829743</v>
      </c>
      <c r="E41" s="6" t="n">
        <v>1311.267636093712</v>
      </c>
      <c r="F41" s="6" t="n">
        <v>1137.646073307705</v>
      </c>
      <c r="G41" s="6" t="n">
        <v>334.81689741115565</v>
      </c>
      <c r="H41" s="6" t="n">
        <v>2624.319497077465</v>
      </c>
      <c r="I41" s="6" t="n">
        <v>0.0</v>
      </c>
      <c r="J41" s="6">
        <f si="0" t="shared"/>
        <v>2313.254550836441</v>
      </c>
      <c r="L41" s="12">
        <v>0.79166666666666663</v>
      </c>
      <c r="M41" s="9" t="n">
        <v>964.1783771514893</v>
      </c>
      <c r="N41" s="9" t="n">
        <v>0.0</v>
      </c>
      <c r="O41" s="9" t="n">
        <v>0.0</v>
      </c>
      <c r="P41" s="9" t="n">
        <v>0.0</v>
      </c>
      <c r="Q41" s="9" t="n">
        <v>1871.4859199523926</v>
      </c>
      <c r="R41" s="9" t="n">
        <v>1920.2719793319702</v>
      </c>
      <c r="S41" s="9" t="n">
        <v>7776.791214942932</v>
      </c>
      <c r="T41" s="9" t="n">
        <v>0.0</v>
      </c>
      <c r="U41">
        <f si="1" t="shared"/>
        <v>3875.5548782348633</v>
      </c>
    </row>
    <row r="42" spans="1:21" x14ac:dyDescent="0.25">
      <c r="A42" s="12">
        <v>0.8125</v>
      </c>
      <c r="B42" s="6" t="n">
        <v>238.7970039444923</v>
      </c>
      <c r="C42" s="6" t="n">
        <v>293.42004577131274</v>
      </c>
      <c r="D42" s="6" t="n">
        <v>105.77799804210663</v>
      </c>
      <c r="E42" s="6" t="n">
        <v>1171.330751258278</v>
      </c>
      <c r="F42" s="6" t="n">
        <v>1155.8434786884309</v>
      </c>
      <c r="G42" s="6" t="n">
        <v>194.51216185798643</v>
      </c>
      <c r="H42" s="6" t="n">
        <v>1761.5118957018854</v>
      </c>
      <c r="I42" s="6" t="n">
        <v>0.0</v>
      </c>
      <c r="J42" s="6">
        <f si="0" t="shared"/>
        <v>1770.0796174305992</v>
      </c>
      <c r="L42" s="12">
        <v>0.8125</v>
      </c>
      <c r="M42" s="9" t="n">
        <v>839.4060544967651</v>
      </c>
      <c r="N42" s="9" t="n">
        <v>0.0</v>
      </c>
      <c r="O42" s="9" t="n">
        <v>0.0</v>
      </c>
      <c r="P42" s="9" t="n">
        <v>0.0</v>
      </c>
      <c r="Q42" s="9" t="n">
        <v>1405.846682548523</v>
      </c>
      <c r="R42" s="9" t="n">
        <v>1219.502314567566</v>
      </c>
      <c r="S42" s="9" t="n">
        <v>5086.739716529846</v>
      </c>
      <c r="T42" s="9" t="n">
        <v>0.0</v>
      </c>
      <c r="U42">
        <f si="1" t="shared"/>
        <v>2898.6019592285156</v>
      </c>
    </row>
    <row r="43" spans="1:21" x14ac:dyDescent="0.25">
      <c r="A43" s="12">
        <v>0.83333333333333337</v>
      </c>
      <c r="B43" s="6" t="n">
        <v>296.3116939290046</v>
      </c>
      <c r="C43" s="6" t="n">
        <v>245.7267314374924</v>
      </c>
      <c r="D43" s="6" t="n">
        <v>128.7384417186737</v>
      </c>
      <c r="E43" s="6" t="n">
        <v>991.0324420520783</v>
      </c>
      <c r="F43" s="6" t="n">
        <v>1163.8470439246178</v>
      </c>
      <c r="G43" s="6" t="n">
        <v>106.21784250965118</v>
      </c>
      <c r="H43" s="6" t="n">
        <v>1208.7571809031485</v>
      </c>
      <c r="I43" s="6" t="n">
        <v>0.0</v>
      </c>
      <c r="J43" s="6">
        <f si="0" t="shared"/>
        <v>1430.6716911910689</v>
      </c>
      <c r="L43" s="12">
        <v>0.83333333333333337</v>
      </c>
      <c r="M43" s="9" t="n">
        <v>733.557445526123</v>
      </c>
      <c r="N43" s="9" t="n">
        <v>0.0</v>
      </c>
      <c r="O43" s="9" t="n">
        <v>0.0</v>
      </c>
      <c r="P43" s="9" t="n">
        <v>0.0</v>
      </c>
      <c r="Q43" s="9" t="n">
        <v>1046.824794769287</v>
      </c>
      <c r="R43" s="9" t="n">
        <v>737.7716493606567</v>
      </c>
      <c r="S43" s="9" t="n">
        <v>3171.7206478118896</v>
      </c>
      <c r="T43" s="9" t="n">
        <v>0.0</v>
      </c>
      <c r="U43">
        <f si="1" t="shared"/>
        <v>2250.9274415969849</v>
      </c>
    </row>
    <row r="44" spans="1:21" x14ac:dyDescent="0.25">
      <c r="A44" s="12">
        <v>0.85416666666666663</v>
      </c>
      <c r="B44" s="6" t="n">
        <v>337.8501926660538</v>
      </c>
      <c r="C44" s="6" t="n">
        <v>208.06172649221423</v>
      </c>
      <c r="D44" s="6" t="n">
        <v>130.54328578681947</v>
      </c>
      <c r="E44" s="6" t="n">
        <v>782.868174698639</v>
      </c>
      <c r="F44" s="6" t="n">
        <v>1124.8183824745179</v>
      </c>
      <c r="G44" s="6" t="n">
        <v>62.913821991634364</v>
      </c>
      <c r="H44" s="6" t="n">
        <v>829.0475095116615</v>
      </c>
      <c r="I44" s="6" t="n">
        <v>0.0</v>
      </c>
      <c r="J44" s="6">
        <f si="0" t="shared"/>
        <v>1178.3694105518819</v>
      </c>
      <c r="L44" s="12">
        <v>0.85416666666666663</v>
      </c>
      <c r="M44" s="9" t="n">
        <v>653.137806892395</v>
      </c>
      <c r="N44" s="9" t="n">
        <v>0.0</v>
      </c>
      <c r="O44" s="9" t="n">
        <v>0.0</v>
      </c>
      <c r="P44" s="9" t="n">
        <v>0.0</v>
      </c>
      <c r="Q44" s="9" t="n">
        <v>794.5538721084595</v>
      </c>
      <c r="R44" s="9" t="n">
        <v>439.4089689254761</v>
      </c>
      <c r="S44" s="9" t="n">
        <v>1932.6279277801514</v>
      </c>
      <c r="T44" s="9" t="n">
        <v>0.0</v>
      </c>
      <c r="U44">
        <f si="1" t="shared"/>
        <v>1841.4646129608154</v>
      </c>
    </row>
    <row r="45" spans="1:21" x14ac:dyDescent="0.25">
      <c r="A45" s="12">
        <v>0.875</v>
      </c>
      <c r="B45" s="6" t="n">
        <v>344.5489392633438</v>
      </c>
      <c r="C45" s="6" t="n">
        <v>174.5421775856972</v>
      </c>
      <c r="D45" s="6" t="n">
        <v>110.290108212471</v>
      </c>
      <c r="E45" s="6" t="n">
        <v>571.0151090124131</v>
      </c>
      <c r="F45" s="6" t="n">
        <v>1009.0252353729247</v>
      </c>
      <c r="G45" s="6" t="n">
        <v>50.492467966747284</v>
      </c>
      <c r="H45" s="6" t="n">
        <v>570.2863488207818</v>
      </c>
      <c r="I45" s="6" t="n">
        <v>0.0</v>
      </c>
      <c r="J45" s="6">
        <f si="0" t="shared"/>
        <v>947.44847076349936</v>
      </c>
      <c r="L45" s="12">
        <v>0.875</v>
      </c>
      <c r="M45" s="9" t="n">
        <v>595.4779758453369</v>
      </c>
      <c r="N45" s="9" t="n">
        <v>0.0</v>
      </c>
      <c r="O45" s="9" t="n">
        <v>0.0</v>
      </c>
      <c r="P45" s="9" t="n">
        <v>0.0</v>
      </c>
      <c r="Q45" s="9" t="n">
        <v>629.2117052078247</v>
      </c>
      <c r="R45" s="9" t="n">
        <v>268.98758029937744</v>
      </c>
      <c r="S45" s="9" t="n">
        <v>1185.7492723464966</v>
      </c>
      <c r="T45" s="9" t="n">
        <v>0.0</v>
      </c>
      <c r="U45">
        <f si="1" t="shared"/>
        <v>1586.8447751998901</v>
      </c>
    </row>
    <row r="46" spans="1:21" x14ac:dyDescent="0.25">
      <c r="A46" s="12">
        <v>0.89583333333333337</v>
      </c>
      <c r="B46" s="6" t="n">
        <v>308.5630043247223</v>
      </c>
      <c r="C46" s="6" t="n">
        <v>141.47263151683808</v>
      </c>
      <c r="D46" s="6" t="n">
        <v>77.39594649410246</v>
      </c>
      <c r="E46" s="6" t="n">
        <v>382.27593830785753</v>
      </c>
      <c r="F46" s="6" t="n">
        <v>819.0903531571388</v>
      </c>
      <c r="G46" s="6" t="n">
        <v>55.40011938180923</v>
      </c>
      <c r="H46" s="6" t="n">
        <v>429.4277417109489</v>
      </c>
      <c r="I46" s="6" t="n">
        <v>0.0</v>
      </c>
      <c r="J46" s="6">
        <f si="0" t="shared"/>
        <v>719.92830690136054</v>
      </c>
      <c r="L46" s="12">
        <v>0.89583333333333337</v>
      </c>
      <c r="M46" s="9" t="n">
        <v>553.2778835296631</v>
      </c>
      <c r="N46" s="9" t="n">
        <v>0.0</v>
      </c>
      <c r="O46" s="9" t="n">
        <v>0.0</v>
      </c>
      <c r="P46" s="9" t="n">
        <v>0.0</v>
      </c>
      <c r="Q46" s="9" t="n">
        <v>524.4460382461548</v>
      </c>
      <c r="R46" s="9" t="n">
        <v>175.81254959106445</v>
      </c>
      <c r="S46" s="9" t="n">
        <v>750.0376739501953</v>
      </c>
      <c r="T46" s="9" t="n">
        <v>0.0</v>
      </c>
      <c r="U46">
        <f si="1" t="shared"/>
        <v>1426.6903400421143</v>
      </c>
    </row>
    <row r="47" spans="1:21" x14ac:dyDescent="0.25">
      <c r="A47" s="12">
        <v>0.91666666666666663</v>
      </c>
      <c r="B47" s="6" t="n">
        <v>239.0557844921112</v>
      </c>
      <c r="C47" s="6" t="n">
        <v>107.60052870655059</v>
      </c>
      <c r="D47" s="6" t="n">
        <v>44.821258678436266</v>
      </c>
      <c r="E47" s="6" t="n">
        <v>235.76517073030473</v>
      </c>
      <c r="F47" s="6" t="n">
        <v>594.0943055578231</v>
      </c>
      <c r="G47" s="6" t="n">
        <v>68.81839790563583</v>
      </c>
      <c r="H47" s="6" t="n">
        <v>410.22235311069494</v>
      </c>
      <c r="I47" s="6" t="n">
        <v>0.0</v>
      </c>
      <c r="J47" s="6">
        <f si="0" t="shared"/>
        <v>507.92656636136064</v>
      </c>
      <c r="L47" s="12">
        <v>0.91666666666666663</v>
      </c>
      <c r="M47" s="9" t="n">
        <v>516.1505937576294</v>
      </c>
      <c r="N47" s="9" t="n">
        <v>0.0</v>
      </c>
      <c r="O47" s="9" t="n">
        <v>0.0</v>
      </c>
      <c r="P47" s="9" t="n">
        <v>0.0</v>
      </c>
      <c r="Q47" s="9" t="n">
        <v>455.26247215270996</v>
      </c>
      <c r="R47" s="9" t="n">
        <v>125.15019512176514</v>
      </c>
      <c r="S47" s="9" t="n">
        <v>495.55526542663574</v>
      </c>
      <c r="T47" s="9" t="n">
        <v>0.0</v>
      </c>
      <c r="U47">
        <f si="1" t="shared"/>
        <v>1314.1534280776978</v>
      </c>
    </row>
    <row r="48" spans="1:21" x14ac:dyDescent="0.25">
      <c r="A48" s="12">
        <v>0.9375</v>
      </c>
      <c r="B48" s="6" t="n">
        <v>157.99563564977643</v>
      </c>
      <c r="C48" s="6" t="n">
        <v>74.4840054816246</v>
      </c>
      <c r="D48" s="6" t="n">
        <v>21.194255701446526</v>
      </c>
      <c r="E48" s="6" t="n">
        <v>136.4129752343178</v>
      </c>
      <c r="F48" s="6" t="n">
        <v>386.24772266883843</v>
      </c>
      <c r="G48" s="6" t="n">
        <v>84.91132459659578</v>
      </c>
      <c r="H48" s="6" t="n">
        <v>484.1061833862305</v>
      </c>
      <c r="I48" s="6" t="n">
        <v>0.0</v>
      </c>
      <c r="J48" s="6">
        <f si="0" t="shared"/>
        <v>330.10720391000939</v>
      </c>
      <c r="L48" s="12">
        <v>0.9375</v>
      </c>
      <c r="M48" s="9" t="n">
        <v>470.9868497848511</v>
      </c>
      <c r="N48" s="9" t="n">
        <v>0.0</v>
      </c>
      <c r="O48" s="9" t="n">
        <v>0.0</v>
      </c>
      <c r="P48" s="9" t="n">
        <v>0.0</v>
      </c>
      <c r="Q48" s="9" t="n">
        <v>399.08332347869873</v>
      </c>
      <c r="R48" s="9" t="n">
        <v>96.11671447753906</v>
      </c>
      <c r="S48" s="9" t="n">
        <v>342.53322982788086</v>
      </c>
      <c r="T48" s="9" t="n">
        <v>0.0</v>
      </c>
      <c r="U48">
        <f si="1" t="shared"/>
        <v>1202.9463682174683</v>
      </c>
    </row>
    <row r="49" spans="1:21" x14ac:dyDescent="0.25">
      <c r="A49" s="12">
        <v>0.95833333333333337</v>
      </c>
      <c r="B49" s="6" t="n">
        <v>87.80105359983443</v>
      </c>
      <c r="C49" s="6" t="n">
        <v>45.58072242021561</v>
      </c>
      <c r="D49" s="6" t="n">
        <v>8.05197150735855</v>
      </c>
      <c r="E49" s="6" t="n">
        <v>76.48660645151139</v>
      </c>
      <c r="F49" s="6" t="n">
        <v>230.403298196125</v>
      </c>
      <c r="G49" s="6" t="n">
        <v>97.23566987609865</v>
      </c>
      <c r="H49" s="6" t="n">
        <v>580.6866223228454</v>
      </c>
      <c r="I49" s="6" t="n">
        <v>0.0</v>
      </c>
      <c r="J49" s="6">
        <f si="0" t="shared"/>
        <v>196.63441238173866</v>
      </c>
      <c r="L49" s="12">
        <v>0.95833333333333337</v>
      </c>
      <c r="M49" s="9" t="n">
        <v>406.60768699645996</v>
      </c>
      <c r="N49" s="9" t="n">
        <v>0.0</v>
      </c>
      <c r="O49" s="9" t="n">
        <v>0.0</v>
      </c>
      <c r="P49" s="9" t="n">
        <v>0.0</v>
      </c>
      <c r="Q49" s="9" t="n">
        <v>338.2203788757324</v>
      </c>
      <c r="R49" s="9" t="n">
        <v>76.21590995788574</v>
      </c>
      <c r="S49" s="9" t="n">
        <v>243.26874256134033</v>
      </c>
      <c r="T49" s="9" t="n">
        <v>0.0</v>
      </c>
      <c r="U49">
        <f si="1" t="shared"/>
        <v>1052.4605417251587</v>
      </c>
    </row>
    <row r="50" spans="1:21" x14ac:dyDescent="0.25">
      <c r="A50" s="12">
        <v>0.97916666666666663</v>
      </c>
      <c r="B50" s="6" t="n">
        <v>40.35869768857956</v>
      </c>
      <c r="C50" s="6" t="n">
        <v>24.009064598274232</v>
      </c>
      <c r="D50" s="6" t="n">
        <v>2.39885209608078</v>
      </c>
      <c r="E50" s="6" t="n">
        <v>42.930850567817686</v>
      </c>
      <c r="F50" s="6" t="n">
        <v>131.5666341849327</v>
      </c>
      <c r="G50" s="6" t="n">
        <v>98.81098897724154</v>
      </c>
      <c r="H50" s="6" t="n">
        <v>619.3280892713547</v>
      </c>
      <c r="I50" s="6" t="n">
        <v>0.0</v>
      </c>
      <c r="J50" s="6">
        <f si="0" t="shared"/>
        <v>106.49131708038807</v>
      </c>
      <c r="L50" s="12">
        <v>0.97916666666666663</v>
      </c>
      <c r="M50" s="9" t="n">
        <v>321.3793611526489</v>
      </c>
      <c r="N50" s="9" t="n">
        <v>0.0</v>
      </c>
      <c r="O50" s="9" t="n">
        <v>0.0</v>
      </c>
      <c r="P50" s="9" t="n">
        <v>0.0</v>
      </c>
      <c r="Q50" s="9" t="n">
        <v>265.50021839141846</v>
      </c>
      <c r="R50" s="9" t="n">
        <v>58.620163917541504</v>
      </c>
      <c r="S50" s="9" t="n">
        <v>170.42972564697266</v>
      </c>
      <c r="T50" s="9" t="n">
        <v>0.0</v>
      </c>
      <c r="U50">
        <f si="1" t="shared"/>
        <v>847.26559638977051</v>
      </c>
    </row>
    <row r="51" spans="1:21" x14ac:dyDescent="0.25">
      <c r="A51" s="12">
        <v>1</v>
      </c>
      <c r="B51" s="6" t="n">
        <v>15.03641592092514</v>
      </c>
      <c r="C51" s="6" t="n">
        <v>10.613656071758271</v>
      </c>
      <c r="D51" s="6" t="n">
        <v>0.5398838396072387</v>
      </c>
      <c r="E51" s="6" t="n">
        <v>24.28083741054535</v>
      </c>
      <c r="F51" s="6" t="n">
        <v>74.84225166244505</v>
      </c>
      <c r="G51" s="6" t="n">
        <v>86.37684743423462</v>
      </c>
      <c r="H51" s="6" t="n">
        <v>558.2781652242661</v>
      </c>
      <c r="I51" s="6" t="n">
        <v>0.0</v>
      </c>
      <c r="J51" s="6">
        <f si="0" t="shared"/>
        <v>51.672594943551069</v>
      </c>
      <c r="L51" s="12">
        <v>1</v>
      </c>
      <c r="M51" s="9" t="n">
        <v>226.20191192626953</v>
      </c>
      <c r="N51" s="9" t="n">
        <v>0.0</v>
      </c>
      <c r="O51" s="9" t="n">
        <v>0.0</v>
      </c>
      <c r="P51" s="9" t="n">
        <v>0.0</v>
      </c>
      <c r="Q51" s="9" t="n">
        <v>186.54461288452148</v>
      </c>
      <c r="R51" s="9" t="n">
        <v>41.34150505065918</v>
      </c>
      <c r="S51" s="9" t="n">
        <v>112.05584716796875</v>
      </c>
      <c r="T51" s="9" t="n">
        <v>0.0</v>
      </c>
      <c r="U51">
        <f si="1" t="shared"/>
        <v>608.27228736877441</v>
      </c>
    </row>
    <row r="52" spans="1:21" x14ac:dyDescent="0.25">
      <c r="A52" s="12">
        <v>1.0208333333333333</v>
      </c>
      <c r="B52" s="6" t="n">
        <v>4.418936688423156</v>
      </c>
      <c r="C52" s="6" t="n">
        <v>3.835542779541016</v>
      </c>
      <c r="D52" s="6" t="n">
        <v>0.08631938457489013</v>
      </c>
      <c r="E52" s="6" t="n">
        <v>13.416784898376463</v>
      </c>
      <c r="F52" s="6" t="n">
        <v>42.423324638271325</v>
      </c>
      <c r="G52" s="6" t="n">
        <v>63.59645798492432</v>
      </c>
      <c r="H52" s="6" t="n">
        <v>417.80562967214587</v>
      </c>
      <c r="I52" s="6" t="n">
        <v>0.0</v>
      </c>
      <c r="J52" s="6">
        <f si="0" t="shared"/>
        <v>21.974888828455924</v>
      </c>
      <c r="L52" s="12">
        <v>1.0208333333333333</v>
      </c>
      <c r="M52" s="9" t="n">
        <v>138.61558628082275</v>
      </c>
      <c r="N52" s="9" t="n">
        <v>0.0</v>
      </c>
      <c r="O52" s="9" t="n">
        <v>0.0</v>
      </c>
      <c r="P52" s="9" t="n">
        <v>0.0</v>
      </c>
      <c r="Q52" s="9" t="n">
        <v>114.33368492126465</v>
      </c>
      <c r="R52" s="9" t="n">
        <v>25.675127029418945</v>
      </c>
      <c r="S52" s="9" t="n">
        <v>66.18529224395752</v>
      </c>
      <c r="T52" s="9" t="n">
        <v>0.0</v>
      </c>
      <c r="U52">
        <f si="1" t="shared"/>
        <v>379.96947479248047</v>
      </c>
    </row>
    <row r="53" spans="1:21" x14ac:dyDescent="0.25">
      <c r="A53" s="12">
        <v>4.1666666666666664E-2</v>
      </c>
      <c r="B53" s="6" t="n">
        <v>0.9847846570014953</v>
      </c>
      <c r="C53" s="6" t="n">
        <v>1.0984101081848145</v>
      </c>
      <c r="D53" s="6" t="n">
        <v>0.008739395236968992</v>
      </c>
      <c r="E53" s="6" t="n">
        <v>6.875731611728668</v>
      </c>
      <c r="F53" s="6" t="n">
        <v>22.901921107578275</v>
      </c>
      <c r="G53" s="6" t="n">
        <v>38.814242671966554</v>
      </c>
      <c r="H53" s="6" t="n">
        <v>256.98625432033543</v>
      </c>
      <c r="I53" s="6" t="n">
        <v>0.0</v>
      </c>
      <c r="J53" s="6">
        <f si="0" t="shared"/>
        <v>7.96007407493782</v>
      </c>
      <c r="L53" s="12">
        <v>4.1666666666666664E-2</v>
      </c>
      <c r="M53" s="9" t="n">
        <v>72.51206970214844</v>
      </c>
      <c r="N53" s="9" t="n">
        <v>0.0</v>
      </c>
      <c r="O53" s="9" t="n">
        <v>0.0</v>
      </c>
      <c r="P53" s="9" t="n">
        <v>0.0</v>
      </c>
      <c r="Q53" s="9" t="n">
        <v>59.86512470245361</v>
      </c>
      <c r="R53" s="9" t="n">
        <v>13.649002075195312</v>
      </c>
      <c r="S53" s="9" t="n">
        <v>33.95369625091553</v>
      </c>
      <c r="T53" s="9" t="n">
        <v>0.0</v>
      </c>
      <c r="U53">
        <f si="1" t="shared"/>
        <v>202.28804492950439</v>
      </c>
    </row>
    <row r="54" spans="1:21" x14ac:dyDescent="0.25">
      <c r="A54" s="12">
        <v>6.25E-2</v>
      </c>
      <c r="B54" s="6" t="n">
        <v>0.15627955770492558</v>
      </c>
      <c r="C54" s="6" t="n">
        <v>0.23905384550094605</v>
      </c>
      <c r="D54" s="6" t="n">
        <v>4.212786674499512E-4</v>
      </c>
      <c r="E54" s="6" t="n">
        <v>3.100446370983123</v>
      </c>
      <c r="F54" s="6" t="n">
        <v>11.110216830539702</v>
      </c>
      <c r="G54" s="6" t="n">
        <v>19.340668809890747</v>
      </c>
      <c r="H54" s="6" t="n">
        <v>128.48198572015764</v>
      </c>
      <c r="I54" s="6" t="n">
        <v>0.0</v>
      </c>
      <c r="J54" s="6">
        <f si="0" t="shared"/>
        <v>2.3725350006885533</v>
      </c>
      <c r="L54" s="12">
        <v>6.25E-2</v>
      </c>
      <c r="M54" s="9" t="n">
        <v>31.751480102539062</v>
      </c>
      <c r="N54" s="9" t="n">
        <v>0.0</v>
      </c>
      <c r="O54" s="9" t="n">
        <v>0.0</v>
      </c>
      <c r="P54" s="9" t="n">
        <v>0.0</v>
      </c>
      <c r="Q54" s="9" t="n">
        <v>26.250182151794434</v>
      </c>
      <c r="R54" s="9" t="n">
        <v>6.0688276290893555</v>
      </c>
      <c r="S54" s="9" t="n">
        <v>14.719955444335938</v>
      </c>
      <c r="T54" s="9" t="n">
        <v>0.0</v>
      </c>
      <c r="U54">
        <f si="1" t="shared"/>
        <v>89.962518692016602</v>
      </c>
    </row>
    <row r="55" spans="1:21" x14ac:dyDescent="0.25">
      <c r="A55" s="12">
        <v>8.3333333333333329E-2</v>
      </c>
      <c r="B55" s="6" t="n">
        <v>0.015725835800170902</v>
      </c>
      <c r="C55" s="6" t="n">
        <v>0.037072422981262204</v>
      </c>
      <c r="D55" s="6" t="n">
        <v>0.0</v>
      </c>
      <c r="E55" s="6" t="n">
        <v>1.1742882359504698</v>
      </c>
      <c r="F55" s="6" t="n">
        <v>4.619962546253204</v>
      </c>
      <c r="G55" s="6" t="n">
        <v>7.726474520111084</v>
      </c>
      <c r="H55" s="6" t="n">
        <v>51.39231432495117</v>
      </c>
      <c r="I55" s="6" t="n">
        <v>0.0</v>
      </c>
      <c r="J55" s="6">
        <f si="0" t="shared"/>
        <v>0.55758711106014258</v>
      </c>
      <c r="L55" s="12">
        <v>8.3333333333333329E-2</v>
      </c>
      <c r="M55" s="9" t="n">
        <v>11.379535675048828</v>
      </c>
      <c r="N55" s="9" t="n">
        <v>0.0</v>
      </c>
      <c r="O55" s="9" t="n">
        <v>0.0</v>
      </c>
      <c r="P55" s="9" t="n">
        <v>0.0</v>
      </c>
      <c r="Q55" s="9" t="n">
        <v>9.425497055053711</v>
      </c>
      <c r="R55" s="9" t="n">
        <v>2.2044172286987305</v>
      </c>
      <c r="S55" s="9" t="n">
        <v>5.251861572265625</v>
      </c>
      <c r="T55" s="9" t="n">
        <v>0.0</v>
      </c>
      <c r="U55">
        <f si="1" t="shared"/>
        <v>32.678110122680664</v>
      </c>
    </row>
    <row r="56" spans="1:21" x14ac:dyDescent="0.25">
      <c r="A56" s="12">
        <v>0.10416666666666667</v>
      </c>
      <c r="B56" s="6" t="n">
        <v>7.539058685302734E-4</v>
      </c>
      <c r="C56" s="6" t="n">
        <v>0.003644583034515381</v>
      </c>
      <c r="D56" s="6" t="n">
        <v>0.0</v>
      </c>
      <c r="E56" s="6" t="n">
        <v>0.35741045341491695</v>
      </c>
      <c r="F56" s="6" t="n">
        <v>1.5867389250755308</v>
      </c>
      <c r="G56" s="6" t="n">
        <v>2.4131070653915407</v>
      </c>
      <c r="H56" s="6" t="n">
        <v>16.056783448791506</v>
      </c>
      <c r="I56" s="6" t="n">
        <v>0.0</v>
      </c>
      <c r="J56" s="6">
        <f si="0" t="shared"/>
        <v>9.759830979347231E-2</v>
      </c>
      <c r="L56" s="12">
        <v>0.10416666666666667</v>
      </c>
      <c r="M56" s="9" t="n">
        <v>3.2428770065307617</v>
      </c>
      <c r="N56" s="9" t="n">
        <v>0.0</v>
      </c>
      <c r="O56" s="9" t="n">
        <v>0.0</v>
      </c>
      <c r="P56" s="9" t="n">
        <v>0.0</v>
      </c>
      <c r="Q56" s="9" t="n">
        <v>2.692441940307617</v>
      </c>
      <c r="R56" s="9" t="n">
        <v>0.6353893280029297</v>
      </c>
      <c r="S56" s="9" t="n">
        <v>1.4949207305908203</v>
      </c>
      <c r="T56" s="9" t="n">
        <v>0.0</v>
      </c>
      <c r="U56">
        <f si="1" t="shared"/>
        <v>9.4201564788818359</v>
      </c>
    </row>
    <row r="57" spans="1:21" x14ac:dyDescent="0.25">
      <c r="A57" s="12">
        <v>0.125</v>
      </c>
      <c r="B57" s="6" t="n">
        <v>0.0</v>
      </c>
      <c r="C57" s="6" t="n">
        <v>1.7056779861450194E-4</v>
      </c>
      <c r="D57" s="6" t="n">
        <v>0.0</v>
      </c>
      <c r="E57" s="6" t="n">
        <v>0.08177400035858154</v>
      </c>
      <c r="F57" s="6" t="n">
        <v>0.4221624698638916</v>
      </c>
      <c r="G57" s="6" t="n">
        <v>0.5579033966064454</v>
      </c>
      <c r="H57" s="6" t="n">
        <v>3.7125510864257816</v>
      </c>
      <c r="I57" s="6" t="n">
        <v>0.0</v>
      </c>
      <c r="J57" s="6">
        <f si="0" t="shared"/>
        <v>1.1640554230690001E-2</v>
      </c>
      <c r="L57" s="12">
        <v>0.125</v>
      </c>
      <c r="M57" s="9" t="n">
        <v>0.6949472427368164</v>
      </c>
      <c r="N57" s="9" t="n">
        <v>0.0</v>
      </c>
      <c r="O57" s="9" t="n">
        <v>0.0</v>
      </c>
      <c r="P57" s="9" t="n">
        <v>0.0</v>
      </c>
      <c r="Q57" s="9" t="n">
        <v>0.5786075592041016</v>
      </c>
      <c r="R57" s="9" t="n">
        <v>0.1374359130859375</v>
      </c>
      <c r="S57" s="9" t="n">
        <v>0.3206520080566406</v>
      </c>
      <c r="T57" s="9" t="n">
        <v>0.0</v>
      </c>
      <c r="U57">
        <f si="1" t="shared"/>
        <v>2.0381555557250977</v>
      </c>
    </row>
    <row ht="15.75" r="58" spans="1:21" thickBot="1" x14ac:dyDescent="0.3">
      <c r="A58" s="13" t="s">
        <v>6</v>
      </c>
      <c r="B58" s="7" t="n">
        <v>0.0</v>
      </c>
      <c r="C58" s="7" t="n">
        <v>0.0</v>
      </c>
      <c r="D58" s="7" t="n">
        <v>0.0</v>
      </c>
      <c r="E58" s="7" t="n">
        <v>0.0</v>
      </c>
      <c r="F58" s="7" t="n">
        <v>0.0</v>
      </c>
      <c r="G58" s="7" t="n">
        <v>0.0</v>
      </c>
      <c r="H58" s="7" t="n">
        <v>0.0</v>
      </c>
      <c r="I58" s="7" t="n">
        <v>0.0</v>
      </c>
      <c r="J58" s="7">
        <f si="0" t="shared"/>
        <v>0</v>
      </c>
      <c r="L58" s="13" t="s">
        <v>6</v>
      </c>
      <c r="M58" s="10" t="n">
        <v>0.0</v>
      </c>
      <c r="N58" s="10" t="n">
        <v>0.0</v>
      </c>
      <c r="O58" s="10" t="n">
        <v>0.0</v>
      </c>
      <c r="P58" s="10" t="n">
        <v>0.0</v>
      </c>
      <c r="Q58" s="10" t="n">
        <v>0.0</v>
      </c>
      <c r="R58" s="10" t="n">
        <v>0.0</v>
      </c>
      <c r="S58" s="10" t="n">
        <v>0.0</v>
      </c>
      <c r="T58" s="10" t="n">
        <v>0.0</v>
      </c>
      <c r="U58" s="1">
        <f si="1" t="shared"/>
        <v>0</v>
      </c>
    </row>
  </sheetData>
  <pageMargins bottom="0.75" footer="0.3" header="0.3" left="0.7" right="0.7" top="0.75"/>
  <drawing r:id="rId1"/>
</worksheet>
</file>

<file path=xl/worksheets/sheet10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Z58"/>
  <sheetViews>
    <sheetView topLeftCell="L1" workbookViewId="0">
      <selection sqref="A1:XFD1048576"/>
    </sheetView>
  </sheetViews>
  <sheetFormatPr defaultRowHeight="15" x14ac:dyDescent="0.25"/>
  <cols>
    <col min="1" max="1" customWidth="true" width="12.7109375" collapsed="true"/>
    <col min="2" max="10" customWidth="true" width="10.7109375" collapsed="true"/>
    <col min="11" max="11" customWidth="true" width="6.42578125" collapsed="true"/>
    <col min="12" max="12" customWidth="true" width="12.7109375" collapsed="true"/>
    <col min="13" max="21" customWidth="true" width="10.7109375" collapsed="true"/>
  </cols>
  <sheetData>
    <row r="1" spans="1:26" x14ac:dyDescent="0.25">
      <c r="A1" t="s">
        <v>42</v>
      </c>
    </row>
    <row r="2" spans="1:26" x14ac:dyDescent="0.25">
      <c r="A2" t="s">
        <v>46</v>
      </c>
    </row>
    <row r="3" spans="1:26" x14ac:dyDescent="0.25">
      <c r="A3" t="s">
        <v>7</v>
      </c>
    </row>
    <row r="4" spans="1:26" x14ac:dyDescent="0.25">
      <c r="A4" t="s">
        <v>8</v>
      </c>
    </row>
    <row r="5" spans="1:26" x14ac:dyDescent="0.25">
      <c r="W5" s="5"/>
      <c r="X5" s="5"/>
      <c r="Y5" s="5"/>
      <c r="Z5" s="5"/>
    </row>
    <row ht="15.75" r="6" spans="1:26" thickBot="1" x14ac:dyDescent="0.3">
      <c r="A6" s="3" t="s">
        <v>57</v>
      </c>
      <c r="B6" s="1"/>
      <c r="C6" s="1"/>
      <c r="D6" s="1"/>
      <c r="E6" s="1"/>
      <c r="F6" s="1"/>
      <c r="G6" s="1"/>
      <c r="H6" s="1"/>
      <c r="I6" s="1"/>
      <c r="J6" s="1"/>
      <c r="L6" s="3" t="s">
        <v>43</v>
      </c>
      <c r="M6" s="1"/>
      <c r="N6" s="1"/>
      <c r="O6" s="1"/>
      <c r="P6" s="1"/>
      <c r="Q6" s="1"/>
      <c r="R6" s="1"/>
      <c r="S6" s="1"/>
      <c r="T6" s="1"/>
      <c r="U6" s="1"/>
      <c r="W6" s="11"/>
      <c r="X6" s="5"/>
      <c r="Y6" s="5"/>
      <c r="Z6" s="5"/>
    </row>
    <row r="7" spans="1:26" x14ac:dyDescent="0.25">
      <c r="A7" s="2" t="s">
        <v>4</v>
      </c>
      <c r="B7" s="4" t="s">
        <v>17</v>
      </c>
      <c r="C7" s="4" t="s">
        <v>18</v>
      </c>
      <c r="D7" s="4" t="s">
        <v>19</v>
      </c>
      <c r="E7" s="4" t="s">
        <v>20</v>
      </c>
      <c r="F7" s="4" t="s">
        <v>21</v>
      </c>
      <c r="G7" s="4" t="s">
        <v>24</v>
      </c>
      <c r="H7" s="4" t="s">
        <v>22</v>
      </c>
      <c r="I7" s="4" t="s">
        <v>23</v>
      </c>
      <c r="J7" s="4" t="s">
        <v>0</v>
      </c>
      <c r="L7" s="2" t="s">
        <v>4</v>
      </c>
      <c r="M7" s="4" t="s">
        <v>17</v>
      </c>
      <c r="N7" s="4" t="s">
        <v>18</v>
      </c>
      <c r="O7" s="4" t="s">
        <v>19</v>
      </c>
      <c r="P7" s="4" t="s">
        <v>20</v>
      </c>
      <c r="Q7" s="4" t="s">
        <v>21</v>
      </c>
      <c r="R7" s="4" t="s">
        <v>24</v>
      </c>
      <c r="S7" s="4" t="s">
        <v>22</v>
      </c>
      <c r="T7" s="4" t="s">
        <v>23</v>
      </c>
      <c r="U7" s="4" t="s">
        <v>0</v>
      </c>
      <c r="W7" s="5"/>
      <c r="X7" s="14"/>
      <c r="Y7" s="14"/>
      <c r="Z7" s="5"/>
    </row>
    <row r="8" spans="1:26" x14ac:dyDescent="0.25">
      <c r="A8" t="s">
        <v>5</v>
      </c>
      <c r="B8" s="6" t="n">
        <v>0.0</v>
      </c>
      <c r="C8" s="6" t="n">
        <v>0.0</v>
      </c>
      <c r="D8" s="6" t="n">
        <v>0.0</v>
      </c>
      <c r="E8" s="6" t="n">
        <v>0.0</v>
      </c>
      <c r="F8" s="6" t="n">
        <v>0.0</v>
      </c>
      <c r="G8" s="6" t="n">
        <v>0.0</v>
      </c>
      <c r="H8" s="6" t="n">
        <v>0.0</v>
      </c>
      <c r="I8" s="6" t="n">
        <v>0.0</v>
      </c>
      <c r="J8" s="6">
        <f>SUM(B8:I8)</f>
        <v>2035.6809600000001</v>
      </c>
      <c r="L8" t="s">
        <v>5</v>
      </c>
      <c r="M8" s="9" t="n">
        <v>65.0</v>
      </c>
      <c r="N8" s="9" t="n">
        <v>9.0</v>
      </c>
      <c r="O8" s="9" t="n">
        <v>1.0</v>
      </c>
      <c r="P8" s="9" t="n">
        <v>13.0</v>
      </c>
      <c r="Q8" s="9" t="n">
        <v>17.0</v>
      </c>
      <c r="R8" s="9" t="n">
        <v>0.0</v>
      </c>
      <c r="S8" s="9" t="n">
        <v>14.0</v>
      </c>
      <c r="T8" s="9" t="n">
        <v>0.0</v>
      </c>
      <c r="U8">
        <f>SUM(M8:T8)</f>
        <v>10663</v>
      </c>
      <c r="W8" s="5"/>
      <c r="X8" s="16"/>
      <c r="Y8" s="16"/>
      <c r="Z8" s="5"/>
    </row>
    <row r="9" spans="1:26" x14ac:dyDescent="0.25">
      <c r="A9" s="12">
        <v>0.125</v>
      </c>
      <c r="B9" s="6" t="n">
        <v>360.89918767290123</v>
      </c>
      <c r="C9" s="6" t="n">
        <v>67.17049975357055</v>
      </c>
      <c r="D9" s="6" t="n">
        <v>4.294850805950165</v>
      </c>
      <c r="E9" s="6" t="n">
        <v>132.97231736478807</v>
      </c>
      <c r="F9" s="6" t="n">
        <v>22.760864030838015</v>
      </c>
      <c r="G9" s="6" t="n">
        <v>0.0</v>
      </c>
      <c r="H9" s="6" t="n">
        <v>160.64255199756622</v>
      </c>
      <c r="I9" s="6" t="n">
        <v>0.0</v>
      </c>
      <c r="J9" s="6">
        <f ref="J9:J58" si="0" t="shared">SUM(B9:I9)</f>
        <v>1402.9366956898793</v>
      </c>
      <c r="L9" s="12">
        <v>0.125</v>
      </c>
      <c r="M9" s="9" t="n">
        <v>344.754319190979</v>
      </c>
      <c r="N9" s="9" t="n">
        <v>46.17490768432617</v>
      </c>
      <c r="O9" s="9" t="n">
        <v>31.078563690185547</v>
      </c>
      <c r="P9" s="9" t="n">
        <v>101.79003715515137</v>
      </c>
      <c r="Q9" s="9" t="n">
        <v>58.360727310180664</v>
      </c>
      <c r="R9" s="9" t="n">
        <v>11.13527774810791</v>
      </c>
      <c r="S9" s="9" t="n">
        <v>104.70981407165527</v>
      </c>
      <c r="T9" s="9" t="n">
        <v>0.0</v>
      </c>
      <c r="U9">
        <f ref="U9:U58" si="1" t="shared">SUM(M9:T9)</f>
        <v>7420.0675344467163</v>
      </c>
      <c r="W9" s="5"/>
      <c r="X9" s="16"/>
      <c r="Y9" s="16"/>
      <c r="Z9" s="5"/>
    </row>
    <row r="10" spans="1:26" x14ac:dyDescent="0.25">
      <c r="A10" s="12">
        <v>0.14583333333333334</v>
      </c>
      <c r="B10" s="6" t="n">
        <v>782.7347747984886</v>
      </c>
      <c r="C10" s="6" t="n">
        <v>138.74160718975065</v>
      </c>
      <c r="D10" s="6" t="n">
        <v>16.973357324790957</v>
      </c>
      <c r="E10" s="6" t="n">
        <v>280.5003753499985</v>
      </c>
      <c r="F10" s="6" t="n">
        <v>45.389021210002895</v>
      </c>
      <c r="G10" s="6" t="n">
        <v>3.9018478393554687E-4</v>
      </c>
      <c r="H10" s="6" t="n">
        <v>306.2809384696007</v>
      </c>
      <c r="I10" s="6" t="n">
        <v>0.0</v>
      </c>
      <c r="J10" s="6">
        <f si="0" t="shared"/>
        <v>922.43020435872472</v>
      </c>
      <c r="L10" s="12">
        <v>0.14583333333333334</v>
      </c>
      <c r="M10" s="9" t="n">
        <v>538.0238246917725</v>
      </c>
      <c r="N10" s="9" t="n">
        <v>72.48290729522705</v>
      </c>
      <c r="O10" s="9" t="n">
        <v>52.26863765716553</v>
      </c>
      <c r="P10" s="9" t="n">
        <v>159.56270027160645</v>
      </c>
      <c r="Q10" s="9" t="n">
        <v>80.43556594848633</v>
      </c>
      <c r="R10" s="9" t="n">
        <v>17.98655605316162</v>
      </c>
      <c r="S10" s="9" t="n">
        <v>158.636004447937</v>
      </c>
      <c r="T10" s="9" t="n">
        <v>0.0</v>
      </c>
      <c r="U10">
        <f si="1" t="shared"/>
        <v>4759.0420455932617</v>
      </c>
      <c r="W10" s="5"/>
      <c r="X10" s="16"/>
      <c r="Y10" s="16"/>
      <c r="Z10" s="5"/>
    </row>
    <row r="11" spans="1:26" x14ac:dyDescent="0.25">
      <c r="A11" s="12">
        <v>0.16666666666666666</v>
      </c>
      <c r="B11" s="6" t="n">
        <v>1347.179300506878</v>
      </c>
      <c r="C11" s="6" t="n">
        <v>231.27419550733566</v>
      </c>
      <c r="D11" s="6" t="n">
        <v>54.04544944429398</v>
      </c>
      <c r="E11" s="6" t="n">
        <v>465.66211019906996</v>
      </c>
      <c r="F11" s="6" t="n">
        <v>68.86898863182067</v>
      </c>
      <c r="G11" s="6" t="n">
        <v>0.008374376106262205</v>
      </c>
      <c r="H11" s="6" t="n">
        <v>413.9490089297295</v>
      </c>
      <c r="I11" s="6" t="n">
        <v>0.0</v>
      </c>
      <c r="J11" s="6">
        <f si="0" t="shared"/>
        <v>722.0297844368456</v>
      </c>
      <c r="L11" s="12">
        <v>0.16666666666666666</v>
      </c>
      <c r="M11" s="9" t="n">
        <v>670.943187713623</v>
      </c>
      <c r="N11" s="9" t="n">
        <v>96.68194675445557</v>
      </c>
      <c r="O11" s="9" t="n">
        <v>72.54813480377197</v>
      </c>
      <c r="P11" s="9" t="n">
        <v>200.33426189422607</v>
      </c>
      <c r="Q11" s="9" t="n">
        <v>80.19328594207764</v>
      </c>
      <c r="R11" s="9" t="n">
        <v>20.230807304382324</v>
      </c>
      <c r="S11" s="9" t="n">
        <v>175.11384677886963</v>
      </c>
      <c r="T11" s="9" t="n">
        <v>0.0</v>
      </c>
      <c r="U11">
        <f si="1" t="shared"/>
        <v>3032.5613946914673</v>
      </c>
      <c r="W11" s="5"/>
      <c r="X11" s="16"/>
      <c r="Y11" s="16"/>
      <c r="Z11" s="5"/>
    </row>
    <row r="12" spans="1:26" x14ac:dyDescent="0.25">
      <c r="A12" s="12">
        <v>0.1875</v>
      </c>
      <c r="B12" s="6" t="n">
        <v>2159.18157910862</v>
      </c>
      <c r="C12" s="6" t="n">
        <v>379.1349356589318</v>
      </c>
      <c r="D12" s="6" t="n">
        <v>145.1824733150482</v>
      </c>
      <c r="E12" s="6" t="n">
        <v>737.6773792014124</v>
      </c>
      <c r="F12" s="6" t="n">
        <v>96.58019898986817</v>
      </c>
      <c r="G12" s="6" t="n">
        <v>0.08568215370178223</v>
      </c>
      <c r="H12" s="6" t="n">
        <v>464.2702368299484</v>
      </c>
      <c r="I12" s="6" t="n">
        <v>0.0</v>
      </c>
      <c r="J12" s="6">
        <f si="0" t="shared"/>
        <v>916.31272915888769</v>
      </c>
      <c r="L12" s="12">
        <v>0.1875</v>
      </c>
      <c r="M12" s="9" t="n">
        <v>921.6714906692505</v>
      </c>
      <c r="N12" s="9" t="n">
        <v>159.71710586547852</v>
      </c>
      <c r="O12" s="9" t="n">
        <v>129.94651412963867</v>
      </c>
      <c r="P12" s="9" t="n">
        <v>310.57919120788574</v>
      </c>
      <c r="Q12" s="9" t="n">
        <v>73.97546482086182</v>
      </c>
      <c r="R12" s="9" t="n">
        <v>22.47014331817627</v>
      </c>
      <c r="S12" s="9" t="n">
        <v>200.1053705215454</v>
      </c>
      <c r="T12" s="9" t="n">
        <v>0.0</v>
      </c>
      <c r="U12">
        <f si="1" t="shared"/>
        <v>2316.9617824554443</v>
      </c>
      <c r="W12" s="5"/>
      <c r="X12" s="5"/>
      <c r="Y12" s="5"/>
      <c r="Z12" s="5"/>
    </row>
    <row r="13" spans="1:26" x14ac:dyDescent="0.25">
      <c r="A13" s="12">
        <v>0.20833333333333334</v>
      </c>
      <c r="B13" s="6" t="n">
        <v>3322.162586567021</v>
      </c>
      <c r="C13" s="6" t="n">
        <v>634.9965260653496</v>
      </c>
      <c r="D13" s="6" t="n">
        <v>334.3390543989182</v>
      </c>
      <c r="E13" s="6" t="n">
        <v>1196.5516287749292</v>
      </c>
      <c r="F13" s="6" t="n">
        <v>135.50124818725587</v>
      </c>
      <c r="G13" s="6" t="n">
        <v>0.5561346202850342</v>
      </c>
      <c r="H13" s="6" t="n">
        <v>465.7170133586883</v>
      </c>
      <c r="I13" s="6" t="n">
        <v>0.0</v>
      </c>
      <c r="J13" s="6">
        <f si="0" t="shared"/>
        <v>1637.3189891507043</v>
      </c>
      <c r="L13" s="12">
        <v>0.20833333333333334</v>
      </c>
      <c r="M13" s="9" t="n">
        <v>1572.6982040405273</v>
      </c>
      <c r="N13" s="9" t="n">
        <v>338.60623264312744</v>
      </c>
      <c r="O13" s="9" t="n">
        <v>302.5131778717041</v>
      </c>
      <c r="P13" s="9" t="n">
        <v>659.1775646209717</v>
      </c>
      <c r="Q13" s="9" t="n">
        <v>88.74602603912354</v>
      </c>
      <c r="R13" s="9" t="n">
        <v>32.234130859375</v>
      </c>
      <c r="S13" s="9" t="n">
        <v>311.08945178985596</v>
      </c>
      <c r="T13" s="9" t="n">
        <v>0.0</v>
      </c>
      <c r="U13">
        <f si="1" t="shared"/>
        <v>2542.9919900894165</v>
      </c>
    </row>
    <row r="14" spans="1:26" x14ac:dyDescent="0.25">
      <c r="A14" s="12">
        <v>0.22916666666666666</v>
      </c>
      <c r="B14" s="6" t="n">
        <v>4888.800919351865</v>
      </c>
      <c r="C14" s="6" t="n">
        <v>1066.084966119957</v>
      </c>
      <c r="D14" s="6" t="n">
        <v>673.2956577224733</v>
      </c>
      <c r="E14" s="6" t="n">
        <v>2006.6828271852496</v>
      </c>
      <c r="F14" s="6" t="n">
        <v>196.5329333235741</v>
      </c>
      <c r="G14" s="6" t="n">
        <v>2.571283255004883</v>
      </c>
      <c r="H14" s="6" t="n">
        <v>465.47821764917364</v>
      </c>
      <c r="I14" s="6" t="n">
        <v>0.0</v>
      </c>
      <c r="J14" s="6">
        <f si="0" t="shared"/>
        <v>3019.0733768535251</v>
      </c>
      <c r="L14" s="12">
        <v>0.22916666666666666</v>
      </c>
      <c r="M14" s="9" t="n">
        <v>2901.5360946655273</v>
      </c>
      <c r="N14" s="9" t="n">
        <v>739.312539100647</v>
      </c>
      <c r="O14" s="9" t="n">
        <v>712.6402187347412</v>
      </c>
      <c r="P14" s="9" t="n">
        <v>1490.7454042434692</v>
      </c>
      <c r="Q14" s="9" t="n">
        <v>152.05363368988037</v>
      </c>
      <c r="R14" s="9" t="n">
        <v>56.985727310180664</v>
      </c>
      <c r="S14" s="9" t="n">
        <v>591.6872282028198</v>
      </c>
      <c r="T14" s="9" t="n">
        <v>0.0</v>
      </c>
      <c r="U14">
        <f si="1" t="shared"/>
        <v>3641.621410369873</v>
      </c>
    </row>
    <row r="15" spans="1:26" x14ac:dyDescent="0.25">
      <c r="A15" s="12">
        <v>0.25</v>
      </c>
      <c r="B15" s="6" t="n">
        <v>6802.834246691991</v>
      </c>
      <c r="C15" s="6" t="n">
        <v>1737.5611469876292</v>
      </c>
      <c r="D15" s="6" t="n">
        <v>1215.422265111542</v>
      </c>
      <c r="E15" s="6" t="n">
        <v>3371.671378417015</v>
      </c>
      <c r="F15" s="6" t="n">
        <v>292.00599928474435</v>
      </c>
      <c r="G15" s="6" t="n">
        <v>9.017225176429749</v>
      </c>
      <c r="H15" s="6" t="n">
        <v>532.0354742609023</v>
      </c>
      <c r="I15" s="6" t="n">
        <v>0.0</v>
      </c>
      <c r="J15" s="6">
        <f si="0" t="shared"/>
        <v>5088.446929428037</v>
      </c>
      <c r="L15" s="12">
        <v>0.25</v>
      </c>
      <c r="M15" s="9" t="n">
        <v>5038.059190750122</v>
      </c>
      <c r="N15" s="9" t="n">
        <v>1470.7232818603516</v>
      </c>
      <c r="O15" s="9" t="n">
        <v>1513.3509330749512</v>
      </c>
      <c r="P15" s="9" t="n">
        <v>3082.5516109466553</v>
      </c>
      <c r="Q15" s="9" t="n">
        <v>286.0882921218872</v>
      </c>
      <c r="R15" s="9" t="n">
        <v>101.2587833404541</v>
      </c>
      <c r="S15" s="9" t="n">
        <v>1103.1271753311157</v>
      </c>
      <c r="T15" s="9" t="n">
        <v>0.0</v>
      </c>
      <c r="U15">
        <f si="1" t="shared"/>
        <v>5569.1973896026611</v>
      </c>
    </row>
    <row r="16" spans="1:26" x14ac:dyDescent="0.25">
      <c r="A16" s="12">
        <v>0.27083333333333331</v>
      </c>
      <c r="B16" s="6" t="n">
        <v>8860.771403990939</v>
      </c>
      <c r="C16" s="6" t="n">
        <v>2676.687898521138</v>
      </c>
      <c r="D16" s="6" t="n">
        <v>2020.1877774324416</v>
      </c>
      <c r="E16" s="6" t="n">
        <v>5451.558103187656</v>
      </c>
      <c r="F16" s="6" t="n">
        <v>428.3839499366761</v>
      </c>
      <c r="G16" s="6" t="n">
        <v>24.949620972824093</v>
      </c>
      <c r="H16" s="6" t="n">
        <v>721.1386036941527</v>
      </c>
      <c r="I16" s="6" t="n">
        <v>0.0</v>
      </c>
      <c r="J16" s="6">
        <f si="0" t="shared"/>
        <v>7619.1706579372285</v>
      </c>
      <c r="L16" s="12">
        <v>0.27083333333333331</v>
      </c>
      <c r="M16" s="9" t="n">
        <v>7841.4906549453735</v>
      </c>
      <c r="N16" s="9" t="n">
        <v>2597.8617553710938</v>
      </c>
      <c r="O16" s="9" t="n">
        <v>2843.79763507843</v>
      </c>
      <c r="P16" s="9" t="n">
        <v>5645.284510612488</v>
      </c>
      <c r="Q16" s="9" t="n">
        <v>503.04175567626953</v>
      </c>
      <c r="R16" s="9" t="n">
        <v>164.18195152282715</v>
      </c>
      <c r="S16" s="9" t="n">
        <v>1853.292254447937</v>
      </c>
      <c r="T16" s="9" t="n">
        <v>0.0</v>
      </c>
      <c r="U16">
        <f si="1" t="shared"/>
        <v>8223.6176815032959</v>
      </c>
    </row>
    <row r="17" spans="1:21" x14ac:dyDescent="0.25">
      <c r="A17" s="12">
        <v>0.29166666666666669</v>
      </c>
      <c r="B17" s="6" t="n">
        <v>10731.039021525481</v>
      </c>
      <c r="C17" s="6" t="n">
        <v>3833.1851141263965</v>
      </c>
      <c r="D17" s="6" t="n">
        <v>3161.6753544481276</v>
      </c>
      <c r="E17" s="6" t="n">
        <v>8240.458638286877</v>
      </c>
      <c r="F17" s="6" t="n">
        <v>596.93747333107</v>
      </c>
      <c r="G17" s="6" t="n">
        <v>55.975085884094234</v>
      </c>
      <c r="H17" s="6" t="n">
        <v>1048.3286893159866</v>
      </c>
      <c r="I17" s="6" t="n">
        <v>0.0</v>
      </c>
      <c r="J17" s="6">
        <f si="0" t="shared"/>
        <v>10105.849117751064</v>
      </c>
      <c r="L17" s="12">
        <v>0.29166666666666669</v>
      </c>
      <c r="M17" s="9" t="n">
        <v>10888.332905769348</v>
      </c>
      <c r="N17" s="9" t="n">
        <v>4092.901210784912</v>
      </c>
      <c r="O17" s="9" t="n">
        <v>4760.684006690979</v>
      </c>
      <c r="P17" s="9" t="n">
        <v>9192.493270874023</v>
      </c>
      <c r="Q17" s="9" t="n">
        <v>799.3804187774658</v>
      </c>
      <c r="R17" s="9" t="n">
        <v>238.50218772888184</v>
      </c>
      <c r="S17" s="9" t="n">
        <v>2775.382616043091</v>
      </c>
      <c r="T17" s="9" t="n">
        <v>0.0</v>
      </c>
      <c r="U17">
        <f si="1" t="shared"/>
        <v>11367.887697219849</v>
      </c>
    </row>
    <row r="18" spans="1:21" x14ac:dyDescent="0.25">
      <c r="A18" s="12">
        <v>0.3125</v>
      </c>
      <c r="B18" s="6" t="n">
        <v>12055.972874191571</v>
      </c>
      <c r="C18" s="6" t="n">
        <v>5069.073302723407</v>
      </c>
      <c r="D18" s="6" t="n">
        <v>4712.5248969216345</v>
      </c>
      <c r="E18" s="6" t="n">
        <v>11478.693393334484</v>
      </c>
      <c r="F18" s="6" t="n">
        <v>772.1511821508408</v>
      </c>
      <c r="G18" s="6" t="n">
        <v>103.95776991519928</v>
      </c>
      <c r="H18" s="6" t="n">
        <v>1481.0293943491934</v>
      </c>
      <c r="I18" s="6" t="n">
        <v>0.0</v>
      </c>
      <c r="J18" s="6">
        <f si="0" t="shared"/>
        <v>11966.436775568314</v>
      </c>
      <c r="L18" s="12">
        <v>0.3125</v>
      </c>
      <c r="M18" s="9" t="n">
        <v>13621.723582267761</v>
      </c>
      <c r="N18" s="9" t="n">
        <v>5815.713938713074</v>
      </c>
      <c r="O18" s="9" t="n">
        <v>7178.010548591614</v>
      </c>
      <c r="P18" s="9" t="n">
        <v>13453.724232673645</v>
      </c>
      <c r="Q18" s="9" t="n">
        <v>1151.8996677398682</v>
      </c>
      <c r="R18" s="9" t="n">
        <v>312.66822052001953</v>
      </c>
      <c r="S18" s="9" t="n">
        <v>3736.544147491455</v>
      </c>
      <c r="T18" s="9" t="n">
        <v>0.0</v>
      </c>
      <c r="U18">
        <f si="1" t="shared"/>
        <v>14659.325897216797</v>
      </c>
    </row>
    <row r="19" spans="1:21" x14ac:dyDescent="0.25">
      <c r="A19" s="12">
        <v>0.33333333333333331</v>
      </c>
      <c r="B19" s="6" t="n">
        <v>12614.060117967416</v>
      </c>
      <c r="C19" s="6" t="n">
        <v>6201.030728230857</v>
      </c>
      <c r="D19" s="6" t="n">
        <v>6690.800295672702</v>
      </c>
      <c r="E19" s="6" t="n">
        <v>14701.048519028473</v>
      </c>
      <c r="F19" s="6" t="n">
        <v>925.1557348468782</v>
      </c>
      <c r="G19" s="6" t="n">
        <v>162.60189684257506</v>
      </c>
      <c r="H19" s="6" t="n">
        <v>1950.01037708807</v>
      </c>
      <c r="I19" s="6" t="n">
        <v>0.0</v>
      </c>
      <c r="J19" s="6">
        <f si="0" t="shared"/>
        <v>12873.212864686302</v>
      </c>
      <c r="L19" s="12">
        <v>0.33333333333333331</v>
      </c>
      <c r="M19" s="9" t="n">
        <v>15584.884202957153</v>
      </c>
      <c r="N19" s="9" t="n">
        <v>7542.890693664551</v>
      </c>
      <c r="O19" s="9" t="n">
        <v>9854.82271194458</v>
      </c>
      <c r="P19" s="9" t="n">
        <v>17903.616291999817</v>
      </c>
      <c r="Q19" s="9" t="n">
        <v>1519.8188228607178</v>
      </c>
      <c r="R19" s="9" t="n">
        <v>375.57495880126953</v>
      </c>
      <c r="S19" s="9" t="n">
        <v>4581.200629234314</v>
      </c>
      <c r="T19" s="9" t="n">
        <v>0.0</v>
      </c>
      <c r="U19">
        <f si="1" t="shared"/>
        <v>17778.953653335571</v>
      </c>
    </row>
    <row r="20" spans="1:21" x14ac:dyDescent="0.25">
      <c r="A20" s="12">
        <v>0.35416666666666669</v>
      </c>
      <c r="B20" s="6" t="n">
        <v>12451.887725534056</v>
      </c>
      <c r="C20" s="6" t="n">
        <v>7084.539142972373</v>
      </c>
      <c r="D20" s="6" t="n">
        <v>9012.824869470693</v>
      </c>
      <c r="E20" s="6" t="n">
        <v>17454.555969113444</v>
      </c>
      <c r="F20" s="6" t="n">
        <v>1043.9346778388979</v>
      </c>
      <c r="G20" s="6" t="n">
        <v>217.63873687076565</v>
      </c>
      <c r="H20" s="6" t="n">
        <v>2375.975381260014</v>
      </c>
      <c r="I20" s="6" t="n">
        <v>0.0</v>
      </c>
      <c r="J20" s="6">
        <f si="0" t="shared"/>
        <v>12952.806619349853</v>
      </c>
      <c r="L20" s="12">
        <v>0.35416666666666669</v>
      </c>
      <c r="M20" s="9" t="n">
        <v>16582.42529773712</v>
      </c>
      <c r="N20" s="9" t="n">
        <v>9034.606233596802</v>
      </c>
      <c r="O20" s="9" t="n">
        <v>12449.105460166931</v>
      </c>
      <c r="P20" s="9" t="n">
        <v>21913.86326599121</v>
      </c>
      <c r="Q20" s="9" t="n">
        <v>1853.890432357788</v>
      </c>
      <c r="R20" s="9" t="n">
        <v>421.0495376586914</v>
      </c>
      <c r="S20" s="9" t="n">
        <v>5187.266502380371</v>
      </c>
      <c r="T20" s="9" t="n">
        <v>0.0</v>
      </c>
      <c r="U20">
        <f si="1" t="shared"/>
        <v>20557.191041946411</v>
      </c>
    </row>
    <row r="21" spans="1:21" x14ac:dyDescent="0.25">
      <c r="A21" s="12">
        <v>0.375</v>
      </c>
      <c r="B21" s="6" t="n">
        <v>11875.15740959625</v>
      </c>
      <c r="C21" s="6" t="n">
        <v>7694.665465274047</v>
      </c>
      <c r="D21" s="6" t="n">
        <v>11514.926600212575</v>
      </c>
      <c r="E21" s="6" t="n">
        <v>19563.980535434435</v>
      </c>
      <c r="F21" s="6" t="n">
        <v>1141.022358679295</v>
      </c>
      <c r="G21" s="6" t="n">
        <v>253.59718310470578</v>
      </c>
      <c r="H21" s="6" t="n">
        <v>2704.530629177189</v>
      </c>
      <c r="I21" s="6" t="n">
        <v>0.0</v>
      </c>
      <c r="J21" s="6">
        <f si="0" t="shared"/>
        <v>12689.302029442937</v>
      </c>
      <c r="L21" s="12">
        <v>0.375</v>
      </c>
      <c r="M21" s="9" t="n">
        <v>16681.78713607788</v>
      </c>
      <c r="N21" s="9" t="n">
        <v>10107.216113090515</v>
      </c>
      <c r="O21" s="9" t="n">
        <v>14618.817037582397</v>
      </c>
      <c r="P21" s="9" t="n">
        <v>24956.796489715576</v>
      </c>
      <c r="Q21" s="9" t="n">
        <v>2109.857234954834</v>
      </c>
      <c r="R21" s="9" t="n">
        <v>449.205491065979</v>
      </c>
      <c r="S21" s="9" t="n">
        <v>5503.967188835144</v>
      </c>
      <c r="T21" s="9" t="n">
        <v>0.0</v>
      </c>
      <c r="U21">
        <f si="1" t="shared"/>
        <v>22984.219591140747</v>
      </c>
    </row>
    <row r="22" spans="1:21" x14ac:dyDescent="0.25">
      <c r="A22" s="12">
        <v>0.39583333333333331</v>
      </c>
      <c r="B22" s="6" t="n">
        <v>11277.376842494868</v>
      </c>
      <c r="C22" s="6" t="n">
        <v>8144.99648831501</v>
      </c>
      <c r="D22" s="6" t="n">
        <v>14034.626916963005</v>
      </c>
      <c r="E22" s="6" t="n">
        <v>21223.30710426836</v>
      </c>
      <c r="F22" s="6" t="n">
        <v>1240.3253376613618</v>
      </c>
      <c r="G22" s="6" t="n">
        <v>263.19005351533883</v>
      </c>
      <c r="H22" s="6" t="n">
        <v>2933.403956604767</v>
      </c>
      <c r="I22" s="6" t="n">
        <v>0.0</v>
      </c>
      <c r="J22" s="6">
        <f si="0" t="shared"/>
        <v>12624.528872544672</v>
      </c>
      <c r="L22" s="12">
        <v>0.39583333333333331</v>
      </c>
      <c r="M22" s="9" t="n">
        <v>16102.696868896484</v>
      </c>
      <c r="N22" s="9" t="n">
        <v>10679.896397590637</v>
      </c>
      <c r="O22" s="9" t="n">
        <v>16124.131524085999</v>
      </c>
      <c r="P22" s="9" t="n">
        <v>26759.69206047058</v>
      </c>
      <c r="Q22" s="9" t="n">
        <v>2261.499794960022</v>
      </c>
      <c r="R22" s="9" t="n">
        <v>464.45207500457764</v>
      </c>
      <c r="S22" s="9" t="n">
        <v>5555.006048202515</v>
      </c>
      <c r="T22" s="9" t="n">
        <v>0.0</v>
      </c>
      <c r="U22">
        <f si="1" t="shared"/>
        <v>25097.649129867554</v>
      </c>
    </row>
    <row r="23" spans="1:21" x14ac:dyDescent="0.25">
      <c r="A23" s="12">
        <v>0.41666666666666669</v>
      </c>
      <c r="B23" s="6" t="n">
        <v>10928.120559590052</v>
      </c>
      <c r="C23" s="6" t="n">
        <v>8613.471383153914</v>
      </c>
      <c r="D23" s="6" t="n">
        <v>16456.228655608847</v>
      </c>
      <c r="E23" s="6" t="n">
        <v>22796.85413245402</v>
      </c>
      <c r="F23" s="6" t="n">
        <v>1356.0423079811094</v>
      </c>
      <c r="G23" s="6" t="n">
        <v>252.65109810495375</v>
      </c>
      <c r="H23" s="6" t="n">
        <v>3109.793778299141</v>
      </c>
      <c r="I23" s="6" t="n">
        <v>0.0</v>
      </c>
      <c r="J23" s="6">
        <f si="0" t="shared"/>
        <v>13091.567792405556</v>
      </c>
      <c r="L23" s="12">
        <v>0.41666666666666669</v>
      </c>
      <c r="M23" s="9" t="n">
        <v>15101.389831542969</v>
      </c>
      <c r="N23" s="9" t="n">
        <v>10781.494214057922</v>
      </c>
      <c r="O23" s="9" t="n">
        <v>16886.975759506226</v>
      </c>
      <c r="P23" s="9" t="n">
        <v>27347.94722366333</v>
      </c>
      <c r="Q23" s="9" t="n">
        <v>2307.969814300537</v>
      </c>
      <c r="R23" s="9" t="n">
        <v>472.38073348999023</v>
      </c>
      <c r="S23" s="9" t="n">
        <v>5414.05842590332</v>
      </c>
      <c r="T23" s="9" t="n">
        <v>0.0</v>
      </c>
      <c r="U23">
        <f si="1" t="shared"/>
        <v>26867.020174026489</v>
      </c>
    </row>
    <row r="24" spans="1:21" x14ac:dyDescent="0.25">
      <c r="A24" s="12">
        <v>0.4375</v>
      </c>
      <c r="B24" s="6" t="n">
        <v>10883.278122941112</v>
      </c>
      <c r="C24" s="6" t="n">
        <v>9211.37713300228</v>
      </c>
      <c r="D24" s="6" t="n">
        <v>18664.094494570734</v>
      </c>
      <c r="E24" s="6" t="n">
        <v>24475.222013560015</v>
      </c>
      <c r="F24" s="6" t="n">
        <v>1482.1542056524277</v>
      </c>
      <c r="G24" s="6" t="n">
        <v>239.21735004491802</v>
      </c>
      <c r="H24" s="6" t="n">
        <v>3291.8976734104162</v>
      </c>
      <c r="I24" s="6" t="n">
        <v>0.0</v>
      </c>
      <c r="J24" s="6">
        <f si="0" t="shared"/>
        <v>14124.521479529887</v>
      </c>
      <c r="L24" s="12">
        <v>0.4375</v>
      </c>
      <c r="M24" s="9" t="n">
        <v>13910.768045425415</v>
      </c>
      <c r="N24" s="9" t="n">
        <v>10525.194619178772</v>
      </c>
      <c r="O24" s="9" t="n">
        <v>16991.544624328613</v>
      </c>
      <c r="P24" s="9" t="n">
        <v>26986.891125679016</v>
      </c>
      <c r="Q24" s="9" t="n">
        <v>2272.1469497680664</v>
      </c>
      <c r="R24" s="9" t="n">
        <v>477.8601198196411</v>
      </c>
      <c r="S24" s="9" t="n">
        <v>5172.91969203949</v>
      </c>
      <c r="T24" s="9" t="n">
        <v>0.0</v>
      </c>
      <c r="U24">
        <f si="1" t="shared"/>
        <v>28203.579760551453</v>
      </c>
    </row>
    <row r="25" spans="1:21" x14ac:dyDescent="0.25">
      <c r="A25" s="12">
        <v>0.45833333333333331</v>
      </c>
      <c r="B25" s="6" t="n">
        <v>11054.56467708273</v>
      </c>
      <c r="C25" s="6" t="n">
        <v>9891.076160215853</v>
      </c>
      <c r="D25" s="6" t="n">
        <v>20484.812122756768</v>
      </c>
      <c r="E25" s="6" t="n">
        <v>26096.973026260763</v>
      </c>
      <c r="F25" s="6" t="n">
        <v>1597.5285461509707</v>
      </c>
      <c r="G25" s="6" t="n">
        <v>241.52628872261045</v>
      </c>
      <c r="H25" s="6" t="n">
        <v>3502.510107827759</v>
      </c>
      <c r="I25" s="6" t="n">
        <v>0.0</v>
      </c>
      <c r="J25" s="6">
        <f si="0" t="shared"/>
        <v>15523.461851508704</v>
      </c>
      <c r="L25" s="12">
        <v>0.45833333333333331</v>
      </c>
      <c r="M25" s="9" t="n">
        <v>12729.450080871582</v>
      </c>
      <c r="N25" s="9" t="n">
        <v>10070.041334152222</v>
      </c>
      <c r="O25" s="9" t="n">
        <v>16640.131546020508</v>
      </c>
      <c r="P25" s="9" t="n">
        <v>26077.606196403503</v>
      </c>
      <c r="Q25" s="9" t="n">
        <v>2191.389591217041</v>
      </c>
      <c r="R25" s="9" t="n">
        <v>485.0188207626343</v>
      </c>
      <c r="S25" s="9" t="n">
        <v>4919.872700691223</v>
      </c>
      <c r="T25" s="9" t="n">
        <v>0.0</v>
      </c>
      <c r="U25">
        <f si="1" t="shared"/>
        <v>29086.23766708374</v>
      </c>
    </row>
    <row r="26" spans="1:21" x14ac:dyDescent="0.25">
      <c r="A26" s="12">
        <v>0.47916666666666669</v>
      </c>
      <c r="B26" s="6" t="n">
        <v>11329.052752500531</v>
      </c>
      <c r="C26" s="6" t="n">
        <v>10474.297552740094</v>
      </c>
      <c r="D26" s="6" t="n">
        <v>21738.09628845148</v>
      </c>
      <c r="E26" s="6" t="n">
        <v>27317.752358224683</v>
      </c>
      <c r="F26" s="6" t="n">
        <v>1679.5715533112527</v>
      </c>
      <c r="G26" s="6" t="n">
        <v>267.80071588487624</v>
      </c>
      <c r="H26" s="6" t="n">
        <v>3717.7915954405785</v>
      </c>
      <c r="I26" s="6" t="n">
        <v>0.0</v>
      </c>
      <c r="J26" s="6">
        <f si="0" t="shared"/>
        <v>16996.008534234366</v>
      </c>
      <c r="L26" s="12">
        <v>0.47916666666666669</v>
      </c>
      <c r="M26" s="9" t="n">
        <v>11727.309868812561</v>
      </c>
      <c r="N26" s="9" t="n">
        <v>9585.563249588013</v>
      </c>
      <c r="O26" s="9" t="n">
        <v>16092.443890571594</v>
      </c>
      <c r="P26" s="9" t="n">
        <v>25057.374662399292</v>
      </c>
      <c r="Q26" s="9" t="n">
        <v>2106.135956764221</v>
      </c>
      <c r="R26" s="9" t="n">
        <v>498.32073879241943</v>
      </c>
      <c r="S26" s="9" t="n">
        <v>4732.979827880859</v>
      </c>
      <c r="T26" s="9" t="n">
        <v>0.0</v>
      </c>
      <c r="U26">
        <f si="1" t="shared"/>
        <v>29659.389540672302</v>
      </c>
    </row>
    <row r="27" spans="1:21" x14ac:dyDescent="0.25">
      <c r="A27" s="12">
        <v>0.5</v>
      </c>
      <c r="B27" s="6" t="n">
        <v>11632.35826308441</v>
      </c>
      <c r="C27" s="6" t="n">
        <v>10794.249512396811</v>
      </c>
      <c r="D27" s="6" t="n">
        <v>22370.748835826398</v>
      </c>
      <c r="E27" s="6" t="n">
        <v>27977.79463562651</v>
      </c>
      <c r="F27" s="6" t="n">
        <v>1719.1981004522324</v>
      </c>
      <c r="G27" s="6" t="n">
        <v>310.5310843482017</v>
      </c>
      <c r="H27" s="6" t="n">
        <v>3904.4856110526084</v>
      </c>
      <c r="I27" s="6" t="n">
        <v>0.0</v>
      </c>
      <c r="J27" s="6">
        <f si="0" t="shared"/>
        <v>18321.211078000288</v>
      </c>
      <c r="L27" s="12">
        <v>0.5</v>
      </c>
      <c r="M27" s="9" t="n">
        <v>11050.125595092773</v>
      </c>
      <c r="N27" s="9" t="n">
        <v>9227.897829055786</v>
      </c>
      <c r="O27" s="9" t="n">
        <v>15614.059148788452</v>
      </c>
      <c r="P27" s="9" t="n">
        <v>24329.77483177185</v>
      </c>
      <c r="Q27" s="9" t="n">
        <v>2052.401358604431</v>
      </c>
      <c r="R27" s="9" t="n">
        <v>523.8623533248901</v>
      </c>
      <c r="S27" s="9" t="n">
        <v>4683.056125640869</v>
      </c>
      <c r="T27" s="9" t="n">
        <v>0.0</v>
      </c>
      <c r="U27">
        <f si="1" t="shared"/>
        <v>30186.488839149475</v>
      </c>
    </row>
    <row r="28" spans="1:21" x14ac:dyDescent="0.25">
      <c r="A28" s="12">
        <v>0.52083333333333337</v>
      </c>
      <c r="B28" s="6" t="n">
        <v>11942.296991021823</v>
      </c>
      <c r="C28" s="6" t="n">
        <v>10852.920385798549</v>
      </c>
      <c r="D28" s="6" t="n">
        <v>22511.829755959225</v>
      </c>
      <c r="E28" s="6" t="n">
        <v>28311.863438719272</v>
      </c>
      <c r="F28" s="6" t="n">
        <v>1732.730924349594</v>
      </c>
      <c r="G28" s="6" t="n">
        <v>354.8773092720032</v>
      </c>
      <c r="H28" s="6" t="n">
        <v>4070.286434036732</v>
      </c>
      <c r="I28" s="6" t="n">
        <v>0.0</v>
      </c>
      <c r="J28" s="6">
        <f si="0" t="shared"/>
        <v>19472.540469859156</v>
      </c>
      <c r="L28" s="12">
        <v>0.52083333333333337</v>
      </c>
      <c r="M28" s="9" t="n">
        <v>10828.21145439148</v>
      </c>
      <c r="N28" s="9" t="n">
        <v>9131.995035171509</v>
      </c>
      <c r="O28" s="9" t="n">
        <v>15450.314494132996</v>
      </c>
      <c r="P28" s="9" t="n">
        <v>24236.767914772034</v>
      </c>
      <c r="Q28" s="9" t="n">
        <v>2061.4671897888184</v>
      </c>
      <c r="R28" s="9" t="n">
        <v>570.8801937103271</v>
      </c>
      <c r="S28" s="9" t="n">
        <v>4841.887480735779</v>
      </c>
      <c r="T28" s="9" t="n">
        <v>0.0</v>
      </c>
      <c r="U28">
        <f si="1" t="shared"/>
        <v>30902.642769813538</v>
      </c>
    </row>
    <row r="29" spans="1:21" x14ac:dyDescent="0.25">
      <c r="A29" s="12">
        <v>0.54166666666666663</v>
      </c>
      <c r="B29" s="6" t="n">
        <v>12305.330735547352</v>
      </c>
      <c r="C29" s="6" t="n">
        <v>10869.17899027071</v>
      </c>
      <c r="D29" s="6" t="n">
        <v>22363.827467551804</v>
      </c>
      <c r="E29" s="6" t="n">
        <v>28787.940390778924</v>
      </c>
      <c r="F29" s="6" t="n">
        <v>1763.8141090230943</v>
      </c>
      <c r="G29" s="6" t="n">
        <v>396.03411909704215</v>
      </c>
      <c r="H29" s="6" t="n">
        <v>4277.976052052403</v>
      </c>
      <c r="I29" s="6" t="n">
        <v>0.0</v>
      </c>
      <c r="J29" s="6">
        <f si="0" t="shared"/>
        <v>20603.090074515691</v>
      </c>
      <c r="L29" s="12">
        <v>0.54166666666666663</v>
      </c>
      <c r="M29" s="9" t="n">
        <v>11195.06491470337</v>
      </c>
      <c r="N29" s="9" t="n">
        <v>9417.527210235596</v>
      </c>
      <c r="O29" s="9" t="n">
        <v>15822.027163505554</v>
      </c>
      <c r="P29" s="9" t="n">
        <v>25068.566645622253</v>
      </c>
      <c r="Q29" s="9" t="n">
        <v>2165.011782646179</v>
      </c>
      <c r="R29" s="9" t="n">
        <v>653.5531721115112</v>
      </c>
      <c r="S29" s="9" t="n">
        <v>5294.091296195984</v>
      </c>
      <c r="T29" s="9" t="n">
        <v>0.0</v>
      </c>
      <c r="U29">
        <f si="1" t="shared"/>
        <v>31906.378538131714</v>
      </c>
    </row>
    <row r="30" spans="1:21" x14ac:dyDescent="0.25">
      <c r="A30" s="12">
        <v>0.5625</v>
      </c>
      <c r="B30" s="6" t="n">
        <v>12842.57181148262</v>
      </c>
      <c r="C30" s="6" t="n">
        <v>11153.100723548221</v>
      </c>
      <c r="D30" s="6" t="n">
        <v>22035.702930084037</v>
      </c>
      <c r="E30" s="6" t="n">
        <v>29716.033697435472</v>
      </c>
      <c r="F30" s="6" t="n">
        <v>1865.794787173748</v>
      </c>
      <c r="G30" s="6" t="n">
        <v>448.1571780399323</v>
      </c>
      <c r="H30" s="6" t="n">
        <v>4608.193180488301</v>
      </c>
      <c r="I30" s="6" t="n">
        <v>0.0</v>
      </c>
      <c r="J30" s="6">
        <f si="0" t="shared"/>
        <v>21855.424672175868</v>
      </c>
      <c r="L30" s="12">
        <v>0.5625</v>
      </c>
      <c r="M30" s="9" t="n">
        <v>12296.539251327515</v>
      </c>
      <c r="N30" s="9" t="n">
        <v>10187.132170677185</v>
      </c>
      <c r="O30" s="9" t="n">
        <v>16906.46308708191</v>
      </c>
      <c r="P30" s="9" t="n">
        <v>27058.17804336548</v>
      </c>
      <c r="Q30" s="9" t="n">
        <v>2397.738137245178</v>
      </c>
      <c r="R30" s="9" t="n">
        <v>791.430157661438</v>
      </c>
      <c r="S30" s="9" t="n">
        <v>6141.813165664673</v>
      </c>
      <c r="T30" s="9" t="n">
        <v>0.0</v>
      </c>
      <c r="U30">
        <f si="1" t="shared"/>
        <v>33154.83024597168</v>
      </c>
    </row>
    <row r="31" spans="1:21" x14ac:dyDescent="0.25">
      <c r="A31" s="12">
        <v>0.58333333333333337</v>
      </c>
      <c r="B31" s="6" t="n">
        <v>13696.048559610366</v>
      </c>
      <c r="C31" s="6" t="n">
        <v>11865.351418009186</v>
      </c>
      <c r="D31" s="6" t="n">
        <v>21477.236791783715</v>
      </c>
      <c r="E31" s="6" t="n">
        <v>30973.622035630033</v>
      </c>
      <c r="F31" s="6" t="n">
        <v>2064.189914226341</v>
      </c>
      <c r="G31" s="6" t="n">
        <v>532.3185131383897</v>
      </c>
      <c r="H31" s="6" t="n">
        <v>5100.358908724022</v>
      </c>
      <c r="I31" s="6" t="n">
        <v>0.0</v>
      </c>
      <c r="J31" s="6">
        <f si="0" t="shared"/>
        <v>23129.972804309426</v>
      </c>
      <c r="L31" s="12">
        <v>0.58333333333333337</v>
      </c>
      <c r="M31" s="9" t="n">
        <v>14250.85067653656</v>
      </c>
      <c r="N31" s="9" t="n">
        <v>11484.822810173035</v>
      </c>
      <c r="O31" s="9" t="n">
        <v>18755.937297821045</v>
      </c>
      <c r="P31" s="9" t="n">
        <v>30275.68386745453</v>
      </c>
      <c r="Q31" s="9" t="n">
        <v>2787.173433303833</v>
      </c>
      <c r="R31" s="9" t="n">
        <v>1004.81116771698</v>
      </c>
      <c r="S31" s="9" t="n">
        <v>7477.782562255859</v>
      </c>
      <c r="T31" s="9" t="n">
        <v>0.0</v>
      </c>
      <c r="U31">
        <f si="1" t="shared"/>
        <v>34497.162115097046</v>
      </c>
    </row>
    <row r="32" spans="1:21" x14ac:dyDescent="0.25">
      <c r="A32" s="12">
        <v>0.60416666666666663</v>
      </c>
      <c r="B32" s="6" t="n">
        <v>14940.547919643499</v>
      </c>
      <c r="C32" s="6" t="n">
        <v>12837.038345293904</v>
      </c>
      <c r="D32" s="6" t="n">
        <v>20551.229718708135</v>
      </c>
      <c r="E32" s="6" t="n">
        <v>32064.655975163554</v>
      </c>
      <c r="F32" s="6" t="n">
        <v>2321.5192035809514</v>
      </c>
      <c r="G32" s="6" t="n">
        <v>652.7273427212716</v>
      </c>
      <c r="H32" s="6" t="n">
        <v>5718.245000815774</v>
      </c>
      <c r="I32" s="6" t="n">
        <v>0.0</v>
      </c>
      <c r="J32" s="6">
        <f si="0" t="shared"/>
        <v>24051.728870647396</v>
      </c>
      <c r="L32" s="12">
        <v>0.60416666666666663</v>
      </c>
      <c r="M32" s="9" t="n">
        <v>17048.84965324402</v>
      </c>
      <c r="N32" s="9" t="n">
        <v>13213.393427848816</v>
      </c>
      <c r="O32" s="9" t="n">
        <v>21163.702651023865</v>
      </c>
      <c r="P32" s="9" t="n">
        <v>34416.41062450409</v>
      </c>
      <c r="Q32" s="9" t="n">
        <v>3328.5436267852783</v>
      </c>
      <c r="R32" s="9" t="n">
        <v>1302.7884969711304</v>
      </c>
      <c r="S32" s="9" t="n">
        <v>9312.315176963806</v>
      </c>
      <c r="T32" s="9" t="n">
        <v>0.0</v>
      </c>
      <c r="U32">
        <f si="1" t="shared"/>
        <v>35684.02331161499</v>
      </c>
    </row>
    <row r="33" spans="1:21" x14ac:dyDescent="0.25">
      <c r="A33" s="12">
        <v>0.625</v>
      </c>
      <c r="B33" s="6" t="n">
        <v>16556.174569744493</v>
      </c>
      <c r="C33" s="6" t="n">
        <v>13622.232926072693</v>
      </c>
      <c r="D33" s="6" t="n">
        <v>19161.997050862123</v>
      </c>
      <c r="E33" s="6" t="n">
        <v>32435.761139062117</v>
      </c>
      <c r="F33" s="6" t="n">
        <v>2541.28162368555</v>
      </c>
      <c r="G33" s="6" t="n">
        <v>785.0254081392291</v>
      </c>
      <c r="H33" s="6" t="n">
        <v>6371.257765836812</v>
      </c>
      <c r="I33" s="6" t="n">
        <v>0.0</v>
      </c>
      <c r="J33" s="6">
        <f si="0" t="shared"/>
        <v>24232.433976241286</v>
      </c>
      <c r="L33" s="12">
        <v>0.625</v>
      </c>
      <c r="M33" s="9" t="n">
        <v>20453.13503551483</v>
      </c>
      <c r="N33" s="9" t="n">
        <v>15069.971395492554</v>
      </c>
      <c r="O33" s="9" t="n">
        <v>23582.933897972107</v>
      </c>
      <c r="P33" s="9" t="n">
        <v>38641.602551460266</v>
      </c>
      <c r="Q33" s="9" t="n">
        <v>3959.1832418441772</v>
      </c>
      <c r="R33" s="9" t="n">
        <v>1667.832384109497</v>
      </c>
      <c r="S33" s="9" t="n">
        <v>11483.186072349548</v>
      </c>
      <c r="T33" s="9" t="n">
        <v>0.0</v>
      </c>
      <c r="U33">
        <f si="1" t="shared"/>
        <v>36405.695185661316</v>
      </c>
    </row>
    <row r="34" spans="1:21" x14ac:dyDescent="0.25">
      <c r="A34" s="12">
        <v>0.64583333333333337</v>
      </c>
      <c r="B34" s="6" t="n">
        <v>18498.57103263779</v>
      </c>
      <c r="C34" s="6" t="n">
        <v>13783.658063610266</v>
      </c>
      <c r="D34" s="6" t="n">
        <v>17351.546891333768</v>
      </c>
      <c r="E34" s="6" t="n">
        <v>31801.195818353553</v>
      </c>
      <c r="F34" s="6" t="n">
        <v>2625.025305204296</v>
      </c>
      <c r="G34" s="6" t="n">
        <v>890.0521763231279</v>
      </c>
      <c r="H34" s="6" t="n">
        <v>6988.327767498114</v>
      </c>
      <c r="I34" s="6" t="n">
        <v>0.0</v>
      </c>
      <c r="J34" s="6">
        <f si="0" t="shared"/>
        <v>23624.887571916359</v>
      </c>
      <c r="L34" s="12">
        <v>0.64583333333333337</v>
      </c>
      <c r="M34" s="9" t="n">
        <v>23990.005378723145</v>
      </c>
      <c r="N34" s="9" t="n">
        <v>16581.896465301514</v>
      </c>
      <c r="O34" s="9" t="n">
        <v>25228.147753715515</v>
      </c>
      <c r="P34" s="9" t="n">
        <v>41696.6370344162</v>
      </c>
      <c r="Q34" s="9" t="n">
        <v>4556.751729011536</v>
      </c>
      <c r="R34" s="9" t="n">
        <v>2047.5892305374146</v>
      </c>
      <c r="S34" s="9" t="n">
        <v>13619.742643356323</v>
      </c>
      <c r="T34" s="9" t="n">
        <v>0.0</v>
      </c>
      <c r="U34">
        <f si="1" t="shared"/>
        <v>36432.434399604797</v>
      </c>
    </row>
    <row r="35" spans="1:21" x14ac:dyDescent="0.25">
      <c r="A35" s="12">
        <v>0.66666666666666663</v>
      </c>
      <c r="B35" s="6" t="n">
        <v>20788.297713511845</v>
      </c>
      <c r="C35" s="6" t="n">
        <v>13199.318926578138</v>
      </c>
      <c r="D35" s="6" t="n">
        <v>15318.771525120068</v>
      </c>
      <c r="E35" s="6" t="n">
        <v>30274.889007687663</v>
      </c>
      <c r="F35" s="6" t="n">
        <v>2544.7233590925216</v>
      </c>
      <c r="G35" s="6" t="n">
        <v>941.6341085971833</v>
      </c>
      <c r="H35" s="6" t="n">
        <v>7604.29094481516</v>
      </c>
      <c r="I35" s="6" t="n">
        <v>0.0</v>
      </c>
      <c r="J35" s="6">
        <f si="0" t="shared"/>
        <v>22637.84300385099</v>
      </c>
      <c r="L35" s="12">
        <v>0.66666666666666663</v>
      </c>
      <c r="M35" s="9" t="n">
        <v>27074.442233085632</v>
      </c>
      <c r="N35" s="9" t="n">
        <v>17266.65643787384</v>
      </c>
      <c r="O35" s="9" t="n">
        <v>25374.458906173706</v>
      </c>
      <c r="P35" s="9" t="n">
        <v>42366.9574842453</v>
      </c>
      <c r="Q35" s="9" t="n">
        <v>4974.627536773682</v>
      </c>
      <c r="R35" s="9" t="n">
        <v>2364.4560136795044</v>
      </c>
      <c r="S35" s="9" t="n">
        <v>15223.85225391388</v>
      </c>
      <c r="T35" s="9" t="n">
        <v>0.0</v>
      </c>
      <c r="U35">
        <f si="1" t="shared"/>
        <v>35789.809975624084</v>
      </c>
    </row>
    <row r="36" spans="1:21" x14ac:dyDescent="0.25">
      <c r="A36" s="12">
        <v>0.6875</v>
      </c>
      <c r="B36" s="6" t="n">
        <v>23520.046760963247</v>
      </c>
      <c r="C36" s="6" t="n">
        <v>12140.400311110974</v>
      </c>
      <c r="D36" s="6" t="n">
        <v>13353.468160594464</v>
      </c>
      <c r="E36" s="6" t="n">
        <v>28269.414848881243</v>
      </c>
      <c r="F36" s="6" t="n">
        <v>2367.91393862524</v>
      </c>
      <c r="G36" s="6" t="n">
        <v>943.3188002541542</v>
      </c>
      <c r="H36" s="6" t="n">
        <v>8397.755301747131</v>
      </c>
      <c r="I36" s="6" t="n">
        <v>0.0</v>
      </c>
      <c r="J36" s="6">
        <f si="0" t="shared"/>
        <v>21897.923842407043</v>
      </c>
      <c r="L36" s="12">
        <v>0.6875</v>
      </c>
      <c r="M36" s="9" t="n">
        <v>29203.483107566833</v>
      </c>
      <c r="N36" s="9" t="n">
        <v>16839.59100627899</v>
      </c>
      <c r="O36" s="9" t="n">
        <v>23700.575441360474</v>
      </c>
      <c r="P36" s="9" t="n">
        <v>40045.71228504181</v>
      </c>
      <c r="Q36" s="9" t="n">
        <v>5100.600003242493</v>
      </c>
      <c r="R36" s="9" t="n">
        <v>2543.100522994995</v>
      </c>
      <c r="S36" s="9" t="n">
        <v>15856.536756515503</v>
      </c>
      <c r="T36" s="9" t="n">
        <v>0.0</v>
      </c>
      <c r="U36">
        <f si="1" t="shared"/>
        <v>34798.49751663208</v>
      </c>
    </row>
    <row r="37" spans="1:21" x14ac:dyDescent="0.25">
      <c r="A37" s="12">
        <v>0.70833333333333337</v>
      </c>
      <c r="B37" s="6" t="n">
        <v>26773.016757741832</v>
      </c>
      <c r="C37" s="6" t="n">
        <v>11067.284142397595</v>
      </c>
      <c r="D37" s="6" t="n">
        <v>11718.721492651177</v>
      </c>
      <c r="E37" s="6" t="n">
        <v>26261.099560445116</v>
      </c>
      <c r="F37" s="6" t="n">
        <v>2212.6028862306594</v>
      </c>
      <c r="G37" s="6" t="n">
        <v>920.4751374609947</v>
      </c>
      <c r="H37" s="6" t="n">
        <v>9628.824267060376</v>
      </c>
      <c r="I37" s="6" t="n">
        <v>0.0</v>
      </c>
      <c r="J37" s="6">
        <f si="0" t="shared"/>
        <v>21874.359287442883</v>
      </c>
      <c r="L37" s="12">
        <v>0.70833333333333337</v>
      </c>
      <c r="M37" s="9" t="n">
        <v>30099.493185043335</v>
      </c>
      <c r="N37" s="9" t="n">
        <v>15341.206900596619</v>
      </c>
      <c r="O37" s="9" t="n">
        <v>20454.327961921692</v>
      </c>
      <c r="P37" s="9" t="n">
        <v>35045.438356399536</v>
      </c>
      <c r="Q37" s="9" t="n">
        <v>4904.148606300354</v>
      </c>
      <c r="R37" s="9" t="n">
        <v>2541.998921394348</v>
      </c>
      <c r="S37" s="9" t="n">
        <v>15330.725237846375</v>
      </c>
      <c r="T37" s="9" t="n">
        <v>0.0</v>
      </c>
      <c r="U37">
        <f si="1" t="shared"/>
        <v>33909.1519947052</v>
      </c>
    </row>
    <row r="38" spans="1:21" x14ac:dyDescent="0.25">
      <c r="A38" s="12">
        <v>0.72916666666666663</v>
      </c>
      <c r="B38" s="6" t="n">
        <v>30477.16760672741</v>
      </c>
      <c r="C38" s="6" t="n">
        <v>10328.055470702551</v>
      </c>
      <c r="D38" s="6" t="n">
        <v>10552.628715960025</v>
      </c>
      <c r="E38" s="6" t="n">
        <v>24569.29715778551</v>
      </c>
      <c r="F38" s="6" t="n">
        <v>2172.3418895377163</v>
      </c>
      <c r="G38" s="6" t="n">
        <v>899.9114233543396</v>
      </c>
      <c r="H38" s="6" t="n">
        <v>11468.379738692283</v>
      </c>
      <c r="I38" s="6" t="n">
        <v>0.0</v>
      </c>
      <c r="J38" s="6">
        <f si="0" t="shared"/>
        <v>22662.744407345286</v>
      </c>
      <c r="L38" s="12">
        <v>0.72916666666666663</v>
      </c>
      <c r="M38" s="9" t="n">
        <v>29740.571016311646</v>
      </c>
      <c r="N38" s="9" t="n">
        <v>13104.570693016052</v>
      </c>
      <c r="O38" s="9" t="n">
        <v>16329.351391792297</v>
      </c>
      <c r="P38" s="9" t="n">
        <v>28441.6700963974</v>
      </c>
      <c r="Q38" s="9" t="n">
        <v>4443.879934310913</v>
      </c>
      <c r="R38" s="9" t="n">
        <v>2370.09183883667</v>
      </c>
      <c r="S38" s="9" t="n">
        <v>13789.461510658264</v>
      </c>
      <c r="T38" s="9" t="n">
        <v>0.0</v>
      </c>
      <c r="U38">
        <f si="1" t="shared"/>
        <v>33449.737863540649</v>
      </c>
    </row>
    <row r="39" spans="1:21" x14ac:dyDescent="0.25">
      <c r="A39" s="12">
        <v>0.75</v>
      </c>
      <c r="B39" s="6" t="n">
        <v>34312.684948229224</v>
      </c>
      <c r="C39" s="6" t="n">
        <v>9989.800568310928</v>
      </c>
      <c r="D39" s="6" t="n">
        <v>9844.903203480912</v>
      </c>
      <c r="E39" s="6" t="n">
        <v>23255.501980811023</v>
      </c>
      <c r="F39" s="6" t="n">
        <v>2268.5849449988364</v>
      </c>
      <c r="G39" s="6" t="n">
        <v>901.0929083344458</v>
      </c>
      <c r="H39" s="6" t="n">
        <v>13786.958132009602</v>
      </c>
      <c r="I39" s="6" t="n">
        <v>0.0</v>
      </c>
      <c r="J39" s="6">
        <f si="0" t="shared"/>
        <v>24015.047640892728</v>
      </c>
      <c r="L39" s="12">
        <v>0.75</v>
      </c>
      <c r="M39" s="9" t="n">
        <v>28318.969403266907</v>
      </c>
      <c r="N39" s="9" t="n">
        <v>10594.737813949585</v>
      </c>
      <c r="O39" s="9" t="n">
        <v>12142.092708587646</v>
      </c>
      <c r="P39" s="9" t="n">
        <v>21567.077216148376</v>
      </c>
      <c r="Q39" s="9" t="n">
        <v>3835.6274738311768</v>
      </c>
      <c r="R39" s="9" t="n">
        <v>2079.6712036132812</v>
      </c>
      <c r="S39" s="9" t="n">
        <v>11625.767793655396</v>
      </c>
      <c r="T39" s="9" t="n">
        <v>0.0</v>
      </c>
      <c r="U39">
        <f si="1" t="shared"/>
        <v>33457.631122589111</v>
      </c>
    </row>
    <row r="40" spans="1:21" x14ac:dyDescent="0.25">
      <c r="A40" s="12">
        <v>0.77083333333333337</v>
      </c>
      <c r="B40" s="6" t="n">
        <v>37712.67551045084</v>
      </c>
      <c r="C40" s="6" t="n">
        <v>9877.450761620425</v>
      </c>
      <c r="D40" s="6" t="n">
        <v>9478.414184194375</v>
      </c>
      <c r="E40" s="6" t="n">
        <v>22160.816953477</v>
      </c>
      <c r="F40" s="6" t="n">
        <v>2450.263161052418</v>
      </c>
      <c r="G40" s="6" t="n">
        <v>944.4282903285979</v>
      </c>
      <c r="H40" s="6" t="n">
        <v>16050.983189495186</v>
      </c>
      <c r="I40" s="6" t="n">
        <v>0.0</v>
      </c>
      <c r="J40" s="6">
        <f si="0" t="shared"/>
        <v>25484.526313218394</v>
      </c>
      <c r="L40" s="12">
        <v>0.77083333333333337</v>
      </c>
      <c r="M40" s="9" t="n">
        <v>26194.834650039673</v>
      </c>
      <c r="N40" s="9" t="n">
        <v>8229.472275733948</v>
      </c>
      <c r="O40" s="9" t="n">
        <v>8519.129382133484</v>
      </c>
      <c r="P40" s="9" t="n">
        <v>15492.437323570251</v>
      </c>
      <c r="Q40" s="9" t="n">
        <v>3205.8124437332153</v>
      </c>
      <c r="R40" s="9" t="n">
        <v>1742.5175323486328</v>
      </c>
      <c r="S40" s="9" t="n">
        <v>9308.002531051636</v>
      </c>
      <c r="T40" s="9" t="n">
        <v>0.0</v>
      </c>
      <c r="U40">
        <f si="1" t="shared"/>
        <v>33672.924083709717</v>
      </c>
    </row>
    <row r="41" spans="1:21" x14ac:dyDescent="0.25">
      <c r="A41" s="12">
        <v>0.79166666666666663</v>
      </c>
      <c r="B41" s="6" t="n">
        <v>39988.2332680934</v>
      </c>
      <c r="C41" s="6" t="n">
        <v>9729.161054384327</v>
      </c>
      <c r="D41" s="6" t="n">
        <v>9280.774727038955</v>
      </c>
      <c r="E41" s="6" t="n">
        <v>21031.001448804283</v>
      </c>
      <c r="F41" s="6" t="n">
        <v>2624.281287991715</v>
      </c>
      <c r="G41" s="6" t="n">
        <v>1054.0509571296693</v>
      </c>
      <c r="H41" s="6" t="n">
        <v>17469.273146588235</v>
      </c>
      <c r="I41" s="6" t="n">
        <v>0.0</v>
      </c>
      <c r="J41" s="6">
        <f si="0" t="shared"/>
        <v>26545.219029625823</v>
      </c>
      <c r="L41" s="12">
        <v>0.79166666666666663</v>
      </c>
      <c r="M41" s="9" t="n">
        <v>23837.354873657227</v>
      </c>
      <c r="N41" s="9" t="n">
        <v>6272.958974838257</v>
      </c>
      <c r="O41" s="9" t="n">
        <v>5754.470672607422</v>
      </c>
      <c r="P41" s="9" t="n">
        <v>10766.099537849426</v>
      </c>
      <c r="Q41" s="9" t="n">
        <v>2654.2787408828735</v>
      </c>
      <c r="R41" s="9" t="n">
        <v>1423.9800748825073</v>
      </c>
      <c r="S41" s="9" t="n">
        <v>7217.042520523071</v>
      </c>
      <c r="T41" s="9" t="n">
        <v>0.0</v>
      </c>
      <c r="U41">
        <f si="1" t="shared"/>
        <v>33662.934994697571</v>
      </c>
    </row>
    <row r="42" spans="1:21" x14ac:dyDescent="0.25">
      <c r="A42" s="12">
        <v>0.8125</v>
      </c>
      <c r="B42" s="6" t="n">
        <v>40514.26549076367</v>
      </c>
      <c r="C42" s="6" t="n">
        <v>9342.969402339457</v>
      </c>
      <c r="D42" s="6" t="n">
        <v>9053.699794776821</v>
      </c>
      <c r="E42" s="6" t="n">
        <v>19655.00533573227</v>
      </c>
      <c r="F42" s="6" t="n">
        <v>2696.619215823937</v>
      </c>
      <c r="G42" s="6" t="n">
        <v>1235.2421390926363</v>
      </c>
      <c r="H42" s="6" t="n">
        <v>17374.670814198784</v>
      </c>
      <c r="I42" s="6" t="n">
        <v>0.0</v>
      </c>
      <c r="J42" s="6">
        <f si="0" t="shared"/>
        <v>26681.669329705539</v>
      </c>
      <c r="L42" s="12">
        <v>0.8125</v>
      </c>
      <c r="M42" s="9" t="n">
        <v>21697.799341201782</v>
      </c>
      <c r="N42" s="9" t="n">
        <v>4819.10298538208</v>
      </c>
      <c r="O42" s="9" t="n">
        <v>3847.9327325820923</v>
      </c>
      <c r="P42" s="9" t="n">
        <v>7446.954697608948</v>
      </c>
      <c r="Q42" s="9" t="n">
        <v>2235.365804672241</v>
      </c>
      <c r="R42" s="9" t="n">
        <v>1165.826078414917</v>
      </c>
      <c r="S42" s="9" t="n">
        <v>5561.623094558716</v>
      </c>
      <c r="T42" s="9" t="n">
        <v>0.0</v>
      </c>
      <c r="U42">
        <f si="1" t="shared"/>
        <v>33007.189624786377</v>
      </c>
    </row>
    <row r="43" spans="1:21" x14ac:dyDescent="0.25">
      <c r="A43" s="12">
        <v>0.83333333333333337</v>
      </c>
      <c r="B43" s="6" t="n">
        <v>38899.222863589675</v>
      </c>
      <c r="C43" s="6" t="n">
        <v>8650.010867632198</v>
      </c>
      <c r="D43" s="6" t="n">
        <v>8600.939200625324</v>
      </c>
      <c r="E43" s="6" t="n">
        <v>17949.034005599024</v>
      </c>
      <c r="F43" s="6" t="n">
        <v>2610.6648345391277</v>
      </c>
      <c r="G43" s="6" t="n">
        <v>1443.72965936327</v>
      </c>
      <c r="H43" s="6" t="n">
        <v>15608.376713255024</v>
      </c>
      <c r="I43" s="6" t="n">
        <v>0.0</v>
      </c>
      <c r="J43" s="6">
        <f si="0" t="shared"/>
        <v>25519.03200569695</v>
      </c>
      <c r="L43" s="12">
        <v>0.83333333333333337</v>
      </c>
      <c r="M43" s="9" t="n">
        <v>20035.881733894348</v>
      </c>
      <c r="N43" s="9" t="n">
        <v>3829.2561378479004</v>
      </c>
      <c r="O43" s="9" t="n">
        <v>2631.6671934127808</v>
      </c>
      <c r="P43" s="9" t="n">
        <v>5293.02355670929</v>
      </c>
      <c r="Q43" s="9" t="n">
        <v>1955.7240419387817</v>
      </c>
      <c r="R43" s="9" t="n">
        <v>981.1087322235107</v>
      </c>
      <c r="S43" s="9" t="n">
        <v>4376.844615936279</v>
      </c>
      <c r="T43" s="9" t="n">
        <v>0.0</v>
      </c>
      <c r="U43">
        <f si="1" t="shared"/>
        <v>31465.974474906921</v>
      </c>
    </row>
    <row r="44" spans="1:21" x14ac:dyDescent="0.25">
      <c r="A44" s="12">
        <v>0.85416666666666663</v>
      </c>
      <c r="B44" s="6" t="n">
        <v>35123.77031442957</v>
      </c>
      <c r="C44" s="6" t="n">
        <v>7708.5245352440825</v>
      </c>
      <c r="D44" s="6" t="n">
        <v>7785.483808123207</v>
      </c>
      <c r="E44" s="6" t="n">
        <v>15946.240470522309</v>
      </c>
      <c r="F44" s="6" t="n">
        <v>2368.168443853283</v>
      </c>
      <c r="G44" s="6" t="n">
        <v>1588.113033084679</v>
      </c>
      <c r="H44" s="6" t="n">
        <v>12621.618346177484</v>
      </c>
      <c r="I44" s="6" t="n">
        <v>0.0</v>
      </c>
      <c r="J44" s="6">
        <f si="0" t="shared"/>
        <v>22986.523027087263</v>
      </c>
      <c r="L44" s="12">
        <v>0.85416666666666663</v>
      </c>
      <c r="M44" s="9" t="n">
        <v>18820.561489105225</v>
      </c>
      <c r="N44" s="9" t="n">
        <v>3188.346468925476</v>
      </c>
      <c r="O44" s="9" t="n">
        <v>1891.1559057235718</v>
      </c>
      <c r="P44" s="9" t="n">
        <v>3958.0173654556274</v>
      </c>
      <c r="Q44" s="9" t="n">
        <v>1785.617660522461</v>
      </c>
      <c r="R44" s="9" t="n">
        <v>859.3141384124756</v>
      </c>
      <c r="S44" s="9" t="n">
        <v>3577.4728689193726</v>
      </c>
      <c r="T44" s="9" t="n">
        <v>0.0</v>
      </c>
      <c r="U44">
        <f si="1" t="shared"/>
        <v>29058.97937297821</v>
      </c>
    </row>
    <row r="45" spans="1:21" x14ac:dyDescent="0.25">
      <c r="A45" s="12">
        <v>0.875</v>
      </c>
      <c r="B45" s="6" t="n">
        <v>29634.938642667006</v>
      </c>
      <c r="C45" s="6" t="n">
        <v>6643.625530858706</v>
      </c>
      <c r="D45" s="6" t="n">
        <v>6597.479688852693</v>
      </c>
      <c r="E45" s="6" t="n">
        <v>13717.32370350418</v>
      </c>
      <c r="F45" s="6" t="n">
        <v>2021.0960243110655</v>
      </c>
      <c r="G45" s="6" t="n">
        <v>1579.464448317051</v>
      </c>
      <c r="H45" s="6" t="n">
        <v>9216.791940148354</v>
      </c>
      <c r="I45" s="6" t="n">
        <v>0.0</v>
      </c>
      <c r="J45" s="6">
        <f si="0" t="shared"/>
        <v>19393.671130320137</v>
      </c>
      <c r="L45" s="12">
        <v>0.875</v>
      </c>
      <c r="M45" s="9" t="n">
        <v>17790.341095924377</v>
      </c>
      <c r="N45" s="9" t="n">
        <v>2759.83815574646</v>
      </c>
      <c r="O45" s="9" t="n">
        <v>1439.296968460083</v>
      </c>
      <c r="P45" s="9" t="n">
        <v>3123.4634370803833</v>
      </c>
      <c r="Q45" s="9" t="n">
        <v>1677.9357051849365</v>
      </c>
      <c r="R45" s="9" t="n">
        <v>777.323052406311</v>
      </c>
      <c r="S45" s="9" t="n">
        <v>3029.9171018600464</v>
      </c>
      <c r="T45" s="9" t="n">
        <v>0.0</v>
      </c>
      <c r="U45">
        <f si="1" t="shared"/>
        <v>26015.007579803467</v>
      </c>
    </row>
    <row r="46" spans="1:21" x14ac:dyDescent="0.25">
      <c r="A46" s="12">
        <v>0.89583333333333337</v>
      </c>
      <c r="B46" s="6" t="n">
        <v>23296.152142183495</v>
      </c>
      <c r="C46" s="6" t="n">
        <v>5574.360105182933</v>
      </c>
      <c r="D46" s="6" t="n">
        <v>5172.641030240441</v>
      </c>
      <c r="E46" s="6" t="n">
        <v>11313.652427482413</v>
      </c>
      <c r="F46" s="6" t="n">
        <v>1639.644067485428</v>
      </c>
      <c r="G46" s="6" t="n">
        <v>1390.727130999756</v>
      </c>
      <c r="H46" s="6" t="n">
        <v>6133.321898353004</v>
      </c>
      <c r="I46" s="6" t="n">
        <v>0.0</v>
      </c>
      <c r="J46" s="6">
        <f si="0" t="shared"/>
        <v>15318.040715250081</v>
      </c>
      <c r="L46" s="12">
        <v>0.89583333333333337</v>
      </c>
      <c r="M46" s="9" t="n">
        <v>16617.476872444153</v>
      </c>
      <c r="N46" s="9" t="n">
        <v>2426.714454650879</v>
      </c>
      <c r="O46" s="9" t="n">
        <v>1143.865023612976</v>
      </c>
      <c r="P46" s="9" t="n">
        <v>2556.515860557556</v>
      </c>
      <c r="Q46" s="9" t="n">
        <v>1585.4601850509644</v>
      </c>
      <c r="R46" s="9" t="n">
        <v>710.4294910430908</v>
      </c>
      <c r="S46" s="9" t="n">
        <v>2610.536135673523</v>
      </c>
      <c r="T46" s="9" t="n">
        <v>0.0</v>
      </c>
      <c r="U46">
        <f si="1" t="shared"/>
        <v>22626.114000320435</v>
      </c>
    </row>
    <row r="47" spans="1:21" x14ac:dyDescent="0.25">
      <c r="A47" s="12">
        <v>0.91666666666666663</v>
      </c>
      <c r="B47" s="6" t="n">
        <v>17112.361362362477</v>
      </c>
      <c r="C47" s="6" t="n">
        <v>4567.368261199283</v>
      </c>
      <c r="D47" s="6" t="n">
        <v>3730.2328693597797</v>
      </c>
      <c r="E47" s="6" t="n">
        <v>8800.062767833519</v>
      </c>
      <c r="F47" s="6" t="n">
        <v>1278.292663454914</v>
      </c>
      <c r="G47" s="6" t="n">
        <v>1074.1954311029433</v>
      </c>
      <c r="H47" s="6" t="n">
        <v>3769.742596118641</v>
      </c>
      <c r="I47" s="6" t="n">
        <v>0.0</v>
      </c>
      <c r="J47" s="6">
        <f si="0" t="shared"/>
        <v>11358.796769348875</v>
      </c>
      <c r="L47" s="12">
        <v>0.91666666666666663</v>
      </c>
      <c r="M47" s="9" t="n">
        <v>15051.800302505493</v>
      </c>
      <c r="N47" s="9" t="n">
        <v>2110.4103450775146</v>
      </c>
      <c r="O47" s="9" t="n">
        <v>924.5867404937744</v>
      </c>
      <c r="P47" s="9" t="n">
        <v>2112.729592323303</v>
      </c>
      <c r="Q47" s="9" t="n">
        <v>1470.082365989685</v>
      </c>
      <c r="R47" s="9" t="n">
        <v>639.3034915924072</v>
      </c>
      <c r="S47" s="9" t="n">
        <v>2233.317276954651</v>
      </c>
      <c r="T47" s="9" t="n">
        <v>0.0</v>
      </c>
      <c r="U47">
        <f si="1" t="shared"/>
        <v>19105.270159721375</v>
      </c>
    </row>
    <row r="48" spans="1:21" x14ac:dyDescent="0.25">
      <c r="A48" s="12">
        <v>0.9375</v>
      </c>
      <c r="B48" s="6" t="n">
        <v>11850.566746577357</v>
      </c>
      <c r="C48" s="6" t="n">
        <v>3633.7794094936366</v>
      </c>
      <c r="D48" s="6" t="n">
        <v>2470.9341800482753</v>
      </c>
      <c r="E48" s="6" t="n">
        <v>6327.082523161124</v>
      </c>
      <c r="F48" s="6" t="n">
        <v>960.9880832232474</v>
      </c>
      <c r="G48" s="6" t="n">
        <v>725.1419457684516</v>
      </c>
      <c r="H48" s="6" t="n">
        <v>2168.998694135475</v>
      </c>
      <c r="I48" s="6" t="n">
        <v>0.0</v>
      </c>
      <c r="J48" s="6">
        <f si="0" t="shared"/>
        <v>7927.6763076839288</v>
      </c>
      <c r="L48" s="12">
        <v>0.9375</v>
      </c>
      <c r="M48" s="9" t="n">
        <v>12987.717591285706</v>
      </c>
      <c r="N48" s="9" t="n">
        <v>1771.3421277999878</v>
      </c>
      <c r="O48" s="9" t="n">
        <v>738.321855545044</v>
      </c>
      <c r="P48" s="9" t="n">
        <v>1714.125597000122</v>
      </c>
      <c r="Q48" s="9" t="n">
        <v>1306.6594524383545</v>
      </c>
      <c r="R48" s="9" t="n">
        <v>552.8050775527954</v>
      </c>
      <c r="S48" s="9" t="n">
        <v>1852.2589015960693</v>
      </c>
      <c r="T48" s="9" t="n">
        <v>0.0</v>
      </c>
      <c r="U48">
        <f si="1" t="shared"/>
        <v>15546.317714691162</v>
      </c>
    </row>
    <row r="49" spans="1:21" x14ac:dyDescent="0.25">
      <c r="A49" s="12">
        <v>0.95833333333333337</v>
      </c>
      <c r="B49" s="6" t="n">
        <v>7818.06227388668</v>
      </c>
      <c r="C49" s="6" t="n">
        <v>2760.9701296049116</v>
      </c>
      <c r="D49" s="6" t="n">
        <v>1505.0137177764893</v>
      </c>
      <c r="E49" s="6" t="n">
        <v>4127.8920002537725</v>
      </c>
      <c r="F49" s="6" t="n">
        <v>689.5787534538268</v>
      </c>
      <c r="G49" s="6" t="n">
        <v>426.80398231220244</v>
      </c>
      <c r="H49" s="6" t="n">
        <v>1175.0553584886552</v>
      </c>
      <c r="I49" s="6" t="n">
        <v>0.0</v>
      </c>
      <c r="J49" s="6">
        <f si="0" t="shared"/>
        <v>5195.9626926836409</v>
      </c>
      <c r="L49" s="12">
        <v>0.95833333333333337</v>
      </c>
      <c r="M49" s="9" t="n">
        <v>10484.825562477112</v>
      </c>
      <c r="N49" s="9" t="n">
        <v>1402.897391319275</v>
      </c>
      <c r="O49" s="9" t="n">
        <v>565.9642791748047</v>
      </c>
      <c r="P49" s="9" t="n">
        <v>1328.5028886795044</v>
      </c>
      <c r="Q49" s="9" t="n">
        <v>1087.772988319397</v>
      </c>
      <c r="R49" s="9" t="n">
        <v>448.9641942977905</v>
      </c>
      <c r="S49" s="9" t="n">
        <v>1455.1961088180542</v>
      </c>
      <c r="T49" s="9" t="n">
        <v>0.0</v>
      </c>
      <c r="U49">
        <f si="1" t="shared"/>
        <v>12004.362539291382</v>
      </c>
    </row>
    <row r="50" spans="1:21" x14ac:dyDescent="0.25">
      <c r="A50" s="12">
        <v>0.97916666666666663</v>
      </c>
      <c r="B50" s="6" t="n">
        <v>4929.523450878714</v>
      </c>
      <c r="C50" s="6" t="n">
        <v>1953.4913928477285</v>
      </c>
      <c r="D50" s="6" t="n">
        <v>843.8582157797814</v>
      </c>
      <c r="E50" s="6" t="n">
        <v>2412.062481845379</v>
      </c>
      <c r="F50" s="6" t="n">
        <v>461.6725048817634</v>
      </c>
      <c r="G50" s="6" t="n">
        <v>218.1611564060211</v>
      </c>
      <c r="H50" s="6" t="n">
        <v>594.5956478702547</v>
      </c>
      <c r="I50" s="6" t="n">
        <v>0.0</v>
      </c>
      <c r="J50" s="6">
        <f si="0" t="shared"/>
        <v>3166.8095427244639</v>
      </c>
      <c r="L50" s="12">
        <v>0.97916666666666663</v>
      </c>
      <c r="M50" s="9" t="n">
        <v>7767.543165206909</v>
      </c>
      <c r="N50" s="9" t="n">
        <v>1025.432349205017</v>
      </c>
      <c r="O50" s="9" t="n">
        <v>404.92016315460205</v>
      </c>
      <c r="P50" s="9" t="n">
        <v>957.5961666107178</v>
      </c>
      <c r="Q50" s="9" t="n">
        <v>828.8181018829346</v>
      </c>
      <c r="R50" s="9" t="n">
        <v>334.9921073913574</v>
      </c>
      <c r="S50" s="9" t="n">
        <v>1058.0761432647705</v>
      </c>
      <c r="T50" s="9" t="n">
        <v>0.0</v>
      </c>
      <c r="U50">
        <f si="1" t="shared"/>
        <v>8610.8884191513062</v>
      </c>
    </row>
    <row r="51" spans="1:21" x14ac:dyDescent="0.25">
      <c r="A51" s="12">
        <v>1</v>
      </c>
      <c r="B51" s="6" t="n">
        <v>2937.66825261383</v>
      </c>
      <c r="C51" s="6" t="n">
        <v>1250.5225121716499</v>
      </c>
      <c r="D51" s="6" t="n">
        <v>435.2605758480072</v>
      </c>
      <c r="E51" s="6" t="n">
        <v>1254.6170551258087</v>
      </c>
      <c r="F51" s="6" t="n">
        <v>280.29697288055416</v>
      </c>
      <c r="G51" s="6" t="n">
        <v>96.08035297412872</v>
      </c>
      <c r="H51" s="6" t="n">
        <v>275.20981143713</v>
      </c>
      <c r="I51" s="6" t="n">
        <v>0.0</v>
      </c>
      <c r="J51" s="6">
        <f si="0" t="shared"/>
        <v>1764.840846557473</v>
      </c>
      <c r="L51" s="12">
        <v>1</v>
      </c>
      <c r="M51" s="9" t="n">
        <v>5174.635297775269</v>
      </c>
      <c r="N51" s="9" t="n">
        <v>676.6042957305908</v>
      </c>
      <c r="O51" s="9" t="n">
        <v>263.2292432785034</v>
      </c>
      <c r="P51" s="9" t="n">
        <v>625.7197322845459</v>
      </c>
      <c r="Q51" s="9" t="n">
        <v>565.3161773681641</v>
      </c>
      <c r="R51" s="9" t="n">
        <v>224.7409429550171</v>
      </c>
      <c r="S51" s="9" t="n">
        <v>695.6953973770142</v>
      </c>
      <c r="T51" s="9" t="n">
        <v>0.0</v>
      </c>
      <c r="U51">
        <f si="1" t="shared"/>
        <v>5603.7827186584473</v>
      </c>
    </row>
    <row r="52" spans="1:21" x14ac:dyDescent="0.25">
      <c r="A52" s="12">
        <v>1.0208333333333333</v>
      </c>
      <c r="B52" s="6" t="n">
        <v>1613.8286178099631</v>
      </c>
      <c r="C52" s="6" t="n">
        <v>704.1861177867889</v>
      </c>
      <c r="D52" s="6" t="n">
        <v>205.73298222932814</v>
      </c>
      <c r="E52" s="6" t="n">
        <v>580.8534208577156</v>
      </c>
      <c r="F52" s="6" t="n">
        <v>150.11247708320616</v>
      </c>
      <c r="G52" s="6" t="n">
        <v>35.95765360517502</v>
      </c>
      <c r="H52" s="6" t="n">
        <v>113.46018661680222</v>
      </c>
      <c r="I52" s="6" t="n">
        <v>0.0</v>
      </c>
      <c r="J52" s="6">
        <f si="0" t="shared"/>
        <v>880.69611170480437</v>
      </c>
      <c r="L52" s="12">
        <v>1.0208333333333333</v>
      </c>
      <c r="M52" s="9" t="n">
        <v>3036.6705598831177</v>
      </c>
      <c r="N52" s="9" t="n">
        <v>394.3140745162964</v>
      </c>
      <c r="O52" s="9" t="n">
        <v>151.65418243408203</v>
      </c>
      <c r="P52" s="9" t="n">
        <v>361.876672744751</v>
      </c>
      <c r="Q52" s="9" t="n">
        <v>338.0097198486328</v>
      </c>
      <c r="R52" s="9" t="n">
        <v>132.756254196167</v>
      </c>
      <c r="S52" s="9" t="n">
        <v>404.399169921875</v>
      </c>
      <c r="T52" s="9" t="n">
        <v>0.0</v>
      </c>
      <c r="U52">
        <f si="1" t="shared"/>
        <v>3231.5725250244141</v>
      </c>
    </row>
    <row r="53" spans="1:21" x14ac:dyDescent="0.25">
      <c r="A53" s="12">
        <v>4.1666666666666664E-2</v>
      </c>
      <c r="B53" s="6" t="n">
        <v>791.6896756877899</v>
      </c>
      <c r="C53" s="6" t="n">
        <v>339.8962405263901</v>
      </c>
      <c r="D53" s="6" t="n">
        <v>88.39932855758667</v>
      </c>
      <c r="E53" s="6" t="n">
        <v>239.94545776004793</v>
      </c>
      <c r="F53" s="6" t="n">
        <v>69.19141795549393</v>
      </c>
      <c r="G53" s="6" t="n">
        <v>11.19208534822464</v>
      </c>
      <c r="H53" s="6" t="n">
        <v>40.64308385381699</v>
      </c>
      <c r="I53" s="6" t="n">
        <v>0.0</v>
      </c>
      <c r="J53" s="6">
        <f si="0" t="shared"/>
        <v>384.79707546492193</v>
      </c>
      <c r="L53" s="12">
        <v>4.1666666666666664E-2</v>
      </c>
      <c r="M53" s="9" t="n">
        <v>1537.480875968933</v>
      </c>
      <c r="N53" s="9" t="n">
        <v>198.63743495941162</v>
      </c>
      <c r="O53" s="9" t="n">
        <v>75.64513969421387</v>
      </c>
      <c r="P53" s="9" t="n">
        <v>181.0897741317749</v>
      </c>
      <c r="Q53" s="9" t="n">
        <v>173.60582828521729</v>
      </c>
      <c r="R53" s="9" t="n">
        <v>67.63107872009277</v>
      </c>
      <c r="S53" s="9" t="n">
        <v>203.2791690826416</v>
      </c>
      <c r="T53" s="9" t="n">
        <v>0.0</v>
      </c>
      <c r="U53">
        <f si="1" t="shared"/>
        <v>1614.1213712692261</v>
      </c>
    </row>
    <row r="54" spans="1:21" x14ac:dyDescent="0.25">
      <c r="A54" s="12">
        <v>6.25E-2</v>
      </c>
      <c r="B54" s="6" t="n">
        <v>335.6403504476547</v>
      </c>
      <c r="C54" s="6" t="n">
        <v>137.20172672033308</v>
      </c>
      <c r="D54" s="6" t="n">
        <v>34.07721461143494</v>
      </c>
      <c r="E54" s="6" t="n">
        <v>88.28138112945558</v>
      </c>
      <c r="F54" s="6" t="n">
        <v>26.8386473361969</v>
      </c>
      <c r="G54" s="6" t="n">
        <v>2.8080448966026306</v>
      </c>
      <c r="H54" s="6" t="n">
        <v>12.412988996315004</v>
      </c>
      <c r="I54" s="6" t="n">
        <v>0.0</v>
      </c>
      <c r="J54" s="6">
        <f si="0" t="shared"/>
        <v>143.81481072357181</v>
      </c>
      <c r="L54" s="12">
        <v>6.25E-2</v>
      </c>
      <c r="M54" s="9" t="n">
        <v>657.1437692642212</v>
      </c>
      <c r="N54" s="9" t="n">
        <v>84.58769989013672</v>
      </c>
      <c r="O54" s="9" t="n">
        <v>31.918132781982422</v>
      </c>
      <c r="P54" s="9" t="n">
        <v>76.65009307861328</v>
      </c>
      <c r="Q54" s="9" t="n">
        <v>75.00569152832031</v>
      </c>
      <c r="R54" s="9" t="n">
        <v>29.077921867370605</v>
      </c>
      <c r="S54" s="9" t="n">
        <v>86.38716411590576</v>
      </c>
      <c r="T54" s="9" t="n">
        <v>0.0</v>
      </c>
      <c r="U54">
        <f si="1" t="shared"/>
        <v>682.40527725219727</v>
      </c>
    </row>
    <row r="55" spans="1:21" x14ac:dyDescent="0.25">
      <c r="A55" s="12">
        <v>8.3333333333333329E-2</v>
      </c>
      <c r="B55" s="6" t="n">
        <v>119.04620104284288</v>
      </c>
      <c r="C55" s="6" t="n">
        <v>45.12985991764068</v>
      </c>
      <c r="D55" s="6" t="n">
        <v>11.560251657009125</v>
      </c>
      <c r="E55" s="6" t="n">
        <v>28.533060821342467</v>
      </c>
      <c r="F55" s="6" t="n">
        <v>8.561983756732939</v>
      </c>
      <c r="G55" s="6" t="n">
        <v>0.5427609714508057</v>
      </c>
      <c r="H55" s="6" t="n">
        <v>3.1939697876930238</v>
      </c>
      <c r="I55" s="6" t="n">
        <v>0.0</v>
      </c>
      <c r="J55" s="6">
        <f si="0" t="shared"/>
        <v>44.819260142861367</v>
      </c>
      <c r="L55" s="12">
        <v>8.3333333333333329E-2</v>
      </c>
      <c r="M55" s="9" t="n">
        <v>231.35401725769043</v>
      </c>
      <c r="N55" s="9" t="n">
        <v>29.699691772460938</v>
      </c>
      <c r="O55" s="9" t="n">
        <v>11.107597351074219</v>
      </c>
      <c r="P55" s="9" t="n">
        <v>26.763073921203613</v>
      </c>
      <c r="Q55" s="9" t="n">
        <v>26.6192684173584</v>
      </c>
      <c r="R55" s="9" t="n">
        <v>10.296395301818848</v>
      </c>
      <c r="S55" s="9" t="n">
        <v>30.26762294769287</v>
      </c>
      <c r="T55" s="9" t="n">
        <v>0.0</v>
      </c>
      <c r="U55">
        <f si="1" t="shared"/>
        <v>238.0811653137207</v>
      </c>
    </row>
    <row r="56" spans="1:21" x14ac:dyDescent="0.25">
      <c r="A56" s="12">
        <v>0.10416666666666667</v>
      </c>
      <c r="B56" s="6" t="n">
        <v>34.10478359003067</v>
      </c>
      <c r="C56" s="6" t="n">
        <v>11.725736937332151</v>
      </c>
      <c r="D56" s="6" t="n">
        <v>3.3597366561889643</v>
      </c>
      <c r="E56" s="6" t="n">
        <v>7.8584203498840335</v>
      </c>
      <c r="F56" s="6" t="n">
        <v>2.1867155116081234</v>
      </c>
      <c r="G56" s="6" t="n">
        <v>0.07539434728622438</v>
      </c>
      <c r="H56" s="6" t="n">
        <v>0.6871801081657409</v>
      </c>
      <c r="I56" s="6" t="n">
        <v>0.0</v>
      </c>
      <c r="J56" s="6">
        <f si="0" t="shared"/>
        <v>11.291070829512595</v>
      </c>
      <c r="L56" s="12">
        <v>0.10416666666666667</v>
      </c>
      <c r="M56" s="9" t="n">
        <v>65.06526184082031</v>
      </c>
      <c r="N56" s="9" t="n">
        <v>8.336353302001953</v>
      </c>
      <c r="O56" s="9" t="n">
        <v>3.09061336517334</v>
      </c>
      <c r="P56" s="9" t="n">
        <v>7.473761558532715</v>
      </c>
      <c r="Q56" s="9" t="n">
        <v>7.530965805053711</v>
      </c>
      <c r="R56" s="9" t="n">
        <v>2.912250518798828</v>
      </c>
      <c r="S56" s="9" t="n">
        <v>8.476675987243652</v>
      </c>
      <c r="T56" s="9" t="n">
        <v>0.0</v>
      </c>
      <c r="U56">
        <f si="1" t="shared"/>
        <v>66.445541381835938</v>
      </c>
    </row>
    <row r="57" spans="1:21" x14ac:dyDescent="0.25">
      <c r="A57" s="12">
        <v>0.125</v>
      </c>
      <c r="B57" s="6" t="n">
        <v>7.434097538852692</v>
      </c>
      <c r="C57" s="6" t="n">
        <v>2.2794469317436215</v>
      </c>
      <c r="D57" s="6" t="n">
        <v>0.7878861840248107</v>
      </c>
      <c r="E57" s="6" t="n">
        <v>1.7266909407615663</v>
      </c>
      <c r="F57" s="6" t="n">
        <v>0.42571453294754014</v>
      </c>
      <c r="G57" s="6" t="n">
        <v>0.006656533813476563</v>
      </c>
      <c r="H57" s="6" t="n">
        <v>0.12030757188796996</v>
      </c>
      <c r="I57" s="6" t="n">
        <v>0.0</v>
      </c>
      <c r="J57" s="6">
        <f si="0" t="shared"/>
        <v>2.1766319821271898</v>
      </c>
      <c r="L57" s="12">
        <v>0.125</v>
      </c>
      <c r="M57" s="9" t="n">
        <v>13.809377670288086</v>
      </c>
      <c r="N57" s="9" t="n">
        <v>1.7668886184692383</v>
      </c>
      <c r="O57" s="9" t="n">
        <v>0.6495733261108398</v>
      </c>
      <c r="P57" s="9" t="n">
        <v>1.5768957138061523</v>
      </c>
      <c r="Q57" s="9" t="n">
        <v>1.6052570343017578</v>
      </c>
      <c r="R57" s="9" t="n">
        <v>0.6214847564697266</v>
      </c>
      <c r="S57" s="9" t="n">
        <v>1.7924165725708008</v>
      </c>
      <c r="T57" s="9" t="n">
        <v>0.0</v>
      </c>
      <c r="U57">
        <f si="1" t="shared"/>
        <v>14.011753082275391</v>
      </c>
    </row>
    <row ht="15.75" r="58" spans="1:21" thickBot="1" x14ac:dyDescent="0.3">
      <c r="A58" s="13" t="s">
        <v>6</v>
      </c>
      <c r="B58" s="7" t="n">
        <v>0.0</v>
      </c>
      <c r="C58" s="7" t="n">
        <v>0.0</v>
      </c>
      <c r="D58" s="7" t="n">
        <v>0.0</v>
      </c>
      <c r="E58" s="7" t="n">
        <v>0.0</v>
      </c>
      <c r="F58" s="7" t="n">
        <v>0.0</v>
      </c>
      <c r="G58" s="7" t="n">
        <v>0.0</v>
      </c>
      <c r="H58" s="7" t="n">
        <v>0.0</v>
      </c>
      <c r="I58" s="7" t="n">
        <v>0.0</v>
      </c>
      <c r="J58" s="7">
        <f si="0" t="shared"/>
        <v>0</v>
      </c>
      <c r="L58" s="13" t="s">
        <v>6</v>
      </c>
      <c r="M58" s="10" t="n">
        <v>0.0</v>
      </c>
      <c r="N58" s="10" t="n">
        <v>0.0</v>
      </c>
      <c r="O58" s="10" t="n">
        <v>0.0</v>
      </c>
      <c r="P58" s="10" t="n">
        <v>0.0</v>
      </c>
      <c r="Q58" s="10" t="n">
        <v>0.0</v>
      </c>
      <c r="R58" s="10" t="n">
        <v>0.0</v>
      </c>
      <c r="S58" s="10" t="n">
        <v>0.0</v>
      </c>
      <c r="T58" s="10" t="n">
        <v>0.0</v>
      </c>
      <c r="U58" s="1">
        <f si="1" t="shared"/>
        <v>0</v>
      </c>
    </row>
  </sheetData>
  <pageMargins bottom="0.75" footer="0.3" header="0.3" left="0.7" right="0.7" top="0.75"/>
  <drawing r:id="rId1"/>
</worksheet>
</file>

<file path=xl/worksheets/sheet1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Z58"/>
  <sheetViews>
    <sheetView topLeftCell="L1" workbookViewId="0">
      <selection activeCell="L19" sqref="L19"/>
    </sheetView>
  </sheetViews>
  <sheetFormatPr defaultRowHeight="15" x14ac:dyDescent="0.25"/>
  <cols>
    <col min="1" max="1" customWidth="true" width="12.7109375" collapsed="true"/>
    <col min="2" max="10" customWidth="true" width="10.7109375" collapsed="true"/>
    <col min="11" max="11" customWidth="true" width="6.42578125" collapsed="true"/>
    <col min="12" max="12" customWidth="true" width="12.7109375" collapsed="true"/>
    <col min="13" max="21" customWidth="true" width="10.7109375" collapsed="true"/>
  </cols>
  <sheetData>
    <row r="1" spans="1:26" x14ac:dyDescent="0.25">
      <c r="A1" t="s">
        <v>44</v>
      </c>
    </row>
    <row r="2" spans="1:26" x14ac:dyDescent="0.25">
      <c r="A2" t="s">
        <v>46</v>
      </c>
    </row>
    <row r="3" spans="1:26" x14ac:dyDescent="0.25">
      <c r="A3" t="s">
        <v>7</v>
      </c>
    </row>
    <row r="4" spans="1:26" x14ac:dyDescent="0.25">
      <c r="A4" t="s">
        <v>8</v>
      </c>
    </row>
    <row r="5" spans="1:26" x14ac:dyDescent="0.25">
      <c r="W5" s="5"/>
      <c r="X5" s="5"/>
      <c r="Y5" s="5"/>
      <c r="Z5" s="5"/>
    </row>
    <row ht="15.75" r="6" spans="1:26" thickBot="1" x14ac:dyDescent="0.3">
      <c r="A6" s="3" t="s">
        <v>58</v>
      </c>
      <c r="B6" s="1"/>
      <c r="C6" s="1"/>
      <c r="D6" s="1"/>
      <c r="E6" s="1"/>
      <c r="F6" s="1"/>
      <c r="G6" s="1"/>
      <c r="H6" s="1"/>
      <c r="I6" s="1"/>
      <c r="J6" s="1"/>
      <c r="L6" s="3" t="s">
        <v>45</v>
      </c>
      <c r="M6" s="1"/>
      <c r="N6" s="1"/>
      <c r="O6" s="1"/>
      <c r="P6" s="1"/>
      <c r="Q6" s="1"/>
      <c r="R6" s="1"/>
      <c r="S6" s="1"/>
      <c r="T6" s="1"/>
      <c r="U6" s="1"/>
      <c r="W6" s="11"/>
      <c r="X6" s="5"/>
      <c r="Y6" s="5"/>
      <c r="Z6" s="5"/>
    </row>
    <row r="7" spans="1:26" x14ac:dyDescent="0.25">
      <c r="A7" s="2" t="s">
        <v>4</v>
      </c>
      <c r="B7" s="4" t="s">
        <v>17</v>
      </c>
      <c r="C7" s="4" t="s">
        <v>18</v>
      </c>
      <c r="D7" s="4" t="s">
        <v>19</v>
      </c>
      <c r="E7" s="4" t="s">
        <v>20</v>
      </c>
      <c r="F7" s="4" t="s">
        <v>21</v>
      </c>
      <c r="G7" s="4" t="s">
        <v>24</v>
      </c>
      <c r="H7" s="4" t="s">
        <v>22</v>
      </c>
      <c r="I7" s="4" t="s">
        <v>23</v>
      </c>
      <c r="J7" s="4" t="s">
        <v>0</v>
      </c>
      <c r="L7" s="2" t="s">
        <v>4</v>
      </c>
      <c r="M7" s="4" t="s">
        <v>17</v>
      </c>
      <c r="N7" s="4" t="s">
        <v>18</v>
      </c>
      <c r="O7" s="4" t="s">
        <v>19</v>
      </c>
      <c r="P7" s="4" t="s">
        <v>20</v>
      </c>
      <c r="Q7" s="4" t="s">
        <v>21</v>
      </c>
      <c r="R7" s="4" t="s">
        <v>24</v>
      </c>
      <c r="S7" s="4" t="s">
        <v>22</v>
      </c>
      <c r="T7" s="4" t="s">
        <v>23</v>
      </c>
      <c r="U7" s="4" t="s">
        <v>0</v>
      </c>
      <c r="W7" s="5"/>
      <c r="X7" s="14"/>
      <c r="Y7" s="14"/>
      <c r="Z7" s="5"/>
    </row>
    <row r="8" spans="1:26" x14ac:dyDescent="0.25">
      <c r="A8" t="s">
        <v>5</v>
      </c>
      <c r="B8" s="6" t="n">
        <v>0.0</v>
      </c>
      <c r="C8" s="6" t="n">
        <v>0.0</v>
      </c>
      <c r="D8" s="6" t="n">
        <v>0.0</v>
      </c>
      <c r="E8" s="6" t="n">
        <v>0.0</v>
      </c>
      <c r="F8" s="6" t="n">
        <v>0.0</v>
      </c>
      <c r="G8" s="6" t="n">
        <v>0.0</v>
      </c>
      <c r="H8" s="6" t="n">
        <v>0.0</v>
      </c>
      <c r="I8" s="6" t="n">
        <v>0.0</v>
      </c>
      <c r="J8" s="6">
        <f>SUM(B8:I8)</f>
        <v>0</v>
      </c>
      <c r="L8" t="s">
        <v>5</v>
      </c>
      <c r="M8" s="9" t="n">
        <v>45.0</v>
      </c>
      <c r="N8" s="9" t="n">
        <v>34.0</v>
      </c>
      <c r="O8" s="9" t="n">
        <v>0.0</v>
      </c>
      <c r="P8" s="9" t="n">
        <v>0.0</v>
      </c>
      <c r="Q8" s="9" t="n">
        <v>49.0</v>
      </c>
      <c r="R8" s="9" t="n">
        <v>4.0</v>
      </c>
      <c r="S8" s="9" t="n">
        <v>0.0</v>
      </c>
      <c r="T8" s="9" t="n">
        <v>0.0</v>
      </c>
      <c r="U8">
        <f>SUM(M8:T8)</f>
        <v>47</v>
      </c>
      <c r="W8" s="5"/>
      <c r="X8" s="16"/>
      <c r="Y8" s="16"/>
      <c r="Z8" s="5"/>
    </row>
    <row r="9" spans="1:26" x14ac:dyDescent="0.25">
      <c r="A9" s="12">
        <v>0.125</v>
      </c>
      <c r="B9" s="6" t="n">
        <v>0.2627193831443786</v>
      </c>
      <c r="C9" s="6" t="n">
        <v>2.507190417480469</v>
      </c>
      <c r="D9" s="6" t="n">
        <v>0.0</v>
      </c>
      <c r="E9" s="6" t="n">
        <v>0.0</v>
      </c>
      <c r="F9" s="6" t="n">
        <v>0.0</v>
      </c>
      <c r="G9" s="6" t="n">
        <v>0.0</v>
      </c>
      <c r="H9" s="6" t="n">
        <v>0.0</v>
      </c>
      <c r="I9" s="6" t="n">
        <v>0.0</v>
      </c>
      <c r="J9" s="6">
        <f ref="J9:J58" si="0" t="shared">SUM(B9:I9)</f>
        <v>4.4074003572463986E-2</v>
      </c>
      <c r="L9" s="12">
        <v>0.125</v>
      </c>
      <c r="M9" s="9" t="n">
        <v>338.03406047821045</v>
      </c>
      <c r="N9" s="9" t="n">
        <v>33.51010036468506</v>
      </c>
      <c r="O9" s="9" t="n">
        <v>0.0</v>
      </c>
      <c r="P9" s="9" t="n">
        <v>0.0</v>
      </c>
      <c r="Q9" s="9" t="n">
        <v>59.65628242492676</v>
      </c>
      <c r="R9" s="9" t="n">
        <v>2.7666616439819336</v>
      </c>
      <c r="S9" s="9" t="n">
        <v>0.0</v>
      </c>
      <c r="T9" s="9" t="n">
        <v>0.0</v>
      </c>
      <c r="U9">
        <f ref="U9:U58" si="1" t="shared">SUM(M9:T9)</f>
        <v>68.345495223999023</v>
      </c>
      <c r="W9" s="5"/>
      <c r="X9" s="16"/>
      <c r="Y9" s="16"/>
      <c r="Z9" s="5"/>
    </row>
    <row r="10" spans="1:26" x14ac:dyDescent="0.25">
      <c r="A10" s="12">
        <v>0.14583333333333334</v>
      </c>
      <c r="B10" s="6" t="n">
        <v>1.2245811923980712</v>
      </c>
      <c r="C10" s="6" t="n">
        <v>5.791322898674011</v>
      </c>
      <c r="D10" s="6" t="n">
        <v>0.0</v>
      </c>
      <c r="E10" s="6" t="n">
        <v>0.0</v>
      </c>
      <c r="F10" s="6" t="n">
        <v>0.0</v>
      </c>
      <c r="G10" s="6" t="n">
        <v>0.0</v>
      </c>
      <c r="H10" s="6" t="n">
        <v>0.0</v>
      </c>
      <c r="I10" s="6" t="n">
        <v>0.0</v>
      </c>
      <c r="J10" s="6">
        <f si="0" t="shared"/>
        <v>0.29190098532104486</v>
      </c>
      <c r="L10" s="12">
        <v>0.14583333333333334</v>
      </c>
      <c r="M10" s="9" t="n">
        <v>491.98115730285645</v>
      </c>
      <c r="N10" s="9" t="n">
        <v>29.958022117614746</v>
      </c>
      <c r="O10" s="9" t="n">
        <v>0.0</v>
      </c>
      <c r="P10" s="9" t="n">
        <v>0.0</v>
      </c>
      <c r="Q10" s="9" t="n">
        <v>60.55969429016113</v>
      </c>
      <c r="R10" s="9" t="n">
        <v>1.7061653137207031</v>
      </c>
      <c r="S10" s="9" t="n">
        <v>0.0</v>
      </c>
      <c r="T10" s="9" t="n">
        <v>0.0</v>
      </c>
      <c r="U10">
        <f si="1" t="shared"/>
        <v>99.651410102844238</v>
      </c>
      <c r="W10" s="5"/>
      <c r="X10" s="16"/>
      <c r="Y10" s="16"/>
      <c r="Z10" s="5"/>
    </row>
    <row r="11" spans="1:26" x14ac:dyDescent="0.25">
      <c r="A11" s="12">
        <v>0.16666666666666666</v>
      </c>
      <c r="B11" s="6" t="n">
        <v>4.4161150272369385</v>
      </c>
      <c r="C11" s="6" t="n">
        <v>10.142199769020081</v>
      </c>
      <c r="D11" s="6" t="n">
        <v>0.0</v>
      </c>
      <c r="E11" s="6" t="n">
        <v>0.0</v>
      </c>
      <c r="F11" s="6" t="n">
        <v>9.683427810668945E-5</v>
      </c>
      <c r="G11" s="6" t="n">
        <v>0.0</v>
      </c>
      <c r="H11" s="6" t="n">
        <v>0.0</v>
      </c>
      <c r="I11" s="6" t="n">
        <v>0.0</v>
      </c>
      <c r="J11" s="6">
        <f si="0" t="shared"/>
        <v>1.3910963359985349</v>
      </c>
      <c r="L11" s="12">
        <v>0.16666666666666666</v>
      </c>
      <c r="M11" s="9" t="n">
        <v>469.69200706481934</v>
      </c>
      <c r="N11" s="9" t="n">
        <v>23.219714164733887</v>
      </c>
      <c r="O11" s="9" t="n">
        <v>0.0</v>
      </c>
      <c r="P11" s="9" t="n">
        <v>0.0</v>
      </c>
      <c r="Q11" s="9" t="n">
        <v>49.703396797180176</v>
      </c>
      <c r="R11" s="9" t="n">
        <v>0.9261388778686523</v>
      </c>
      <c r="S11" s="9" t="n">
        <v>0.0</v>
      </c>
      <c r="T11" s="9" t="n">
        <v>0.0</v>
      </c>
      <c r="U11">
        <f si="1" t="shared"/>
        <v>145.45065689086914</v>
      </c>
      <c r="W11" s="5"/>
      <c r="X11" s="16"/>
      <c r="Y11" s="16"/>
      <c r="Z11" s="5"/>
    </row>
    <row r="12" spans="1:26" x14ac:dyDescent="0.25">
      <c r="A12" s="12">
        <v>0.1875</v>
      </c>
      <c r="B12" s="6" t="n">
        <v>13.193662368392944</v>
      </c>
      <c r="C12" s="6" t="n">
        <v>15.402182523155213</v>
      </c>
      <c r="D12" s="6" t="n">
        <v>0.0</v>
      </c>
      <c r="E12" s="6" t="n">
        <v>0.0</v>
      </c>
      <c r="F12" s="6" t="n">
        <v>0.001936685562133789</v>
      </c>
      <c r="G12" s="6" t="n">
        <v>0.0</v>
      </c>
      <c r="H12" s="6" t="n">
        <v>0.0</v>
      </c>
      <c r="I12" s="6" t="n">
        <v>0.0</v>
      </c>
      <c r="J12" s="6">
        <f si="0" t="shared"/>
        <v>5.1288878011312491</v>
      </c>
      <c r="L12" s="12">
        <v>0.1875</v>
      </c>
      <c r="M12" s="9" t="n">
        <v>345.9066562652588</v>
      </c>
      <c r="N12" s="9" t="n">
        <v>16.558332443237305</v>
      </c>
      <c r="O12" s="9" t="n">
        <v>0.0</v>
      </c>
      <c r="P12" s="9" t="n">
        <v>0.0</v>
      </c>
      <c r="Q12" s="9" t="n">
        <v>33.21717548370361</v>
      </c>
      <c r="R12" s="9" t="n">
        <v>0.44525909423828125</v>
      </c>
      <c r="S12" s="9" t="n">
        <v>0.0</v>
      </c>
      <c r="T12" s="9" t="n">
        <v>0.0</v>
      </c>
      <c r="U12">
        <f si="1" t="shared"/>
        <v>202.67242050170898</v>
      </c>
      <c r="W12" s="5"/>
      <c r="X12" s="5"/>
      <c r="Y12" s="5"/>
      <c r="Z12" s="5"/>
    </row>
    <row r="13" spans="1:26" x14ac:dyDescent="0.25">
      <c r="A13" s="12">
        <v>0.20833333333333334</v>
      </c>
      <c r="B13" s="6" t="n">
        <v>33.96443927688598</v>
      </c>
      <c r="C13" s="6" t="n">
        <v>21.4834924659729</v>
      </c>
      <c r="D13" s="6" t="n">
        <v>0.0</v>
      </c>
      <c r="E13" s="6" t="n">
        <v>0.0</v>
      </c>
      <c r="F13" s="6" t="n">
        <v>0.018398512840270997</v>
      </c>
      <c r="G13" s="6" t="n">
        <v>0.0</v>
      </c>
      <c r="H13" s="6" t="n">
        <v>0.0</v>
      </c>
      <c r="I13" s="6" t="n">
        <v>0.0</v>
      </c>
      <c r="J13" s="6">
        <f si="0" t="shared"/>
        <v>15.30378790887165</v>
      </c>
      <c r="L13" s="12">
        <v>0.20833333333333334</v>
      </c>
      <c r="M13" s="9" t="n">
        <v>238.70013618469238</v>
      </c>
      <c r="N13" s="9" t="n">
        <v>15.225081443786621</v>
      </c>
      <c r="O13" s="9" t="n">
        <v>0.0</v>
      </c>
      <c r="P13" s="9" t="n">
        <v>0.0</v>
      </c>
      <c r="Q13" s="9" t="n">
        <v>19.581604957580566</v>
      </c>
      <c r="R13" s="9" t="n">
        <v>0.22211265563964844</v>
      </c>
      <c r="S13" s="9" t="n">
        <v>0.0</v>
      </c>
      <c r="T13" s="9" t="n">
        <v>0.0</v>
      </c>
      <c r="U13">
        <f si="1" t="shared"/>
        <v>264.05407810211182</v>
      </c>
    </row>
    <row r="14" spans="1:26" x14ac:dyDescent="0.25">
      <c r="A14" s="12">
        <v>0.22916666666666666</v>
      </c>
      <c r="B14" s="6" t="n">
        <v>77.46830374259949</v>
      </c>
      <c r="C14" s="6" t="n">
        <v>28.59728603219986</v>
      </c>
      <c r="D14" s="6" t="n">
        <v>0.0</v>
      </c>
      <c r="E14" s="6" t="n">
        <v>0.0</v>
      </c>
      <c r="F14" s="6" t="n">
        <v>0.11043699903488159</v>
      </c>
      <c r="G14" s="6" t="n">
        <v>0.0</v>
      </c>
      <c r="H14" s="6" t="n">
        <v>0.0</v>
      </c>
      <c r="I14" s="6" t="n">
        <v>0.0</v>
      </c>
      <c r="J14" s="6">
        <f si="0" t="shared"/>
        <v>38.193535642476085</v>
      </c>
      <c r="L14" s="12">
        <v>0.22916666666666666</v>
      </c>
      <c r="M14" s="9" t="n">
        <v>248.1545295715332</v>
      </c>
      <c r="N14" s="9" t="n">
        <v>25.702786445617676</v>
      </c>
      <c r="O14" s="9" t="n">
        <v>0.0</v>
      </c>
      <c r="P14" s="9" t="n">
        <v>0.0</v>
      </c>
      <c r="Q14" s="9" t="n">
        <v>14.636579513549805</v>
      </c>
      <c r="R14" s="9" t="n">
        <v>0.21324443817138672</v>
      </c>
      <c r="S14" s="9" t="n">
        <v>0.0</v>
      </c>
      <c r="T14" s="9" t="n">
        <v>0.0</v>
      </c>
      <c r="U14">
        <f si="1" t="shared"/>
        <v>326.75908946990967</v>
      </c>
    </row>
    <row r="15" spans="1:26" x14ac:dyDescent="0.25">
      <c r="A15" s="12">
        <v>0.25</v>
      </c>
      <c r="B15" s="6" t="n">
        <v>159.4126276298523</v>
      </c>
      <c r="C15" s="6" t="n">
        <v>36.59784622516632</v>
      </c>
      <c r="D15" s="6" t="n">
        <v>0.0</v>
      </c>
      <c r="E15" s="6" t="n">
        <v>0.0</v>
      </c>
      <c r="F15" s="6" t="n">
        <v>0.4700805172920227</v>
      </c>
      <c r="G15" s="6" t="n">
        <v>0.0</v>
      </c>
      <c r="H15" s="6" t="n">
        <v>0.0</v>
      </c>
      <c r="I15" s="6" t="n">
        <v>0.0</v>
      </c>
      <c r="J15" s="6">
        <f si="0" t="shared"/>
        <v>81.79213185402773</v>
      </c>
      <c r="L15" s="12">
        <v>0.25</v>
      </c>
      <c r="M15" s="9" t="n">
        <v>450.7661466598511</v>
      </c>
      <c r="N15" s="9" t="n">
        <v>56.40368366241455</v>
      </c>
      <c r="O15" s="9" t="n">
        <v>0.0</v>
      </c>
      <c r="P15" s="9" t="n">
        <v>0.0</v>
      </c>
      <c r="Q15" s="9" t="n">
        <v>21.316494941711426</v>
      </c>
      <c r="R15" s="9" t="n">
        <v>0.4252662658691406</v>
      </c>
      <c r="S15" s="9" t="n">
        <v>0.0</v>
      </c>
      <c r="T15" s="9" t="n">
        <v>0.0</v>
      </c>
      <c r="U15">
        <f si="1" t="shared"/>
        <v>401.58874225616455</v>
      </c>
    </row>
    <row r="16" spans="1:26" x14ac:dyDescent="0.25">
      <c r="A16" s="12">
        <v>0.27083333333333331</v>
      </c>
      <c r="B16" s="6" t="n">
        <v>299.440826328659</v>
      </c>
      <c r="C16" s="6" t="n">
        <v>44.16917376794816</v>
      </c>
      <c r="D16" s="6" t="n">
        <v>0.0</v>
      </c>
      <c r="E16" s="6" t="n">
        <v>0.0</v>
      </c>
      <c r="F16" s="6" t="n">
        <v>1.5116323024749758</v>
      </c>
      <c r="G16" s="6" t="n">
        <v>0.0</v>
      </c>
      <c r="H16" s="6" t="n">
        <v>0.0</v>
      </c>
      <c r="I16" s="6" t="n">
        <v>0.0</v>
      </c>
      <c r="J16" s="6">
        <f si="0" t="shared"/>
        <v>153.48013369409372</v>
      </c>
      <c r="L16" s="12">
        <v>0.27083333333333331</v>
      </c>
      <c r="M16" s="9" t="n">
        <v>925.3366537094116</v>
      </c>
      <c r="N16" s="9" t="n">
        <v>118.30678844451904</v>
      </c>
      <c r="O16" s="9" t="n">
        <v>0.0</v>
      </c>
      <c r="P16" s="9" t="n">
        <v>0.0</v>
      </c>
      <c r="Q16" s="9" t="n">
        <v>42.19309425354004</v>
      </c>
      <c r="R16" s="9" t="n">
        <v>0.9415245056152344</v>
      </c>
      <c r="S16" s="9" t="n">
        <v>0.0</v>
      </c>
      <c r="T16" s="9" t="n">
        <v>0.0</v>
      </c>
      <c r="U16">
        <f si="1" t="shared"/>
        <v>515.88951969146729</v>
      </c>
    </row>
    <row r="17" spans="1:21" x14ac:dyDescent="0.25">
      <c r="A17" s="12">
        <v>0.29166666666666669</v>
      </c>
      <c r="B17" s="6" t="n">
        <v>518.5692425262451</v>
      </c>
      <c r="C17" s="6" t="n">
        <v>49.36344541702271</v>
      </c>
      <c r="D17" s="6" t="n">
        <v>0.0</v>
      </c>
      <c r="E17" s="6" t="n">
        <v>0.0</v>
      </c>
      <c r="F17" s="6" t="n">
        <v>3.839054124164582</v>
      </c>
      <c r="G17" s="6" t="n">
        <v>0.0</v>
      </c>
      <c r="H17" s="6" t="n">
        <v>0.0</v>
      </c>
      <c r="I17" s="6" t="n">
        <v>0.0</v>
      </c>
      <c r="J17" s="6">
        <f si="0" t="shared"/>
        <v>257.1312486193533</v>
      </c>
      <c r="L17" s="12">
        <v>0.29166666666666669</v>
      </c>
      <c r="M17" s="9" t="n">
        <v>1773.5590295791626</v>
      </c>
      <c r="N17" s="9" t="n">
        <v>224.6288948059082</v>
      </c>
      <c r="O17" s="9" t="n">
        <v>0.0</v>
      </c>
      <c r="P17" s="9" t="n">
        <v>0.0</v>
      </c>
      <c r="Q17" s="9" t="n">
        <v>81.7111988067627</v>
      </c>
      <c r="R17" s="9" t="n">
        <v>1.930434226989746</v>
      </c>
      <c r="S17" s="9" t="n">
        <v>0.0</v>
      </c>
      <c r="T17" s="9" t="n">
        <v>0.0</v>
      </c>
      <c r="U17">
        <f si="1" t="shared"/>
        <v>707.15910625457764</v>
      </c>
    </row>
    <row r="18" spans="1:21" x14ac:dyDescent="0.25">
      <c r="A18" s="12">
        <v>0.3125</v>
      </c>
      <c r="B18" s="6" t="n">
        <v>837.4889296876908</v>
      </c>
      <c r="C18" s="6" t="n">
        <v>51.63965299253464</v>
      </c>
      <c r="D18" s="6" t="n">
        <v>0.0</v>
      </c>
      <c r="E18" s="6" t="n">
        <v>0.0</v>
      </c>
      <c r="F18" s="6" t="n">
        <v>8.06409579563141</v>
      </c>
      <c r="G18" s="6" t="n">
        <v>0.0</v>
      </c>
      <c r="H18" s="6" t="n">
        <v>0.0</v>
      </c>
      <c r="I18" s="6" t="n">
        <v>0.0</v>
      </c>
      <c r="J18" s="6">
        <f si="0" t="shared"/>
        <v>392.48397629596894</v>
      </c>
      <c r="L18" s="12">
        <v>0.3125</v>
      </c>
      <c r="M18" s="9" t="n">
        <v>3138.2647638320923</v>
      </c>
      <c r="N18" s="9" t="n">
        <v>391.214075088501</v>
      </c>
      <c r="O18" s="9" t="n">
        <v>0.0</v>
      </c>
      <c r="P18" s="9" t="n">
        <v>0.0</v>
      </c>
      <c r="Q18" s="9" t="n">
        <v>147.7672529220581</v>
      </c>
      <c r="R18" s="9" t="n">
        <v>3.6585216522216797</v>
      </c>
      <c r="S18" s="9" t="n">
        <v>0.0</v>
      </c>
      <c r="T18" s="9" t="n">
        <v>0.0</v>
      </c>
      <c r="U18">
        <f si="1" t="shared"/>
        <v>1012.6933441162109</v>
      </c>
    </row>
    <row r="19" spans="1:21" x14ac:dyDescent="0.25">
      <c r="A19" s="12">
        <v>0.33333333333333331</v>
      </c>
      <c r="B19" s="6" t="n">
        <v>1278.601812673092</v>
      </c>
      <c r="C19" s="6" t="n">
        <v>53.476416846466066</v>
      </c>
      <c r="D19" s="6" t="n">
        <v>0.0</v>
      </c>
      <c r="E19" s="6" t="n">
        <v>0.0</v>
      </c>
      <c r="F19" s="6" t="n">
        <v>15.041362521171571</v>
      </c>
      <c r="G19" s="6" t="n">
        <v>0.0</v>
      </c>
      <c r="H19" s="6" t="n">
        <v>0.0</v>
      </c>
      <c r="I19" s="6" t="n">
        <v>0.0</v>
      </c>
      <c r="J19" s="6">
        <f si="0" t="shared"/>
        <v>561.07786716122428</v>
      </c>
      <c r="L19" s="12">
        <v>0.33333333333333331</v>
      </c>
      <c r="M19" s="9" t="n">
        <v>5234.108745574951</v>
      </c>
      <c r="N19" s="9" t="n">
        <v>638.9499616622925</v>
      </c>
      <c r="O19" s="9" t="n">
        <v>0.0</v>
      </c>
      <c r="P19" s="9" t="n">
        <v>0.0</v>
      </c>
      <c r="Q19" s="9" t="n">
        <v>253.39334201812744</v>
      </c>
      <c r="R19" s="9" t="n">
        <v>6.515603065490723</v>
      </c>
      <c r="S19" s="9" t="n">
        <v>0.0</v>
      </c>
      <c r="T19" s="9" t="n">
        <v>0.0</v>
      </c>
      <c r="U19">
        <f si="1" t="shared"/>
        <v>1463.8890199661255</v>
      </c>
    </row>
    <row r="20" spans="1:21" x14ac:dyDescent="0.25">
      <c r="A20" s="12">
        <v>0.35416666666666669</v>
      </c>
      <c r="B20" s="6" t="n">
        <v>1872.842475702095</v>
      </c>
      <c r="C20" s="6" t="n">
        <v>59.78019650650025</v>
      </c>
      <c r="D20" s="6" t="n">
        <v>0.0</v>
      </c>
      <c r="E20" s="6" t="n">
        <v>0.0</v>
      </c>
      <c r="F20" s="6" t="n">
        <v>27.69551783342362</v>
      </c>
      <c r="G20" s="6" t="n">
        <v>0.0</v>
      </c>
      <c r="H20" s="6" t="n">
        <v>0.0</v>
      </c>
      <c r="I20" s="6" t="n">
        <v>0.0</v>
      </c>
      <c r="J20" s="6">
        <f si="0" t="shared"/>
        <v>782.43401119011776</v>
      </c>
      <c r="L20" s="12">
        <v>0.35416666666666669</v>
      </c>
      <c r="M20" s="9" t="n">
        <v>8353.86248588562</v>
      </c>
      <c r="N20" s="9" t="n">
        <v>994.0817747116089</v>
      </c>
      <c r="O20" s="9" t="n">
        <v>0.0</v>
      </c>
      <c r="P20" s="9" t="n">
        <v>0.0</v>
      </c>
      <c r="Q20" s="9" t="n">
        <v>416.66521644592285</v>
      </c>
      <c r="R20" s="9" t="n">
        <v>11.004969596862793</v>
      </c>
      <c r="S20" s="9" t="n">
        <v>0.0</v>
      </c>
      <c r="T20" s="9" t="n">
        <v>0.0</v>
      </c>
      <c r="U20">
        <f si="1" t="shared"/>
        <v>2085.8898363113403</v>
      </c>
    </row>
    <row r="21" spans="1:21" x14ac:dyDescent="0.25">
      <c r="A21" s="12">
        <v>0.375</v>
      </c>
      <c r="B21" s="6" t="n">
        <v>2671.6887176288606</v>
      </c>
      <c r="C21" s="6" t="n">
        <v>75.74082519578934</v>
      </c>
      <c r="D21" s="6" t="n">
        <v>0.0</v>
      </c>
      <c r="E21" s="6" t="n">
        <v>0.0</v>
      </c>
      <c r="F21" s="6" t="n">
        <v>54.54889529581071</v>
      </c>
      <c r="G21" s="6" t="n">
        <v>0.0</v>
      </c>
      <c r="H21" s="6" t="n">
        <v>0.0</v>
      </c>
      <c r="I21" s="6" t="n">
        <v>0.0</v>
      </c>
      <c r="J21" s="6">
        <f si="0" t="shared"/>
        <v>1118.3730171156512</v>
      </c>
      <c r="L21" s="12">
        <v>0.375</v>
      </c>
      <c r="M21" s="9" t="n">
        <v>12771.592903137207</v>
      </c>
      <c r="N21" s="9" t="n">
        <v>1478.6454429626465</v>
      </c>
      <c r="O21" s="9" t="n">
        <v>0.0</v>
      </c>
      <c r="P21" s="9" t="n">
        <v>0.0</v>
      </c>
      <c r="Q21" s="9" t="n">
        <v>654.9656229019165</v>
      </c>
      <c r="R21" s="9" t="n">
        <v>17.60779857635498</v>
      </c>
      <c r="S21" s="9" t="n">
        <v>0.0</v>
      </c>
      <c r="T21" s="9" t="n">
        <v>0.0</v>
      </c>
      <c r="U21">
        <f si="1" t="shared"/>
        <v>2893.3771524429321</v>
      </c>
    </row>
    <row r="22" spans="1:21" x14ac:dyDescent="0.25">
      <c r="A22" s="12">
        <v>0.39583333333333331</v>
      </c>
      <c r="B22" s="6" t="n">
        <v>3761.794913733673</v>
      </c>
      <c r="C22" s="6" t="n">
        <v>105.36029560985565</v>
      </c>
      <c r="D22" s="6" t="n">
        <v>0.0</v>
      </c>
      <c r="E22" s="6" t="n">
        <v>0.0</v>
      </c>
      <c r="F22" s="6" t="n">
        <v>111.32086117620469</v>
      </c>
      <c r="G22" s="6" t="n">
        <v>0.0</v>
      </c>
      <c r="H22" s="6" t="n">
        <v>0.0</v>
      </c>
      <c r="I22" s="6" t="n">
        <v>0.0</v>
      </c>
      <c r="J22" s="6">
        <f si="0" t="shared"/>
        <v>1689.763857419779</v>
      </c>
      <c r="L22" s="12">
        <v>0.39583333333333331</v>
      </c>
      <c r="M22" s="9" t="n">
        <v>18532.894262313843</v>
      </c>
      <c r="N22" s="9" t="n">
        <v>2090.7121057510376</v>
      </c>
      <c r="O22" s="9" t="n">
        <v>0.0</v>
      </c>
      <c r="P22" s="9" t="n">
        <v>0.0</v>
      </c>
      <c r="Q22" s="9" t="n">
        <v>973.6863117218018</v>
      </c>
      <c r="R22" s="9" t="n">
        <v>26.49998664855957</v>
      </c>
      <c r="S22" s="9" t="n">
        <v>0.0</v>
      </c>
      <c r="T22" s="9" t="n">
        <v>0.0</v>
      </c>
      <c r="U22">
        <f si="1" t="shared"/>
        <v>3876.7919540405273</v>
      </c>
    </row>
    <row r="23" spans="1:21" x14ac:dyDescent="0.25">
      <c r="A23" s="12">
        <v>0.41666666666666669</v>
      </c>
      <c r="B23" s="6" t="n">
        <v>5262.52385461855</v>
      </c>
      <c r="C23" s="6" t="n">
        <v>151.5503751909256</v>
      </c>
      <c r="D23" s="6" t="n">
        <v>0.0</v>
      </c>
      <c r="E23" s="6" t="n">
        <v>0.0</v>
      </c>
      <c r="F23" s="6" t="n">
        <v>214.0595010299683</v>
      </c>
      <c r="G23" s="6" t="n">
        <v>0.0</v>
      </c>
      <c r="H23" s="6" t="n">
        <v>0.0</v>
      </c>
      <c r="I23" s="6" t="n">
        <v>0.0</v>
      </c>
      <c r="J23" s="6">
        <f si="0" t="shared"/>
        <v>2654.1861355344149</v>
      </c>
      <c r="L23" s="12">
        <v>0.41666666666666669</v>
      </c>
      <c r="M23" s="9" t="n">
        <v>25264.92499065399</v>
      </c>
      <c r="N23" s="9" t="n">
        <v>2788.2141704559326</v>
      </c>
      <c r="O23" s="9" t="n">
        <v>0.0</v>
      </c>
      <c r="P23" s="9" t="n">
        <v>0.0</v>
      </c>
      <c r="Q23" s="9" t="n">
        <v>1356.6752252578735</v>
      </c>
      <c r="R23" s="9" t="n">
        <v>37.28191566467285</v>
      </c>
      <c r="S23" s="9" t="n">
        <v>0.0</v>
      </c>
      <c r="T23" s="9" t="n">
        <v>0.0</v>
      </c>
      <c r="U23">
        <f si="1" t="shared"/>
        <v>4987.6235723495483</v>
      </c>
    </row>
    <row r="24" spans="1:21" x14ac:dyDescent="0.25">
      <c r="A24" s="12">
        <v>0.4375</v>
      </c>
      <c r="B24" s="6" t="n">
        <v>7266.013966601944</v>
      </c>
      <c r="C24" s="6" t="n">
        <v>216.13113527231215</v>
      </c>
      <c r="D24" s="6" t="n">
        <v>0.0</v>
      </c>
      <c r="E24" s="6" t="n">
        <v>0.0</v>
      </c>
      <c r="F24" s="6" t="n">
        <v>362.3224920830727</v>
      </c>
      <c r="G24" s="6" t="n">
        <v>0.0</v>
      </c>
      <c r="H24" s="6" t="n">
        <v>0.0</v>
      </c>
      <c r="I24" s="6" t="n">
        <v>0.0</v>
      </c>
      <c r="J24" s="6">
        <f si="0" t="shared"/>
        <v>4117.2727742853431</v>
      </c>
      <c r="L24" s="12">
        <v>0.4375</v>
      </c>
      <c r="M24" s="9" t="n">
        <v>32173.836802482605</v>
      </c>
      <c r="N24" s="9" t="n">
        <v>3492.178448677063</v>
      </c>
      <c r="O24" s="9" t="n">
        <v>0.0</v>
      </c>
      <c r="P24" s="9" t="n">
        <v>0.0</v>
      </c>
      <c r="Q24" s="9" t="n">
        <v>1766.4886302947998</v>
      </c>
      <c r="R24" s="9" t="n">
        <v>48.96469688415527</v>
      </c>
      <c r="S24" s="9" t="n">
        <v>0.0</v>
      </c>
      <c r="T24" s="9" t="n">
        <v>0.0</v>
      </c>
      <c r="U24">
        <f si="1" t="shared"/>
        <v>6136.1658992767334</v>
      </c>
    </row>
    <row r="25" spans="1:21" x14ac:dyDescent="0.25">
      <c r="A25" s="12">
        <v>0.45833333333333331</v>
      </c>
      <c r="B25" s="6" t="n">
        <v>9704.762261399745</v>
      </c>
      <c r="C25" s="6" t="n">
        <v>297.6087956692695</v>
      </c>
      <c r="D25" s="6" t="n">
        <v>0.0</v>
      </c>
      <c r="E25" s="6" t="n">
        <v>0.0</v>
      </c>
      <c r="F25" s="6" t="n">
        <v>524.3422959675789</v>
      </c>
      <c r="G25" s="6" t="n">
        <v>0.0</v>
      </c>
      <c r="H25" s="6" t="n">
        <v>0.0</v>
      </c>
      <c r="I25" s="6" t="n">
        <v>0.0</v>
      </c>
      <c r="J25" s="6">
        <f si="0" t="shared"/>
        <v>5999.0741136625402</v>
      </c>
      <c r="L25" s="12">
        <v>0.45833333333333331</v>
      </c>
      <c r="M25" s="9" t="n">
        <v>38246.28491973877</v>
      </c>
      <c r="N25" s="9" t="n">
        <v>4108.480956077576</v>
      </c>
      <c r="O25" s="9" t="n">
        <v>0.0</v>
      </c>
      <c r="P25" s="9" t="n">
        <v>0.0</v>
      </c>
      <c r="Q25" s="9" t="n">
        <v>2153.824151992798</v>
      </c>
      <c r="R25" s="9" t="n">
        <v>60.25953960418701</v>
      </c>
      <c r="S25" s="9" t="n">
        <v>0.0</v>
      </c>
      <c r="T25" s="9" t="n">
        <v>0.0</v>
      </c>
      <c r="U25">
        <f si="1" t="shared"/>
        <v>7203.5164556503296</v>
      </c>
    </row>
    <row r="26" spans="1:21" x14ac:dyDescent="0.25">
      <c r="A26" s="12">
        <v>0.47916666666666669</v>
      </c>
      <c r="B26" s="6" t="n">
        <v>12224.430161147879</v>
      </c>
      <c r="C26" s="6" t="n">
        <v>387.42178599357607</v>
      </c>
      <c r="D26" s="6" t="n">
        <v>0.0</v>
      </c>
      <c r="E26" s="6" t="n">
        <v>0.0</v>
      </c>
      <c r="F26" s="6" t="n">
        <v>643.2722594345092</v>
      </c>
      <c r="G26" s="6" t="n">
        <v>0.0</v>
      </c>
      <c r="H26" s="6" t="n">
        <v>0.0</v>
      </c>
      <c r="I26" s="6" t="n">
        <v>0.0</v>
      </c>
      <c r="J26" s="6">
        <f si="0" t="shared"/>
        <v>7950.2142462573456</v>
      </c>
      <c r="L26" s="12">
        <v>0.47916666666666669</v>
      </c>
      <c r="M26" s="9" t="n">
        <v>42513.84476184845</v>
      </c>
      <c r="N26" s="9" t="n">
        <v>4551.7850131988525</v>
      </c>
      <c r="O26" s="9" t="n">
        <v>0.0</v>
      </c>
      <c r="P26" s="9" t="n">
        <v>0.0</v>
      </c>
      <c r="Q26" s="9" t="n">
        <v>2468.2750339508057</v>
      </c>
      <c r="R26" s="9" t="n">
        <v>69.9401044845581</v>
      </c>
      <c r="S26" s="9" t="n">
        <v>0.0</v>
      </c>
      <c r="T26" s="9" t="n">
        <v>0.0</v>
      </c>
      <c r="U26">
        <f si="1" t="shared"/>
        <v>8061.0650691986084</v>
      </c>
    </row>
    <row r="27" spans="1:21" x14ac:dyDescent="0.25">
      <c r="A27" s="12">
        <v>0.5</v>
      </c>
      <c r="B27" s="6" t="n">
        <v>14210.770368765354</v>
      </c>
      <c r="C27" s="6" t="n">
        <v>468.5760412455559</v>
      </c>
      <c r="D27" s="6" t="n">
        <v>0.0</v>
      </c>
      <c r="E27" s="6" t="n">
        <v>0.0</v>
      </c>
      <c r="F27" s="6" t="n">
        <v>668.7739095309257</v>
      </c>
      <c r="G27" s="6" t="n">
        <v>0.0</v>
      </c>
      <c r="H27" s="6" t="n">
        <v>0.0</v>
      </c>
      <c r="I27" s="6" t="n">
        <v>0.0</v>
      </c>
      <c r="J27" s="6">
        <f si="0" t="shared"/>
        <v>9430.0877610257648</v>
      </c>
      <c r="L27" s="12">
        <v>0.5</v>
      </c>
      <c r="M27" s="9" t="n">
        <v>44264.76272392273</v>
      </c>
      <c r="N27" s="9" t="n">
        <v>4760.698256492615</v>
      </c>
      <c r="O27" s="9" t="n">
        <v>0.0</v>
      </c>
      <c r="P27" s="9" t="n">
        <v>0.0</v>
      </c>
      <c r="Q27" s="9" t="n">
        <v>2666.3791522979736</v>
      </c>
      <c r="R27" s="9" t="n">
        <v>77.05726146697998</v>
      </c>
      <c r="S27" s="9" t="n">
        <v>0.0</v>
      </c>
      <c r="T27" s="9" t="n">
        <v>0.0</v>
      </c>
      <c r="U27">
        <f si="1" t="shared"/>
        <v>8597.2548980712891</v>
      </c>
    </row>
    <row r="28" spans="1:21" x14ac:dyDescent="0.25">
      <c r="A28" s="12">
        <v>0.52083333333333337</v>
      </c>
      <c r="B28" s="6" t="n">
        <v>15039.865526502228</v>
      </c>
      <c r="C28" s="6" t="n">
        <v>520.0795560647965</v>
      </c>
      <c r="D28" s="6" t="n">
        <v>0.0</v>
      </c>
      <c r="E28" s="6" t="n">
        <v>0.0</v>
      </c>
      <c r="F28" s="6" t="n">
        <v>591.0512130746843</v>
      </c>
      <c r="G28" s="6" t="n">
        <v>0.0</v>
      </c>
      <c r="H28" s="6" t="n">
        <v>0.0</v>
      </c>
      <c r="I28" s="6" t="n">
        <v>0.0</v>
      </c>
      <c r="J28" s="6">
        <f si="0" t="shared"/>
        <v>9956.3330432985586</v>
      </c>
      <c r="L28" s="12">
        <v>0.52083333333333337</v>
      </c>
      <c r="M28" s="9" t="n">
        <v>43205.337458610535</v>
      </c>
      <c r="N28" s="9" t="n">
        <v>4707.977814674377</v>
      </c>
      <c r="O28" s="9" t="n">
        <v>0.0</v>
      </c>
      <c r="P28" s="9" t="n">
        <v>0.0</v>
      </c>
      <c r="Q28" s="9" t="n">
        <v>2720.2596883773804</v>
      </c>
      <c r="R28" s="9" t="n">
        <v>81.03064346313477</v>
      </c>
      <c r="S28" s="9" t="n">
        <v>0.0</v>
      </c>
      <c r="T28" s="9" t="n">
        <v>0.0</v>
      </c>
      <c r="U28">
        <f si="1" t="shared"/>
        <v>8753.4983444213867</v>
      </c>
    </row>
    <row r="29" spans="1:21" x14ac:dyDescent="0.25">
      <c r="A29" s="12">
        <v>0.54166666666666663</v>
      </c>
      <c r="B29" s="6" t="n">
        <v>14415.934508547689</v>
      </c>
      <c r="C29" s="6" t="n">
        <v>526.0765294086457</v>
      </c>
      <c r="D29" s="6" t="n">
        <v>0.0</v>
      </c>
      <c r="E29" s="6" t="n">
        <v>0.0</v>
      </c>
      <c r="F29" s="6" t="n">
        <v>447.0119399638176</v>
      </c>
      <c r="G29" s="6" t="n">
        <v>0.0</v>
      </c>
      <c r="H29" s="6" t="n">
        <v>0.0</v>
      </c>
      <c r="I29" s="6" t="n">
        <v>0.0</v>
      </c>
      <c r="J29" s="6">
        <f si="0" t="shared"/>
        <v>9373.9185822305844</v>
      </c>
      <c r="L29" s="12">
        <v>0.54166666666666663</v>
      </c>
      <c r="M29" s="9" t="n">
        <v>39571.518567085266</v>
      </c>
      <c r="N29" s="9" t="n">
        <v>4409.891918182373</v>
      </c>
      <c r="O29" s="9" t="n">
        <v>0.0</v>
      </c>
      <c r="P29" s="9" t="n">
        <v>0.0</v>
      </c>
      <c r="Q29" s="9" t="n">
        <v>2627.7974462509155</v>
      </c>
      <c r="R29" s="9" t="n">
        <v>81.72248935699463</v>
      </c>
      <c r="S29" s="9" t="n">
        <v>0.0</v>
      </c>
      <c r="T29" s="9" t="n">
        <v>0.0</v>
      </c>
      <c r="U29">
        <f si="1" t="shared"/>
        <v>8552.5052137374878</v>
      </c>
    </row>
    <row r="30" spans="1:21" x14ac:dyDescent="0.25">
      <c r="A30" s="12">
        <v>0.5625</v>
      </c>
      <c r="B30" s="6" t="n">
        <v>12544.287868181229</v>
      </c>
      <c r="C30" s="6" t="n">
        <v>484.4502414696693</v>
      </c>
      <c r="D30" s="6" t="n">
        <v>0.0</v>
      </c>
      <c r="E30" s="6" t="n">
        <v>0.0</v>
      </c>
      <c r="F30" s="6" t="n">
        <v>293.64843732309345</v>
      </c>
      <c r="G30" s="6" t="n">
        <v>0.0</v>
      </c>
      <c r="H30" s="6" t="n">
        <v>0.0</v>
      </c>
      <c r="I30" s="6" t="n">
        <v>0.0</v>
      </c>
      <c r="J30" s="6">
        <f si="0" t="shared"/>
        <v>7939.1306860538798</v>
      </c>
      <c r="L30" s="12">
        <v>0.5625</v>
      </c>
      <c r="M30" s="9" t="n">
        <v>34099.99485588074</v>
      </c>
      <c r="N30" s="9" t="n">
        <v>3927.0878171920776</v>
      </c>
      <c r="O30" s="9" t="n">
        <v>0.0</v>
      </c>
      <c r="P30" s="9" t="n">
        <v>0.0</v>
      </c>
      <c r="Q30" s="9" t="n">
        <v>2416.806936264038</v>
      </c>
      <c r="R30" s="9" t="n">
        <v>79.45695781707764</v>
      </c>
      <c r="S30" s="9" t="n">
        <v>0.0</v>
      </c>
      <c r="T30" s="9" t="n">
        <v>0.0</v>
      </c>
      <c r="U30">
        <f si="1" t="shared"/>
        <v>8087.8210620880127</v>
      </c>
    </row>
    <row r="31" spans="1:21" x14ac:dyDescent="0.25">
      <c r="A31" s="12">
        <v>0.58333333333333337</v>
      </c>
      <c r="B31" s="6" t="n">
        <v>10008.86157588339</v>
      </c>
      <c r="C31" s="6" t="n">
        <v>409.34881648969645</v>
      </c>
      <c r="D31" s="6" t="n">
        <v>0.0</v>
      </c>
      <c r="E31" s="6" t="n">
        <v>0.0</v>
      </c>
      <c r="F31" s="6" t="n">
        <v>173.8568835446358</v>
      </c>
      <c r="G31" s="6" t="n">
        <v>0.0</v>
      </c>
      <c r="H31" s="6" t="n">
        <v>0.0</v>
      </c>
      <c r="I31" s="6" t="n">
        <v>0.0</v>
      </c>
      <c r="J31" s="6">
        <f si="0" t="shared"/>
        <v>6151.8152473229047</v>
      </c>
      <c r="L31" s="12">
        <v>0.58333333333333337</v>
      </c>
      <c r="M31" s="9" t="n">
        <v>27797.670838356018</v>
      </c>
      <c r="N31" s="9" t="n">
        <v>3348.4242095947266</v>
      </c>
      <c r="O31" s="9" t="n">
        <v>0.0</v>
      </c>
      <c r="P31" s="9" t="n">
        <v>0.0</v>
      </c>
      <c r="Q31" s="9" t="n">
        <v>2136.2020416259766</v>
      </c>
      <c r="R31" s="9" t="n">
        <v>74.91898822784424</v>
      </c>
      <c r="S31" s="9" t="n">
        <v>0.0</v>
      </c>
      <c r="T31" s="9" t="n">
        <v>0.0</v>
      </c>
      <c r="U31">
        <f si="1" t="shared"/>
        <v>7467.7315635681152</v>
      </c>
    </row>
    <row r="32" spans="1:21" x14ac:dyDescent="0.25">
      <c r="A32" s="12">
        <v>0.60416666666666663</v>
      </c>
      <c r="B32" s="6" t="n">
        <v>7462.984422787667</v>
      </c>
      <c r="C32" s="6" t="n">
        <v>325.0518755953789</v>
      </c>
      <c r="D32" s="6" t="n">
        <v>0.0</v>
      </c>
      <c r="E32" s="6" t="n">
        <v>0.0</v>
      </c>
      <c r="F32" s="6" t="n">
        <v>101.1649573080063</v>
      </c>
      <c r="G32" s="6" t="n">
        <v>0.0</v>
      </c>
      <c r="H32" s="6" t="n">
        <v>0.0</v>
      </c>
      <c r="I32" s="6" t="n">
        <v>0.0</v>
      </c>
      <c r="J32" s="6">
        <f si="0" t="shared"/>
        <v>4474.8552337090287</v>
      </c>
      <c r="L32" s="12">
        <v>0.60416666666666663</v>
      </c>
      <c r="M32" s="9" t="n">
        <v>21613.44780254364</v>
      </c>
      <c r="N32" s="9" t="n">
        <v>2763.4509496688843</v>
      </c>
      <c r="O32" s="9" t="n">
        <v>0.0</v>
      </c>
      <c r="P32" s="9" t="n">
        <v>0.0</v>
      </c>
      <c r="Q32" s="9" t="n">
        <v>1838.2231540679932</v>
      </c>
      <c r="R32" s="9" t="n">
        <v>69.00521087646484</v>
      </c>
      <c r="S32" s="9" t="n">
        <v>0.0</v>
      </c>
      <c r="T32" s="9" t="n">
        <v>0.0</v>
      </c>
      <c r="U32">
        <f si="1" t="shared"/>
        <v>6754.4106369018555</v>
      </c>
    </row>
    <row r="33" spans="1:21" x14ac:dyDescent="0.25">
      <c r="A33" s="12">
        <v>0.625</v>
      </c>
      <c r="B33" s="6" t="n">
        <v>5355.735540394211</v>
      </c>
      <c r="C33" s="6" t="n">
        <v>253.5201865995407</v>
      </c>
      <c r="D33" s="6" t="n">
        <v>0.0</v>
      </c>
      <c r="E33" s="6" t="n">
        <v>0.0</v>
      </c>
      <c r="F33" s="6" t="n">
        <v>66.5389948782921</v>
      </c>
      <c r="G33" s="6" t="n">
        <v>0.0</v>
      </c>
      <c r="H33" s="6" t="n">
        <v>0.0</v>
      </c>
      <c r="I33" s="6" t="n">
        <v>0.0</v>
      </c>
      <c r="J33" s="6">
        <f si="0" t="shared"/>
        <v>3148.9821701459482</v>
      </c>
      <c r="L33" s="12">
        <v>0.625</v>
      </c>
      <c r="M33" s="9" t="n">
        <v>16200.085659980774</v>
      </c>
      <c r="N33" s="9" t="n">
        <v>2238.9360961914062</v>
      </c>
      <c r="O33" s="9" t="n">
        <v>0.0</v>
      </c>
      <c r="P33" s="9" t="n">
        <v>0.0</v>
      </c>
      <c r="Q33" s="9" t="n">
        <v>1563.0443887710571</v>
      </c>
      <c r="R33" s="9" t="n">
        <v>62.703989028930664</v>
      </c>
      <c r="S33" s="9" t="n">
        <v>0.0</v>
      </c>
      <c r="T33" s="9" t="n">
        <v>0.0</v>
      </c>
      <c r="U33">
        <f si="1" t="shared"/>
        <v>5952.736270904541</v>
      </c>
    </row>
    <row r="34" spans="1:21" x14ac:dyDescent="0.25">
      <c r="A34" s="12">
        <v>0.64583333333333337</v>
      </c>
      <c r="B34" s="6" t="n">
        <v>3833.3699008703234</v>
      </c>
      <c r="C34" s="6" t="n">
        <v>203.2996383608818</v>
      </c>
      <c r="D34" s="6" t="n">
        <v>0.0</v>
      </c>
      <c r="E34" s="6" t="n">
        <v>0.0</v>
      </c>
      <c r="F34" s="6" t="n">
        <v>53.00605249118806</v>
      </c>
      <c r="G34" s="6" t="n">
        <v>0.0</v>
      </c>
      <c r="H34" s="6" t="n">
        <v>0.0</v>
      </c>
      <c r="I34" s="6" t="n">
        <v>0.0</v>
      </c>
      <c r="J34" s="6">
        <f si="0" t="shared"/>
        <v>2192.9031732004319</v>
      </c>
      <c r="L34" s="12">
        <v>0.64583333333333337</v>
      </c>
      <c r="M34" s="9" t="n">
        <v>11855.621423721313</v>
      </c>
      <c r="N34" s="9" t="n">
        <v>1809.1861209869385</v>
      </c>
      <c r="O34" s="9" t="n">
        <v>0.0</v>
      </c>
      <c r="P34" s="9" t="n">
        <v>0.0</v>
      </c>
      <c r="Q34" s="9" t="n">
        <v>1332.730565071106</v>
      </c>
      <c r="R34" s="9" t="n">
        <v>56.94431781768799</v>
      </c>
      <c r="S34" s="9" t="n">
        <v>0.0</v>
      </c>
      <c r="T34" s="9" t="n">
        <v>0.0</v>
      </c>
      <c r="U34">
        <f si="1" t="shared"/>
        <v>5057.2912349700928</v>
      </c>
    </row>
    <row r="35" spans="1:21" x14ac:dyDescent="0.25">
      <c r="A35" s="12">
        <v>0.66666666666666663</v>
      </c>
      <c r="B35" s="6" t="n">
        <v>2807.254563443851</v>
      </c>
      <c r="C35" s="6" t="n">
        <v>168.20339516944887</v>
      </c>
      <c r="D35" s="6" t="n">
        <v>0.0</v>
      </c>
      <c r="E35" s="6" t="n">
        <v>0.0</v>
      </c>
      <c r="F35" s="6" t="n">
        <v>46.117521671295165</v>
      </c>
      <c r="G35" s="6" t="n">
        <v>0.0</v>
      </c>
      <c r="H35" s="6" t="n">
        <v>0.0</v>
      </c>
      <c r="I35" s="6" t="n">
        <v>0.0</v>
      </c>
      <c r="J35" s="6">
        <f si="0" t="shared"/>
        <v>1517.6638385632959</v>
      </c>
      <c r="L35" s="12">
        <v>0.66666666666666663</v>
      </c>
      <c r="M35" s="9" t="n">
        <v>8595.535423278809</v>
      </c>
      <c r="N35" s="9" t="n">
        <v>1479.2117328643799</v>
      </c>
      <c r="O35" s="9" t="n">
        <v>0.0</v>
      </c>
      <c r="P35" s="9" t="n">
        <v>0.0</v>
      </c>
      <c r="Q35" s="9" t="n">
        <v>1153.2875680923462</v>
      </c>
      <c r="R35" s="9" t="n">
        <v>52.374839782714844</v>
      </c>
      <c r="S35" s="9" t="n">
        <v>0.0</v>
      </c>
      <c r="T35" s="9" t="n">
        <v>0.0</v>
      </c>
      <c r="U35">
        <f si="1" t="shared"/>
        <v>4107.449200630188</v>
      </c>
    </row>
    <row r="36" spans="1:21" x14ac:dyDescent="0.25">
      <c r="A36" s="12">
        <v>0.6875</v>
      </c>
      <c r="B36" s="6" t="n">
        <v>2096.2530536138534</v>
      </c>
      <c r="C36" s="6" t="n">
        <v>136.5626543636322</v>
      </c>
      <c r="D36" s="6" t="n">
        <v>0.0</v>
      </c>
      <c r="E36" s="6" t="n">
        <v>0.0</v>
      </c>
      <c r="F36" s="6" t="n">
        <v>38.052359364414215</v>
      </c>
      <c r="G36" s="6" t="n">
        <v>0.0</v>
      </c>
      <c r="H36" s="6" t="n">
        <v>0.0</v>
      </c>
      <c r="I36" s="6" t="n">
        <v>0.0</v>
      </c>
      <c r="J36" s="6">
        <f si="0" t="shared"/>
        <v>1032.8854241278602</v>
      </c>
      <c r="L36" s="12">
        <v>0.6875</v>
      </c>
      <c r="M36" s="9" t="n">
        <v>6267.131096839905</v>
      </c>
      <c r="N36" s="9" t="n">
        <v>1234.6919574737549</v>
      </c>
      <c r="O36" s="9" t="n">
        <v>0.0</v>
      </c>
      <c r="P36" s="9" t="n">
        <v>0.0</v>
      </c>
      <c r="Q36" s="9" t="n">
        <v>1019.8299942016602</v>
      </c>
      <c r="R36" s="9" t="n">
        <v>49.1872673034668</v>
      </c>
      <c r="S36" s="9" t="n">
        <v>0.0</v>
      </c>
      <c r="T36" s="9" t="n">
        <v>0.0</v>
      </c>
      <c r="U36">
        <f si="1" t="shared"/>
        <v>3194.955677986145</v>
      </c>
    </row>
    <row r="37" spans="1:21" x14ac:dyDescent="0.25">
      <c r="A37" s="12">
        <v>0.70833333333333337</v>
      </c>
      <c r="B37" s="6" t="n">
        <v>1549.0765201955794</v>
      </c>
      <c r="C37" s="6" t="n">
        <v>102.15525371980667</v>
      </c>
      <c r="D37" s="6" t="n">
        <v>0.0</v>
      </c>
      <c r="E37" s="6" t="n">
        <v>0.0</v>
      </c>
      <c r="F37" s="6" t="n">
        <v>27.434196882534025</v>
      </c>
      <c r="G37" s="6" t="n">
        <v>0.0</v>
      </c>
      <c r="H37" s="6" t="n">
        <v>0.0</v>
      </c>
      <c r="I37" s="6" t="n">
        <v>0.0</v>
      </c>
      <c r="J37" s="6">
        <f si="0" t="shared"/>
        <v>685.33105353215706</v>
      </c>
      <c r="L37" s="12">
        <v>0.70833333333333337</v>
      </c>
      <c r="M37" s="9" t="n">
        <v>4650.941414833069</v>
      </c>
      <c r="N37" s="9" t="n">
        <v>1052.5056343078613</v>
      </c>
      <c r="O37" s="9" t="n">
        <v>0.0</v>
      </c>
      <c r="P37" s="9" t="n">
        <v>0.0</v>
      </c>
      <c r="Q37" s="9" t="n">
        <v>920.7282810211182</v>
      </c>
      <c r="R37" s="9" t="n">
        <v>47.086873054504395</v>
      </c>
      <c r="S37" s="9" t="n">
        <v>0.0</v>
      </c>
      <c r="T37" s="9" t="n">
        <v>0.0</v>
      </c>
      <c r="U37">
        <f si="1" t="shared"/>
        <v>2420.1628160476685</v>
      </c>
    </row>
    <row r="38" spans="1:21" x14ac:dyDescent="0.25">
      <c r="A38" s="12">
        <v>0.72916666666666663</v>
      </c>
      <c r="B38" s="6" t="n">
        <v>1094.4849299983975</v>
      </c>
      <c r="C38" s="6" t="n">
        <v>67.42546195335387</v>
      </c>
      <c r="D38" s="6" t="n">
        <v>0.0</v>
      </c>
      <c r="E38" s="6" t="n">
        <v>0.0</v>
      </c>
      <c r="F38" s="6" t="n">
        <v>16.615208958148955</v>
      </c>
      <c r="G38" s="6" t="n">
        <v>0.0</v>
      </c>
      <c r="H38" s="6" t="n">
        <v>0.0</v>
      </c>
      <c r="I38" s="6" t="n">
        <v>0.0</v>
      </c>
      <c r="J38" s="6">
        <f si="0" t="shared"/>
        <v>447.57804643307122</v>
      </c>
      <c r="L38" s="12">
        <v>0.72916666666666663</v>
      </c>
      <c r="M38" s="9" t="n">
        <v>3528.605630874634</v>
      </c>
      <c r="N38" s="9" t="n">
        <v>908.0921144485474</v>
      </c>
      <c r="O38" s="9" t="n">
        <v>0.0</v>
      </c>
      <c r="P38" s="9" t="n">
        <v>0.0</v>
      </c>
      <c r="Q38" s="9" t="n">
        <v>839.9492874145508</v>
      </c>
      <c r="R38" s="9" t="n">
        <v>45.39629936218262</v>
      </c>
      <c r="S38" s="9" t="n">
        <v>0.0</v>
      </c>
      <c r="T38" s="9" t="n">
        <v>0.0</v>
      </c>
      <c r="U38">
        <f si="1" t="shared"/>
        <v>1841.0904388427734</v>
      </c>
    </row>
    <row r="39" spans="1:21" x14ac:dyDescent="0.25">
      <c r="A39" s="12">
        <v>0.75</v>
      </c>
      <c r="B39" s="6" t="n">
        <v>723.4785357252119</v>
      </c>
      <c r="C39" s="6" t="n">
        <v>38.67176184101105</v>
      </c>
      <c r="D39" s="6" t="n">
        <v>0.0</v>
      </c>
      <c r="E39" s="6" t="n">
        <v>0.0</v>
      </c>
      <c r="F39" s="6" t="n">
        <v>8.256346056175232</v>
      </c>
      <c r="G39" s="6" t="n">
        <v>0.0</v>
      </c>
      <c r="H39" s="6" t="n">
        <v>0.0</v>
      </c>
      <c r="I39" s="6" t="n">
        <v>0.0</v>
      </c>
      <c r="J39" s="6">
        <f si="0" t="shared"/>
        <v>297.75296831760699</v>
      </c>
      <c r="L39" s="12">
        <v>0.75</v>
      </c>
      <c r="M39" s="9" t="n">
        <v>2719.6936626434326</v>
      </c>
      <c r="N39" s="9" t="n">
        <v>780.5598773956299</v>
      </c>
      <c r="O39" s="9" t="n">
        <v>0.0</v>
      </c>
      <c r="P39" s="9" t="n">
        <v>0.0</v>
      </c>
      <c r="Q39" s="9" t="n">
        <v>760.8269786834717</v>
      </c>
      <c r="R39" s="9" t="n">
        <v>43.322410583496094</v>
      </c>
      <c r="S39" s="9" t="n">
        <v>0.0</v>
      </c>
      <c r="T39" s="9" t="n">
        <v>0.0</v>
      </c>
      <c r="U39">
        <f si="1" t="shared"/>
        <v>1455.8423013687134</v>
      </c>
    </row>
    <row r="40" spans="1:21" x14ac:dyDescent="0.25">
      <c r="A40" s="12">
        <v>0.77083333333333337</v>
      </c>
      <c r="B40" s="6" t="n">
        <v>446.4428267217635</v>
      </c>
      <c r="C40" s="6" t="n">
        <v>20.101307811260227</v>
      </c>
      <c r="D40" s="6" t="n">
        <v>0.0</v>
      </c>
      <c r="E40" s="6" t="n">
        <v>0.0</v>
      </c>
      <c r="F40" s="6" t="n">
        <v>3.2953649525642392</v>
      </c>
      <c r="G40" s="6" t="n">
        <v>0.0</v>
      </c>
      <c r="H40" s="6" t="n">
        <v>0.0</v>
      </c>
      <c r="I40" s="6" t="n">
        <v>0.0</v>
      </c>
      <c r="J40" s="6">
        <f si="0" t="shared"/>
        <v>211.29822419326402</v>
      </c>
      <c r="L40" s="12">
        <v>0.77083333333333337</v>
      </c>
      <c r="M40" s="9" t="n">
        <v>2102.5929527282715</v>
      </c>
      <c r="N40" s="9" t="n">
        <v>658.485951423645</v>
      </c>
      <c r="O40" s="9" t="n">
        <v>0.0</v>
      </c>
      <c r="P40" s="9" t="n">
        <v>0.0</v>
      </c>
      <c r="Q40" s="9" t="n">
        <v>674.1550064086914</v>
      </c>
      <c r="R40" s="9" t="n">
        <v>40.4528226852417</v>
      </c>
      <c r="S40" s="9" t="n">
        <v>0.0</v>
      </c>
      <c r="T40" s="9" t="n">
        <v>0.0</v>
      </c>
      <c r="U40">
        <f si="1" t="shared"/>
        <v>1221.2055282592773</v>
      </c>
    </row>
    <row r="41" spans="1:21" x14ac:dyDescent="0.25">
      <c r="A41" s="12">
        <v>0.79166666666666663</v>
      </c>
      <c r="B41" s="6" t="n">
        <v>265.57233532094955</v>
      </c>
      <c r="C41" s="6" t="n">
        <v>11.876353326225281</v>
      </c>
      <c r="D41" s="6" t="n">
        <v>0.0</v>
      </c>
      <c r="E41" s="6" t="n">
        <v>0.0</v>
      </c>
      <c r="F41" s="6" t="n">
        <v>1.0291558798789977</v>
      </c>
      <c r="G41" s="6" t="n">
        <v>0.0</v>
      </c>
      <c r="H41" s="6" t="n">
        <v>0.0</v>
      </c>
      <c r="I41" s="6" t="n">
        <v>0.0</v>
      </c>
      <c r="J41" s="6">
        <f si="0" t="shared"/>
        <v>163.19145875414279</v>
      </c>
      <c r="L41" s="12">
        <v>0.79166666666666663</v>
      </c>
      <c r="M41" s="9" t="n">
        <v>1624.341588973999</v>
      </c>
      <c r="N41" s="9" t="n">
        <v>544.7287673950195</v>
      </c>
      <c r="O41" s="9" t="n">
        <v>0.0</v>
      </c>
      <c r="P41" s="9" t="n">
        <v>0.0</v>
      </c>
      <c r="Q41" s="9" t="n">
        <v>586.3174781799316</v>
      </c>
      <c r="R41" s="9" t="n">
        <v>37.24826908111572</v>
      </c>
      <c r="S41" s="9" t="n">
        <v>0.0</v>
      </c>
      <c r="T41" s="9" t="n">
        <v>0.0</v>
      </c>
      <c r="U41">
        <f si="1" t="shared"/>
        <v>1084.2129039764404</v>
      </c>
    </row>
    <row r="42" spans="1:21" x14ac:dyDescent="0.25">
      <c r="A42" s="12">
        <v>0.8125</v>
      </c>
      <c r="B42" s="6" t="n">
        <v>170.93717757434848</v>
      </c>
      <c r="C42" s="6" t="n">
        <v>11.459891160964968</v>
      </c>
      <c r="D42" s="6" t="n">
        <v>0.0</v>
      </c>
      <c r="E42" s="6" t="n">
        <v>0.0</v>
      </c>
      <c r="F42" s="6" t="n">
        <v>0.242126386642456</v>
      </c>
      <c r="G42" s="6" t="n">
        <v>0.0</v>
      </c>
      <c r="H42" s="6" t="n">
        <v>0.0</v>
      </c>
      <c r="I42" s="6" t="n">
        <v>0.0</v>
      </c>
      <c r="J42" s="6">
        <f si="0" t="shared"/>
        <v>132.72097894435504</v>
      </c>
      <c r="L42" s="12">
        <v>0.8125</v>
      </c>
      <c r="M42" s="9" t="n">
        <v>1285.96985912323</v>
      </c>
      <c r="N42" s="9" t="n">
        <v>453.64209842681885</v>
      </c>
      <c r="O42" s="9" t="n">
        <v>0.0</v>
      </c>
      <c r="P42" s="9" t="n">
        <v>0.0</v>
      </c>
      <c r="Q42" s="9" t="n">
        <v>517.387131690979</v>
      </c>
      <c r="R42" s="9" t="n">
        <v>34.9567813873291</v>
      </c>
      <c r="S42" s="9" t="n">
        <v>0.0</v>
      </c>
      <c r="T42" s="9" t="n">
        <v>0.0</v>
      </c>
      <c r="U42">
        <f si="1" t="shared"/>
        <v>1004.2712688446045</v>
      </c>
    </row>
    <row r="43" spans="1:21" x14ac:dyDescent="0.25">
      <c r="A43" s="12">
        <v>0.83333333333333337</v>
      </c>
      <c r="B43" s="6" t="n">
        <v>144.78592147626878</v>
      </c>
      <c r="C43" s="6" t="n">
        <v>15.282672285556796</v>
      </c>
      <c r="D43" s="6" t="n">
        <v>0.0</v>
      </c>
      <c r="E43" s="6" t="n">
        <v>0.0</v>
      </c>
      <c r="F43" s="6" t="n">
        <v>0.04035439777374267</v>
      </c>
      <c r="G43" s="6" t="n">
        <v>0.0</v>
      </c>
      <c r="H43" s="6" t="n">
        <v>0.0</v>
      </c>
      <c r="I43" s="6" t="n">
        <v>0.0</v>
      </c>
      <c r="J43" s="6">
        <f si="0" t="shared"/>
        <v>106.6456605856476</v>
      </c>
      <c r="L43" s="12">
        <v>0.83333333333333337</v>
      </c>
      <c r="M43" s="9" t="n">
        <v>1098.2597246170044</v>
      </c>
      <c r="N43" s="9" t="n">
        <v>398.3723735809326</v>
      </c>
      <c r="O43" s="9" t="n">
        <v>0.0</v>
      </c>
      <c r="P43" s="9" t="n">
        <v>0.0</v>
      </c>
      <c r="Q43" s="9" t="n">
        <v>485.4090061187744</v>
      </c>
      <c r="R43" s="9" t="n">
        <v>34.67947196960449</v>
      </c>
      <c r="S43" s="9" t="n">
        <v>0.0</v>
      </c>
      <c r="T43" s="9" t="n">
        <v>0.0</v>
      </c>
      <c r="U43">
        <f si="1" t="shared"/>
        <v>956.71237182617187</v>
      </c>
    </row>
    <row r="44" spans="1:21" x14ac:dyDescent="0.25">
      <c r="A44" s="12">
        <v>0.85416666666666663</v>
      </c>
      <c r="B44" s="6" t="n">
        <v>162.1733007675171</v>
      </c>
      <c r="C44" s="6" t="n">
        <v>19.62590787506104</v>
      </c>
      <c r="D44" s="6" t="n">
        <v>0.0</v>
      </c>
      <c r="E44" s="6" t="n">
        <v>0.0</v>
      </c>
      <c r="F44" s="6" t="n">
        <v>0.004247831344604491</v>
      </c>
      <c r="G44" s="6" t="n">
        <v>0.0</v>
      </c>
      <c r="H44" s="6" t="n">
        <v>0.0</v>
      </c>
      <c r="I44" s="6" t="n">
        <v>0.0</v>
      </c>
      <c r="J44" s="6">
        <f si="0" t="shared"/>
        <v>79.949099659276001</v>
      </c>
      <c r="L44" s="12">
        <v>0.85416666666666663</v>
      </c>
      <c r="M44" s="9" t="n">
        <v>1034.883418083191</v>
      </c>
      <c r="N44" s="9" t="n">
        <v>376.8671922683716</v>
      </c>
      <c r="O44" s="9" t="n">
        <v>0.0</v>
      </c>
      <c r="P44" s="9" t="n">
        <v>0.0</v>
      </c>
      <c r="Q44" s="9" t="n">
        <v>487.99407482147217</v>
      </c>
      <c r="R44" s="9" t="n">
        <v>36.2192964553833</v>
      </c>
      <c r="S44" s="9" t="n">
        <v>0.0</v>
      </c>
      <c r="T44" s="9" t="n">
        <v>0.0</v>
      </c>
      <c r="U44">
        <f si="1" t="shared"/>
        <v>922.5638542175293</v>
      </c>
    </row>
    <row r="45" spans="1:21" x14ac:dyDescent="0.25">
      <c r="A45" s="12">
        <v>0.875</v>
      </c>
      <c r="B45" s="6" t="n">
        <v>191.572119914341</v>
      </c>
      <c r="C45" s="6" t="n">
        <v>21.453871621990206</v>
      </c>
      <c r="D45" s="6" t="n">
        <v>0.0</v>
      </c>
      <c r="E45" s="6" t="n">
        <v>0.0</v>
      </c>
      <c r="F45" s="6" t="n">
        <v>2.123915672302246E-4</v>
      </c>
      <c r="G45" s="6" t="n">
        <v>0.0</v>
      </c>
      <c r="H45" s="6" t="n">
        <v>0.0</v>
      </c>
      <c r="I45" s="6" t="n">
        <v>0.0</v>
      </c>
      <c r="J45" s="6">
        <f si="0" t="shared"/>
        <v>54.00177283800793</v>
      </c>
      <c r="L45" s="12">
        <v>0.875</v>
      </c>
      <c r="M45" s="9" t="n">
        <v>1022.4632978439331</v>
      </c>
      <c r="N45" s="9" t="n">
        <v>369.37608909606934</v>
      </c>
      <c r="O45" s="9" t="n">
        <v>0.0</v>
      </c>
      <c r="P45" s="9" t="n">
        <v>0.0</v>
      </c>
      <c r="Q45" s="9" t="n">
        <v>498.80775260925293</v>
      </c>
      <c r="R45" s="9" t="n">
        <v>37.830275535583496</v>
      </c>
      <c r="S45" s="9" t="n">
        <v>0.0</v>
      </c>
      <c r="T45" s="9" t="n">
        <v>0.0</v>
      </c>
      <c r="U45">
        <f si="1" t="shared"/>
        <v>879.10859870910645</v>
      </c>
    </row>
    <row r="46" spans="1:21" x14ac:dyDescent="0.25">
      <c r="A46" s="12">
        <v>0.89583333333333337</v>
      </c>
      <c r="B46" s="6" t="n">
        <v>203.30354406814575</v>
      </c>
      <c r="C46" s="6" t="n">
        <v>19.485472356796265</v>
      </c>
      <c r="D46" s="6" t="n">
        <v>0.0</v>
      </c>
      <c r="E46" s="6" t="n">
        <v>0.0</v>
      </c>
      <c r="F46" s="6" t="n">
        <v>0.0</v>
      </c>
      <c r="G46" s="6" t="n">
        <v>0.0</v>
      </c>
      <c r="H46" s="6" t="n">
        <v>0.0</v>
      </c>
      <c r="I46" s="6" t="n">
        <v>0.0</v>
      </c>
      <c r="J46" s="6">
        <f si="0" t="shared"/>
        <v>32.617436769309037</v>
      </c>
      <c r="L46" s="12">
        <v>0.89583333333333337</v>
      </c>
      <c r="M46" s="9" t="n">
        <v>977.0034942626953</v>
      </c>
      <c r="N46" s="9" t="n">
        <v>350.6965045928955</v>
      </c>
      <c r="O46" s="9" t="n">
        <v>0.0</v>
      </c>
      <c r="P46" s="9" t="n">
        <v>0.0</v>
      </c>
      <c r="Q46" s="9" t="n">
        <v>484.3790578842163</v>
      </c>
      <c r="R46" s="9" t="n">
        <v>37.287479400634766</v>
      </c>
      <c r="S46" s="9" t="n">
        <v>0.0</v>
      </c>
      <c r="T46" s="9" t="n">
        <v>0.0</v>
      </c>
      <c r="U46">
        <f si="1" t="shared"/>
        <v>803.35398197174072</v>
      </c>
    </row>
    <row r="47" spans="1:21" x14ac:dyDescent="0.25">
      <c r="A47" s="12">
        <v>0.91666666666666663</v>
      </c>
      <c r="B47" s="6" t="n">
        <v>182.8377704922676</v>
      </c>
      <c r="C47" s="6" t="n">
        <v>14.612500485897066</v>
      </c>
      <c r="D47" s="6" t="n">
        <v>0.0</v>
      </c>
      <c r="E47" s="6" t="n">
        <v>0.0</v>
      </c>
      <c r="F47" s="6" t="n">
        <v>0.0</v>
      </c>
      <c r="G47" s="6" t="n">
        <v>0.0</v>
      </c>
      <c r="H47" s="6" t="n">
        <v>0.0</v>
      </c>
      <c r="I47" s="6" t="n">
        <v>0.0</v>
      </c>
      <c r="J47" s="6">
        <f si="0" t="shared"/>
        <v>18.143426977756498</v>
      </c>
      <c r="L47" s="12">
        <v>0.91666666666666663</v>
      </c>
      <c r="M47" s="9" t="n">
        <v>853.1381320953369</v>
      </c>
      <c r="N47" s="9" t="n">
        <v>306.61829948425293</v>
      </c>
      <c r="O47" s="9" t="n">
        <v>0.0</v>
      </c>
      <c r="P47" s="9" t="n">
        <v>0.0</v>
      </c>
      <c r="Q47" s="9" t="n">
        <v>427.19537448883057</v>
      </c>
      <c r="R47" s="9" t="n">
        <v>33.421629905700684</v>
      </c>
      <c r="S47" s="9" t="n">
        <v>0.0</v>
      </c>
      <c r="T47" s="9" t="n">
        <v>0.0</v>
      </c>
      <c r="U47">
        <f si="1" t="shared"/>
        <v>685.22321605682373</v>
      </c>
    </row>
    <row r="48" spans="1:21" x14ac:dyDescent="0.25">
      <c r="A48" s="12">
        <v>0.9375</v>
      </c>
      <c r="B48" s="6" t="n">
        <v>136.6506307790756</v>
      </c>
      <c r="C48" s="6" t="n">
        <v>8.992237495422364</v>
      </c>
      <c r="D48" s="6" t="n">
        <v>0.0</v>
      </c>
      <c r="E48" s="6" t="n">
        <v>0.0</v>
      </c>
      <c r="F48" s="6" t="n">
        <v>0.0</v>
      </c>
      <c r="G48" s="6" t="n">
        <v>0.0</v>
      </c>
      <c r="H48" s="6" t="n">
        <v>0.0</v>
      </c>
      <c r="I48" s="6" t="n">
        <v>0.0</v>
      </c>
      <c r="J48" s="6">
        <f si="0" t="shared"/>
        <v>9.9893073672962185</v>
      </c>
      <c r="L48" s="12">
        <v>0.9375</v>
      </c>
      <c r="M48" s="9" t="n">
        <v>663.2492504119873</v>
      </c>
      <c r="N48" s="9" t="n">
        <v>240.82487869262695</v>
      </c>
      <c r="O48" s="9" t="n">
        <v>0.0</v>
      </c>
      <c r="P48" s="9" t="n">
        <v>0.0</v>
      </c>
      <c r="Q48" s="9" t="n">
        <v>335.4011421203613</v>
      </c>
      <c r="R48" s="9" t="n">
        <v>26.810392379760742</v>
      </c>
      <c r="S48" s="9" t="n">
        <v>0.0</v>
      </c>
      <c r="T48" s="9" t="n">
        <v>0.0</v>
      </c>
      <c r="U48">
        <f si="1" t="shared"/>
        <v>535.51358890533447</v>
      </c>
    </row>
    <row r="49" spans="1:21" x14ac:dyDescent="0.25">
      <c r="A49" s="12">
        <v>0.95833333333333337</v>
      </c>
      <c r="B49" s="6" t="n">
        <v>83.98547070217131</v>
      </c>
      <c r="C49" s="6" t="n">
        <v>4.496118747711182</v>
      </c>
      <c r="D49" s="6" t="n">
        <v>0.0</v>
      </c>
      <c r="E49" s="6" t="n">
        <v>0.0</v>
      </c>
      <c r="F49" s="6" t="n">
        <v>0.0</v>
      </c>
      <c r="G49" s="6" t="n">
        <v>0.0</v>
      </c>
      <c r="H49" s="6" t="n">
        <v>0.0</v>
      </c>
      <c r="I49" s="6" t="n">
        <v>0.0</v>
      </c>
      <c r="J49" s="6">
        <f si="0" t="shared"/>
        <v>5.8262911300516125</v>
      </c>
      <c r="L49" s="12">
        <v>0.95833333333333337</v>
      </c>
      <c r="M49" s="9" t="n">
        <v>455.5908031463623</v>
      </c>
      <c r="N49" s="9" t="n">
        <v>168.60207653045654</v>
      </c>
      <c r="O49" s="9" t="n">
        <v>0.0</v>
      </c>
      <c r="P49" s="9" t="n">
        <v>0.0</v>
      </c>
      <c r="Q49" s="9" t="n">
        <v>233.31705570220947</v>
      </c>
      <c r="R49" s="9" t="n">
        <v>19.185532569885254</v>
      </c>
      <c r="S49" s="9" t="n">
        <v>0.0</v>
      </c>
      <c r="T49" s="9" t="n">
        <v>0.0</v>
      </c>
      <c r="U49">
        <f si="1" t="shared"/>
        <v>379.55985546112061</v>
      </c>
    </row>
    <row r="50" spans="1:21" x14ac:dyDescent="0.25">
      <c r="A50" s="12">
        <v>0.97916666666666663</v>
      </c>
      <c r="B50" s="6" t="n">
        <v>41.970132099151606</v>
      </c>
      <c r="C50" s="6" t="n">
        <v>1.7984474990844728</v>
      </c>
      <c r="D50" s="6" t="n">
        <v>0.0</v>
      </c>
      <c r="E50" s="6" t="n">
        <v>0.0</v>
      </c>
      <c r="F50" s="6" t="n">
        <v>0.0</v>
      </c>
      <c r="G50" s="6" t="n">
        <v>0.0</v>
      </c>
      <c r="H50" s="6" t="n">
        <v>0.0</v>
      </c>
      <c r="I50" s="6" t="n">
        <v>0.0</v>
      </c>
      <c r="J50" s="6">
        <f si="0" t="shared"/>
        <v>3.5164822851543427</v>
      </c>
      <c r="L50" s="12">
        <v>0.97916666666666663</v>
      </c>
      <c r="M50" s="9" t="n">
        <v>276.83101749420166</v>
      </c>
      <c r="N50" s="9" t="n">
        <v>105.23600196838379</v>
      </c>
      <c r="O50" s="9" t="n">
        <v>0.0</v>
      </c>
      <c r="P50" s="9" t="n">
        <v>0.0</v>
      </c>
      <c r="Q50" s="9" t="n">
        <v>144.1829652786255</v>
      </c>
      <c r="R50" s="9" t="n">
        <v>12.273974418640137</v>
      </c>
      <c r="S50" s="9" t="n">
        <v>0.0</v>
      </c>
      <c r="T50" s="9" t="n">
        <v>0.0</v>
      </c>
      <c r="U50">
        <f si="1" t="shared"/>
        <v>242.64470100402832</v>
      </c>
    </row>
    <row r="51" spans="1:21" x14ac:dyDescent="0.25">
      <c r="A51" s="12">
        <v>1</v>
      </c>
      <c r="B51" s="6" t="n">
        <v>16.78386076965332</v>
      </c>
      <c r="C51" s="6" t="n">
        <v>0.5620148434638977</v>
      </c>
      <c r="D51" s="6" t="n">
        <v>0.0</v>
      </c>
      <c r="E51" s="6" t="n">
        <v>0.0</v>
      </c>
      <c r="F51" s="6" t="n">
        <v>0.0</v>
      </c>
      <c r="G51" s="6" t="n">
        <v>0.0</v>
      </c>
      <c r="H51" s="6" t="n">
        <v>0.0</v>
      </c>
      <c r="I51" s="6" t="n">
        <v>0.0</v>
      </c>
      <c r="J51" s="6">
        <f si="0" t="shared"/>
        <v>1.9921069316892626</v>
      </c>
      <c r="L51" s="12">
        <v>1</v>
      </c>
      <c r="M51" s="9" t="n">
        <v>149.35341262817383</v>
      </c>
      <c r="N51" s="9" t="n">
        <v>58.65837860107422</v>
      </c>
      <c r="O51" s="9" t="n">
        <v>0.0</v>
      </c>
      <c r="P51" s="9" t="n">
        <v>0.0</v>
      </c>
      <c r="Q51" s="9" t="n">
        <v>79.49433326721191</v>
      </c>
      <c r="R51" s="9" t="n">
        <v>7.034110069274902</v>
      </c>
      <c r="S51" s="9" t="n">
        <v>0.0</v>
      </c>
      <c r="T51" s="9" t="n">
        <v>0.0</v>
      </c>
      <c r="U51">
        <f si="1" t="shared"/>
        <v>139.19154167175293</v>
      </c>
    </row>
    <row r="52" spans="1:21" x14ac:dyDescent="0.25">
      <c r="A52" s="12">
        <v>1.0208333333333333</v>
      </c>
      <c r="B52" s="6" t="n">
        <v>5.2443536930084225</v>
      </c>
      <c r="C52" s="6" t="n">
        <v>0.1322387866973877</v>
      </c>
      <c r="D52" s="6" t="n">
        <v>0.0</v>
      </c>
      <c r="E52" s="6" t="n">
        <v>0.0</v>
      </c>
      <c r="F52" s="6" t="n">
        <v>0.0</v>
      </c>
      <c r="G52" s="6" t="n">
        <v>0.0</v>
      </c>
      <c r="H52" s="6" t="n">
        <v>0.0</v>
      </c>
      <c r="I52" s="6" t="n">
        <v>0.0</v>
      </c>
      <c r="J52" s="6">
        <f si="0" t="shared"/>
        <v>0.97114156215476999</v>
      </c>
      <c r="L52" s="12">
        <v>1.0208333333333333</v>
      </c>
      <c r="M52" s="9" t="n">
        <v>71.64624309539795</v>
      </c>
      <c r="N52" s="9" t="n">
        <v>29.145047187805176</v>
      </c>
      <c r="O52" s="9" t="n">
        <v>0.0</v>
      </c>
      <c r="P52" s="9" t="n">
        <v>0.0</v>
      </c>
      <c r="Q52" s="9" t="n">
        <v>39.1396541595459</v>
      </c>
      <c r="R52" s="9" t="n">
        <v>3.6013708114624023</v>
      </c>
      <c r="S52" s="9" t="n">
        <v>0.0</v>
      </c>
      <c r="T52" s="9" t="n">
        <v>0.0</v>
      </c>
      <c r="U52">
        <f si="1" t="shared"/>
        <v>71.049445152282715</v>
      </c>
    </row>
    <row r="53" spans="1:21" x14ac:dyDescent="0.25">
      <c r="A53" s="12">
        <v>4.1666666666666664E-2</v>
      </c>
      <c r="B53" s="6" t="n">
        <v>1.2339088409423826</v>
      </c>
      <c r="C53" s="6" t="n">
        <v>0.02203979778289795</v>
      </c>
      <c r="D53" s="6" t="n">
        <v>0.0</v>
      </c>
      <c r="E53" s="6" t="n">
        <v>0.0</v>
      </c>
      <c r="F53" s="6" t="n">
        <v>0.0</v>
      </c>
      <c r="G53" s="6" t="n">
        <v>0.0</v>
      </c>
      <c r="H53" s="6" t="n">
        <v>0.0</v>
      </c>
      <c r="I53" s="6" t="n">
        <v>0.0</v>
      </c>
      <c r="J53" s="6">
        <f si="0" t="shared"/>
        <v>0.38614835750007637</v>
      </c>
      <c r="L53" s="12">
        <v>4.1666666666666664E-2</v>
      </c>
      <c r="M53" s="9" t="n">
        <v>30.400397300720215</v>
      </c>
      <c r="N53" s="9" t="n">
        <v>12.793716430664062</v>
      </c>
      <c r="O53" s="9" t="n">
        <v>0.0</v>
      </c>
      <c r="P53" s="9" t="n">
        <v>0.0</v>
      </c>
      <c r="Q53" s="9" t="n">
        <v>17.092257499694824</v>
      </c>
      <c r="R53" s="9" t="n">
        <v>1.63018798828125</v>
      </c>
      <c r="S53" s="9" t="n">
        <v>0.0</v>
      </c>
      <c r="T53" s="9" t="n">
        <v>0.0</v>
      </c>
      <c r="U53">
        <f si="1" t="shared"/>
        <v>31.830057144165039</v>
      </c>
    </row>
    <row r="54" spans="1:21" x14ac:dyDescent="0.25">
      <c r="A54" s="12">
        <v>6.25E-2</v>
      </c>
      <c r="B54" s="6" t="n">
        <v>0.2056489219665527</v>
      </c>
      <c r="C54" s="6" t="n">
        <v>0.002319978713989258</v>
      </c>
      <c r="D54" s="6" t="n">
        <v>0.0</v>
      </c>
      <c r="E54" s="6" t="n">
        <v>0.0</v>
      </c>
      <c r="F54" s="6" t="n">
        <v>0.0</v>
      </c>
      <c r="G54" s="6" t="n">
        <v>0.0</v>
      </c>
      <c r="H54" s="6" t="n">
        <v>0.0</v>
      </c>
      <c r="I54" s="6" t="n">
        <v>0.0</v>
      </c>
      <c r="J54" s="6">
        <f si="0" t="shared"/>
        <v>0.12056878718376161</v>
      </c>
      <c r="L54" s="12">
        <v>6.25E-2</v>
      </c>
      <c r="M54" s="9" t="n">
        <v>11.242361068725586</v>
      </c>
      <c r="N54" s="9" t="n">
        <v>4.875017166137695</v>
      </c>
      <c r="O54" s="9" t="n">
        <v>0.0</v>
      </c>
      <c r="P54" s="9" t="n">
        <v>0.0</v>
      </c>
      <c r="Q54" s="9" t="n">
        <v>6.50953483581543</v>
      </c>
      <c r="R54" s="9" t="n">
        <v>0.6401615142822266</v>
      </c>
      <c r="S54" s="9" t="n">
        <v>0.0</v>
      </c>
      <c r="T54" s="9" t="n">
        <v>0.0</v>
      </c>
      <c r="U54">
        <f si="1" t="shared"/>
        <v>12.2705078125</v>
      </c>
    </row>
    <row r="55" spans="1:21" x14ac:dyDescent="0.25">
      <c r="A55" s="12">
        <v>8.3333333333333329E-2</v>
      </c>
      <c r="B55" s="6" t="n">
        <v>0.021647254943847654</v>
      </c>
      <c r="C55" s="6" t="n">
        <v>1.159989356994629E-4</v>
      </c>
      <c r="D55" s="6" t="n">
        <v>0.0</v>
      </c>
      <c r="E55" s="6" t="n">
        <v>0.0</v>
      </c>
      <c r="F55" s="6" t="n">
        <v>0.0</v>
      </c>
      <c r="G55" s="6" t="n">
        <v>0.0</v>
      </c>
      <c r="H55" s="6" t="n">
        <v>0.0</v>
      </c>
      <c r="I55" s="6" t="n">
        <v>0.0</v>
      </c>
      <c r="J55" s="6">
        <f si="0" t="shared"/>
        <v>2.8369126396179202E-2</v>
      </c>
      <c r="L55" s="12">
        <v>8.3333333333333329E-2</v>
      </c>
      <c r="M55" s="9" t="n">
        <v>3.533602714538574</v>
      </c>
      <c r="N55" s="9" t="n">
        <v>1.5706262588500977</v>
      </c>
      <c r="O55" s="9" t="n">
        <v>0.0</v>
      </c>
      <c r="P55" s="9" t="n">
        <v>0.0</v>
      </c>
      <c r="Q55" s="9" t="n">
        <v>2.1046133041381836</v>
      </c>
      <c r="R55" s="9" t="n">
        <v>0.21228408813476562</v>
      </c>
      <c r="S55" s="9" t="n">
        <v>0.0</v>
      </c>
      <c r="T55" s="9" t="n">
        <v>0.0</v>
      </c>
      <c r="U55">
        <f si="1" t="shared"/>
        <v>3.9662332534790039</v>
      </c>
    </row>
    <row r="56" spans="1:21" x14ac:dyDescent="0.25">
      <c r="A56" s="12">
        <v>0.10416666666666667</v>
      </c>
      <c r="B56" s="6" t="n">
        <v>0.0010823627471923827</v>
      </c>
      <c r="C56" s="6" t="n">
        <v>0.0</v>
      </c>
      <c r="D56" s="6" t="n">
        <v>0.0</v>
      </c>
      <c r="E56" s="6" t="n">
        <v>0.0</v>
      </c>
      <c r="F56" s="6" t="n">
        <v>0.0</v>
      </c>
      <c r="G56" s="6" t="n">
        <v>0.0</v>
      </c>
      <c r="H56" s="6" t="n">
        <v>0.0</v>
      </c>
      <c r="I56" s="6" t="n">
        <v>0.0</v>
      </c>
      <c r="J56" s="6">
        <f si="0" t="shared"/>
        <v>4.7281877326965337E-3</v>
      </c>
      <c r="L56" s="12">
        <v>0.10416666666666667</v>
      </c>
      <c r="M56" s="9" t="n">
        <v>0.9109115600585938</v>
      </c>
      <c r="N56" s="9" t="n">
        <v>0.4129648208618164</v>
      </c>
      <c r="O56" s="9" t="n">
        <v>0.0</v>
      </c>
      <c r="P56" s="9" t="n">
        <v>0.0</v>
      </c>
      <c r="Q56" s="9" t="n">
        <v>0.5568532943725586</v>
      </c>
      <c r="R56" s="9" t="n">
        <v>0.05738258361816406</v>
      </c>
      <c r="S56" s="9" t="n">
        <v>0.0</v>
      </c>
      <c r="T56" s="9" t="n">
        <v>0.0</v>
      </c>
      <c r="U56">
        <f si="1" t="shared"/>
        <v>1.0395450592041016</v>
      </c>
    </row>
    <row r="57" spans="1:21" x14ac:dyDescent="0.25">
      <c r="A57" s="12">
        <v>0.125</v>
      </c>
      <c r="B57" s="6" t="n">
        <v>0.0</v>
      </c>
      <c r="C57" s="6" t="n">
        <v>0.0</v>
      </c>
      <c r="D57" s="6" t="n">
        <v>0.0</v>
      </c>
      <c r="E57" s="6" t="n">
        <v>0.0</v>
      </c>
      <c r="F57" s="6" t="n">
        <v>0.0</v>
      </c>
      <c r="G57" s="6" t="n">
        <v>0.0</v>
      </c>
      <c r="H57" s="6" t="n">
        <v>0.0</v>
      </c>
      <c r="I57" s="6" t="n">
        <v>0.0</v>
      </c>
      <c r="J57" s="6">
        <f si="0" t="shared"/>
        <v>4.9770397186279299E-4</v>
      </c>
      <c r="L57" s="12">
        <v>0.125</v>
      </c>
      <c r="M57" s="9" t="n">
        <v>0.18102645874023438</v>
      </c>
      <c r="N57" s="9" t="n">
        <v>0.08334636688232422</v>
      </c>
      <c r="O57" s="9" t="n">
        <v>0.0</v>
      </c>
      <c r="P57" s="9" t="n">
        <v>0.0</v>
      </c>
      <c r="Q57" s="9" t="n">
        <v>0.11324405670166016</v>
      </c>
      <c r="R57" s="9" t="n">
        <v>0.011889457702636719</v>
      </c>
      <c r="S57" s="9" t="n">
        <v>0.0</v>
      </c>
      <c r="T57" s="9" t="n">
        <v>0.0</v>
      </c>
      <c r="U57">
        <f si="1" t="shared"/>
        <v>0.20834159851074219</v>
      </c>
    </row>
    <row ht="15.75" r="58" spans="1:21" thickBot="1" x14ac:dyDescent="0.3">
      <c r="A58" s="13" t="s">
        <v>6</v>
      </c>
      <c r="B58" s="7" t="n">
        <v>0.0</v>
      </c>
      <c r="C58" s="7" t="n">
        <v>0.0</v>
      </c>
      <c r="D58" s="7" t="n">
        <v>0.0</v>
      </c>
      <c r="E58" s="7" t="n">
        <v>0.0</v>
      </c>
      <c r="F58" s="7" t="n">
        <v>0.0</v>
      </c>
      <c r="G58" s="7" t="n">
        <v>0.0</v>
      </c>
      <c r="H58" s="7" t="n">
        <v>0.0</v>
      </c>
      <c r="I58" s="7" t="n">
        <v>0.0</v>
      </c>
      <c r="J58" s="7">
        <f si="0" t="shared"/>
        <v>0</v>
      </c>
      <c r="L58" s="13" t="s">
        <v>6</v>
      </c>
      <c r="M58" s="10" t="n">
        <v>0.0</v>
      </c>
      <c r="N58" s="10" t="n">
        <v>0.0</v>
      </c>
      <c r="O58" s="10" t="n">
        <v>0.0</v>
      </c>
      <c r="P58" s="10" t="n">
        <v>0.0</v>
      </c>
      <c r="Q58" s="10" t="n">
        <v>0.0</v>
      </c>
      <c r="R58" s="10" t="n">
        <v>0.0</v>
      </c>
      <c r="S58" s="10" t="n">
        <v>0.0</v>
      </c>
      <c r="T58" s="10" t="n">
        <v>0.0</v>
      </c>
      <c r="U58" s="1">
        <f si="1" t="shared"/>
        <v>0</v>
      </c>
    </row>
  </sheetData>
  <pageMargins bottom="0.75" footer="0.3" header="0.3" left="0.7" right="0.7" top="0.75"/>
  <drawing r:id="rId1"/>
</worksheet>
</file>

<file path=xl/worksheets/sheet1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8"/>
  <dimension ref="A2:B22"/>
  <sheetViews>
    <sheetView workbookViewId="0"/>
  </sheetViews>
  <sheetFormatPr defaultRowHeight="15" x14ac:dyDescent="0.25"/>
  <sheetData>
    <row r="2" spans="1:2" x14ac:dyDescent="0.25">
      <c r="A2" s="8" t="s">
        <v>33</v>
      </c>
    </row>
    <row r="3" spans="1:2" x14ac:dyDescent="0.25">
      <c r="B3" t="s">
        <v>36</v>
      </c>
    </row>
    <row r="4" spans="1:2" x14ac:dyDescent="0.25">
      <c r="B4" t="s">
        <v>37</v>
      </c>
    </row>
    <row r="22" spans="1:1" x14ac:dyDescent="0.25">
      <c r="A22" s="8"/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12</vt:i4>
      </vt:variant>
      <vt:variant>
        <vt:lpstr>Named Ranges</vt:lpstr>
      </vt:variant>
      <vt:variant>
        <vt:i4>29</vt:i4>
      </vt:variant>
    </vt:vector>
  </HeadingPairs>
  <TitlesOfParts>
    <vt:vector baseType="lpstr" size="41">
      <vt:lpstr>Arrival_Time</vt:lpstr>
      <vt:lpstr>Departure_Time</vt:lpstr>
      <vt:lpstr>Duration</vt:lpstr>
      <vt:lpstr>Arrival_Time_Work</vt:lpstr>
      <vt:lpstr>Arrival_Time_School</vt:lpstr>
      <vt:lpstr>Arrival_Time_Other</vt:lpstr>
      <vt:lpstr>Arrival_Time_Workbased</vt:lpstr>
      <vt:lpstr>Depart_Time_Work</vt:lpstr>
      <vt:lpstr>Depart_Time_School</vt:lpstr>
      <vt:lpstr>Depart_Time_Other</vt:lpstr>
      <vt:lpstr>Depart_Time_Workbased</vt:lpstr>
      <vt:lpstr>Documentation</vt:lpstr>
      <vt:lpstr>DURDEST</vt:lpstr>
      <vt:lpstr>Other_Arrival</vt:lpstr>
      <vt:lpstr>out1</vt:lpstr>
      <vt:lpstr>out10</vt:lpstr>
      <vt:lpstr>out11</vt:lpstr>
      <vt:lpstr>out12</vt:lpstr>
      <vt:lpstr>out13</vt:lpstr>
      <vt:lpstr>out14</vt:lpstr>
      <vt:lpstr>out15</vt:lpstr>
      <vt:lpstr>out16</vt:lpstr>
      <vt:lpstr>out17</vt:lpstr>
      <vt:lpstr>out18</vt:lpstr>
      <vt:lpstr>out19</vt:lpstr>
      <vt:lpstr>out2</vt:lpstr>
      <vt:lpstr>out20</vt:lpstr>
      <vt:lpstr>out21</vt:lpstr>
      <vt:lpstr>out22</vt:lpstr>
      <vt:lpstr>out3</vt:lpstr>
      <vt:lpstr>out4</vt:lpstr>
      <vt:lpstr>out5</vt:lpstr>
      <vt:lpstr>out6</vt:lpstr>
      <vt:lpstr>out7</vt:lpstr>
      <vt:lpstr>out8</vt:lpstr>
      <vt:lpstr>out9</vt:lpstr>
      <vt:lpstr>School_Arrival</vt:lpstr>
      <vt:lpstr>TIMARRPD</vt:lpstr>
      <vt:lpstr>TIMDEPPD</vt:lpstr>
      <vt:lpstr>Work_Arrival</vt:lpstr>
      <vt:lpstr>Workbased_Arrival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Nagendra Dhakar</cp:lastModifiedBy>
  <dcterms:modified xsi:type="dcterms:W3CDTF">2014-09-15T17:26:31Z</dcterms:modified>
</cp:coreProperties>
</file>