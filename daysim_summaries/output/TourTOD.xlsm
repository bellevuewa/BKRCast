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drawings/drawing9.xml" ContentType="application/vnd.openxmlformats-officedocument.drawing+xml"/>
  <Override PartName="/xl/charts/chart18.xml" ContentType="application/vnd.openxmlformats-officedocument.drawingml.chart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drawings/drawing11.xml" ContentType="application/vnd.openxmlformats-officedocument.drawing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xWindow="0" yWindow="0" windowWidth="28950" windowHeight="15690" firstSheet="1" activeTab="1"/>
  </bookViews>
  <sheets>
    <sheet name="Arrival_Time" sheetId="12" r:id="rId1"/>
    <sheet name="Departure_Time" sheetId="3" r:id="rId2"/>
    <sheet name="Duration" sheetId="13" r:id="rId3"/>
    <sheet name="Arrival_Time_Work" sheetId="15" r:id="rId4"/>
    <sheet name="Arrival_Time_School" sheetId="16" r:id="rId5"/>
    <sheet name="Arrival_Time_Other" sheetId="17" r:id="rId6"/>
    <sheet name="Arrival_Time_Workbased" sheetId="18" r:id="rId7"/>
    <sheet name="Depart_Time_Work" sheetId="19" r:id="rId8"/>
    <sheet name="Depart_Time_School" sheetId="20" r:id="rId9"/>
    <sheet name="Depart_Time_Other" sheetId="21" r:id="rId10"/>
    <sheet name="Depart_Time_Workbased" sheetId="22" r:id="rId11"/>
    <sheet name="Documentation" sheetId="7" r:id="rId12"/>
  </sheets>
  <definedNames>
    <definedName name="DURDEST">Duration!$I$8:$L$57</definedName>
    <definedName name="Other_Arrival">Arrival_Time_Other!$M$8:$T$59</definedName>
    <definedName name="out1">Arrival_Time!$B$8:$E$58</definedName>
    <definedName name="out10">Arrival_Time_School!$M$8:$T$58</definedName>
    <definedName name="out11">Arrival_Time_Other!$B$8:$I$58</definedName>
    <definedName name="out12">Arrival_Time_Other!$M$8:$T$58</definedName>
    <definedName name="out13">Arrival_Time_Workbased!$B$8:$I$58</definedName>
    <definedName name="out14">Arrival_Time_Workbased!$M$8:$T$58</definedName>
    <definedName name="out15">Depart_Time_Work!$B$8:$I$58</definedName>
    <definedName name="out16">Depart_Time_Work!$M$8:$T$58</definedName>
    <definedName name="out17">Depart_Time_School!$B$8:$I$58</definedName>
    <definedName name="out18">Depart_Time_School!$M$8:$T$58</definedName>
    <definedName name="out19">Depart_Time_Other!$B$8:$I$58</definedName>
    <definedName name="out2">Arrival_Time!$I$8:$L$58</definedName>
    <definedName name="out20">Depart_Time_Other!$M$8:$T$58</definedName>
    <definedName name="out21">Depart_Time_Workbased!$B$8:$I$58</definedName>
    <definedName name="out22">Depart_Time_Workbased!$M$8:$T$58</definedName>
    <definedName name="out3">Departure_Time!$B$8:$E$58</definedName>
    <definedName name="out4">Departure_Time!$I$8:$L$58</definedName>
    <definedName name="out5">Duration!$B$8:$E$56</definedName>
    <definedName name="out6">Duration!$I$8:$L$56</definedName>
    <definedName name="out7">Arrival_Time_Work!$B$8:$I$58</definedName>
    <definedName name="out8">Arrival_Time_Work!$M$8:$T$58</definedName>
    <definedName name="out9">Arrival_Time_School!$B$8:$I$58</definedName>
    <definedName name="School_Arrival">Arrival_Time_School!$M$8:$T$59</definedName>
    <definedName name="TIMARRPD">Arrival_Time!$I$8:$L$59</definedName>
    <definedName name="TIMDEPPD">Departure_Time!$I$8:$L$59</definedName>
    <definedName name="Work_Arrival">Arrival_Time_Work!$M$8:$T$59</definedName>
    <definedName name="Workbased_Arrival">Arrival_Time_Workbased!$M$8:$T$59</definedName>
  </definedNames>
  <calcPr calcId="171027"/>
</workbook>
</file>

<file path=xl/calcChain.xml><?xml version="1.0" encoding="utf-8"?>
<calcChain xmlns="http://schemas.openxmlformats.org/spreadsheetml/2006/main">
  <c r="U58" i="22" l="1"/>
  <c r="J58" i="22"/>
  <c r="U57" i="22"/>
  <c r="J57" i="22"/>
  <c r="U56" i="22"/>
  <c r="J56" i="22"/>
  <c r="U55" i="22"/>
  <c r="J55" i="22"/>
  <c r="U54" i="22"/>
  <c r="J54" i="22"/>
  <c r="U53" i="22"/>
  <c r="J53" i="22"/>
  <c r="U52" i="22"/>
  <c r="J52" i="22"/>
  <c r="U51" i="22"/>
  <c r="J51" i="22"/>
  <c r="U50" i="22"/>
  <c r="J50" i="22"/>
  <c r="U49" i="22"/>
  <c r="J49" i="22"/>
  <c r="U48" i="22"/>
  <c r="J48" i="22"/>
  <c r="U47" i="22"/>
  <c r="J47" i="22"/>
  <c r="U46" i="22"/>
  <c r="J46" i="22"/>
  <c r="U45" i="22"/>
  <c r="J45" i="22"/>
  <c r="U44" i="22"/>
  <c r="J44" i="22"/>
  <c r="U43" i="22"/>
  <c r="J43" i="22"/>
  <c r="U42" i="22"/>
  <c r="J42" i="22"/>
  <c r="U41" i="22"/>
  <c r="J41" i="22"/>
  <c r="U40" i="22"/>
  <c r="J40" i="22"/>
  <c r="U39" i="22"/>
  <c r="J39" i="22"/>
  <c r="U38" i="22"/>
  <c r="J38" i="22"/>
  <c r="U37" i="22"/>
  <c r="J37" i="22"/>
  <c r="U36" i="22"/>
  <c r="J36" i="22"/>
  <c r="U35" i="22"/>
  <c r="J35" i="22"/>
  <c r="U34" i="22"/>
  <c r="J34" i="22"/>
  <c r="U33" i="22"/>
  <c r="J33" i="22"/>
  <c r="U32" i="22"/>
  <c r="J32" i="22"/>
  <c r="U31" i="22"/>
  <c r="J31" i="22"/>
  <c r="U30" i="22"/>
  <c r="J30" i="22"/>
  <c r="U29" i="22"/>
  <c r="J29" i="22"/>
  <c r="U28" i="22"/>
  <c r="J28" i="22"/>
  <c r="U27" i="22"/>
  <c r="J27" i="22"/>
  <c r="U26" i="22"/>
  <c r="J26" i="22"/>
  <c r="U25" i="22"/>
  <c r="J25" i="22"/>
  <c r="U24" i="22"/>
  <c r="J24" i="22"/>
  <c r="U23" i="22"/>
  <c r="J23" i="22"/>
  <c r="U22" i="22"/>
  <c r="J22" i="22"/>
  <c r="U21" i="22"/>
  <c r="J21" i="22"/>
  <c r="U20" i="22"/>
  <c r="J20" i="22"/>
  <c r="U19" i="22"/>
  <c r="J19" i="22"/>
  <c r="U18" i="22"/>
  <c r="J18" i="22"/>
  <c r="U17" i="22"/>
  <c r="J17" i="22"/>
  <c r="U16" i="22"/>
  <c r="J16" i="22"/>
  <c r="U15" i="22"/>
  <c r="J15" i="22"/>
  <c r="U14" i="22"/>
  <c r="J14" i="22"/>
  <c r="U13" i="22"/>
  <c r="J13" i="22"/>
  <c r="U12" i="22"/>
  <c r="J12" i="22"/>
  <c r="U11" i="22"/>
  <c r="J11" i="22"/>
  <c r="U10" i="22"/>
  <c r="J10" i="22"/>
  <c r="U9" i="22"/>
  <c r="J9" i="22"/>
  <c r="U8" i="22"/>
  <c r="J8" i="22"/>
  <c r="U58" i="21"/>
  <c r="J58" i="21"/>
  <c r="U57" i="21"/>
  <c r="J57" i="21"/>
  <c r="U56" i="21"/>
  <c r="J56" i="21"/>
  <c r="U55" i="21"/>
  <c r="J55" i="21"/>
  <c r="U54" i="21"/>
  <c r="J54" i="21"/>
  <c r="U53" i="21"/>
  <c r="J53" i="21"/>
  <c r="U52" i="21"/>
  <c r="J52" i="21"/>
  <c r="U51" i="21"/>
  <c r="J51" i="21"/>
  <c r="U50" i="21"/>
  <c r="J50" i="21"/>
  <c r="U49" i="21"/>
  <c r="J49" i="21"/>
  <c r="U48" i="21"/>
  <c r="J48" i="21"/>
  <c r="U47" i="21"/>
  <c r="J47" i="21"/>
  <c r="U46" i="21"/>
  <c r="J46" i="21"/>
  <c r="U45" i="21"/>
  <c r="J45" i="21"/>
  <c r="U44" i="21"/>
  <c r="J44" i="21"/>
  <c r="U43" i="21"/>
  <c r="J43" i="21"/>
  <c r="U42" i="21"/>
  <c r="J42" i="21"/>
  <c r="U41" i="21"/>
  <c r="J41" i="21"/>
  <c r="U40" i="21"/>
  <c r="J40" i="21"/>
  <c r="U39" i="21"/>
  <c r="J39" i="21"/>
  <c r="U38" i="21"/>
  <c r="J38" i="21"/>
  <c r="U37" i="21"/>
  <c r="J37" i="21"/>
  <c r="U36" i="21"/>
  <c r="J36" i="21"/>
  <c r="U35" i="21"/>
  <c r="J35" i="21"/>
  <c r="U34" i="21"/>
  <c r="J34" i="21"/>
  <c r="U33" i="21"/>
  <c r="J33" i="21"/>
  <c r="U32" i="21"/>
  <c r="J32" i="21"/>
  <c r="U31" i="21"/>
  <c r="J31" i="21"/>
  <c r="U30" i="21"/>
  <c r="J30" i="21"/>
  <c r="U29" i="21"/>
  <c r="J29" i="21"/>
  <c r="U28" i="21"/>
  <c r="J28" i="21"/>
  <c r="U27" i="21"/>
  <c r="J27" i="21"/>
  <c r="U26" i="21"/>
  <c r="J26" i="21"/>
  <c r="U25" i="21"/>
  <c r="J25" i="21"/>
  <c r="U24" i="21"/>
  <c r="J24" i="21"/>
  <c r="U23" i="21"/>
  <c r="J23" i="21"/>
  <c r="U22" i="21"/>
  <c r="J22" i="21"/>
  <c r="U21" i="21"/>
  <c r="J21" i="21"/>
  <c r="U20" i="21"/>
  <c r="J20" i="21"/>
  <c r="U19" i="21"/>
  <c r="J19" i="21"/>
  <c r="U18" i="21"/>
  <c r="J18" i="21"/>
  <c r="U17" i="21"/>
  <c r="J17" i="21"/>
  <c r="U16" i="21"/>
  <c r="J16" i="21"/>
  <c r="U15" i="21"/>
  <c r="J15" i="21"/>
  <c r="U14" i="21"/>
  <c r="J14" i="21"/>
  <c r="U13" i="21"/>
  <c r="J13" i="21"/>
  <c r="U12" i="21"/>
  <c r="J12" i="21"/>
  <c r="U11" i="21"/>
  <c r="J11" i="21"/>
  <c r="U10" i="21"/>
  <c r="J10" i="21"/>
  <c r="U9" i="21"/>
  <c r="J9" i="21"/>
  <c r="U8" i="21"/>
  <c r="J8" i="21"/>
  <c r="U58" i="20"/>
  <c r="J58" i="20"/>
  <c r="U57" i="20"/>
  <c r="J57" i="20"/>
  <c r="U56" i="20"/>
  <c r="J56" i="20"/>
  <c r="U55" i="20"/>
  <c r="J55" i="20"/>
  <c r="U54" i="20"/>
  <c r="J54" i="20"/>
  <c r="U53" i="20"/>
  <c r="J53" i="20"/>
  <c r="U52" i="20"/>
  <c r="J52" i="20"/>
  <c r="U51" i="20"/>
  <c r="J51" i="20"/>
  <c r="U50" i="20"/>
  <c r="J50" i="20"/>
  <c r="U49" i="20"/>
  <c r="J49" i="20"/>
  <c r="U48" i="20"/>
  <c r="J48" i="20"/>
  <c r="U47" i="20"/>
  <c r="J47" i="20"/>
  <c r="U46" i="20"/>
  <c r="J46" i="20"/>
  <c r="U45" i="20"/>
  <c r="J45" i="20"/>
  <c r="U44" i="20"/>
  <c r="J44" i="20"/>
  <c r="U43" i="20"/>
  <c r="J43" i="20"/>
  <c r="U42" i="20"/>
  <c r="J42" i="20"/>
  <c r="U41" i="20"/>
  <c r="J41" i="20"/>
  <c r="U40" i="20"/>
  <c r="J40" i="20"/>
  <c r="U39" i="20"/>
  <c r="J39" i="20"/>
  <c r="U38" i="20"/>
  <c r="J38" i="20"/>
  <c r="U37" i="20"/>
  <c r="J37" i="20"/>
  <c r="U36" i="20"/>
  <c r="J36" i="20"/>
  <c r="U35" i="20"/>
  <c r="J35" i="20"/>
  <c r="U34" i="20"/>
  <c r="J34" i="20"/>
  <c r="U33" i="20"/>
  <c r="J33" i="20"/>
  <c r="U32" i="20"/>
  <c r="J32" i="20"/>
  <c r="U31" i="20"/>
  <c r="J31" i="20"/>
  <c r="U30" i="20"/>
  <c r="J30" i="20"/>
  <c r="U29" i="20"/>
  <c r="J29" i="20"/>
  <c r="U28" i="20"/>
  <c r="J28" i="20"/>
  <c r="U27" i="20"/>
  <c r="J27" i="20"/>
  <c r="U26" i="20"/>
  <c r="J26" i="20"/>
  <c r="U25" i="20"/>
  <c r="J25" i="20"/>
  <c r="U24" i="20"/>
  <c r="J24" i="20"/>
  <c r="U23" i="20"/>
  <c r="J23" i="20"/>
  <c r="U22" i="20"/>
  <c r="J22" i="20"/>
  <c r="U21" i="20"/>
  <c r="J21" i="20"/>
  <c r="U20" i="20"/>
  <c r="J20" i="20"/>
  <c r="U19" i="20"/>
  <c r="J19" i="20"/>
  <c r="U18" i="20"/>
  <c r="J18" i="20"/>
  <c r="U17" i="20"/>
  <c r="J17" i="20"/>
  <c r="U16" i="20"/>
  <c r="J16" i="20"/>
  <c r="U15" i="20"/>
  <c r="J15" i="20"/>
  <c r="U14" i="20"/>
  <c r="J14" i="20"/>
  <c r="U13" i="20"/>
  <c r="J13" i="20"/>
  <c r="U12" i="20"/>
  <c r="J12" i="20"/>
  <c r="U11" i="20"/>
  <c r="J11" i="20"/>
  <c r="U10" i="20"/>
  <c r="J10" i="20"/>
  <c r="U9" i="20"/>
  <c r="J9" i="20"/>
  <c r="U8" i="20"/>
  <c r="J8" i="20"/>
  <c r="U58" i="19" l="1"/>
  <c r="J58" i="19"/>
  <c r="U57" i="19"/>
  <c r="J57" i="19"/>
  <c r="U56" i="19"/>
  <c r="J56" i="19"/>
  <c r="U55" i="19"/>
  <c r="J55" i="19"/>
  <c r="U54" i="19"/>
  <c r="J54" i="19"/>
  <c r="U53" i="19"/>
  <c r="J53" i="19"/>
  <c r="U52" i="19"/>
  <c r="J52" i="19"/>
  <c r="U51" i="19"/>
  <c r="J51" i="19"/>
  <c r="U50" i="19"/>
  <c r="J50" i="19"/>
  <c r="U49" i="19"/>
  <c r="J49" i="19"/>
  <c r="U48" i="19"/>
  <c r="J48" i="19"/>
  <c r="U47" i="19"/>
  <c r="J47" i="19"/>
  <c r="U46" i="19"/>
  <c r="J46" i="19"/>
  <c r="U45" i="19"/>
  <c r="J45" i="19"/>
  <c r="U44" i="19"/>
  <c r="J44" i="19"/>
  <c r="U43" i="19"/>
  <c r="J43" i="19"/>
  <c r="U42" i="19"/>
  <c r="J42" i="19"/>
  <c r="U41" i="19"/>
  <c r="J41" i="19"/>
  <c r="U40" i="19"/>
  <c r="J40" i="19"/>
  <c r="U39" i="19"/>
  <c r="J39" i="19"/>
  <c r="U38" i="19"/>
  <c r="J38" i="19"/>
  <c r="U37" i="19"/>
  <c r="J37" i="19"/>
  <c r="U36" i="19"/>
  <c r="J36" i="19"/>
  <c r="U35" i="19"/>
  <c r="J35" i="19"/>
  <c r="U34" i="19"/>
  <c r="J34" i="19"/>
  <c r="U33" i="19"/>
  <c r="J33" i="19"/>
  <c r="U32" i="19"/>
  <c r="J32" i="19"/>
  <c r="U31" i="19"/>
  <c r="J31" i="19"/>
  <c r="U30" i="19"/>
  <c r="J30" i="19"/>
  <c r="U29" i="19"/>
  <c r="J29" i="19"/>
  <c r="U28" i="19"/>
  <c r="J28" i="19"/>
  <c r="U27" i="19"/>
  <c r="J27" i="19"/>
  <c r="U26" i="19"/>
  <c r="J26" i="19"/>
  <c r="U25" i="19"/>
  <c r="J25" i="19"/>
  <c r="U24" i="19"/>
  <c r="J24" i="19"/>
  <c r="U23" i="19"/>
  <c r="J23" i="19"/>
  <c r="U22" i="19"/>
  <c r="J22" i="19"/>
  <c r="U21" i="19"/>
  <c r="J21" i="19"/>
  <c r="U20" i="19"/>
  <c r="J20" i="19"/>
  <c r="U19" i="19"/>
  <c r="J19" i="19"/>
  <c r="U18" i="19"/>
  <c r="J18" i="19"/>
  <c r="U17" i="19"/>
  <c r="J17" i="19"/>
  <c r="U16" i="19"/>
  <c r="J16" i="19"/>
  <c r="U15" i="19"/>
  <c r="J15" i="19"/>
  <c r="U14" i="19"/>
  <c r="J14" i="19"/>
  <c r="U13" i="19"/>
  <c r="J13" i="19"/>
  <c r="U12" i="19"/>
  <c r="J12" i="19"/>
  <c r="U11" i="19"/>
  <c r="J11" i="19"/>
  <c r="U10" i="19"/>
  <c r="J10" i="19"/>
  <c r="U9" i="19"/>
  <c r="J9" i="19"/>
  <c r="U8" i="19"/>
  <c r="J8" i="19"/>
  <c r="L57" i="13" l="1"/>
  <c r="L111" i="13" s="1"/>
  <c r="K57" i="13"/>
  <c r="K112" i="13" s="1"/>
  <c r="J57" i="13"/>
  <c r="J113" i="13" s="1"/>
  <c r="I57" i="13"/>
  <c r="I110" i="13" s="1"/>
  <c r="E57" i="13"/>
  <c r="E112" i="13" s="1"/>
  <c r="D57" i="13"/>
  <c r="D113" i="13" s="1"/>
  <c r="C57" i="13"/>
  <c r="C110" i="13" s="1"/>
  <c r="B57" i="13"/>
  <c r="B111" i="13" s="1"/>
  <c r="L59" i="3"/>
  <c r="L115" i="3" s="1"/>
  <c r="K59" i="3"/>
  <c r="K106" i="3" s="1"/>
  <c r="J59" i="3"/>
  <c r="J115" i="3" s="1"/>
  <c r="I59" i="3"/>
  <c r="I115" i="3" s="1"/>
  <c r="E59" i="3"/>
  <c r="E115" i="3" s="1"/>
  <c r="D59" i="3"/>
  <c r="D112" i="3" s="1"/>
  <c r="C59" i="3"/>
  <c r="C114" i="3" s="1"/>
  <c r="B59" i="3"/>
  <c r="B113" i="3" s="1"/>
  <c r="K110" i="3"/>
  <c r="K103" i="3"/>
  <c r="K100" i="3"/>
  <c r="L94" i="3"/>
  <c r="L91" i="3"/>
  <c r="L89" i="3"/>
  <c r="K89" i="3"/>
  <c r="L59" i="12"/>
  <c r="L115" i="12" s="1"/>
  <c r="K59" i="12"/>
  <c r="K112" i="12" s="1"/>
  <c r="J59" i="12"/>
  <c r="J113" i="12" s="1"/>
  <c r="I59" i="12"/>
  <c r="I113" i="12" s="1"/>
  <c r="E59" i="12"/>
  <c r="E110" i="12" s="1"/>
  <c r="D59" i="12"/>
  <c r="D115" i="12" s="1"/>
  <c r="C59" i="12"/>
  <c r="C114" i="12" s="1"/>
  <c r="B59" i="12"/>
  <c r="B115" i="12" s="1"/>
  <c r="U9" i="18"/>
  <c r="U10" i="18"/>
  <c r="U11" i="18"/>
  <c r="U12" i="18"/>
  <c r="U13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U31" i="18"/>
  <c r="U32" i="18"/>
  <c r="U33" i="18"/>
  <c r="U34" i="18"/>
  <c r="U35" i="18"/>
  <c r="U36" i="18"/>
  <c r="U37" i="18"/>
  <c r="U38" i="18"/>
  <c r="U39" i="18"/>
  <c r="U40" i="18"/>
  <c r="U41" i="18"/>
  <c r="U42" i="18"/>
  <c r="U43" i="18"/>
  <c r="U44" i="18"/>
  <c r="U45" i="18"/>
  <c r="U46" i="18"/>
  <c r="U47" i="18"/>
  <c r="U48" i="18"/>
  <c r="U49" i="18"/>
  <c r="U50" i="18"/>
  <c r="U51" i="18"/>
  <c r="U52" i="18"/>
  <c r="U53" i="18"/>
  <c r="U54" i="18"/>
  <c r="U55" i="18"/>
  <c r="U56" i="18"/>
  <c r="U57" i="18"/>
  <c r="U58" i="18"/>
  <c r="U8" i="18"/>
  <c r="U9" i="17"/>
  <c r="U10" i="17"/>
  <c r="U11" i="17"/>
  <c r="U12" i="17"/>
  <c r="U13" i="17"/>
  <c r="U14" i="17"/>
  <c r="U15" i="17"/>
  <c r="U16" i="17"/>
  <c r="U17" i="17"/>
  <c r="U18" i="17"/>
  <c r="U19" i="17"/>
  <c r="U20" i="17"/>
  <c r="U21" i="17"/>
  <c r="U22" i="17"/>
  <c r="U23" i="17"/>
  <c r="U24" i="17"/>
  <c r="U25" i="17"/>
  <c r="U26" i="17"/>
  <c r="U27" i="17"/>
  <c r="U28" i="17"/>
  <c r="U29" i="17"/>
  <c r="U30" i="17"/>
  <c r="U31" i="17"/>
  <c r="U32" i="17"/>
  <c r="U33" i="17"/>
  <c r="U34" i="17"/>
  <c r="U35" i="17"/>
  <c r="U36" i="17"/>
  <c r="U37" i="17"/>
  <c r="U38" i="17"/>
  <c r="U39" i="17"/>
  <c r="U40" i="17"/>
  <c r="U41" i="17"/>
  <c r="U42" i="17"/>
  <c r="U43" i="17"/>
  <c r="U44" i="17"/>
  <c r="U45" i="17"/>
  <c r="U46" i="17"/>
  <c r="U47" i="17"/>
  <c r="U48" i="17"/>
  <c r="U49" i="17"/>
  <c r="U50" i="17"/>
  <c r="U51" i="17"/>
  <c r="U52" i="17"/>
  <c r="U53" i="17"/>
  <c r="U54" i="17"/>
  <c r="U55" i="17"/>
  <c r="U56" i="17"/>
  <c r="U57" i="17"/>
  <c r="U58" i="17"/>
  <c r="U8" i="17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U32" i="16"/>
  <c r="U33" i="16"/>
  <c r="U34" i="16"/>
  <c r="U35" i="16"/>
  <c r="U36" i="16"/>
  <c r="U37" i="16"/>
  <c r="U38" i="16"/>
  <c r="U39" i="16"/>
  <c r="U40" i="16"/>
  <c r="U41" i="16"/>
  <c r="U42" i="16"/>
  <c r="U43" i="16"/>
  <c r="U44" i="16"/>
  <c r="U45" i="16"/>
  <c r="U46" i="16"/>
  <c r="U47" i="16"/>
  <c r="U48" i="16"/>
  <c r="U49" i="16"/>
  <c r="U50" i="16"/>
  <c r="U51" i="16"/>
  <c r="U52" i="16"/>
  <c r="U53" i="16"/>
  <c r="U54" i="16"/>
  <c r="U55" i="16"/>
  <c r="U56" i="16"/>
  <c r="U57" i="16"/>
  <c r="U58" i="16"/>
  <c r="U8" i="16"/>
  <c r="U9" i="15"/>
  <c r="U10" i="15"/>
  <c r="U11" i="15"/>
  <c r="U12" i="15"/>
  <c r="U13" i="15"/>
  <c r="U14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U31" i="15"/>
  <c r="U32" i="15"/>
  <c r="U33" i="15"/>
  <c r="U34" i="15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8" i="15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8" i="1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8" i="3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M55" i="12"/>
  <c r="M56" i="12"/>
  <c r="M57" i="12"/>
  <c r="M58" i="12"/>
  <c r="M8" i="12"/>
  <c r="J58" i="18"/>
  <c r="J57" i="18"/>
  <c r="J56" i="18"/>
  <c r="J55" i="18"/>
  <c r="J54" i="18"/>
  <c r="J53" i="18"/>
  <c r="J52" i="18"/>
  <c r="J51" i="18"/>
  <c r="J50" i="18"/>
  <c r="J49" i="18"/>
  <c r="J48" i="18"/>
  <c r="J4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58" i="17"/>
  <c r="J57" i="17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8" i="15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8" i="1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8" i="12"/>
  <c r="L114" i="3" l="1"/>
  <c r="D78" i="3"/>
  <c r="L80" i="3"/>
  <c r="L82" i="3"/>
  <c r="D85" i="3"/>
  <c r="E94" i="3"/>
  <c r="D106" i="3"/>
  <c r="E112" i="3"/>
  <c r="B112" i="3"/>
  <c r="D66" i="3"/>
  <c r="D71" i="3"/>
  <c r="L73" i="3"/>
  <c r="K75" i="3"/>
  <c r="L75" i="3"/>
  <c r="K77" i="3"/>
  <c r="J66" i="3"/>
  <c r="J68" i="3"/>
  <c r="C90" i="3"/>
  <c r="C91" i="3"/>
  <c r="C98" i="3"/>
  <c r="C100" i="3"/>
  <c r="B108" i="3"/>
  <c r="B110" i="3"/>
  <c r="B76" i="3"/>
  <c r="C77" i="3"/>
  <c r="B78" i="3"/>
  <c r="L78" i="3"/>
  <c r="B80" i="3"/>
  <c r="C82" i="3"/>
  <c r="C83" i="3"/>
  <c r="C87" i="3"/>
  <c r="L105" i="3"/>
  <c r="L67" i="3"/>
  <c r="L70" i="3"/>
  <c r="L72" i="3"/>
  <c r="L84" i="3"/>
  <c r="L86" i="3"/>
  <c r="L97" i="3"/>
  <c r="L102" i="3"/>
  <c r="L107" i="3"/>
  <c r="L111" i="3"/>
  <c r="L113" i="3"/>
  <c r="L65" i="3"/>
  <c r="K67" i="3"/>
  <c r="L69" i="3"/>
  <c r="K72" i="3"/>
  <c r="L74" i="3"/>
  <c r="L76" i="3"/>
  <c r="L79" i="3"/>
  <c r="L81" i="3"/>
  <c r="L83" i="3"/>
  <c r="K86" i="3"/>
  <c r="L88" i="3"/>
  <c r="L90" i="3"/>
  <c r="L93" i="3"/>
  <c r="L96" i="3"/>
  <c r="L99" i="3"/>
  <c r="L101" i="3"/>
  <c r="L104" i="3"/>
  <c r="K107" i="3"/>
  <c r="L109" i="3"/>
  <c r="K111" i="3"/>
  <c r="L112" i="3"/>
  <c r="L66" i="3"/>
  <c r="L68" i="3"/>
  <c r="L71" i="3"/>
  <c r="J74" i="3"/>
  <c r="L77" i="3"/>
  <c r="K79" i="3"/>
  <c r="K81" i="3"/>
  <c r="L85" i="3"/>
  <c r="L87" i="3"/>
  <c r="L92" i="3"/>
  <c r="L95" i="3"/>
  <c r="L98" i="3"/>
  <c r="L100" i="3"/>
  <c r="L103" i="3"/>
  <c r="L106" i="3"/>
  <c r="L108" i="3"/>
  <c r="L110" i="3"/>
  <c r="D102" i="3"/>
  <c r="E74" i="3"/>
  <c r="E80" i="3"/>
  <c r="E88" i="3"/>
  <c r="E96" i="3"/>
  <c r="E98" i="3"/>
  <c r="E102" i="3"/>
  <c r="E104" i="3"/>
  <c r="E114" i="3"/>
  <c r="E68" i="3"/>
  <c r="E70" i="3"/>
  <c r="E72" i="3"/>
  <c r="D74" i="3"/>
  <c r="E76" i="3"/>
  <c r="D80" i="3"/>
  <c r="D88" i="3"/>
  <c r="D99" i="3"/>
  <c r="D105" i="3"/>
  <c r="E108" i="3"/>
  <c r="E110" i="3"/>
  <c r="E66" i="3"/>
  <c r="D76" i="3"/>
  <c r="E78" i="3"/>
  <c r="C81" i="3"/>
  <c r="E82" i="3"/>
  <c r="E84" i="3"/>
  <c r="E86" i="3"/>
  <c r="C89" i="3"/>
  <c r="E90" i="3"/>
  <c r="E92" i="3"/>
  <c r="C99" i="3"/>
  <c r="E100" i="3"/>
  <c r="C102" i="3"/>
  <c r="C105" i="3"/>
  <c r="E106" i="3"/>
  <c r="C65" i="3"/>
  <c r="C67" i="3"/>
  <c r="C68" i="3"/>
  <c r="C69" i="3"/>
  <c r="C73" i="3"/>
  <c r="C75" i="3"/>
  <c r="J76" i="3"/>
  <c r="C79" i="3"/>
  <c r="J80" i="3"/>
  <c r="J82" i="3"/>
  <c r="J88" i="3"/>
  <c r="J90" i="3"/>
  <c r="C94" i="3"/>
  <c r="C95" i="3"/>
  <c r="J97" i="3"/>
  <c r="J98" i="3"/>
  <c r="J99" i="3"/>
  <c r="J100" i="3"/>
  <c r="J101" i="3"/>
  <c r="J103" i="3"/>
  <c r="J104" i="3"/>
  <c r="J105" i="3"/>
  <c r="J106" i="3"/>
  <c r="C111" i="3"/>
  <c r="D115" i="3"/>
  <c r="C66" i="3"/>
  <c r="C70" i="3"/>
  <c r="C71" i="3"/>
  <c r="C72" i="3"/>
  <c r="C74" i="3"/>
  <c r="J77" i="3"/>
  <c r="C78" i="3"/>
  <c r="J81" i="3"/>
  <c r="J83" i="3"/>
  <c r="J84" i="3"/>
  <c r="J85" i="3"/>
  <c r="J86" i="3"/>
  <c r="J87" i="3"/>
  <c r="J89" i="3"/>
  <c r="J91" i="3"/>
  <c r="J92" i="3"/>
  <c r="C96" i="3"/>
  <c r="C97" i="3"/>
  <c r="C101" i="3"/>
  <c r="C103" i="3"/>
  <c r="J108" i="3"/>
  <c r="J113" i="3"/>
  <c r="C115" i="3"/>
  <c r="J78" i="3"/>
  <c r="J93" i="3"/>
  <c r="J94" i="3"/>
  <c r="J107" i="3"/>
  <c r="J65" i="3"/>
  <c r="J67" i="3"/>
  <c r="J69" i="3"/>
  <c r="J70" i="3"/>
  <c r="J71" i="3"/>
  <c r="J72" i="3"/>
  <c r="J73" i="3"/>
  <c r="J75" i="3"/>
  <c r="C76" i="3"/>
  <c r="J79" i="3"/>
  <c r="C80" i="3"/>
  <c r="C84" i="3"/>
  <c r="C85" i="3"/>
  <c r="C86" i="3"/>
  <c r="C88" i="3"/>
  <c r="C92" i="3"/>
  <c r="C93" i="3"/>
  <c r="J95" i="3"/>
  <c r="J96" i="3"/>
  <c r="J102" i="3"/>
  <c r="C109" i="3"/>
  <c r="J110" i="3"/>
  <c r="J112" i="3"/>
  <c r="D67" i="3"/>
  <c r="K68" i="3"/>
  <c r="D70" i="3"/>
  <c r="K71" i="3"/>
  <c r="D75" i="3"/>
  <c r="D77" i="3"/>
  <c r="D79" i="3"/>
  <c r="D81" i="3"/>
  <c r="K82" i="3"/>
  <c r="D84" i="3"/>
  <c r="K85" i="3"/>
  <c r="D89" i="3"/>
  <c r="K90" i="3"/>
  <c r="K92" i="3"/>
  <c r="K94" i="3"/>
  <c r="K96" i="3"/>
  <c r="D98" i="3"/>
  <c r="K99" i="3"/>
  <c r="D103" i="3"/>
  <c r="D104" i="3"/>
  <c r="K105" i="3"/>
  <c r="D107" i="3"/>
  <c r="K108" i="3"/>
  <c r="K109" i="3"/>
  <c r="D73" i="13"/>
  <c r="K65" i="3"/>
  <c r="D69" i="3"/>
  <c r="K70" i="3"/>
  <c r="D72" i="3"/>
  <c r="K73" i="3"/>
  <c r="D83" i="3"/>
  <c r="K84" i="3"/>
  <c r="D86" i="3"/>
  <c r="K87" i="3"/>
  <c r="D91" i="3"/>
  <c r="B92" i="3"/>
  <c r="D93" i="3"/>
  <c r="B94" i="3"/>
  <c r="D95" i="3"/>
  <c r="B96" i="3"/>
  <c r="D97" i="3"/>
  <c r="K98" i="3"/>
  <c r="D100" i="3"/>
  <c r="K101" i="3"/>
  <c r="K104" i="3"/>
  <c r="C107" i="3"/>
  <c r="D109" i="3"/>
  <c r="D110" i="3"/>
  <c r="K112" i="3"/>
  <c r="K113" i="3"/>
  <c r="K114" i="3"/>
  <c r="K115" i="3"/>
  <c r="D65" i="3"/>
  <c r="K66" i="3"/>
  <c r="D68" i="3"/>
  <c r="K69" i="3"/>
  <c r="D73" i="3"/>
  <c r="K74" i="3"/>
  <c r="K76" i="3"/>
  <c r="K78" i="3"/>
  <c r="K80" i="3"/>
  <c r="D82" i="3"/>
  <c r="K83" i="3"/>
  <c r="D87" i="3"/>
  <c r="K88" i="3"/>
  <c r="D90" i="3"/>
  <c r="K91" i="3"/>
  <c r="D92" i="3"/>
  <c r="K93" i="3"/>
  <c r="D94" i="3"/>
  <c r="K95" i="3"/>
  <c r="D96" i="3"/>
  <c r="K97" i="3"/>
  <c r="D101" i="3"/>
  <c r="K102" i="3"/>
  <c r="D108" i="3"/>
  <c r="D111" i="3"/>
  <c r="D113" i="3"/>
  <c r="D114" i="3"/>
  <c r="C104" i="3"/>
  <c r="B102" i="12"/>
  <c r="C106" i="3"/>
  <c r="C108" i="3"/>
  <c r="J109" i="3"/>
  <c r="C110" i="3"/>
  <c r="J111" i="3"/>
  <c r="C112" i="3"/>
  <c r="J114" i="3"/>
  <c r="B70" i="12"/>
  <c r="B81" i="12"/>
  <c r="B114" i="12"/>
  <c r="I65" i="3"/>
  <c r="B66" i="3"/>
  <c r="I66" i="3"/>
  <c r="I81" i="3"/>
  <c r="B82" i="3"/>
  <c r="I82" i="3"/>
  <c r="I97" i="3"/>
  <c r="B98" i="3"/>
  <c r="I98" i="3"/>
  <c r="I113" i="3"/>
  <c r="B114" i="3"/>
  <c r="I114" i="3"/>
  <c r="D89" i="13"/>
  <c r="B65" i="12"/>
  <c r="B98" i="12"/>
  <c r="I73" i="3"/>
  <c r="B74" i="3"/>
  <c r="I74" i="3"/>
  <c r="I89" i="3"/>
  <c r="B90" i="3"/>
  <c r="I90" i="3"/>
  <c r="I105" i="3"/>
  <c r="B106" i="3"/>
  <c r="I106" i="3"/>
  <c r="C113" i="3"/>
  <c r="B86" i="12"/>
  <c r="J67" i="12"/>
  <c r="B68" i="3"/>
  <c r="B70" i="3"/>
  <c r="B72" i="3"/>
  <c r="B84" i="3"/>
  <c r="B86" i="3"/>
  <c r="B88" i="3"/>
  <c r="B100" i="3"/>
  <c r="B102" i="3"/>
  <c r="B104" i="3"/>
  <c r="I69" i="3"/>
  <c r="I70" i="3"/>
  <c r="I77" i="3"/>
  <c r="I78" i="3"/>
  <c r="I85" i="3"/>
  <c r="I86" i="3"/>
  <c r="I93" i="3"/>
  <c r="I94" i="3"/>
  <c r="I101" i="3"/>
  <c r="I102" i="3"/>
  <c r="I109" i="3"/>
  <c r="I110" i="3"/>
  <c r="I67" i="3"/>
  <c r="I68" i="3"/>
  <c r="I71" i="3"/>
  <c r="I72" i="3"/>
  <c r="I75" i="3"/>
  <c r="I76" i="3"/>
  <c r="I79" i="3"/>
  <c r="I80" i="3"/>
  <c r="I83" i="3"/>
  <c r="I84" i="3"/>
  <c r="I87" i="3"/>
  <c r="I88" i="3"/>
  <c r="I91" i="3"/>
  <c r="I92" i="3"/>
  <c r="I95" i="3"/>
  <c r="I96" i="3"/>
  <c r="I99" i="3"/>
  <c r="I100" i="3"/>
  <c r="I103" i="3"/>
  <c r="I104" i="3"/>
  <c r="I107" i="3"/>
  <c r="I108" i="3"/>
  <c r="I111" i="3"/>
  <c r="I112" i="3"/>
  <c r="M59" i="3"/>
  <c r="M101" i="3" s="1"/>
  <c r="J74" i="12"/>
  <c r="J71" i="12"/>
  <c r="J78" i="12"/>
  <c r="J66" i="12"/>
  <c r="J75" i="12"/>
  <c r="I70" i="12"/>
  <c r="I72" i="12"/>
  <c r="I79" i="12"/>
  <c r="I88" i="12"/>
  <c r="I99" i="12"/>
  <c r="I110" i="12"/>
  <c r="I71" i="12"/>
  <c r="I78" i="12"/>
  <c r="I80" i="12"/>
  <c r="I86" i="12"/>
  <c r="I91" i="12"/>
  <c r="I96" i="12"/>
  <c r="I102" i="12"/>
  <c r="I107" i="12"/>
  <c r="I112" i="12"/>
  <c r="I83" i="12"/>
  <c r="I94" i="12"/>
  <c r="I104" i="12"/>
  <c r="I115" i="12"/>
  <c r="I67" i="12"/>
  <c r="J70" i="12"/>
  <c r="I74" i="12"/>
  <c r="I76" i="12"/>
  <c r="J79" i="12"/>
  <c r="I84" i="12"/>
  <c r="I90" i="12"/>
  <c r="I95" i="12"/>
  <c r="I100" i="12"/>
  <c r="I106" i="12"/>
  <c r="I111" i="12"/>
  <c r="I66" i="12"/>
  <c r="I68" i="12"/>
  <c r="I75" i="12"/>
  <c r="I82" i="12"/>
  <c r="I87" i="12"/>
  <c r="I92" i="12"/>
  <c r="I98" i="12"/>
  <c r="I103" i="12"/>
  <c r="I108" i="12"/>
  <c r="I114" i="12"/>
  <c r="J65" i="12"/>
  <c r="L67" i="12"/>
  <c r="J69" i="12"/>
  <c r="L71" i="12"/>
  <c r="J73" i="12"/>
  <c r="K76" i="12"/>
  <c r="K80" i="12"/>
  <c r="L83" i="12"/>
  <c r="K84" i="12"/>
  <c r="L87" i="12"/>
  <c r="J89" i="12"/>
  <c r="K92" i="12"/>
  <c r="L95" i="12"/>
  <c r="J97" i="12"/>
  <c r="K100" i="12"/>
  <c r="J101" i="12"/>
  <c r="J105" i="12"/>
  <c r="M59" i="12"/>
  <c r="M107" i="12" s="1"/>
  <c r="I65" i="12"/>
  <c r="L66" i="12"/>
  <c r="K67" i="12"/>
  <c r="J68" i="12"/>
  <c r="I69" i="12"/>
  <c r="L70" i="12"/>
  <c r="K71" i="12"/>
  <c r="J72" i="12"/>
  <c r="I73" i="12"/>
  <c r="L74" i="12"/>
  <c r="K75" i="12"/>
  <c r="J76" i="12"/>
  <c r="I77" i="12"/>
  <c r="L78" i="12"/>
  <c r="K79" i="12"/>
  <c r="J80" i="12"/>
  <c r="I81" i="12"/>
  <c r="L82" i="12"/>
  <c r="K83" i="12"/>
  <c r="J84" i="12"/>
  <c r="I85" i="12"/>
  <c r="L86" i="12"/>
  <c r="K87" i="12"/>
  <c r="J88" i="12"/>
  <c r="I89" i="12"/>
  <c r="L90" i="12"/>
  <c r="K91" i="12"/>
  <c r="J92" i="12"/>
  <c r="I93" i="12"/>
  <c r="L94" i="12"/>
  <c r="K95" i="12"/>
  <c r="J96" i="12"/>
  <c r="I97" i="12"/>
  <c r="L98" i="12"/>
  <c r="K99" i="12"/>
  <c r="J100" i="12"/>
  <c r="I101" i="12"/>
  <c r="L102" i="12"/>
  <c r="K103" i="12"/>
  <c r="J104" i="12"/>
  <c r="I105" i="12"/>
  <c r="L106" i="12"/>
  <c r="K107" i="12"/>
  <c r="J108" i="12"/>
  <c r="I109" i="12"/>
  <c r="L110" i="12"/>
  <c r="K111" i="12"/>
  <c r="J112" i="12"/>
  <c r="L114" i="12"/>
  <c r="K115" i="12"/>
  <c r="L65" i="12"/>
  <c r="K66" i="12"/>
  <c r="L69" i="12"/>
  <c r="K70" i="12"/>
  <c r="L73" i="12"/>
  <c r="K74" i="12"/>
  <c r="L77" i="12"/>
  <c r="K78" i="12"/>
  <c r="L81" i="12"/>
  <c r="K82" i="12"/>
  <c r="J83" i="12"/>
  <c r="L85" i="12"/>
  <c r="K86" i="12"/>
  <c r="J87" i="12"/>
  <c r="L89" i="12"/>
  <c r="K90" i="12"/>
  <c r="J91" i="12"/>
  <c r="L93" i="12"/>
  <c r="K94" i="12"/>
  <c r="J95" i="12"/>
  <c r="L97" i="12"/>
  <c r="K98" i="12"/>
  <c r="J99" i="12"/>
  <c r="L101" i="12"/>
  <c r="K102" i="12"/>
  <c r="J103" i="12"/>
  <c r="L105" i="12"/>
  <c r="K106" i="12"/>
  <c r="J107" i="12"/>
  <c r="L109" i="12"/>
  <c r="K110" i="12"/>
  <c r="J111" i="12"/>
  <c r="L113" i="12"/>
  <c r="K114" i="12"/>
  <c r="J115" i="12"/>
  <c r="K65" i="12"/>
  <c r="L68" i="12"/>
  <c r="K69" i="12"/>
  <c r="L72" i="12"/>
  <c r="K73" i="12"/>
  <c r="L76" i="12"/>
  <c r="K77" i="12"/>
  <c r="L80" i="12"/>
  <c r="K81" i="12"/>
  <c r="J82" i="12"/>
  <c r="L84" i="12"/>
  <c r="K85" i="12"/>
  <c r="J86" i="12"/>
  <c r="L88" i="12"/>
  <c r="K89" i="12"/>
  <c r="J90" i="12"/>
  <c r="L92" i="12"/>
  <c r="K93" i="12"/>
  <c r="J94" i="12"/>
  <c r="L96" i="12"/>
  <c r="K97" i="12"/>
  <c r="J98" i="12"/>
  <c r="L100" i="12"/>
  <c r="K101" i="12"/>
  <c r="J102" i="12"/>
  <c r="L104" i="12"/>
  <c r="K105" i="12"/>
  <c r="J106" i="12"/>
  <c r="L108" i="12"/>
  <c r="K109" i="12"/>
  <c r="J110" i="12"/>
  <c r="L112" i="12"/>
  <c r="K113" i="12"/>
  <c r="J114" i="12"/>
  <c r="K68" i="12"/>
  <c r="K72" i="12"/>
  <c r="L75" i="12"/>
  <c r="J77" i="12"/>
  <c r="L79" i="12"/>
  <c r="J81" i="12"/>
  <c r="J85" i="12"/>
  <c r="K88" i="12"/>
  <c r="L91" i="12"/>
  <c r="J93" i="12"/>
  <c r="K96" i="12"/>
  <c r="L99" i="12"/>
  <c r="L103" i="12"/>
  <c r="K104" i="12"/>
  <c r="L107" i="12"/>
  <c r="K108" i="12"/>
  <c r="J109" i="12"/>
  <c r="L111" i="12"/>
  <c r="F59" i="3"/>
  <c r="F80" i="3" s="1"/>
  <c r="B67" i="3"/>
  <c r="B69" i="3"/>
  <c r="B71" i="3"/>
  <c r="B75" i="3"/>
  <c r="B79" i="3"/>
  <c r="B83" i="3"/>
  <c r="B85" i="3"/>
  <c r="B87" i="3"/>
  <c r="B89" i="3"/>
  <c r="B91" i="3"/>
  <c r="B93" i="3"/>
  <c r="B95" i="3"/>
  <c r="B97" i="3"/>
  <c r="B99" i="3"/>
  <c r="B101" i="3"/>
  <c r="B103" i="3"/>
  <c r="B105" i="3"/>
  <c r="B107" i="3"/>
  <c r="B109" i="3"/>
  <c r="B111" i="3"/>
  <c r="B115" i="3"/>
  <c r="B65" i="3"/>
  <c r="B73" i="3"/>
  <c r="B77" i="3"/>
  <c r="B81" i="3"/>
  <c r="E65" i="3"/>
  <c r="E67" i="3"/>
  <c r="E69" i="3"/>
  <c r="E71" i="3"/>
  <c r="E73" i="3"/>
  <c r="E75" i="3"/>
  <c r="E77" i="3"/>
  <c r="E79" i="3"/>
  <c r="E81" i="3"/>
  <c r="E83" i="3"/>
  <c r="E85" i="3"/>
  <c r="E87" i="3"/>
  <c r="E89" i="3"/>
  <c r="E91" i="3"/>
  <c r="E93" i="3"/>
  <c r="E95" i="3"/>
  <c r="E97" i="3"/>
  <c r="E99" i="3"/>
  <c r="E101" i="3"/>
  <c r="E103" i="3"/>
  <c r="E105" i="3"/>
  <c r="E107" i="3"/>
  <c r="E109" i="3"/>
  <c r="E111" i="3"/>
  <c r="E113" i="3"/>
  <c r="B109" i="12"/>
  <c r="B78" i="12"/>
  <c r="B93" i="12"/>
  <c r="B73" i="12"/>
  <c r="B89" i="12"/>
  <c r="B105" i="12"/>
  <c r="C65" i="12"/>
  <c r="D68" i="12"/>
  <c r="C70" i="12"/>
  <c r="C73" i="12"/>
  <c r="D76" i="12"/>
  <c r="C78" i="12"/>
  <c r="C81" i="12"/>
  <c r="D84" i="12"/>
  <c r="C86" i="12"/>
  <c r="C89" i="12"/>
  <c r="C96" i="12"/>
  <c r="C98" i="12"/>
  <c r="C105" i="12"/>
  <c r="C112" i="12"/>
  <c r="C68" i="12"/>
  <c r="C110" i="12"/>
  <c r="C66" i="12"/>
  <c r="D72" i="12"/>
  <c r="C74" i="12"/>
  <c r="C77" i="12"/>
  <c r="D80" i="12"/>
  <c r="C82" i="12"/>
  <c r="C85" i="12"/>
  <c r="D88" i="12"/>
  <c r="C90" i="12"/>
  <c r="B94" i="12"/>
  <c r="C97" i="12"/>
  <c r="B101" i="12"/>
  <c r="C104" i="12"/>
  <c r="C106" i="12"/>
  <c r="B110" i="12"/>
  <c r="C113" i="12"/>
  <c r="C76" i="12"/>
  <c r="C84" i="12"/>
  <c r="C92" i="12"/>
  <c r="C94" i="12"/>
  <c r="C101" i="12"/>
  <c r="C108" i="12"/>
  <c r="C69" i="12"/>
  <c r="B66" i="12"/>
  <c r="B69" i="12"/>
  <c r="C72" i="12"/>
  <c r="B74" i="12"/>
  <c r="B77" i="12"/>
  <c r="C80" i="12"/>
  <c r="B82" i="12"/>
  <c r="B85" i="12"/>
  <c r="C88" i="12"/>
  <c r="B90" i="12"/>
  <c r="C93" i="12"/>
  <c r="B97" i="12"/>
  <c r="C100" i="12"/>
  <c r="C102" i="12"/>
  <c r="B106" i="12"/>
  <c r="C109" i="12"/>
  <c r="B113" i="12"/>
  <c r="E66" i="12"/>
  <c r="D71" i="12"/>
  <c r="D75" i="12"/>
  <c r="D79" i="12"/>
  <c r="D83" i="12"/>
  <c r="E86" i="12"/>
  <c r="D91" i="12"/>
  <c r="E94" i="12"/>
  <c r="D103" i="12"/>
  <c r="E106" i="12"/>
  <c r="E114" i="12"/>
  <c r="E65" i="12"/>
  <c r="D66" i="12"/>
  <c r="C67" i="12"/>
  <c r="B68" i="12"/>
  <c r="E69" i="12"/>
  <c r="D70" i="12"/>
  <c r="C71" i="12"/>
  <c r="B72" i="12"/>
  <c r="E73" i="12"/>
  <c r="D74" i="12"/>
  <c r="C75" i="12"/>
  <c r="B76" i="12"/>
  <c r="E77" i="12"/>
  <c r="D78" i="12"/>
  <c r="C79" i="12"/>
  <c r="B80" i="12"/>
  <c r="E81" i="12"/>
  <c r="D82" i="12"/>
  <c r="C83" i="12"/>
  <c r="B84" i="12"/>
  <c r="E85" i="12"/>
  <c r="D86" i="12"/>
  <c r="C87" i="12"/>
  <c r="B88" i="12"/>
  <c r="E89" i="12"/>
  <c r="D90" i="12"/>
  <c r="C91" i="12"/>
  <c r="B92" i="12"/>
  <c r="E93" i="12"/>
  <c r="D94" i="12"/>
  <c r="C95" i="12"/>
  <c r="B96" i="12"/>
  <c r="E97" i="12"/>
  <c r="D98" i="12"/>
  <c r="C99" i="12"/>
  <c r="B100" i="12"/>
  <c r="E101" i="12"/>
  <c r="D102" i="12"/>
  <c r="C103" i="12"/>
  <c r="B104" i="12"/>
  <c r="E105" i="12"/>
  <c r="D106" i="12"/>
  <c r="C107" i="12"/>
  <c r="B108" i="12"/>
  <c r="E109" i="12"/>
  <c r="D110" i="12"/>
  <c r="C111" i="12"/>
  <c r="B112" i="12"/>
  <c r="E113" i="12"/>
  <c r="D114" i="12"/>
  <c r="C115" i="12"/>
  <c r="D67" i="12"/>
  <c r="E74" i="12"/>
  <c r="E82" i="12"/>
  <c r="F59" i="12"/>
  <c r="F84" i="12" s="1"/>
  <c r="D65" i="12"/>
  <c r="B67" i="12"/>
  <c r="E68" i="12"/>
  <c r="D69" i="12"/>
  <c r="B71" i="12"/>
  <c r="E72" i="12"/>
  <c r="D73" i="12"/>
  <c r="B75" i="12"/>
  <c r="E76" i="12"/>
  <c r="D77" i="12"/>
  <c r="B79" i="12"/>
  <c r="E80" i="12"/>
  <c r="D81" i="12"/>
  <c r="B83" i="12"/>
  <c r="E84" i="12"/>
  <c r="D85" i="12"/>
  <c r="B87" i="12"/>
  <c r="E88" i="12"/>
  <c r="D89" i="12"/>
  <c r="B91" i="12"/>
  <c r="E92" i="12"/>
  <c r="D93" i="12"/>
  <c r="B95" i="12"/>
  <c r="E96" i="12"/>
  <c r="D97" i="12"/>
  <c r="B99" i="12"/>
  <c r="E100" i="12"/>
  <c r="D101" i="12"/>
  <c r="B103" i="12"/>
  <c r="E104" i="12"/>
  <c r="D105" i="12"/>
  <c r="B107" i="12"/>
  <c r="E108" i="12"/>
  <c r="D109" i="12"/>
  <c r="B111" i="12"/>
  <c r="E112" i="12"/>
  <c r="D113" i="12"/>
  <c r="E67" i="12"/>
  <c r="E71" i="12"/>
  <c r="E75" i="12"/>
  <c r="E79" i="12"/>
  <c r="E83" i="12"/>
  <c r="E87" i="12"/>
  <c r="E91" i="12"/>
  <c r="D92" i="12"/>
  <c r="E95" i="12"/>
  <c r="D96" i="12"/>
  <c r="E99" i="12"/>
  <c r="D100" i="12"/>
  <c r="E103" i="12"/>
  <c r="D104" i="12"/>
  <c r="E107" i="12"/>
  <c r="D108" i="12"/>
  <c r="E111" i="12"/>
  <c r="D112" i="12"/>
  <c r="E115" i="12"/>
  <c r="E70" i="12"/>
  <c r="E78" i="12"/>
  <c r="D87" i="12"/>
  <c r="E90" i="12"/>
  <c r="D95" i="12"/>
  <c r="E98" i="12"/>
  <c r="D99" i="12"/>
  <c r="E102" i="12"/>
  <c r="D107" i="12"/>
  <c r="D111" i="12"/>
  <c r="L85" i="13"/>
  <c r="L77" i="13"/>
  <c r="L69" i="13"/>
  <c r="J67" i="13"/>
  <c r="J72" i="13"/>
  <c r="J75" i="13"/>
  <c r="J80" i="13"/>
  <c r="J83" i="13"/>
  <c r="J88" i="13"/>
  <c r="J91" i="13"/>
  <c r="I95" i="13"/>
  <c r="I97" i="13"/>
  <c r="J100" i="13"/>
  <c r="I104" i="13"/>
  <c r="J107" i="13"/>
  <c r="I111" i="13"/>
  <c r="I113" i="13"/>
  <c r="I67" i="13"/>
  <c r="I69" i="13"/>
  <c r="I72" i="13"/>
  <c r="I75" i="13"/>
  <c r="I77" i="13"/>
  <c r="I80" i="13"/>
  <c r="I83" i="13"/>
  <c r="I85" i="13"/>
  <c r="I88" i="13"/>
  <c r="I91" i="13"/>
  <c r="I93" i="13"/>
  <c r="J96" i="13"/>
  <c r="I100" i="13"/>
  <c r="J103" i="13"/>
  <c r="I107" i="13"/>
  <c r="I109" i="13"/>
  <c r="J112" i="13"/>
  <c r="M57" i="13"/>
  <c r="M108" i="13" s="1"/>
  <c r="L65" i="13"/>
  <c r="J68" i="13"/>
  <c r="J71" i="13"/>
  <c r="L73" i="13"/>
  <c r="J76" i="13"/>
  <c r="J79" i="13"/>
  <c r="L81" i="13"/>
  <c r="J84" i="13"/>
  <c r="J87" i="13"/>
  <c r="L89" i="13"/>
  <c r="J92" i="13"/>
  <c r="I96" i="13"/>
  <c r="J99" i="13"/>
  <c r="I103" i="13"/>
  <c r="I105" i="13"/>
  <c r="J108" i="13"/>
  <c r="I112" i="13"/>
  <c r="I65" i="13"/>
  <c r="I68" i="13"/>
  <c r="I71" i="13"/>
  <c r="I73" i="13"/>
  <c r="I76" i="13"/>
  <c r="I79" i="13"/>
  <c r="I81" i="13"/>
  <c r="I84" i="13"/>
  <c r="I87" i="13"/>
  <c r="I89" i="13"/>
  <c r="I92" i="13"/>
  <c r="J95" i="13"/>
  <c r="I99" i="13"/>
  <c r="I101" i="13"/>
  <c r="J104" i="13"/>
  <c r="I108" i="13"/>
  <c r="J111" i="13"/>
  <c r="L66" i="13"/>
  <c r="K67" i="13"/>
  <c r="L70" i="13"/>
  <c r="K71" i="13"/>
  <c r="L74" i="13"/>
  <c r="K75" i="13"/>
  <c r="L78" i="13"/>
  <c r="K79" i="13"/>
  <c r="L82" i="13"/>
  <c r="K83" i="13"/>
  <c r="L86" i="13"/>
  <c r="K87" i="13"/>
  <c r="L90" i="13"/>
  <c r="K91" i="13"/>
  <c r="L94" i="13"/>
  <c r="K95" i="13"/>
  <c r="L98" i="13"/>
  <c r="K99" i="13"/>
  <c r="L102" i="13"/>
  <c r="K103" i="13"/>
  <c r="L106" i="13"/>
  <c r="K107" i="13"/>
  <c r="L110" i="13"/>
  <c r="K111" i="13"/>
  <c r="K66" i="13"/>
  <c r="K70" i="13"/>
  <c r="K74" i="13"/>
  <c r="K78" i="13"/>
  <c r="K82" i="13"/>
  <c r="K86" i="13"/>
  <c r="K90" i="13"/>
  <c r="L93" i="13"/>
  <c r="K94" i="13"/>
  <c r="L97" i="13"/>
  <c r="K98" i="13"/>
  <c r="L101" i="13"/>
  <c r="K102" i="13"/>
  <c r="L105" i="13"/>
  <c r="K106" i="13"/>
  <c r="L109" i="13"/>
  <c r="K110" i="13"/>
  <c r="L113" i="13"/>
  <c r="K65" i="13"/>
  <c r="J66" i="13"/>
  <c r="L68" i="13"/>
  <c r="K69" i="13"/>
  <c r="J70" i="13"/>
  <c r="L72" i="13"/>
  <c r="K73" i="13"/>
  <c r="J74" i="13"/>
  <c r="L76" i="13"/>
  <c r="K77" i="13"/>
  <c r="J78" i="13"/>
  <c r="L80" i="13"/>
  <c r="K81" i="13"/>
  <c r="J82" i="13"/>
  <c r="L84" i="13"/>
  <c r="K85" i="13"/>
  <c r="J86" i="13"/>
  <c r="L88" i="13"/>
  <c r="K89" i="13"/>
  <c r="J90" i="13"/>
  <c r="L92" i="13"/>
  <c r="K93" i="13"/>
  <c r="J94" i="13"/>
  <c r="L96" i="13"/>
  <c r="K97" i="13"/>
  <c r="J98" i="13"/>
  <c r="L100" i="13"/>
  <c r="K101" i="13"/>
  <c r="J102" i="13"/>
  <c r="L104" i="13"/>
  <c r="K105" i="13"/>
  <c r="J106" i="13"/>
  <c r="L108" i="13"/>
  <c r="K109" i="13"/>
  <c r="J110" i="13"/>
  <c r="L112" i="13"/>
  <c r="K113" i="13"/>
  <c r="J65" i="13"/>
  <c r="I66" i="13"/>
  <c r="L67" i="13"/>
  <c r="K68" i="13"/>
  <c r="J69" i="13"/>
  <c r="I70" i="13"/>
  <c r="L71" i="13"/>
  <c r="K72" i="13"/>
  <c r="J73" i="13"/>
  <c r="I74" i="13"/>
  <c r="L75" i="13"/>
  <c r="K76" i="13"/>
  <c r="J77" i="13"/>
  <c r="I78" i="13"/>
  <c r="L79" i="13"/>
  <c r="K80" i="13"/>
  <c r="J81" i="13"/>
  <c r="I82" i="13"/>
  <c r="L83" i="13"/>
  <c r="K84" i="13"/>
  <c r="J85" i="13"/>
  <c r="I86" i="13"/>
  <c r="L87" i="13"/>
  <c r="K88" i="13"/>
  <c r="J89" i="13"/>
  <c r="I90" i="13"/>
  <c r="L91" i="13"/>
  <c r="K92" i="13"/>
  <c r="J93" i="13"/>
  <c r="I94" i="13"/>
  <c r="L95" i="13"/>
  <c r="K96" i="13"/>
  <c r="J97" i="13"/>
  <c r="I98" i="13"/>
  <c r="L99" i="13"/>
  <c r="K100" i="13"/>
  <c r="J101" i="13"/>
  <c r="I102" i="13"/>
  <c r="L103" i="13"/>
  <c r="K104" i="13"/>
  <c r="J105" i="13"/>
  <c r="I106" i="13"/>
  <c r="L107" i="13"/>
  <c r="K108" i="13"/>
  <c r="J109" i="13"/>
  <c r="D70" i="13"/>
  <c r="D85" i="13"/>
  <c r="D110" i="13"/>
  <c r="D66" i="13"/>
  <c r="D81" i="13"/>
  <c r="D102" i="13"/>
  <c r="F57" i="13"/>
  <c r="F104" i="13" s="1"/>
  <c r="D77" i="13"/>
  <c r="D94" i="13"/>
  <c r="E65" i="13"/>
  <c r="D69" i="13"/>
  <c r="E72" i="13"/>
  <c r="E76" i="13"/>
  <c r="E80" i="13"/>
  <c r="E84" i="13"/>
  <c r="E88" i="13"/>
  <c r="E92" i="13"/>
  <c r="D98" i="13"/>
  <c r="D106" i="13"/>
  <c r="D65" i="13"/>
  <c r="E68" i="13"/>
  <c r="B72" i="13"/>
  <c r="D74" i="13"/>
  <c r="D78" i="13"/>
  <c r="D82" i="13"/>
  <c r="D86" i="13"/>
  <c r="D90" i="13"/>
  <c r="E97" i="13"/>
  <c r="E105" i="13"/>
  <c r="E113" i="13"/>
  <c r="B68" i="13"/>
  <c r="E73" i="13"/>
  <c r="E77" i="13"/>
  <c r="E81" i="13"/>
  <c r="E85" i="13"/>
  <c r="E89" i="13"/>
  <c r="E69" i="13"/>
  <c r="E93" i="13"/>
  <c r="E101" i="13"/>
  <c r="E109" i="13"/>
  <c r="C65" i="13"/>
  <c r="B66" i="13"/>
  <c r="E67" i="13"/>
  <c r="D68" i="13"/>
  <c r="C69" i="13"/>
  <c r="B70" i="13"/>
  <c r="E71" i="13"/>
  <c r="D72" i="13"/>
  <c r="C73" i="13"/>
  <c r="B74" i="13"/>
  <c r="E75" i="13"/>
  <c r="D76" i="13"/>
  <c r="C77" i="13"/>
  <c r="B78" i="13"/>
  <c r="E79" i="13"/>
  <c r="D80" i="13"/>
  <c r="C81" i="13"/>
  <c r="B82" i="13"/>
  <c r="E83" i="13"/>
  <c r="D84" i="13"/>
  <c r="C85" i="13"/>
  <c r="B86" i="13"/>
  <c r="E87" i="13"/>
  <c r="D88" i="13"/>
  <c r="C89" i="13"/>
  <c r="B90" i="13"/>
  <c r="E91" i="13"/>
  <c r="D92" i="13"/>
  <c r="C93" i="13"/>
  <c r="B94" i="13"/>
  <c r="E95" i="13"/>
  <c r="D96" i="13"/>
  <c r="C97" i="13"/>
  <c r="B98" i="13"/>
  <c r="E99" i="13"/>
  <c r="D100" i="13"/>
  <c r="C101" i="13"/>
  <c r="B102" i="13"/>
  <c r="E103" i="13"/>
  <c r="D104" i="13"/>
  <c r="C105" i="13"/>
  <c r="B106" i="13"/>
  <c r="E107" i="13"/>
  <c r="D108" i="13"/>
  <c r="C109" i="13"/>
  <c r="B110" i="13"/>
  <c r="E111" i="13"/>
  <c r="D112" i="13"/>
  <c r="C113" i="13"/>
  <c r="B65" i="13"/>
  <c r="E66" i="13"/>
  <c r="D67" i="13"/>
  <c r="C68" i="13"/>
  <c r="B69" i="13"/>
  <c r="E70" i="13"/>
  <c r="D71" i="13"/>
  <c r="C72" i="13"/>
  <c r="B73" i="13"/>
  <c r="E74" i="13"/>
  <c r="D75" i="13"/>
  <c r="C76" i="13"/>
  <c r="B77" i="13"/>
  <c r="E78" i="13"/>
  <c r="D79" i="13"/>
  <c r="C80" i="13"/>
  <c r="B81" i="13"/>
  <c r="E82" i="13"/>
  <c r="D83" i="13"/>
  <c r="C84" i="13"/>
  <c r="B85" i="13"/>
  <c r="E86" i="13"/>
  <c r="D87" i="13"/>
  <c r="C88" i="13"/>
  <c r="B89" i="13"/>
  <c r="E90" i="13"/>
  <c r="D91" i="13"/>
  <c r="C92" i="13"/>
  <c r="B93" i="13"/>
  <c r="E94" i="13"/>
  <c r="D95" i="13"/>
  <c r="C96" i="13"/>
  <c r="B97" i="13"/>
  <c r="E98" i="13"/>
  <c r="D99" i="13"/>
  <c r="C100" i="13"/>
  <c r="B101" i="13"/>
  <c r="E102" i="13"/>
  <c r="D103" i="13"/>
  <c r="C104" i="13"/>
  <c r="B105" i="13"/>
  <c r="E106" i="13"/>
  <c r="D107" i="13"/>
  <c r="C108" i="13"/>
  <c r="B109" i="13"/>
  <c r="E110" i="13"/>
  <c r="D111" i="13"/>
  <c r="C112" i="13"/>
  <c r="B113" i="13"/>
  <c r="C67" i="13"/>
  <c r="C71" i="13"/>
  <c r="C75" i="13"/>
  <c r="B76" i="13"/>
  <c r="C79" i="13"/>
  <c r="B80" i="13"/>
  <c r="C83" i="13"/>
  <c r="B84" i="13"/>
  <c r="C87" i="13"/>
  <c r="B88" i="13"/>
  <c r="C91" i="13"/>
  <c r="B92" i="13"/>
  <c r="C95" i="13"/>
  <c r="B96" i="13"/>
  <c r="C99" i="13"/>
  <c r="B100" i="13"/>
  <c r="C103" i="13"/>
  <c r="B104" i="13"/>
  <c r="C107" i="13"/>
  <c r="B108" i="13"/>
  <c r="C111" i="13"/>
  <c r="B112" i="13"/>
  <c r="C66" i="13"/>
  <c r="B67" i="13"/>
  <c r="C70" i="13"/>
  <c r="B71" i="13"/>
  <c r="C74" i="13"/>
  <c r="B75" i="13"/>
  <c r="C78" i="13"/>
  <c r="B79" i="13"/>
  <c r="C82" i="13"/>
  <c r="B83" i="13"/>
  <c r="C86" i="13"/>
  <c r="B87" i="13"/>
  <c r="C90" i="13"/>
  <c r="B91" i="13"/>
  <c r="D93" i="13"/>
  <c r="C94" i="13"/>
  <c r="B95" i="13"/>
  <c r="E96" i="13"/>
  <c r="D97" i="13"/>
  <c r="C98" i="13"/>
  <c r="B99" i="13"/>
  <c r="E100" i="13"/>
  <c r="D101" i="13"/>
  <c r="C102" i="13"/>
  <c r="B103" i="13"/>
  <c r="E104" i="13"/>
  <c r="D105" i="13"/>
  <c r="C106" i="13"/>
  <c r="B107" i="13"/>
  <c r="E108" i="13"/>
  <c r="D109" i="13"/>
  <c r="F110" i="3" l="1"/>
  <c r="F93" i="3"/>
  <c r="M73" i="13"/>
  <c r="M103" i="13"/>
  <c r="M72" i="13"/>
  <c r="F75" i="3"/>
  <c r="F94" i="3"/>
  <c r="F111" i="3"/>
  <c r="F78" i="3"/>
  <c r="F109" i="3"/>
  <c r="F71" i="13"/>
  <c r="M87" i="13"/>
  <c r="F77" i="3"/>
  <c r="F95" i="3"/>
  <c r="F65" i="13"/>
  <c r="F95" i="13"/>
  <c r="F102" i="13"/>
  <c r="F108" i="13"/>
  <c r="M102" i="13"/>
  <c r="F66" i="3"/>
  <c r="F98" i="3"/>
  <c r="F81" i="3"/>
  <c r="F113" i="3"/>
  <c r="F91" i="3"/>
  <c r="F88" i="3"/>
  <c r="F76" i="3"/>
  <c r="F82" i="3"/>
  <c r="F114" i="3"/>
  <c r="F97" i="3"/>
  <c r="F107" i="3"/>
  <c r="F104" i="3"/>
  <c r="F67" i="13"/>
  <c r="F70" i="13"/>
  <c r="F74" i="3"/>
  <c r="F90" i="3"/>
  <c r="F106" i="3"/>
  <c r="F73" i="3"/>
  <c r="F89" i="3"/>
  <c r="F105" i="3"/>
  <c r="F115" i="3"/>
  <c r="F99" i="3"/>
  <c r="F83" i="3"/>
  <c r="F67" i="3"/>
  <c r="F92" i="3"/>
  <c r="F108" i="3"/>
  <c r="F72" i="3"/>
  <c r="F79" i="3"/>
  <c r="F112" i="3"/>
  <c r="F84" i="3"/>
  <c r="F96" i="3"/>
  <c r="F99" i="13"/>
  <c r="F85" i="13"/>
  <c r="F70" i="3"/>
  <c r="F86" i="3"/>
  <c r="F102" i="3"/>
  <c r="F65" i="3"/>
  <c r="F85" i="3"/>
  <c r="F101" i="3"/>
  <c r="F69" i="3"/>
  <c r="F103" i="3"/>
  <c r="F87" i="3"/>
  <c r="F71" i="3"/>
  <c r="F100" i="3"/>
  <c r="F68" i="3"/>
  <c r="F82" i="13"/>
  <c r="F110" i="13"/>
  <c r="F89" i="13"/>
  <c r="F112" i="13"/>
  <c r="M88" i="13"/>
  <c r="F87" i="13"/>
  <c r="F66" i="13"/>
  <c r="F94" i="13"/>
  <c r="F77" i="13"/>
  <c r="F109" i="13"/>
  <c r="F84" i="13"/>
  <c r="M71" i="13"/>
  <c r="M86" i="13"/>
  <c r="M105" i="13"/>
  <c r="F79" i="13"/>
  <c r="F111" i="13"/>
  <c r="F86" i="13"/>
  <c r="F105" i="13"/>
  <c r="F76" i="13"/>
  <c r="M70" i="13"/>
  <c r="M89" i="13"/>
  <c r="M91" i="3"/>
  <c r="M72" i="3"/>
  <c r="M71" i="3"/>
  <c r="M94" i="3"/>
  <c r="M109" i="3"/>
  <c r="M78" i="3"/>
  <c r="M93" i="3"/>
  <c r="M104" i="3"/>
  <c r="M115" i="3"/>
  <c r="M77" i="3"/>
  <c r="M88" i="3"/>
  <c r="M87" i="3"/>
  <c r="M110" i="3"/>
  <c r="M76" i="3"/>
  <c r="M92" i="3"/>
  <c r="M108" i="3"/>
  <c r="M103" i="3"/>
  <c r="M75" i="3"/>
  <c r="M95" i="3"/>
  <c r="M66" i="3"/>
  <c r="M82" i="3"/>
  <c r="M98" i="3"/>
  <c r="M114" i="3"/>
  <c r="M81" i="3"/>
  <c r="M97" i="3"/>
  <c r="M113" i="3"/>
  <c r="M68" i="3"/>
  <c r="M84" i="3"/>
  <c r="M100" i="3"/>
  <c r="M65" i="3"/>
  <c r="M67" i="3"/>
  <c r="M83" i="3"/>
  <c r="M107" i="3"/>
  <c r="M74" i="3"/>
  <c r="M90" i="3"/>
  <c r="M106" i="3"/>
  <c r="M73" i="3"/>
  <c r="M89" i="3"/>
  <c r="M105" i="3"/>
  <c r="M80" i="3"/>
  <c r="M96" i="3"/>
  <c r="M112" i="3"/>
  <c r="M111" i="3"/>
  <c r="M79" i="3"/>
  <c r="M99" i="3"/>
  <c r="M70" i="3"/>
  <c r="M86" i="3"/>
  <c r="M102" i="3"/>
  <c r="M69" i="3"/>
  <c r="M85" i="3"/>
  <c r="M108" i="12"/>
  <c r="M85" i="12"/>
  <c r="M70" i="12"/>
  <c r="M102" i="12"/>
  <c r="M76" i="12"/>
  <c r="M83" i="12"/>
  <c r="M86" i="12"/>
  <c r="M101" i="12"/>
  <c r="M115" i="12"/>
  <c r="M69" i="12"/>
  <c r="M92" i="12"/>
  <c r="M66" i="12"/>
  <c r="M82" i="12"/>
  <c r="M98" i="12"/>
  <c r="M114" i="12"/>
  <c r="M81" i="12"/>
  <c r="M97" i="12"/>
  <c r="M113" i="12"/>
  <c r="M88" i="12"/>
  <c r="M104" i="12"/>
  <c r="M79" i="12"/>
  <c r="M75" i="12"/>
  <c r="M95" i="12"/>
  <c r="M111" i="12"/>
  <c r="M78" i="12"/>
  <c r="M94" i="12"/>
  <c r="M110" i="12"/>
  <c r="M77" i="12"/>
  <c r="M93" i="12"/>
  <c r="M109" i="12"/>
  <c r="M84" i="12"/>
  <c r="M100" i="12"/>
  <c r="M65" i="12"/>
  <c r="M71" i="12"/>
  <c r="M91" i="12"/>
  <c r="M72" i="12"/>
  <c r="M68" i="12"/>
  <c r="M74" i="12"/>
  <c r="M90" i="12"/>
  <c r="M106" i="12"/>
  <c r="M73" i="12"/>
  <c r="M89" i="12"/>
  <c r="M105" i="12"/>
  <c r="M80" i="12"/>
  <c r="M96" i="12"/>
  <c r="M112" i="12"/>
  <c r="M67" i="12"/>
  <c r="M87" i="12"/>
  <c r="M103" i="12"/>
  <c r="M99" i="12"/>
  <c r="F83" i="13"/>
  <c r="F103" i="13"/>
  <c r="F78" i="13"/>
  <c r="F98" i="13"/>
  <c r="F69" i="13"/>
  <c r="F101" i="13"/>
  <c r="F92" i="13"/>
  <c r="F68" i="13"/>
  <c r="F96" i="13"/>
  <c r="F75" i="13"/>
  <c r="F91" i="13"/>
  <c r="F107" i="13"/>
  <c r="F74" i="13"/>
  <c r="F90" i="13"/>
  <c r="F106" i="13"/>
  <c r="F73" i="13"/>
  <c r="F93" i="13"/>
  <c r="F80" i="13"/>
  <c r="F100" i="13"/>
  <c r="F83" i="12"/>
  <c r="F103" i="12"/>
  <c r="F96" i="12"/>
  <c r="F80" i="12"/>
  <c r="F65" i="12"/>
  <c r="F79" i="12"/>
  <c r="F76" i="12"/>
  <c r="F99" i="12"/>
  <c r="F72" i="12"/>
  <c r="F108" i="12"/>
  <c r="F71" i="12"/>
  <c r="F95" i="12"/>
  <c r="F115" i="12"/>
  <c r="F112" i="12"/>
  <c r="F100" i="12"/>
  <c r="F67" i="12"/>
  <c r="F87" i="12"/>
  <c r="F111" i="12"/>
  <c r="F104" i="12"/>
  <c r="F113" i="12"/>
  <c r="F109" i="12"/>
  <c r="F105" i="12"/>
  <c r="F93" i="12"/>
  <c r="F85" i="12"/>
  <c r="F81" i="12"/>
  <c r="F114" i="12"/>
  <c r="F110" i="12"/>
  <c r="F106" i="12"/>
  <c r="F102" i="12"/>
  <c r="F98" i="12"/>
  <c r="F94" i="12"/>
  <c r="F90" i="12"/>
  <c r="F86" i="12"/>
  <c r="F82" i="12"/>
  <c r="F78" i="12"/>
  <c r="F74" i="12"/>
  <c r="F70" i="12"/>
  <c r="F69" i="12"/>
  <c r="F101" i="12"/>
  <c r="F97" i="12"/>
  <c r="F89" i="12"/>
  <c r="F77" i="12"/>
  <c r="F73" i="12"/>
  <c r="F66" i="12"/>
  <c r="F75" i="12"/>
  <c r="F91" i="12"/>
  <c r="F107" i="12"/>
  <c r="F88" i="12"/>
  <c r="F68" i="12"/>
  <c r="F92" i="12"/>
  <c r="M83" i="13"/>
  <c r="M99" i="13"/>
  <c r="M82" i="13"/>
  <c r="M98" i="13"/>
  <c r="M69" i="13"/>
  <c r="M85" i="13"/>
  <c r="M101" i="13"/>
  <c r="M68" i="13"/>
  <c r="M84" i="13"/>
  <c r="M100" i="13"/>
  <c r="M65" i="13"/>
  <c r="M79" i="13"/>
  <c r="M95" i="13"/>
  <c r="M111" i="13"/>
  <c r="M78" i="13"/>
  <c r="M94" i="13"/>
  <c r="M110" i="13"/>
  <c r="M81" i="13"/>
  <c r="M97" i="13"/>
  <c r="M113" i="13"/>
  <c r="M80" i="13"/>
  <c r="M96" i="13"/>
  <c r="M104" i="13"/>
  <c r="M112" i="13"/>
  <c r="M67" i="13"/>
  <c r="M66" i="13"/>
  <c r="M75" i="13"/>
  <c r="M91" i="13"/>
  <c r="M107" i="13"/>
  <c r="M74" i="13"/>
  <c r="M90" i="13"/>
  <c r="M106" i="13"/>
  <c r="M77" i="13"/>
  <c r="M93" i="13"/>
  <c r="M109" i="13"/>
  <c r="M76" i="13"/>
  <c r="M92" i="13"/>
  <c r="F81" i="13"/>
  <c r="F97" i="13"/>
  <c r="F113" i="13"/>
  <c r="F72" i="13"/>
  <c r="F88" i="13"/>
</calcChain>
</file>

<file path=xl/sharedStrings.xml><?xml version="1.0" encoding="utf-8"?>
<sst xmlns="http://schemas.openxmlformats.org/spreadsheetml/2006/main" count="356" uniqueCount="61">
  <si>
    <t>Total</t>
  </si>
  <si>
    <t>Work</t>
  </si>
  <si>
    <t>School</t>
  </si>
  <si>
    <t>Workbased</t>
  </si>
  <si>
    <t>Timeperiod</t>
  </si>
  <si>
    <t>Before 3:00am</t>
  </si>
  <si>
    <t>After 27:00</t>
  </si>
  <si>
    <t>Half-hour time periods</t>
  </si>
  <si>
    <t>Distance values reflect start time of time period</t>
  </si>
  <si>
    <t>Tour arrival time at primary destination</t>
  </si>
  <si>
    <t>Tour departure time from primary destination</t>
  </si>
  <si>
    <t>Table X. Estimated Tour Departure from PD Times: DaySim</t>
  </si>
  <si>
    <t>Table X. Estimated Tour Arrival at PD Times: DaySim</t>
  </si>
  <si>
    <t>&gt; 24 hours</t>
  </si>
  <si>
    <t>Duration</t>
  </si>
  <si>
    <t>Table X. Estimated Tour Durations: DaySim</t>
  </si>
  <si>
    <t>Other</t>
  </si>
  <si>
    <t>FT Worker</t>
  </si>
  <si>
    <t>PT Worker</t>
  </si>
  <si>
    <t>Retired</t>
  </si>
  <si>
    <t>Nonworker</t>
  </si>
  <si>
    <t>Univ Stud</t>
  </si>
  <si>
    <t>Stud 5-15</t>
  </si>
  <si>
    <t>Child&lt;5</t>
  </si>
  <si>
    <t>Stud 16+</t>
  </si>
  <si>
    <t>Work Tour arrival time at primary destination</t>
  </si>
  <si>
    <t>Table X. Estimated Work Tour Arrival at PD Times: DaySim</t>
  </si>
  <si>
    <t>Table X. Estimated School Tour Arrival at PD Times: DaySim</t>
  </si>
  <si>
    <t>Table X. Estimated Other Tour Arrival at PD Times: DaySim</t>
  </si>
  <si>
    <t>Other Tour arrival time at primary destination</t>
  </si>
  <si>
    <t>Workbased Tour arrival time at primary destination</t>
  </si>
  <si>
    <t>Table X. Estimated Workbased Tour Arrival at PD Times: DaySim</t>
  </si>
  <si>
    <t>School Tour arrival time at primary destination</t>
  </si>
  <si>
    <t>Steps for tour time of day distributions</t>
  </si>
  <si>
    <t>After 27:30</t>
  </si>
  <si>
    <t>DaySim</t>
  </si>
  <si>
    <t>These frequency distributions have been generated using the tour file</t>
  </si>
  <si>
    <t>Duration refers to the time spent at the primary destination</t>
  </si>
  <si>
    <t>Work Tour Departure time at primary destination</t>
  </si>
  <si>
    <t>Table X. Estimated Work Tour Departure at PD Times: DaySim</t>
  </si>
  <si>
    <t>School Tour Departure time at primary destination</t>
  </si>
  <si>
    <t>Table X. Estimated School Tour Departure at PD Times: DaySim</t>
  </si>
  <si>
    <t>Other Tour Departure time at primary destination</t>
  </si>
  <si>
    <t>Table X. Estimated Other Tour Departure at PD Times: DaySim</t>
  </si>
  <si>
    <t>Workbased Tour Departure time at primary destination</t>
  </si>
  <si>
    <t>Table X. Estimated Workbased Tour Departure at PD Times: DaySim</t>
  </si>
  <si>
    <t>Observed Sources: Survey (2009)</t>
  </si>
  <si>
    <t>Table X. Observed Tour Arrival at PD Times: Survey</t>
  </si>
  <si>
    <t>Survey</t>
  </si>
  <si>
    <t>Table X. Observed Tour Departure from PD Times: Survey</t>
  </si>
  <si>
    <t>Table X. Observed Tour Durations: Survey</t>
  </si>
  <si>
    <t>Table X. Observed Work Tour Arrival at PD Times: Survey</t>
  </si>
  <si>
    <t>Table X. Observed School Tour Arrival at PD Times: Survey</t>
  </si>
  <si>
    <t>Table X. Observed Other Tour Arrival at PD Times: Survey</t>
  </si>
  <si>
    <t>Table X. Observed Workbased Tour Arrival at PD Times: Survey</t>
  </si>
  <si>
    <t>Table X. Observed Work Tour Departure at PD Times: Survey</t>
  </si>
  <si>
    <t>Table X. Observed School Tour Departure at PD Times: Survey</t>
  </si>
  <si>
    <t>Table X. Observed Other Tour Departure at PD Times: Survey</t>
  </si>
  <si>
    <t>Table X. Observed Workbased Tour Departure at PD Times: Survey</t>
  </si>
  <si>
    <t>Observed Sources: Survey</t>
  </si>
  <si>
    <t xml:space="preserve">Observed Sources: Survey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</si>
</sst>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4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4" fontId="3" fillId="0" borderId="0">
      <alignment wrapText="1"/>
    </xf>
  </cellStyleXfs>
  <cellXfs count="29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0" fontId="2" fillId="0" borderId="0" xfId="1" applyAlignment="1"/>
    <xf numFmtId="0" fontId="2" fillId="0" borderId="1" xfId="1" applyBorder="1" applyAlignment="1"/>
    <xf numFmtId="0" fontId="1" fillId="0" borderId="0" xfId="0" applyFont="1" applyBorder="1"/>
    <xf numFmtId="20" fontId="0" fillId="0" borderId="0" xfId="0" applyNumberFormat="1"/>
    <xf numFmtId="20" fontId="0" fillId="0" borderId="1" xfId="0" applyNumberFormat="1" applyBorder="1"/>
    <xf numFmtId="0" fontId="0" fillId="0" borderId="0" xfId="0" applyBorder="1" applyAlignment="1">
      <alignment horizontal="center" vertical="top"/>
    </xf>
    <xf numFmtId="20" fontId="0" fillId="0" borderId="0" xfId="0" applyNumberFormat="1" applyFill="1" applyBorder="1"/>
    <xf numFmtId="2" fontId="0" fillId="0" borderId="0" xfId="0" applyNumberFormat="1" applyBorder="1"/>
    <xf numFmtId="10" fontId="2" fillId="0" borderId="0" xfId="1" applyNumberFormat="1" applyAlignment="1"/>
    <xf numFmtId="10" fontId="0" fillId="0" borderId="0" xfId="0" applyNumberFormat="1"/>
    <xf numFmtId="10" fontId="2" fillId="0" borderId="1" xfId="1" applyNumberFormat="1" applyBorder="1" applyAlignment="1"/>
    <xf numFmtId="10" fontId="0" fillId="0" borderId="1" xfId="0" applyNumberFormat="1" applyBorder="1"/>
    <xf numFmtId="20" fontId="0" fillId="0" borderId="3" xfId="0" applyNumberFormat="1" applyBorder="1"/>
    <xf numFmtId="2" fontId="0" fillId="0" borderId="3" xfId="0" applyNumberFormat="1" applyBorder="1"/>
    <xf numFmtId="0" fontId="0" fillId="0" borderId="3" xfId="0" applyBorder="1"/>
    <xf numFmtId="0" fontId="2" fillId="0" borderId="3" xfId="1" applyBorder="1" applyAlignment="1"/>
    <xf numFmtId="20" fontId="0" fillId="0" borderId="4" xfId="0" applyNumberFormat="1" applyBorder="1"/>
    <xf numFmtId="2" fontId="0" fillId="0" borderId="4" xfId="0" applyNumberFormat="1" applyBorder="1"/>
    <xf numFmtId="0" fontId="0" fillId="0" borderId="3" xfId="0" applyBorder="1" applyAlignment="1">
      <alignment horizontal="center" vertical="top"/>
    </xf>
    <xf numFmtId="10" fontId="0" fillId="0" borderId="0" xfId="0" applyNumberFormat="1" applyBorder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2.2031645712808101E-3</c:v>
                </c:pt>
                <c:pt idx="2">
                  <c:v>5.2119508513640313E-3</c:v>
                </c:pt>
                <c:pt idx="3">
                  <c:v>9.8967502367837759E-3</c:v>
                </c:pt>
                <c:pt idx="4">
                  <c:v>1.713035270498443E-2</c:v>
                </c:pt>
                <c:pt idx="5">
                  <c:v>2.7557316361067223E-2</c:v>
                </c:pt>
                <c:pt idx="6">
                  <c:v>4.1237332327821764E-2</c:v>
                </c:pt>
                <c:pt idx="7">
                  <c:v>5.7254051564345501E-2</c:v>
                </c:pt>
                <c:pt idx="8">
                  <c:v>7.3477564530148309E-2</c:v>
                </c:pt>
                <c:pt idx="9">
                  <c:v>8.6802307437784415E-2</c:v>
                </c:pt>
                <c:pt idx="10">
                  <c:v>9.4086503481892403E-2</c:v>
                </c:pt>
                <c:pt idx="11">
                  <c:v>9.3507392184192059E-2</c:v>
                </c:pt>
                <c:pt idx="12">
                  <c:v>8.5501033341354199E-2</c:v>
                </c:pt>
                <c:pt idx="13">
                  <c:v>7.2563149831563256E-2</c:v>
                </c:pt>
                <c:pt idx="14">
                  <c:v>5.8021342903304282E-2</c:v>
                </c:pt>
                <c:pt idx="15">
                  <c:v>4.4652465083904122E-2</c:v>
                </c:pt>
                <c:pt idx="16">
                  <c:v>3.3966929548648439E-2</c:v>
                </c:pt>
                <c:pt idx="17">
                  <c:v>2.6291650793590811E-2</c:v>
                </c:pt>
                <c:pt idx="18">
                  <c:v>2.1231599242964104E-2</c:v>
                </c:pt>
                <c:pt idx="19">
                  <c:v>1.8094702975491483E-2</c:v>
                </c:pt>
                <c:pt idx="20">
                  <c:v>1.6161809187344382E-2</c:v>
                </c:pt>
                <c:pt idx="21">
                  <c:v>1.4849279039845094E-2</c:v>
                </c:pt>
                <c:pt idx="22">
                  <c:v>1.3781759115160254E-2</c:v>
                </c:pt>
                <c:pt idx="23">
                  <c:v>1.2766581597388372E-2</c:v>
                </c:pt>
                <c:pt idx="24">
                  <c:v>1.1718269088323515E-2</c:v>
                </c:pt>
                <c:pt idx="25">
                  <c:v>1.0607626867535264E-2</c:v>
                </c:pt>
                <c:pt idx="26">
                  <c:v>9.4468826851649805E-3</c:v>
                </c:pt>
                <c:pt idx="27">
                  <c:v>8.2706572597341151E-3</c:v>
                </c:pt>
                <c:pt idx="28">
                  <c:v>7.1046179053884826E-3</c:v>
                </c:pt>
                <c:pt idx="29">
                  <c:v>5.9565181103851698E-3</c:v>
                </c:pt>
                <c:pt idx="30">
                  <c:v>4.8401377010922429E-3</c:v>
                </c:pt>
                <c:pt idx="31">
                  <c:v>3.7959090663928999E-3</c:v>
                </c:pt>
                <c:pt idx="32">
                  <c:v>2.8790142639737162E-3</c:v>
                </c:pt>
                <c:pt idx="33">
                  <c:v>2.1309891164204764E-3</c:v>
                </c:pt>
                <c:pt idx="34">
                  <c:v>1.5663640467380312E-3</c:v>
                </c:pt>
                <c:pt idx="35">
                  <c:v>1.1778543787010491E-3</c:v>
                </c:pt>
                <c:pt idx="36">
                  <c:v>9.4038357637188483E-4</c:v>
                </c:pt>
                <c:pt idx="37">
                  <c:v>8.074740076885787E-4</c:v>
                </c:pt>
                <c:pt idx="38">
                  <c:v>7.1657885653184485E-4</c:v>
                </c:pt>
                <c:pt idx="39">
                  <c:v>6.1356277280058568E-4</c:v>
                </c:pt>
                <c:pt idx="40">
                  <c:v>4.7879503763668528E-4</c:v>
                </c:pt>
                <c:pt idx="41">
                  <c:v>3.2949109733055237E-4</c:v>
                </c:pt>
                <c:pt idx="42">
                  <c:v>1.9705378473519378E-4</c:v>
                </c:pt>
                <c:pt idx="43">
                  <c:v>1.0206489866615257E-4</c:v>
                </c:pt>
                <c:pt idx="44">
                  <c:v>4.594014705948837E-5</c:v>
                </c:pt>
                <c:pt idx="45">
                  <c:v>1.8089969471988093E-5</c:v>
                </c:pt>
                <c:pt idx="46">
                  <c:v>6.2593819355607646E-6</c:v>
                </c:pt>
                <c:pt idx="47">
                  <c:v>1.8911157524956421E-6</c:v>
                </c:pt>
                <c:pt idx="48">
                  <c:v>4.8624773419930329E-7</c:v>
                </c:pt>
                <c:pt idx="49">
                  <c:v>9.9704211064059079E-8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9E3-9087-40B569334599}"/>
            </c:ext>
          </c:extLst>
        </c:ser>
        <c:ser>
          <c:idx val="1"/>
          <c:order val="1"/>
          <c:tx>
            <c:strRef>
              <c:f>Arrival_Time!$I$64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Arrival_Time!$I$65:$I$115</c:f>
              <c:numCache>
                <c:formatCode>0.00%</c:formatCode>
                <c:ptCount val="51"/>
                <c:pt idx="0">
                  <c:v>1.0775020364866511E-3</c:v>
                </c:pt>
                <c:pt idx="1">
                  <c:v>3.4529324081238057E-3</c:v>
                </c:pt>
                <c:pt idx="2">
                  <c:v>6.0961621580087819E-3</c:v>
                </c:pt>
                <c:pt idx="3">
                  <c:v>9.5530700413804775E-3</c:v>
                </c:pt>
                <c:pt idx="4">
                  <c:v>1.4747809966930731E-2</c:v>
                </c:pt>
                <c:pt idx="5">
                  <c:v>2.275686922238742E-2</c:v>
                </c:pt>
                <c:pt idx="6">
                  <c:v>3.425227459899207E-2</c:v>
                </c:pt>
                <c:pt idx="7">
                  <c:v>4.8852607019414615E-2</c:v>
                </c:pt>
                <c:pt idx="8">
                  <c:v>6.4782269316139396E-2</c:v>
                </c:pt>
                <c:pt idx="9">
                  <c:v>7.9147647726411266E-2</c:v>
                </c:pt>
                <c:pt idx="10">
                  <c:v>8.8821349613161821E-2</c:v>
                </c:pt>
                <c:pt idx="11">
                  <c:v>9.1581020475250949E-2</c:v>
                </c:pt>
                <c:pt idx="12">
                  <c:v>8.6978583723254344E-2</c:v>
                </c:pt>
                <c:pt idx="13">
                  <c:v>7.6513349578358911E-2</c:v>
                </c:pt>
                <c:pt idx="14">
                  <c:v>6.3011483552481429E-2</c:v>
                </c:pt>
                <c:pt idx="15">
                  <c:v>4.9514135844613782E-2</c:v>
                </c:pt>
                <c:pt idx="16">
                  <c:v>3.8222830320790817E-2</c:v>
                </c:pt>
                <c:pt idx="17">
                  <c:v>2.9987074575771398E-2</c:v>
                </c:pt>
                <c:pt idx="18">
                  <c:v>2.4478657373040447E-2</c:v>
                </c:pt>
                <c:pt idx="19">
                  <c:v>2.0803613727375474E-2</c:v>
                </c:pt>
                <c:pt idx="20">
                  <c:v>1.8118452461173308E-2</c:v>
                </c:pt>
                <c:pt idx="21">
                  <c:v>1.5937007830871659E-2</c:v>
                </c:pt>
                <c:pt idx="22">
                  <c:v>1.409720654691252E-2</c:v>
                </c:pt>
                <c:pt idx="23">
                  <c:v>1.2569619465286747E-2</c:v>
                </c:pt>
                <c:pt idx="24">
                  <c:v>1.1308859866470494E-2</c:v>
                </c:pt>
                <c:pt idx="25">
                  <c:v>1.0227267411650734E-2</c:v>
                </c:pt>
                <c:pt idx="26">
                  <c:v>9.2438804562013071E-3</c:v>
                </c:pt>
                <c:pt idx="27">
                  <c:v>8.3233837182049679E-3</c:v>
                </c:pt>
                <c:pt idx="28">
                  <c:v>7.4650493143691441E-3</c:v>
                </c:pt>
                <c:pt idx="29">
                  <c:v>6.6642509899307806E-3</c:v>
                </c:pt>
                <c:pt idx="30">
                  <c:v>5.891768505650429E-3</c:v>
                </c:pt>
                <c:pt idx="31">
                  <c:v>5.1113112997369604E-3</c:v>
                </c:pt>
                <c:pt idx="32">
                  <c:v>4.3153990852239513E-3</c:v>
                </c:pt>
                <c:pt idx="33">
                  <c:v>3.5416816146254561E-3</c:v>
                </c:pt>
                <c:pt idx="34">
                  <c:v>2.8509718581771776E-3</c:v>
                </c:pt>
                <c:pt idx="35">
                  <c:v>2.2855684967577209E-3</c:v>
                </c:pt>
                <c:pt idx="36">
                  <c:v>1.8445167459253786E-3</c:v>
                </c:pt>
                <c:pt idx="37">
                  <c:v>1.4937466850167304E-3</c:v>
                </c:pt>
                <c:pt idx="38">
                  <c:v>1.1957374093397705E-3</c:v>
                </c:pt>
                <c:pt idx="39">
                  <c:v>9.3062784168413066E-4</c:v>
                </c:pt>
                <c:pt idx="40">
                  <c:v>6.9637904545312435E-4</c:v>
                </c:pt>
                <c:pt idx="41">
                  <c:v>4.9723367422750187E-4</c:v>
                </c:pt>
                <c:pt idx="42">
                  <c:v>3.3524798030202629E-4</c:v>
                </c:pt>
                <c:pt idx="43">
                  <c:v>2.0959626700209404E-4</c:v>
                </c:pt>
                <c:pt idx="44">
                  <c:v>1.1848001106529846E-4</c:v>
                </c:pt>
                <c:pt idx="45">
                  <c:v>5.884503052744673E-5</c:v>
                </c:pt>
                <c:pt idx="46">
                  <c:v>2.4938047213006271E-5</c:v>
                </c:pt>
                <c:pt idx="47">
                  <c:v>8.7507422108075328E-6</c:v>
                </c:pt>
                <c:pt idx="48">
                  <c:v>2.4574414249288554E-6</c:v>
                </c:pt>
                <c:pt idx="49">
                  <c:v>5.2087898989402218E-7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49-49E3-9087-40B569334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81255168"/>
      </c:lineChart>
      <c:catAx>
        <c:axId val="89394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5168"/>
        <c:crosses val="autoZero"/>
        <c:auto val="1"/>
        <c:lblAlgn val="ctr"/>
        <c:lblOffset val="100"/>
        <c:tickLblSkip val="2"/>
        <c:noMultiLvlLbl val="0"/>
      </c:catAx>
      <c:valAx>
        <c:axId val="81255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1.3110541434186441E-4</c:v>
                </c:pt>
                <c:pt idx="2">
                  <c:v>4.5258101025143866E-4</c:v>
                </c:pt>
                <c:pt idx="3">
                  <c:v>1.4722635127194564E-3</c:v>
                </c:pt>
                <c:pt idx="4">
                  <c:v>4.383534116134096E-3</c:v>
                </c:pt>
                <c:pt idx="5">
                  <c:v>1.1261523157380621E-2</c:v>
                </c:pt>
                <c:pt idx="6">
                  <c:v>2.4570986862645441E-2</c:v>
                </c:pt>
                <c:pt idx="7">
                  <c:v>4.565578656567653E-2</c:v>
                </c:pt>
                <c:pt idx="8">
                  <c:v>7.2799859307040554E-2</c:v>
                </c:pt>
                <c:pt idx="9">
                  <c:v>0.10041686379887581</c:v>
                </c:pt>
                <c:pt idx="10">
                  <c:v>0.12067481758957327</c:v>
                </c:pt>
                <c:pt idx="11">
                  <c:v>0.12710562043613183</c:v>
                </c:pt>
                <c:pt idx="12">
                  <c:v>0.11795292237310229</c:v>
                </c:pt>
                <c:pt idx="13">
                  <c:v>9.6970472802929794E-2</c:v>
                </c:pt>
                <c:pt idx="14">
                  <c:v>7.1226050211875364E-2</c:v>
                </c:pt>
                <c:pt idx="15">
                  <c:v>4.7554309371030168E-2</c:v>
                </c:pt>
                <c:pt idx="16">
                  <c:v>2.9936593157882101E-2</c:v>
                </c:pt>
                <c:pt idx="17">
                  <c:v>1.900236255674775E-2</c:v>
                </c:pt>
                <c:pt idx="18">
                  <c:v>1.3206388224387411E-2</c:v>
                </c:pt>
                <c:pt idx="19">
                  <c:v>1.0405224751888735E-2</c:v>
                </c:pt>
                <c:pt idx="20">
                  <c:v>8.8912359060612477E-3</c:v>
                </c:pt>
                <c:pt idx="21">
                  <c:v>7.7213154948376182E-3</c:v>
                </c:pt>
                <c:pt idx="22">
                  <c:v>6.6081802487050331E-3</c:v>
                </c:pt>
                <c:pt idx="23">
                  <c:v>5.634551569284699E-3</c:v>
                </c:pt>
                <c:pt idx="24">
                  <c:v>4.9525258965070094E-3</c:v>
                </c:pt>
                <c:pt idx="25">
                  <c:v>4.5988781229096805E-3</c:v>
                </c:pt>
                <c:pt idx="26">
                  <c:v>4.4856305083777713E-3</c:v>
                </c:pt>
                <c:pt idx="27">
                  <c:v>4.4897211836022605E-3</c:v>
                </c:pt>
                <c:pt idx="28">
                  <c:v>4.5111617085099092E-3</c:v>
                </c:pt>
                <c:pt idx="29">
                  <c:v>4.4608382385051618E-3</c:v>
                </c:pt>
                <c:pt idx="30">
                  <c:v>4.2450140147461801E-3</c:v>
                </c:pt>
                <c:pt idx="31">
                  <c:v>3.799893254639287E-3</c:v>
                </c:pt>
                <c:pt idx="32">
                  <c:v>3.1427137739996665E-3</c:v>
                </c:pt>
                <c:pt idx="33">
                  <c:v>2.3768170476051193E-3</c:v>
                </c:pt>
                <c:pt idx="34">
                  <c:v>1.6416448010229342E-3</c:v>
                </c:pt>
                <c:pt idx="35">
                  <c:v>1.0520350076171888E-3</c:v>
                </c:pt>
                <c:pt idx="36">
                  <c:v>6.706314014203698E-4</c:v>
                </c:pt>
                <c:pt idx="37">
                  <c:v>5.2097537534967259E-4</c:v>
                </c:pt>
                <c:pt idx="38">
                  <c:v>6.1060131789149807E-4</c:v>
                </c:pt>
                <c:pt idx="39">
                  <c:v>9.2150265045265879E-4</c:v>
                </c:pt>
                <c:pt idx="40">
                  <c:v>1.3648870765811064E-3</c:v>
                </c:pt>
                <c:pt idx="41">
                  <c:v>1.7620347083389595E-3</c:v>
                </c:pt>
                <c:pt idx="42">
                  <c:v>1.9146437213788219E-3</c:v>
                </c:pt>
                <c:pt idx="43">
                  <c:v>1.7319129775995048E-3</c:v>
                </c:pt>
                <c:pt idx="44">
                  <c:v>1.2960902648413313E-3</c:v>
                </c:pt>
                <c:pt idx="45">
                  <c:v>7.9674642292762205E-4</c:v>
                </c:pt>
                <c:pt idx="46">
                  <c:v>3.9813804083819212E-4</c:v>
                </c:pt>
                <c:pt idx="47">
                  <c:v>1.591948309112507E-4</c:v>
                </c:pt>
                <c:pt idx="48">
                  <c:v>4.9724554837728787E-5</c:v>
                </c:pt>
                <c:pt idx="49">
                  <c:v>1.1494659085742889E-5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DB-43B1-94F2-040BC2EB1D35}"/>
            </c:ext>
          </c:extLst>
        </c:ser>
        <c:ser>
          <c:idx val="1"/>
          <c:order val="1"/>
          <c:tx>
            <c:strRef>
              <c:f>Arrival_Time!$J$64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Arrival_Time!$J$65:$J$115</c:f>
              <c:numCache>
                <c:formatCode>0.00%</c:formatCode>
                <c:ptCount val="51"/>
                <c:pt idx="0">
                  <c:v>3.6720403330712057E-5</c:v>
                </c:pt>
                <c:pt idx="1">
                  <c:v>2.0645513165302952E-4</c:v>
                </c:pt>
                <c:pt idx="2">
                  <c:v>5.1696296160370339E-4</c:v>
                </c:pt>
                <c:pt idx="3">
                  <c:v>1.3316867640319192E-3</c:v>
                </c:pt>
                <c:pt idx="4">
                  <c:v>3.4487520479542966E-3</c:v>
                </c:pt>
                <c:pt idx="5">
                  <c:v>8.1838077495324808E-3</c:v>
                </c:pt>
                <c:pt idx="6">
                  <c:v>1.7088387083226676E-2</c:v>
                </c:pt>
                <c:pt idx="7">
                  <c:v>3.1152603888982257E-2</c:v>
                </c:pt>
                <c:pt idx="8">
                  <c:v>4.9745841585544202E-2</c:v>
                </c:pt>
                <c:pt idx="9">
                  <c:v>7.0013831118029363E-2</c:v>
                </c:pt>
                <c:pt idx="10">
                  <c:v>8.7443931759591129E-2</c:v>
                </c:pt>
                <c:pt idx="11">
                  <c:v>9.7608268972960502E-2</c:v>
                </c:pt>
                <c:pt idx="12">
                  <c:v>9.8167507160430101E-2</c:v>
                </c:pt>
                <c:pt idx="13">
                  <c:v>8.9883725929515823E-2</c:v>
                </c:pt>
                <c:pt idx="14">
                  <c:v>7.6022498476368369E-2</c:v>
                </c:pt>
                <c:pt idx="15">
                  <c:v>6.06315198196309E-2</c:v>
                </c:pt>
                <c:pt idx="16">
                  <c:v>4.6843484173465906E-2</c:v>
                </c:pt>
                <c:pt idx="17">
                  <c:v>3.6095824521905927E-2</c:v>
                </c:pt>
                <c:pt idx="18">
                  <c:v>2.836585559906208E-2</c:v>
                </c:pt>
                <c:pt idx="19">
                  <c:v>2.2911350917732519E-2</c:v>
                </c:pt>
                <c:pt idx="20">
                  <c:v>1.8937954851405953E-2</c:v>
                </c:pt>
                <c:pt idx="21">
                  <c:v>1.5913275649713145E-2</c:v>
                </c:pt>
                <c:pt idx="22">
                  <c:v>1.3566772055159763E-2</c:v>
                </c:pt>
                <c:pt idx="23">
                  <c:v>1.1760268383910285E-2</c:v>
                </c:pt>
                <c:pt idx="24">
                  <c:v>1.0388320483573067E-2</c:v>
                </c:pt>
                <c:pt idx="25">
                  <c:v>9.3622787879817718E-3</c:v>
                </c:pt>
                <c:pt idx="26">
                  <c:v>8.6376764849426958E-3</c:v>
                </c:pt>
                <c:pt idx="27">
                  <c:v>8.2154730989057144E-3</c:v>
                </c:pt>
                <c:pt idx="28">
                  <c:v>8.087763536821363E-3</c:v>
                </c:pt>
                <c:pt idx="29">
                  <c:v>8.1656899223517491E-3</c:v>
                </c:pt>
                <c:pt idx="30">
                  <c:v>8.2620150039010316E-3</c:v>
                </c:pt>
                <c:pt idx="31">
                  <c:v>8.1667879966366465E-3</c:v>
                </c:pt>
                <c:pt idx="32">
                  <c:v>7.7701016022669453E-3</c:v>
                </c:pt>
                <c:pt idx="33">
                  <c:v>7.1261093638478826E-3</c:v>
                </c:pt>
                <c:pt idx="34">
                  <c:v>6.3907369845003382E-3</c:v>
                </c:pt>
                <c:pt idx="35">
                  <c:v>5.6825591029194588E-3</c:v>
                </c:pt>
                <c:pt idx="36">
                  <c:v>4.994474199577781E-3</c:v>
                </c:pt>
                <c:pt idx="37">
                  <c:v>4.2341901190755035E-3</c:v>
                </c:pt>
                <c:pt idx="38">
                  <c:v>3.344508513507777E-3</c:v>
                </c:pt>
                <c:pt idx="39">
                  <c:v>2.3834442228404481E-3</c:v>
                </c:pt>
                <c:pt idx="40">
                  <c:v>1.4951931316522012E-3</c:v>
                </c:pt>
                <c:pt idx="41">
                  <c:v>8.1161869232228463E-4</c:v>
                </c:pt>
                <c:pt idx="42">
                  <c:v>3.7743709681186722E-4</c:v>
                </c:pt>
                <c:pt idx="43">
                  <c:v>1.5041180832558654E-4</c:v>
                </c:pt>
                <c:pt idx="44">
                  <c:v>5.2314479486614497E-5</c:v>
                </c:pt>
                <c:pt idx="45">
                  <c:v>1.6593269238950462E-5</c:v>
                </c:pt>
                <c:pt idx="46">
                  <c:v>5.0567661192206631E-6</c:v>
                </c:pt>
                <c:pt idx="47">
                  <c:v>1.4855010707514964E-6</c:v>
                </c:pt>
                <c:pt idx="48">
                  <c:v>3.9100201564176362E-7</c:v>
                </c:pt>
                <c:pt idx="49">
                  <c:v>8.1824565132839731E-8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DB-43B1-94F2-040BC2EB1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124978880"/>
      </c:lineChart>
      <c:catAx>
        <c:axId val="12493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880"/>
        <c:crosses val="autoZero"/>
        <c:auto val="1"/>
        <c:lblAlgn val="ctr"/>
        <c:lblOffset val="100"/>
        <c:tickLblSkip val="2"/>
        <c:noMultiLvlLbl val="0"/>
      </c:catAx>
      <c:valAx>
        <c:axId val="12497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Arrival_Time!$D$65:$D$115</c:f>
              <c:numCache>
                <c:formatCode>0.00%</c:formatCode>
                <c:ptCount val="51"/>
                <c:pt idx="0">
                  <c:v>0</c:v>
                </c:pt>
                <c:pt idx="1">
                  <c:v>4.9632091797558603E-4</c:v>
                </c:pt>
                <c:pt idx="2">
                  <c:v>1.0136301056900832E-3</c:v>
                </c:pt>
                <c:pt idx="3">
                  <c:v>1.5956847674652389E-3</c:v>
                </c:pt>
                <c:pt idx="4">
                  <c:v>2.3384615410733723E-3</c:v>
                </c:pt>
                <c:pt idx="5">
                  <c:v>3.4182538726211993E-3</c:v>
                </c:pt>
                <c:pt idx="6">
                  <c:v>5.0936656455705829E-3</c:v>
                </c:pt>
                <c:pt idx="7">
                  <c:v>7.6523340031911394E-3</c:v>
                </c:pt>
                <c:pt idx="8">
                  <c:v>1.1289816863160636E-2</c:v>
                </c:pt>
                <c:pt idx="9">
                  <c:v>1.5950758998123725E-2</c:v>
                </c:pt>
                <c:pt idx="10">
                  <c:v>2.1221270234038612E-2</c:v>
                </c:pt>
                <c:pt idx="11">
                  <c:v>2.6385145685425326E-2</c:v>
                </c:pt>
                <c:pt idx="12">
                  <c:v>3.0676824877628656E-2</c:v>
                </c:pt>
                <c:pt idx="13">
                  <c:v>3.3600484587411265E-2</c:v>
                </c:pt>
                <c:pt idx="14">
                  <c:v>3.509335969809043E-2</c:v>
                </c:pt>
                <c:pt idx="15">
                  <c:v>3.5428463865244064E-2</c:v>
                </c:pt>
                <c:pt idx="16">
                  <c:v>3.4984095367325142E-2</c:v>
                </c:pt>
                <c:pt idx="17">
                  <c:v>3.4098528397034956E-2</c:v>
                </c:pt>
                <c:pt idx="18">
                  <c:v>3.3080510195621061E-2</c:v>
                </c:pt>
                <c:pt idx="19">
                  <c:v>3.2255226369723021E-2</c:v>
                </c:pt>
                <c:pt idx="20">
                  <c:v>3.1916211121546793E-2</c:v>
                </c:pt>
                <c:pt idx="21">
                  <c:v>3.2198754673380306E-2</c:v>
                </c:pt>
                <c:pt idx="22">
                  <c:v>3.2995932780875419E-2</c:v>
                </c:pt>
                <c:pt idx="23">
                  <c:v>3.4011235910510515E-2</c:v>
                </c:pt>
                <c:pt idx="24">
                  <c:v>3.4943707453813352E-2</c:v>
                </c:pt>
                <c:pt idx="25">
                  <c:v>3.5708599664499713E-2</c:v>
                </c:pt>
                <c:pt idx="26">
                  <c:v>3.6541305342620505E-2</c:v>
                </c:pt>
                <c:pt idx="27">
                  <c:v>3.785870087056404E-2</c:v>
                </c:pt>
                <c:pt idx="28">
                  <c:v>3.9898193252977991E-2</c:v>
                </c:pt>
                <c:pt idx="29">
                  <c:v>4.2353031955431587E-2</c:v>
                </c:pt>
                <c:pt idx="30">
                  <c:v>4.4300521355600322E-2</c:v>
                </c:pt>
                <c:pt idx="31">
                  <c:v>4.4559366642904698E-2</c:v>
                </c:pt>
                <c:pt idx="32">
                  <c:v>4.2297998105757309E-2</c:v>
                </c:pt>
                <c:pt idx="33">
                  <c:v>3.7499690527068544E-2</c:v>
                </c:pt>
                <c:pt idx="34">
                  <c:v>3.0975674315033144E-2</c:v>
                </c:pt>
                <c:pt idx="35">
                  <c:v>2.3946865839004818E-2</c:v>
                </c:pt>
                <c:pt idx="36">
                  <c:v>1.7502759968643627E-2</c:v>
                </c:pt>
                <c:pt idx="37">
                  <c:v>1.2261804471083585E-2</c:v>
                </c:pt>
                <c:pt idx="38">
                  <c:v>8.3454297139499631E-3</c:v>
                </c:pt>
                <c:pt idx="39">
                  <c:v>5.5611433804943072E-3</c:v>
                </c:pt>
                <c:pt idx="40">
                  <c:v>3.6200811561032213E-3</c:v>
                </c:pt>
                <c:pt idx="41">
                  <c:v>2.2743241508299938E-3</c:v>
                </c:pt>
                <c:pt idx="42">
                  <c:v>1.3547479810358681E-3</c:v>
                </c:pt>
                <c:pt idx="43">
                  <c:v>7.5063202184386492E-4</c:v>
                </c:pt>
                <c:pt idx="44">
                  <c:v>3.7959097550169159E-4</c:v>
                </c:pt>
                <c:pt idx="45">
                  <c:v>1.7179590321044511E-4</c:v>
                </c:pt>
                <c:pt idx="46">
                  <c:v>6.8095392286134435E-5</c:v>
                </c:pt>
                <c:pt idx="47">
                  <c:v>2.3060294885145625E-5</c:v>
                </c:pt>
                <c:pt idx="48">
                  <c:v>6.4795111484279403E-6</c:v>
                </c:pt>
                <c:pt idx="49">
                  <c:v>1.4292749804434238E-6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77-49B9-9209-4A69A586172C}"/>
            </c:ext>
          </c:extLst>
        </c:ser>
        <c:ser>
          <c:idx val="1"/>
          <c:order val="1"/>
          <c:tx>
            <c:strRef>
              <c:f>Arrival_Time!$K$64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Arrival_Time!$K$65:$K$115</c:f>
              <c:numCache>
                <c:formatCode>0.00%</c:formatCode>
                <c:ptCount val="51"/>
                <c:pt idx="0">
                  <c:v>2.3862899813472736E-3</c:v>
                </c:pt>
                <c:pt idx="1">
                  <c:v>2.6373883552463845E-3</c:v>
                </c:pt>
                <c:pt idx="2">
                  <c:v>2.8084858780418236E-3</c:v>
                </c:pt>
                <c:pt idx="3">
                  <c:v>2.9596827867713394E-3</c:v>
                </c:pt>
                <c:pt idx="4">
                  <c:v>3.3227632175178972E-3</c:v>
                </c:pt>
                <c:pt idx="5">
                  <c:v>4.211587669477419E-3</c:v>
                </c:pt>
                <c:pt idx="6">
                  <c:v>5.8883893183254536E-3</c:v>
                </c:pt>
                <c:pt idx="7">
                  <c:v>8.4710631001581084E-3</c:v>
                </c:pt>
                <c:pt idx="8">
                  <c:v>1.1912409955898928E-2</c:v>
                </c:pt>
                <c:pt idx="9">
                  <c:v>1.602706615275613E-2</c:v>
                </c:pt>
                <c:pt idx="10">
                  <c:v>2.0523300647319758E-2</c:v>
                </c:pt>
                <c:pt idx="11">
                  <c:v>2.5019421498561272E-2</c:v>
                </c:pt>
                <c:pt idx="12">
                  <c:v>2.9065963941839537E-2</c:v>
                </c:pt>
                <c:pt idx="13">
                  <c:v>3.2214203768581764E-2</c:v>
                </c:pt>
                <c:pt idx="14">
                  <c:v>3.414067480281284E-2</c:v>
                </c:pt>
                <c:pt idx="15">
                  <c:v>3.477692030320137E-2</c:v>
                </c:pt>
                <c:pt idx="16">
                  <c:v>3.43617424577762E-2</c:v>
                </c:pt>
                <c:pt idx="17">
                  <c:v>3.3366202999666639E-2</c:v>
                </c:pt>
                <c:pt idx="18">
                  <c:v>3.231632884356142E-2</c:v>
                </c:pt>
                <c:pt idx="19">
                  <c:v>3.1599581023428441E-2</c:v>
                </c:pt>
                <c:pt idx="20">
                  <c:v>3.1352077658857586E-2</c:v>
                </c:pt>
                <c:pt idx="21">
                  <c:v>3.1481530963138465E-2</c:v>
                </c:pt>
                <c:pt idx="22">
                  <c:v>3.1805450406906396E-2</c:v>
                </c:pt>
                <c:pt idx="23">
                  <c:v>3.2213337611881145E-2</c:v>
                </c:pt>
                <c:pt idx="24">
                  <c:v>3.2743919675412347E-2</c:v>
                </c:pt>
                <c:pt idx="25">
                  <c:v>3.3529309723142581E-2</c:v>
                </c:pt>
                <c:pt idx="26">
                  <c:v>3.4660761522306224E-2</c:v>
                </c:pt>
                <c:pt idx="27">
                  <c:v>3.6085421157847047E-2</c:v>
                </c:pt>
                <c:pt idx="28">
                  <c:v>3.7592602300198286E-2</c:v>
                </c:pt>
                <c:pt idx="29">
                  <c:v>3.8855400686453725E-2</c:v>
                </c:pt>
                <c:pt idx="30">
                  <c:v>3.9482359057608538E-2</c:v>
                </c:pt>
                <c:pt idx="31">
                  <c:v>3.9101941705888939E-2</c:v>
                </c:pt>
                <c:pt idx="32">
                  <c:v>3.7504765980665093E-2</c:v>
                </c:pt>
                <c:pt idx="33">
                  <c:v>3.4760659786272408E-2</c:v>
                </c:pt>
                <c:pt idx="34">
                  <c:v>3.1180225999929621E-2</c:v>
                </c:pt>
                <c:pt idx="35">
                  <c:v>2.7127079103940927E-2</c:v>
                </c:pt>
                <c:pt idx="36">
                  <c:v>2.2853520231678585E-2</c:v>
                </c:pt>
                <c:pt idx="37">
                  <c:v>1.8503853761282951E-2</c:v>
                </c:pt>
                <c:pt idx="38">
                  <c:v>1.4236826723295187E-2</c:v>
                </c:pt>
                <c:pt idx="39">
                  <c:v>1.0299348882527763E-2</c:v>
                </c:pt>
                <c:pt idx="40">
                  <c:v>6.9630297470782447E-3</c:v>
                </c:pt>
                <c:pt idx="41">
                  <c:v>4.3953780777956199E-3</c:v>
                </c:pt>
                <c:pt idx="42">
                  <c:v>2.5938832697945191E-3</c:v>
                </c:pt>
                <c:pt idx="43">
                  <c:v>1.4271036325263454E-3</c:v>
                </c:pt>
                <c:pt idx="44">
                  <c:v>7.2285695429466902E-4</c:v>
                </c:pt>
                <c:pt idx="45">
                  <c:v>3.292457872148547E-4</c:v>
                </c:pt>
                <c:pt idx="46">
                  <c:v>1.307203114120058E-4</c:v>
                </c:pt>
                <c:pt idx="47">
                  <c:v>4.3679302630350365E-5</c:v>
                </c:pt>
                <c:pt idx="48">
                  <c:v>1.1812514677252644E-5</c:v>
                </c:pt>
                <c:pt idx="49">
                  <c:v>2.4307610518501203E-6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77-49B9-9209-4A69A5861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124981184"/>
      </c:lineChart>
      <c:catAx>
        <c:axId val="124939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1184"/>
        <c:crosses val="autoZero"/>
        <c:auto val="1"/>
        <c:lblAlgn val="ctr"/>
        <c:lblOffset val="100"/>
        <c:tickLblSkip val="2"/>
        <c:noMultiLvlLbl val="0"/>
      </c:catAx>
      <c:valAx>
        <c:axId val="124981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2.2885601384026896E-5</c:v>
                </c:pt>
                <c:pt idx="2">
                  <c:v>6.5012100300001615E-5</c:v>
                </c:pt>
                <c:pt idx="3">
                  <c:v>1.5404043846159256E-4</c:v>
                </c:pt>
                <c:pt idx="4">
                  <c:v>3.3485065256408202E-4</c:v>
                </c:pt>
                <c:pt idx="5">
                  <c:v>6.7896380291742687E-4</c:v>
                </c:pt>
                <c:pt idx="6">
                  <c:v>1.2975214723035143E-3</c:v>
                </c:pt>
                <c:pt idx="7">
                  <c:v>2.3581061360103276E-3</c:v>
                </c:pt>
                <c:pt idx="8">
                  <c:v>4.0853198651336882E-3</c:v>
                </c:pt>
                <c:pt idx="9">
                  <c:v>6.7082311605791145E-3</c:v>
                </c:pt>
                <c:pt idx="10">
                  <c:v>1.0359653000613745E-2</c:v>
                </c:pt>
                <c:pt idx="11">
                  <c:v>1.5034913786263189E-2</c:v>
                </c:pt>
                <c:pt idx="12">
                  <c:v>2.0763273476804865E-2</c:v>
                </c:pt>
                <c:pt idx="13">
                  <c:v>2.7985169001203493E-2</c:v>
                </c:pt>
                <c:pt idx="14">
                  <c:v>3.7784573608329639E-2</c:v>
                </c:pt>
                <c:pt idx="15">
                  <c:v>5.1417488918587488E-2</c:v>
                </c:pt>
                <c:pt idx="16">
                  <c:v>6.8963827627709764E-2</c:v>
                </c:pt>
                <c:pt idx="17">
                  <c:v>8.7926954158300444E-2</c:v>
                </c:pt>
                <c:pt idx="18">
                  <c:v>0.10328647730811344</c:v>
                </c:pt>
                <c:pt idx="19">
                  <c:v>0.10970833773173901</c:v>
                </c:pt>
                <c:pt idx="20">
                  <c:v>0.10463361924046689</c:v>
                </c:pt>
                <c:pt idx="21">
                  <c:v>8.9851567271342039E-2</c:v>
                </c:pt>
                <c:pt idx="22">
                  <c:v>7.0341708700433478E-2</c:v>
                </c:pt>
                <c:pt idx="23">
                  <c:v>5.1454164585525736E-2</c:v>
                </c:pt>
                <c:pt idx="24">
                  <c:v>3.6539288804991597E-2</c:v>
                </c:pt>
                <c:pt idx="25">
                  <c:v>2.6284802446829507E-2</c:v>
                </c:pt>
                <c:pt idx="26">
                  <c:v>1.9563418949690419E-2</c:v>
                </c:pt>
                <c:pt idx="27">
                  <c:v>1.4802583511260575E-2</c:v>
                </c:pt>
                <c:pt idx="28">
                  <c:v>1.0957549566918644E-2</c:v>
                </c:pt>
                <c:pt idx="29">
                  <c:v>7.7221819487413839E-3</c:v>
                </c:pt>
                <c:pt idx="30">
                  <c:v>5.1990722162398046E-3</c:v>
                </c:pt>
                <c:pt idx="31">
                  <c:v>3.4922871576567511E-3</c:v>
                </c:pt>
                <c:pt idx="32">
                  <c:v>2.514955799637974E-3</c:v>
                </c:pt>
                <c:pt idx="33">
                  <c:v>2.0176308502265752E-3</c:v>
                </c:pt>
                <c:pt idx="34">
                  <c:v>1.71656725695348E-3</c:v>
                </c:pt>
                <c:pt idx="35">
                  <c:v>1.416811335982035E-3</c:v>
                </c:pt>
                <c:pt idx="36">
                  <c:v>1.0640921490863322E-3</c:v>
                </c:pt>
                <c:pt idx="37">
                  <c:v>7.0676342134839542E-4</c:v>
                </c:pt>
                <c:pt idx="38">
                  <c:v>4.1302241795738201E-4</c:v>
                </c:pt>
                <c:pt idx="39">
                  <c:v>2.1374203806420663E-4</c:v>
                </c:pt>
                <c:pt idx="40">
                  <c:v>9.861164263123987E-5</c:v>
                </c:pt>
                <c:pt idx="41">
                  <c:v>4.0348979365345333E-5</c:v>
                </c:pt>
                <c:pt idx="42">
                  <c:v>1.4284310779543068E-5</c:v>
                </c:pt>
                <c:pt idx="43">
                  <c:v>4.1893011226627087E-6</c:v>
                </c:pt>
                <c:pt idx="44">
                  <c:v>9.5987828806703728E-7</c:v>
                </c:pt>
                <c:pt idx="45">
                  <c:v>1.5881761522410622E-7</c:v>
                </c:pt>
                <c:pt idx="46">
                  <c:v>1.6717643707800659E-8</c:v>
                </c:pt>
                <c:pt idx="47">
                  <c:v>8.3588218539003285E-10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D-4D64-B3BB-08F13F363029}"/>
            </c:ext>
          </c:extLst>
        </c:ser>
        <c:ser>
          <c:idx val="1"/>
          <c:order val="1"/>
          <c:tx>
            <c:strRef>
              <c:f>Arrival_Time!$L$64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Arrival_Time!$L$65:$L$115</c:f>
              <c:numCache>
                <c:formatCode>0.00%</c:formatCode>
                <c:ptCount val="51"/>
                <c:pt idx="0">
                  <c:v>4.9903257867952504E-4</c:v>
                </c:pt>
                <c:pt idx="1">
                  <c:v>8.4607118221151768E-4</c:v>
                </c:pt>
                <c:pt idx="2">
                  <c:v>1.0892428737409678E-3</c:v>
                </c:pt>
                <c:pt idx="3">
                  <c:v>1.2362835832143777E-3</c:v>
                </c:pt>
                <c:pt idx="4">
                  <c:v>1.4120946596339842E-3</c:v>
                </c:pt>
                <c:pt idx="5">
                  <c:v>1.7812215544483923E-3</c:v>
                </c:pt>
                <c:pt idx="6">
                  <c:v>2.4949726434540889E-3</c:v>
                </c:pt>
                <c:pt idx="7">
                  <c:v>3.7123022277272691E-3</c:v>
                </c:pt>
                <c:pt idx="8">
                  <c:v>5.6390344681854125E-3</c:v>
                </c:pt>
                <c:pt idx="9">
                  <c:v>8.5231699688558971E-3</c:v>
                </c:pt>
                <c:pt idx="10">
                  <c:v>1.2631235206601883E-2</c:v>
                </c:pt>
                <c:pt idx="11">
                  <c:v>1.8261880180699897E-2</c:v>
                </c:pt>
                <c:pt idx="12">
                  <c:v>2.5743597793048415E-2</c:v>
                </c:pt>
                <c:pt idx="13">
                  <c:v>3.5271666932157407E-2</c:v>
                </c:pt>
                <c:pt idx="14">
                  <c:v>4.6579477041453078E-2</c:v>
                </c:pt>
                <c:pt idx="15">
                  <c:v>5.8691214273445105E-2</c:v>
                </c:pt>
                <c:pt idx="16">
                  <c:v>6.9998595049092435E-2</c:v>
                </c:pt>
                <c:pt idx="17">
                  <c:v>7.8624046757497484E-2</c:v>
                </c:pt>
                <c:pt idx="18">
                  <c:v>8.2892503258048977E-2</c:v>
                </c:pt>
                <c:pt idx="19">
                  <c:v>8.1857250420423702E-2</c:v>
                </c:pt>
                <c:pt idx="20">
                  <c:v>7.5795944016679981E-2</c:v>
                </c:pt>
                <c:pt idx="21">
                  <c:v>6.6302782941364269E-2</c:v>
                </c:pt>
                <c:pt idx="22">
                  <c:v>5.5646178276475118E-2</c:v>
                </c:pt>
                <c:pt idx="23">
                  <c:v>4.5710338741541942E-2</c:v>
                </c:pt>
                <c:pt idx="24">
                  <c:v>3.7336810878066035E-2</c:v>
                </c:pt>
                <c:pt idx="25">
                  <c:v>3.0496290761364297E-2</c:v>
                </c:pt>
                <c:pt idx="26">
                  <c:v>2.490397559926941E-2</c:v>
                </c:pt>
                <c:pt idx="27">
                  <c:v>2.0420253662237462E-2</c:v>
                </c:pt>
                <c:pt idx="28">
                  <c:v>1.7010889395185216E-2</c:v>
                </c:pt>
                <c:pt idx="29">
                  <c:v>1.452436574636912E-2</c:v>
                </c:pt>
                <c:pt idx="30">
                  <c:v>1.2612029467322788E-2</c:v>
                </c:pt>
                <c:pt idx="31">
                  <c:v>1.0882190483702724E-2</c:v>
                </c:pt>
                <c:pt idx="32">
                  <c:v>9.1415465013038148E-3</c:v>
                </c:pt>
                <c:pt idx="33">
                  <c:v>7.4997740572809004E-3</c:v>
                </c:pt>
                <c:pt idx="34">
                  <c:v>6.2265203167413711E-3</c:v>
                </c:pt>
                <c:pt idx="35">
                  <c:v>5.4708677729608506E-3</c:v>
                </c:pt>
                <c:pt idx="36">
                  <c:v>5.0896320547912681E-3</c:v>
                </c:pt>
                <c:pt idx="37">
                  <c:v>4.7373905690707499E-3</c:v>
                </c:pt>
                <c:pt idx="38">
                  <c:v>4.1278622631065907E-3</c:v>
                </c:pt>
                <c:pt idx="39">
                  <c:v>3.2268318024684323E-3</c:v>
                </c:pt>
                <c:pt idx="40">
                  <c:v>2.2253516286112E-3</c:v>
                </c:pt>
                <c:pt idx="41">
                  <c:v>1.3583431507031879E-3</c:v>
                </c:pt>
                <c:pt idx="42">
                  <c:v>7.491313537006007E-4</c:v>
                </c:pt>
                <c:pt idx="43">
                  <c:v>3.8553003876990767E-4</c:v>
                </c:pt>
                <c:pt idx="44">
                  <c:v>1.8975471355488772E-4</c:v>
                </c:pt>
                <c:pt idx="45">
                  <c:v>8.8554549721546678E-5</c:v>
                </c:pt>
                <c:pt idx="46">
                  <c:v>3.7491922595205627E-5</c:v>
                </c:pt>
                <c:pt idx="47">
                  <c:v>1.3594638433769398E-5</c:v>
                </c:pt>
                <c:pt idx="48">
                  <c:v>3.9943750237826635E-6</c:v>
                </c:pt>
                <c:pt idx="49">
                  <c:v>8.8566896359181907E-7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D-4D64-B3BB-08F13F363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0880"/>
        <c:axId val="124984064"/>
      </c:lineChart>
      <c:catAx>
        <c:axId val="151610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4064"/>
        <c:crosses val="autoZero"/>
        <c:auto val="1"/>
        <c:lblAlgn val="ctr"/>
        <c:lblOffset val="100"/>
        <c:tickLblSkip val="2"/>
        <c:noMultiLvlLbl val="0"/>
      </c:catAx>
      <c:valAx>
        <c:axId val="124984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516108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9.905172927462559E-6</c:v>
                </c:pt>
                <c:pt idx="2">
                  <c:v>2.040196880629291E-5</c:v>
                </c:pt>
                <c:pt idx="3">
                  <c:v>3.2741344849686347E-5</c:v>
                </c:pt>
                <c:pt idx="4">
                  <c:v>5.2280847409959865E-5</c:v>
                </c:pt>
                <c:pt idx="5">
                  <c:v>9.4098946216425897E-5</c:v>
                </c:pt>
                <c:pt idx="6">
                  <c:v>1.8597042786719654E-4</c:v>
                </c:pt>
                <c:pt idx="7">
                  <c:v>3.6339736463742768E-4</c:v>
                </c:pt>
                <c:pt idx="8">
                  <c:v>6.5767767840852734E-4</c:v>
                </c:pt>
                <c:pt idx="9">
                  <c:v>1.0870665187894327E-3</c:v>
                </c:pt>
                <c:pt idx="10">
                  <c:v>1.6615911121135999E-3</c:v>
                </c:pt>
                <c:pt idx="11">
                  <c:v>2.399205546278474E-3</c:v>
                </c:pt>
                <c:pt idx="12">
                  <c:v>3.339178101655539E-3</c:v>
                </c:pt>
                <c:pt idx="13">
                  <c:v>4.5443174776194778E-3</c:v>
                </c:pt>
                <c:pt idx="14">
                  <c:v>6.0946273601568055E-3</c:v>
                </c:pt>
                <c:pt idx="15">
                  <c:v>8.0666858675323798E-3</c:v>
                </c:pt>
                <c:pt idx="16">
                  <c:v>1.0483586873218941E-2</c:v>
                </c:pt>
                <c:pt idx="17">
                  <c:v>1.32576671426078E-2</c:v>
                </c:pt>
                <c:pt idx="18">
                  <c:v>1.621123424425467E-2</c:v>
                </c:pt>
                <c:pt idx="19">
                  <c:v>1.9242247590060609E-2</c:v>
                </c:pt>
                <c:pt idx="20">
                  <c:v>2.2563246530001194E-2</c:v>
                </c:pt>
                <c:pt idx="21">
                  <c:v>2.6814127022614442E-2</c:v>
                </c:pt>
                <c:pt idx="22">
                  <c:v>3.2887515918036306E-2</c:v>
                </c:pt>
                <c:pt idx="23">
                  <c:v>4.1488636814716616E-2</c:v>
                </c:pt>
                <c:pt idx="24">
                  <c:v>5.262058683808548E-2</c:v>
                </c:pt>
                <c:pt idx="25">
                  <c:v>6.5233754050595075E-2</c:v>
                </c:pt>
                <c:pt idx="26">
                  <c:v>7.7226565141014059E-2</c:v>
                </c:pt>
                <c:pt idx="27">
                  <c:v>8.5897334572563808E-2</c:v>
                </c:pt>
                <c:pt idx="28">
                  <c:v>8.8814352459118964E-2</c:v>
                </c:pt>
                <c:pt idx="29">
                  <c:v>8.4833634583292711E-2</c:v>
                </c:pt>
                <c:pt idx="30">
                  <c:v>7.4738711037819594E-2</c:v>
                </c:pt>
                <c:pt idx="31">
                  <c:v>6.1014863637001031E-2</c:v>
                </c:pt>
                <c:pt idx="32">
                  <c:v>4.6776637149226204E-2</c:v>
                </c:pt>
                <c:pt idx="33">
                  <c:v>3.4488171851320595E-2</c:v>
                </c:pt>
                <c:pt idx="34">
                  <c:v>2.5247321850798247E-2</c:v>
                </c:pt>
                <c:pt idx="35">
                  <c:v>1.8913438160080787E-2</c:v>
                </c:pt>
                <c:pt idx="36">
                  <c:v>1.4743126579093187E-2</c:v>
                </c:pt>
                <c:pt idx="37">
                  <c:v>1.1985086427041353E-2</c:v>
                </c:pt>
                <c:pt idx="38">
                  <c:v>1.01190253702874E-2</c:v>
                </c:pt>
                <c:pt idx="39">
                  <c:v>8.7878313934912668E-3</c:v>
                </c:pt>
                <c:pt idx="40">
                  <c:v>7.670061181996389E-3</c:v>
                </c:pt>
                <c:pt idx="41">
                  <c:v>6.4817872740161684E-3</c:v>
                </c:pt>
                <c:pt idx="42">
                  <c:v>5.0917323366213079E-3</c:v>
                </c:pt>
                <c:pt idx="43">
                  <c:v>3.5915401477119055E-3</c:v>
                </c:pt>
                <c:pt idx="44">
                  <c:v>2.2156563161810487E-3</c:v>
                </c:pt>
                <c:pt idx="45">
                  <c:v>1.1710436152737127E-3</c:v>
                </c:pt>
                <c:pt idx="46">
                  <c:v>5.20544543661294E-4</c:v>
                </c:pt>
                <c:pt idx="47">
                  <c:v>1.9081215329675832E-4</c:v>
                </c:pt>
                <c:pt idx="48">
                  <c:v>5.6287361974993556E-5</c:v>
                </c:pt>
                <c:pt idx="49">
                  <c:v>1.2686097657345422E-5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878-A716-6161FC8A6E57}"/>
            </c:ext>
          </c:extLst>
        </c:ser>
        <c:ser>
          <c:idx val="1"/>
          <c:order val="1"/>
          <c:tx>
            <c:strRef>
              <c:f>Departure_Time!$I$64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Departure_Time!$I$65:$I$115</c:f>
              <c:numCache>
                <c:formatCode>0.00%</c:formatCode>
                <c:ptCount val="51"/>
                <c:pt idx="0">
                  <c:v>8.5992400073393854E-3</c:v>
                </c:pt>
                <c:pt idx="1">
                  <c:v>5.7374282546836762E-3</c:v>
                </c:pt>
                <c:pt idx="2">
                  <c:v>3.3542466006758441E-3</c:v>
                </c:pt>
                <c:pt idx="3">
                  <c:v>1.7131464723558545E-3</c:v>
                </c:pt>
                <c:pt idx="4">
                  <c:v>8.0250132241045311E-4</c:v>
                </c:pt>
                <c:pt idx="5">
                  <c:v>4.4086465615838073E-4</c:v>
                </c:pt>
                <c:pt idx="6">
                  <c:v>4.2851776614089948E-4</c:v>
                </c:pt>
                <c:pt idx="7">
                  <c:v>6.328119973202193E-4</c:v>
                </c:pt>
                <c:pt idx="8">
                  <c:v>9.9139973178851435E-4</c:v>
                </c:pt>
                <c:pt idx="9">
                  <c:v>1.4893719941241616E-3</c:v>
                </c:pt>
                <c:pt idx="10">
                  <c:v>2.1606107959767583E-3</c:v>
                </c:pt>
                <c:pt idx="11">
                  <c:v>3.1075654036692569E-3</c:v>
                </c:pt>
                <c:pt idx="12">
                  <c:v>4.486630451173106E-3</c:v>
                </c:pt>
                <c:pt idx="13">
                  <c:v>6.4209412695385689E-3</c:v>
                </c:pt>
                <c:pt idx="14">
                  <c:v>8.8822029579821091E-3</c:v>
                </c:pt>
                <c:pt idx="15">
                  <c:v>1.1650851881576989E-2</c:v>
                </c:pt>
                <c:pt idx="16">
                  <c:v>1.4422649422481821E-2</c:v>
                </c:pt>
                <c:pt idx="17">
                  <c:v>1.6995242007375417E-2</c:v>
                </c:pt>
                <c:pt idx="18">
                  <c:v>1.9386337875026593E-2</c:v>
                </c:pt>
                <c:pt idx="19">
                  <c:v>2.1811570794750611E-2</c:v>
                </c:pt>
                <c:pt idx="20">
                  <c:v>2.4599825279205071E-2</c:v>
                </c:pt>
                <c:pt idx="21">
                  <c:v>2.8161289959039795E-2</c:v>
                </c:pt>
                <c:pt idx="22">
                  <c:v>3.2995882132288774E-2</c:v>
                </c:pt>
                <c:pt idx="23">
                  <c:v>3.9597218983277983E-2</c:v>
                </c:pt>
                <c:pt idx="24">
                  <c:v>4.8155865528822984E-2</c:v>
                </c:pt>
                <c:pt idx="25">
                  <c:v>5.8172633885949933E-2</c:v>
                </c:pt>
                <c:pt idx="26">
                  <c:v>6.8249908153837496E-2</c:v>
                </c:pt>
                <c:pt idx="27">
                  <c:v>7.6289479319005232E-2</c:v>
                </c:pt>
                <c:pt idx="28">
                  <c:v>8.0128808661093592E-2</c:v>
                </c:pt>
                <c:pt idx="29">
                  <c:v>7.8401878744857406E-2</c:v>
                </c:pt>
                <c:pt idx="30">
                  <c:v>7.1209897858113269E-2</c:v>
                </c:pt>
                <c:pt idx="31">
                  <c:v>6.0177456854221621E-2</c:v>
                </c:pt>
                <c:pt idx="32">
                  <c:v>4.7778948791033199E-2</c:v>
                </c:pt>
                <c:pt idx="33">
                  <c:v>3.6303745099677855E-2</c:v>
                </c:pt>
                <c:pt idx="34">
                  <c:v>2.7079058680556899E-2</c:v>
                </c:pt>
                <c:pt idx="35">
                  <c:v>2.0339071283576576E-2</c:v>
                </c:pt>
                <c:pt idx="36">
                  <c:v>1.5633501135533322E-2</c:v>
                </c:pt>
                <c:pt idx="37">
                  <c:v>1.2351344149144945E-2</c:v>
                </c:pt>
                <c:pt idx="38">
                  <c:v>1.0010607963910765E-2</c:v>
                </c:pt>
                <c:pt idx="39">
                  <c:v>8.270750583097829E-3</c:v>
                </c:pt>
                <c:pt idx="40">
                  <c:v>6.8505964154484452E-3</c:v>
                </c:pt>
                <c:pt idx="41">
                  <c:v>5.5202446514962334E-3</c:v>
                </c:pt>
                <c:pt idx="42">
                  <c:v>4.1710875746196032E-3</c:v>
                </c:pt>
                <c:pt idx="43">
                  <c:v>2.8546821888696065E-3</c:v>
                </c:pt>
                <c:pt idx="44">
                  <c:v>1.7194815261953708E-3</c:v>
                </c:pt>
                <c:pt idx="45">
                  <c:v>8.8990688515245241E-4</c:v>
                </c:pt>
                <c:pt idx="46">
                  <c:v>3.8700882413115388E-4</c:v>
                </c:pt>
                <c:pt idx="47">
                  <c:v>1.3807320471941753E-4</c:v>
                </c:pt>
                <c:pt idx="48">
                  <c:v>3.9225677143293658E-5</c:v>
                </c:pt>
                <c:pt idx="49">
                  <c:v>8.388343430963555E-6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878-A716-6161FC8A6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8080"/>
        <c:axId val="58171968"/>
      </c:lineChart>
      <c:catAx>
        <c:axId val="84078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1968"/>
        <c:crosses val="autoZero"/>
        <c:auto val="1"/>
        <c:lblAlgn val="ctr"/>
        <c:lblOffset val="100"/>
        <c:tickLblSkip val="2"/>
        <c:noMultiLvlLbl val="0"/>
      </c:catAx>
      <c:valAx>
        <c:axId val="58171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84078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4.8196847989353877E-6</c:v>
                </c:pt>
                <c:pt idx="2">
                  <c:v>8.1786272307976558E-6</c:v>
                </c:pt>
                <c:pt idx="3">
                  <c:v>9.4089356294674794E-6</c:v>
                </c:pt>
                <c:pt idx="4">
                  <c:v>9.0340153800601882E-6</c:v>
                </c:pt>
                <c:pt idx="5">
                  <c:v>9.5030557214067879E-6</c:v>
                </c:pt>
                <c:pt idx="6">
                  <c:v>1.8597526817135721E-5</c:v>
                </c:pt>
                <c:pt idx="7">
                  <c:v>5.8895091202790076E-5</c:v>
                </c:pt>
                <c:pt idx="8">
                  <c:v>1.844216722198219E-4</c:v>
                </c:pt>
                <c:pt idx="9">
                  <c:v>4.9620970211575167E-4</c:v>
                </c:pt>
                <c:pt idx="10">
                  <c:v>1.1359383136926244E-3</c:v>
                </c:pt>
                <c:pt idx="11">
                  <c:v>2.2410334626615461E-3</c:v>
                </c:pt>
                <c:pt idx="12">
                  <c:v>3.8804290790388934E-3</c:v>
                </c:pt>
                <c:pt idx="13">
                  <c:v>6.0256592135197237E-3</c:v>
                </c:pt>
                <c:pt idx="14">
                  <c:v>8.5854763429176785E-3</c:v>
                </c:pt>
                <c:pt idx="15">
                  <c:v>1.1458529794922345E-2</c:v>
                </c:pt>
                <c:pt idx="16">
                  <c:v>1.4561681128205347E-2</c:v>
                </c:pt>
                <c:pt idx="17">
                  <c:v>1.791938496170865E-2</c:v>
                </c:pt>
                <c:pt idx="18">
                  <c:v>2.1951850980420153E-2</c:v>
                </c:pt>
                <c:pt idx="19">
                  <c:v>2.7838474874573707E-2</c:v>
                </c:pt>
                <c:pt idx="20">
                  <c:v>3.7421381183240149E-2</c:v>
                </c:pt>
                <c:pt idx="21">
                  <c:v>5.2136367503666022E-2</c:v>
                </c:pt>
                <c:pt idx="22">
                  <c:v>7.1271982847369922E-2</c:v>
                </c:pt>
                <c:pt idx="23">
                  <c:v>9.0911295008627366E-2</c:v>
                </c:pt>
                <c:pt idx="24">
                  <c:v>0.10498279092209022</c:v>
                </c:pt>
                <c:pt idx="25">
                  <c:v>0.10833832516615886</c:v>
                </c:pt>
                <c:pt idx="26">
                  <c:v>9.9805234135137838E-2</c:v>
                </c:pt>
                <c:pt idx="27">
                  <c:v>8.2801152436830894E-2</c:v>
                </c:pt>
                <c:pt idx="28">
                  <c:v>6.3050909924752416E-2</c:v>
                </c:pt>
                <c:pt idx="29">
                  <c:v>4.5367050207574006E-2</c:v>
                </c:pt>
                <c:pt idx="30">
                  <c:v>3.1899069112900746E-2</c:v>
                </c:pt>
                <c:pt idx="31">
                  <c:v>2.2518577424137584E-2</c:v>
                </c:pt>
                <c:pt idx="32">
                  <c:v>1.6186279955560417E-2</c:v>
                </c:pt>
                <c:pt idx="33">
                  <c:v>1.1937067838468842E-2</c:v>
                </c:pt>
                <c:pt idx="34">
                  <c:v>9.1035760904303546E-3</c:v>
                </c:pt>
                <c:pt idx="35">
                  <c:v>7.1837374266469391E-3</c:v>
                </c:pt>
                <c:pt idx="36">
                  <c:v>5.7697255277693871E-3</c:v>
                </c:pt>
                <c:pt idx="37">
                  <c:v>4.6073372139175508E-3</c:v>
                </c:pt>
                <c:pt idx="38">
                  <c:v>3.6435099242046734E-3</c:v>
                </c:pt>
                <c:pt idx="39">
                  <c:v>2.9513137793464087E-3</c:v>
                </c:pt>
                <c:pt idx="40">
                  <c:v>2.5674226567352935E-3</c:v>
                </c:pt>
                <c:pt idx="41">
                  <c:v>2.382341370145616E-3</c:v>
                </c:pt>
                <c:pt idx="42">
                  <c:v>2.1875242772094483E-3</c:v>
                </c:pt>
                <c:pt idx="43">
                  <c:v>1.8310553453909286E-3</c:v>
                </c:pt>
                <c:pt idx="44">
                  <c:v>1.3243054288562728E-3</c:v>
                </c:pt>
                <c:pt idx="45">
                  <c:v>8.0259462304169897E-4</c:v>
                </c:pt>
                <c:pt idx="46">
                  <c:v>3.9915457642318445E-4</c:v>
                </c:pt>
                <c:pt idx="47">
                  <c:v>1.5965955659270762E-4</c:v>
                </c:pt>
                <c:pt idx="48">
                  <c:v>5.007164186604293E-5</c:v>
                </c:pt>
                <c:pt idx="49">
                  <c:v>1.1660432131304737E-5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4F-4AA9-881B-4DA7E85915E4}"/>
            </c:ext>
          </c:extLst>
        </c:ser>
        <c:ser>
          <c:idx val="1"/>
          <c:order val="1"/>
          <c:tx>
            <c:strRef>
              <c:f>Departure_Time!$J$64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Departure_Time!$J$65:$J$115</c:f>
              <c:numCache>
                <c:formatCode>0.00%</c:formatCode>
                <c:ptCount val="51"/>
                <c:pt idx="0">
                  <c:v>4.4827401995578247E-5</c:v>
                </c:pt>
                <c:pt idx="1">
                  <c:v>8.2127656045318786E-5</c:v>
                </c:pt>
                <c:pt idx="2">
                  <c:v>1.004321884710185E-4</c:v>
                </c:pt>
                <c:pt idx="3">
                  <c:v>1.010576223684935E-4</c:v>
                </c:pt>
                <c:pt idx="4">
                  <c:v>1.1359147491651688E-4</c:v>
                </c:pt>
                <c:pt idx="5">
                  <c:v>1.9234495968309403E-4</c:v>
                </c:pt>
                <c:pt idx="6">
                  <c:v>4.0833777695446056E-4</c:v>
                </c:pt>
                <c:pt idx="7">
                  <c:v>8.3792554503379923E-4</c:v>
                </c:pt>
                <c:pt idx="8">
                  <c:v>1.5504169434318058E-3</c:v>
                </c:pt>
                <c:pt idx="9">
                  <c:v>2.6134280413264354E-3</c:v>
                </c:pt>
                <c:pt idx="10">
                  <c:v>4.1367261023797603E-3</c:v>
                </c:pt>
                <c:pt idx="11">
                  <c:v>6.3288618511992993E-3</c:v>
                </c:pt>
                <c:pt idx="12">
                  <c:v>9.4763702645045082E-3</c:v>
                </c:pt>
                <c:pt idx="13">
                  <c:v>1.3774461507414973E-2</c:v>
                </c:pt>
                <c:pt idx="14">
                  <c:v>1.9088254582383998E-2</c:v>
                </c:pt>
                <c:pt idx="15">
                  <c:v>2.4866667836057E-2</c:v>
                </c:pt>
                <c:pt idx="16">
                  <c:v>3.0356727775814128E-2</c:v>
                </c:pt>
                <c:pt idx="17">
                  <c:v>3.4993409402816408E-2</c:v>
                </c:pt>
                <c:pt idx="18">
                  <c:v>3.866598755440049E-2</c:v>
                </c:pt>
                <c:pt idx="19">
                  <c:v>4.1693039889731262E-2</c:v>
                </c:pt>
                <c:pt idx="20">
                  <c:v>4.4602890816425926E-2</c:v>
                </c:pt>
                <c:pt idx="21">
                  <c:v>4.7893454979992665E-2</c:v>
                </c:pt>
                <c:pt idx="22">
                  <c:v>5.1803686063615101E-2</c:v>
                </c:pt>
                <c:pt idx="23">
                  <c:v>5.6061635235693602E-2</c:v>
                </c:pt>
                <c:pt idx="24">
                  <c:v>5.9753659865265249E-2</c:v>
                </c:pt>
                <c:pt idx="25">
                  <c:v>6.1601974159517903E-2</c:v>
                </c:pt>
                <c:pt idx="26">
                  <c:v>6.0657897283163453E-2</c:v>
                </c:pt>
                <c:pt idx="27">
                  <c:v>5.6910141365802323E-2</c:v>
                </c:pt>
                <c:pt idx="28">
                  <c:v>5.1256124754646595E-2</c:v>
                </c:pt>
                <c:pt idx="29">
                  <c:v>4.4885119632951782E-2</c:v>
                </c:pt>
                <c:pt idx="30">
                  <c:v>3.8671950442644903E-2</c:v>
                </c:pt>
                <c:pt idx="31">
                  <c:v>3.3026498809790396E-2</c:v>
                </c:pt>
                <c:pt idx="32">
                  <c:v>2.808305905910035E-2</c:v>
                </c:pt>
                <c:pt idx="33">
                  <c:v>2.3873228365213571E-2</c:v>
                </c:pt>
                <c:pt idx="34">
                  <c:v>2.0352525588705209E-2</c:v>
                </c:pt>
                <c:pt idx="35">
                  <c:v>1.7399415565096745E-2</c:v>
                </c:pt>
                <c:pt idx="36">
                  <c:v>1.4879461591399063E-2</c:v>
                </c:pt>
                <c:pt idx="37">
                  <c:v>1.2715879686759322E-2</c:v>
                </c:pt>
                <c:pt idx="38">
                  <c:v>1.0877084382955503E-2</c:v>
                </c:pt>
                <c:pt idx="39">
                  <c:v>9.298732512055978E-3</c:v>
                </c:pt>
                <c:pt idx="40">
                  <c:v>7.843907353652051E-3</c:v>
                </c:pt>
                <c:pt idx="41">
                  <c:v>6.3645286914699875E-3</c:v>
                </c:pt>
                <c:pt idx="42">
                  <c:v>4.8124277580489563E-3</c:v>
                </c:pt>
                <c:pt idx="43">
                  <c:v>3.2888419007506809E-3</c:v>
                </c:pt>
                <c:pt idx="44">
                  <c:v>1.9782901090701298E-3</c:v>
                </c:pt>
                <c:pt idx="45">
                  <c:v>1.0233692183271692E-3</c:v>
                </c:pt>
                <c:pt idx="46">
                  <c:v>4.4525242222910935E-4</c:v>
                </c:pt>
                <c:pt idx="47">
                  <c:v>1.5903018814580113E-4</c:v>
                </c:pt>
                <c:pt idx="48">
                  <c:v>4.5245544544955512E-5</c:v>
                </c:pt>
                <c:pt idx="49">
                  <c:v>9.6902760372906073E-6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4F-4AA9-881B-4DA7E8591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7024"/>
        <c:axId val="58174272"/>
      </c:lineChart>
      <c:catAx>
        <c:axId val="154817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4272"/>
        <c:crosses val="autoZero"/>
        <c:auto val="1"/>
        <c:lblAlgn val="ctr"/>
        <c:lblOffset val="100"/>
        <c:tickLblSkip val="2"/>
        <c:noMultiLvlLbl val="0"/>
      </c:catAx>
      <c:valAx>
        <c:axId val="58174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548170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Departure_Time!$D$65:$D$115</c:f>
              <c:numCache>
                <c:formatCode>0.00%</c:formatCode>
                <c:ptCount val="51"/>
                <c:pt idx="0">
                  <c:v>0</c:v>
                </c:pt>
                <c:pt idx="1">
                  <c:v>2.9525223653241477E-4</c:v>
                </c:pt>
                <c:pt idx="2">
                  <c:v>6.1861779087964597E-4</c:v>
                </c:pt>
                <c:pt idx="3">
                  <c:v>1.0092544774296215E-3</c:v>
                </c:pt>
                <c:pt idx="4">
                  <c:v>1.5348689628039468E-3</c:v>
                </c:pt>
                <c:pt idx="5">
                  <c:v>2.3092079437082693E-3</c:v>
                </c:pt>
                <c:pt idx="6">
                  <c:v>3.4893503011949665E-3</c:v>
                </c:pt>
                <c:pt idx="7">
                  <c:v>5.2338909206249146E-3</c:v>
                </c:pt>
                <c:pt idx="8">
                  <c:v>7.6242893241007552E-3</c:v>
                </c:pt>
                <c:pt idx="9">
                  <c:v>1.058286685599919E-2</c:v>
                </c:pt>
                <c:pt idx="10">
                  <c:v>1.3845456130547258E-2</c:v>
                </c:pt>
                <c:pt idx="11">
                  <c:v>1.7040919819795528E-2</c:v>
                </c:pt>
                <c:pt idx="12">
                  <c:v>1.9869296043093558E-2</c:v>
                </c:pt>
                <c:pt idx="13">
                  <c:v>2.2273205701182373E-2</c:v>
                </c:pt>
                <c:pt idx="14">
                  <c:v>2.4452518372064771E-2</c:v>
                </c:pt>
                <c:pt idx="15">
                  <c:v>2.6666861296035089E-2</c:v>
                </c:pt>
                <c:pt idx="16">
                  <c:v>2.8961983681073868E-2</c:v>
                </c:pt>
                <c:pt idx="17">
                  <c:v>3.1064407595819996E-2</c:v>
                </c:pt>
                <c:pt idx="18">
                  <c:v>3.2570625775065282E-2</c:v>
                </c:pt>
                <c:pt idx="19">
                  <c:v>3.329141804949648E-2</c:v>
                </c:pt>
                <c:pt idx="20">
                  <c:v>3.345643933537696E-2</c:v>
                </c:pt>
                <c:pt idx="21">
                  <c:v>3.3599161511740055E-2</c:v>
                </c:pt>
                <c:pt idx="22">
                  <c:v>3.4207096318685133E-2</c:v>
                </c:pt>
                <c:pt idx="23">
                  <c:v>3.5391682559383165E-2</c:v>
                </c:pt>
                <c:pt idx="24">
                  <c:v>3.6802975311395723E-2</c:v>
                </c:pt>
                <c:pt idx="25">
                  <c:v>3.7851958413660632E-2</c:v>
                </c:pt>
                <c:pt idx="26">
                  <c:v>3.810769996529207E-2</c:v>
                </c:pt>
                <c:pt idx="27">
                  <c:v>3.7608486168998131E-2</c:v>
                </c:pt>
                <c:pt idx="28">
                  <c:v>3.6869021680546558E-2</c:v>
                </c:pt>
                <c:pt idx="29">
                  <c:v>3.6573863260094257E-2</c:v>
                </c:pt>
                <c:pt idx="30">
                  <c:v>3.715597987956501E-2</c:v>
                </c:pt>
                <c:pt idx="31">
                  <c:v>3.8511399716135479E-2</c:v>
                </c:pt>
                <c:pt idx="32">
                  <c:v>3.9997683282813806E-2</c:v>
                </c:pt>
                <c:pt idx="33">
                  <c:v>4.0703764145957673E-2</c:v>
                </c:pt>
                <c:pt idx="34">
                  <c:v>3.9843678425327704E-2</c:v>
                </c:pt>
                <c:pt idx="35">
                  <c:v>3.707377878451789E-2</c:v>
                </c:pt>
                <c:pt idx="36">
                  <c:v>3.2592706066928011E-2</c:v>
                </c:pt>
                <c:pt idx="37">
                  <c:v>2.7014639149801418E-2</c:v>
                </c:pt>
                <c:pt idx="38">
                  <c:v>2.1115732066684909E-2</c:v>
                </c:pt>
                <c:pt idx="39">
                  <c:v>1.5584178222723705E-2</c:v>
                </c:pt>
                <c:pt idx="40">
                  <c:v>1.0867989321103881E-2</c:v>
                </c:pt>
                <c:pt idx="41">
                  <c:v>7.1488228606481786E-3</c:v>
                </c:pt>
                <c:pt idx="42">
                  <c:v>4.407549305705959E-3</c:v>
                </c:pt>
                <c:pt idx="43">
                  <c:v>2.5164112854960761E-3</c:v>
                </c:pt>
                <c:pt idx="44">
                  <c:v>1.3070713832767351E-3</c:v>
                </c:pt>
                <c:pt idx="45">
                  <c:v>6.0417643419687485E-4</c:v>
                </c:pt>
                <c:pt idx="46">
                  <c:v>2.4233006395423684E-4</c:v>
                </c:pt>
                <c:pt idx="47">
                  <c:v>8.1985975286146434E-5</c:v>
                </c:pt>
                <c:pt idx="48">
                  <c:v>2.2635418201321872E-5</c:v>
                </c:pt>
                <c:pt idx="49">
                  <c:v>4.8124090544479719E-6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3-43D5-8BFA-D356129B1028}"/>
            </c:ext>
          </c:extLst>
        </c:ser>
        <c:ser>
          <c:idx val="1"/>
          <c:order val="1"/>
          <c:tx>
            <c:strRef>
              <c:f>Departure_Time!$K$64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Departure_Time!$K$65:$K$115</c:f>
              <c:numCache>
                <c:formatCode>0.00%</c:formatCode>
                <c:ptCount val="51"/>
                <c:pt idx="0">
                  <c:v>4.9270007158123408E-3</c:v>
                </c:pt>
                <c:pt idx="1">
                  <c:v>4.043738723473236E-3</c:v>
                </c:pt>
                <c:pt idx="2">
                  <c:v>3.2948397916600304E-3</c:v>
                </c:pt>
                <c:pt idx="3">
                  <c:v>2.8006982948365743E-3</c:v>
                </c:pt>
                <c:pt idx="4">
                  <c:v>2.6681146886487752E-3</c:v>
                </c:pt>
                <c:pt idx="5">
                  <c:v>3.0020400342185725E-3</c:v>
                </c:pt>
                <c:pt idx="6">
                  <c:v>3.9079363274331699E-3</c:v>
                </c:pt>
                <c:pt idx="7">
                  <c:v>5.4674349132055201E-3</c:v>
                </c:pt>
                <c:pt idx="8">
                  <c:v>7.6966812192523562E-3</c:v>
                </c:pt>
                <c:pt idx="9">
                  <c:v>1.0519592124214768E-2</c:v>
                </c:pt>
                <c:pt idx="10">
                  <c:v>1.3778929739665418E-2</c:v>
                </c:pt>
                <c:pt idx="11">
                  <c:v>1.7272897935741761E-2</c:v>
                </c:pt>
                <c:pt idx="12">
                  <c:v>2.0781674447045019E-2</c:v>
                </c:pt>
                <c:pt idx="13">
                  <c:v>2.4065829521650758E-2</c:v>
                </c:pt>
                <c:pt idx="14">
                  <c:v>2.6862668838019826E-2</c:v>
                </c:pt>
                <c:pt idx="15">
                  <c:v>2.8927462414399016E-2</c:v>
                </c:pt>
                <c:pt idx="16">
                  <c:v>3.0129023946088049E-2</c:v>
                </c:pt>
                <c:pt idx="17">
                  <c:v>3.0540193421109554E-2</c:v>
                </c:pt>
                <c:pt idx="18">
                  <c:v>3.0438488808812447E-2</c:v>
                </c:pt>
                <c:pt idx="19">
                  <c:v>3.0193972849013609E-2</c:v>
                </c:pt>
                <c:pt idx="20">
                  <c:v>3.0119151054668371E-2</c:v>
                </c:pt>
                <c:pt idx="21">
                  <c:v>3.0384036695185995E-2</c:v>
                </c:pt>
                <c:pt idx="22">
                  <c:v>3.1021442920793597E-2</c:v>
                </c:pt>
                <c:pt idx="23">
                  <c:v>3.1958307054920004E-2</c:v>
                </c:pt>
                <c:pt idx="24">
                  <c:v>3.3025081473033222E-2</c:v>
                </c:pt>
                <c:pt idx="25">
                  <c:v>3.3985084402623537E-2</c:v>
                </c:pt>
                <c:pt idx="26">
                  <c:v>3.4640074037641265E-2</c:v>
                </c:pt>
                <c:pt idx="27">
                  <c:v>3.4966498248344684E-2</c:v>
                </c:pt>
                <c:pt idx="28">
                  <c:v>3.5160145965029525E-2</c:v>
                </c:pt>
                <c:pt idx="29">
                  <c:v>3.5527308006610754E-2</c:v>
                </c:pt>
                <c:pt idx="30">
                  <c:v>3.6283587326717735E-2</c:v>
                </c:pt>
                <c:pt idx="31">
                  <c:v>3.7377892942389954E-2</c:v>
                </c:pt>
                <c:pt idx="32">
                  <c:v>3.843397223758644E-2</c:v>
                </c:pt>
                <c:pt idx="33">
                  <c:v>3.885062125054059E-2</c:v>
                </c:pt>
                <c:pt idx="34">
                  <c:v>3.8040090071801119E-2</c:v>
                </c:pt>
                <c:pt idx="35">
                  <c:v>3.570554315645065E-2</c:v>
                </c:pt>
                <c:pt idx="36">
                  <c:v>3.2003040389798579E-2</c:v>
                </c:pt>
                <c:pt idx="37">
                  <c:v>2.7471684820314955E-2</c:v>
                </c:pt>
                <c:pt idx="38">
                  <c:v>2.2760227491661598E-2</c:v>
                </c:pt>
                <c:pt idx="39">
                  <c:v>1.8331705165797369E-2</c:v>
                </c:pt>
                <c:pt idx="40">
                  <c:v>1.4346631224114595E-2</c:v>
                </c:pt>
                <c:pt idx="41">
                  <c:v>1.0773737619871146E-2</c:v>
                </c:pt>
                <c:pt idx="42">
                  <c:v>7.5900468034378783E-3</c:v>
                </c:pt>
                <c:pt idx="43">
                  <c:v>4.8838052755817742E-3</c:v>
                </c:pt>
                <c:pt idx="44">
                  <c:v>2.7955361544109033E-3</c:v>
                </c:pt>
                <c:pt idx="45">
                  <c:v>1.3889332289170582E-3</c:v>
                </c:pt>
                <c:pt idx="46">
                  <c:v>5.8478306085247428E-4</c:v>
                </c:pt>
                <c:pt idx="47">
                  <c:v>2.0332932186006215E-4</c:v>
                </c:pt>
                <c:pt idx="48">
                  <c:v>5.6581859882542231E-5</c:v>
                </c:pt>
                <c:pt idx="49">
                  <c:v>1.190198486061402E-5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63-43D5-8BFA-D356129B1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1984"/>
        <c:axId val="58176576"/>
      </c:lineChart>
      <c:catAx>
        <c:axId val="5828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576"/>
        <c:crosses val="autoZero"/>
        <c:auto val="1"/>
        <c:lblAlgn val="ctr"/>
        <c:lblOffset val="100"/>
        <c:tickLblSkip val="2"/>
        <c:noMultiLvlLbl val="0"/>
      </c:catAx>
      <c:valAx>
        <c:axId val="58176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582819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1.8165559864375912E-5</c:v>
                </c:pt>
                <c:pt idx="2">
                  <c:v>4.5934239268145984E-5</c:v>
                </c:pt>
                <c:pt idx="3">
                  <c:v>9.5144749678068805E-5</c:v>
                </c:pt>
                <c:pt idx="4">
                  <c:v>1.8680609011137425E-4</c:v>
                </c:pt>
                <c:pt idx="5">
                  <c:v>3.6300210391726083E-4</c:v>
                </c:pt>
                <c:pt idx="6">
                  <c:v>6.9755443183527671E-4</c:v>
                </c:pt>
                <c:pt idx="7">
                  <c:v>1.2964300554704356E-3</c:v>
                </c:pt>
                <c:pt idx="8">
                  <c:v>2.2850803018236881E-3</c:v>
                </c:pt>
                <c:pt idx="9">
                  <c:v>3.7929780054710787E-3</c:v>
                </c:pt>
                <c:pt idx="10">
                  <c:v>5.9538452576467218E-3</c:v>
                </c:pt>
                <c:pt idx="11">
                  <c:v>8.9338993947756483E-3</c:v>
                </c:pt>
                <c:pt idx="12">
                  <c:v>1.2991402692470939E-2</c:v>
                </c:pt>
                <c:pt idx="13">
                  <c:v>1.8572050746984176E-2</c:v>
                </c:pt>
                <c:pt idx="14">
                  <c:v>2.6408903858276364E-2</c:v>
                </c:pt>
                <c:pt idx="15">
                  <c:v>3.7454971258828712E-2</c:v>
                </c:pt>
                <c:pt idx="16">
                  <c:v>5.2358547671572331E-2</c:v>
                </c:pt>
                <c:pt idx="17">
                  <c:v>7.0448659062384539E-2</c:v>
                </c:pt>
                <c:pt idx="18">
                  <c:v>8.8887931211112714E-2</c:v>
                </c:pt>
                <c:pt idx="19">
                  <c:v>0.10305643802122963</c:v>
                </c:pt>
                <c:pt idx="20">
                  <c:v>0.10851024422015745</c:v>
                </c:pt>
                <c:pt idx="21">
                  <c:v>0.10338417623566704</c:v>
                </c:pt>
                <c:pt idx="22">
                  <c:v>8.9447685207110023E-2</c:v>
                </c:pt>
                <c:pt idx="23">
                  <c:v>7.1052269533979459E-2</c:v>
                </c:pt>
                <c:pt idx="24">
                  <c:v>5.2878536865511791E-2</c:v>
                </c:pt>
                <c:pt idx="25">
                  <c:v>3.8042969261917484E-2</c:v>
                </c:pt>
                <c:pt idx="26">
                  <c:v>2.7462237140450128E-2</c:v>
                </c:pt>
                <c:pt idx="27">
                  <c:v>2.0378716972912644E-2</c:v>
                </c:pt>
                <c:pt idx="28">
                  <c:v>1.5413172865334387E-2</c:v>
                </c:pt>
                <c:pt idx="29">
                  <c:v>1.147070668942091E-2</c:v>
                </c:pt>
                <c:pt idx="30">
                  <c:v>8.0968159566557427E-3</c:v>
                </c:pt>
                <c:pt idx="31">
                  <c:v>5.307060277945517E-3</c:v>
                </c:pt>
                <c:pt idx="32">
                  <c:v>3.2325880836234877E-3</c:v>
                </c:pt>
                <c:pt idx="33">
                  <c:v>1.9037224168487723E-3</c:v>
                </c:pt>
                <c:pt idx="34">
                  <c:v>1.2321980858463889E-3</c:v>
                </c:pt>
                <c:pt idx="35">
                  <c:v>1.0625468801552865E-3</c:v>
                </c:pt>
                <c:pt idx="36">
                  <c:v>1.1933524444406151E-3</c:v>
                </c:pt>
                <c:pt idx="37">
                  <c:v>1.3909896476767976E-3</c:v>
                </c:pt>
                <c:pt idx="38">
                  <c:v>1.450670225236149E-3</c:v>
                </c:pt>
                <c:pt idx="39">
                  <c:v>1.2832322741815456E-3</c:v>
                </c:pt>
                <c:pt idx="40">
                  <c:v>9.4510149376526072E-4</c:v>
                </c:pt>
                <c:pt idx="41">
                  <c:v>5.7342819810857345E-4</c:v>
                </c:pt>
                <c:pt idx="42">
                  <c:v>2.8332957256960498E-4</c:v>
                </c:pt>
                <c:pt idx="43">
                  <c:v>1.1217126872943476E-4</c:v>
                </c:pt>
                <c:pt idx="44">
                  <c:v>3.4737034087670122E-5</c:v>
                </c:pt>
                <c:pt idx="45">
                  <c:v>8.1076652603376427E-6</c:v>
                </c:pt>
                <c:pt idx="46">
                  <c:v>1.3415094454205871E-6</c:v>
                </c:pt>
                <c:pt idx="47">
                  <c:v>1.4028765187177875E-7</c:v>
                </c:pt>
                <c:pt idx="48">
                  <c:v>6.9725885334046999E-9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7E-4897-815B-9836D1FFA155}"/>
            </c:ext>
          </c:extLst>
        </c:ser>
        <c:ser>
          <c:idx val="1"/>
          <c:order val="1"/>
          <c:tx>
            <c:strRef>
              <c:f>Departure_Time!$L$64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Departure_Time!$L$65:$L$115</c:f>
              <c:numCache>
                <c:formatCode>0.00%</c:formatCode>
                <c:ptCount val="51"/>
                <c:pt idx="0">
                  <c:v>5.8093984797139855E-4</c:v>
                </c:pt>
                <c:pt idx="1">
                  <c:v>8.2965104794533904E-4</c:v>
                </c:pt>
                <c:pt idx="2">
                  <c:v>9.9755678369784569E-4</c:v>
                </c:pt>
                <c:pt idx="3">
                  <c:v>1.1031362568720974E-3</c:v>
                </c:pt>
                <c:pt idx="4">
                  <c:v>1.2594658390501466E-3</c:v>
                </c:pt>
                <c:pt idx="5">
                  <c:v>1.5830187429157444E-3</c:v>
                </c:pt>
                <c:pt idx="6">
                  <c:v>2.1262941959060808E-3</c:v>
                </c:pt>
                <c:pt idx="7">
                  <c:v>2.9084634685489739E-3</c:v>
                </c:pt>
                <c:pt idx="8">
                  <c:v>4.0100319781575487E-3</c:v>
                </c:pt>
                <c:pt idx="9">
                  <c:v>5.6399843477977635E-3</c:v>
                </c:pt>
                <c:pt idx="10">
                  <c:v>8.1286655476308419E-3</c:v>
                </c:pt>
                <c:pt idx="11">
                  <c:v>1.187757794961636E-2</c:v>
                </c:pt>
                <c:pt idx="12">
                  <c:v>1.7297572503808659E-2</c:v>
                </c:pt>
                <c:pt idx="13">
                  <c:v>2.4696165275236479E-2</c:v>
                </c:pt>
                <c:pt idx="14">
                  <c:v>3.4076176586462947E-2</c:v>
                </c:pt>
                <c:pt idx="15">
                  <c:v>4.4935099512381053E-2</c:v>
                </c:pt>
                <c:pt idx="16">
                  <c:v>5.6235200457405918E-2</c:v>
                </c:pt>
                <c:pt idx="17">
                  <c:v>6.6600757445243935E-2</c:v>
                </c:pt>
                <c:pt idx="18">
                  <c:v>7.4629999234118269E-2</c:v>
                </c:pt>
                <c:pt idx="19">
                  <c:v>7.9197957910298739E-2</c:v>
                </c:pt>
                <c:pt idx="20">
                  <c:v>7.9710452041141938E-2</c:v>
                </c:pt>
                <c:pt idx="21">
                  <c:v>7.6257813728373008E-2</c:v>
                </c:pt>
                <c:pt idx="22">
                  <c:v>6.9566339792154944E-2</c:v>
                </c:pt>
                <c:pt idx="23">
                  <c:v>6.0744536883308747E-2</c:v>
                </c:pt>
                <c:pt idx="24">
                  <c:v>5.0987543144455152E-2</c:v>
                </c:pt>
                <c:pt idx="25">
                  <c:v>4.1385147540048843E-2</c:v>
                </c:pt>
                <c:pt idx="26">
                  <c:v>3.2809380620974313E-2</c:v>
                </c:pt>
                <c:pt idx="27">
                  <c:v>2.5805255758641007E-2</c:v>
                </c:pt>
                <c:pt idx="28">
                  <c:v>2.0513889746663894E-2</c:v>
                </c:pt>
                <c:pt idx="29">
                  <c:v>1.6707152467556833E-2</c:v>
                </c:pt>
                <c:pt idx="30">
                  <c:v>1.3935994749591252E-2</c:v>
                </c:pt>
                <c:pt idx="31">
                  <c:v>1.1729034399288896E-2</c:v>
                </c:pt>
                <c:pt idx="32">
                  <c:v>9.7793729620006247E-3</c:v>
                </c:pt>
                <c:pt idx="33">
                  <c:v>8.0497786625851123E-3</c:v>
                </c:pt>
                <c:pt idx="34">
                  <c:v>6.7159614876200948E-3</c:v>
                </c:pt>
                <c:pt idx="35">
                  <c:v>5.9502401713817984E-3</c:v>
                </c:pt>
                <c:pt idx="36">
                  <c:v>5.6972075257852644E-3</c:v>
                </c:pt>
                <c:pt idx="37">
                  <c:v>5.6360901107611284E-3</c:v>
                </c:pt>
                <c:pt idx="38">
                  <c:v>5.3719804927907285E-3</c:v>
                </c:pt>
                <c:pt idx="39">
                  <c:v>4.6897579748880576E-3</c:v>
                </c:pt>
                <c:pt idx="40">
                  <c:v>3.6584225524473337E-3</c:v>
                </c:pt>
                <c:pt idx="41">
                  <c:v>2.5290015470787568E-3</c:v>
                </c:pt>
                <c:pt idx="42">
                  <c:v>1.5484351880231881E-3</c:v>
                </c:pt>
                <c:pt idx="43">
                  <c:v>8.4109193166676162E-4</c:v>
                </c:pt>
                <c:pt idx="44">
                  <c:v>4.0512781052601845E-4</c:v>
                </c:pt>
                <c:pt idx="45">
                  <c:v>1.7196318834500725E-4</c:v>
                </c:pt>
                <c:pt idx="46">
                  <c:v>6.3400581453475398E-5</c:v>
                </c:pt>
                <c:pt idx="47">
                  <c:v>1.9825428789411086E-5</c:v>
                </c:pt>
                <c:pt idx="48">
                  <c:v>5.0817205807679011E-6</c:v>
                </c:pt>
                <c:pt idx="49">
                  <c:v>1.0048600113189166E-6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7E-4897-815B-9836D1FF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678976"/>
        <c:axId val="58178880"/>
      </c:lineChart>
      <c:catAx>
        <c:axId val="55678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8880"/>
        <c:crosses val="autoZero"/>
        <c:auto val="1"/>
        <c:lblAlgn val="ctr"/>
        <c:lblOffset val="100"/>
        <c:tickLblSkip val="2"/>
        <c:noMultiLvlLbl val="0"/>
      </c:catAx>
      <c:valAx>
        <c:axId val="5817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</a:t>
                </a:r>
                <a:r>
                  <a:rPr lang="en-US" baseline="0"/>
                  <a:t> Share (%)</a:t>
                </a:r>
                <a:endParaRPr lang="en-US"/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55678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Duration!$B$65:$B$89</c:f>
              <c:numCache>
                <c:formatCode>0.00%</c:formatCode>
                <c:ptCount val="25"/>
                <c:pt idx="0">
                  <c:v>1.8096394028116844E-2</c:v>
                </c:pt>
                <c:pt idx="1">
                  <c:v>1.8711861977254204E-2</c:v>
                </c:pt>
                <c:pt idx="2">
                  <c:v>1.9465986131181431E-2</c:v>
                </c:pt>
                <c:pt idx="3">
                  <c:v>2.0456865498303278E-2</c:v>
                </c:pt>
                <c:pt idx="4">
                  <c:v>2.1723164257031864E-2</c:v>
                </c:pt>
                <c:pt idx="5">
                  <c:v>2.3230956598960524E-2</c:v>
                </c:pt>
                <c:pt idx="6">
                  <c:v>2.4847191376203552E-2</c:v>
                </c:pt>
                <c:pt idx="7">
                  <c:v>2.6336039202909275E-2</c:v>
                </c:pt>
                <c:pt idx="8">
                  <c:v>2.7452948137642329E-2</c:v>
                </c:pt>
                <c:pt idx="9">
                  <c:v>2.8158576829470261E-2</c:v>
                </c:pt>
                <c:pt idx="10">
                  <c:v>2.8866165485007273E-2</c:v>
                </c:pt>
                <c:pt idx="11">
                  <c:v>3.0569190389380826E-2</c:v>
                </c:pt>
                <c:pt idx="12">
                  <c:v>3.4693415948639804E-2</c:v>
                </c:pt>
                <c:pt idx="13">
                  <c:v>4.2543970360506327E-2</c:v>
                </c:pt>
                <c:pt idx="14">
                  <c:v>5.4363107535287745E-2</c:v>
                </c:pt>
                <c:pt idx="15">
                  <c:v>6.841898528885261E-2</c:v>
                </c:pt>
                <c:pt idx="16">
                  <c:v>8.0959477787581433E-2</c:v>
                </c:pt>
                <c:pt idx="17">
                  <c:v>8.7602926609238824E-2</c:v>
                </c:pt>
                <c:pt idx="18">
                  <c:v>8.5594521254986219E-2</c:v>
                </c:pt>
                <c:pt idx="19">
                  <c:v>7.5344613401644028E-2</c:v>
                </c:pt>
                <c:pt idx="20">
                  <c:v>6.0054013757545203E-2</c:v>
                </c:pt>
                <c:pt idx="21">
                  <c:v>4.3812392737397933E-2</c:v>
                </c:pt>
                <c:pt idx="22">
                  <c:v>2.9694146544947234E-2</c:v>
                </c:pt>
                <c:pt idx="23">
                  <c:v>1.9010342936864773E-2</c:v>
                </c:pt>
                <c:pt idx="24">
                  <c:v>1.1684032070542732E-2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E-4879-8C6F-BEFDD555C2DB}"/>
            </c:ext>
          </c:extLst>
        </c:ser>
        <c:ser>
          <c:idx val="1"/>
          <c:order val="1"/>
          <c:tx>
            <c:strRef>
              <c:f>Duration!$I$64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Duration!$I$65:$I$89</c:f>
              <c:numCache>
                <c:formatCode>0.00%</c:formatCode>
                <c:ptCount val="25"/>
                <c:pt idx="0">
                  <c:v>2.4964855962206545E-2</c:v>
                </c:pt>
                <c:pt idx="1">
                  <c:v>2.3592569940370883E-2</c:v>
                </c:pt>
                <c:pt idx="2">
                  <c:v>2.2845233019473173E-2</c:v>
                </c:pt>
                <c:pt idx="3">
                  <c:v>2.3085053169559923E-2</c:v>
                </c:pt>
                <c:pt idx="4">
                  <c:v>2.4294220582191082E-2</c:v>
                </c:pt>
                <c:pt idx="5">
                  <c:v>2.6133807871996859E-2</c:v>
                </c:pt>
                <c:pt idx="6">
                  <c:v>2.8116536070863386E-2</c:v>
                </c:pt>
                <c:pt idx="7">
                  <c:v>2.9827408576737997E-2</c:v>
                </c:pt>
                <c:pt idx="8">
                  <c:v>3.1138441285855654E-2</c:v>
                </c:pt>
                <c:pt idx="9">
                  <c:v>3.2336028285292515E-2</c:v>
                </c:pt>
                <c:pt idx="10">
                  <c:v>3.4076068336606639E-2</c:v>
                </c:pt>
                <c:pt idx="11">
                  <c:v>3.716398740043985E-2</c:v>
                </c:pt>
                <c:pt idx="12">
                  <c:v>4.225182623247558E-2</c:v>
                </c:pt>
                <c:pt idx="13">
                  <c:v>4.9540657956876795E-2</c:v>
                </c:pt>
                <c:pt idx="14">
                  <c:v>5.8508841924093669E-2</c:v>
                </c:pt>
                <c:pt idx="15">
                  <c:v>6.7715088056329406E-2</c:v>
                </c:pt>
                <c:pt idx="16">
                  <c:v>7.4883413436214213E-2</c:v>
                </c:pt>
                <c:pt idx="17">
                  <c:v>7.7524423080438512E-2</c:v>
                </c:pt>
                <c:pt idx="18">
                  <c:v>7.4021899402681238E-2</c:v>
                </c:pt>
                <c:pt idx="19">
                  <c:v>6.4581735012081254E-2</c:v>
                </c:pt>
                <c:pt idx="20">
                  <c:v>5.1299077076601918E-2</c:v>
                </c:pt>
                <c:pt idx="21">
                  <c:v>3.7185869671171823E-2</c:v>
                </c:pt>
                <c:pt idx="22">
                  <c:v>2.4822644085592805E-2</c:v>
                </c:pt>
                <c:pt idx="23">
                  <c:v>1.551899318538214E-2</c:v>
                </c:pt>
                <c:pt idx="24">
                  <c:v>9.3222498162510055E-3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E-4879-8C6F-BEFDD555C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2496"/>
        <c:axId val="154928832"/>
      </c:lineChart>
      <c:catAx>
        <c:axId val="5828249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28832"/>
        <c:crosses val="autoZero"/>
        <c:auto val="1"/>
        <c:lblAlgn val="ctr"/>
        <c:lblOffset val="100"/>
        <c:tickLblSkip val="2"/>
        <c:noMultiLvlLbl val="0"/>
      </c:catAx>
      <c:valAx>
        <c:axId val="154928832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249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78467118945771919"/>
          <c:y val="0.20307117492666357"/>
          <c:w val="0.1919261822376009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Duration!$C$65:$C$89</c:f>
              <c:numCache>
                <c:formatCode>0.00%</c:formatCode>
                <c:ptCount val="25"/>
                <c:pt idx="0">
                  <c:v>4.1974158405842354E-3</c:v>
                </c:pt>
                <c:pt idx="1">
                  <c:v>1.1919107803832846E-2</c:v>
                </c:pt>
                <c:pt idx="2">
                  <c:v>1.8680230589556784E-2</c:v>
                </c:pt>
                <c:pt idx="3">
                  <c:v>2.3846310605752648E-2</c:v>
                </c:pt>
                <c:pt idx="4">
                  <c:v>2.7206537783689862E-2</c:v>
                </c:pt>
                <c:pt idx="5">
                  <c:v>2.89028309290769E-2</c:v>
                </c:pt>
                <c:pt idx="6">
                  <c:v>2.9463587364283114E-2</c:v>
                </c:pt>
                <c:pt idx="7">
                  <c:v>3.0080396186940542E-2</c:v>
                </c:pt>
                <c:pt idx="8">
                  <c:v>3.2862667227458772E-2</c:v>
                </c:pt>
                <c:pt idx="9">
                  <c:v>4.044768607666302E-2</c:v>
                </c:pt>
                <c:pt idx="10">
                  <c:v>5.4487763150844325E-2</c:v>
                </c:pt>
                <c:pt idx="11">
                  <c:v>7.3544545055256469E-2</c:v>
                </c:pt>
                <c:pt idx="12">
                  <c:v>9.222855536549987E-2</c:v>
                </c:pt>
                <c:pt idx="13">
                  <c:v>0.1032892721914692</c:v>
                </c:pt>
                <c:pt idx="14">
                  <c:v>0.10190037415398072</c:v>
                </c:pt>
                <c:pt idx="15">
                  <c:v>8.8785731040054855E-2</c:v>
                </c:pt>
                <c:pt idx="16">
                  <c:v>6.9429222582293004E-2</c:v>
                </c:pt>
                <c:pt idx="17">
                  <c:v>5.0224494760734296E-2</c:v>
                </c:pt>
                <c:pt idx="18">
                  <c:v>3.5014040798143076E-2</c:v>
                </c:pt>
                <c:pt idx="19">
                  <c:v>2.4371348636085706E-2</c:v>
                </c:pt>
                <c:pt idx="20">
                  <c:v>1.7071693805793695E-2</c:v>
                </c:pt>
                <c:pt idx="21">
                  <c:v>1.178819734267797E-2</c:v>
                </c:pt>
                <c:pt idx="22">
                  <c:v>7.8188230272663514E-3</c:v>
                </c:pt>
                <c:pt idx="23">
                  <c:v>4.9493790945643844E-3</c:v>
                </c:pt>
                <c:pt idx="24">
                  <c:v>3.08030524048028E-3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B05-B6A1-149E7ED95843}"/>
            </c:ext>
          </c:extLst>
        </c:ser>
        <c:ser>
          <c:idx val="1"/>
          <c:order val="1"/>
          <c:tx>
            <c:strRef>
              <c:f>Duration!$J$64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Duration!$J$65:$J$89</c:f>
              <c:numCache>
                <c:formatCode>0.00%</c:formatCode>
                <c:ptCount val="25"/>
                <c:pt idx="0">
                  <c:v>6.577053532662025E-2</c:v>
                </c:pt>
                <c:pt idx="1">
                  <c:v>5.9166769323466435E-2</c:v>
                </c:pt>
                <c:pt idx="2">
                  <c:v>5.3867779143538755E-2</c:v>
                </c:pt>
                <c:pt idx="3">
                  <c:v>5.0515802631243521E-2</c:v>
                </c:pt>
                <c:pt idx="4">
                  <c:v>4.8908690183064631E-2</c:v>
                </c:pt>
                <c:pt idx="5">
                  <c:v>4.8322687448032392E-2</c:v>
                </c:pt>
                <c:pt idx="6">
                  <c:v>4.7987605419048542E-2</c:v>
                </c:pt>
                <c:pt idx="7">
                  <c:v>4.7412613566365266E-2</c:v>
                </c:pt>
                <c:pt idx="8">
                  <c:v>4.6515092366686231E-2</c:v>
                </c:pt>
                <c:pt idx="9">
                  <c:v>4.5602590123585106E-2</c:v>
                </c:pt>
                <c:pt idx="10">
                  <c:v>4.5194951064124647E-2</c:v>
                </c:pt>
                <c:pt idx="11">
                  <c:v>4.5685169689023197E-2</c:v>
                </c:pt>
                <c:pt idx="12">
                  <c:v>4.6986123587902807E-2</c:v>
                </c:pt>
                <c:pt idx="13">
                  <c:v>4.8408611766444336E-2</c:v>
                </c:pt>
                <c:pt idx="14">
                  <c:v>4.8904998268651231E-2</c:v>
                </c:pt>
                <c:pt idx="15">
                  <c:v>4.7561036321205688E-2</c:v>
                </c:pt>
                <c:pt idx="16">
                  <c:v>4.4034467746626525E-2</c:v>
                </c:pt>
                <c:pt idx="17">
                  <c:v>3.8671409987182909E-2</c:v>
                </c:pt>
                <c:pt idx="18">
                  <c:v>3.2261033117991084E-2</c:v>
                </c:pt>
                <c:pt idx="19">
                  <c:v>2.5641310577324272E-2</c:v>
                </c:pt>
                <c:pt idx="20">
                  <c:v>1.9434410103335069E-2</c:v>
                </c:pt>
                <c:pt idx="21">
                  <c:v>1.401732639876597E-2</c:v>
                </c:pt>
                <c:pt idx="22">
                  <c:v>9.6085272666124773E-3</c:v>
                </c:pt>
                <c:pt idx="23">
                  <c:v>6.3073119000109923E-3</c:v>
                </c:pt>
                <c:pt idx="24">
                  <c:v>4.0630642426917642E-3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B05-B6A1-149E7ED95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3520"/>
        <c:axId val="154931136"/>
      </c:lineChart>
      <c:catAx>
        <c:axId val="582835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1136"/>
        <c:crosses val="autoZero"/>
        <c:auto val="1"/>
        <c:lblAlgn val="ctr"/>
        <c:lblOffset val="100"/>
        <c:tickLblSkip val="2"/>
        <c:noMultiLvlLbl val="0"/>
      </c:catAx>
      <c:valAx>
        <c:axId val="154931136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352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13149697118310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Duration!$D$65:$D$89</c:f>
              <c:numCache>
                <c:formatCode>0.00%</c:formatCode>
                <c:ptCount val="25"/>
                <c:pt idx="0">
                  <c:v>0.29922702134217166</c:v>
                </c:pt>
                <c:pt idx="1">
                  <c:v>0.22731329846575424</c:v>
                </c:pt>
                <c:pt idx="2">
                  <c:v>0.16294446294532658</c:v>
                </c:pt>
                <c:pt idx="3">
                  <c:v>0.11096029666494484</c:v>
                </c:pt>
                <c:pt idx="4">
                  <c:v>7.2506072504067862E-2</c:v>
                </c:pt>
                <c:pt idx="5">
                  <c:v>4.5942060004501246E-2</c:v>
                </c:pt>
                <c:pt idx="6">
                  <c:v>2.8485940926929014E-2</c:v>
                </c:pt>
                <c:pt idx="7">
                  <c:v>1.7435319948262865E-2</c:v>
                </c:pt>
                <c:pt idx="8">
                  <c:v>1.0657473794152408E-2</c:v>
                </c:pt>
                <c:pt idx="9">
                  <c:v>6.6196018783371835E-3</c:v>
                </c:pt>
                <c:pt idx="10">
                  <c:v>4.2688586435469149E-3</c:v>
                </c:pt>
                <c:pt idx="11">
                  <c:v>2.9055876642066227E-3</c:v>
                </c:pt>
                <c:pt idx="12">
                  <c:v>2.0879131917696209E-3</c:v>
                </c:pt>
                <c:pt idx="13">
                  <c:v>1.5641121501309891E-3</c:v>
                </c:pt>
                <c:pt idx="14">
                  <c:v>1.2129159117457145E-3</c:v>
                </c:pt>
                <c:pt idx="15">
                  <c:v>9.8240511778124005E-4</c:v>
                </c:pt>
                <c:pt idx="16">
                  <c:v>8.4010080408622283E-4</c:v>
                </c:pt>
                <c:pt idx="17">
                  <c:v>7.5007891328469499E-4</c:v>
                </c:pt>
                <c:pt idx="18">
                  <c:v>6.7580063749074297E-4</c:v>
                </c:pt>
                <c:pt idx="19">
                  <c:v>5.9269593055297166E-4</c:v>
                </c:pt>
                <c:pt idx="20">
                  <c:v>4.9534858241326567E-4</c:v>
                </c:pt>
                <c:pt idx="21">
                  <c:v>3.9401084299637575E-4</c:v>
                </c:pt>
                <c:pt idx="22">
                  <c:v>3.0384641939675406E-4</c:v>
                </c:pt>
                <c:pt idx="23">
                  <c:v>2.3411328149851911E-4</c:v>
                </c:pt>
                <c:pt idx="24">
                  <c:v>1.8369014194985123E-4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2-47DA-AA63-D5C8C9F347CD}"/>
            </c:ext>
          </c:extLst>
        </c:ser>
        <c:ser>
          <c:idx val="1"/>
          <c:order val="1"/>
          <c:tx>
            <c:strRef>
              <c:f>Duration!$K$64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Duration!$K$65:$K$89</c:f>
              <c:numCache>
                <c:formatCode>0.00%</c:formatCode>
                <c:ptCount val="25"/>
                <c:pt idx="0">
                  <c:v>0.30983778400622952</c:v>
                </c:pt>
                <c:pt idx="1">
                  <c:v>0.23170863521818216</c:v>
                </c:pt>
                <c:pt idx="2">
                  <c:v>0.16262208335582931</c:v>
                </c:pt>
                <c:pt idx="3">
                  <c:v>0.10813845657858796</c:v>
                </c:pt>
                <c:pt idx="4">
                  <c:v>6.9146786317333925E-2</c:v>
                </c:pt>
                <c:pt idx="5">
                  <c:v>4.3188181305940467E-2</c:v>
                </c:pt>
                <c:pt idx="6">
                  <c:v>2.6676711442563936E-2</c:v>
                </c:pt>
                <c:pt idx="7">
                  <c:v>1.6437491021586242E-2</c:v>
                </c:pt>
                <c:pt idx="8">
                  <c:v>1.0184019748844529E-2</c:v>
                </c:pt>
                <c:pt idx="9">
                  <c:v>6.4018672398374211E-3</c:v>
                </c:pt>
                <c:pt idx="10">
                  <c:v>4.1180700010056614E-3</c:v>
                </c:pt>
                <c:pt idx="11">
                  <c:v>2.7258974367934804E-3</c:v>
                </c:pt>
                <c:pt idx="12">
                  <c:v>1.8616823748158721E-3</c:v>
                </c:pt>
                <c:pt idx="13">
                  <c:v>1.3151406019060801E-3</c:v>
                </c:pt>
                <c:pt idx="14">
                  <c:v>9.6791814646200215E-4</c:v>
                </c:pt>
                <c:pt idx="15">
                  <c:v>7.5303673048763306E-4</c:v>
                </c:pt>
                <c:pt idx="16">
                  <c:v>6.2738440513527855E-4</c:v>
                </c:pt>
                <c:pt idx="17">
                  <c:v>5.5563368836978406E-4</c:v>
                </c:pt>
                <c:pt idx="18">
                  <c:v>5.0649021458218141E-4</c:v>
                </c:pt>
                <c:pt idx="19">
                  <c:v>4.5745071735146461E-4</c:v>
                </c:pt>
                <c:pt idx="20">
                  <c:v>3.995662013553912E-4</c:v>
                </c:pt>
                <c:pt idx="21">
                  <c:v>3.3583028199971163E-4</c:v>
                </c:pt>
                <c:pt idx="22">
                  <c:v>2.7396979032049968E-4</c:v>
                </c:pt>
                <c:pt idx="23">
                  <c:v>2.1939000943051239E-4</c:v>
                </c:pt>
                <c:pt idx="24">
                  <c:v>1.727763046536582E-4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62-47DA-AA63-D5C8C9F34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032"/>
        <c:axId val="154933440"/>
      </c:lineChart>
      <c:catAx>
        <c:axId val="5828403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3440"/>
        <c:crosses val="autoZero"/>
        <c:auto val="1"/>
        <c:lblAlgn val="ctr"/>
        <c:lblOffset val="100"/>
        <c:tickLblSkip val="2"/>
        <c:noMultiLvlLbl val="0"/>
      </c:catAx>
      <c:valAx>
        <c:axId val="15493344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03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76160313870800822"/>
          <c:y val="0.21483595800524941"/>
          <c:w val="0.17689743799326146"/>
          <c:h val="9.8689516751582565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Duration!$E$65:$E$85</c:f>
              <c:numCache>
                <c:formatCode>0.00%</c:formatCode>
                <c:ptCount val="21"/>
                <c:pt idx="0">
                  <c:v>0.36309550460655332</c:v>
                </c:pt>
                <c:pt idx="1">
                  <c:v>0.26000463345475183</c:v>
                </c:pt>
                <c:pt idx="2">
                  <c:v>0.17004222502162575</c:v>
                </c:pt>
                <c:pt idx="3">
                  <c:v>0.10138058370958576</c:v>
                </c:pt>
                <c:pt idx="4">
                  <c:v>5.5296472176126994E-2</c:v>
                </c:pt>
                <c:pt idx="5">
                  <c:v>2.7815369603808138E-2</c:v>
                </c:pt>
                <c:pt idx="6">
                  <c:v>1.3022411092190345E-2</c:v>
                </c:pt>
                <c:pt idx="7">
                  <c:v>5.6996678616760147E-3</c:v>
                </c:pt>
                <c:pt idx="8">
                  <c:v>2.323161878663453E-3</c:v>
                </c:pt>
                <c:pt idx="9">
                  <c:v>8.7480597715501411E-4</c:v>
                </c:pt>
                <c:pt idx="10">
                  <c:v>3.0402948795389939E-4</c:v>
                </c:pt>
                <c:pt idx="11">
                  <c:v>9.8856837612472848E-5</c:v>
                </c:pt>
                <c:pt idx="12">
                  <c:v>3.0569617606773135E-5</c:v>
                </c:pt>
                <c:pt idx="13">
                  <c:v>8.8730460595927832E-6</c:v>
                </c:pt>
                <c:pt idx="14">
                  <c:v>2.2793336545425837E-6</c:v>
                </c:pt>
                <c:pt idx="15">
                  <c:v>4.7559613498872901E-7</c:v>
                </c:pt>
                <c:pt idx="16">
                  <c:v>7.3105810396048974E-8</c:v>
                </c:pt>
                <c:pt idx="17">
                  <c:v>7.246518373751367E-9</c:v>
                </c:pt>
                <c:pt idx="18">
                  <c:v>3.4651268502323782E-10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3F-48C5-B64D-A846D9E7C45D}"/>
            </c:ext>
          </c:extLst>
        </c:ser>
        <c:ser>
          <c:idx val="1"/>
          <c:order val="1"/>
          <c:tx>
            <c:strRef>
              <c:f>Duration!$L$64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Duration!$L$65:$L$85</c:f>
              <c:numCache>
                <c:formatCode>0.00%</c:formatCode>
                <c:ptCount val="21"/>
                <c:pt idx="0">
                  <c:v>0.36514993884512714</c:v>
                </c:pt>
                <c:pt idx="1">
                  <c:v>0.2589254952085695</c:v>
                </c:pt>
                <c:pt idx="2">
                  <c:v>0.16720839991269854</c:v>
                </c:pt>
                <c:pt idx="3">
                  <c:v>9.8597665629678713E-2</c:v>
                </c:pt>
                <c:pt idx="4">
                  <c:v>5.3758640482896664E-2</c:v>
                </c:pt>
                <c:pt idx="5">
                  <c:v>2.7745423730629496E-2</c:v>
                </c:pt>
                <c:pt idx="6">
                  <c:v>1.3981734409620658E-2</c:v>
                </c:pt>
                <c:pt idx="7">
                  <c:v>7.0792006806520928E-3</c:v>
                </c:pt>
                <c:pt idx="8">
                  <c:v>3.6544688099516874E-3</c:v>
                </c:pt>
                <c:pt idx="9">
                  <c:v>1.9169406610007305E-3</c:v>
                </c:pt>
                <c:pt idx="10">
                  <c:v>1.0043440160989179E-3</c:v>
                </c:pt>
                <c:pt idx="11">
                  <c:v>5.1329321454573226E-4</c:v>
                </c:pt>
                <c:pt idx="12">
                  <c:v>2.5049579930578177E-4</c:v>
                </c:pt>
                <c:pt idx="13">
                  <c:v>1.1583374577423326E-4</c:v>
                </c:pt>
                <c:pt idx="14">
                  <c:v>5.1734309690022761E-5</c:v>
                </c:pt>
                <c:pt idx="15">
                  <c:v>2.3529423939887333E-5</c:v>
                </c:pt>
                <c:pt idx="16">
                  <c:v>1.1531233283232882E-5</c:v>
                </c:pt>
                <c:pt idx="17">
                  <c:v>6.0337324958823332E-6</c:v>
                </c:pt>
                <c:pt idx="18">
                  <c:v>3.1012570421534134E-6</c:v>
                </c:pt>
                <c:pt idx="19">
                  <c:v>1.4277765042458086E-6</c:v>
                </c:pt>
                <c:pt idx="20">
                  <c:v>5.5074552053187944E-7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3F-48C5-B64D-A846D9E7C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544"/>
        <c:axId val="154985024"/>
      </c:lineChart>
      <c:catAx>
        <c:axId val="582845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85024"/>
        <c:crosses val="autoZero"/>
        <c:auto val="1"/>
        <c:lblAlgn val="ctr"/>
        <c:lblOffset val="100"/>
        <c:tickLblSkip val="2"/>
        <c:noMultiLvlLbl val="0"/>
      </c:catAx>
      <c:valAx>
        <c:axId val="15498502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3793.6826660477072</c:v>
                </c:pt>
                <c:pt idx="2">
                  <c:v>8974.5849487846372</c:v>
                </c:pt>
                <c:pt idx="3">
                  <c:v>17041.454965692043</c:v>
                </c:pt>
                <c:pt idx="4">
                  <c:v>29497.171009064747</c:v>
                </c:pt>
                <c:pt idx="5">
                  <c:v>47451.61335859586</c:v>
                </c:pt>
                <c:pt idx="6">
                  <c:v>71007.565610570295</c:v>
                </c:pt>
                <c:pt idx="7">
                  <c:v>98587.144061774598</c:v>
                </c:pt>
                <c:pt idx="8">
                  <c:v>126522.80566556755</c:v>
                </c:pt>
                <c:pt idx="9">
                  <c:v>149467.00459522539</c:v>
                </c:pt>
                <c:pt idx="10">
                  <c:v>162009.83894761364</c:v>
                </c:pt>
                <c:pt idx="11">
                  <c:v>161012.65311754151</c:v>
                </c:pt>
                <c:pt idx="12">
                  <c:v>147226.30907580972</c:v>
                </c:pt>
                <c:pt idx="13">
                  <c:v>124948.2527534423</c:v>
                </c:pt>
                <c:pt idx="14">
                  <c:v>99908.361682265022</c:v>
                </c:pt>
                <c:pt idx="15">
                  <c:v>76888.165774483394</c:v>
                </c:pt>
                <c:pt idx="16">
                  <c:v>58488.48221658657</c:v>
                </c:pt>
                <c:pt idx="17">
                  <c:v>45272.23303134353</c:v>
                </c:pt>
                <c:pt idx="18">
                  <c:v>36559.207183364953</c:v>
                </c:pt>
                <c:pt idx="19">
                  <c:v>31157.709197137632</c:v>
                </c:pt>
                <c:pt idx="20">
                  <c:v>27829.412366755136</c:v>
                </c:pt>
                <c:pt idx="21">
                  <c:v>25569.334779206441</c:v>
                </c:pt>
                <c:pt idx="22">
                  <c:v>23731.146254060055</c:v>
                </c:pt>
                <c:pt idx="23">
                  <c:v>21983.087392577192</c:v>
                </c:pt>
                <c:pt idx="24">
                  <c:v>20177.972583596616</c:v>
                </c:pt>
                <c:pt idx="25">
                  <c:v>18265.530727863774</c:v>
                </c:pt>
                <c:pt idx="26">
                  <c:v>16266.817085780334</c:v>
                </c:pt>
                <c:pt idx="27">
                  <c:v>14241.445914698212</c:v>
                </c:pt>
                <c:pt idx="28">
                  <c:v>12233.614387188294</c:v>
                </c:pt>
                <c:pt idx="29">
                  <c:v>10256.673423279773</c:v>
                </c:pt>
                <c:pt idx="30">
                  <c:v>8334.3508411824678</c:v>
                </c:pt>
                <c:pt idx="31">
                  <c:v>6536.268154809859</c:v>
                </c:pt>
                <c:pt idx="32">
                  <c:v>4957.4446915654771</c:v>
                </c:pt>
                <c:pt idx="33">
                  <c:v>3669.4019946956892</c:v>
                </c:pt>
                <c:pt idx="34">
                  <c:v>2697.1603530170505</c:v>
                </c:pt>
                <c:pt idx="35">
                  <c:v>2028.1761053414416</c:v>
                </c:pt>
                <c:pt idx="36">
                  <c:v>1619.2693544649696</c:v>
                </c:pt>
                <c:pt idx="37">
                  <c:v>1390.4091351974596</c:v>
                </c:pt>
                <c:pt idx="38">
                  <c:v>1233.8945634464162</c:v>
                </c:pt>
                <c:pt idx="39">
                  <c:v>1056.5086630603182</c:v>
                </c:pt>
                <c:pt idx="40">
                  <c:v>824.44882173100189</c:v>
                </c:pt>
                <c:pt idx="41">
                  <c:v>567.35873518212725</c:v>
                </c:pt>
                <c:pt idx="42">
                  <c:v>339.31170515982245</c:v>
                </c:pt>
                <c:pt idx="43">
                  <c:v>175.74803168544</c:v>
                </c:pt>
                <c:pt idx="44">
                  <c:v>79.10545669039351</c:v>
                </c:pt>
                <c:pt idx="45">
                  <c:v>31.149558462315294</c:v>
                </c:pt>
                <c:pt idx="46">
                  <c:v>10.778182010844612</c:v>
                </c:pt>
                <c:pt idx="47">
                  <c:v>3.2563582145666516</c:v>
                </c:pt>
                <c:pt idx="48">
                  <c:v>0.83728180122489471</c:v>
                </c:pt>
                <c:pt idx="49">
                  <c:v>0.17168310628097533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B0-47DC-BFC9-D48A12E3E533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1790.1974617169396</c:v>
                </c:pt>
                <c:pt idx="1">
                  <c:v>5736.8159160597352</c:v>
                </c:pt>
                <c:pt idx="2">
                  <c:v>10128.365099955321</c:v>
                </c:pt>
                <c:pt idx="3">
                  <c:v>15871.786001859071</c:v>
                </c:pt>
                <c:pt idx="4">
                  <c:v>24502.498440531032</c:v>
                </c:pt>
                <c:pt idx="5">
                  <c:v>37809.013940594079</c:v>
                </c:pt>
                <c:pt idx="6">
                  <c:v>56907.86000283061</c:v>
                </c:pt>
                <c:pt idx="7">
                  <c:v>81165.334377996463</c:v>
                </c:pt>
                <c:pt idx="8">
                  <c:v>107631.40130311273</c:v>
                </c:pt>
                <c:pt idx="9">
                  <c:v>131498.51532781147</c:v>
                </c:pt>
                <c:pt idx="10">
                  <c:v>147570.72306074019</c:v>
                </c:pt>
                <c:pt idx="11">
                  <c:v>152155.73135324879</c:v>
                </c:pt>
                <c:pt idx="12">
                  <c:v>144509.09096451933</c:v>
                </c:pt>
                <c:pt idx="13">
                  <c:v>127121.80540211534</c:v>
                </c:pt>
                <c:pt idx="14">
                  <c:v>104689.35936537181</c:v>
                </c:pt>
                <c:pt idx="15">
                  <c:v>82264.420211361212</c:v>
                </c:pt>
                <c:pt idx="16">
                  <c:v>63504.672383758145</c:v>
                </c:pt>
                <c:pt idx="17">
                  <c:v>49821.515850589858</c:v>
                </c:pt>
                <c:pt idx="18">
                  <c:v>40669.649626224666</c:v>
                </c:pt>
                <c:pt idx="19">
                  <c:v>34563.810766169852</c:v>
                </c:pt>
                <c:pt idx="20">
                  <c:v>30102.595176518102</c:v>
                </c:pt>
                <c:pt idx="21">
                  <c:v>26478.271038091807</c:v>
                </c:pt>
                <c:pt idx="22">
                  <c:v>23421.564436082503</c:v>
                </c:pt>
                <c:pt idx="23">
                  <c:v>20883.580818905441</c:v>
                </c:pt>
                <c:pt idx="24">
                  <c:v>18788.913192108725</c:v>
                </c:pt>
                <c:pt idx="25">
                  <c:v>16991.919774310656</c:v>
                </c:pt>
                <c:pt idx="26">
                  <c:v>15358.088215837375</c:v>
                </c:pt>
                <c:pt idx="27">
                  <c:v>13828.744541227821</c:v>
                </c:pt>
                <c:pt idx="28">
                  <c:v>12402.679421145565</c:v>
                </c:pt>
                <c:pt idx="29">
                  <c:v>11072.206643171843</c:v>
                </c:pt>
                <c:pt idx="30">
                  <c:v>9788.7787370041551</c:v>
                </c:pt>
                <c:pt idx="31">
                  <c:v>8492.1013649959605</c:v>
                </c:pt>
                <c:pt idx="32">
                  <c:v>7169.7465313878592</c:v>
                </c:pt>
                <c:pt idx="33">
                  <c:v>5884.2667781728996</c:v>
                </c:pt>
                <c:pt idx="34">
                  <c:v>4736.6987820987206</c:v>
                </c:pt>
                <c:pt idx="35">
                  <c:v>3797.318968247318</c:v>
                </c:pt>
                <c:pt idx="36">
                  <c:v>3064.5410262209848</c:v>
                </c:pt>
                <c:pt idx="37">
                  <c:v>2481.7600648666366</c:v>
                </c:pt>
                <c:pt idx="38">
                  <c:v>1986.6376142172294</c:v>
                </c:pt>
                <c:pt idx="39">
                  <c:v>1546.1758247977887</c:v>
                </c:pt>
                <c:pt idx="40">
                  <c:v>1156.9871400224431</c:v>
                </c:pt>
                <c:pt idx="41">
                  <c:v>826.12044463944687</c:v>
                </c:pt>
                <c:pt idx="42">
                  <c:v>556.99206410720637</c:v>
                </c:pt>
                <c:pt idx="43">
                  <c:v>348.23015870665898</c:v>
                </c:pt>
                <c:pt idx="44">
                  <c:v>196.84660250377169</c:v>
                </c:pt>
                <c:pt idx="45">
                  <c:v>97.767076736468013</c:v>
                </c:pt>
                <c:pt idx="46">
                  <c:v>41.432895075047142</c:v>
                </c:pt>
                <c:pt idx="47">
                  <c:v>14.538772051890229</c:v>
                </c:pt>
                <c:pt idx="48">
                  <c:v>4.0828743262242533</c:v>
                </c:pt>
                <c:pt idx="49">
                  <c:v>0.86540555283814935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B0-47DC-BFC9-D48A12E3E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47456"/>
        <c:axId val="154987328"/>
      </c:lineChart>
      <c:catAx>
        <c:axId val="128147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7328"/>
        <c:crosses val="autoZero"/>
        <c:auto val="1"/>
        <c:lblAlgn val="ctr"/>
        <c:lblOffset val="100"/>
        <c:tickLblSkip val="10"/>
        <c:noMultiLvlLbl val="0"/>
      </c:catAx>
      <c:valAx>
        <c:axId val="15498732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47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105.52976483861445</c:v>
                </c:pt>
                <c:pt idx="2">
                  <c:v>364.29286938309133</c:v>
                </c:pt>
                <c:pt idx="3">
                  <c:v>1185.0587792860124</c:v>
                </c:pt>
                <c:pt idx="4">
                  <c:v>3528.4074785152497</c:v>
                </c:pt>
                <c:pt idx="5">
                  <c:v>9064.6591255499461</c:v>
                </c:pt>
                <c:pt idx="6">
                  <c:v>19777.752722754445</c:v>
                </c:pt>
                <c:pt idx="7">
                  <c:v>36749.393180929255</c:v>
                </c:pt>
                <c:pt idx="8">
                  <c:v>58598.28193611851</c:v>
                </c:pt>
                <c:pt idx="9">
                  <c:v>80827.844339779724</c:v>
                </c:pt>
                <c:pt idx="10">
                  <c:v>97133.93749676671</c:v>
                </c:pt>
                <c:pt idx="11">
                  <c:v>102310.23868560416</c:v>
                </c:pt>
                <c:pt idx="12">
                  <c:v>94943.021404159445</c:v>
                </c:pt>
                <c:pt idx="13">
                  <c:v>78053.764923076582</c:v>
                </c:pt>
                <c:pt idx="14">
                  <c:v>57331.486780881198</c:v>
                </c:pt>
                <c:pt idx="15">
                  <c:v>38277.557873405574</c:v>
                </c:pt>
                <c:pt idx="16">
                  <c:v>24096.652696453741</c:v>
                </c:pt>
                <c:pt idx="17">
                  <c:v>15295.438880675942</c:v>
                </c:pt>
                <c:pt idx="18">
                  <c:v>10630.125770801415</c:v>
                </c:pt>
                <c:pt idx="19">
                  <c:v>8375.4048348948854</c:v>
                </c:pt>
                <c:pt idx="20">
                  <c:v>7156.7603748587153</c:v>
                </c:pt>
                <c:pt idx="21">
                  <c:v>6215.0645151103708</c:v>
                </c:pt>
                <c:pt idx="22">
                  <c:v>5319.0763414134517</c:v>
                </c:pt>
                <c:pt idx="23">
                  <c:v>4535.3802134149482</c:v>
                </c:pt>
                <c:pt idx="24">
                  <c:v>3986.4020554690746</c:v>
                </c:pt>
                <c:pt idx="25">
                  <c:v>3701.7428247975568</c:v>
                </c:pt>
                <c:pt idx="26">
                  <c:v>3610.5872139474691</c:v>
                </c:pt>
                <c:pt idx="27">
                  <c:v>3613.879892565195</c:v>
                </c:pt>
                <c:pt idx="28">
                  <c:v>3631.1378644260726</c:v>
                </c:pt>
                <c:pt idx="29">
                  <c:v>3590.6313454381047</c:v>
                </c:pt>
                <c:pt idx="30">
                  <c:v>3416.9094614557043</c:v>
                </c:pt>
                <c:pt idx="31">
                  <c:v>3058.621519079963</c:v>
                </c:pt>
                <c:pt idx="32">
                  <c:v>2529.642632915713</c:v>
                </c:pt>
                <c:pt idx="33">
                  <c:v>1913.1547339771837</c:v>
                </c:pt>
                <c:pt idx="34">
                  <c:v>1321.3976758331689</c:v>
                </c:pt>
                <c:pt idx="35">
                  <c:v>846.8071857531271</c:v>
                </c:pt>
                <c:pt idx="36">
                  <c:v>539.8066467395571</c:v>
                </c:pt>
                <c:pt idx="37">
                  <c:v>419.34506765678412</c:v>
                </c:pt>
                <c:pt idx="38">
                  <c:v>491.48705116949571</c:v>
                </c:pt>
                <c:pt idx="39">
                  <c:v>741.73868782302873</c:v>
                </c:pt>
                <c:pt idx="40">
                  <c:v>1098.6290150251612</c:v>
                </c:pt>
                <c:pt idx="41">
                  <c:v>1418.3022824947557</c:v>
                </c:pt>
                <c:pt idx="42">
                  <c:v>1541.140788739476</c:v>
                </c:pt>
                <c:pt idx="43">
                  <c:v>1394.0566082987384</c:v>
                </c:pt>
                <c:pt idx="44">
                  <c:v>1043.2528781890896</c:v>
                </c:pt>
                <c:pt idx="45">
                  <c:v>641.31952955287488</c:v>
                </c:pt>
                <c:pt idx="46">
                  <c:v>320.4704705284226</c:v>
                </c:pt>
                <c:pt idx="47">
                  <c:v>128.13958259405601</c:v>
                </c:pt>
                <c:pt idx="48">
                  <c:v>40.024438388542634</c:v>
                </c:pt>
                <c:pt idx="49">
                  <c:v>9.2523155989229569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4B-494D-9611-FB3A708B1416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28.268948715325628</c:v>
                </c:pt>
                <c:pt idx="1">
                  <c:v>158.93805621230683</c:v>
                </c:pt>
                <c:pt idx="2">
                  <c:v>397.98036306085845</c:v>
                </c:pt>
                <c:pt idx="3">
                  <c:v>1025.1898514908353</c:v>
                </c:pt>
                <c:pt idx="4">
                  <c:v>2654.9979284664832</c:v>
                </c:pt>
                <c:pt idx="5">
                  <c:v>6300.2478345363006</c:v>
                </c:pt>
                <c:pt idx="6">
                  <c:v>13155.376691610005</c:v>
                </c:pt>
                <c:pt idx="7">
                  <c:v>23982.616796312192</c:v>
                </c:pt>
                <c:pt idx="8">
                  <c:v>38296.492331997288</c:v>
                </c:pt>
                <c:pt idx="9">
                  <c:v>53899.663993714144</c:v>
                </c:pt>
                <c:pt idx="10">
                  <c:v>67318.10650649466</c:v>
                </c:pt>
                <c:pt idx="11">
                  <c:v>75143.05126056532</c:v>
                </c:pt>
                <c:pt idx="12">
                  <c:v>75573.576914078716</c:v>
                </c:pt>
                <c:pt idx="13">
                  <c:v>69196.365185855786</c:v>
                </c:pt>
                <c:pt idx="14">
                  <c:v>58525.395031321532</c:v>
                </c:pt>
                <c:pt idx="15">
                  <c:v>46676.756485402111</c:v>
                </c:pt>
                <c:pt idx="16">
                  <c:v>36062.132537616577</c:v>
                </c:pt>
                <c:pt idx="17">
                  <c:v>27788.121036070472</c:v>
                </c:pt>
                <c:pt idx="18">
                  <c:v>21837.257885605824</c:v>
                </c:pt>
                <c:pt idx="19">
                  <c:v>17638.145154862872</c:v>
                </c:pt>
                <c:pt idx="20">
                  <c:v>14579.253654868984</c:v>
                </c:pt>
                <c:pt idx="21">
                  <c:v>12250.725276166453</c:v>
                </c:pt>
                <c:pt idx="22">
                  <c:v>10444.28570148789</c:v>
                </c:pt>
                <c:pt idx="23">
                  <c:v>9053.5613356177855</c:v>
                </c:pt>
                <c:pt idx="24">
                  <c:v>7997.3767266025061</c:v>
                </c:pt>
                <c:pt idx="25">
                  <c:v>7207.485618620125</c:v>
                </c:pt>
                <c:pt idx="26">
                  <c:v>6649.6555436305507</c:v>
                </c:pt>
                <c:pt idx="27">
                  <c:v>6324.6251848998809</c:v>
                </c:pt>
                <c:pt idx="28">
                  <c:v>6226.30886117912</c:v>
                </c:pt>
                <c:pt idx="29">
                  <c:v>6286.2999505004791</c:v>
                </c:pt>
                <c:pt idx="30">
                  <c:v>6360.4551487915296</c:v>
                </c:pt>
                <c:pt idx="31">
                  <c:v>6287.1452953994958</c:v>
                </c:pt>
                <c:pt idx="32">
                  <c:v>5981.7590163461418</c:v>
                </c:pt>
                <c:pt idx="33">
                  <c:v>5485.9860424771432</c:v>
                </c:pt>
                <c:pt idx="34">
                  <c:v>4919.864698677633</c:v>
                </c:pt>
                <c:pt idx="35">
                  <c:v>4374.678851032163</c:v>
                </c:pt>
                <c:pt idx="36">
                  <c:v>3844.9614438138437</c:v>
                </c:pt>
                <c:pt idx="37">
                  <c:v>3259.661999054706</c:v>
                </c:pt>
                <c:pt idx="38">
                  <c:v>2574.7467639399688</c:v>
                </c:pt>
                <c:pt idx="39">
                  <c:v>1834.8780620544792</c:v>
                </c:pt>
                <c:pt idx="40">
                  <c:v>1151.0640985479492</c:v>
                </c:pt>
                <c:pt idx="41">
                  <c:v>624.81904087553528</c:v>
                </c:pt>
                <c:pt idx="42">
                  <c:v>290.56734036774986</c:v>
                </c:pt>
                <c:pt idx="43">
                  <c:v>115.79349108562589</c:v>
                </c:pt>
                <c:pt idx="44">
                  <c:v>40.273940467292306</c:v>
                </c:pt>
                <c:pt idx="45">
                  <c:v>12.77421364114371</c:v>
                </c:pt>
                <c:pt idx="46">
                  <c:v>3.8929164476275147</c:v>
                </c:pt>
                <c:pt idx="47">
                  <c:v>1.1436027324491005</c:v>
                </c:pt>
                <c:pt idx="48">
                  <c:v>0.30101019937657725</c:v>
                </c:pt>
                <c:pt idx="49">
                  <c:v>6.2992075946493004E-2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B-494D-9611-FB3A708B1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51040"/>
        <c:axId val="154989056"/>
      </c:lineChart>
      <c:catAx>
        <c:axId val="12815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9056"/>
        <c:crosses val="autoZero"/>
        <c:auto val="1"/>
        <c:lblAlgn val="ctr"/>
        <c:lblOffset val="100"/>
        <c:tickLblSkip val="10"/>
        <c:noMultiLvlLbl val="0"/>
      </c:catAx>
      <c:valAx>
        <c:axId val="15498905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5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0</c:v>
                </c:pt>
                <c:pt idx="1">
                  <c:v>1677.8350168269787</c:v>
                </c:pt>
                <c:pt idx="2">
                  <c:v>3426.6218163315662</c:v>
                </c:pt>
                <c:pt idx="3">
                  <c:v>5394.2835808550162</c:v>
                </c:pt>
                <c:pt idx="4">
                  <c:v>7905.2736183669849</c:v>
                </c:pt>
                <c:pt idx="5">
                  <c:v>11555.559792405105</c:v>
                </c:pt>
                <c:pt idx="6">
                  <c:v>17219.364073966579</c:v>
                </c:pt>
                <c:pt idx="7">
                  <c:v>25869.056664747368</c:v>
                </c:pt>
                <c:pt idx="8">
                  <c:v>38165.729834313388</c:v>
                </c:pt>
                <c:pt idx="9">
                  <c:v>53922.252765772922</c:v>
                </c:pt>
                <c:pt idx="10">
                  <c:v>71739.451251517632</c:v>
                </c:pt>
                <c:pt idx="11">
                  <c:v>89196.162707906507</c:v>
                </c:pt>
                <c:pt idx="12">
                  <c:v>103704.37577907242</c:v>
                </c:pt>
                <c:pt idx="13">
                  <c:v>113587.937927466</c:v>
                </c:pt>
                <c:pt idx="14">
                  <c:v>118634.66887457909</c:v>
                </c:pt>
                <c:pt idx="15">
                  <c:v>119767.50346923675</c:v>
                </c:pt>
                <c:pt idx="16">
                  <c:v>118265.29592734177</c:v>
                </c:pt>
                <c:pt idx="17">
                  <c:v>115271.5972564118</c:v>
                </c:pt>
                <c:pt idx="18">
                  <c:v>111830.14128662033</c:v>
                </c:pt>
                <c:pt idx="19">
                  <c:v>109040.23247608583</c:v>
                </c:pt>
                <c:pt idx="20">
                  <c:v>107894.17629745758</c:v>
                </c:pt>
                <c:pt idx="21">
                  <c:v>108849.32738594795</c:v>
                </c:pt>
                <c:pt idx="22">
                  <c:v>111544.22356090417</c:v>
                </c:pt>
                <c:pt idx="23">
                  <c:v>114976.5011093584</c:v>
                </c:pt>
                <c:pt idx="24">
                  <c:v>118128.7627829741</c:v>
                </c:pt>
                <c:pt idx="25">
                  <c:v>120714.51504266608</c:v>
                </c:pt>
                <c:pt idx="26">
                  <c:v>123529.51375591883</c:v>
                </c:pt>
                <c:pt idx="27">
                  <c:v>127983.02814094757</c:v>
                </c:pt>
                <c:pt idx="28">
                  <c:v>134877.62317378141</c:v>
                </c:pt>
                <c:pt idx="29">
                  <c:v>143176.31498076537</c:v>
                </c:pt>
                <c:pt idx="30">
                  <c:v>149759.88982550564</c:v>
                </c:pt>
                <c:pt idx="31">
                  <c:v>150634.92787296767</c:v>
                </c:pt>
                <c:pt idx="32">
                  <c:v>142990.2705954694</c:v>
                </c:pt>
                <c:pt idx="33">
                  <c:v>126769.37765009834</c:v>
                </c:pt>
                <c:pt idx="34">
                  <c:v>104714.6496415594</c:v>
                </c:pt>
                <c:pt idx="35">
                  <c:v>80953.448852857808</c:v>
                </c:pt>
                <c:pt idx="36">
                  <c:v>59168.86132119922</c:v>
                </c:pt>
                <c:pt idx="37">
                  <c:v>41451.577328202897</c:v>
                </c:pt>
                <c:pt idx="38">
                  <c:v>28212.09765175034</c:v>
                </c:pt>
                <c:pt idx="39">
                  <c:v>18799.6934230523</c:v>
                </c:pt>
                <c:pt idx="40">
                  <c:v>12237.845932909582</c:v>
                </c:pt>
                <c:pt idx="41">
                  <c:v>7688.454307834656</c:v>
                </c:pt>
                <c:pt idx="42">
                  <c:v>4579.7860199586476</c:v>
                </c:pt>
                <c:pt idx="43">
                  <c:v>2537.5450547970286</c:v>
                </c:pt>
                <c:pt idx="44">
                  <c:v>1283.2242359762449</c:v>
                </c:pt>
                <c:pt idx="45">
                  <c:v>580.76371902600715</c:v>
                </c:pt>
                <c:pt idx="46">
                  <c:v>230.19951310588564</c:v>
                </c:pt>
                <c:pt idx="47">
                  <c:v>77.956356170659404</c:v>
                </c:pt>
                <c:pt idx="48">
                  <c:v>21.904276654501107</c:v>
                </c:pt>
                <c:pt idx="49">
                  <c:v>4.8317278680175102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43-4D5B-8A27-15CDBA3EC109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8077.637404506052</c:v>
                </c:pt>
                <c:pt idx="1">
                  <c:v>8927.6102213356971</c:v>
                </c:pt>
                <c:pt idx="2">
                  <c:v>9506.7786211336388</c:v>
                </c:pt>
                <c:pt idx="3">
                  <c:v>10018.583060219318</c:v>
                </c:pt>
                <c:pt idx="4">
                  <c:v>11247.617289574266</c:v>
                </c:pt>
                <c:pt idx="5">
                  <c:v>14256.305125213707</c:v>
                </c:pt>
                <c:pt idx="6">
                  <c:v>19932.310901772835</c:v>
                </c:pt>
                <c:pt idx="7">
                  <c:v>28674.71124156312</c:v>
                </c:pt>
                <c:pt idx="8">
                  <c:v>40323.736423371462</c:v>
                </c:pt>
                <c:pt idx="9">
                  <c:v>54251.926652645794</c:v>
                </c:pt>
                <c:pt idx="10">
                  <c:v>69471.766746100082</c:v>
                </c:pt>
                <c:pt idx="11">
                  <c:v>84691.222154727031</c:v>
                </c:pt>
                <c:pt idx="12">
                  <c:v>98388.846020327546</c:v>
                </c:pt>
                <c:pt idx="13">
                  <c:v>109045.69828121284</c:v>
                </c:pt>
                <c:pt idx="14">
                  <c:v>115566.83972103763</c:v>
                </c:pt>
                <c:pt idx="15">
                  <c:v>117720.54295600048</c:v>
                </c:pt>
                <c:pt idx="16">
                  <c:v>116315.15797766889</c:v>
                </c:pt>
                <c:pt idx="17">
                  <c:v>112945.23779724419</c:v>
                </c:pt>
                <c:pt idx="18">
                  <c:v>109391.39362085801</c:v>
                </c:pt>
                <c:pt idx="19">
                  <c:v>106965.18848788604</c:v>
                </c:pt>
                <c:pt idx="20">
                  <c:v>106127.38484665805</c:v>
                </c:pt>
                <c:pt idx="21">
                  <c:v>106565.58676719989</c:v>
                </c:pt>
                <c:pt idx="22">
                  <c:v>107662.0603037268</c:v>
                </c:pt>
                <c:pt idx="23">
                  <c:v>109042.76632415071</c:v>
                </c:pt>
                <c:pt idx="24">
                  <c:v>110838.79679657466</c:v>
                </c:pt>
                <c:pt idx="25">
                  <c:v>113497.35718791939</c:v>
                </c:pt>
                <c:pt idx="26">
                  <c:v>117327.3432523791</c:v>
                </c:pt>
                <c:pt idx="27">
                  <c:v>122149.84347267395</c:v>
                </c:pt>
                <c:pt idx="28">
                  <c:v>127251.68057796525</c:v>
                </c:pt>
                <c:pt idx="29">
                  <c:v>131526.27736163349</c:v>
                </c:pt>
                <c:pt idx="30">
                  <c:v>133648.5434858239</c:v>
                </c:pt>
                <c:pt idx="31">
                  <c:v>132360.82344609997</c:v>
                </c:pt>
                <c:pt idx="32">
                  <c:v>126954.35294985576</c:v>
                </c:pt>
                <c:pt idx="33">
                  <c:v>117665.50079398802</c:v>
                </c:pt>
                <c:pt idx="34">
                  <c:v>105545.66368157179</c:v>
                </c:pt>
                <c:pt idx="35">
                  <c:v>91825.683616738577</c:v>
                </c:pt>
                <c:pt idx="36">
                  <c:v>77359.604780228008</c:v>
                </c:pt>
                <c:pt idx="37">
                  <c:v>62635.900262742354</c:v>
                </c:pt>
                <c:pt idx="38">
                  <c:v>48191.931810664842</c:v>
                </c:pt>
                <c:pt idx="39">
                  <c:v>34863.493718644022</c:v>
                </c:pt>
                <c:pt idx="40">
                  <c:v>23569.989386592613</c:v>
                </c:pt>
                <c:pt idx="41">
                  <c:v>14878.439186214275</c:v>
                </c:pt>
                <c:pt idx="42">
                  <c:v>8780.3446717674851</c:v>
                </c:pt>
                <c:pt idx="43">
                  <c:v>4830.7731970164377</c:v>
                </c:pt>
                <c:pt idx="44">
                  <c:v>2446.884669406908</c:v>
                </c:pt>
                <c:pt idx="45">
                  <c:v>1114.5033113625234</c:v>
                </c:pt>
                <c:pt idx="46">
                  <c:v>442.49076400770923</c:v>
                </c:pt>
                <c:pt idx="47">
                  <c:v>147.85527806241564</c:v>
                </c:pt>
                <c:pt idx="48">
                  <c:v>39.985588987127699</c:v>
                </c:pt>
                <c:pt idx="49">
                  <c:v>8.2281728320191014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43-4D5B-8A27-15CDBA3EC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7104"/>
        <c:axId val="154990784"/>
      </c:lineChart>
      <c:catAx>
        <c:axId val="14852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90784"/>
        <c:crosses val="autoZero"/>
        <c:auto val="1"/>
        <c:lblAlgn val="ctr"/>
        <c:lblOffset val="100"/>
        <c:tickLblSkip val="10"/>
        <c:noMultiLvlLbl val="0"/>
      </c:catAx>
      <c:valAx>
        <c:axId val="1549907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7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4.2118758157721343</c:v>
                </c:pt>
                <c:pt idx="2">
                  <c:v>11.964854599680525</c:v>
                </c:pt>
                <c:pt idx="3">
                  <c:v>28.349667833511681</c:v>
                </c:pt>
                <c:pt idx="4">
                  <c:v>61.626056565615727</c:v>
                </c:pt>
                <c:pt idx="5">
                  <c:v>124.95678716524954</c:v>
                </c:pt>
                <c:pt idx="6">
                  <c:v>238.79640381460746</c:v>
                </c:pt>
                <c:pt idx="7">
                  <c:v>433.98685656641271</c:v>
                </c:pt>
                <c:pt idx="8">
                  <c:v>751.86400614578849</c:v>
                </c:pt>
                <c:pt idx="9">
                  <c:v>1234.5857169203505</c:v>
                </c:pt>
                <c:pt idx="10">
                  <c:v>1906.594945917851</c:v>
                </c:pt>
                <c:pt idx="11">
                  <c:v>2767.0319300754336</c:v>
                </c:pt>
                <c:pt idx="12">
                  <c:v>3821.2816847476474</c:v>
                </c:pt>
                <c:pt idx="13">
                  <c:v>5150.4024097322999</c:v>
                </c:pt>
                <c:pt idx="14">
                  <c:v>6953.8890029457925</c:v>
                </c:pt>
                <c:pt idx="15">
                  <c:v>9462.8965369938742</c:v>
                </c:pt>
                <c:pt idx="16">
                  <c:v>12692.132178399366</c:v>
                </c:pt>
                <c:pt idx="17">
                  <c:v>16182.114053263607</c:v>
                </c:pt>
                <c:pt idx="18">
                  <c:v>19008.887228717143</c:v>
                </c:pt>
                <c:pt idx="19">
                  <c:v>20190.769153367415</c:v>
                </c:pt>
                <c:pt idx="20">
                  <c:v>19256.815803111182</c:v>
                </c:pt>
                <c:pt idx="21">
                  <c:v>16536.320669446111</c:v>
                </c:pt>
                <c:pt idx="22">
                  <c:v>12945.717997265619</c:v>
                </c:pt>
                <c:pt idx="23">
                  <c:v>9469.6463423414552</c:v>
                </c:pt>
                <c:pt idx="24">
                  <c:v>6724.7062579125404</c:v>
                </c:pt>
                <c:pt idx="25">
                  <c:v>4837.4662256163729</c:v>
                </c:pt>
                <c:pt idx="26">
                  <c:v>3600.459947079647</c:v>
                </c:pt>
                <c:pt idx="27">
                  <c:v>2724.2737674152131</c:v>
                </c:pt>
                <c:pt idx="28">
                  <c:v>2016.6320843655403</c:v>
                </c:pt>
                <c:pt idx="29">
                  <c:v>1421.1936513757878</c:v>
                </c:pt>
                <c:pt idx="30">
                  <c:v>956.83946270762897</c:v>
                </c:pt>
                <c:pt idx="31">
                  <c:v>642.72201434620558</c:v>
                </c:pt>
                <c:pt idx="32">
                  <c:v>462.85353539471589</c:v>
                </c:pt>
                <c:pt idx="33">
                  <c:v>371.32564010995594</c:v>
                </c:pt>
                <c:pt idx="34">
                  <c:v>315.91776831151395</c:v>
                </c:pt>
                <c:pt idx="35">
                  <c:v>260.75056107983846</c:v>
                </c:pt>
                <c:pt idx="36">
                  <c:v>195.8359718533693</c:v>
                </c:pt>
                <c:pt idx="37">
                  <c:v>130.0730407690902</c:v>
                </c:pt>
                <c:pt idx="38">
                  <c:v>76.012821528062972</c:v>
                </c:pt>
                <c:pt idx="39">
                  <c:v>39.337175625405045</c:v>
                </c:pt>
                <c:pt idx="40">
                  <c:v>18.148528665799969</c:v>
                </c:pt>
                <c:pt idx="41">
                  <c:v>7.4258433295356037</c:v>
                </c:pt>
                <c:pt idx="42">
                  <c:v>2.6288906333622588</c:v>
                </c:pt>
                <c:pt idx="43">
                  <c:v>0.7710007610219668</c:v>
                </c:pt>
                <c:pt idx="44">
                  <c:v>0.17665640853187559</c:v>
                </c:pt>
                <c:pt idx="45">
                  <c:v>2.9228861477413173E-2</c:v>
                </c:pt>
                <c:pt idx="46">
                  <c:v>3.0767222607803349E-3</c:v>
                </c:pt>
                <c:pt idx="47">
                  <c:v>1.5383611303901673E-4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1-4EB4-A51A-1C155ACD991F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87.468679452461245</c:v>
                </c:pt>
                <c:pt idx="1">
                  <c:v>148.29638823710835</c:v>
                </c:pt>
                <c:pt idx="2">
                  <c:v>190.91866912022004</c:v>
                </c:pt>
                <c:pt idx="3">
                  <c:v>216.6914487600273</c:v>
                </c:pt>
                <c:pt idx="4">
                  <c:v>247.50699737256457</c:v>
                </c:pt>
                <c:pt idx="5">
                  <c:v>312.20626435276381</c:v>
                </c:pt>
                <c:pt idx="6">
                  <c:v>437.31005091972679</c:v>
                </c:pt>
                <c:pt idx="7">
                  <c:v>650.67930924858661</c:v>
                </c:pt>
                <c:pt idx="8">
                  <c:v>988.39017609678854</c:v>
                </c:pt>
                <c:pt idx="9">
                  <c:v>1493.9113271870408</c:v>
                </c:pt>
                <c:pt idx="10">
                  <c:v>2213.9585882316142</c:v>
                </c:pt>
                <c:pt idx="11">
                  <c:v>3200.8782832406937</c:v>
                </c:pt>
                <c:pt idx="12">
                  <c:v>4512.2474954872696</c:v>
                </c:pt>
                <c:pt idx="13">
                  <c:v>6182.294023381035</c:v>
                </c:pt>
                <c:pt idx="14">
                  <c:v>8164.2873040130453</c:v>
                </c:pt>
                <c:pt idx="15">
                  <c:v>10287.190109999763</c:v>
                </c:pt>
                <c:pt idx="16">
                  <c:v>12269.10813853628</c:v>
                </c:pt>
                <c:pt idx="17">
                  <c:v>13780.947050159068</c:v>
                </c:pt>
                <c:pt idx="18">
                  <c:v>14529.107128988868</c:v>
                </c:pt>
                <c:pt idx="19">
                  <c:v>14347.651643966017</c:v>
                </c:pt>
                <c:pt idx="20">
                  <c:v>13285.247124615622</c:v>
                </c:pt>
                <c:pt idx="21">
                  <c:v>11621.319159662818</c:v>
                </c:pt>
                <c:pt idx="22">
                  <c:v>9753.4668844641819</c:v>
                </c:pt>
                <c:pt idx="23">
                  <c:v>8011.9477923203513</c:v>
                </c:pt>
                <c:pt idx="24">
                  <c:v>6544.2652083201956</c:v>
                </c:pt>
                <c:pt idx="25">
                  <c:v>5345.2828433629365</c:v>
                </c:pt>
                <c:pt idx="26">
                  <c:v>4365.0814633152686</c:v>
                </c:pt>
                <c:pt idx="27">
                  <c:v>3579.1904140736224</c:v>
                </c:pt>
                <c:pt idx="28">
                  <c:v>2981.6090076641253</c:v>
                </c:pt>
                <c:pt idx="29">
                  <c:v>2545.7798668798482</c:v>
                </c:pt>
                <c:pt idx="30">
                  <c:v>2210.5922736372922</c:v>
                </c:pt>
                <c:pt idx="31">
                  <c:v>1907.3921660150552</c:v>
                </c:pt>
                <c:pt idx="32">
                  <c:v>1602.2981961179896</c:v>
                </c:pt>
                <c:pt idx="33">
                  <c:v>1314.5340825602952</c:v>
                </c:pt>
                <c:pt idx="34">
                  <c:v>1091.3626343402379</c:v>
                </c:pt>
                <c:pt idx="35">
                  <c:v>958.9145077985404</c:v>
                </c:pt>
                <c:pt idx="36">
                  <c:v>892.09284874645937</c:v>
                </c:pt>
                <c:pt idx="37">
                  <c:v>830.35319702698155</c:v>
                </c:pt>
                <c:pt idx="38">
                  <c:v>723.51721418863679</c:v>
                </c:pt>
                <c:pt idx="39">
                  <c:v>565.5877564626411</c:v>
                </c:pt>
                <c:pt idx="40">
                  <c:v>390.05182544806854</c:v>
                </c:pt>
                <c:pt idx="41">
                  <c:v>238.08562148324961</c:v>
                </c:pt>
                <c:pt idx="42">
                  <c:v>131.30511522516488</c:v>
                </c:pt>
                <c:pt idx="43">
                  <c:v>67.574352499570765</c:v>
                </c:pt>
                <c:pt idx="44">
                  <c:v>33.259540406048174</c:v>
                </c:pt>
                <c:pt idx="45">
                  <c:v>15.521530766882595</c:v>
                </c:pt>
                <c:pt idx="46">
                  <c:v>6.5714526458652633</c:v>
                </c:pt>
                <c:pt idx="47">
                  <c:v>2.3828205256296897</c:v>
                </c:pt>
                <c:pt idx="48">
                  <c:v>0.70012003924203503</c:v>
                </c:pt>
                <c:pt idx="49">
                  <c:v>0.1552369484220707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F1-4EB4-A51A-1C155ACD9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08928"/>
        <c:axId val="155754496"/>
      </c:lineChart>
      <c:catAx>
        <c:axId val="150908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4496"/>
        <c:crosses val="autoZero"/>
        <c:auto val="1"/>
        <c:lblAlgn val="ctr"/>
        <c:lblOffset val="100"/>
        <c:tickLblSkip val="10"/>
        <c:noMultiLvlLbl val="0"/>
      </c:catAx>
      <c:valAx>
        <c:axId val="15575449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08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3793.6826660477072</c:v>
                </c:pt>
                <c:pt idx="2">
                  <c:v>8974.5849487846372</c:v>
                </c:pt>
                <c:pt idx="3">
                  <c:v>17041.454965692043</c:v>
                </c:pt>
                <c:pt idx="4">
                  <c:v>29497.171009064747</c:v>
                </c:pt>
                <c:pt idx="5">
                  <c:v>47451.61335859586</c:v>
                </c:pt>
                <c:pt idx="6">
                  <c:v>71007.565610570295</c:v>
                </c:pt>
                <c:pt idx="7">
                  <c:v>98587.144061774598</c:v>
                </c:pt>
                <c:pt idx="8">
                  <c:v>126522.80566556755</c:v>
                </c:pt>
                <c:pt idx="9">
                  <c:v>149467.00459522539</c:v>
                </c:pt>
                <c:pt idx="10">
                  <c:v>162009.83894761364</c:v>
                </c:pt>
                <c:pt idx="11">
                  <c:v>161012.65311754151</c:v>
                </c:pt>
                <c:pt idx="12">
                  <c:v>147226.30907580972</c:v>
                </c:pt>
                <c:pt idx="13">
                  <c:v>124948.2527534423</c:v>
                </c:pt>
                <c:pt idx="14">
                  <c:v>99908.361682265022</c:v>
                </c:pt>
                <c:pt idx="15">
                  <c:v>76888.165774483394</c:v>
                </c:pt>
                <c:pt idx="16">
                  <c:v>58488.48221658657</c:v>
                </c:pt>
                <c:pt idx="17">
                  <c:v>45272.23303134353</c:v>
                </c:pt>
                <c:pt idx="18">
                  <c:v>36559.207183364953</c:v>
                </c:pt>
                <c:pt idx="19">
                  <c:v>31157.709197137632</c:v>
                </c:pt>
                <c:pt idx="20">
                  <c:v>27829.412366755136</c:v>
                </c:pt>
                <c:pt idx="21">
                  <c:v>25569.334779206441</c:v>
                </c:pt>
                <c:pt idx="22">
                  <c:v>23731.146254060055</c:v>
                </c:pt>
                <c:pt idx="23">
                  <c:v>21983.087392577192</c:v>
                </c:pt>
                <c:pt idx="24">
                  <c:v>20177.972583596616</c:v>
                </c:pt>
                <c:pt idx="25">
                  <c:v>18265.530727863774</c:v>
                </c:pt>
                <c:pt idx="26">
                  <c:v>16266.817085780334</c:v>
                </c:pt>
                <c:pt idx="27">
                  <c:v>14241.445914698212</c:v>
                </c:pt>
                <c:pt idx="28">
                  <c:v>12233.614387188294</c:v>
                </c:pt>
                <c:pt idx="29">
                  <c:v>10256.673423279773</c:v>
                </c:pt>
                <c:pt idx="30">
                  <c:v>8334.3508411824678</c:v>
                </c:pt>
                <c:pt idx="31">
                  <c:v>6536.268154809859</c:v>
                </c:pt>
                <c:pt idx="32">
                  <c:v>4957.4446915654771</c:v>
                </c:pt>
                <c:pt idx="33">
                  <c:v>3669.4019946956892</c:v>
                </c:pt>
                <c:pt idx="34">
                  <c:v>2697.1603530170505</c:v>
                </c:pt>
                <c:pt idx="35">
                  <c:v>2028.1761053414416</c:v>
                </c:pt>
                <c:pt idx="36">
                  <c:v>1619.2693544649696</c:v>
                </c:pt>
                <c:pt idx="37">
                  <c:v>1390.4091351974596</c:v>
                </c:pt>
                <c:pt idx="38">
                  <c:v>1233.8945634464162</c:v>
                </c:pt>
                <c:pt idx="39">
                  <c:v>1056.5086630603182</c:v>
                </c:pt>
                <c:pt idx="40">
                  <c:v>824.44882173100189</c:v>
                </c:pt>
                <c:pt idx="41">
                  <c:v>567.35873518212725</c:v>
                </c:pt>
                <c:pt idx="42">
                  <c:v>339.31170515982245</c:v>
                </c:pt>
                <c:pt idx="43">
                  <c:v>175.74803168544</c:v>
                </c:pt>
                <c:pt idx="44">
                  <c:v>79.10545669039351</c:v>
                </c:pt>
                <c:pt idx="45">
                  <c:v>31.149558462315294</c:v>
                </c:pt>
                <c:pt idx="46">
                  <c:v>10.778182010844612</c:v>
                </c:pt>
                <c:pt idx="47">
                  <c:v>3.2563582145666516</c:v>
                </c:pt>
                <c:pt idx="48">
                  <c:v>0.83728180122489471</c:v>
                </c:pt>
                <c:pt idx="49">
                  <c:v>0.17168310628097533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1-471D-8BD9-2BD56B078CE8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1790.1974617169396</c:v>
                </c:pt>
                <c:pt idx="1">
                  <c:v>5736.8159160597352</c:v>
                </c:pt>
                <c:pt idx="2">
                  <c:v>10128.365099955321</c:v>
                </c:pt>
                <c:pt idx="3">
                  <c:v>15871.786001859071</c:v>
                </c:pt>
                <c:pt idx="4">
                  <c:v>24502.498440531032</c:v>
                </c:pt>
                <c:pt idx="5">
                  <c:v>37809.013940594079</c:v>
                </c:pt>
                <c:pt idx="6">
                  <c:v>56907.86000283061</c:v>
                </c:pt>
                <c:pt idx="7">
                  <c:v>81165.334377996463</c:v>
                </c:pt>
                <c:pt idx="8">
                  <c:v>107631.40130311273</c:v>
                </c:pt>
                <c:pt idx="9">
                  <c:v>131498.51532781147</c:v>
                </c:pt>
                <c:pt idx="10">
                  <c:v>147570.72306074019</c:v>
                </c:pt>
                <c:pt idx="11">
                  <c:v>152155.73135324879</c:v>
                </c:pt>
                <c:pt idx="12">
                  <c:v>144509.09096451933</c:v>
                </c:pt>
                <c:pt idx="13">
                  <c:v>127121.80540211534</c:v>
                </c:pt>
                <c:pt idx="14">
                  <c:v>104689.35936537181</c:v>
                </c:pt>
                <c:pt idx="15">
                  <c:v>82264.420211361212</c:v>
                </c:pt>
                <c:pt idx="16">
                  <c:v>63504.672383758145</c:v>
                </c:pt>
                <c:pt idx="17">
                  <c:v>49821.515850589858</c:v>
                </c:pt>
                <c:pt idx="18">
                  <c:v>40669.649626224666</c:v>
                </c:pt>
                <c:pt idx="19">
                  <c:v>34563.810766169852</c:v>
                </c:pt>
                <c:pt idx="20">
                  <c:v>30102.595176518102</c:v>
                </c:pt>
                <c:pt idx="21">
                  <c:v>26478.271038091807</c:v>
                </c:pt>
                <c:pt idx="22">
                  <c:v>23421.564436082503</c:v>
                </c:pt>
                <c:pt idx="23">
                  <c:v>20883.580818905441</c:v>
                </c:pt>
                <c:pt idx="24">
                  <c:v>18788.913192108725</c:v>
                </c:pt>
                <c:pt idx="25">
                  <c:v>16991.919774310656</c:v>
                </c:pt>
                <c:pt idx="26">
                  <c:v>15358.088215837375</c:v>
                </c:pt>
                <c:pt idx="27">
                  <c:v>13828.744541227821</c:v>
                </c:pt>
                <c:pt idx="28">
                  <c:v>12402.679421145565</c:v>
                </c:pt>
                <c:pt idx="29">
                  <c:v>11072.206643171843</c:v>
                </c:pt>
                <c:pt idx="30">
                  <c:v>9788.7787370041551</c:v>
                </c:pt>
                <c:pt idx="31">
                  <c:v>8492.1013649959605</c:v>
                </c:pt>
                <c:pt idx="32">
                  <c:v>7169.7465313878592</c:v>
                </c:pt>
                <c:pt idx="33">
                  <c:v>5884.2667781728996</c:v>
                </c:pt>
                <c:pt idx="34">
                  <c:v>4736.6987820987206</c:v>
                </c:pt>
                <c:pt idx="35">
                  <c:v>3797.318968247318</c:v>
                </c:pt>
                <c:pt idx="36">
                  <c:v>3064.5410262209848</c:v>
                </c:pt>
                <c:pt idx="37">
                  <c:v>2481.7600648666366</c:v>
                </c:pt>
                <c:pt idx="38">
                  <c:v>1986.6376142172294</c:v>
                </c:pt>
                <c:pt idx="39">
                  <c:v>1546.1758247977887</c:v>
                </c:pt>
                <c:pt idx="40">
                  <c:v>1156.9871400224431</c:v>
                </c:pt>
                <c:pt idx="41">
                  <c:v>826.12044463944687</c:v>
                </c:pt>
                <c:pt idx="42">
                  <c:v>556.99206410720637</c:v>
                </c:pt>
                <c:pt idx="43">
                  <c:v>348.23015870665898</c:v>
                </c:pt>
                <c:pt idx="44">
                  <c:v>196.84660250377169</c:v>
                </c:pt>
                <c:pt idx="45">
                  <c:v>97.767076736468013</c:v>
                </c:pt>
                <c:pt idx="46">
                  <c:v>41.432895075047142</c:v>
                </c:pt>
                <c:pt idx="47">
                  <c:v>14.538772051890229</c:v>
                </c:pt>
                <c:pt idx="48">
                  <c:v>4.0828743262242533</c:v>
                </c:pt>
                <c:pt idx="49">
                  <c:v>0.86540555283814935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1-471D-8BD9-2BD56B078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10976"/>
        <c:axId val="155756224"/>
      </c:lineChart>
      <c:catAx>
        <c:axId val="15091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6224"/>
        <c:crosses val="autoZero"/>
        <c:auto val="1"/>
        <c:lblAlgn val="ctr"/>
        <c:lblOffset val="100"/>
        <c:tickLblSkip val="10"/>
        <c:noMultiLvlLbl val="0"/>
      </c:catAx>
      <c:valAx>
        <c:axId val="15575622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10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105.52976483861445</c:v>
                </c:pt>
                <c:pt idx="2">
                  <c:v>364.29286938309133</c:v>
                </c:pt>
                <c:pt idx="3">
                  <c:v>1185.0587792860124</c:v>
                </c:pt>
                <c:pt idx="4">
                  <c:v>3528.4074785152497</c:v>
                </c:pt>
                <c:pt idx="5">
                  <c:v>9064.6591255499461</c:v>
                </c:pt>
                <c:pt idx="6">
                  <c:v>19777.752722754445</c:v>
                </c:pt>
                <c:pt idx="7">
                  <c:v>36749.393180929255</c:v>
                </c:pt>
                <c:pt idx="8">
                  <c:v>58598.28193611851</c:v>
                </c:pt>
                <c:pt idx="9">
                  <c:v>80827.844339779724</c:v>
                </c:pt>
                <c:pt idx="10">
                  <c:v>97133.93749676671</c:v>
                </c:pt>
                <c:pt idx="11">
                  <c:v>102310.23868560416</c:v>
                </c:pt>
                <c:pt idx="12">
                  <c:v>94943.021404159445</c:v>
                </c:pt>
                <c:pt idx="13">
                  <c:v>78053.764923076582</c:v>
                </c:pt>
                <c:pt idx="14">
                  <c:v>57331.486780881198</c:v>
                </c:pt>
                <c:pt idx="15">
                  <c:v>38277.557873405574</c:v>
                </c:pt>
                <c:pt idx="16">
                  <c:v>24096.652696453741</c:v>
                </c:pt>
                <c:pt idx="17">
                  <c:v>15295.438880675942</c:v>
                </c:pt>
                <c:pt idx="18">
                  <c:v>10630.125770801415</c:v>
                </c:pt>
                <c:pt idx="19">
                  <c:v>8375.4048348948854</c:v>
                </c:pt>
                <c:pt idx="20">
                  <c:v>7156.7603748587153</c:v>
                </c:pt>
                <c:pt idx="21">
                  <c:v>6215.0645151103708</c:v>
                </c:pt>
                <c:pt idx="22">
                  <c:v>5319.0763414134517</c:v>
                </c:pt>
                <c:pt idx="23">
                  <c:v>4535.3802134149482</c:v>
                </c:pt>
                <c:pt idx="24">
                  <c:v>3986.4020554690746</c:v>
                </c:pt>
                <c:pt idx="25">
                  <c:v>3701.7428247975568</c:v>
                </c:pt>
                <c:pt idx="26">
                  <c:v>3610.5872139474691</c:v>
                </c:pt>
                <c:pt idx="27">
                  <c:v>3613.879892565195</c:v>
                </c:pt>
                <c:pt idx="28">
                  <c:v>3631.1378644260726</c:v>
                </c:pt>
                <c:pt idx="29">
                  <c:v>3590.6313454381047</c:v>
                </c:pt>
                <c:pt idx="30">
                  <c:v>3416.9094614557043</c:v>
                </c:pt>
                <c:pt idx="31">
                  <c:v>3058.621519079963</c:v>
                </c:pt>
                <c:pt idx="32">
                  <c:v>2529.642632915713</c:v>
                </c:pt>
                <c:pt idx="33">
                  <c:v>1913.1547339771837</c:v>
                </c:pt>
                <c:pt idx="34">
                  <c:v>1321.3976758331689</c:v>
                </c:pt>
                <c:pt idx="35">
                  <c:v>846.8071857531271</c:v>
                </c:pt>
                <c:pt idx="36">
                  <c:v>539.8066467395571</c:v>
                </c:pt>
                <c:pt idx="37">
                  <c:v>419.34506765678412</c:v>
                </c:pt>
                <c:pt idx="38">
                  <c:v>491.48705116949571</c:v>
                </c:pt>
                <c:pt idx="39">
                  <c:v>741.73868782302873</c:v>
                </c:pt>
                <c:pt idx="40">
                  <c:v>1098.6290150251612</c:v>
                </c:pt>
                <c:pt idx="41">
                  <c:v>1418.3022824947557</c:v>
                </c:pt>
                <c:pt idx="42">
                  <c:v>1541.140788739476</c:v>
                </c:pt>
                <c:pt idx="43">
                  <c:v>1394.0566082987384</c:v>
                </c:pt>
                <c:pt idx="44">
                  <c:v>1043.2528781890896</c:v>
                </c:pt>
                <c:pt idx="45">
                  <c:v>641.31952955287488</c:v>
                </c:pt>
                <c:pt idx="46">
                  <c:v>320.4704705284226</c:v>
                </c:pt>
                <c:pt idx="47">
                  <c:v>128.13958259405601</c:v>
                </c:pt>
                <c:pt idx="48">
                  <c:v>40.024438388542634</c:v>
                </c:pt>
                <c:pt idx="49">
                  <c:v>9.2523155989229569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CD-4A6F-AE7A-24E237105656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28.268948715325628</c:v>
                </c:pt>
                <c:pt idx="1">
                  <c:v>158.93805621230683</c:v>
                </c:pt>
                <c:pt idx="2">
                  <c:v>397.98036306085845</c:v>
                </c:pt>
                <c:pt idx="3">
                  <c:v>1025.1898514908353</c:v>
                </c:pt>
                <c:pt idx="4">
                  <c:v>2654.9979284664832</c:v>
                </c:pt>
                <c:pt idx="5">
                  <c:v>6300.2478345363006</c:v>
                </c:pt>
                <c:pt idx="6">
                  <c:v>13155.376691610005</c:v>
                </c:pt>
                <c:pt idx="7">
                  <c:v>23982.616796312192</c:v>
                </c:pt>
                <c:pt idx="8">
                  <c:v>38296.492331997288</c:v>
                </c:pt>
                <c:pt idx="9">
                  <c:v>53899.663993714144</c:v>
                </c:pt>
                <c:pt idx="10">
                  <c:v>67318.10650649466</c:v>
                </c:pt>
                <c:pt idx="11">
                  <c:v>75143.05126056532</c:v>
                </c:pt>
                <c:pt idx="12">
                  <c:v>75573.576914078716</c:v>
                </c:pt>
                <c:pt idx="13">
                  <c:v>69196.365185855786</c:v>
                </c:pt>
                <c:pt idx="14">
                  <c:v>58525.395031321532</c:v>
                </c:pt>
                <c:pt idx="15">
                  <c:v>46676.756485402111</c:v>
                </c:pt>
                <c:pt idx="16">
                  <c:v>36062.132537616577</c:v>
                </c:pt>
                <c:pt idx="17">
                  <c:v>27788.121036070472</c:v>
                </c:pt>
                <c:pt idx="18">
                  <c:v>21837.257885605824</c:v>
                </c:pt>
                <c:pt idx="19">
                  <c:v>17638.145154862872</c:v>
                </c:pt>
                <c:pt idx="20">
                  <c:v>14579.253654868984</c:v>
                </c:pt>
                <c:pt idx="21">
                  <c:v>12250.725276166453</c:v>
                </c:pt>
                <c:pt idx="22">
                  <c:v>10444.28570148789</c:v>
                </c:pt>
                <c:pt idx="23">
                  <c:v>9053.5613356177855</c:v>
                </c:pt>
                <c:pt idx="24">
                  <c:v>7997.3767266025061</c:v>
                </c:pt>
                <c:pt idx="25">
                  <c:v>7207.485618620125</c:v>
                </c:pt>
                <c:pt idx="26">
                  <c:v>6649.6555436305507</c:v>
                </c:pt>
                <c:pt idx="27">
                  <c:v>6324.6251848998809</c:v>
                </c:pt>
                <c:pt idx="28">
                  <c:v>6226.30886117912</c:v>
                </c:pt>
                <c:pt idx="29">
                  <c:v>6286.2999505004791</c:v>
                </c:pt>
                <c:pt idx="30">
                  <c:v>6360.4551487915296</c:v>
                </c:pt>
                <c:pt idx="31">
                  <c:v>6287.1452953994958</c:v>
                </c:pt>
                <c:pt idx="32">
                  <c:v>5981.7590163461418</c:v>
                </c:pt>
                <c:pt idx="33">
                  <c:v>5485.9860424771432</c:v>
                </c:pt>
                <c:pt idx="34">
                  <c:v>4919.864698677633</c:v>
                </c:pt>
                <c:pt idx="35">
                  <c:v>4374.678851032163</c:v>
                </c:pt>
                <c:pt idx="36">
                  <c:v>3844.9614438138437</c:v>
                </c:pt>
                <c:pt idx="37">
                  <c:v>3259.661999054706</c:v>
                </c:pt>
                <c:pt idx="38">
                  <c:v>2574.7467639399688</c:v>
                </c:pt>
                <c:pt idx="39">
                  <c:v>1834.8780620544792</c:v>
                </c:pt>
                <c:pt idx="40">
                  <c:v>1151.0640985479492</c:v>
                </c:pt>
                <c:pt idx="41">
                  <c:v>624.81904087553528</c:v>
                </c:pt>
                <c:pt idx="42">
                  <c:v>290.56734036774986</c:v>
                </c:pt>
                <c:pt idx="43">
                  <c:v>115.79349108562589</c:v>
                </c:pt>
                <c:pt idx="44">
                  <c:v>40.273940467292306</c:v>
                </c:pt>
                <c:pt idx="45">
                  <c:v>12.77421364114371</c:v>
                </c:pt>
                <c:pt idx="46">
                  <c:v>3.8929164476275147</c:v>
                </c:pt>
                <c:pt idx="47">
                  <c:v>1.1436027324491005</c:v>
                </c:pt>
                <c:pt idx="48">
                  <c:v>0.30101019937657725</c:v>
                </c:pt>
                <c:pt idx="49">
                  <c:v>6.2992075946493004E-2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CD-4A6F-AE7A-24E23710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6080"/>
        <c:axId val="155757952"/>
      </c:lineChart>
      <c:catAx>
        <c:axId val="148526080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7952"/>
        <c:crosses val="autoZero"/>
        <c:auto val="1"/>
        <c:lblAlgn val="ctr"/>
        <c:lblOffset val="100"/>
        <c:tickLblSkip val="10"/>
        <c:noMultiLvlLbl val="0"/>
      </c:catAx>
      <c:valAx>
        <c:axId val="15575795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0</c:v>
                </c:pt>
                <c:pt idx="1">
                  <c:v>1677.8350168269787</c:v>
                </c:pt>
                <c:pt idx="2">
                  <c:v>3426.6218163315662</c:v>
                </c:pt>
                <c:pt idx="3">
                  <c:v>5394.2835808550162</c:v>
                </c:pt>
                <c:pt idx="4">
                  <c:v>7905.2736183669849</c:v>
                </c:pt>
                <c:pt idx="5">
                  <c:v>11555.559792405105</c:v>
                </c:pt>
                <c:pt idx="6">
                  <c:v>17219.364073966579</c:v>
                </c:pt>
                <c:pt idx="7">
                  <c:v>25869.056664747368</c:v>
                </c:pt>
                <c:pt idx="8">
                  <c:v>38165.729834313388</c:v>
                </c:pt>
                <c:pt idx="9">
                  <c:v>53922.252765772922</c:v>
                </c:pt>
                <c:pt idx="10">
                  <c:v>71739.451251517632</c:v>
                </c:pt>
                <c:pt idx="11">
                  <c:v>89196.162707906507</c:v>
                </c:pt>
                <c:pt idx="12">
                  <c:v>103704.37577907242</c:v>
                </c:pt>
                <c:pt idx="13">
                  <c:v>113587.937927466</c:v>
                </c:pt>
                <c:pt idx="14">
                  <c:v>118634.66887457909</c:v>
                </c:pt>
                <c:pt idx="15">
                  <c:v>119767.50346923675</c:v>
                </c:pt>
                <c:pt idx="16">
                  <c:v>118265.29592734177</c:v>
                </c:pt>
                <c:pt idx="17">
                  <c:v>115271.5972564118</c:v>
                </c:pt>
                <c:pt idx="18">
                  <c:v>111830.14128662033</c:v>
                </c:pt>
                <c:pt idx="19">
                  <c:v>109040.23247608583</c:v>
                </c:pt>
                <c:pt idx="20">
                  <c:v>107894.17629745758</c:v>
                </c:pt>
                <c:pt idx="21">
                  <c:v>108849.32738594795</c:v>
                </c:pt>
                <c:pt idx="22">
                  <c:v>111544.22356090417</c:v>
                </c:pt>
                <c:pt idx="23">
                  <c:v>114976.5011093584</c:v>
                </c:pt>
                <c:pt idx="24">
                  <c:v>118128.7627829741</c:v>
                </c:pt>
                <c:pt idx="25">
                  <c:v>120714.51504266608</c:v>
                </c:pt>
                <c:pt idx="26">
                  <c:v>123529.51375591883</c:v>
                </c:pt>
                <c:pt idx="27">
                  <c:v>127983.02814094757</c:v>
                </c:pt>
                <c:pt idx="28">
                  <c:v>134877.62317378141</c:v>
                </c:pt>
                <c:pt idx="29">
                  <c:v>143176.31498076537</c:v>
                </c:pt>
                <c:pt idx="30">
                  <c:v>149759.88982550564</c:v>
                </c:pt>
                <c:pt idx="31">
                  <c:v>150634.92787296767</c:v>
                </c:pt>
                <c:pt idx="32">
                  <c:v>142990.2705954694</c:v>
                </c:pt>
                <c:pt idx="33">
                  <c:v>126769.37765009834</c:v>
                </c:pt>
                <c:pt idx="34">
                  <c:v>104714.6496415594</c:v>
                </c:pt>
                <c:pt idx="35">
                  <c:v>80953.448852857808</c:v>
                </c:pt>
                <c:pt idx="36">
                  <c:v>59168.86132119922</c:v>
                </c:pt>
                <c:pt idx="37">
                  <c:v>41451.577328202897</c:v>
                </c:pt>
                <c:pt idx="38">
                  <c:v>28212.09765175034</c:v>
                </c:pt>
                <c:pt idx="39">
                  <c:v>18799.6934230523</c:v>
                </c:pt>
                <c:pt idx="40">
                  <c:v>12237.845932909582</c:v>
                </c:pt>
                <c:pt idx="41">
                  <c:v>7688.454307834656</c:v>
                </c:pt>
                <c:pt idx="42">
                  <c:v>4579.7860199586476</c:v>
                </c:pt>
                <c:pt idx="43">
                  <c:v>2537.5450547970286</c:v>
                </c:pt>
                <c:pt idx="44">
                  <c:v>1283.2242359762449</c:v>
                </c:pt>
                <c:pt idx="45">
                  <c:v>580.76371902600715</c:v>
                </c:pt>
                <c:pt idx="46">
                  <c:v>230.19951310588564</c:v>
                </c:pt>
                <c:pt idx="47">
                  <c:v>77.956356170659404</c:v>
                </c:pt>
                <c:pt idx="48">
                  <c:v>21.904276654501107</c:v>
                </c:pt>
                <c:pt idx="49">
                  <c:v>4.8317278680175102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6B-480E-A3DA-5A95241D72CE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8077.637404506052</c:v>
                </c:pt>
                <c:pt idx="1">
                  <c:v>8927.6102213356971</c:v>
                </c:pt>
                <c:pt idx="2">
                  <c:v>9506.7786211336388</c:v>
                </c:pt>
                <c:pt idx="3">
                  <c:v>10018.583060219318</c:v>
                </c:pt>
                <c:pt idx="4">
                  <c:v>11247.617289574266</c:v>
                </c:pt>
                <c:pt idx="5">
                  <c:v>14256.305125213707</c:v>
                </c:pt>
                <c:pt idx="6">
                  <c:v>19932.310901772835</c:v>
                </c:pt>
                <c:pt idx="7">
                  <c:v>28674.71124156312</c:v>
                </c:pt>
                <c:pt idx="8">
                  <c:v>40323.736423371462</c:v>
                </c:pt>
                <c:pt idx="9">
                  <c:v>54251.926652645794</c:v>
                </c:pt>
                <c:pt idx="10">
                  <c:v>69471.766746100082</c:v>
                </c:pt>
                <c:pt idx="11">
                  <c:v>84691.222154727031</c:v>
                </c:pt>
                <c:pt idx="12">
                  <c:v>98388.846020327546</c:v>
                </c:pt>
                <c:pt idx="13">
                  <c:v>109045.69828121284</c:v>
                </c:pt>
                <c:pt idx="14">
                  <c:v>115566.83972103763</c:v>
                </c:pt>
                <c:pt idx="15">
                  <c:v>117720.54295600048</c:v>
                </c:pt>
                <c:pt idx="16">
                  <c:v>116315.15797766889</c:v>
                </c:pt>
                <c:pt idx="17">
                  <c:v>112945.23779724419</c:v>
                </c:pt>
                <c:pt idx="18">
                  <c:v>109391.39362085801</c:v>
                </c:pt>
                <c:pt idx="19">
                  <c:v>106965.18848788604</c:v>
                </c:pt>
                <c:pt idx="20">
                  <c:v>106127.38484665805</c:v>
                </c:pt>
                <c:pt idx="21">
                  <c:v>106565.58676719989</c:v>
                </c:pt>
                <c:pt idx="22">
                  <c:v>107662.0603037268</c:v>
                </c:pt>
                <c:pt idx="23">
                  <c:v>109042.76632415071</c:v>
                </c:pt>
                <c:pt idx="24">
                  <c:v>110838.79679657466</c:v>
                </c:pt>
                <c:pt idx="25">
                  <c:v>113497.35718791939</c:v>
                </c:pt>
                <c:pt idx="26">
                  <c:v>117327.3432523791</c:v>
                </c:pt>
                <c:pt idx="27">
                  <c:v>122149.84347267395</c:v>
                </c:pt>
                <c:pt idx="28">
                  <c:v>127251.68057796525</c:v>
                </c:pt>
                <c:pt idx="29">
                  <c:v>131526.27736163349</c:v>
                </c:pt>
                <c:pt idx="30">
                  <c:v>133648.5434858239</c:v>
                </c:pt>
                <c:pt idx="31">
                  <c:v>132360.82344609997</c:v>
                </c:pt>
                <c:pt idx="32">
                  <c:v>126954.35294985576</c:v>
                </c:pt>
                <c:pt idx="33">
                  <c:v>117665.50079398802</c:v>
                </c:pt>
                <c:pt idx="34">
                  <c:v>105545.66368157179</c:v>
                </c:pt>
                <c:pt idx="35">
                  <c:v>91825.683616738577</c:v>
                </c:pt>
                <c:pt idx="36">
                  <c:v>77359.604780228008</c:v>
                </c:pt>
                <c:pt idx="37">
                  <c:v>62635.900262742354</c:v>
                </c:pt>
                <c:pt idx="38">
                  <c:v>48191.931810664842</c:v>
                </c:pt>
                <c:pt idx="39">
                  <c:v>34863.493718644022</c:v>
                </c:pt>
                <c:pt idx="40">
                  <c:v>23569.989386592613</c:v>
                </c:pt>
                <c:pt idx="41">
                  <c:v>14878.439186214275</c:v>
                </c:pt>
                <c:pt idx="42">
                  <c:v>8780.3446717674851</c:v>
                </c:pt>
                <c:pt idx="43">
                  <c:v>4830.7731970164377</c:v>
                </c:pt>
                <c:pt idx="44">
                  <c:v>2446.884669406908</c:v>
                </c:pt>
                <c:pt idx="45">
                  <c:v>1114.5033113625234</c:v>
                </c:pt>
                <c:pt idx="46">
                  <c:v>442.49076400770923</c:v>
                </c:pt>
                <c:pt idx="47">
                  <c:v>147.85527806241564</c:v>
                </c:pt>
                <c:pt idx="48">
                  <c:v>39.985588987127699</c:v>
                </c:pt>
                <c:pt idx="49">
                  <c:v>8.2281728320191014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6B-480E-A3DA-5A95241D7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8304"/>
        <c:axId val="155759680"/>
      </c:lineChart>
      <c:catAx>
        <c:axId val="15465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9680"/>
        <c:crosses val="autoZero"/>
        <c:auto val="1"/>
        <c:lblAlgn val="ctr"/>
        <c:lblOffset val="100"/>
        <c:tickLblSkip val="10"/>
        <c:noMultiLvlLbl val="0"/>
      </c:catAx>
      <c:valAx>
        <c:axId val="15575968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83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4.2118758157721343</c:v>
                </c:pt>
                <c:pt idx="2">
                  <c:v>11.964854599680525</c:v>
                </c:pt>
                <c:pt idx="3">
                  <c:v>28.349667833511681</c:v>
                </c:pt>
                <c:pt idx="4">
                  <c:v>61.626056565615727</c:v>
                </c:pt>
                <c:pt idx="5">
                  <c:v>124.95678716524954</c:v>
                </c:pt>
                <c:pt idx="6">
                  <c:v>238.79640381460746</c:v>
                </c:pt>
                <c:pt idx="7">
                  <c:v>433.98685656641271</c:v>
                </c:pt>
                <c:pt idx="8">
                  <c:v>751.86400614578849</c:v>
                </c:pt>
                <c:pt idx="9">
                  <c:v>1234.5857169203505</c:v>
                </c:pt>
                <c:pt idx="10">
                  <c:v>1906.594945917851</c:v>
                </c:pt>
                <c:pt idx="11">
                  <c:v>2767.0319300754336</c:v>
                </c:pt>
                <c:pt idx="12">
                  <c:v>3821.2816847476474</c:v>
                </c:pt>
                <c:pt idx="13">
                  <c:v>5150.4024097322999</c:v>
                </c:pt>
                <c:pt idx="14">
                  <c:v>6953.8890029457925</c:v>
                </c:pt>
                <c:pt idx="15">
                  <c:v>9462.8965369938742</c:v>
                </c:pt>
                <c:pt idx="16">
                  <c:v>12692.132178399366</c:v>
                </c:pt>
                <c:pt idx="17">
                  <c:v>16182.114053263607</c:v>
                </c:pt>
                <c:pt idx="18">
                  <c:v>19008.887228717143</c:v>
                </c:pt>
                <c:pt idx="19">
                  <c:v>20190.769153367415</c:v>
                </c:pt>
                <c:pt idx="20">
                  <c:v>19256.815803111182</c:v>
                </c:pt>
                <c:pt idx="21">
                  <c:v>16536.320669446111</c:v>
                </c:pt>
                <c:pt idx="22">
                  <c:v>12945.717997265619</c:v>
                </c:pt>
                <c:pt idx="23">
                  <c:v>9469.6463423414552</c:v>
                </c:pt>
                <c:pt idx="24">
                  <c:v>6724.7062579125404</c:v>
                </c:pt>
                <c:pt idx="25">
                  <c:v>4837.4662256163729</c:v>
                </c:pt>
                <c:pt idx="26">
                  <c:v>3600.459947079647</c:v>
                </c:pt>
                <c:pt idx="27">
                  <c:v>2724.2737674152131</c:v>
                </c:pt>
                <c:pt idx="28">
                  <c:v>2016.6320843655403</c:v>
                </c:pt>
                <c:pt idx="29">
                  <c:v>1421.1936513757878</c:v>
                </c:pt>
                <c:pt idx="30">
                  <c:v>956.83946270762897</c:v>
                </c:pt>
                <c:pt idx="31">
                  <c:v>642.72201434620558</c:v>
                </c:pt>
                <c:pt idx="32">
                  <c:v>462.85353539471589</c:v>
                </c:pt>
                <c:pt idx="33">
                  <c:v>371.32564010995594</c:v>
                </c:pt>
                <c:pt idx="34">
                  <c:v>315.91776831151395</c:v>
                </c:pt>
                <c:pt idx="35">
                  <c:v>260.75056107983846</c:v>
                </c:pt>
                <c:pt idx="36">
                  <c:v>195.8359718533693</c:v>
                </c:pt>
                <c:pt idx="37">
                  <c:v>130.0730407690902</c:v>
                </c:pt>
                <c:pt idx="38">
                  <c:v>76.012821528062972</c:v>
                </c:pt>
                <c:pt idx="39">
                  <c:v>39.337175625405045</c:v>
                </c:pt>
                <c:pt idx="40">
                  <c:v>18.148528665799969</c:v>
                </c:pt>
                <c:pt idx="41">
                  <c:v>7.4258433295356037</c:v>
                </c:pt>
                <c:pt idx="42">
                  <c:v>2.6288906333622588</c:v>
                </c:pt>
                <c:pt idx="43">
                  <c:v>0.7710007610219668</c:v>
                </c:pt>
                <c:pt idx="44">
                  <c:v>0.17665640853187559</c:v>
                </c:pt>
                <c:pt idx="45">
                  <c:v>2.9228861477413173E-2</c:v>
                </c:pt>
                <c:pt idx="46">
                  <c:v>3.0767222607803349E-3</c:v>
                </c:pt>
                <c:pt idx="47">
                  <c:v>1.5383611303901673E-4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5-4CE3-B6D1-B35DECCB7013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87.468679452461245</c:v>
                </c:pt>
                <c:pt idx="1">
                  <c:v>148.29638823710835</c:v>
                </c:pt>
                <c:pt idx="2">
                  <c:v>190.91866912022004</c:v>
                </c:pt>
                <c:pt idx="3">
                  <c:v>216.6914487600273</c:v>
                </c:pt>
                <c:pt idx="4">
                  <c:v>247.50699737256457</c:v>
                </c:pt>
                <c:pt idx="5">
                  <c:v>312.20626435276381</c:v>
                </c:pt>
                <c:pt idx="6">
                  <c:v>437.31005091972679</c:v>
                </c:pt>
                <c:pt idx="7">
                  <c:v>650.67930924858661</c:v>
                </c:pt>
                <c:pt idx="8">
                  <c:v>988.39017609678854</c:v>
                </c:pt>
                <c:pt idx="9">
                  <c:v>1493.9113271870408</c:v>
                </c:pt>
                <c:pt idx="10">
                  <c:v>2213.9585882316142</c:v>
                </c:pt>
                <c:pt idx="11">
                  <c:v>3200.8782832406937</c:v>
                </c:pt>
                <c:pt idx="12">
                  <c:v>4512.2474954872696</c:v>
                </c:pt>
                <c:pt idx="13">
                  <c:v>6182.294023381035</c:v>
                </c:pt>
                <c:pt idx="14">
                  <c:v>8164.2873040130453</c:v>
                </c:pt>
                <c:pt idx="15">
                  <c:v>10287.190109999763</c:v>
                </c:pt>
                <c:pt idx="16">
                  <c:v>12269.10813853628</c:v>
                </c:pt>
                <c:pt idx="17">
                  <c:v>13780.947050159068</c:v>
                </c:pt>
                <c:pt idx="18">
                  <c:v>14529.107128988868</c:v>
                </c:pt>
                <c:pt idx="19">
                  <c:v>14347.651643966017</c:v>
                </c:pt>
                <c:pt idx="20">
                  <c:v>13285.247124615622</c:v>
                </c:pt>
                <c:pt idx="21">
                  <c:v>11621.319159662818</c:v>
                </c:pt>
                <c:pt idx="22">
                  <c:v>9753.4668844641819</c:v>
                </c:pt>
                <c:pt idx="23">
                  <c:v>8011.9477923203513</c:v>
                </c:pt>
                <c:pt idx="24">
                  <c:v>6544.2652083201956</c:v>
                </c:pt>
                <c:pt idx="25">
                  <c:v>5345.2828433629365</c:v>
                </c:pt>
                <c:pt idx="26">
                  <c:v>4365.0814633152686</c:v>
                </c:pt>
                <c:pt idx="27">
                  <c:v>3579.1904140736224</c:v>
                </c:pt>
                <c:pt idx="28">
                  <c:v>2981.6090076641253</c:v>
                </c:pt>
                <c:pt idx="29">
                  <c:v>2545.7798668798482</c:v>
                </c:pt>
                <c:pt idx="30">
                  <c:v>2210.5922736372922</c:v>
                </c:pt>
                <c:pt idx="31">
                  <c:v>1907.3921660150552</c:v>
                </c:pt>
                <c:pt idx="32">
                  <c:v>1602.2981961179896</c:v>
                </c:pt>
                <c:pt idx="33">
                  <c:v>1314.5340825602952</c:v>
                </c:pt>
                <c:pt idx="34">
                  <c:v>1091.3626343402379</c:v>
                </c:pt>
                <c:pt idx="35">
                  <c:v>958.9145077985404</c:v>
                </c:pt>
                <c:pt idx="36">
                  <c:v>892.09284874645937</c:v>
                </c:pt>
                <c:pt idx="37">
                  <c:v>830.35319702698155</c:v>
                </c:pt>
                <c:pt idx="38">
                  <c:v>723.51721418863679</c:v>
                </c:pt>
                <c:pt idx="39">
                  <c:v>565.5877564626411</c:v>
                </c:pt>
                <c:pt idx="40">
                  <c:v>390.05182544806854</c:v>
                </c:pt>
                <c:pt idx="41">
                  <c:v>238.08562148324961</c:v>
                </c:pt>
                <c:pt idx="42">
                  <c:v>131.30511522516488</c:v>
                </c:pt>
                <c:pt idx="43">
                  <c:v>67.574352499570765</c:v>
                </c:pt>
                <c:pt idx="44">
                  <c:v>33.259540406048174</c:v>
                </c:pt>
                <c:pt idx="45">
                  <c:v>15.521530766882595</c:v>
                </c:pt>
                <c:pt idx="46">
                  <c:v>6.5714526458652633</c:v>
                </c:pt>
                <c:pt idx="47">
                  <c:v>2.3828205256296897</c:v>
                </c:pt>
                <c:pt idx="48">
                  <c:v>0.70012003924203503</c:v>
                </c:pt>
                <c:pt idx="49">
                  <c:v>0.1552369484220707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5-4CE3-B6D1-B35DECCB7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6768"/>
        <c:axId val="155761984"/>
      </c:lineChart>
      <c:catAx>
        <c:axId val="154656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61984"/>
        <c:crosses val="autoZero"/>
        <c:auto val="1"/>
        <c:lblAlgn val="ctr"/>
        <c:lblOffset val="100"/>
        <c:tickLblSkip val="10"/>
        <c:noMultiLvlLbl val="0"/>
      </c:catAx>
      <c:valAx>
        <c:axId val="1557619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6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5</xdr:row>
      <xdr:rowOff>180975</xdr:rowOff>
    </xdr:from>
    <xdr:to>
      <xdr:col>23</xdr:col>
      <xdr:colOff>38100</xdr:colOff>
      <xdr:row>22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0</xdr:rowOff>
    </xdr:from>
    <xdr:to>
      <xdr:col>23</xdr:col>
      <xdr:colOff>19050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23</xdr:col>
      <xdr:colOff>19050</xdr:colOff>
      <xdr:row>60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0</xdr:rowOff>
    </xdr:from>
    <xdr:to>
      <xdr:col>23</xdr:col>
      <xdr:colOff>19050</xdr:colOff>
      <xdr:row>80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15"/>
  <sheetViews>
    <sheetView topLeftCell="D61" workbookViewId="0">
      <selection activeCell="AB64" sqref="AB64"/>
    </sheetView>
  </sheetViews>
  <sheetFormatPr defaultRowHeight="15" x14ac:dyDescent="0.25"/>
  <cols>
    <col min="1" max="1" width="12.7109375" customWidth="1" collapsed="1"/>
    <col min="2" max="6" width="10.7109375" customWidth="1" collapsed="1"/>
    <col min="7" max="7" width="6.42578125" customWidth="1" collapsed="1"/>
    <col min="8" max="8" width="12.7109375" customWidth="1" collapsed="1"/>
    <col min="9" max="13" width="10.7109375" customWidth="1" collapsed="1"/>
  </cols>
  <sheetData>
    <row r="1" spans="1:18" x14ac:dyDescent="0.25">
      <c r="A1" t="s">
        <v>9</v>
      </c>
    </row>
    <row r="2" spans="1:18" x14ac:dyDescent="0.25">
      <c r="A2" t="s">
        <v>59</v>
      </c>
    </row>
    <row r="3" spans="1:18" x14ac:dyDescent="0.25">
      <c r="A3" t="s">
        <v>7</v>
      </c>
    </row>
    <row r="5" spans="1:18" x14ac:dyDescent="0.25">
      <c r="O5" s="5"/>
      <c r="P5" s="5"/>
      <c r="Q5" s="5"/>
      <c r="R5" s="5"/>
    </row>
    <row r="6" spans="1:18" ht="15.75" thickBot="1" x14ac:dyDescent="0.3">
      <c r="A6" s="3" t="s">
        <v>47</v>
      </c>
      <c r="B6" s="1"/>
      <c r="C6" s="1"/>
      <c r="D6" s="1"/>
      <c r="E6" s="1"/>
      <c r="F6" s="1"/>
      <c r="H6" s="3" t="s">
        <v>12</v>
      </c>
      <c r="I6" s="1"/>
      <c r="J6" s="1"/>
      <c r="K6" s="1"/>
      <c r="L6" s="1"/>
      <c r="M6" s="1"/>
      <c r="O6" s="11"/>
      <c r="P6" s="5"/>
      <c r="Q6" s="5"/>
      <c r="R6" s="5"/>
    </row>
    <row r="7" spans="1:18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  <c r="R7" s="5"/>
    </row>
    <row r="8" spans="1:18" x14ac:dyDescent="0.25">
      <c r="A8" t="s">
        <v>5</v>
      </c>
      <c r="B8" s="6">
        <v>0</v>
      </c>
      <c r="C8" s="6">
        <v>0</v>
      </c>
      <c r="D8" s="6">
        <v>0</v>
      </c>
      <c r="E8" s="6">
        <v>0</v>
      </c>
      <c r="F8" s="6">
        <f>SUM(B8:E8)</f>
        <v>0</v>
      </c>
      <c r="H8" t="s">
        <v>5</v>
      </c>
      <c r="I8" s="9">
        <v>1790.1974617169396</v>
      </c>
      <c r="J8" s="9">
        <v>28.268948715325628</v>
      </c>
      <c r="K8" s="9">
        <v>8077.6374045060511</v>
      </c>
      <c r="L8" s="9">
        <v>87.468679452461245</v>
      </c>
      <c r="M8">
        <f>SUM(I8:L8)</f>
        <v>9983.5724943907771</v>
      </c>
      <c r="O8" s="5"/>
      <c r="P8" s="16"/>
      <c r="Q8" s="16"/>
      <c r="R8" s="5"/>
    </row>
    <row r="9" spans="1:18" x14ac:dyDescent="0.25">
      <c r="A9" s="12">
        <v>0.125</v>
      </c>
      <c r="B9" s="6">
        <v>3793.6826660477063</v>
      </c>
      <c r="C9" s="6">
        <v>105.52976483861443</v>
      </c>
      <c r="D9" s="6">
        <v>1677.8350168269785</v>
      </c>
      <c r="E9" s="6">
        <v>4.2118758157721343</v>
      </c>
      <c r="F9" s="6">
        <f t="shared" ref="F9:F58" si="0">SUM(B9:E9)</f>
        <v>5581.2593235290715</v>
      </c>
      <c r="H9" s="12">
        <v>0.125</v>
      </c>
      <c r="I9" s="9">
        <v>5736.8159160597352</v>
      </c>
      <c r="J9" s="9">
        <v>158.93805621230683</v>
      </c>
      <c r="K9" s="9">
        <v>8927.6102213356971</v>
      </c>
      <c r="L9" s="9">
        <v>148.29638823710837</v>
      </c>
      <c r="M9">
        <f t="shared" ref="M9:M58" si="1">SUM(I9:L9)</f>
        <v>14971.660581844848</v>
      </c>
      <c r="O9" s="5"/>
      <c r="P9" s="16"/>
      <c r="Q9" s="16"/>
      <c r="R9" s="5"/>
    </row>
    <row r="10" spans="1:18" x14ac:dyDescent="0.25">
      <c r="A10" s="12">
        <v>0.14583333333333334</v>
      </c>
      <c r="B10" s="6">
        <v>8974.5849487846353</v>
      </c>
      <c r="C10" s="6">
        <v>364.29286938309127</v>
      </c>
      <c r="D10" s="6">
        <v>3426.6218163315662</v>
      </c>
      <c r="E10" s="6">
        <v>11.964854599680523</v>
      </c>
      <c r="F10" s="6">
        <f t="shared" si="0"/>
        <v>12777.464489098973</v>
      </c>
      <c r="H10" s="12">
        <v>0.14583333333333334</v>
      </c>
      <c r="I10" s="9">
        <v>10128.365099955323</v>
      </c>
      <c r="J10" s="9">
        <v>397.98036306085851</v>
      </c>
      <c r="K10" s="9">
        <v>9506.7786211336406</v>
      </c>
      <c r="L10" s="9">
        <v>190.91866912022007</v>
      </c>
      <c r="M10">
        <f t="shared" si="1"/>
        <v>20224.042753270041</v>
      </c>
      <c r="O10" s="5"/>
      <c r="P10" s="16"/>
      <c r="Q10" s="16"/>
      <c r="R10" s="5"/>
    </row>
    <row r="11" spans="1:18" x14ac:dyDescent="0.25">
      <c r="A11" s="12">
        <v>0.16666666666666666</v>
      </c>
      <c r="B11" s="6">
        <v>17041.454965692043</v>
      </c>
      <c r="C11" s="6">
        <v>1185.0587792860122</v>
      </c>
      <c r="D11" s="6">
        <v>5394.2835808550153</v>
      </c>
      <c r="E11" s="6">
        <v>28.349667833511671</v>
      </c>
      <c r="F11" s="6">
        <f t="shared" si="0"/>
        <v>23649.146993666582</v>
      </c>
      <c r="H11" s="12">
        <v>0.16666666666666666</v>
      </c>
      <c r="I11" s="9">
        <v>15871.786001859073</v>
      </c>
      <c r="J11" s="9">
        <v>1025.1898514908353</v>
      </c>
      <c r="K11" s="9">
        <v>10018.583060219324</v>
      </c>
      <c r="L11" s="9">
        <v>216.69144876002736</v>
      </c>
      <c r="M11">
        <f t="shared" si="1"/>
        <v>27132.250362329258</v>
      </c>
      <c r="O11" s="5"/>
      <c r="P11" s="16"/>
      <c r="Q11" s="16"/>
      <c r="R11" s="5"/>
    </row>
    <row r="12" spans="1:18" x14ac:dyDescent="0.25">
      <c r="A12" s="12">
        <v>0.1875</v>
      </c>
      <c r="B12" s="6">
        <v>29497.171009064747</v>
      </c>
      <c r="C12" s="6">
        <v>3528.4074785152488</v>
      </c>
      <c r="D12" s="6">
        <v>7905.273618366984</v>
      </c>
      <c r="E12" s="6">
        <v>61.626056565615706</v>
      </c>
      <c r="F12" s="6">
        <f t="shared" si="0"/>
        <v>40992.478162512591</v>
      </c>
      <c r="H12" s="12">
        <v>0.1875</v>
      </c>
      <c r="I12" s="9">
        <v>24502.498440531032</v>
      </c>
      <c r="J12" s="9">
        <v>2654.9979284664828</v>
      </c>
      <c r="K12" s="9">
        <v>11247.617289574264</v>
      </c>
      <c r="L12" s="9">
        <v>247.5069973725646</v>
      </c>
      <c r="M12">
        <f t="shared" si="1"/>
        <v>38652.620655944338</v>
      </c>
      <c r="O12" s="5"/>
      <c r="P12" s="5"/>
      <c r="Q12" s="5"/>
      <c r="R12" s="5"/>
    </row>
    <row r="13" spans="1:18" x14ac:dyDescent="0.25">
      <c r="A13" s="12">
        <v>0.20833333333333334</v>
      </c>
      <c r="B13" s="6">
        <v>47451.613358595845</v>
      </c>
      <c r="C13" s="6">
        <v>9064.6591255499443</v>
      </c>
      <c r="D13" s="6">
        <v>11555.559792405105</v>
      </c>
      <c r="E13" s="6">
        <v>124.95678716524949</v>
      </c>
      <c r="F13" s="6">
        <f t="shared" si="0"/>
        <v>68196.789063716147</v>
      </c>
      <c r="H13" s="12">
        <v>0.20833333333333334</v>
      </c>
      <c r="I13" s="9">
        <v>37809.013940594086</v>
      </c>
      <c r="J13" s="9">
        <v>6300.2478345362997</v>
      </c>
      <c r="K13" s="9">
        <v>14256.305125213712</v>
      </c>
      <c r="L13" s="9">
        <v>312.20626435276375</v>
      </c>
      <c r="M13">
        <f t="shared" si="1"/>
        <v>58677.77316469686</v>
      </c>
    </row>
    <row r="14" spans="1:18" x14ac:dyDescent="0.25">
      <c r="A14" s="12">
        <v>0.22916666666666666</v>
      </c>
      <c r="B14" s="6">
        <v>71007.565610570309</v>
      </c>
      <c r="C14" s="6">
        <v>19777.752722754441</v>
      </c>
      <c r="D14" s="6">
        <v>17219.364073966583</v>
      </c>
      <c r="E14" s="6">
        <v>238.79640381460743</v>
      </c>
      <c r="F14" s="6">
        <f t="shared" si="0"/>
        <v>108243.47881110593</v>
      </c>
      <c r="H14" s="12">
        <v>0.22916666666666666</v>
      </c>
      <c r="I14" s="9">
        <v>56907.860002830603</v>
      </c>
      <c r="J14" s="9">
        <v>13155.376691610005</v>
      </c>
      <c r="K14" s="9">
        <v>19932.310901772842</v>
      </c>
      <c r="L14" s="9">
        <v>437.31005091972668</v>
      </c>
      <c r="M14">
        <f t="shared" si="1"/>
        <v>90432.857647133176</v>
      </c>
    </row>
    <row r="15" spans="1:18" x14ac:dyDescent="0.25">
      <c r="A15" s="12">
        <v>0.25</v>
      </c>
      <c r="B15" s="6">
        <v>98587.144061774598</v>
      </c>
      <c r="C15" s="6">
        <v>36749.393180929255</v>
      </c>
      <c r="D15" s="6">
        <v>25869.056664747368</v>
      </c>
      <c r="E15" s="6">
        <v>433.9868565664126</v>
      </c>
      <c r="F15" s="6">
        <f t="shared" si="0"/>
        <v>161639.58076401762</v>
      </c>
      <c r="H15" s="12">
        <v>0.25</v>
      </c>
      <c r="I15" s="9">
        <v>81165.334377996478</v>
      </c>
      <c r="J15" s="9">
        <v>23982.616796312192</v>
      </c>
      <c r="K15" s="9">
        <v>28674.711241563124</v>
      </c>
      <c r="L15" s="9">
        <v>650.67930924858661</v>
      </c>
      <c r="M15">
        <f t="shared" si="1"/>
        <v>134473.34172512035</v>
      </c>
    </row>
    <row r="16" spans="1:18" x14ac:dyDescent="0.25">
      <c r="A16" s="12">
        <v>0.27083333333333331</v>
      </c>
      <c r="B16" s="6">
        <v>126522.80566556758</v>
      </c>
      <c r="C16" s="6">
        <v>58598.28193611851</v>
      </c>
      <c r="D16" s="6">
        <v>38165.729834313388</v>
      </c>
      <c r="E16" s="6">
        <v>751.86400614578838</v>
      </c>
      <c r="F16" s="6">
        <f t="shared" si="0"/>
        <v>224038.68144214526</v>
      </c>
      <c r="H16" s="12">
        <v>0.27083333333333331</v>
      </c>
      <c r="I16" s="9">
        <v>107631.40130311271</v>
      </c>
      <c r="J16" s="9">
        <v>38296.492331997288</v>
      </c>
      <c r="K16" s="9">
        <v>40323.736423371462</v>
      </c>
      <c r="L16" s="9">
        <v>988.39017609678831</v>
      </c>
      <c r="M16">
        <f t="shared" si="1"/>
        <v>187240.02023457826</v>
      </c>
    </row>
    <row r="17" spans="1:13" x14ac:dyDescent="0.25">
      <c r="A17" s="12">
        <v>0.29166666666666669</v>
      </c>
      <c r="B17" s="6">
        <v>149467.00459522539</v>
      </c>
      <c r="C17" s="6">
        <v>80827.844339779709</v>
      </c>
      <c r="D17" s="6">
        <v>53922.252765772922</v>
      </c>
      <c r="E17" s="6">
        <v>1234.5857169203505</v>
      </c>
      <c r="F17" s="6">
        <f t="shared" si="0"/>
        <v>285451.68741769833</v>
      </c>
      <c r="H17" s="12">
        <v>0.29166666666666669</v>
      </c>
      <c r="I17" s="9">
        <v>131498.51532781147</v>
      </c>
      <c r="J17" s="9">
        <v>53899.663993714144</v>
      </c>
      <c r="K17" s="9">
        <v>54251.926652645809</v>
      </c>
      <c r="L17" s="9">
        <v>1493.9113271870408</v>
      </c>
      <c r="M17">
        <f t="shared" si="1"/>
        <v>241144.01730135846</v>
      </c>
    </row>
    <row r="18" spans="1:13" x14ac:dyDescent="0.25">
      <c r="A18" s="12">
        <v>0.3125</v>
      </c>
      <c r="B18" s="6">
        <v>162009.83894761367</v>
      </c>
      <c r="C18" s="6">
        <v>97133.93749676671</v>
      </c>
      <c r="D18" s="6">
        <v>71739.451251517632</v>
      </c>
      <c r="E18" s="6">
        <v>1906.594945917851</v>
      </c>
      <c r="F18" s="6">
        <f t="shared" si="0"/>
        <v>332789.82264181587</v>
      </c>
      <c r="H18" s="12">
        <v>0.3125</v>
      </c>
      <c r="I18" s="9">
        <v>147570.72306074022</v>
      </c>
      <c r="J18" s="9">
        <v>67318.10650649466</v>
      </c>
      <c r="K18" s="9">
        <v>69471.766746100096</v>
      </c>
      <c r="L18" s="9">
        <v>2213.9585882316142</v>
      </c>
      <c r="M18">
        <f t="shared" si="1"/>
        <v>286574.55490156659</v>
      </c>
    </row>
    <row r="19" spans="1:13" x14ac:dyDescent="0.25">
      <c r="A19" s="12">
        <v>0.33333333333333331</v>
      </c>
      <c r="B19" s="6">
        <v>161012.65311754154</v>
      </c>
      <c r="C19" s="6">
        <v>102310.23868560416</v>
      </c>
      <c r="D19" s="6">
        <v>89196.162707906493</v>
      </c>
      <c r="E19" s="6">
        <v>2767.0319300754345</v>
      </c>
      <c r="F19" s="6">
        <f t="shared" si="0"/>
        <v>355286.08644112764</v>
      </c>
      <c r="H19" s="12">
        <v>0.33333333333333331</v>
      </c>
      <c r="I19" s="9">
        <v>152155.73135324876</v>
      </c>
      <c r="J19" s="9">
        <v>75143.051260565335</v>
      </c>
      <c r="K19" s="9">
        <v>84691.222154727031</v>
      </c>
      <c r="L19" s="9">
        <v>3200.8782832406937</v>
      </c>
      <c r="M19">
        <f t="shared" si="1"/>
        <v>315190.88305178186</v>
      </c>
    </row>
    <row r="20" spans="1:13" x14ac:dyDescent="0.25">
      <c r="A20" s="12">
        <v>0.35416666666666669</v>
      </c>
      <c r="B20" s="6">
        <v>147226.30907580975</v>
      </c>
      <c r="C20" s="6">
        <v>94943.021404159459</v>
      </c>
      <c r="D20" s="6">
        <v>103704.3757790724</v>
      </c>
      <c r="E20" s="6">
        <v>3821.2816847476483</v>
      </c>
      <c r="F20" s="6">
        <f t="shared" si="0"/>
        <v>349694.98794378928</v>
      </c>
      <c r="H20" s="12">
        <v>0.35416666666666669</v>
      </c>
      <c r="I20" s="9">
        <v>144509.0909645193</v>
      </c>
      <c r="J20" s="9">
        <v>75573.576914078716</v>
      </c>
      <c r="K20" s="9">
        <v>98388.846020327546</v>
      </c>
      <c r="L20" s="9">
        <v>4512.2474954872696</v>
      </c>
      <c r="M20">
        <f t="shared" si="1"/>
        <v>322983.76139441284</v>
      </c>
    </row>
    <row r="21" spans="1:13" x14ac:dyDescent="0.25">
      <c r="A21" s="12">
        <v>0.375</v>
      </c>
      <c r="B21" s="6">
        <v>124948.25275344233</v>
      </c>
      <c r="C21" s="6">
        <v>78053.764923076582</v>
      </c>
      <c r="D21" s="6">
        <v>113587.937927466</v>
      </c>
      <c r="E21" s="6">
        <v>5150.4024097323008</v>
      </c>
      <c r="F21" s="6">
        <f t="shared" si="0"/>
        <v>321740.35801371717</v>
      </c>
      <c r="H21" s="12">
        <v>0.375</v>
      </c>
      <c r="I21" s="9">
        <v>127121.80540211531</v>
      </c>
      <c r="J21" s="9">
        <v>69196.365185855801</v>
      </c>
      <c r="K21" s="9">
        <v>109045.69828121286</v>
      </c>
      <c r="L21" s="9">
        <v>6182.294023381035</v>
      </c>
      <c r="M21">
        <f t="shared" si="1"/>
        <v>311546.16289256496</v>
      </c>
    </row>
    <row r="22" spans="1:13" x14ac:dyDescent="0.25">
      <c r="A22" s="12">
        <v>0.39583333333333331</v>
      </c>
      <c r="B22" s="6">
        <v>99908.361682265037</v>
      </c>
      <c r="C22" s="6">
        <v>57331.486780881198</v>
      </c>
      <c r="D22" s="6">
        <v>118634.66887457907</v>
      </c>
      <c r="E22" s="6">
        <v>6953.8890029457934</v>
      </c>
      <c r="F22" s="6">
        <f t="shared" si="0"/>
        <v>282828.40634067112</v>
      </c>
      <c r="H22" s="12">
        <v>0.39583333333333331</v>
      </c>
      <c r="I22" s="9">
        <v>104689.35936537178</v>
      </c>
      <c r="J22" s="9">
        <v>58525.395031321532</v>
      </c>
      <c r="K22" s="9">
        <v>115566.83972103764</v>
      </c>
      <c r="L22" s="9">
        <v>8164.2873040130453</v>
      </c>
      <c r="M22">
        <f t="shared" si="1"/>
        <v>286945.88142174401</v>
      </c>
    </row>
    <row r="23" spans="1:13" x14ac:dyDescent="0.25">
      <c r="A23" s="12">
        <v>0.41666666666666669</v>
      </c>
      <c r="B23" s="6">
        <v>76888.165774483365</v>
      </c>
      <c r="C23" s="6">
        <v>38277.557873405574</v>
      </c>
      <c r="D23" s="6">
        <v>119767.50346923676</v>
      </c>
      <c r="E23" s="6">
        <v>9462.896536993876</v>
      </c>
      <c r="F23" s="6">
        <f t="shared" si="0"/>
        <v>244396.12365411958</v>
      </c>
      <c r="H23" s="12">
        <v>0.41666666666666669</v>
      </c>
      <c r="I23" s="9">
        <v>82264.420211361226</v>
      </c>
      <c r="J23" s="9">
        <v>46676.756485402111</v>
      </c>
      <c r="K23" s="9">
        <v>117720.54295600048</v>
      </c>
      <c r="L23" s="9">
        <v>10287.190109999763</v>
      </c>
      <c r="M23">
        <f t="shared" si="1"/>
        <v>256948.90976276359</v>
      </c>
    </row>
    <row r="24" spans="1:13" x14ac:dyDescent="0.25">
      <c r="A24" s="12">
        <v>0.4375</v>
      </c>
      <c r="B24" s="6">
        <v>58488.48221658657</v>
      </c>
      <c r="C24" s="6">
        <v>24096.652696453741</v>
      </c>
      <c r="D24" s="6">
        <v>118265.29592734177</v>
      </c>
      <c r="E24" s="6">
        <v>12692.13217839937</v>
      </c>
      <c r="F24" s="6">
        <f t="shared" si="0"/>
        <v>213542.56301878142</v>
      </c>
      <c r="H24" s="12">
        <v>0.4375</v>
      </c>
      <c r="I24" s="9">
        <v>63504.672383758152</v>
      </c>
      <c r="J24" s="9">
        <v>36062.132537616577</v>
      </c>
      <c r="K24" s="9">
        <v>116315.15797766892</v>
      </c>
      <c r="L24" s="9">
        <v>12269.108138536281</v>
      </c>
      <c r="M24">
        <f t="shared" si="1"/>
        <v>228151.07103757991</v>
      </c>
    </row>
    <row r="25" spans="1:13" x14ac:dyDescent="0.25">
      <c r="A25" s="12">
        <v>0.45833333333333331</v>
      </c>
      <c r="B25" s="6">
        <v>45272.233031343523</v>
      </c>
      <c r="C25" s="6">
        <v>15295.438880675942</v>
      </c>
      <c r="D25" s="6">
        <v>115271.5972564118</v>
      </c>
      <c r="E25" s="6">
        <v>16182.114053263611</v>
      </c>
      <c r="F25" s="6">
        <f t="shared" si="0"/>
        <v>192021.38322169488</v>
      </c>
      <c r="H25" s="12">
        <v>0.45833333333333331</v>
      </c>
      <c r="I25" s="9">
        <v>49821.515850589858</v>
      </c>
      <c r="J25" s="9">
        <v>27788.121036070472</v>
      </c>
      <c r="K25" s="9">
        <v>112945.2377972442</v>
      </c>
      <c r="L25" s="9">
        <v>13780.947050159066</v>
      </c>
      <c r="M25">
        <f t="shared" si="1"/>
        <v>204335.82173406359</v>
      </c>
    </row>
    <row r="26" spans="1:13" x14ac:dyDescent="0.25">
      <c r="A26" s="12">
        <v>0.47916666666666669</v>
      </c>
      <c r="B26" s="6">
        <v>36559.207183364939</v>
      </c>
      <c r="C26" s="6">
        <v>10630.125770801415</v>
      </c>
      <c r="D26" s="6">
        <v>111830.14128662035</v>
      </c>
      <c r="E26" s="6">
        <v>19008.887228717147</v>
      </c>
      <c r="F26" s="6">
        <f t="shared" si="0"/>
        <v>178028.36146950384</v>
      </c>
      <c r="H26" s="12">
        <v>0.47916666666666669</v>
      </c>
      <c r="I26" s="9">
        <v>40669.64962622468</v>
      </c>
      <c r="J26" s="9">
        <v>21837.257885605824</v>
      </c>
      <c r="K26" s="9">
        <v>109391.39362085801</v>
      </c>
      <c r="L26" s="9">
        <v>14529.10712898887</v>
      </c>
      <c r="M26">
        <f t="shared" si="1"/>
        <v>186427.4082616774</v>
      </c>
    </row>
    <row r="27" spans="1:13" x14ac:dyDescent="0.25">
      <c r="A27" s="12">
        <v>0.5</v>
      </c>
      <c r="B27" s="6">
        <v>31157.709197137636</v>
      </c>
      <c r="C27" s="6">
        <v>8375.4048348948854</v>
      </c>
      <c r="D27" s="6">
        <v>109040.23247608582</v>
      </c>
      <c r="E27" s="6">
        <v>20190.769153367422</v>
      </c>
      <c r="F27" s="6">
        <f t="shared" si="0"/>
        <v>168764.11566148576</v>
      </c>
      <c r="H27" s="12">
        <v>0.5</v>
      </c>
      <c r="I27" s="9">
        <v>34563.81076616986</v>
      </c>
      <c r="J27" s="9">
        <v>17638.145154862872</v>
      </c>
      <c r="K27" s="9">
        <v>106965.18848788604</v>
      </c>
      <c r="L27" s="9">
        <v>14347.651643966019</v>
      </c>
      <c r="M27">
        <f t="shared" si="1"/>
        <v>173514.79605288478</v>
      </c>
    </row>
    <row r="28" spans="1:13" x14ac:dyDescent="0.25">
      <c r="A28" s="12">
        <v>0.52083333333333337</v>
      </c>
      <c r="B28" s="6">
        <v>27829.412366755132</v>
      </c>
      <c r="C28" s="6">
        <v>7156.7603748587135</v>
      </c>
      <c r="D28" s="6">
        <v>107894.17629745758</v>
      </c>
      <c r="E28" s="6">
        <v>19256.815803111189</v>
      </c>
      <c r="F28" s="6">
        <f t="shared" si="0"/>
        <v>162137.1648421826</v>
      </c>
      <c r="H28" s="12">
        <v>0.52083333333333337</v>
      </c>
      <c r="I28" s="9">
        <v>30102.595176518102</v>
      </c>
      <c r="J28" s="9">
        <v>14579.253654868986</v>
      </c>
      <c r="K28" s="9">
        <v>106127.38484665805</v>
      </c>
      <c r="L28" s="9">
        <v>13285.247124615622</v>
      </c>
      <c r="M28">
        <f t="shared" si="1"/>
        <v>164094.48080266078</v>
      </c>
    </row>
    <row r="29" spans="1:13" x14ac:dyDescent="0.25">
      <c r="A29" s="12">
        <v>0.54166666666666663</v>
      </c>
      <c r="B29" s="6">
        <v>25569.334779206438</v>
      </c>
      <c r="C29" s="6">
        <v>6215.0645151103699</v>
      </c>
      <c r="D29" s="6">
        <v>108849.32738594798</v>
      </c>
      <c r="E29" s="6">
        <v>16536.320669446115</v>
      </c>
      <c r="F29" s="6">
        <f t="shared" si="0"/>
        <v>157170.04734971089</v>
      </c>
      <c r="H29" s="12">
        <v>0.54166666666666663</v>
      </c>
      <c r="I29" s="9">
        <v>26478.271038091807</v>
      </c>
      <c r="J29" s="9">
        <v>12250.725276166455</v>
      </c>
      <c r="K29" s="9">
        <v>106565.58676719989</v>
      </c>
      <c r="L29" s="9">
        <v>11621.319159662818</v>
      </c>
      <c r="M29">
        <f t="shared" si="1"/>
        <v>156915.90224112096</v>
      </c>
    </row>
    <row r="30" spans="1:13" x14ac:dyDescent="0.25">
      <c r="A30" s="12">
        <v>0.5625</v>
      </c>
      <c r="B30" s="6">
        <v>23731.146254060059</v>
      </c>
      <c r="C30" s="6">
        <v>5319.0763414134517</v>
      </c>
      <c r="D30" s="6">
        <v>111544.2235609042</v>
      </c>
      <c r="E30" s="6">
        <v>12945.717997265625</v>
      </c>
      <c r="F30" s="6">
        <f t="shared" si="0"/>
        <v>153540.16415364333</v>
      </c>
      <c r="H30" s="12">
        <v>0.5625</v>
      </c>
      <c r="I30" s="9">
        <v>23421.564436082503</v>
      </c>
      <c r="J30" s="9">
        <v>10444.28570148789</v>
      </c>
      <c r="K30" s="9">
        <v>107662.06030372682</v>
      </c>
      <c r="L30" s="9">
        <v>9753.4668844641837</v>
      </c>
      <c r="M30">
        <f t="shared" si="1"/>
        <v>151281.37732576139</v>
      </c>
    </row>
    <row r="31" spans="1:13" x14ac:dyDescent="0.25">
      <c r="A31" s="12">
        <v>0.58333333333333337</v>
      </c>
      <c r="B31" s="6">
        <v>21983.087392577188</v>
      </c>
      <c r="C31" s="6">
        <v>4535.3802134149482</v>
      </c>
      <c r="D31" s="6">
        <v>114976.5011093584</v>
      </c>
      <c r="E31" s="6">
        <v>9469.6463423414571</v>
      </c>
      <c r="F31" s="6">
        <f t="shared" si="0"/>
        <v>150964.61505769202</v>
      </c>
      <c r="H31" s="12">
        <v>0.58333333333333337</v>
      </c>
      <c r="I31" s="9">
        <v>20883.580818905437</v>
      </c>
      <c r="J31" s="9">
        <v>9053.5613356177855</v>
      </c>
      <c r="K31" s="9">
        <v>109042.76632415073</v>
      </c>
      <c r="L31" s="9">
        <v>8011.9477923203522</v>
      </c>
      <c r="M31">
        <f t="shared" si="1"/>
        <v>146991.85627099429</v>
      </c>
    </row>
    <row r="32" spans="1:13" x14ac:dyDescent="0.25">
      <c r="A32" s="12">
        <v>0.60416666666666663</v>
      </c>
      <c r="B32" s="6">
        <v>20177.972583596616</v>
      </c>
      <c r="C32" s="6">
        <v>3986.4020554690733</v>
      </c>
      <c r="D32" s="6">
        <v>118128.7627829741</v>
      </c>
      <c r="E32" s="6">
        <v>6724.7062579125422</v>
      </c>
      <c r="F32" s="6">
        <f t="shared" si="0"/>
        <v>149017.84367995232</v>
      </c>
      <c r="H32" s="12">
        <v>0.60416666666666663</v>
      </c>
      <c r="I32" s="9">
        <v>18788.913192108717</v>
      </c>
      <c r="J32" s="9">
        <v>7997.3767266025061</v>
      </c>
      <c r="K32" s="9">
        <v>110838.79679657466</v>
      </c>
      <c r="L32" s="9">
        <v>6544.2652083201956</v>
      </c>
      <c r="M32">
        <f t="shared" si="1"/>
        <v>144169.3519236061</v>
      </c>
    </row>
    <row r="33" spans="1:13" x14ac:dyDescent="0.25">
      <c r="A33" s="12">
        <v>0.625</v>
      </c>
      <c r="B33" s="6">
        <v>18265.530727863777</v>
      </c>
      <c r="C33" s="6">
        <v>3701.7428247975558</v>
      </c>
      <c r="D33" s="6">
        <v>120714.51504266608</v>
      </c>
      <c r="E33" s="6">
        <v>4837.4662256163729</v>
      </c>
      <c r="F33" s="6">
        <f t="shared" si="0"/>
        <v>147519.25482094378</v>
      </c>
      <c r="H33" s="12">
        <v>0.625</v>
      </c>
      <c r="I33" s="9">
        <v>16991.919774310649</v>
      </c>
      <c r="J33" s="9">
        <v>7207.485618620125</v>
      </c>
      <c r="K33" s="9">
        <v>113497.35718791938</v>
      </c>
      <c r="L33" s="9">
        <v>5345.2828433629347</v>
      </c>
      <c r="M33">
        <f t="shared" si="1"/>
        <v>143042.04542421311</v>
      </c>
    </row>
    <row r="34" spans="1:13" x14ac:dyDescent="0.25">
      <c r="A34" s="12">
        <v>0.64583333333333337</v>
      </c>
      <c r="B34" s="6">
        <v>16266.817085780338</v>
      </c>
      <c r="C34" s="6">
        <v>3610.5872139474686</v>
      </c>
      <c r="D34" s="6">
        <v>123529.51375591886</v>
      </c>
      <c r="E34" s="6">
        <v>3600.4599470796466</v>
      </c>
      <c r="F34" s="6">
        <f t="shared" si="0"/>
        <v>147007.37800272633</v>
      </c>
      <c r="H34" s="12">
        <v>0.64583333333333337</v>
      </c>
      <c r="I34" s="9">
        <v>15358.088215837373</v>
      </c>
      <c r="J34" s="9">
        <v>6649.6555436305516</v>
      </c>
      <c r="K34" s="9">
        <v>117327.34325237908</v>
      </c>
      <c r="L34" s="9">
        <v>4365.0814633152677</v>
      </c>
      <c r="M34">
        <f t="shared" si="1"/>
        <v>143700.16847516227</v>
      </c>
    </row>
    <row r="35" spans="1:13" x14ac:dyDescent="0.25">
      <c r="A35" s="12">
        <v>0.66666666666666663</v>
      </c>
      <c r="B35" s="6">
        <v>14241.445914698215</v>
      </c>
      <c r="C35" s="6">
        <v>3613.879892565194</v>
      </c>
      <c r="D35" s="6">
        <v>127983.02814094759</v>
      </c>
      <c r="E35" s="6">
        <v>2724.2737674152136</v>
      </c>
      <c r="F35" s="6">
        <f t="shared" si="0"/>
        <v>148562.62771562621</v>
      </c>
      <c r="H35" s="12">
        <v>0.66666666666666663</v>
      </c>
      <c r="I35" s="9">
        <v>13828.744541227821</v>
      </c>
      <c r="J35" s="9">
        <v>6324.6251848998818</v>
      </c>
      <c r="K35" s="9">
        <v>122149.84347267391</v>
      </c>
      <c r="L35" s="9">
        <v>3579.1904140736219</v>
      </c>
      <c r="M35">
        <f t="shared" si="1"/>
        <v>145882.40361287523</v>
      </c>
    </row>
    <row r="36" spans="1:13" x14ac:dyDescent="0.25">
      <c r="A36" s="12">
        <v>0.6875</v>
      </c>
      <c r="B36" s="6">
        <v>12233.614387188294</v>
      </c>
      <c r="C36" s="6">
        <v>3631.1378644260722</v>
      </c>
      <c r="D36" s="6">
        <v>134877.62317378141</v>
      </c>
      <c r="E36" s="6">
        <v>2016.6320843655408</v>
      </c>
      <c r="F36" s="6">
        <f t="shared" si="0"/>
        <v>152759.00750976132</v>
      </c>
      <c r="H36" s="12">
        <v>0.6875</v>
      </c>
      <c r="I36" s="9">
        <v>12402.679421145564</v>
      </c>
      <c r="J36" s="9">
        <v>6226.30886117912</v>
      </c>
      <c r="K36" s="9">
        <v>127251.68057796523</v>
      </c>
      <c r="L36" s="9">
        <v>2981.6090076641253</v>
      </c>
      <c r="M36">
        <f t="shared" si="1"/>
        <v>148862.27786795402</v>
      </c>
    </row>
    <row r="37" spans="1:13" x14ac:dyDescent="0.25">
      <c r="A37" s="12">
        <v>0.70833333333333337</v>
      </c>
      <c r="B37" s="6">
        <v>10256.673423279772</v>
      </c>
      <c r="C37" s="6">
        <v>3590.6313454381043</v>
      </c>
      <c r="D37" s="6">
        <v>143176.31498076537</v>
      </c>
      <c r="E37" s="6">
        <v>1421.1936513757878</v>
      </c>
      <c r="F37" s="6">
        <f t="shared" si="0"/>
        <v>158444.81340085904</v>
      </c>
      <c r="H37" s="12">
        <v>0.70833333333333337</v>
      </c>
      <c r="I37" s="9">
        <v>11072.206643171841</v>
      </c>
      <c r="J37" s="9">
        <v>6286.2999505004809</v>
      </c>
      <c r="K37" s="9">
        <v>131526.27736163349</v>
      </c>
      <c r="L37" s="9">
        <v>2545.7798668798482</v>
      </c>
      <c r="M37">
        <f t="shared" si="1"/>
        <v>151430.56382218565</v>
      </c>
    </row>
    <row r="38" spans="1:13" x14ac:dyDescent="0.25">
      <c r="A38" s="12">
        <v>0.72916666666666663</v>
      </c>
      <c r="B38" s="6">
        <v>8334.3508411824696</v>
      </c>
      <c r="C38" s="6">
        <v>3416.9094614557043</v>
      </c>
      <c r="D38" s="6">
        <v>149759.88982550564</v>
      </c>
      <c r="E38" s="6">
        <v>956.83946270762908</v>
      </c>
      <c r="F38" s="6">
        <f t="shared" si="0"/>
        <v>162467.98959085144</v>
      </c>
      <c r="H38" s="12">
        <v>0.72916666666666663</v>
      </c>
      <c r="I38" s="9">
        <v>9788.7787370041551</v>
      </c>
      <c r="J38" s="9">
        <v>6360.4551487915296</v>
      </c>
      <c r="K38" s="9">
        <v>133648.5434858239</v>
      </c>
      <c r="L38" s="9">
        <v>2210.5922736372931</v>
      </c>
      <c r="M38">
        <f t="shared" si="1"/>
        <v>152008.3696452569</v>
      </c>
    </row>
    <row r="39" spans="1:13" x14ac:dyDescent="0.25">
      <c r="A39" s="12">
        <v>0.75</v>
      </c>
      <c r="B39" s="6">
        <v>6536.2681548098599</v>
      </c>
      <c r="C39" s="6">
        <v>3058.6215190799621</v>
      </c>
      <c r="D39" s="6">
        <v>150634.92787296767</v>
      </c>
      <c r="E39" s="6">
        <v>642.72201434620558</v>
      </c>
      <c r="F39" s="6">
        <f t="shared" si="0"/>
        <v>160872.53956120371</v>
      </c>
      <c r="H39" s="12">
        <v>0.75</v>
      </c>
      <c r="I39" s="9">
        <v>8492.1013649959623</v>
      </c>
      <c r="J39" s="9">
        <v>6287.1452953994958</v>
      </c>
      <c r="K39" s="9">
        <v>132360.82344609997</v>
      </c>
      <c r="L39" s="9">
        <v>1907.3921660150554</v>
      </c>
      <c r="M39">
        <f t="shared" si="1"/>
        <v>149047.46227251049</v>
      </c>
    </row>
    <row r="40" spans="1:13" x14ac:dyDescent="0.25">
      <c r="A40" s="12">
        <v>0.77083333333333337</v>
      </c>
      <c r="B40" s="6">
        <v>4957.4446915654771</v>
      </c>
      <c r="C40" s="6">
        <v>2529.6426329157125</v>
      </c>
      <c r="D40" s="6">
        <v>142990.2705954694</v>
      </c>
      <c r="E40" s="6">
        <v>462.85353539471595</v>
      </c>
      <c r="F40" s="6">
        <f t="shared" si="0"/>
        <v>150940.2114553453</v>
      </c>
      <c r="H40" s="12">
        <v>0.77083333333333337</v>
      </c>
      <c r="I40" s="9">
        <v>7169.7465313878592</v>
      </c>
      <c r="J40" s="9">
        <v>5981.7590163461427</v>
      </c>
      <c r="K40" s="9">
        <v>126954.35294985575</v>
      </c>
      <c r="L40" s="9">
        <v>1602.2981961179903</v>
      </c>
      <c r="M40">
        <f t="shared" si="1"/>
        <v>141708.15669370774</v>
      </c>
    </row>
    <row r="41" spans="1:13" x14ac:dyDescent="0.25">
      <c r="A41" s="12">
        <v>0.79166666666666663</v>
      </c>
      <c r="B41" s="6">
        <v>3669.4019946956896</v>
      </c>
      <c r="C41" s="6">
        <v>1913.1547339771839</v>
      </c>
      <c r="D41" s="6">
        <v>126769.37765009832</v>
      </c>
      <c r="E41" s="6">
        <v>371.325640109956</v>
      </c>
      <c r="F41" s="6">
        <f t="shared" si="0"/>
        <v>132723.26001888115</v>
      </c>
      <c r="H41" s="12">
        <v>0.79166666666666663</v>
      </c>
      <c r="I41" s="9">
        <v>5884.2667781728996</v>
      </c>
      <c r="J41" s="9">
        <v>5485.9860424771432</v>
      </c>
      <c r="K41" s="9">
        <v>117665.50079398803</v>
      </c>
      <c r="L41" s="9">
        <v>1314.5340825602952</v>
      </c>
      <c r="M41">
        <f t="shared" si="1"/>
        <v>130350.28769719836</v>
      </c>
    </row>
    <row r="42" spans="1:13" x14ac:dyDescent="0.25">
      <c r="A42" s="12">
        <v>0.8125</v>
      </c>
      <c r="B42" s="6">
        <v>2697.1603530170505</v>
      </c>
      <c r="C42" s="6">
        <v>1321.3976758331689</v>
      </c>
      <c r="D42" s="6">
        <v>104714.64964155942</v>
      </c>
      <c r="E42" s="6">
        <v>315.91776831151401</v>
      </c>
      <c r="F42" s="6">
        <f t="shared" si="0"/>
        <v>109049.12543872115</v>
      </c>
      <c r="H42" s="12">
        <v>0.8125</v>
      </c>
      <c r="I42" s="9">
        <v>4736.6987820987197</v>
      </c>
      <c r="J42" s="9">
        <v>4919.864698677633</v>
      </c>
      <c r="K42" s="9">
        <v>105545.66368157181</v>
      </c>
      <c r="L42" s="9">
        <v>1091.3626343402379</v>
      </c>
      <c r="M42">
        <f t="shared" si="1"/>
        <v>116293.58979668841</v>
      </c>
    </row>
    <row r="43" spans="1:13" x14ac:dyDescent="0.25">
      <c r="A43" s="12">
        <v>0.83333333333333337</v>
      </c>
      <c r="B43" s="6">
        <v>2028.1761053414418</v>
      </c>
      <c r="C43" s="6">
        <v>846.80718575312721</v>
      </c>
      <c r="D43" s="6">
        <v>80953.448852857822</v>
      </c>
      <c r="E43" s="6">
        <v>260.75056107983846</v>
      </c>
      <c r="F43" s="6">
        <f t="shared" si="0"/>
        <v>84089.182705032232</v>
      </c>
      <c r="H43" s="12">
        <v>0.83333333333333337</v>
      </c>
      <c r="I43" s="9">
        <v>3797.3189682473176</v>
      </c>
      <c r="J43" s="9">
        <v>4374.6788510321621</v>
      </c>
      <c r="K43" s="9">
        <v>91825.683616738577</v>
      </c>
      <c r="L43" s="9">
        <v>958.91450779854051</v>
      </c>
      <c r="M43">
        <f t="shared" si="1"/>
        <v>100956.5959438166</v>
      </c>
    </row>
    <row r="44" spans="1:13" x14ac:dyDescent="0.25">
      <c r="A44" s="12">
        <v>0.85416666666666663</v>
      </c>
      <c r="B44" s="6">
        <v>1619.2693544649696</v>
      </c>
      <c r="C44" s="6">
        <v>539.8066467395571</v>
      </c>
      <c r="D44" s="6">
        <v>59168.861321199227</v>
      </c>
      <c r="E44" s="6">
        <v>195.83597185336924</v>
      </c>
      <c r="F44" s="6">
        <f t="shared" si="0"/>
        <v>61523.773294257124</v>
      </c>
      <c r="H44" s="12">
        <v>0.85416666666666663</v>
      </c>
      <c r="I44" s="9">
        <v>3064.5410262209843</v>
      </c>
      <c r="J44" s="9">
        <v>3844.9614438138437</v>
      </c>
      <c r="K44" s="9">
        <v>77359.604780228008</v>
      </c>
      <c r="L44" s="9">
        <v>892.09284874645937</v>
      </c>
      <c r="M44">
        <f t="shared" si="1"/>
        <v>85161.200099009293</v>
      </c>
    </row>
    <row r="45" spans="1:13" x14ac:dyDescent="0.25">
      <c r="A45" s="12">
        <v>0.875</v>
      </c>
      <c r="B45" s="6">
        <v>1390.4091351974598</v>
      </c>
      <c r="C45" s="6">
        <v>419.34506765678407</v>
      </c>
      <c r="D45" s="6">
        <v>41451.577328202889</v>
      </c>
      <c r="E45" s="6">
        <v>130.0730407690902</v>
      </c>
      <c r="F45" s="6">
        <f t="shared" si="0"/>
        <v>43391.404571826228</v>
      </c>
      <c r="H45" s="12">
        <v>0.875</v>
      </c>
      <c r="I45" s="9">
        <v>2481.7600648666362</v>
      </c>
      <c r="J45" s="9">
        <v>3259.6619990547051</v>
      </c>
      <c r="K45" s="9">
        <v>62635.900262742362</v>
      </c>
      <c r="L45" s="9">
        <v>830.35319702698177</v>
      </c>
      <c r="M45">
        <f t="shared" si="1"/>
        <v>69207.67552369069</v>
      </c>
    </row>
    <row r="46" spans="1:13" x14ac:dyDescent="0.25">
      <c r="A46" s="12">
        <v>0.89583333333333337</v>
      </c>
      <c r="B46" s="6">
        <v>1233.8945634464162</v>
      </c>
      <c r="C46" s="6">
        <v>491.48705116949566</v>
      </c>
      <c r="D46" s="6">
        <v>28212.09765175034</v>
      </c>
      <c r="E46" s="6">
        <v>76.012821528062986</v>
      </c>
      <c r="F46" s="6">
        <f t="shared" si="0"/>
        <v>30013.492087894316</v>
      </c>
      <c r="H46" s="12">
        <v>0.89583333333333337</v>
      </c>
      <c r="I46" s="9">
        <v>1986.6376142172294</v>
      </c>
      <c r="J46" s="9">
        <v>2574.7467639399683</v>
      </c>
      <c r="K46" s="9">
        <v>48191.931810664857</v>
      </c>
      <c r="L46" s="9">
        <v>723.51721418863679</v>
      </c>
      <c r="M46">
        <f t="shared" si="1"/>
        <v>53476.833403010693</v>
      </c>
    </row>
    <row r="47" spans="1:13" x14ac:dyDescent="0.25">
      <c r="A47" s="12">
        <v>0.91666666666666663</v>
      </c>
      <c r="B47" s="6">
        <v>1056.5086630603187</v>
      </c>
      <c r="C47" s="6">
        <v>741.73868782302873</v>
      </c>
      <c r="D47" s="6">
        <v>18799.693423052304</v>
      </c>
      <c r="E47" s="6">
        <v>39.337175625405052</v>
      </c>
      <c r="F47" s="6">
        <f t="shared" si="0"/>
        <v>20637.277949561056</v>
      </c>
      <c r="H47" s="12">
        <v>0.91666666666666663</v>
      </c>
      <c r="I47" s="9">
        <v>1546.1758247977887</v>
      </c>
      <c r="J47" s="9">
        <v>1834.8780620544792</v>
      </c>
      <c r="K47" s="9">
        <v>34863.493718644029</v>
      </c>
      <c r="L47" s="9">
        <v>565.58775646264121</v>
      </c>
      <c r="M47">
        <f t="shared" si="1"/>
        <v>38810.135361958943</v>
      </c>
    </row>
    <row r="48" spans="1:13" x14ac:dyDescent="0.25">
      <c r="A48" s="12">
        <v>0.9375</v>
      </c>
      <c r="B48" s="6">
        <v>824.448821731002</v>
      </c>
      <c r="C48" s="6">
        <v>1098.6290150251609</v>
      </c>
      <c r="D48" s="6">
        <v>12237.845932909582</v>
      </c>
      <c r="E48" s="6">
        <v>18.148528665799972</v>
      </c>
      <c r="F48" s="6">
        <f t="shared" si="0"/>
        <v>14179.072298331546</v>
      </c>
      <c r="H48" s="12">
        <v>0.9375</v>
      </c>
      <c r="I48" s="9">
        <v>1156.9871400224431</v>
      </c>
      <c r="J48" s="9">
        <v>1151.0640985479495</v>
      </c>
      <c r="K48" s="9">
        <v>23569.989386592621</v>
      </c>
      <c r="L48" s="9">
        <v>390.05182544806854</v>
      </c>
      <c r="M48">
        <f t="shared" si="1"/>
        <v>26268.092450611082</v>
      </c>
    </row>
    <row r="49" spans="1:13" x14ac:dyDescent="0.25">
      <c r="A49" s="12">
        <v>0.95833333333333337</v>
      </c>
      <c r="B49" s="6">
        <v>567.35873518212736</v>
      </c>
      <c r="C49" s="6">
        <v>1418.3022824947557</v>
      </c>
      <c r="D49" s="6">
        <v>7688.4543078346578</v>
      </c>
      <c r="E49" s="6">
        <v>7.4258433295356037</v>
      </c>
      <c r="F49" s="6">
        <f t="shared" si="0"/>
        <v>9681.5411688410768</v>
      </c>
      <c r="H49" s="12">
        <v>0.95833333333333337</v>
      </c>
      <c r="I49" s="9">
        <v>826.12044463944676</v>
      </c>
      <c r="J49" s="9">
        <v>624.81904087553517</v>
      </c>
      <c r="K49" s="9">
        <v>14878.439186214277</v>
      </c>
      <c r="L49" s="9">
        <v>238.08562148324967</v>
      </c>
      <c r="M49">
        <f t="shared" si="1"/>
        <v>16567.46429321251</v>
      </c>
    </row>
    <row r="50" spans="1:13" x14ac:dyDescent="0.25">
      <c r="A50" s="12">
        <v>0.97916666666666663</v>
      </c>
      <c r="B50" s="6">
        <v>339.3117051598224</v>
      </c>
      <c r="C50" s="6">
        <v>1541.1407887394757</v>
      </c>
      <c r="D50" s="6">
        <v>4579.7860199586466</v>
      </c>
      <c r="E50" s="6">
        <v>2.6288906333622588</v>
      </c>
      <c r="F50" s="6">
        <f t="shared" si="0"/>
        <v>6462.8674044913068</v>
      </c>
      <c r="H50" s="12">
        <v>0.97916666666666663</v>
      </c>
      <c r="I50" s="9">
        <v>556.99206410720626</v>
      </c>
      <c r="J50" s="9">
        <v>290.56734036774992</v>
      </c>
      <c r="K50" s="9">
        <v>8780.3446717674869</v>
      </c>
      <c r="L50" s="9">
        <v>131.30511522516491</v>
      </c>
      <c r="M50">
        <f t="shared" si="1"/>
        <v>9759.2091914676075</v>
      </c>
    </row>
    <row r="51" spans="1:13" x14ac:dyDescent="0.25">
      <c r="A51" s="12">
        <v>1</v>
      </c>
      <c r="B51" s="6">
        <v>175.74803168544</v>
      </c>
      <c r="C51" s="6">
        <v>1394.0566082987382</v>
      </c>
      <c r="D51" s="6">
        <v>2537.5450547970286</v>
      </c>
      <c r="E51" s="6">
        <v>0.77100076102196691</v>
      </c>
      <c r="F51" s="6">
        <f t="shared" si="0"/>
        <v>4108.1206955422294</v>
      </c>
      <c r="H51" s="12">
        <v>1</v>
      </c>
      <c r="I51" s="9">
        <v>348.23015870665893</v>
      </c>
      <c r="J51" s="9">
        <v>115.7934910856259</v>
      </c>
      <c r="K51" s="9">
        <v>4830.7731970164386</v>
      </c>
      <c r="L51" s="9">
        <v>67.574352499570779</v>
      </c>
      <c r="M51">
        <f t="shared" si="1"/>
        <v>5362.3711993082943</v>
      </c>
    </row>
    <row r="52" spans="1:13" x14ac:dyDescent="0.25">
      <c r="A52" s="12">
        <v>1.0208333333333333</v>
      </c>
      <c r="B52" s="6">
        <v>79.105456690393524</v>
      </c>
      <c r="C52" s="6">
        <v>1043.2528781890896</v>
      </c>
      <c r="D52" s="6">
        <v>1283.2242359762449</v>
      </c>
      <c r="E52" s="6">
        <v>0.17665640853187559</v>
      </c>
      <c r="F52" s="6">
        <f t="shared" si="0"/>
        <v>2405.7592272642601</v>
      </c>
      <c r="H52" s="12">
        <v>1.0208333333333333</v>
      </c>
      <c r="I52" s="9">
        <v>196.84660250377163</v>
      </c>
      <c r="J52" s="9">
        <v>40.273940467292313</v>
      </c>
      <c r="K52" s="9">
        <v>2446.884669406908</v>
      </c>
      <c r="L52" s="9">
        <v>33.259540406048174</v>
      </c>
      <c r="M52">
        <f t="shared" si="1"/>
        <v>2717.2647527840199</v>
      </c>
    </row>
    <row r="53" spans="1:13" x14ac:dyDescent="0.25">
      <c r="A53" s="12">
        <v>4.1666666666666664E-2</v>
      </c>
      <c r="B53" s="6">
        <v>31.149558462315294</v>
      </c>
      <c r="C53" s="6">
        <v>641.31952955287466</v>
      </c>
      <c r="D53" s="6">
        <v>580.76371902600704</v>
      </c>
      <c r="E53" s="6">
        <v>2.9228861477413173E-2</v>
      </c>
      <c r="F53" s="6">
        <f t="shared" si="0"/>
        <v>1253.2620359026744</v>
      </c>
      <c r="H53" s="12">
        <v>4.1666666666666664E-2</v>
      </c>
      <c r="I53" s="9">
        <v>97.767076736468013</v>
      </c>
      <c r="J53" s="9">
        <v>12.77421364114371</v>
      </c>
      <c r="K53" s="9">
        <v>1114.5033113625234</v>
      </c>
      <c r="L53" s="9">
        <v>15.521530766882597</v>
      </c>
      <c r="M53">
        <f t="shared" si="1"/>
        <v>1240.5661325070175</v>
      </c>
    </row>
    <row r="54" spans="1:13" x14ac:dyDescent="0.25">
      <c r="A54" s="12">
        <v>6.25E-2</v>
      </c>
      <c r="B54" s="6">
        <v>10.778182010844613</v>
      </c>
      <c r="C54" s="6">
        <v>320.47047052842254</v>
      </c>
      <c r="D54" s="6">
        <v>230.19951310588559</v>
      </c>
      <c r="E54" s="6">
        <v>3.0767222607803349E-3</v>
      </c>
      <c r="F54" s="6">
        <f t="shared" si="0"/>
        <v>561.45124236741344</v>
      </c>
      <c r="H54" s="12">
        <v>6.25E-2</v>
      </c>
      <c r="I54" s="9">
        <v>41.432895075047142</v>
      </c>
      <c r="J54" s="9">
        <v>3.8929164476275142</v>
      </c>
      <c r="K54" s="9">
        <v>442.49076400770923</v>
      </c>
      <c r="L54" s="9">
        <v>6.5714526458652633</v>
      </c>
      <c r="M54">
        <f t="shared" si="1"/>
        <v>494.38802817624912</v>
      </c>
    </row>
    <row r="55" spans="1:13" x14ac:dyDescent="0.25">
      <c r="A55" s="12">
        <v>8.3333333333333329E-2</v>
      </c>
      <c r="B55" s="6">
        <v>3.2563582145666521</v>
      </c>
      <c r="C55" s="6">
        <v>128.13958259405604</v>
      </c>
      <c r="D55" s="6">
        <v>77.956356170659362</v>
      </c>
      <c r="E55" s="6">
        <v>1.5383611303901673E-4</v>
      </c>
      <c r="F55" s="6">
        <f t="shared" si="0"/>
        <v>209.35245081539512</v>
      </c>
      <c r="H55" s="12">
        <v>8.3333333333333329E-2</v>
      </c>
      <c r="I55" s="9">
        <v>14.538772051890227</v>
      </c>
      <c r="J55" s="9">
        <v>1.1436027324491005</v>
      </c>
      <c r="K55" s="9">
        <v>147.85527806241561</v>
      </c>
      <c r="L55" s="9">
        <v>2.3828205256296897</v>
      </c>
      <c r="M55">
        <f t="shared" si="1"/>
        <v>165.92047337238461</v>
      </c>
    </row>
    <row r="56" spans="1:13" x14ac:dyDescent="0.25">
      <c r="A56" s="12">
        <v>0.10416666666666667</v>
      </c>
      <c r="B56" s="6">
        <v>0.8372818012248946</v>
      </c>
      <c r="C56" s="6">
        <v>40.024438388542642</v>
      </c>
      <c r="D56" s="6">
        <v>21.904276654501107</v>
      </c>
      <c r="E56" s="6">
        <v>0</v>
      </c>
      <c r="F56" s="6">
        <f t="shared" si="0"/>
        <v>62.765996844268642</v>
      </c>
      <c r="G56" s="5"/>
      <c r="H56" s="12">
        <v>0.10416666666666667</v>
      </c>
      <c r="I56" s="9">
        <v>4.0828743262242533</v>
      </c>
      <c r="J56" s="9">
        <v>0.30101019937657719</v>
      </c>
      <c r="K56" s="9">
        <v>39.985588987127691</v>
      </c>
      <c r="L56" s="9">
        <v>0.70012003924203514</v>
      </c>
      <c r="M56">
        <f t="shared" si="1"/>
        <v>45.069593551970556</v>
      </c>
    </row>
    <row r="57" spans="1:13" x14ac:dyDescent="0.25">
      <c r="A57" s="12">
        <v>0.125</v>
      </c>
      <c r="B57" s="6">
        <v>0.17168310628097538</v>
      </c>
      <c r="C57" s="6">
        <v>9.2523155989229586</v>
      </c>
      <c r="D57" s="6">
        <v>4.8317278680175093</v>
      </c>
      <c r="E57" s="6">
        <v>0</v>
      </c>
      <c r="F57" s="6">
        <f t="shared" si="0"/>
        <v>14.255726573221443</v>
      </c>
      <c r="G57" s="5"/>
      <c r="H57" s="12">
        <v>0.125</v>
      </c>
      <c r="I57" s="9">
        <v>0.86540555283814935</v>
      </c>
      <c r="J57" s="9">
        <v>6.299207594649299E-2</v>
      </c>
      <c r="K57" s="9">
        <v>8.2281728320191014</v>
      </c>
      <c r="L57" s="9">
        <v>0.15523694842207075</v>
      </c>
      <c r="M57">
        <f t="shared" si="1"/>
        <v>9.3118074092258141</v>
      </c>
    </row>
    <row r="58" spans="1:13" x14ac:dyDescent="0.25">
      <c r="A58" s="21" t="s">
        <v>34</v>
      </c>
      <c r="B58" s="22">
        <v>0</v>
      </c>
      <c r="C58" s="22">
        <v>0</v>
      </c>
      <c r="D58" s="22">
        <v>0</v>
      </c>
      <c r="E58" s="22">
        <v>0</v>
      </c>
      <c r="F58" s="22">
        <f t="shared" si="0"/>
        <v>0</v>
      </c>
      <c r="G58" s="5"/>
      <c r="H58" s="21" t="s">
        <v>34</v>
      </c>
      <c r="I58" s="24">
        <v>0</v>
      </c>
      <c r="J58" s="24">
        <v>0</v>
      </c>
      <c r="K58" s="24">
        <v>0</v>
      </c>
      <c r="L58" s="24">
        <v>0</v>
      </c>
      <c r="M58" s="23">
        <f t="shared" si="1"/>
        <v>0</v>
      </c>
    </row>
    <row r="59" spans="1:13" ht="15.75" thickBot="1" x14ac:dyDescent="0.3">
      <c r="A59" s="25"/>
      <c r="B59" s="26">
        <f>SUM(B8:B58)</f>
        <v>1721924.3244467427</v>
      </c>
      <c r="C59" s="26">
        <f>SUM(C8:C58)</f>
        <v>804923.01075712941</v>
      </c>
      <c r="D59" s="26">
        <f>SUM(D8:D58)</f>
        <v>3380544.6356575103</v>
      </c>
      <c r="E59" s="26">
        <f>SUM(E8:E58)</f>
        <v>184040.42546646082</v>
      </c>
      <c r="F59" s="26">
        <f>SUM(F8:F58)</f>
        <v>6091432.3963278439</v>
      </c>
      <c r="G59" s="5"/>
      <c r="H59" s="25"/>
      <c r="I59" s="26">
        <f>SUM(I8:I58)</f>
        <v>1661433.0192396978</v>
      </c>
      <c r="J59" s="26">
        <f>SUM(J8:J58)</f>
        <v>769843.08861559164</v>
      </c>
      <c r="K59" s="26">
        <f>SUM(K8:K58)</f>
        <v>3385019.2003678884</v>
      </c>
      <c r="L59" s="26">
        <f>SUM(L8:L58)</f>
        <v>175276.49133431222</v>
      </c>
      <c r="M59" s="26">
        <f>SUM(M8:M58)</f>
        <v>5991571.7995574903</v>
      </c>
    </row>
    <row r="60" spans="1:13" x14ac:dyDescent="0.25">
      <c r="G60" s="5"/>
    </row>
    <row r="61" spans="1:13" x14ac:dyDescent="0.25">
      <c r="G61" s="5"/>
    </row>
    <row r="63" spans="1:13" ht="15.75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t="shared" ref="C65:F65" si="2">C8/C$59</f>
        <v>0</v>
      </c>
      <c r="D65" s="18">
        <f t="shared" si="2"/>
        <v>0</v>
      </c>
      <c r="E65" s="18">
        <f t="shared" si="2"/>
        <v>0</v>
      </c>
      <c r="F65" s="18">
        <f t="shared" si="2"/>
        <v>0</v>
      </c>
      <c r="H65" t="s">
        <v>5</v>
      </c>
      <c r="I65" s="17">
        <f t="shared" ref="I65:M65" si="3">I8/I$59</f>
        <v>1.0775020364866511E-3</v>
      </c>
      <c r="J65" s="17">
        <f t="shared" si="3"/>
        <v>3.6720403330712057E-5</v>
      </c>
      <c r="K65" s="17">
        <f t="shared" si="3"/>
        <v>2.3862899813472736E-3</v>
      </c>
      <c r="L65" s="17">
        <f t="shared" si="3"/>
        <v>4.9903257867952504E-4</v>
      </c>
      <c r="M65" s="18">
        <f t="shared" si="3"/>
        <v>1.6662693577548578E-3</v>
      </c>
    </row>
    <row r="66" spans="1:13" x14ac:dyDescent="0.25">
      <c r="A66" s="12">
        <v>0.125</v>
      </c>
      <c r="B66" s="18">
        <f t="shared" ref="B66:F66" si="4">B9/B$59</f>
        <v>2.2031645712808101E-3</v>
      </c>
      <c r="C66" s="18">
        <f t="shared" si="4"/>
        <v>1.3110541434186441E-4</v>
      </c>
      <c r="D66" s="18">
        <f t="shared" si="4"/>
        <v>4.9632091797558603E-4</v>
      </c>
      <c r="E66" s="18">
        <f t="shared" si="4"/>
        <v>2.2885601384026896E-5</v>
      </c>
      <c r="F66" s="18">
        <f t="shared" si="4"/>
        <v>9.1624743744897757E-4</v>
      </c>
      <c r="H66" s="12">
        <v>0.125</v>
      </c>
      <c r="I66" s="17">
        <f t="shared" ref="I66:M66" si="5">I9/I$59</f>
        <v>3.4529324081238057E-3</v>
      </c>
      <c r="J66" s="17">
        <f t="shared" si="5"/>
        <v>2.0645513165302952E-4</v>
      </c>
      <c r="K66" s="17">
        <f t="shared" si="5"/>
        <v>2.6373883552463845E-3</v>
      </c>
      <c r="L66" s="17">
        <f t="shared" si="5"/>
        <v>8.4607118221151768E-4</v>
      </c>
      <c r="M66" s="18">
        <f t="shared" si="5"/>
        <v>2.4987868096566224E-3</v>
      </c>
    </row>
    <row r="67" spans="1:13" x14ac:dyDescent="0.25">
      <c r="A67" s="12">
        <v>0.14583333333333334</v>
      </c>
      <c r="B67" s="18">
        <f t="shared" ref="B67:F67" si="6">B10/B$59</f>
        <v>5.2119508513640313E-3</v>
      </c>
      <c r="C67" s="18">
        <f t="shared" si="6"/>
        <v>4.5258101025143866E-4</v>
      </c>
      <c r="D67" s="18">
        <f t="shared" si="6"/>
        <v>1.0136301056900832E-3</v>
      </c>
      <c r="E67" s="18">
        <f t="shared" si="6"/>
        <v>6.5012100300001615E-5</v>
      </c>
      <c r="F67" s="18">
        <f t="shared" si="6"/>
        <v>2.0976124592307277E-3</v>
      </c>
      <c r="H67" s="12">
        <v>0.14583333333333334</v>
      </c>
      <c r="I67" s="17">
        <f t="shared" ref="I67:M67" si="7">I10/I$59</f>
        <v>6.0961621580087819E-3</v>
      </c>
      <c r="J67" s="17">
        <f t="shared" si="7"/>
        <v>5.1696296160370339E-4</v>
      </c>
      <c r="K67" s="17">
        <f t="shared" si="7"/>
        <v>2.8084858780418236E-3</v>
      </c>
      <c r="L67" s="17">
        <f t="shared" si="7"/>
        <v>1.0892428737409678E-3</v>
      </c>
      <c r="M67" s="18">
        <f t="shared" si="7"/>
        <v>3.37541523824578E-3</v>
      </c>
    </row>
    <row r="68" spans="1:13" x14ac:dyDescent="0.25">
      <c r="A68" s="12">
        <v>0.16666666666666666</v>
      </c>
      <c r="B68" s="18">
        <f t="shared" ref="B68:F68" si="8">B11/B$59</f>
        <v>9.8967502367837759E-3</v>
      </c>
      <c r="C68" s="18">
        <f t="shared" si="8"/>
        <v>1.4722635127194564E-3</v>
      </c>
      <c r="D68" s="18">
        <f t="shared" si="8"/>
        <v>1.5956847674652389E-3</v>
      </c>
      <c r="E68" s="18">
        <f t="shared" si="8"/>
        <v>1.5404043846159256E-4</v>
      </c>
      <c r="F68" s="18">
        <f t="shared" si="8"/>
        <v>3.8823622187653633E-3</v>
      </c>
      <c r="H68" s="12">
        <v>0.16666666666666666</v>
      </c>
      <c r="I68" s="17">
        <f t="shared" ref="I68:M68" si="9">I11/I$59</f>
        <v>9.5530700413804775E-3</v>
      </c>
      <c r="J68" s="17">
        <f t="shared" si="9"/>
        <v>1.3316867640319192E-3</v>
      </c>
      <c r="K68" s="17">
        <f t="shared" si="9"/>
        <v>2.9596827867713394E-3</v>
      </c>
      <c r="L68" s="17">
        <f t="shared" si="9"/>
        <v>1.2362835832143777E-3</v>
      </c>
      <c r="M68" s="18">
        <f t="shared" si="9"/>
        <v>4.5284027747665677E-3</v>
      </c>
    </row>
    <row r="69" spans="1:13" x14ac:dyDescent="0.25">
      <c r="A69" s="12">
        <v>0.1875</v>
      </c>
      <c r="B69" s="18">
        <f t="shared" ref="B69:F69" si="10">B12/B$59</f>
        <v>1.713035270498443E-2</v>
      </c>
      <c r="C69" s="18">
        <f t="shared" si="10"/>
        <v>4.383534116134096E-3</v>
      </c>
      <c r="D69" s="18">
        <f t="shared" si="10"/>
        <v>2.3384615410733723E-3</v>
      </c>
      <c r="E69" s="18">
        <f t="shared" si="10"/>
        <v>3.3485065256408202E-4</v>
      </c>
      <c r="F69" s="18">
        <f t="shared" si="10"/>
        <v>6.7295301819691004E-3</v>
      </c>
      <c r="H69" s="12">
        <v>0.1875</v>
      </c>
      <c r="I69" s="17">
        <f t="shared" ref="I69:M69" si="11">I12/I$59</f>
        <v>1.4747809966930731E-2</v>
      </c>
      <c r="J69" s="17">
        <f t="shared" si="11"/>
        <v>3.4487520479542966E-3</v>
      </c>
      <c r="K69" s="17">
        <f t="shared" si="11"/>
        <v>3.3227632175178972E-3</v>
      </c>
      <c r="L69" s="17">
        <f t="shared" si="11"/>
        <v>1.4120946596339842E-3</v>
      </c>
      <c r="M69" s="18">
        <f t="shared" si="11"/>
        <v>6.4511653951637602E-3</v>
      </c>
    </row>
    <row r="70" spans="1:13" x14ac:dyDescent="0.25">
      <c r="A70" s="12">
        <v>0.20833333333333334</v>
      </c>
      <c r="B70" s="18">
        <f t="shared" ref="B70:F70" si="12">B13/B$59</f>
        <v>2.7557316361067223E-2</v>
      </c>
      <c r="C70" s="18">
        <f t="shared" si="12"/>
        <v>1.1261523157380621E-2</v>
      </c>
      <c r="D70" s="18">
        <f t="shared" si="12"/>
        <v>3.4182538726211993E-3</v>
      </c>
      <c r="E70" s="18">
        <f t="shared" si="12"/>
        <v>6.7896380291742687E-4</v>
      </c>
      <c r="F70" s="18">
        <f t="shared" si="12"/>
        <v>1.1195525883998626E-2</v>
      </c>
      <c r="H70" s="12">
        <v>0.20833333333333334</v>
      </c>
      <c r="I70" s="17">
        <f t="shared" ref="I70:M70" si="13">I13/I$59</f>
        <v>2.275686922238742E-2</v>
      </c>
      <c r="J70" s="17">
        <f t="shared" si="13"/>
        <v>8.1838077495324808E-3</v>
      </c>
      <c r="K70" s="17">
        <f t="shared" si="13"/>
        <v>4.211587669477419E-3</v>
      </c>
      <c r="L70" s="17">
        <f t="shared" si="13"/>
        <v>1.7812215544483923E-3</v>
      </c>
      <c r="M70" s="18">
        <f t="shared" si="13"/>
        <v>9.7933856302999701E-3</v>
      </c>
    </row>
    <row r="71" spans="1:13" x14ac:dyDescent="0.25">
      <c r="A71" s="12">
        <v>0.22916666666666666</v>
      </c>
      <c r="B71" s="18">
        <f t="shared" ref="B71:F71" si="14">B14/B$59</f>
        <v>4.1237332327821764E-2</v>
      </c>
      <c r="C71" s="18">
        <f t="shared" si="14"/>
        <v>2.4570986862645441E-2</v>
      </c>
      <c r="D71" s="18">
        <f t="shared" si="14"/>
        <v>5.0936656455705829E-3</v>
      </c>
      <c r="E71" s="18">
        <f t="shared" si="14"/>
        <v>1.2975214723035143E-3</v>
      </c>
      <c r="F71" s="18">
        <f t="shared" si="14"/>
        <v>1.7769790710697106E-2</v>
      </c>
      <c r="H71" s="12">
        <v>0.22916666666666666</v>
      </c>
      <c r="I71" s="17">
        <f t="shared" ref="I71:M71" si="15">I14/I$59</f>
        <v>3.425227459899207E-2</v>
      </c>
      <c r="J71" s="17">
        <f t="shared" si="15"/>
        <v>1.7088387083226676E-2</v>
      </c>
      <c r="K71" s="17">
        <f t="shared" si="15"/>
        <v>5.8883893183254536E-3</v>
      </c>
      <c r="L71" s="17">
        <f t="shared" si="15"/>
        <v>2.4949726434540889E-3</v>
      </c>
      <c r="M71" s="18">
        <f t="shared" si="15"/>
        <v>1.5093344563410244E-2</v>
      </c>
    </row>
    <row r="72" spans="1:13" x14ac:dyDescent="0.25">
      <c r="A72" s="12">
        <v>0.25</v>
      </c>
      <c r="B72" s="18">
        <f t="shared" ref="B72:F72" si="16">B15/B$59</f>
        <v>5.7254051564345501E-2</v>
      </c>
      <c r="C72" s="18">
        <f t="shared" si="16"/>
        <v>4.565578656567653E-2</v>
      </c>
      <c r="D72" s="18">
        <f t="shared" si="16"/>
        <v>7.6523340031911394E-3</v>
      </c>
      <c r="E72" s="18">
        <f t="shared" si="16"/>
        <v>2.3581061360103276E-3</v>
      </c>
      <c r="F72" s="18">
        <f t="shared" si="16"/>
        <v>2.6535561793554558E-2</v>
      </c>
      <c r="H72" s="12">
        <v>0.25</v>
      </c>
      <c r="I72" s="17">
        <f t="shared" ref="I72:M72" si="17">I15/I$59</f>
        <v>4.8852607019414615E-2</v>
      </c>
      <c r="J72" s="17">
        <f t="shared" si="17"/>
        <v>3.1152603888982257E-2</v>
      </c>
      <c r="K72" s="17">
        <f t="shared" si="17"/>
        <v>8.4710631001581084E-3</v>
      </c>
      <c r="L72" s="17">
        <f t="shared" si="17"/>
        <v>3.7123022277272691E-3</v>
      </c>
      <c r="M72" s="18">
        <f t="shared" si="17"/>
        <v>2.2443750358637434E-2</v>
      </c>
    </row>
    <row r="73" spans="1:13" x14ac:dyDescent="0.25">
      <c r="A73" s="12">
        <v>0.27083333333333331</v>
      </c>
      <c r="B73" s="18">
        <f t="shared" ref="B73:F73" si="18">B16/B$59</f>
        <v>7.3477564530148309E-2</v>
      </c>
      <c r="C73" s="18">
        <f t="shared" si="18"/>
        <v>7.2799859307040554E-2</v>
      </c>
      <c r="D73" s="18">
        <f t="shared" si="18"/>
        <v>1.1289816863160636E-2</v>
      </c>
      <c r="E73" s="18">
        <f t="shared" si="18"/>
        <v>4.0853198651336882E-3</v>
      </c>
      <c r="F73" s="18">
        <f t="shared" si="18"/>
        <v>3.6779310163107877E-2</v>
      </c>
      <c r="H73" s="12">
        <v>0.27083333333333331</v>
      </c>
      <c r="I73" s="17">
        <f t="shared" ref="I73:M73" si="19">I16/I$59</f>
        <v>6.4782269316139396E-2</v>
      </c>
      <c r="J73" s="17">
        <f t="shared" si="19"/>
        <v>4.9745841585544202E-2</v>
      </c>
      <c r="K73" s="17">
        <f t="shared" si="19"/>
        <v>1.1912409955898928E-2</v>
      </c>
      <c r="L73" s="17">
        <f t="shared" si="19"/>
        <v>5.6390344681854125E-3</v>
      </c>
      <c r="M73" s="18">
        <f t="shared" si="19"/>
        <v>3.1250567713868825E-2</v>
      </c>
    </row>
    <row r="74" spans="1:13" x14ac:dyDescent="0.25">
      <c r="A74" s="12">
        <v>0.29166666666666669</v>
      </c>
      <c r="B74" s="18">
        <f t="shared" ref="B74:F74" si="20">B17/B$59</f>
        <v>8.6802307437784415E-2</v>
      </c>
      <c r="C74" s="18">
        <f t="shared" si="20"/>
        <v>0.10041686379887581</v>
      </c>
      <c r="D74" s="18">
        <f t="shared" si="20"/>
        <v>1.5950758998123725E-2</v>
      </c>
      <c r="E74" s="18">
        <f t="shared" si="20"/>
        <v>6.7082311605791145E-3</v>
      </c>
      <c r="F74" s="18">
        <f t="shared" si="20"/>
        <v>4.686117629570672E-2</v>
      </c>
      <c r="H74" s="12">
        <v>0.29166666666666669</v>
      </c>
      <c r="I74" s="17">
        <f t="shared" ref="I74:M74" si="21">I17/I$59</f>
        <v>7.9147647726411266E-2</v>
      </c>
      <c r="J74" s="17">
        <f t="shared" si="21"/>
        <v>7.0013831118029363E-2</v>
      </c>
      <c r="K74" s="17">
        <f t="shared" si="21"/>
        <v>1.602706615275613E-2</v>
      </c>
      <c r="L74" s="17">
        <f t="shared" si="21"/>
        <v>8.5231699688558971E-3</v>
      </c>
      <c r="M74" s="18">
        <f t="shared" si="21"/>
        <v>4.0247204801779769E-2</v>
      </c>
    </row>
    <row r="75" spans="1:13" x14ac:dyDescent="0.25">
      <c r="A75" s="12">
        <v>0.3125</v>
      </c>
      <c r="B75" s="18">
        <f t="shared" ref="B75:F75" si="22">B18/B$59</f>
        <v>9.4086503481892403E-2</v>
      </c>
      <c r="C75" s="18">
        <f t="shared" si="22"/>
        <v>0.12067481758957327</v>
      </c>
      <c r="D75" s="18">
        <f t="shared" si="22"/>
        <v>2.1221270234038612E-2</v>
      </c>
      <c r="E75" s="18">
        <f t="shared" si="22"/>
        <v>1.0359653000613745E-2</v>
      </c>
      <c r="F75" s="18">
        <f t="shared" si="22"/>
        <v>5.463244126987845E-2</v>
      </c>
      <c r="H75" s="12">
        <v>0.3125</v>
      </c>
      <c r="I75" s="17">
        <f t="shared" ref="I75:M75" si="23">I18/I$59</f>
        <v>8.8821349613161821E-2</v>
      </c>
      <c r="J75" s="17">
        <f t="shared" si="23"/>
        <v>8.7443931759591129E-2</v>
      </c>
      <c r="K75" s="17">
        <f t="shared" si="23"/>
        <v>2.0523300647319758E-2</v>
      </c>
      <c r="L75" s="17">
        <f t="shared" si="23"/>
        <v>1.2631235206601883E-2</v>
      </c>
      <c r="M75" s="18">
        <f t="shared" si="23"/>
        <v>4.7829612076539192E-2</v>
      </c>
    </row>
    <row r="76" spans="1:13" x14ac:dyDescent="0.25">
      <c r="A76" s="12">
        <v>0.33333333333333331</v>
      </c>
      <c r="B76" s="18">
        <f t="shared" ref="B76:F76" si="24">B19/B$59</f>
        <v>9.3507392184192059E-2</v>
      </c>
      <c r="C76" s="18">
        <f t="shared" si="24"/>
        <v>0.12710562043613183</v>
      </c>
      <c r="D76" s="18">
        <f t="shared" si="24"/>
        <v>2.6385145685425326E-2</v>
      </c>
      <c r="E76" s="18">
        <f t="shared" si="24"/>
        <v>1.5034913786263189E-2</v>
      </c>
      <c r="F76" s="18">
        <f t="shared" si="24"/>
        <v>5.8325540418918236E-2</v>
      </c>
      <c r="H76" s="12">
        <v>0.33333333333333331</v>
      </c>
      <c r="I76" s="17">
        <f t="shared" ref="I76:M76" si="25">I19/I$59</f>
        <v>9.1581020475250949E-2</v>
      </c>
      <c r="J76" s="17">
        <f t="shared" si="25"/>
        <v>9.7608268972960502E-2</v>
      </c>
      <c r="K76" s="17">
        <f t="shared" si="25"/>
        <v>2.5019421498561272E-2</v>
      </c>
      <c r="L76" s="17">
        <f t="shared" si="25"/>
        <v>1.8261880180699897E-2</v>
      </c>
      <c r="M76" s="18">
        <f t="shared" si="25"/>
        <v>5.2605709085395656E-2</v>
      </c>
    </row>
    <row r="77" spans="1:13" x14ac:dyDescent="0.25">
      <c r="A77" s="12">
        <v>0.35416666666666669</v>
      </c>
      <c r="B77" s="18">
        <f t="shared" ref="B77:F77" si="26">B20/B$59</f>
        <v>8.5501033341354199E-2</v>
      </c>
      <c r="C77" s="18">
        <f t="shared" si="26"/>
        <v>0.11795292237310229</v>
      </c>
      <c r="D77" s="18">
        <f t="shared" si="26"/>
        <v>3.0676824877628656E-2</v>
      </c>
      <c r="E77" s="18">
        <f t="shared" si="26"/>
        <v>2.0763273476804865E-2</v>
      </c>
      <c r="F77" s="18">
        <f t="shared" si="26"/>
        <v>5.74076777334998E-2</v>
      </c>
      <c r="H77" s="12">
        <v>0.35416666666666669</v>
      </c>
      <c r="I77" s="17">
        <f t="shared" ref="I77:M77" si="27">I20/I$59</f>
        <v>8.6978583723254344E-2</v>
      </c>
      <c r="J77" s="17">
        <f t="shared" si="27"/>
        <v>9.8167507160430101E-2</v>
      </c>
      <c r="K77" s="17">
        <f t="shared" si="27"/>
        <v>2.9065963941839537E-2</v>
      </c>
      <c r="L77" s="17">
        <f t="shared" si="27"/>
        <v>2.5743597793048415E-2</v>
      </c>
      <c r="M77" s="18">
        <f t="shared" si="27"/>
        <v>5.3906349151697876E-2</v>
      </c>
    </row>
    <row r="78" spans="1:13" x14ac:dyDescent="0.25">
      <c r="A78" s="12">
        <v>0.375</v>
      </c>
      <c r="B78" s="18">
        <f t="shared" ref="B78:F78" si="28">B21/B$59</f>
        <v>7.2563149831563256E-2</v>
      </c>
      <c r="C78" s="18">
        <f t="shared" si="28"/>
        <v>9.6970472802929794E-2</v>
      </c>
      <c r="D78" s="18">
        <f t="shared" si="28"/>
        <v>3.3600484587411265E-2</v>
      </c>
      <c r="E78" s="18">
        <f t="shared" si="28"/>
        <v>2.7985169001203493E-2</v>
      </c>
      <c r="F78" s="18">
        <f t="shared" si="28"/>
        <v>5.2818505908015158E-2</v>
      </c>
      <c r="H78" s="12">
        <v>0.375</v>
      </c>
      <c r="I78" s="17">
        <f t="shared" ref="I78:M78" si="29">I21/I$59</f>
        <v>7.6513349578358911E-2</v>
      </c>
      <c r="J78" s="17">
        <f t="shared" si="29"/>
        <v>8.9883725929515823E-2</v>
      </c>
      <c r="K78" s="17">
        <f t="shared" si="29"/>
        <v>3.2214203768581764E-2</v>
      </c>
      <c r="L78" s="17">
        <f t="shared" si="29"/>
        <v>3.5271666932157407E-2</v>
      </c>
      <c r="M78" s="18">
        <f t="shared" si="29"/>
        <v>5.1997401235444482E-2</v>
      </c>
    </row>
    <row r="79" spans="1:13" x14ac:dyDescent="0.25">
      <c r="A79" s="12">
        <v>0.39583333333333331</v>
      </c>
      <c r="B79" s="18">
        <f t="shared" ref="B79:F79" si="30">B22/B$59</f>
        <v>5.8021342903304282E-2</v>
      </c>
      <c r="C79" s="18">
        <f t="shared" si="30"/>
        <v>7.1226050211875364E-2</v>
      </c>
      <c r="D79" s="18">
        <f t="shared" si="30"/>
        <v>3.509335969809043E-2</v>
      </c>
      <c r="E79" s="18">
        <f t="shared" si="30"/>
        <v>3.7784573608329639E-2</v>
      </c>
      <c r="F79" s="18">
        <f t="shared" si="30"/>
        <v>4.6430525357413675E-2</v>
      </c>
      <c r="H79" s="12">
        <v>0.39583333333333331</v>
      </c>
      <c r="I79" s="17">
        <f t="shared" ref="I79:M79" si="31">I22/I$59</f>
        <v>6.3011483552481429E-2</v>
      </c>
      <c r="J79" s="17">
        <f t="shared" si="31"/>
        <v>7.6022498476368369E-2</v>
      </c>
      <c r="K79" s="17">
        <f t="shared" si="31"/>
        <v>3.414067480281284E-2</v>
      </c>
      <c r="L79" s="17">
        <f t="shared" si="31"/>
        <v>4.6579477041453078E-2</v>
      </c>
      <c r="M79" s="18">
        <f t="shared" si="31"/>
        <v>4.7891586885921406E-2</v>
      </c>
    </row>
    <row r="80" spans="1:13" x14ac:dyDescent="0.25">
      <c r="A80" s="12">
        <v>0.41666666666666669</v>
      </c>
      <c r="B80" s="18">
        <f t="shared" ref="B80:F80" si="32">B23/B$59</f>
        <v>4.4652465083904122E-2</v>
      </c>
      <c r="C80" s="18">
        <f t="shared" si="32"/>
        <v>4.7554309371030168E-2</v>
      </c>
      <c r="D80" s="18">
        <f t="shared" si="32"/>
        <v>3.5428463865244064E-2</v>
      </c>
      <c r="E80" s="18">
        <f t="shared" si="32"/>
        <v>5.1417488918587488E-2</v>
      </c>
      <c r="F80" s="18">
        <f t="shared" si="32"/>
        <v>4.012128966603179E-2</v>
      </c>
      <c r="H80" s="12">
        <v>0.41666666666666669</v>
      </c>
      <c r="I80" s="17">
        <f t="shared" ref="I80:M80" si="33">I23/I$59</f>
        <v>4.9514135844613782E-2</v>
      </c>
      <c r="J80" s="17">
        <f t="shared" si="33"/>
        <v>6.06315198196309E-2</v>
      </c>
      <c r="K80" s="17">
        <f t="shared" si="33"/>
        <v>3.477692030320137E-2</v>
      </c>
      <c r="L80" s="17">
        <f t="shared" si="33"/>
        <v>5.8691214273445105E-2</v>
      </c>
      <c r="M80" s="18">
        <f t="shared" si="33"/>
        <v>4.2885058939248738E-2</v>
      </c>
    </row>
    <row r="81" spans="1:13" x14ac:dyDescent="0.25">
      <c r="A81" s="12">
        <v>0.4375</v>
      </c>
      <c r="B81" s="18">
        <f t="shared" ref="B81:F81" si="34">B24/B$59</f>
        <v>3.3966929548648439E-2</v>
      </c>
      <c r="C81" s="18">
        <f t="shared" si="34"/>
        <v>2.9936593157882101E-2</v>
      </c>
      <c r="D81" s="18">
        <f t="shared" si="34"/>
        <v>3.4984095367325142E-2</v>
      </c>
      <c r="E81" s="18">
        <f t="shared" si="34"/>
        <v>6.8963827627709764E-2</v>
      </c>
      <c r="F81" s="18">
        <f t="shared" si="34"/>
        <v>3.5056214881004556E-2</v>
      </c>
      <c r="H81" s="12">
        <v>0.4375</v>
      </c>
      <c r="I81" s="17">
        <f t="shared" ref="I81:M81" si="35">I24/I$59</f>
        <v>3.8222830320790817E-2</v>
      </c>
      <c r="J81" s="17">
        <f t="shared" si="35"/>
        <v>4.6843484173465906E-2</v>
      </c>
      <c r="K81" s="17">
        <f t="shared" si="35"/>
        <v>3.43617424577762E-2</v>
      </c>
      <c r="L81" s="17">
        <f t="shared" si="35"/>
        <v>6.9998595049092435E-2</v>
      </c>
      <c r="M81" s="18">
        <f t="shared" si="35"/>
        <v>3.8078667613468321E-2</v>
      </c>
    </row>
    <row r="82" spans="1:13" x14ac:dyDescent="0.25">
      <c r="A82" s="12">
        <v>0.45833333333333331</v>
      </c>
      <c r="B82" s="18">
        <f t="shared" ref="B82:F82" si="36">B25/B$59</f>
        <v>2.6291650793590811E-2</v>
      </c>
      <c r="C82" s="18">
        <f t="shared" si="36"/>
        <v>1.900236255674775E-2</v>
      </c>
      <c r="D82" s="18">
        <f t="shared" si="36"/>
        <v>3.4098528397034956E-2</v>
      </c>
      <c r="E82" s="18">
        <f t="shared" si="36"/>
        <v>8.7926954158300444E-2</v>
      </c>
      <c r="F82" s="18">
        <f t="shared" si="36"/>
        <v>3.1523190397295217E-2</v>
      </c>
      <c r="H82" s="12">
        <v>0.45833333333333331</v>
      </c>
      <c r="I82" s="17">
        <f t="shared" ref="I82:M82" si="37">I25/I$59</f>
        <v>2.9987074575771398E-2</v>
      </c>
      <c r="J82" s="17">
        <f t="shared" si="37"/>
        <v>3.6095824521905927E-2</v>
      </c>
      <c r="K82" s="17">
        <f t="shared" si="37"/>
        <v>3.3366202999666639E-2</v>
      </c>
      <c r="L82" s="17">
        <f t="shared" si="37"/>
        <v>7.8624046757497484E-2</v>
      </c>
      <c r="M82" s="18">
        <f t="shared" si="37"/>
        <v>3.4103876006151654E-2</v>
      </c>
    </row>
    <row r="83" spans="1:13" x14ac:dyDescent="0.25">
      <c r="A83" s="12">
        <v>0.47916666666666669</v>
      </c>
      <c r="B83" s="18">
        <f t="shared" ref="B83:F83" si="38">B26/B$59</f>
        <v>2.1231599242964104E-2</v>
      </c>
      <c r="C83" s="18">
        <f t="shared" si="38"/>
        <v>1.3206388224387411E-2</v>
      </c>
      <c r="D83" s="18">
        <f t="shared" si="38"/>
        <v>3.3080510195621061E-2</v>
      </c>
      <c r="E83" s="18">
        <f t="shared" si="38"/>
        <v>0.10328647730811344</v>
      </c>
      <c r="F83" s="18">
        <f t="shared" si="38"/>
        <v>2.9226025979837908E-2</v>
      </c>
      <c r="H83" s="12">
        <v>0.47916666666666669</v>
      </c>
      <c r="I83" s="17">
        <f t="shared" ref="I83:M83" si="39">I26/I$59</f>
        <v>2.4478657373040447E-2</v>
      </c>
      <c r="J83" s="17">
        <f t="shared" si="39"/>
        <v>2.836585559906208E-2</v>
      </c>
      <c r="K83" s="17">
        <f t="shared" si="39"/>
        <v>3.231632884356142E-2</v>
      </c>
      <c r="L83" s="17">
        <f t="shared" si="39"/>
        <v>8.2892503258048977E-2</v>
      </c>
      <c r="M83" s="18">
        <f t="shared" si="39"/>
        <v>3.111494187142113E-2</v>
      </c>
    </row>
    <row r="84" spans="1:13" x14ac:dyDescent="0.25">
      <c r="A84" s="12">
        <v>0.5</v>
      </c>
      <c r="B84" s="18">
        <f t="shared" ref="B84:F84" si="40">B27/B$59</f>
        <v>1.8094702975491483E-2</v>
      </c>
      <c r="C84" s="18">
        <f t="shared" si="40"/>
        <v>1.0405224751888735E-2</v>
      </c>
      <c r="D84" s="18">
        <f t="shared" si="40"/>
        <v>3.2255226369723021E-2</v>
      </c>
      <c r="E84" s="18">
        <f t="shared" si="40"/>
        <v>0.10970833773173901</v>
      </c>
      <c r="F84" s="18">
        <f t="shared" si="40"/>
        <v>2.7705161065765656E-2</v>
      </c>
      <c r="H84" s="12">
        <v>0.5</v>
      </c>
      <c r="I84" s="17">
        <f t="shared" ref="I84:M84" si="41">I27/I$59</f>
        <v>2.0803613727375474E-2</v>
      </c>
      <c r="J84" s="17">
        <f t="shared" si="41"/>
        <v>2.2911350917732519E-2</v>
      </c>
      <c r="K84" s="17">
        <f t="shared" si="41"/>
        <v>3.1599581023428441E-2</v>
      </c>
      <c r="L84" s="17">
        <f t="shared" si="41"/>
        <v>8.1857250420423702E-2</v>
      </c>
      <c r="M84" s="18">
        <f t="shared" si="41"/>
        <v>2.8959812526272284E-2</v>
      </c>
    </row>
    <row r="85" spans="1:13" x14ac:dyDescent="0.25">
      <c r="A85" s="12">
        <v>0.52083333333333337</v>
      </c>
      <c r="B85" s="18">
        <f t="shared" ref="B85:F85" si="42">B28/B$59</f>
        <v>1.6161809187344382E-2</v>
      </c>
      <c r="C85" s="18">
        <f t="shared" si="42"/>
        <v>8.8912359060612477E-3</v>
      </c>
      <c r="D85" s="18">
        <f t="shared" si="42"/>
        <v>3.1916211121546793E-2</v>
      </c>
      <c r="E85" s="18">
        <f t="shared" si="42"/>
        <v>0.10463361924046689</v>
      </c>
      <c r="F85" s="18">
        <f t="shared" si="42"/>
        <v>2.6617247683800166E-2</v>
      </c>
      <c r="H85" s="12">
        <v>0.52083333333333337</v>
      </c>
      <c r="I85" s="17">
        <f t="shared" ref="I85:M85" si="43">I28/I$59</f>
        <v>1.8118452461173308E-2</v>
      </c>
      <c r="J85" s="17">
        <f t="shared" si="43"/>
        <v>1.8937954851405953E-2</v>
      </c>
      <c r="K85" s="17">
        <f t="shared" si="43"/>
        <v>3.1352077658857586E-2</v>
      </c>
      <c r="L85" s="17">
        <f t="shared" si="43"/>
        <v>7.5795944016679981E-2</v>
      </c>
      <c r="M85" s="18">
        <f t="shared" si="43"/>
        <v>2.7387551429289395E-2</v>
      </c>
    </row>
    <row r="86" spans="1:13" x14ac:dyDescent="0.25">
      <c r="A86" s="12">
        <v>0.54166666666666663</v>
      </c>
      <c r="B86" s="18">
        <f t="shared" ref="B86:F86" si="44">B29/B$59</f>
        <v>1.4849279039845094E-2</v>
      </c>
      <c r="C86" s="18">
        <f t="shared" si="44"/>
        <v>7.7213154948376182E-3</v>
      </c>
      <c r="D86" s="18">
        <f t="shared" si="44"/>
        <v>3.2198754673380306E-2</v>
      </c>
      <c r="E86" s="18">
        <f t="shared" si="44"/>
        <v>8.9851567271342039E-2</v>
      </c>
      <c r="F86" s="18">
        <f t="shared" si="44"/>
        <v>2.5801820840112944E-2</v>
      </c>
      <c r="H86" s="12">
        <v>0.54166666666666663</v>
      </c>
      <c r="I86" s="17">
        <f t="shared" ref="I86:M86" si="45">I29/I$59</f>
        <v>1.5937007830871659E-2</v>
      </c>
      <c r="J86" s="17">
        <f t="shared" si="45"/>
        <v>1.5913275649713145E-2</v>
      </c>
      <c r="K86" s="17">
        <f t="shared" si="45"/>
        <v>3.1481530963138465E-2</v>
      </c>
      <c r="L86" s="17">
        <f t="shared" si="45"/>
        <v>6.6302782941364269E-2</v>
      </c>
      <c r="M86" s="18">
        <f t="shared" si="45"/>
        <v>2.618943867996542E-2</v>
      </c>
    </row>
    <row r="87" spans="1:13" x14ac:dyDescent="0.25">
      <c r="A87" s="12">
        <v>0.5625</v>
      </c>
      <c r="B87" s="18">
        <f t="shared" ref="B87:F87" si="46">B30/B$59</f>
        <v>1.3781759115160254E-2</v>
      </c>
      <c r="C87" s="18">
        <f t="shared" si="46"/>
        <v>6.6081802487050331E-3</v>
      </c>
      <c r="D87" s="18">
        <f t="shared" si="46"/>
        <v>3.2995932780875419E-2</v>
      </c>
      <c r="E87" s="18">
        <f t="shared" si="46"/>
        <v>7.0341708700433478E-2</v>
      </c>
      <c r="F87" s="18">
        <f t="shared" si="46"/>
        <v>2.5205921064839102E-2</v>
      </c>
      <c r="H87" s="12">
        <v>0.5625</v>
      </c>
      <c r="I87" s="17">
        <f t="shared" ref="I87:M87" si="47">I30/I$59</f>
        <v>1.409720654691252E-2</v>
      </c>
      <c r="J87" s="17">
        <f t="shared" si="47"/>
        <v>1.3566772055159763E-2</v>
      </c>
      <c r="K87" s="17">
        <f t="shared" si="47"/>
        <v>3.1805450406906396E-2</v>
      </c>
      <c r="L87" s="17">
        <f t="shared" si="47"/>
        <v>5.5646178276475118E-2</v>
      </c>
      <c r="M87" s="18">
        <f t="shared" si="47"/>
        <v>2.5249030202214105E-2</v>
      </c>
    </row>
    <row r="88" spans="1:13" x14ac:dyDescent="0.25">
      <c r="A88" s="12">
        <v>0.58333333333333337</v>
      </c>
      <c r="B88" s="18">
        <f t="shared" ref="B88:F88" si="48">B31/B$59</f>
        <v>1.2766581597388372E-2</v>
      </c>
      <c r="C88" s="18">
        <f t="shared" si="48"/>
        <v>5.634551569284699E-3</v>
      </c>
      <c r="D88" s="18">
        <f t="shared" si="48"/>
        <v>3.4011235910510515E-2</v>
      </c>
      <c r="E88" s="18">
        <f t="shared" si="48"/>
        <v>5.1454164585525736E-2</v>
      </c>
      <c r="F88" s="18">
        <f t="shared" si="48"/>
        <v>2.4783106047224533E-2</v>
      </c>
      <c r="H88" s="12">
        <v>0.58333333333333337</v>
      </c>
      <c r="I88" s="17">
        <f t="shared" ref="I88:M88" si="49">I31/I$59</f>
        <v>1.2569619465286747E-2</v>
      </c>
      <c r="J88" s="17">
        <f t="shared" si="49"/>
        <v>1.1760268383910285E-2</v>
      </c>
      <c r="K88" s="17">
        <f t="shared" si="49"/>
        <v>3.2213337611881145E-2</v>
      </c>
      <c r="L88" s="17">
        <f t="shared" si="49"/>
        <v>4.5710338741541942E-2</v>
      </c>
      <c r="M88" s="18">
        <f t="shared" si="49"/>
        <v>2.4533104365343738E-2</v>
      </c>
    </row>
    <row r="89" spans="1:13" x14ac:dyDescent="0.25">
      <c r="A89" s="12">
        <v>0.60416666666666663</v>
      </c>
      <c r="B89" s="18">
        <f t="shared" ref="B89:F89" si="50">B32/B$59</f>
        <v>1.1718269088323515E-2</v>
      </c>
      <c r="C89" s="18">
        <f t="shared" si="50"/>
        <v>4.9525258965070094E-3</v>
      </c>
      <c r="D89" s="18">
        <f t="shared" si="50"/>
        <v>3.4943707453813352E-2</v>
      </c>
      <c r="E89" s="18">
        <f t="shared" si="50"/>
        <v>3.6539288804991597E-2</v>
      </c>
      <c r="F89" s="18">
        <f t="shared" si="50"/>
        <v>2.4463514323787974E-2</v>
      </c>
      <c r="H89" s="12">
        <v>0.60416666666666663</v>
      </c>
      <c r="I89" s="17">
        <f t="shared" ref="I89:M89" si="51">I32/I$59</f>
        <v>1.1308859866470494E-2</v>
      </c>
      <c r="J89" s="17">
        <f t="shared" si="51"/>
        <v>1.0388320483573067E-2</v>
      </c>
      <c r="K89" s="17">
        <f t="shared" si="51"/>
        <v>3.2743919675412347E-2</v>
      </c>
      <c r="L89" s="17">
        <f t="shared" si="51"/>
        <v>3.7336810878066035E-2</v>
      </c>
      <c r="M89" s="18">
        <f t="shared" si="51"/>
        <v>2.4062025249243241E-2</v>
      </c>
    </row>
    <row r="90" spans="1:13" x14ac:dyDescent="0.25">
      <c r="A90" s="12">
        <v>0.625</v>
      </c>
      <c r="B90" s="18">
        <f t="shared" ref="B90:F90" si="52">B33/B$59</f>
        <v>1.0607626867535264E-2</v>
      </c>
      <c r="C90" s="18">
        <f t="shared" si="52"/>
        <v>4.5988781229096805E-3</v>
      </c>
      <c r="D90" s="18">
        <f t="shared" si="52"/>
        <v>3.5708599664499713E-2</v>
      </c>
      <c r="E90" s="18">
        <f t="shared" si="52"/>
        <v>2.6284802446829507E-2</v>
      </c>
      <c r="F90" s="18">
        <f t="shared" si="52"/>
        <v>2.4217498483587247E-2</v>
      </c>
      <c r="H90" s="12">
        <v>0.625</v>
      </c>
      <c r="I90" s="17">
        <f t="shared" ref="I90:M90" si="53">I33/I$59</f>
        <v>1.0227267411650734E-2</v>
      </c>
      <c r="J90" s="17">
        <f t="shared" si="53"/>
        <v>9.3622787879817718E-3</v>
      </c>
      <c r="K90" s="17">
        <f t="shared" si="53"/>
        <v>3.3529309723142581E-2</v>
      </c>
      <c r="L90" s="17">
        <f t="shared" si="53"/>
        <v>3.0496290761364297E-2</v>
      </c>
      <c r="M90" s="18">
        <f t="shared" si="53"/>
        <v>2.3873876540172236E-2</v>
      </c>
    </row>
    <row r="91" spans="1:13" x14ac:dyDescent="0.25">
      <c r="A91" s="12">
        <v>0.64583333333333337</v>
      </c>
      <c r="B91" s="18">
        <f t="shared" ref="B91:F91" si="54">B34/B$59</f>
        <v>9.4468826851649805E-3</v>
      </c>
      <c r="C91" s="18">
        <f t="shared" si="54"/>
        <v>4.4856305083777713E-3</v>
      </c>
      <c r="D91" s="18">
        <f t="shared" si="54"/>
        <v>3.6541305342620505E-2</v>
      </c>
      <c r="E91" s="18">
        <f t="shared" si="54"/>
        <v>1.9563418949690419E-2</v>
      </c>
      <c r="F91" s="18">
        <f t="shared" si="54"/>
        <v>2.4133466225669382E-2</v>
      </c>
      <c r="H91" s="12">
        <v>0.64583333333333337</v>
      </c>
      <c r="I91" s="17">
        <f t="shared" ref="I91:M91" si="55">I34/I$59</f>
        <v>9.2438804562013071E-3</v>
      </c>
      <c r="J91" s="17">
        <f t="shared" si="55"/>
        <v>8.6376764849426958E-3</v>
      </c>
      <c r="K91" s="17">
        <f t="shared" si="55"/>
        <v>3.4660761522306224E-2</v>
      </c>
      <c r="L91" s="17">
        <f t="shared" si="55"/>
        <v>2.490397559926941E-2</v>
      </c>
      <c r="M91" s="18">
        <f t="shared" si="55"/>
        <v>2.3983718009650705E-2</v>
      </c>
    </row>
    <row r="92" spans="1:13" x14ac:dyDescent="0.25">
      <c r="A92" s="12">
        <v>0.66666666666666663</v>
      </c>
      <c r="B92" s="18">
        <f t="shared" ref="B92:F92" si="56">B35/B$59</f>
        <v>8.2706572597341151E-3</v>
      </c>
      <c r="C92" s="18">
        <f t="shared" si="56"/>
        <v>4.4897211836022605E-3</v>
      </c>
      <c r="D92" s="18">
        <f t="shared" si="56"/>
        <v>3.785870087056404E-2</v>
      </c>
      <c r="E92" s="18">
        <f t="shared" si="56"/>
        <v>1.4802583511260575E-2</v>
      </c>
      <c r="F92" s="18">
        <f t="shared" si="56"/>
        <v>2.4388783794955293E-2</v>
      </c>
      <c r="H92" s="12">
        <v>0.66666666666666663</v>
      </c>
      <c r="I92" s="17">
        <f t="shared" ref="I92:M92" si="57">I35/I$59</f>
        <v>8.3233837182049679E-3</v>
      </c>
      <c r="J92" s="17">
        <f t="shared" si="57"/>
        <v>8.2154730989057144E-3</v>
      </c>
      <c r="K92" s="17">
        <f t="shared" si="57"/>
        <v>3.6085421157847047E-2</v>
      </c>
      <c r="L92" s="17">
        <f t="shared" si="57"/>
        <v>2.0420253662237462E-2</v>
      </c>
      <c r="M92" s="18">
        <f t="shared" si="57"/>
        <v>2.4347935482246817E-2</v>
      </c>
    </row>
    <row r="93" spans="1:13" x14ac:dyDescent="0.25">
      <c r="A93" s="12">
        <v>0.6875</v>
      </c>
      <c r="B93" s="18">
        <f t="shared" ref="B93:F93" si="58">B36/B$59</f>
        <v>7.1046179053884826E-3</v>
      </c>
      <c r="C93" s="18">
        <f t="shared" si="58"/>
        <v>4.5111617085099092E-3</v>
      </c>
      <c r="D93" s="18">
        <f t="shared" si="58"/>
        <v>3.9898193252977991E-2</v>
      </c>
      <c r="E93" s="18">
        <f t="shared" si="58"/>
        <v>1.0957549566918644E-2</v>
      </c>
      <c r="F93" s="18">
        <f t="shared" si="58"/>
        <v>2.507768248431198E-2</v>
      </c>
      <c r="H93" s="12">
        <v>0.6875</v>
      </c>
      <c r="I93" s="17">
        <f t="shared" ref="I93:M93" si="59">I36/I$59</f>
        <v>7.4650493143691441E-3</v>
      </c>
      <c r="J93" s="17">
        <f t="shared" si="59"/>
        <v>8.087763536821363E-3</v>
      </c>
      <c r="K93" s="17">
        <f t="shared" si="59"/>
        <v>3.7592602300198286E-2</v>
      </c>
      <c r="L93" s="17">
        <f t="shared" si="59"/>
        <v>1.7010889395185216E-2</v>
      </c>
      <c r="M93" s="18">
        <f t="shared" si="59"/>
        <v>2.4845279811041954E-2</v>
      </c>
    </row>
    <row r="94" spans="1:13" x14ac:dyDescent="0.25">
      <c r="A94" s="12">
        <v>0.70833333333333337</v>
      </c>
      <c r="B94" s="18">
        <f t="shared" ref="B94:F94" si="60">B37/B$59</f>
        <v>5.9565181103851698E-3</v>
      </c>
      <c r="C94" s="18">
        <f t="shared" si="60"/>
        <v>4.4608382385051618E-3</v>
      </c>
      <c r="D94" s="18">
        <f t="shared" si="60"/>
        <v>4.2353031955431587E-2</v>
      </c>
      <c r="E94" s="18">
        <f t="shared" si="60"/>
        <v>7.7221819487413839E-3</v>
      </c>
      <c r="F94" s="18">
        <f t="shared" si="60"/>
        <v>2.6011092809037139E-2</v>
      </c>
      <c r="H94" s="12">
        <v>0.70833333333333337</v>
      </c>
      <c r="I94" s="17">
        <f t="shared" ref="I94:M94" si="61">I37/I$59</f>
        <v>6.6642509899307806E-3</v>
      </c>
      <c r="J94" s="17">
        <f t="shared" si="61"/>
        <v>8.1656899223517491E-3</v>
      </c>
      <c r="K94" s="17">
        <f t="shared" si="61"/>
        <v>3.8855400686453725E-2</v>
      </c>
      <c r="L94" s="17">
        <f t="shared" si="61"/>
        <v>1.452436574636912E-2</v>
      </c>
      <c r="M94" s="18">
        <f t="shared" si="61"/>
        <v>2.5273929594462945E-2</v>
      </c>
    </row>
    <row r="95" spans="1:13" x14ac:dyDescent="0.25">
      <c r="A95" s="12">
        <v>0.72916666666666663</v>
      </c>
      <c r="B95" s="18">
        <f t="shared" ref="B95:F95" si="62">B38/B$59</f>
        <v>4.8401377010922429E-3</v>
      </c>
      <c r="C95" s="18">
        <f t="shared" si="62"/>
        <v>4.2450140147461801E-3</v>
      </c>
      <c r="D95" s="18">
        <f t="shared" si="62"/>
        <v>4.4300521355600322E-2</v>
      </c>
      <c r="E95" s="18">
        <f t="shared" si="62"/>
        <v>5.1990722162398046E-3</v>
      </c>
      <c r="F95" s="18">
        <f t="shared" si="62"/>
        <v>2.6671557528701061E-2</v>
      </c>
      <c r="H95" s="12">
        <v>0.72916666666666663</v>
      </c>
      <c r="I95" s="17">
        <f t="shared" ref="I95:M95" si="63">I38/I$59</f>
        <v>5.891768505650429E-3</v>
      </c>
      <c r="J95" s="17">
        <f t="shared" si="63"/>
        <v>8.2620150039010316E-3</v>
      </c>
      <c r="K95" s="17">
        <f t="shared" si="63"/>
        <v>3.9482359057608538E-2</v>
      </c>
      <c r="L95" s="17">
        <f t="shared" si="63"/>
        <v>1.2612029467322788E-2</v>
      </c>
      <c r="M95" s="18">
        <f t="shared" si="63"/>
        <v>2.5370366029241864E-2</v>
      </c>
    </row>
    <row r="96" spans="1:13" x14ac:dyDescent="0.25">
      <c r="A96" s="12">
        <v>0.75</v>
      </c>
      <c r="B96" s="18">
        <f t="shared" ref="B96:F96" si="64">B39/B$59</f>
        <v>3.7959090663928999E-3</v>
      </c>
      <c r="C96" s="18">
        <f t="shared" si="64"/>
        <v>3.799893254639287E-3</v>
      </c>
      <c r="D96" s="18">
        <f t="shared" si="64"/>
        <v>4.4559366642904698E-2</v>
      </c>
      <c r="E96" s="18">
        <f t="shared" si="64"/>
        <v>3.4922871576567511E-3</v>
      </c>
      <c r="F96" s="18">
        <f t="shared" si="64"/>
        <v>2.6409640474411904E-2</v>
      </c>
      <c r="H96" s="12">
        <v>0.75</v>
      </c>
      <c r="I96" s="17">
        <f t="shared" ref="I96:M96" si="65">I39/I$59</f>
        <v>5.1113112997369604E-3</v>
      </c>
      <c r="J96" s="17">
        <f t="shared" si="65"/>
        <v>8.1667879966366465E-3</v>
      </c>
      <c r="K96" s="17">
        <f t="shared" si="65"/>
        <v>3.9101941705888939E-2</v>
      </c>
      <c r="L96" s="17">
        <f t="shared" si="65"/>
        <v>1.0882190483702724E-2</v>
      </c>
      <c r="M96" s="18">
        <f t="shared" si="65"/>
        <v>2.487618729421192E-2</v>
      </c>
    </row>
    <row r="97" spans="1:13" x14ac:dyDescent="0.25">
      <c r="A97" s="12">
        <v>0.77083333333333337</v>
      </c>
      <c r="B97" s="18">
        <f t="shared" ref="B97:F97" si="66">B40/B$59</f>
        <v>2.8790142639737162E-3</v>
      </c>
      <c r="C97" s="18">
        <f t="shared" si="66"/>
        <v>3.1427137739996665E-3</v>
      </c>
      <c r="D97" s="18">
        <f t="shared" si="66"/>
        <v>4.2297998105757309E-2</v>
      </c>
      <c r="E97" s="18">
        <f t="shared" si="66"/>
        <v>2.514955799637974E-3</v>
      </c>
      <c r="F97" s="18">
        <f t="shared" si="66"/>
        <v>2.4779099829842652E-2</v>
      </c>
      <c r="H97" s="12">
        <v>0.77083333333333337</v>
      </c>
      <c r="I97" s="17">
        <f t="shared" ref="I97:M97" si="67">I40/I$59</f>
        <v>4.3153990852239513E-3</v>
      </c>
      <c r="J97" s="17">
        <f t="shared" si="67"/>
        <v>7.7701016022669453E-3</v>
      </c>
      <c r="K97" s="17">
        <f t="shared" si="67"/>
        <v>3.7504765980665093E-2</v>
      </c>
      <c r="L97" s="17">
        <f t="shared" si="67"/>
        <v>9.1415465013038148E-3</v>
      </c>
      <c r="M97" s="18">
        <f t="shared" si="67"/>
        <v>2.3651249026870321E-2</v>
      </c>
    </row>
    <row r="98" spans="1:13" x14ac:dyDescent="0.25">
      <c r="A98" s="12">
        <v>0.79166666666666663</v>
      </c>
      <c r="B98" s="18">
        <f t="shared" ref="B98:F98" si="68">B41/B$59</f>
        <v>2.1309891164204764E-3</v>
      </c>
      <c r="C98" s="18">
        <f t="shared" si="68"/>
        <v>2.3768170476051193E-3</v>
      </c>
      <c r="D98" s="18">
        <f t="shared" si="68"/>
        <v>3.7499690527068544E-2</v>
      </c>
      <c r="E98" s="18">
        <f t="shared" si="68"/>
        <v>2.0176308502265752E-3</v>
      </c>
      <c r="F98" s="18">
        <f t="shared" si="68"/>
        <v>2.178851399531118E-2</v>
      </c>
      <c r="H98" s="12">
        <v>0.79166666666666663</v>
      </c>
      <c r="I98" s="17">
        <f t="shared" ref="I98:M98" si="69">I41/I$59</f>
        <v>3.5416816146254561E-3</v>
      </c>
      <c r="J98" s="17">
        <f t="shared" si="69"/>
        <v>7.1261093638478826E-3</v>
      </c>
      <c r="K98" s="17">
        <f t="shared" si="69"/>
        <v>3.4760659786272408E-2</v>
      </c>
      <c r="L98" s="17">
        <f t="shared" si="69"/>
        <v>7.4997740572809004E-3</v>
      </c>
      <c r="M98" s="18">
        <f t="shared" si="69"/>
        <v>2.1755608053770702E-2</v>
      </c>
    </row>
    <row r="99" spans="1:13" x14ac:dyDescent="0.25">
      <c r="A99" s="12">
        <v>0.8125</v>
      </c>
      <c r="B99" s="18">
        <f t="shared" ref="B99:F99" si="70">B42/B$59</f>
        <v>1.5663640467380312E-3</v>
      </c>
      <c r="C99" s="18">
        <f t="shared" si="70"/>
        <v>1.6416448010229342E-3</v>
      </c>
      <c r="D99" s="18">
        <f t="shared" si="70"/>
        <v>3.0975674315033144E-2</v>
      </c>
      <c r="E99" s="18">
        <f t="shared" si="70"/>
        <v>1.71656725695348E-3</v>
      </c>
      <c r="F99" s="18">
        <f t="shared" si="70"/>
        <v>1.7902049689406431E-2</v>
      </c>
      <c r="H99" s="12">
        <v>0.8125</v>
      </c>
      <c r="I99" s="17">
        <f t="shared" ref="I99:M99" si="71">I42/I$59</f>
        <v>2.8509718581771776E-3</v>
      </c>
      <c r="J99" s="17">
        <f t="shared" si="71"/>
        <v>6.3907369845003382E-3</v>
      </c>
      <c r="K99" s="17">
        <f t="shared" si="71"/>
        <v>3.1180225999929621E-2</v>
      </c>
      <c r="L99" s="17">
        <f t="shared" si="71"/>
        <v>6.2265203167413711E-3</v>
      </c>
      <c r="M99" s="18">
        <f t="shared" si="71"/>
        <v>1.9409529533682184E-2</v>
      </c>
    </row>
    <row r="100" spans="1:13" x14ac:dyDescent="0.25">
      <c r="A100" s="12">
        <v>0.83333333333333337</v>
      </c>
      <c r="B100" s="18">
        <f t="shared" ref="B100:F100" si="72">B43/B$59</f>
        <v>1.1778543787010491E-3</v>
      </c>
      <c r="C100" s="18">
        <f t="shared" si="72"/>
        <v>1.0520350076171888E-3</v>
      </c>
      <c r="D100" s="18">
        <f t="shared" si="72"/>
        <v>2.3946865839004818E-2</v>
      </c>
      <c r="E100" s="18">
        <f t="shared" si="72"/>
        <v>1.416811335982035E-3</v>
      </c>
      <c r="F100" s="18">
        <f t="shared" si="72"/>
        <v>1.3804500687838958E-2</v>
      </c>
      <c r="H100" s="12">
        <v>0.83333333333333337</v>
      </c>
      <c r="I100" s="17">
        <f t="shared" ref="I100:M100" si="73">I43/I$59</f>
        <v>2.2855684967577209E-3</v>
      </c>
      <c r="J100" s="17">
        <f t="shared" si="73"/>
        <v>5.6825591029194588E-3</v>
      </c>
      <c r="K100" s="17">
        <f t="shared" si="73"/>
        <v>2.7127079103940927E-2</v>
      </c>
      <c r="L100" s="17">
        <f t="shared" si="73"/>
        <v>5.4708677729608506E-3</v>
      </c>
      <c r="M100" s="18">
        <f t="shared" si="73"/>
        <v>1.6849768194595081E-2</v>
      </c>
    </row>
    <row r="101" spans="1:13" x14ac:dyDescent="0.25">
      <c r="A101" s="12">
        <v>0.85416666666666663</v>
      </c>
      <c r="B101" s="18">
        <f t="shared" ref="B101:F101" si="74">B44/B$59</f>
        <v>9.4038357637188483E-4</v>
      </c>
      <c r="C101" s="18">
        <f t="shared" si="74"/>
        <v>6.706314014203698E-4</v>
      </c>
      <c r="D101" s="18">
        <f t="shared" si="74"/>
        <v>1.7502759968643627E-2</v>
      </c>
      <c r="E101" s="18">
        <f t="shared" si="74"/>
        <v>1.0640921490863322E-3</v>
      </c>
      <c r="F101" s="18">
        <f t="shared" si="74"/>
        <v>1.0100050249485832E-2</v>
      </c>
      <c r="H101" s="12">
        <v>0.85416666666666663</v>
      </c>
      <c r="I101" s="17">
        <f t="shared" ref="I101:M101" si="75">I44/I$59</f>
        <v>1.8445167459253786E-3</v>
      </c>
      <c r="J101" s="17">
        <f t="shared" si="75"/>
        <v>4.994474199577781E-3</v>
      </c>
      <c r="K101" s="17">
        <f t="shared" si="75"/>
        <v>2.2853520231678585E-2</v>
      </c>
      <c r="L101" s="17">
        <f t="shared" si="75"/>
        <v>5.0896320547912681E-3</v>
      </c>
      <c r="M101" s="18">
        <f t="shared" si="75"/>
        <v>1.4213499053002903E-2</v>
      </c>
    </row>
    <row r="102" spans="1:13" x14ac:dyDescent="0.25">
      <c r="A102" s="12">
        <v>0.875</v>
      </c>
      <c r="B102" s="18">
        <f t="shared" ref="B102:F102" si="76">B45/B$59</f>
        <v>8.074740076885787E-4</v>
      </c>
      <c r="C102" s="18">
        <f t="shared" si="76"/>
        <v>5.2097537534967259E-4</v>
      </c>
      <c r="D102" s="18">
        <f t="shared" si="76"/>
        <v>1.2261804471083585E-2</v>
      </c>
      <c r="E102" s="18">
        <f t="shared" si="76"/>
        <v>7.0676342134839542E-4</v>
      </c>
      <c r="F102" s="18">
        <f t="shared" si="76"/>
        <v>7.1233499362127507E-3</v>
      </c>
      <c r="H102" s="12">
        <v>0.875</v>
      </c>
      <c r="I102" s="17">
        <f t="shared" ref="I102:M102" si="77">I45/I$59</f>
        <v>1.4937466850167304E-3</v>
      </c>
      <c r="J102" s="17">
        <f t="shared" si="77"/>
        <v>4.2341901190755035E-3</v>
      </c>
      <c r="K102" s="17">
        <f t="shared" si="77"/>
        <v>1.8503853761282951E-2</v>
      </c>
      <c r="L102" s="17">
        <f t="shared" si="77"/>
        <v>4.7373905690707499E-3</v>
      </c>
      <c r="M102" s="18">
        <f t="shared" si="77"/>
        <v>1.1550838050342991E-2</v>
      </c>
    </row>
    <row r="103" spans="1:13" x14ac:dyDescent="0.25">
      <c r="A103" s="12">
        <v>0.89583333333333337</v>
      </c>
      <c r="B103" s="18">
        <f t="shared" ref="B103:F103" si="78">B46/B$59</f>
        <v>7.1657885653184485E-4</v>
      </c>
      <c r="C103" s="18">
        <f t="shared" si="78"/>
        <v>6.1060131789149807E-4</v>
      </c>
      <c r="D103" s="18">
        <f t="shared" si="78"/>
        <v>8.3454297139499631E-3</v>
      </c>
      <c r="E103" s="18">
        <f t="shared" si="78"/>
        <v>4.1302241795738201E-4</v>
      </c>
      <c r="F103" s="18">
        <f t="shared" si="78"/>
        <v>4.9271649318455273E-3</v>
      </c>
      <c r="H103" s="12">
        <v>0.89583333333333337</v>
      </c>
      <c r="I103" s="17">
        <f t="shared" ref="I103:M103" si="79">I46/I$59</f>
        <v>1.1957374093397705E-3</v>
      </c>
      <c r="J103" s="17">
        <f t="shared" si="79"/>
        <v>3.344508513507777E-3</v>
      </c>
      <c r="K103" s="17">
        <f t="shared" si="79"/>
        <v>1.4236826723295187E-2</v>
      </c>
      <c r="L103" s="17">
        <f t="shared" si="79"/>
        <v>4.1278622631065907E-3</v>
      </c>
      <c r="M103" s="18">
        <f t="shared" si="79"/>
        <v>8.925342997134782E-3</v>
      </c>
    </row>
    <row r="104" spans="1:13" x14ac:dyDescent="0.25">
      <c r="A104" s="12">
        <v>0.91666666666666663</v>
      </c>
      <c r="B104" s="18">
        <f t="shared" ref="B104:F104" si="80">B47/B$59</f>
        <v>6.1356277280058568E-4</v>
      </c>
      <c r="C104" s="18">
        <f t="shared" si="80"/>
        <v>9.2150265045265879E-4</v>
      </c>
      <c r="D104" s="18">
        <f t="shared" si="80"/>
        <v>5.5611433804943072E-3</v>
      </c>
      <c r="E104" s="18">
        <f t="shared" si="80"/>
        <v>2.1374203806420663E-4</v>
      </c>
      <c r="F104" s="18">
        <f t="shared" si="80"/>
        <v>3.3879187368150098E-3</v>
      </c>
      <c r="H104" s="12">
        <v>0.91666666666666663</v>
      </c>
      <c r="I104" s="17">
        <f t="shared" ref="I104:M104" si="81">I47/I$59</f>
        <v>9.3062784168413066E-4</v>
      </c>
      <c r="J104" s="17">
        <f t="shared" si="81"/>
        <v>2.3834442228404481E-3</v>
      </c>
      <c r="K104" s="17">
        <f t="shared" si="81"/>
        <v>1.0299348882527763E-2</v>
      </c>
      <c r="L104" s="17">
        <f t="shared" si="81"/>
        <v>3.2268318024684323E-3</v>
      </c>
      <c r="M104" s="18">
        <f t="shared" si="81"/>
        <v>6.4774547748597923E-3</v>
      </c>
    </row>
    <row r="105" spans="1:13" x14ac:dyDescent="0.25">
      <c r="A105" s="12">
        <v>0.9375</v>
      </c>
      <c r="B105" s="18">
        <f t="shared" ref="B105:F105" si="82">B48/B$59</f>
        <v>4.7879503763668528E-4</v>
      </c>
      <c r="C105" s="18">
        <f t="shared" si="82"/>
        <v>1.3648870765811064E-3</v>
      </c>
      <c r="D105" s="18">
        <f t="shared" si="82"/>
        <v>3.6200811561032213E-3</v>
      </c>
      <c r="E105" s="18">
        <f t="shared" si="82"/>
        <v>9.861164263123987E-5</v>
      </c>
      <c r="F105" s="18">
        <f t="shared" si="82"/>
        <v>2.3277074053845285E-3</v>
      </c>
      <c r="H105" s="12">
        <v>0.9375</v>
      </c>
      <c r="I105" s="17">
        <f t="shared" ref="I105:M105" si="83">I48/I$59</f>
        <v>6.9637904545312435E-4</v>
      </c>
      <c r="J105" s="17">
        <f t="shared" si="83"/>
        <v>1.4951931316522012E-3</v>
      </c>
      <c r="K105" s="17">
        <f t="shared" si="83"/>
        <v>6.9630297470782447E-3</v>
      </c>
      <c r="L105" s="17">
        <f t="shared" si="83"/>
        <v>2.2253516286112E-3</v>
      </c>
      <c r="M105" s="18">
        <f t="shared" si="83"/>
        <v>4.3841738577765389E-3</v>
      </c>
    </row>
    <row r="106" spans="1:13" x14ac:dyDescent="0.25">
      <c r="A106" s="12">
        <v>0.95833333333333337</v>
      </c>
      <c r="B106" s="18">
        <f t="shared" ref="B106:F106" si="84">B49/B$59</f>
        <v>3.2949109733055237E-4</v>
      </c>
      <c r="C106" s="18">
        <f t="shared" si="84"/>
        <v>1.7620347083389595E-3</v>
      </c>
      <c r="D106" s="18">
        <f t="shared" si="84"/>
        <v>2.2743241508299938E-3</v>
      </c>
      <c r="E106" s="18">
        <f t="shared" si="84"/>
        <v>4.0348979365345333E-5</v>
      </c>
      <c r="F106" s="18">
        <f t="shared" si="84"/>
        <v>1.5893702070267565E-3</v>
      </c>
      <c r="H106" s="12">
        <v>0.95833333333333337</v>
      </c>
      <c r="I106" s="17">
        <f t="shared" ref="I106:M106" si="85">I49/I$59</f>
        <v>4.9723367422750187E-4</v>
      </c>
      <c r="J106" s="17">
        <f t="shared" si="85"/>
        <v>8.1161869232228463E-4</v>
      </c>
      <c r="K106" s="17">
        <f t="shared" si="85"/>
        <v>4.3953780777956199E-3</v>
      </c>
      <c r="L106" s="17">
        <f t="shared" si="85"/>
        <v>1.3583431507031879E-3</v>
      </c>
      <c r="M106" s="18">
        <f t="shared" si="85"/>
        <v>2.7651282246899064E-3</v>
      </c>
    </row>
    <row r="107" spans="1:13" x14ac:dyDescent="0.25">
      <c r="A107" s="12">
        <v>0.97916666666666663</v>
      </c>
      <c r="B107" s="18">
        <f t="shared" ref="B107:F107" si="86">B50/B$59</f>
        <v>1.9705378473519378E-4</v>
      </c>
      <c r="C107" s="18">
        <f t="shared" si="86"/>
        <v>1.9146437213788219E-3</v>
      </c>
      <c r="D107" s="18">
        <f t="shared" si="86"/>
        <v>1.3547479810358681E-3</v>
      </c>
      <c r="E107" s="18">
        <f t="shared" si="86"/>
        <v>1.4284310779543068E-5</v>
      </c>
      <c r="F107" s="18">
        <f t="shared" si="86"/>
        <v>1.0609766281552068E-3</v>
      </c>
      <c r="H107" s="12">
        <v>0.97916666666666663</v>
      </c>
      <c r="I107" s="17">
        <f t="shared" ref="I107:M107" si="87">I50/I$59</f>
        <v>3.3524798030202629E-4</v>
      </c>
      <c r="J107" s="17">
        <f t="shared" si="87"/>
        <v>3.7743709681186722E-4</v>
      </c>
      <c r="K107" s="17">
        <f t="shared" si="87"/>
        <v>2.5938832697945191E-3</v>
      </c>
      <c r="L107" s="17">
        <f t="shared" si="87"/>
        <v>7.491313537006007E-4</v>
      </c>
      <c r="M107" s="18">
        <f t="shared" si="87"/>
        <v>1.628822872854228E-3</v>
      </c>
    </row>
    <row r="108" spans="1:13" x14ac:dyDescent="0.25">
      <c r="A108" s="12">
        <v>1</v>
      </c>
      <c r="B108" s="18">
        <f t="shared" ref="B108:F108" si="88">B51/B$59</f>
        <v>1.0206489866615257E-4</v>
      </c>
      <c r="C108" s="18">
        <f t="shared" si="88"/>
        <v>1.7319129775995048E-3</v>
      </c>
      <c r="D108" s="18">
        <f t="shared" si="88"/>
        <v>7.5063202184386492E-4</v>
      </c>
      <c r="E108" s="18">
        <f t="shared" si="88"/>
        <v>4.1893011226627087E-6</v>
      </c>
      <c r="F108" s="18">
        <f t="shared" si="88"/>
        <v>6.7440963442666902E-4</v>
      </c>
      <c r="H108" s="12">
        <v>1</v>
      </c>
      <c r="I108" s="17">
        <f t="shared" ref="I108:M108" si="89">I51/I$59</f>
        <v>2.0959626700209404E-4</v>
      </c>
      <c r="J108" s="17">
        <f t="shared" si="89"/>
        <v>1.5041180832558654E-4</v>
      </c>
      <c r="K108" s="17">
        <f t="shared" si="89"/>
        <v>1.4271036325263454E-3</v>
      </c>
      <c r="L108" s="17">
        <f t="shared" si="89"/>
        <v>3.8553003876990767E-4</v>
      </c>
      <c r="M108" s="18">
        <f t="shared" si="89"/>
        <v>8.9498571972455279E-4</v>
      </c>
    </row>
    <row r="109" spans="1:13" x14ac:dyDescent="0.25">
      <c r="A109" s="12">
        <v>1.0208333333333333</v>
      </c>
      <c r="B109" s="18">
        <f t="shared" ref="B109:F109" si="90">B52/B$59</f>
        <v>4.594014705948837E-5</v>
      </c>
      <c r="C109" s="18">
        <f t="shared" si="90"/>
        <v>1.2960902648413313E-3</v>
      </c>
      <c r="D109" s="18">
        <f t="shared" si="90"/>
        <v>3.7959097550169159E-4</v>
      </c>
      <c r="E109" s="18">
        <f t="shared" si="90"/>
        <v>9.5987828806703728E-7</v>
      </c>
      <c r="F109" s="18">
        <f t="shared" si="90"/>
        <v>3.9494146380325042E-4</v>
      </c>
      <c r="H109" s="12">
        <v>1.0208333333333333</v>
      </c>
      <c r="I109" s="17">
        <f t="shared" ref="I109:M109" si="91">I52/I$59</f>
        <v>1.1848001106529846E-4</v>
      </c>
      <c r="J109" s="17">
        <f t="shared" si="91"/>
        <v>5.2314479486614497E-5</v>
      </c>
      <c r="K109" s="17">
        <f t="shared" si="91"/>
        <v>7.2285695429466902E-4</v>
      </c>
      <c r="L109" s="17">
        <f t="shared" si="91"/>
        <v>1.8975471355488772E-4</v>
      </c>
      <c r="M109" s="18">
        <f t="shared" si="91"/>
        <v>4.5351451066391368E-4</v>
      </c>
    </row>
    <row r="110" spans="1:13" x14ac:dyDescent="0.25">
      <c r="A110" s="12">
        <v>4.1666666666666664E-2</v>
      </c>
      <c r="B110" s="18">
        <f t="shared" ref="B110:F110" si="92">B53/B$59</f>
        <v>1.8089969471988093E-5</v>
      </c>
      <c r="C110" s="18">
        <f t="shared" si="92"/>
        <v>7.9674642292762205E-4</v>
      </c>
      <c r="D110" s="18">
        <f t="shared" si="92"/>
        <v>1.7179590321044511E-4</v>
      </c>
      <c r="E110" s="18">
        <f t="shared" si="92"/>
        <v>1.5881761522410622E-7</v>
      </c>
      <c r="F110" s="18">
        <f t="shared" si="92"/>
        <v>2.0574176225910185E-4</v>
      </c>
      <c r="H110" s="12">
        <v>4.1666666666666664E-2</v>
      </c>
      <c r="I110" s="17">
        <f t="shared" ref="I110:M110" si="93">I53/I$59</f>
        <v>5.884503052744673E-5</v>
      </c>
      <c r="J110" s="17">
        <f t="shared" si="93"/>
        <v>1.6593269238950462E-5</v>
      </c>
      <c r="K110" s="17">
        <f t="shared" si="93"/>
        <v>3.292457872148547E-4</v>
      </c>
      <c r="L110" s="17">
        <f t="shared" si="93"/>
        <v>8.8554549721546678E-5</v>
      </c>
      <c r="M110" s="18">
        <f t="shared" si="93"/>
        <v>2.0705186785855423E-4</v>
      </c>
    </row>
    <row r="111" spans="1:13" x14ac:dyDescent="0.25">
      <c r="A111" s="12">
        <v>6.25E-2</v>
      </c>
      <c r="B111" s="18">
        <f t="shared" ref="B111:F111" si="94">B54/B$59</f>
        <v>6.2593819355607646E-6</v>
      </c>
      <c r="C111" s="18">
        <f t="shared" si="94"/>
        <v>3.9813804083819212E-4</v>
      </c>
      <c r="D111" s="18">
        <f t="shared" si="94"/>
        <v>6.8095392286134435E-5</v>
      </c>
      <c r="E111" s="18">
        <f t="shared" si="94"/>
        <v>1.6717643707800659E-8</v>
      </c>
      <c r="F111" s="18">
        <f t="shared" si="94"/>
        <v>9.2170643263787743E-5</v>
      </c>
      <c r="H111" s="12">
        <v>6.25E-2</v>
      </c>
      <c r="I111" s="17">
        <f t="shared" ref="I111:M111" si="95">I54/I$59</f>
        <v>2.4938047213006271E-5</v>
      </c>
      <c r="J111" s="17">
        <f t="shared" si="95"/>
        <v>5.0567661192206631E-6</v>
      </c>
      <c r="K111" s="17">
        <f t="shared" si="95"/>
        <v>1.307203114120058E-4</v>
      </c>
      <c r="L111" s="17">
        <f t="shared" si="95"/>
        <v>3.7491922595205627E-5</v>
      </c>
      <c r="M111" s="18">
        <f t="shared" si="95"/>
        <v>8.2513911994305461E-5</v>
      </c>
    </row>
    <row r="112" spans="1:13" x14ac:dyDescent="0.25">
      <c r="A112" s="12">
        <v>8.3333333333333329E-2</v>
      </c>
      <c r="B112" s="18">
        <f t="shared" ref="B112:F112" si="96">B55/B$59</f>
        <v>1.8911157524956421E-6</v>
      </c>
      <c r="C112" s="18">
        <f t="shared" si="96"/>
        <v>1.591948309112507E-4</v>
      </c>
      <c r="D112" s="18">
        <f t="shared" si="96"/>
        <v>2.3060294885145625E-5</v>
      </c>
      <c r="E112" s="18">
        <f t="shared" si="96"/>
        <v>8.3588218539003285E-10</v>
      </c>
      <c r="F112" s="18">
        <f t="shared" si="96"/>
        <v>3.4368345110683825E-5</v>
      </c>
      <c r="H112" s="12">
        <v>8.3333333333333329E-2</v>
      </c>
      <c r="I112" s="17">
        <f t="shared" ref="I112:M112" si="97">I55/I$59</f>
        <v>8.7507422108075328E-6</v>
      </c>
      <c r="J112" s="17">
        <f t="shared" si="97"/>
        <v>1.4855010707514964E-6</v>
      </c>
      <c r="K112" s="17">
        <f t="shared" si="97"/>
        <v>4.3679302630350365E-5</v>
      </c>
      <c r="L112" s="17">
        <f t="shared" si="97"/>
        <v>1.3594638433769398E-5</v>
      </c>
      <c r="M112" s="18">
        <f t="shared" si="97"/>
        <v>2.7692311620907008E-5</v>
      </c>
    </row>
    <row r="113" spans="1:13" x14ac:dyDescent="0.25">
      <c r="A113" s="12">
        <v>0.10416666666666667</v>
      </c>
      <c r="B113" s="18">
        <f t="shared" ref="B113:F113" si="98">B56/B$59</f>
        <v>4.8624773419930329E-7</v>
      </c>
      <c r="C113" s="18">
        <f t="shared" si="98"/>
        <v>4.9724554837728787E-5</v>
      </c>
      <c r="D113" s="18">
        <f t="shared" si="98"/>
        <v>6.4795111484279403E-6</v>
      </c>
      <c r="E113" s="18">
        <f t="shared" si="98"/>
        <v>0</v>
      </c>
      <c r="F113" s="18">
        <f t="shared" si="98"/>
        <v>1.0303979878707423E-5</v>
      </c>
      <c r="H113" s="12">
        <v>0.10416666666666667</v>
      </c>
      <c r="I113" s="17">
        <f t="shared" ref="I113:M113" si="99">I56/I$59</f>
        <v>2.4574414249288554E-6</v>
      </c>
      <c r="J113" s="17">
        <f t="shared" si="99"/>
        <v>3.9100201564176362E-7</v>
      </c>
      <c r="K113" s="17">
        <f t="shared" si="99"/>
        <v>1.1812514677252644E-5</v>
      </c>
      <c r="L113" s="17">
        <f t="shared" si="99"/>
        <v>3.9943750237826635E-6</v>
      </c>
      <c r="M113" s="18">
        <f t="shared" si="99"/>
        <v>7.5221653114962569E-6</v>
      </c>
    </row>
    <row r="114" spans="1:13" x14ac:dyDescent="0.25">
      <c r="A114" s="12">
        <v>0.125</v>
      </c>
      <c r="B114" s="18">
        <f t="shared" ref="B114:F114" si="100">B57/B$59</f>
        <v>9.9704211064059079E-8</v>
      </c>
      <c r="C114" s="18">
        <f t="shared" si="100"/>
        <v>1.1494659085742889E-5</v>
      </c>
      <c r="D114" s="18">
        <f t="shared" si="100"/>
        <v>1.4292749804434238E-6</v>
      </c>
      <c r="E114" s="18">
        <f t="shared" si="100"/>
        <v>0</v>
      </c>
      <c r="F114" s="18">
        <f t="shared" si="100"/>
        <v>2.3402913544300941E-6</v>
      </c>
      <c r="H114" s="12">
        <v>0.125</v>
      </c>
      <c r="I114" s="17">
        <f t="shared" ref="I114:M114" si="101">I57/I$59</f>
        <v>5.2087898989402218E-7</v>
      </c>
      <c r="J114" s="17">
        <f t="shared" si="101"/>
        <v>8.1824565132839731E-8</v>
      </c>
      <c r="K114" s="17">
        <f t="shared" si="101"/>
        <v>2.4307610518501203E-6</v>
      </c>
      <c r="L114" s="17">
        <f t="shared" si="101"/>
        <v>8.8566896359181907E-7</v>
      </c>
      <c r="M114" s="18">
        <f t="shared" si="101"/>
        <v>1.5541510175866609E-6</v>
      </c>
    </row>
    <row r="115" spans="1:13" ht="15.75" thickBot="1" x14ac:dyDescent="0.3">
      <c r="A115" s="13" t="s">
        <v>34</v>
      </c>
      <c r="B115" s="20">
        <f t="shared" ref="B115:F115" si="102">B58/B$59</f>
        <v>0</v>
      </c>
      <c r="C115" s="20">
        <f t="shared" si="102"/>
        <v>0</v>
      </c>
      <c r="D115" s="20">
        <f t="shared" si="102"/>
        <v>0</v>
      </c>
      <c r="E115" s="20">
        <f t="shared" si="102"/>
        <v>0</v>
      </c>
      <c r="F115" s="20">
        <f t="shared" si="102"/>
        <v>0</v>
      </c>
      <c r="H115" s="13" t="s">
        <v>34</v>
      </c>
      <c r="I115" s="19">
        <f t="shared" ref="I115:M115" si="103">I58/I$59</f>
        <v>0</v>
      </c>
      <c r="J115" s="19">
        <f t="shared" si="103"/>
        <v>0</v>
      </c>
      <c r="K115" s="19">
        <f t="shared" si="103"/>
        <v>0</v>
      </c>
      <c r="L115" s="19">
        <f t="shared" si="103"/>
        <v>0</v>
      </c>
      <c r="M115" s="20">
        <f t="shared" si="103"/>
        <v>0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15"/>
  <sheetViews>
    <sheetView tabSelected="1" topLeftCell="D55" workbookViewId="0">
      <selection activeCell="Z63" sqref="Z63"/>
    </sheetView>
  </sheetViews>
  <sheetFormatPr defaultRowHeight="15" x14ac:dyDescent="0.25"/>
  <cols>
    <col min="1" max="1" width="12.7109375" customWidth="1" collapsed="1"/>
    <col min="2" max="6" width="10.7109375" customWidth="1" collapsed="1"/>
    <col min="7" max="7" width="6.42578125" customWidth="1" collapsed="1"/>
    <col min="8" max="8" width="12.7109375" customWidth="1" collapsed="1"/>
    <col min="9" max="13" width="10.7109375" customWidth="1" collapsed="1"/>
  </cols>
  <sheetData>
    <row r="1" spans="1:17" x14ac:dyDescent="0.25">
      <c r="A1" t="s">
        <v>10</v>
      </c>
    </row>
    <row r="2" spans="1:17" x14ac:dyDescent="0.25">
      <c r="A2" t="s">
        <v>59</v>
      </c>
    </row>
    <row r="3" spans="1:17" x14ac:dyDescent="0.25">
      <c r="A3" t="s">
        <v>7</v>
      </c>
    </row>
    <row r="6" spans="1:17" ht="15.75" thickBot="1" x14ac:dyDescent="0.3">
      <c r="A6" s="3" t="s">
        <v>49</v>
      </c>
      <c r="B6" s="1"/>
      <c r="C6" s="1"/>
      <c r="D6" s="1"/>
      <c r="E6" s="1"/>
      <c r="F6" s="1"/>
      <c r="H6" s="3" t="s">
        <v>11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t="s">
        <v>5</v>
      </c>
      <c r="B8" s="6">
        <v>0</v>
      </c>
      <c r="C8" s="6">
        <v>0</v>
      </c>
      <c r="D8" s="6">
        <v>0</v>
      </c>
      <c r="E8" s="6">
        <v>0</v>
      </c>
      <c r="F8" s="6">
        <f>SUM(B8:E8)</f>
        <v>0</v>
      </c>
      <c r="H8" t="s">
        <v>5</v>
      </c>
      <c r="I8" s="9">
        <v>14541.034349888569</v>
      </c>
      <c r="J8" s="9">
        <v>34.518948715325628</v>
      </c>
      <c r="K8" s="9">
        <v>17561.541109245543</v>
      </c>
      <c r="L8" s="9">
        <v>87.468679452461245</v>
      </c>
      <c r="M8">
        <f>SUM(I8:L8)</f>
        <v>32224.563087301896</v>
      </c>
      <c r="O8" s="5"/>
      <c r="P8" s="16"/>
      <c r="Q8" s="16"/>
    </row>
    <row r="9" spans="1:17" x14ac:dyDescent="0.25">
      <c r="A9" s="12">
        <v>0.125</v>
      </c>
      <c r="B9" s="6">
        <v>17.111504571594551</v>
      </c>
      <c r="C9" s="6">
        <v>3.8800589823722853</v>
      </c>
      <c r="D9" s="6">
        <v>998.64708092436729</v>
      </c>
      <c r="E9" s="6">
        <v>3.343201292712906</v>
      </c>
      <c r="F9" s="6">
        <f t="shared" ref="F9:F58" si="0">SUM(B9:E9)</f>
        <v>1022.981845771047</v>
      </c>
      <c r="H9" s="12">
        <v>0.125</v>
      </c>
      <c r="I9" s="9">
        <v>9701.8040268874083</v>
      </c>
      <c r="J9" s="9">
        <v>63.241683009376743</v>
      </c>
      <c r="K9" s="9">
        <v>14395.090042740587</v>
      </c>
      <c r="L9" s="9">
        <v>138.68007419041612</v>
      </c>
      <c r="M9">
        <f t="shared" ref="M9:M58" si="1">SUM(I9:L9)</f>
        <v>24298.815826827788</v>
      </c>
      <c r="O9" s="5"/>
      <c r="P9" s="16"/>
      <c r="Q9" s="16"/>
    </row>
    <row r="10" spans="1:17" x14ac:dyDescent="0.25">
      <c r="A10" s="12">
        <v>0.14583333333333334</v>
      </c>
      <c r="B10" s="6">
        <v>35.245056805670814</v>
      </c>
      <c r="C10" s="6">
        <v>6.5841558886466167</v>
      </c>
      <c r="D10" s="6">
        <v>2092.3833069830616</v>
      </c>
      <c r="E10" s="6">
        <v>8.4537668669495467</v>
      </c>
      <c r="F10" s="6">
        <f t="shared" si="0"/>
        <v>2142.6662865443286</v>
      </c>
      <c r="H10" s="12">
        <v>0.14583333333333334</v>
      </c>
      <c r="I10" s="9">
        <v>5671.921588046851</v>
      </c>
      <c r="J10" s="9">
        <v>77.336928058890635</v>
      </c>
      <c r="K10" s="9">
        <v>11713.248682710293</v>
      </c>
      <c r="L10" s="9">
        <v>171.46902254196451</v>
      </c>
      <c r="M10">
        <f t="shared" si="1"/>
        <v>17633.976221358</v>
      </c>
      <c r="O10" s="5"/>
      <c r="P10" s="16"/>
      <c r="Q10" s="16"/>
    </row>
    <row r="11" spans="1:17" x14ac:dyDescent="0.25">
      <c r="A11" s="12">
        <v>0.16666666666666666</v>
      </c>
      <c r="B11" s="6">
        <v>56.561725492164996</v>
      </c>
      <c r="C11" s="6">
        <v>7.5746084498600306</v>
      </c>
      <c r="D11" s="6">
        <v>3413.6542016821827</v>
      </c>
      <c r="E11" s="6">
        <v>17.51050077693235</v>
      </c>
      <c r="F11" s="6">
        <f t="shared" si="0"/>
        <v>3495.3010364011402</v>
      </c>
      <c r="H11" s="12">
        <v>0.16666666666666666</v>
      </c>
      <c r="I11" s="9">
        <v>2896.8748028495111</v>
      </c>
      <c r="J11" s="9">
        <v>77.818537959769913</v>
      </c>
      <c r="K11" s="9">
        <v>9942.770533440098</v>
      </c>
      <c r="L11" s="9">
        <v>187.63187481116944</v>
      </c>
      <c r="M11">
        <f t="shared" si="1"/>
        <v>13105.095749060549</v>
      </c>
      <c r="O11" s="5"/>
      <c r="P11" s="16"/>
      <c r="Q11" s="16"/>
    </row>
    <row r="12" spans="1:17" x14ac:dyDescent="0.25">
      <c r="A12" s="12">
        <v>0.1875</v>
      </c>
      <c r="B12" s="6">
        <v>90.316844139291476</v>
      </c>
      <c r="C12" s="6">
        <v>7.2727811017920923</v>
      </c>
      <c r="D12" s="6">
        <v>5191.4675645049438</v>
      </c>
      <c r="E12" s="6">
        <v>34.379912681455146</v>
      </c>
      <c r="F12" s="6">
        <f t="shared" si="0"/>
        <v>5323.4371024274824</v>
      </c>
      <c r="H12" s="12">
        <v>0.1875</v>
      </c>
      <c r="I12" s="9">
        <v>1357.0035590403138</v>
      </c>
      <c r="J12" s="9">
        <v>87.47012145669774</v>
      </c>
      <c r="K12" s="9">
        <v>9447.3110002152516</v>
      </c>
      <c r="L12" s="9">
        <v>208.62088409450382</v>
      </c>
      <c r="M12">
        <f t="shared" si="1"/>
        <v>11100.405564806766</v>
      </c>
      <c r="O12" s="5"/>
      <c r="P12" s="5"/>
      <c r="Q12" s="5"/>
    </row>
    <row r="13" spans="1:17" x14ac:dyDescent="0.25">
      <c r="A13" s="12">
        <v>0.20833333333333334</v>
      </c>
      <c r="B13" s="6">
        <v>162.55895380688577</v>
      </c>
      <c r="C13" s="6">
        <v>7.650379277909094</v>
      </c>
      <c r="D13" s="6">
        <v>7810.5547965203859</v>
      </c>
      <c r="E13" s="6">
        <v>66.807140112077391</v>
      </c>
      <c r="F13" s="6">
        <f t="shared" si="0"/>
        <v>8047.5712697172585</v>
      </c>
      <c r="H13" s="12">
        <v>0.20833333333333334</v>
      </c>
      <c r="I13" s="9">
        <v>745.48775279901542</v>
      </c>
      <c r="J13" s="9">
        <v>148.11355339323524</v>
      </c>
      <c r="K13" s="9">
        <v>10570.14763745106</v>
      </c>
      <c r="L13" s="9">
        <v>257.67214016733806</v>
      </c>
      <c r="M13">
        <f t="shared" si="1"/>
        <v>11721.42108381065</v>
      </c>
    </row>
    <row r="14" spans="1:17" x14ac:dyDescent="0.25">
      <c r="A14" s="12">
        <v>0.22916666666666666</v>
      </c>
      <c r="B14" s="6">
        <v>321.26989098878175</v>
      </c>
      <c r="C14" s="6">
        <v>14.971829899058152</v>
      </c>
      <c r="D14" s="6">
        <v>11802.212012129328</v>
      </c>
      <c r="E14" s="6">
        <v>128.378365195486</v>
      </c>
      <c r="F14" s="6">
        <f t="shared" si="0"/>
        <v>12266.832098212653</v>
      </c>
      <c r="H14" s="12">
        <v>0.22916666666666666</v>
      </c>
      <c r="I14" s="9">
        <v>724.60956452827782</v>
      </c>
      <c r="J14" s="9">
        <v>314.43693262909733</v>
      </c>
      <c r="K14" s="9">
        <v>13653.620887771645</v>
      </c>
      <c r="L14" s="9">
        <v>346.33222538316119</v>
      </c>
      <c r="M14">
        <f t="shared" si="1"/>
        <v>15038.999610312181</v>
      </c>
    </row>
    <row r="15" spans="1:17" x14ac:dyDescent="0.25">
      <c r="A15" s="12">
        <v>0.25</v>
      </c>
      <c r="B15" s="6">
        <v>627.78062653083964</v>
      </c>
      <c r="C15" s="6">
        <v>47.413147782920831</v>
      </c>
      <c r="D15" s="6">
        <v>17702.862986390235</v>
      </c>
      <c r="E15" s="6">
        <v>238.59581921614119</v>
      </c>
      <c r="F15" s="6">
        <f t="shared" si="0"/>
        <v>18616.652579920137</v>
      </c>
      <c r="H15" s="12">
        <v>0.25</v>
      </c>
      <c r="I15" s="9">
        <v>1070.0644454860299</v>
      </c>
      <c r="J15" s="9">
        <v>645.23723500942731</v>
      </c>
      <c r="K15" s="9">
        <v>18966.727787401705</v>
      </c>
      <c r="L15" s="9">
        <v>479.56277287318591</v>
      </c>
      <c r="M15">
        <f t="shared" si="1"/>
        <v>21161.592240770347</v>
      </c>
    </row>
    <row r="16" spans="1:17" x14ac:dyDescent="0.25">
      <c r="A16" s="12">
        <v>0.27083333333333331</v>
      </c>
      <c r="B16" s="6">
        <v>1136.1593263577827</v>
      </c>
      <c r="C16" s="6">
        <v>148.46758568085153</v>
      </c>
      <c r="D16" s="6">
        <v>25788.032521135952</v>
      </c>
      <c r="E16" s="6">
        <v>420.54764488659549</v>
      </c>
      <c r="F16" s="6">
        <f t="shared" si="0"/>
        <v>27493.207078061183</v>
      </c>
      <c r="H16" s="12">
        <v>0.27083333333333331</v>
      </c>
      <c r="I16" s="9">
        <v>1676.4246075354538</v>
      </c>
      <c r="J16" s="9">
        <v>1193.8850028153201</v>
      </c>
      <c r="K16" s="9">
        <v>26565.900200465661</v>
      </c>
      <c r="L16" s="9">
        <v>672.65657621480204</v>
      </c>
      <c r="M16">
        <f t="shared" si="1"/>
        <v>30108.866387031238</v>
      </c>
    </row>
    <row r="17" spans="1:13" x14ac:dyDescent="0.25">
      <c r="A17" s="12">
        <v>0.29166666666666669</v>
      </c>
      <c r="B17" s="6">
        <v>1877.9423481158667</v>
      </c>
      <c r="C17" s="6">
        <v>399.47071066966447</v>
      </c>
      <c r="D17" s="6">
        <v>35794.984036961025</v>
      </c>
      <c r="E17" s="6">
        <v>698.06210575377622</v>
      </c>
      <c r="F17" s="6">
        <f t="shared" si="0"/>
        <v>38770.459201500336</v>
      </c>
      <c r="H17" s="12">
        <v>0.29166666666666669</v>
      </c>
      <c r="I17" s="9">
        <v>2518.4794595612379</v>
      </c>
      <c r="J17" s="9">
        <v>2012.4473985496568</v>
      </c>
      <c r="K17" s="9">
        <v>36202.210668090345</v>
      </c>
      <c r="L17" s="9">
        <v>963.00869135214373</v>
      </c>
      <c r="M17">
        <f t="shared" si="1"/>
        <v>41696.146217553382</v>
      </c>
    </row>
    <row r="18" spans="1:13" x14ac:dyDescent="0.25">
      <c r="A18" s="12">
        <v>0.3125</v>
      </c>
      <c r="B18" s="6">
        <v>2870.4520475581785</v>
      </c>
      <c r="C18" s="6">
        <v>914.48047773527867</v>
      </c>
      <c r="D18" s="6">
        <v>46830.210369361303</v>
      </c>
      <c r="E18" s="6">
        <v>1095.7495012863437</v>
      </c>
      <c r="F18" s="6">
        <f t="shared" si="0"/>
        <v>51710.892395941104</v>
      </c>
      <c r="H18" s="12">
        <v>0.3125</v>
      </c>
      <c r="I18" s="9">
        <v>3653.5223780500974</v>
      </c>
      <c r="J18" s="9">
        <v>3185.4497432503695</v>
      </c>
      <c r="K18" s="9">
        <v>47356.384379039067</v>
      </c>
      <c r="L18" s="9">
        <v>1408.5613038110728</v>
      </c>
      <c r="M18">
        <f t="shared" si="1"/>
        <v>55603.917804150609</v>
      </c>
    </row>
    <row r="19" spans="1:13" x14ac:dyDescent="0.25">
      <c r="A19" s="12">
        <v>0.33333333333333331</v>
      </c>
      <c r="B19" s="6">
        <v>4144.7046885486388</v>
      </c>
      <c r="C19" s="6">
        <v>1804.1308465892828</v>
      </c>
      <c r="D19" s="6">
        <v>57638.394324022898</v>
      </c>
      <c r="E19" s="6">
        <v>1644.2005767272906</v>
      </c>
      <c r="F19" s="6">
        <f t="shared" si="0"/>
        <v>65231.430435888113</v>
      </c>
      <c r="H19" s="12">
        <v>0.33333333333333331</v>
      </c>
      <c r="I19" s="9">
        <v>5254.7917305149131</v>
      </c>
      <c r="J19" s="9">
        <v>4873.4846978078003</v>
      </c>
      <c r="K19" s="9">
        <v>59354.152988884474</v>
      </c>
      <c r="L19" s="9">
        <v>2078.414717705256</v>
      </c>
      <c r="M19">
        <f t="shared" si="1"/>
        <v>71560.844134912433</v>
      </c>
    </row>
    <row r="20" spans="1:13" x14ac:dyDescent="0.25">
      <c r="A20" s="12">
        <v>0.35416666666666669</v>
      </c>
      <c r="B20" s="6">
        <v>5768.5374874605541</v>
      </c>
      <c r="C20" s="6">
        <v>3123.9166733287693</v>
      </c>
      <c r="D20" s="6">
        <v>67204.959144412889</v>
      </c>
      <c r="E20" s="6">
        <v>2390.9460869850782</v>
      </c>
      <c r="F20" s="6">
        <f t="shared" si="0"/>
        <v>78488.359392187282</v>
      </c>
      <c r="H20" s="12">
        <v>0.35416666666666669</v>
      </c>
      <c r="I20" s="9">
        <v>7586.7457414936825</v>
      </c>
      <c r="J20" s="9">
        <v>7297.1960141730788</v>
      </c>
      <c r="K20" s="9">
        <v>71439.297189100296</v>
      </c>
      <c r="L20" s="9">
        <v>3041.0119436022596</v>
      </c>
      <c r="M20">
        <f t="shared" si="1"/>
        <v>89364.250888369323</v>
      </c>
    </row>
    <row r="21" spans="1:13" x14ac:dyDescent="0.25">
      <c r="A21" s="12">
        <v>0.375</v>
      </c>
      <c r="B21" s="6">
        <v>7850.4544910537752</v>
      </c>
      <c r="C21" s="6">
        <v>4850.9216124041714</v>
      </c>
      <c r="D21" s="6">
        <v>75335.828502256787</v>
      </c>
      <c r="E21" s="6">
        <v>3418.0121355582746</v>
      </c>
      <c r="F21" s="6">
        <f t="shared" si="0"/>
        <v>91455.21674127302</v>
      </c>
      <c r="H21" s="12">
        <v>0.375</v>
      </c>
      <c r="I21" s="9">
        <v>10857.602239185013</v>
      </c>
      <c r="J21" s="9">
        <v>10606.903572118355</v>
      </c>
      <c r="K21" s="9">
        <v>82759.680588772448</v>
      </c>
      <c r="L21" s="9">
        <v>4344.216833813427</v>
      </c>
      <c r="M21">
        <f t="shared" si="1"/>
        <v>108568.40323388924</v>
      </c>
    </row>
    <row r="22" spans="1:13" x14ac:dyDescent="0.25">
      <c r="A22" s="12">
        <v>0.39583333333333331</v>
      </c>
      <c r="B22" s="6">
        <v>10528.664638084645</v>
      </c>
      <c r="C22" s="6">
        <v>6911.6873803948274</v>
      </c>
      <c r="D22" s="6">
        <v>82707.031724147557</v>
      </c>
      <c r="E22" s="6">
        <v>4860.3116103932789</v>
      </c>
      <c r="F22" s="6">
        <f t="shared" si="0"/>
        <v>105007.69535302032</v>
      </c>
      <c r="H22" s="12">
        <v>0.39583333333333331</v>
      </c>
      <c r="I22" s="9">
        <v>15019.515469328186</v>
      </c>
      <c r="J22" s="9">
        <v>14698.743439545902</v>
      </c>
      <c r="K22" s="9">
        <v>92373.461672067089</v>
      </c>
      <c r="L22" s="9">
        <v>5982.8439250457923</v>
      </c>
      <c r="M22">
        <f t="shared" si="1"/>
        <v>128074.56450598697</v>
      </c>
    </row>
    <row r="23" spans="1:13" x14ac:dyDescent="0.25">
      <c r="A23" s="12">
        <v>0.41666666666666669</v>
      </c>
      <c r="B23" s="6">
        <v>13935.459088977044</v>
      </c>
      <c r="C23" s="6">
        <v>9224.6222129276084</v>
      </c>
      <c r="D23" s="6">
        <v>90196.719603093428</v>
      </c>
      <c r="E23" s="6">
        <v>6893.2369420997684</v>
      </c>
      <c r="F23" s="6">
        <f t="shared" si="0"/>
        <v>120250.03784709786</v>
      </c>
      <c r="H23" s="12">
        <v>0.41666666666666669</v>
      </c>
      <c r="I23" s="9">
        <v>19701.210487308192</v>
      </c>
      <c r="J23" s="9">
        <v>19148.360010659511</v>
      </c>
      <c r="K23" s="9">
        <v>99424.797713442589</v>
      </c>
      <c r="L23" s="9">
        <v>7868.8763756194112</v>
      </c>
      <c r="M23">
        <f t="shared" si="1"/>
        <v>146143.24458702971</v>
      </c>
    </row>
    <row r="24" spans="1:13" x14ac:dyDescent="0.25">
      <c r="A24" s="12">
        <v>0.4375</v>
      </c>
      <c r="B24" s="6">
        <v>18110.733252362254</v>
      </c>
      <c r="C24" s="6">
        <v>11722.79599537596</v>
      </c>
      <c r="D24" s="6">
        <v>97959.632077869945</v>
      </c>
      <c r="E24" s="6">
        <v>9636.1007074408008</v>
      </c>
      <c r="F24" s="6">
        <f t="shared" si="0"/>
        <v>137429.26203304896</v>
      </c>
      <c r="H24" s="12">
        <v>0.4375</v>
      </c>
      <c r="I24" s="9">
        <v>24388.229714453148</v>
      </c>
      <c r="J24" s="9">
        <v>23375.932635172379</v>
      </c>
      <c r="K24" s="9">
        <v>103484.71595481542</v>
      </c>
      <c r="L24" s="9">
        <v>9829.186370058078</v>
      </c>
      <c r="M24">
        <f t="shared" si="1"/>
        <v>161078.06467449901</v>
      </c>
    </row>
    <row r="25" spans="1:13" x14ac:dyDescent="0.25">
      <c r="A25" s="12">
        <v>0.45833333333333331</v>
      </c>
      <c r="B25" s="6">
        <v>22903.046073071171</v>
      </c>
      <c r="C25" s="6">
        <v>14425.895775305158</v>
      </c>
      <c r="D25" s="6">
        <v>105070.77043870094</v>
      </c>
      <c r="E25" s="6">
        <v>12965.416414670264</v>
      </c>
      <c r="F25" s="6">
        <f t="shared" si="0"/>
        <v>155365.12870174754</v>
      </c>
      <c r="H25" s="12">
        <v>0.45833333333333331</v>
      </c>
      <c r="I25" s="9">
        <v>28738.399858940196</v>
      </c>
      <c r="J25" s="9">
        <v>26946.36875608726</v>
      </c>
      <c r="K25" s="9">
        <v>104835.32464663139</v>
      </c>
      <c r="L25" s="9">
        <v>11635.747029513675</v>
      </c>
      <c r="M25">
        <f t="shared" si="1"/>
        <v>172155.84029117253</v>
      </c>
    </row>
    <row r="26" spans="1:13" x14ac:dyDescent="0.25">
      <c r="A26" s="12">
        <v>0.47916666666666669</v>
      </c>
      <c r="B26" s="6">
        <v>28005.428164979658</v>
      </c>
      <c r="C26" s="6">
        <v>17672.208895297703</v>
      </c>
      <c r="D26" s="6">
        <v>110165.3309595774</v>
      </c>
      <c r="E26" s="6">
        <v>16358.99189181293</v>
      </c>
      <c r="F26" s="6">
        <f t="shared" si="0"/>
        <v>172201.95991166771</v>
      </c>
      <c r="H26" s="12">
        <v>0.47916666666666669</v>
      </c>
      <c r="I26" s="9">
        <v>32781.664974894316</v>
      </c>
      <c r="J26" s="9">
        <v>29774.405430620864</v>
      </c>
      <c r="K26" s="9">
        <v>104434.54390491862</v>
      </c>
      <c r="L26" s="9">
        <v>13050.779691292506</v>
      </c>
      <c r="M26">
        <f t="shared" si="1"/>
        <v>180041.39400172629</v>
      </c>
    </row>
    <row r="27" spans="1:13" x14ac:dyDescent="0.25">
      <c r="A27" s="12">
        <v>0.5</v>
      </c>
      <c r="B27" s="6">
        <v>33241.601132694705</v>
      </c>
      <c r="C27" s="6">
        <v>22411.200939217881</v>
      </c>
      <c r="D27" s="6">
        <v>112603.30436586699</v>
      </c>
      <c r="E27" s="6">
        <v>18966.572975855772</v>
      </c>
      <c r="F27" s="6">
        <f t="shared" si="0"/>
        <v>187222.67941363534</v>
      </c>
      <c r="H27" s="12">
        <v>0.5</v>
      </c>
      <c r="I27" s="9">
        <v>36882.654732371579</v>
      </c>
      <c r="J27" s="9">
        <v>32105.36059800256</v>
      </c>
      <c r="K27" s="9">
        <v>103525.18787823546</v>
      </c>
      <c r="L27" s="9">
        <v>13873.841432046702</v>
      </c>
      <c r="M27">
        <f t="shared" si="1"/>
        <v>186387.0446406563</v>
      </c>
    </row>
    <row r="28" spans="1:13" x14ac:dyDescent="0.25">
      <c r="A28" s="12">
        <v>0.52083333333333337</v>
      </c>
      <c r="B28" s="6">
        <v>38978.733534038016</v>
      </c>
      <c r="C28" s="6">
        <v>30125.863464117101</v>
      </c>
      <c r="D28" s="6">
        <v>113161.46449149515</v>
      </c>
      <c r="E28" s="6">
        <v>19970.294967943548</v>
      </c>
      <c r="F28" s="6">
        <f t="shared" si="0"/>
        <v>202236.35645759382</v>
      </c>
      <c r="H28" s="12">
        <v>0.52083333333333337</v>
      </c>
      <c r="I28" s="9">
        <v>41597.502114242423</v>
      </c>
      <c r="J28" s="9">
        <v>34346.065846049809</v>
      </c>
      <c r="K28" s="9">
        <v>103150.02194685818</v>
      </c>
      <c r="L28" s="9">
        <v>13989.77456462304</v>
      </c>
      <c r="M28">
        <f t="shared" si="1"/>
        <v>193083.36447177347</v>
      </c>
    </row>
    <row r="29" spans="1:13" x14ac:dyDescent="0.25">
      <c r="A29" s="12">
        <v>0.54166666666666663</v>
      </c>
      <c r="B29" s="6">
        <v>46322.266202809653</v>
      </c>
      <c r="C29" s="6">
        <v>41972.076905432878</v>
      </c>
      <c r="D29" s="6">
        <v>113644.20117278877</v>
      </c>
      <c r="E29" s="6">
        <v>19026.89012712218</v>
      </c>
      <c r="F29" s="6">
        <f t="shared" si="0"/>
        <v>220965.43440815347</v>
      </c>
      <c r="H29" s="12">
        <v>0.54166666666666663</v>
      </c>
      <c r="I29" s="9">
        <v>47619.822714806134</v>
      </c>
      <c r="J29" s="9">
        <v>36879.935991320614</v>
      </c>
      <c r="K29" s="9">
        <v>103888.77109467582</v>
      </c>
      <c r="L29" s="9">
        <v>13404.562146810951</v>
      </c>
      <c r="M29">
        <f t="shared" si="1"/>
        <v>201793.09194761352</v>
      </c>
    </row>
    <row r="30" spans="1:13" x14ac:dyDescent="0.25">
      <c r="A30" s="12">
        <v>0.5625</v>
      </c>
      <c r="B30" s="6">
        <v>56814.240710487997</v>
      </c>
      <c r="C30" s="6">
        <v>57377.091817188018</v>
      </c>
      <c r="D30" s="6">
        <v>115700.45086450405</v>
      </c>
      <c r="E30" s="6">
        <v>16462.009376382139</v>
      </c>
      <c r="F30" s="6">
        <f t="shared" si="0"/>
        <v>246353.79276856218</v>
      </c>
      <c r="H30" s="12">
        <v>0.5625</v>
      </c>
      <c r="I30" s="9">
        <v>55794.960378008385</v>
      </c>
      <c r="J30" s="9">
        <v>39890.975226963783</v>
      </c>
      <c r="K30" s="9">
        <v>105871.04925620573</v>
      </c>
      <c r="L30" s="9">
        <v>12242.10905614462</v>
      </c>
      <c r="M30">
        <f t="shared" si="1"/>
        <v>213799.09391732255</v>
      </c>
    </row>
    <row r="31" spans="1:13" x14ac:dyDescent="0.25">
      <c r="A31" s="12">
        <v>0.58333333333333337</v>
      </c>
      <c r="B31" s="6">
        <v>71672.953488366329</v>
      </c>
      <c r="C31" s="6">
        <v>73187.604897987883</v>
      </c>
      <c r="D31" s="6">
        <v>119707.13885870788</v>
      </c>
      <c r="E31" s="6">
        <v>13076.505273147377</v>
      </c>
      <c r="F31" s="6">
        <f t="shared" si="0"/>
        <v>277644.20251820947</v>
      </c>
      <c r="H31" s="12">
        <v>0.58333333333333337</v>
      </c>
      <c r="I31" s="9">
        <v>66957.605661020891</v>
      </c>
      <c r="J31" s="9">
        <v>43169.771734464688</v>
      </c>
      <c r="K31" s="9">
        <v>108856.84545443521</v>
      </c>
      <c r="L31" s="9">
        <v>10697.753363742835</v>
      </c>
      <c r="M31">
        <f t="shared" si="1"/>
        <v>229681.97621366364</v>
      </c>
    </row>
    <row r="32" spans="1:13" x14ac:dyDescent="0.25">
      <c r="A32" s="12">
        <v>0.60416666666666663</v>
      </c>
      <c r="B32" s="6">
        <v>90903.754920162784</v>
      </c>
      <c r="C32" s="6">
        <v>84515.780160923459</v>
      </c>
      <c r="D32" s="6">
        <v>124480.62814258103</v>
      </c>
      <c r="E32" s="6">
        <v>9731.799852325641</v>
      </c>
      <c r="F32" s="6">
        <f t="shared" si="0"/>
        <v>309631.96307599294</v>
      </c>
      <c r="H32" s="12">
        <v>0.60416666666666663</v>
      </c>
      <c r="I32" s="9">
        <v>81429.997791151749</v>
      </c>
      <c r="J32" s="9">
        <v>46012.78299923693</v>
      </c>
      <c r="K32" s="9">
        <v>112256.0224797157</v>
      </c>
      <c r="L32" s="9">
        <v>8981.9611846651787</v>
      </c>
      <c r="M32">
        <f t="shared" si="1"/>
        <v>248680.76445476955</v>
      </c>
    </row>
    <row r="33" spans="1:13" x14ac:dyDescent="0.25">
      <c r="A33" s="12">
        <v>0.625</v>
      </c>
      <c r="B33" s="6">
        <v>112693.40665059797</v>
      </c>
      <c r="C33" s="6">
        <v>87217.133325601826</v>
      </c>
      <c r="D33" s="6">
        <v>128028.65854979804</v>
      </c>
      <c r="E33" s="6">
        <v>7001.4524718558359</v>
      </c>
      <c r="F33" s="6">
        <f t="shared" si="0"/>
        <v>334940.65099785366</v>
      </c>
      <c r="H33" s="12">
        <v>0.625</v>
      </c>
      <c r="I33" s="9">
        <v>98368.026341528894</v>
      </c>
      <c r="J33" s="9">
        <v>47436.061250771651</v>
      </c>
      <c r="K33" s="9">
        <v>115244.11040903429</v>
      </c>
      <c r="L33" s="9">
        <v>7285.80517653898</v>
      </c>
      <c r="M33">
        <f t="shared" si="1"/>
        <v>268334.00317787385</v>
      </c>
    </row>
    <row r="34" spans="1:13" x14ac:dyDescent="0.25">
      <c r="A34" s="12">
        <v>0.64583333333333337</v>
      </c>
      <c r="B34" s="6">
        <v>133411.37324268097</v>
      </c>
      <c r="C34" s="6">
        <v>80347.618433336072</v>
      </c>
      <c r="D34" s="6">
        <v>128893.66657482536</v>
      </c>
      <c r="E34" s="6">
        <v>5054.1677434776657</v>
      </c>
      <c r="F34" s="6">
        <f t="shared" si="0"/>
        <v>347706.8259943201</v>
      </c>
      <c r="H34" s="12">
        <v>0.64583333333333337</v>
      </c>
      <c r="I34" s="9">
        <v>115408.36841333241</v>
      </c>
      <c r="J34" s="9">
        <v>46709.083111788299</v>
      </c>
      <c r="K34" s="9">
        <v>117146.05343505632</v>
      </c>
      <c r="L34" s="9">
        <v>5764.1260687338263</v>
      </c>
      <c r="M34">
        <f t="shared" si="1"/>
        <v>285027.63102891081</v>
      </c>
    </row>
    <row r="35" spans="1:13" x14ac:dyDescent="0.25">
      <c r="A35" s="12">
        <v>0.66666666666666663</v>
      </c>
      <c r="B35" s="6">
        <v>148390.40610295979</v>
      </c>
      <c r="C35" s="6">
        <v>66658.582182442333</v>
      </c>
      <c r="D35" s="6">
        <v>127205.14964340025</v>
      </c>
      <c r="E35" s="6">
        <v>3750.5121469600599</v>
      </c>
      <c r="F35" s="6">
        <f t="shared" si="0"/>
        <v>346004.65007576247</v>
      </c>
      <c r="H35" s="12">
        <v>0.66666666666666663</v>
      </c>
      <c r="I35" s="9">
        <v>129003.02100720131</v>
      </c>
      <c r="J35" s="9">
        <v>43823.156456442361</v>
      </c>
      <c r="K35" s="9">
        <v>117906.66535730858</v>
      </c>
      <c r="L35" s="9">
        <v>4518.1956292807499</v>
      </c>
      <c r="M35">
        <f t="shared" si="1"/>
        <v>295251.038450233</v>
      </c>
    </row>
    <row r="36" spans="1:13" x14ac:dyDescent="0.25">
      <c r="A36" s="12">
        <v>0.6875</v>
      </c>
      <c r="B36" s="6">
        <v>153429.648251153</v>
      </c>
      <c r="C36" s="6">
        <v>50758.765273264318</v>
      </c>
      <c r="D36" s="6">
        <v>124704.0202310975</v>
      </c>
      <c r="E36" s="6">
        <v>2836.6502234399331</v>
      </c>
      <c r="F36" s="6">
        <f t="shared" si="0"/>
        <v>331729.0839789547</v>
      </c>
      <c r="H36" s="12">
        <v>0.6875</v>
      </c>
      <c r="I36" s="9">
        <v>135495.20168784208</v>
      </c>
      <c r="J36" s="9">
        <v>39469.330431562863</v>
      </c>
      <c r="K36" s="9">
        <v>118229.1784684334</v>
      </c>
      <c r="L36" s="9">
        <v>3579.8165184155487</v>
      </c>
      <c r="M36">
        <f t="shared" si="1"/>
        <v>296773.52710625384</v>
      </c>
    </row>
    <row r="37" spans="1:13" x14ac:dyDescent="0.25">
      <c r="A37" s="12">
        <v>0.70833333333333337</v>
      </c>
      <c r="B37" s="6">
        <v>146552.83018555678</v>
      </c>
      <c r="C37" s="6">
        <v>36522.477714831948</v>
      </c>
      <c r="D37" s="6">
        <v>123705.69046920736</v>
      </c>
      <c r="E37" s="6">
        <v>2111.0762188842709</v>
      </c>
      <c r="F37" s="6">
        <f t="shared" si="0"/>
        <v>308892.07458848035</v>
      </c>
      <c r="H37" s="12">
        <v>0.70833333333333337</v>
      </c>
      <c r="I37" s="9">
        <v>132575.01953099936</v>
      </c>
      <c r="J37" s="9">
        <v>34563.39367701811</v>
      </c>
      <c r="K37" s="9">
        <v>119189.317594394</v>
      </c>
      <c r="L37" s="9">
        <v>2912.6840932415057</v>
      </c>
      <c r="M37">
        <f t="shared" si="1"/>
        <v>289240.41489565297</v>
      </c>
    </row>
    <row r="38" spans="1:13" x14ac:dyDescent="0.25">
      <c r="A38" s="12">
        <v>0.72916666666666663</v>
      </c>
      <c r="B38" s="6">
        <v>129113.5253230104</v>
      </c>
      <c r="C38" s="6">
        <v>25680.158517454147</v>
      </c>
      <c r="D38" s="6">
        <v>125674.61395517121</v>
      </c>
      <c r="E38" s="6">
        <v>1490.1432036914512</v>
      </c>
      <c r="F38" s="6">
        <f t="shared" si="0"/>
        <v>281958.44099932723</v>
      </c>
      <c r="H38" s="12">
        <v>0.72916666666666663</v>
      </c>
      <c r="I38" s="9">
        <v>120413.61445001181</v>
      </c>
      <c r="J38" s="9">
        <v>29778.997100544642</v>
      </c>
      <c r="K38" s="9">
        <v>121546.56016134217</v>
      </c>
      <c r="L38" s="9">
        <v>2435.9017789329</v>
      </c>
      <c r="M38">
        <f t="shared" si="1"/>
        <v>274175.07349083154</v>
      </c>
    </row>
    <row r="39" spans="1:13" x14ac:dyDescent="0.25">
      <c r="A39" s="12">
        <v>0.75</v>
      </c>
      <c r="B39" s="6">
        <v>105405.13787145165</v>
      </c>
      <c r="C39" s="6">
        <v>18128.448695248819</v>
      </c>
      <c r="D39" s="6">
        <v>130259.12135506512</v>
      </c>
      <c r="E39" s="6">
        <v>976.71477863599137</v>
      </c>
      <c r="F39" s="6">
        <f t="shared" si="0"/>
        <v>254769.42270040157</v>
      </c>
      <c r="H39" s="12">
        <v>0.75</v>
      </c>
      <c r="I39" s="9">
        <v>101758.11658464375</v>
      </c>
      <c r="J39" s="9">
        <v>25431.766462271684</v>
      </c>
      <c r="K39" s="9">
        <v>125149.60987911143</v>
      </c>
      <c r="L39" s="9">
        <v>2060.7544609548954</v>
      </c>
      <c r="M39">
        <f t="shared" si="1"/>
        <v>254400.24738698176</v>
      </c>
    </row>
    <row r="40" spans="1:13" x14ac:dyDescent="0.25">
      <c r="A40" s="12">
        <v>0.77083333333333337</v>
      </c>
      <c r="B40" s="6">
        <v>80808.14401569964</v>
      </c>
      <c r="C40" s="6">
        <v>13030.669753888737</v>
      </c>
      <c r="D40" s="6">
        <v>135286.25599330253</v>
      </c>
      <c r="E40" s="6">
        <v>594.92758498306091</v>
      </c>
      <c r="F40" s="6">
        <f t="shared" si="0"/>
        <v>229719.99734787398</v>
      </c>
      <c r="H40" s="12">
        <v>0.77083333333333337</v>
      </c>
      <c r="I40" s="9">
        <v>80792.643882367789</v>
      </c>
      <c r="J40" s="9">
        <v>21625.113932013432</v>
      </c>
      <c r="K40" s="9">
        <v>128741.16771273565</v>
      </c>
      <c r="L40" s="9">
        <v>1727.8440835311467</v>
      </c>
      <c r="M40">
        <f t="shared" si="1"/>
        <v>232886.76961064801</v>
      </c>
    </row>
    <row r="41" spans="1:13" x14ac:dyDescent="0.25">
      <c r="A41" s="12">
        <v>0.79166666666666663</v>
      </c>
      <c r="B41" s="6">
        <v>59579.425278240975</v>
      </c>
      <c r="C41" s="6">
        <v>9609.866458501423</v>
      </c>
      <c r="D41" s="6">
        <v>137674.47022380767</v>
      </c>
      <c r="E41" s="6">
        <v>350.36229505134554</v>
      </c>
      <c r="F41" s="6">
        <f t="shared" si="0"/>
        <v>207214.1242556014</v>
      </c>
      <c r="H41" s="12">
        <v>0.79166666666666663</v>
      </c>
      <c r="I41" s="9">
        <v>61388.448755176156</v>
      </c>
      <c r="J41" s="9">
        <v>18383.370637659329</v>
      </c>
      <c r="K41" s="9">
        <v>130297.6088261316</v>
      </c>
      <c r="L41" s="9">
        <v>1428.4832702165349</v>
      </c>
      <c r="M41">
        <f t="shared" si="1"/>
        <v>211497.91148918364</v>
      </c>
    </row>
    <row r="42" spans="1:13" x14ac:dyDescent="0.25">
      <c r="A42" s="12">
        <v>0.8125</v>
      </c>
      <c r="B42" s="6">
        <v>43615.559913412348</v>
      </c>
      <c r="C42" s="6">
        <v>7328.7805437372544</v>
      </c>
      <c r="D42" s="6">
        <v>134765.35730957729</v>
      </c>
      <c r="E42" s="6">
        <v>226.77452631441611</v>
      </c>
      <c r="F42" s="6">
        <f t="shared" si="0"/>
        <v>185936.4722930413</v>
      </c>
      <c r="H42" s="12">
        <v>0.8125</v>
      </c>
      <c r="I42" s="9">
        <v>45789.804924686032</v>
      </c>
      <c r="J42" s="9">
        <v>15672.28426695722</v>
      </c>
      <c r="K42" s="9">
        <v>127832.22958905014</v>
      </c>
      <c r="L42" s="9">
        <v>1194.4025469139997</v>
      </c>
      <c r="M42">
        <f t="shared" si="1"/>
        <v>190488.7213276074</v>
      </c>
    </row>
    <row r="43" spans="1:13" x14ac:dyDescent="0.25">
      <c r="A43" s="12">
        <v>0.83333333333333337</v>
      </c>
      <c r="B43" s="6">
        <v>32673.572274896214</v>
      </c>
      <c r="C43" s="6">
        <v>5783.2256863399689</v>
      </c>
      <c r="D43" s="6">
        <v>125396.58089238498</v>
      </c>
      <c r="E43" s="6">
        <v>195.55180956847767</v>
      </c>
      <c r="F43" s="6">
        <f t="shared" si="0"/>
        <v>164048.93066318965</v>
      </c>
      <c r="H43" s="12">
        <v>0.83333333333333337</v>
      </c>
      <c r="I43" s="9">
        <v>34392.706091107801</v>
      </c>
      <c r="J43" s="9">
        <v>13398.267729801895</v>
      </c>
      <c r="K43" s="9">
        <v>120323.67985965265</v>
      </c>
      <c r="L43" s="9">
        <v>1057.5426966456093</v>
      </c>
      <c r="M43">
        <f t="shared" si="1"/>
        <v>169172.19637720793</v>
      </c>
    </row>
    <row r="44" spans="1:13" x14ac:dyDescent="0.25">
      <c r="A44" s="12">
        <v>0.85416666666666663</v>
      </c>
      <c r="B44" s="6">
        <v>25469.224990338142</v>
      </c>
      <c r="C44" s="6">
        <v>4644.8836996123246</v>
      </c>
      <c r="D44" s="6">
        <v>110240.01428551471</v>
      </c>
      <c r="E44" s="6">
        <v>219.62534954619946</v>
      </c>
      <c r="F44" s="6">
        <f t="shared" si="0"/>
        <v>140573.74832501137</v>
      </c>
      <c r="H44" s="12">
        <v>0.85416666666666663</v>
      </c>
      <c r="I44" s="9">
        <v>26435.740463900285</v>
      </c>
      <c r="J44" s="9">
        <v>11457.799219232587</v>
      </c>
      <c r="K44" s="9">
        <v>108251.54311705755</v>
      </c>
      <c r="L44" s="9">
        <v>1009.080098507231</v>
      </c>
      <c r="M44">
        <f t="shared" si="1"/>
        <v>147154.16289869766</v>
      </c>
    </row>
    <row r="45" spans="1:13" x14ac:dyDescent="0.25">
      <c r="A45" s="12">
        <v>0.875</v>
      </c>
      <c r="B45" s="6">
        <v>20704.621987837487</v>
      </c>
      <c r="C45" s="6">
        <v>3709.1098043647289</v>
      </c>
      <c r="D45" s="6">
        <v>91373.026826208254</v>
      </c>
      <c r="E45" s="6">
        <v>255.99862723653553</v>
      </c>
      <c r="F45" s="6">
        <f t="shared" si="0"/>
        <v>116042.75724564701</v>
      </c>
      <c r="H45" s="12">
        <v>0.875</v>
      </c>
      <c r="I45" s="9">
        <v>20885.720062089615</v>
      </c>
      <c r="J45" s="9">
        <v>9791.7519025705005</v>
      </c>
      <c r="K45" s="9">
        <v>93361.616012999846</v>
      </c>
      <c r="L45" s="9">
        <v>993.01999250313747</v>
      </c>
      <c r="M45">
        <f t="shared" si="1"/>
        <v>125032.1079701631</v>
      </c>
    </row>
    <row r="46" spans="1:13" x14ac:dyDescent="0.25">
      <c r="A46" s="12">
        <v>0.89583333333333337</v>
      </c>
      <c r="B46" s="6">
        <v>17480.941539514439</v>
      </c>
      <c r="C46" s="6">
        <v>2933.1862971403471</v>
      </c>
      <c r="D46" s="6">
        <v>71420.844893958507</v>
      </c>
      <c r="E46" s="6">
        <v>266.98227902243832</v>
      </c>
      <c r="F46" s="6">
        <f t="shared" si="0"/>
        <v>92101.955009635727</v>
      </c>
      <c r="H46" s="12">
        <v>0.89583333333333337</v>
      </c>
      <c r="I46" s="9">
        <v>16927.611526397246</v>
      </c>
      <c r="J46" s="9">
        <v>8375.803666350017</v>
      </c>
      <c r="K46" s="9">
        <v>77766.462480616668</v>
      </c>
      <c r="L46" s="9">
        <v>940.92555127423998</v>
      </c>
      <c r="M46">
        <f t="shared" si="1"/>
        <v>104010.80322463816</v>
      </c>
    </row>
    <row r="47" spans="1:13" x14ac:dyDescent="0.25">
      <c r="A47" s="12">
        <v>0.91666666666666663</v>
      </c>
      <c r="B47" s="6">
        <v>15181.261161752325</v>
      </c>
      <c r="C47" s="6">
        <v>2375.9378501020615</v>
      </c>
      <c r="D47" s="6">
        <v>52711.181034591427</v>
      </c>
      <c r="E47" s="6">
        <v>236.16689107985576</v>
      </c>
      <c r="F47" s="6">
        <f t="shared" si="0"/>
        <v>70504.54693752568</v>
      </c>
      <c r="H47" s="12">
        <v>0.91666666666666663</v>
      </c>
      <c r="I47" s="9">
        <v>13985.569448642085</v>
      </c>
      <c r="J47" s="9">
        <v>7160.4076170386352</v>
      </c>
      <c r="K47" s="9">
        <v>62980.412265263622</v>
      </c>
      <c r="L47" s="9">
        <v>816.95027988411982</v>
      </c>
      <c r="M47">
        <f t="shared" si="1"/>
        <v>84943.339610828451</v>
      </c>
    </row>
    <row r="48" spans="1:13" x14ac:dyDescent="0.25">
      <c r="A48" s="12">
        <v>0.9375</v>
      </c>
      <c r="B48" s="6">
        <v>13250.277197710966</v>
      </c>
      <c r="C48" s="6">
        <v>2066.8885531710139</v>
      </c>
      <c r="D48" s="6">
        <v>36759.368662211782</v>
      </c>
      <c r="E48" s="6">
        <v>173.9370853026814</v>
      </c>
      <c r="F48" s="6">
        <f t="shared" si="0"/>
        <v>52250.471498396444</v>
      </c>
      <c r="H48" s="12">
        <v>0.9375</v>
      </c>
      <c r="I48" s="9">
        <v>11584.135075801922</v>
      </c>
      <c r="J48" s="9">
        <v>6040.13223195912</v>
      </c>
      <c r="K48" s="9">
        <v>49539.892770281484</v>
      </c>
      <c r="L48" s="9">
        <v>635.09195948629122</v>
      </c>
      <c r="M48">
        <f t="shared" si="1"/>
        <v>67799.252037528815</v>
      </c>
    </row>
    <row r="49" spans="1:13" x14ac:dyDescent="0.25">
      <c r="A49" s="12">
        <v>0.95833333333333337</v>
      </c>
      <c r="B49" s="6">
        <v>11197.495832093871</v>
      </c>
      <c r="C49" s="6">
        <v>1917.8899488100144</v>
      </c>
      <c r="D49" s="6">
        <v>24179.837435534228</v>
      </c>
      <c r="E49" s="6">
        <v>105.53409349932403</v>
      </c>
      <c r="F49" s="6">
        <f t="shared" si="0"/>
        <v>37400.757309937435</v>
      </c>
      <c r="H49" s="12">
        <v>0.95833333333333337</v>
      </c>
      <c r="I49" s="9">
        <v>9334.5536383082108</v>
      </c>
      <c r="J49" s="9">
        <v>4900.9496361118991</v>
      </c>
      <c r="K49" s="9">
        <v>37366.991565482494</v>
      </c>
      <c r="L49" s="9">
        <v>439.61653493547573</v>
      </c>
      <c r="M49">
        <f t="shared" si="1"/>
        <v>52042.111374838081</v>
      </c>
    </row>
    <row r="50" spans="1:13" x14ac:dyDescent="0.25">
      <c r="A50" s="12">
        <v>0.97916666666666663</v>
      </c>
      <c r="B50" s="6">
        <v>8796.1312531825715</v>
      </c>
      <c r="C50" s="6">
        <v>1761.053590645347</v>
      </c>
      <c r="D50" s="6">
        <v>14907.884525678242</v>
      </c>
      <c r="E50" s="6">
        <v>52.144156323862418</v>
      </c>
      <c r="F50" s="6">
        <f t="shared" si="0"/>
        <v>25517.213525830026</v>
      </c>
      <c r="H50" s="12">
        <v>0.97916666666666663</v>
      </c>
      <c r="I50" s="9">
        <v>7053.1730300783674</v>
      </c>
      <c r="J50" s="9">
        <v>3705.7678915384704</v>
      </c>
      <c r="K50" s="9">
        <v>26426.794852346069</v>
      </c>
      <c r="L50" s="9">
        <v>271.94953933088078</v>
      </c>
      <c r="M50">
        <f t="shared" si="1"/>
        <v>37457.68531329379</v>
      </c>
    </row>
    <row r="51" spans="1:13" x14ac:dyDescent="0.25">
      <c r="A51" s="12">
        <v>1</v>
      </c>
      <c r="B51" s="6">
        <v>6204.5010326115726</v>
      </c>
      <c r="C51" s="6">
        <v>1474.0803675946163</v>
      </c>
      <c r="D51" s="6">
        <v>8511.3894959095305</v>
      </c>
      <c r="E51" s="6">
        <v>20.644072267594645</v>
      </c>
      <c r="F51" s="6">
        <f t="shared" si="0"/>
        <v>16210.614968383314</v>
      </c>
      <c r="H51" s="12">
        <v>1</v>
      </c>
      <c r="I51" s="9">
        <v>4827.174463201346</v>
      </c>
      <c r="J51" s="9">
        <v>2532.5439318572398</v>
      </c>
      <c r="K51" s="9">
        <v>17064.595214468696</v>
      </c>
      <c r="L51" s="9">
        <v>151.29471881294626</v>
      </c>
      <c r="M51">
        <f t="shared" si="1"/>
        <v>24575.608328340229</v>
      </c>
    </row>
    <row r="52" spans="1:13" x14ac:dyDescent="0.25">
      <c r="A52" s="12">
        <v>1.0208333333333333</v>
      </c>
      <c r="B52" s="6">
        <v>3827.6174945212906</v>
      </c>
      <c r="C52" s="6">
        <v>1066.1243191200329</v>
      </c>
      <c r="D52" s="6">
        <v>4420.9758977584634</v>
      </c>
      <c r="E52" s="6">
        <v>6.3930260412538544</v>
      </c>
      <c r="F52" s="6">
        <f t="shared" si="0"/>
        <v>9321.1107374410403</v>
      </c>
      <c r="H52" s="12">
        <v>1.0208333333333333</v>
      </c>
      <c r="I52" s="9">
        <v>2907.5871722461297</v>
      </c>
      <c r="J52" s="9">
        <v>1523.364990586867</v>
      </c>
      <c r="K52" s="9">
        <v>9800.8712122545458</v>
      </c>
      <c r="L52" s="9">
        <v>75.899131581868787</v>
      </c>
      <c r="M52">
        <f t="shared" si="1"/>
        <v>14307.722506669412</v>
      </c>
    </row>
    <row r="53" spans="1:13" x14ac:dyDescent="0.25">
      <c r="A53" s="12">
        <v>4.1666666666666664E-2</v>
      </c>
      <c r="B53" s="6">
        <v>2023.0154812073561</v>
      </c>
      <c r="C53" s="6">
        <v>646.12409446869106</v>
      </c>
      <c r="D53" s="6">
        <v>2043.5375510111041</v>
      </c>
      <c r="E53" s="6">
        <v>1.4921399165021305</v>
      </c>
      <c r="F53" s="6">
        <f t="shared" si="0"/>
        <v>4714.1692666036533</v>
      </c>
      <c r="H53" s="12">
        <v>4.1666666666666664E-2</v>
      </c>
      <c r="I53" s="9">
        <v>1504.8035145152153</v>
      </c>
      <c r="J53" s="9">
        <v>788.03651319706034</v>
      </c>
      <c r="K53" s="9">
        <v>4885.2222926063841</v>
      </c>
      <c r="L53" s="9">
        <v>34.104083555726675</v>
      </c>
      <c r="M53">
        <f t="shared" si="1"/>
        <v>7212.1664038743866</v>
      </c>
    </row>
    <row r="54" spans="1:13" x14ac:dyDescent="0.25">
      <c r="A54" s="12">
        <v>6.25E-2</v>
      </c>
      <c r="B54" s="6">
        <v>899.25742880095731</v>
      </c>
      <c r="C54" s="6">
        <v>321.33705091002656</v>
      </c>
      <c r="D54" s="6">
        <v>819.64564885368873</v>
      </c>
      <c r="E54" s="6">
        <v>0.24689225906612394</v>
      </c>
      <c r="F54" s="6">
        <f t="shared" si="0"/>
        <v>2040.4870208237387</v>
      </c>
      <c r="H54" s="12">
        <v>6.25E-2</v>
      </c>
      <c r="I54" s="9">
        <v>654.4192975888634</v>
      </c>
      <c r="J54" s="9">
        <v>342.86273225954949</v>
      </c>
      <c r="K54" s="9">
        <v>2063.1581804215966</v>
      </c>
      <c r="L54" s="9">
        <v>13.469336218965857</v>
      </c>
      <c r="M54">
        <f t="shared" si="1"/>
        <v>3073.9095464889756</v>
      </c>
    </row>
    <row r="55" spans="1:13" x14ac:dyDescent="0.25">
      <c r="A55" s="12">
        <v>8.3333333333333329E-2</v>
      </c>
      <c r="B55" s="6">
        <v>329.63412727512144</v>
      </c>
      <c r="C55" s="6">
        <v>128.53298971251175</v>
      </c>
      <c r="D55" s="6">
        <v>277.30545196821453</v>
      </c>
      <c r="E55" s="6">
        <v>2.5818629460969932E-2</v>
      </c>
      <c r="F55" s="6">
        <f t="shared" si="0"/>
        <v>735.49838758530871</v>
      </c>
      <c r="H55" s="12">
        <v>8.3333333333333329E-2</v>
      </c>
      <c r="I55" s="9">
        <v>233.47728530784894</v>
      </c>
      <c r="J55" s="9">
        <v>122.45980503922539</v>
      </c>
      <c r="K55" s="9">
        <v>719.42921083743306</v>
      </c>
      <c r="L55" s="9">
        <v>4.5375691485530201</v>
      </c>
      <c r="M55">
        <f t="shared" si="1"/>
        <v>1079.9038703330605</v>
      </c>
    </row>
    <row r="56" spans="1:13" x14ac:dyDescent="0.25">
      <c r="A56" s="12">
        <v>0.10416666666666667</v>
      </c>
      <c r="B56" s="6">
        <v>97.23822681456565</v>
      </c>
      <c r="C56" s="6">
        <v>40.309881639434693</v>
      </c>
      <c r="D56" s="6">
        <v>76.560958784712454</v>
      </c>
      <c r="E56" s="6">
        <v>1.2832396673965454E-3</v>
      </c>
      <c r="F56" s="6">
        <f t="shared" si="0"/>
        <v>214.11035047838018</v>
      </c>
      <c r="H56" s="12">
        <v>0.10416666666666667</v>
      </c>
      <c r="I56" s="9">
        <v>66.32934052909971</v>
      </c>
      <c r="J56" s="9">
        <v>34.840935727177737</v>
      </c>
      <c r="K56" s="9">
        <v>200.73357821879191</v>
      </c>
      <c r="L56" s="9">
        <v>1.2532737985504951</v>
      </c>
      <c r="M56">
        <f t="shared" si="1"/>
        <v>303.15712827361983</v>
      </c>
    </row>
    <row r="57" spans="1:13" x14ac:dyDescent="0.25">
      <c r="A57" s="12">
        <v>0.125</v>
      </c>
      <c r="B57" s="6">
        <v>21.915641417778939</v>
      </c>
      <c r="C57" s="6">
        <v>9.3871625047772937</v>
      </c>
      <c r="D57" s="6">
        <v>16.277262827476797</v>
      </c>
      <c r="E57" s="6">
        <v>0</v>
      </c>
      <c r="F57" s="6">
        <f t="shared" si="0"/>
        <v>47.580066750033026</v>
      </c>
      <c r="H57" s="12">
        <v>0.125</v>
      </c>
      <c r="I57" s="9">
        <v>14.18441511856842</v>
      </c>
      <c r="J57" s="9">
        <v>7.4619122830624462</v>
      </c>
      <c r="K57" s="9">
        <v>42.324538908387574</v>
      </c>
      <c r="L57" s="9">
        <v>0.265699669193037</v>
      </c>
      <c r="M57">
        <f t="shared" si="1"/>
        <v>64.236565979211477</v>
      </c>
    </row>
    <row r="58" spans="1:13" x14ac:dyDescent="0.25">
      <c r="A58" s="21" t="s">
        <v>6</v>
      </c>
      <c r="B58" s="22">
        <v>0</v>
      </c>
      <c r="C58" s="22">
        <v>0</v>
      </c>
      <c r="D58" s="22">
        <v>0</v>
      </c>
      <c r="E58" s="22">
        <v>0</v>
      </c>
      <c r="F58" s="22">
        <f t="shared" si="0"/>
        <v>0</v>
      </c>
      <c r="G58" s="5"/>
      <c r="H58" s="21" t="s">
        <v>6</v>
      </c>
      <c r="I58" s="24">
        <v>0</v>
      </c>
      <c r="J58" s="24">
        <v>0</v>
      </c>
      <c r="K58" s="24">
        <v>0</v>
      </c>
      <c r="L58" s="24">
        <v>0</v>
      </c>
      <c r="M58" s="23">
        <f t="shared" si="1"/>
        <v>0</v>
      </c>
    </row>
    <row r="59" spans="1:13" ht="15.75" thickBot="1" x14ac:dyDescent="0.3">
      <c r="A59" s="1"/>
      <c r="B59" s="7">
        <f>SUM(B8:B58)</f>
        <v>1727532.1387022026</v>
      </c>
      <c r="C59" s="7">
        <f>SUM(C8:C58)</f>
        <v>805044.13550640189</v>
      </c>
      <c r="D59" s="7">
        <f>SUM(D8:D58)</f>
        <v>3382352.2986750659</v>
      </c>
      <c r="E59" s="7">
        <f>SUM(E8:E58)</f>
        <v>184040.6416137598</v>
      </c>
      <c r="F59" s="7">
        <f>SUM(F8:F58)</f>
        <v>6098969.2144974312</v>
      </c>
      <c r="H59" s="1"/>
      <c r="I59" s="7">
        <f>SUM(I8:I58)</f>
        <v>1690967.3805450143</v>
      </c>
      <c r="J59" s="7">
        <f>SUM(J8:J58)</f>
        <v>770041.25107965351</v>
      </c>
      <c r="K59" s="7">
        <f>SUM(K8:K58)</f>
        <v>3404105.0542813437</v>
      </c>
      <c r="L59" s="7">
        <f>SUM(L8:L58)</f>
        <v>175295.7569716888</v>
      </c>
      <c r="M59" s="7">
        <f>SUM(M8:M58)</f>
        <v>6040409.4428777006</v>
      </c>
    </row>
    <row r="63" spans="1:13" ht="15.75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t="shared" ref="C65:F65" si="2">C8/C$59</f>
        <v>0</v>
      </c>
      <c r="D65" s="18">
        <f t="shared" si="2"/>
        <v>0</v>
      </c>
      <c r="E65" s="18">
        <f t="shared" si="2"/>
        <v>0</v>
      </c>
      <c r="F65" s="18">
        <f t="shared" si="2"/>
        <v>0</v>
      </c>
      <c r="H65" t="s">
        <v>5</v>
      </c>
      <c r="I65" s="17">
        <f t="shared" ref="I65:M80" si="3">I8/I$59</f>
        <v>8.5992400073393854E-3</v>
      </c>
      <c r="J65" s="17">
        <f t="shared" si="3"/>
        <v>4.4827401995578247E-5</v>
      </c>
      <c r="K65" s="17">
        <f t="shared" si="3"/>
        <v>5.1589304176022383E-3</v>
      </c>
      <c r="L65" s="17">
        <f t="shared" si="3"/>
        <v>4.9897773319515038E-4</v>
      </c>
      <c r="M65" s="18">
        <f t="shared" si="3"/>
        <v>5.3348309236384891E-3</v>
      </c>
    </row>
    <row r="66" spans="1:13" x14ac:dyDescent="0.25">
      <c r="A66" s="12">
        <v>0.125</v>
      </c>
      <c r="B66" s="18">
        <f t="shared" ref="B66:F81" si="4">B9/B$59</f>
        <v>9.905172927462559E-6</v>
      </c>
      <c r="C66" s="18">
        <f t="shared" si="4"/>
        <v>4.8196847989353877E-6</v>
      </c>
      <c r="D66" s="18">
        <f t="shared" si="4"/>
        <v>2.9525223653241477E-4</v>
      </c>
      <c r="E66" s="18">
        <f t="shared" si="4"/>
        <v>1.8165559864375912E-5</v>
      </c>
      <c r="F66" s="18">
        <f t="shared" si="4"/>
        <v>1.6773028519956925E-4</v>
      </c>
      <c r="H66" s="12">
        <v>0.125</v>
      </c>
      <c r="I66" s="17">
        <f t="shared" si="3"/>
        <v>5.7374282546836762E-3</v>
      </c>
      <c r="J66" s="17">
        <f t="shared" si="3"/>
        <v>8.2127656045318786E-5</v>
      </c>
      <c r="K66" s="17">
        <f t="shared" si="3"/>
        <v>4.2287443581201702E-3</v>
      </c>
      <c r="L66" s="17">
        <f t="shared" si="3"/>
        <v>7.9112054157028848E-4</v>
      </c>
      <c r="M66" s="18">
        <f t="shared" si="3"/>
        <v>4.0227100590803054E-3</v>
      </c>
    </row>
    <row r="67" spans="1:13" x14ac:dyDescent="0.25">
      <c r="A67" s="12">
        <v>0.14583333333333334</v>
      </c>
      <c r="B67" s="18">
        <f t="shared" si="4"/>
        <v>2.040196880629291E-5</v>
      </c>
      <c r="C67" s="18">
        <f t="shared" si="4"/>
        <v>8.1786272307976558E-6</v>
      </c>
      <c r="D67" s="18">
        <f t="shared" si="4"/>
        <v>6.1861779087964597E-4</v>
      </c>
      <c r="E67" s="18">
        <f t="shared" si="4"/>
        <v>4.5934239268145984E-5</v>
      </c>
      <c r="F67" s="18">
        <f t="shared" si="4"/>
        <v>3.5131613411839283E-4</v>
      </c>
      <c r="H67" s="12">
        <v>0.14583333333333334</v>
      </c>
      <c r="I67" s="17">
        <f t="shared" si="3"/>
        <v>3.3542466006758441E-3</v>
      </c>
      <c r="J67" s="17">
        <f t="shared" si="3"/>
        <v>1.004321884710185E-4</v>
      </c>
      <c r="K67" s="17">
        <f t="shared" si="3"/>
        <v>3.4409186837458315E-3</v>
      </c>
      <c r="L67" s="17">
        <f t="shared" si="3"/>
        <v>9.7816983995601021E-4</v>
      </c>
      <c r="M67" s="18">
        <f t="shared" si="3"/>
        <v>2.9193345895037587E-3</v>
      </c>
    </row>
    <row r="68" spans="1:13" x14ac:dyDescent="0.25">
      <c r="A68" s="12">
        <v>0.16666666666666666</v>
      </c>
      <c r="B68" s="18">
        <f t="shared" si="4"/>
        <v>3.2741344849686347E-5</v>
      </c>
      <c r="C68" s="18">
        <f t="shared" si="4"/>
        <v>9.4089356294674794E-6</v>
      </c>
      <c r="D68" s="18">
        <f t="shared" si="4"/>
        <v>1.0092544774296215E-3</v>
      </c>
      <c r="E68" s="18">
        <f t="shared" si="4"/>
        <v>9.5144749678068805E-5</v>
      </c>
      <c r="F68" s="18">
        <f t="shared" si="4"/>
        <v>5.7309701253987404E-4</v>
      </c>
      <c r="H68" s="12">
        <v>0.16666666666666666</v>
      </c>
      <c r="I68" s="17">
        <f t="shared" si="3"/>
        <v>1.7131464723558545E-3</v>
      </c>
      <c r="J68" s="17">
        <f t="shared" si="3"/>
        <v>1.010576223684935E-4</v>
      </c>
      <c r="K68" s="17">
        <f t="shared" si="3"/>
        <v>2.9208177699848225E-3</v>
      </c>
      <c r="L68" s="17">
        <f t="shared" si="3"/>
        <v>1.0703731684816135E-3</v>
      </c>
      <c r="M68" s="18">
        <f t="shared" si="3"/>
        <v>2.1695707671791822E-3</v>
      </c>
    </row>
    <row r="69" spans="1:13" x14ac:dyDescent="0.25">
      <c r="A69" s="12">
        <v>0.1875</v>
      </c>
      <c r="B69" s="18">
        <f t="shared" si="4"/>
        <v>5.2280847409959865E-5</v>
      </c>
      <c r="C69" s="18">
        <f t="shared" si="4"/>
        <v>9.0340153800601882E-6</v>
      </c>
      <c r="D69" s="18">
        <f t="shared" si="4"/>
        <v>1.5348689628039468E-3</v>
      </c>
      <c r="E69" s="18">
        <f t="shared" si="4"/>
        <v>1.8680609011137425E-4</v>
      </c>
      <c r="F69" s="18">
        <f t="shared" si="4"/>
        <v>8.7284210088706701E-4</v>
      </c>
      <c r="H69" s="12">
        <v>0.1875</v>
      </c>
      <c r="I69" s="17">
        <f t="shared" si="3"/>
        <v>8.0250132241045311E-4</v>
      </c>
      <c r="J69" s="17">
        <f t="shared" si="3"/>
        <v>1.1359147491651688E-4</v>
      </c>
      <c r="K69" s="17">
        <f t="shared" si="3"/>
        <v>2.7752701075818348E-3</v>
      </c>
      <c r="L69" s="17">
        <f t="shared" si="3"/>
        <v>1.1901080077380151E-3</v>
      </c>
      <c r="M69" s="18">
        <f t="shared" si="3"/>
        <v>1.8376909164486111E-3</v>
      </c>
    </row>
    <row r="70" spans="1:13" x14ac:dyDescent="0.25">
      <c r="A70" s="12">
        <v>0.20833333333333334</v>
      </c>
      <c r="B70" s="18">
        <f t="shared" si="4"/>
        <v>9.4098946216425897E-5</v>
      </c>
      <c r="C70" s="18">
        <f t="shared" si="4"/>
        <v>9.5030557214067879E-6</v>
      </c>
      <c r="D70" s="18">
        <f t="shared" si="4"/>
        <v>2.3092079437082693E-3</v>
      </c>
      <c r="E70" s="18">
        <f t="shared" si="4"/>
        <v>3.6300210391726083E-4</v>
      </c>
      <c r="F70" s="18">
        <f t="shared" si="4"/>
        <v>1.3194969488594798E-3</v>
      </c>
      <c r="H70" s="12">
        <v>0.20833333333333334</v>
      </c>
      <c r="I70" s="17">
        <f t="shared" si="3"/>
        <v>4.4086465615838073E-4</v>
      </c>
      <c r="J70" s="17">
        <f t="shared" si="3"/>
        <v>1.9234495968309403E-4</v>
      </c>
      <c r="K70" s="17">
        <f t="shared" si="3"/>
        <v>3.1051179293532624E-3</v>
      </c>
      <c r="L70" s="17">
        <f t="shared" si="3"/>
        <v>1.4699279926607323E-3</v>
      </c>
      <c r="M70" s="18">
        <f t="shared" si="3"/>
        <v>1.9405010860036119E-3</v>
      </c>
    </row>
    <row r="71" spans="1:13" x14ac:dyDescent="0.25">
      <c r="A71" s="12">
        <v>0.22916666666666666</v>
      </c>
      <c r="B71" s="18">
        <f t="shared" si="4"/>
        <v>1.8597042786719654E-4</v>
      </c>
      <c r="C71" s="18">
        <f t="shared" si="4"/>
        <v>1.8597526817135721E-5</v>
      </c>
      <c r="D71" s="18">
        <f t="shared" si="4"/>
        <v>3.4893503011949665E-3</v>
      </c>
      <c r="E71" s="18">
        <f t="shared" si="4"/>
        <v>6.9755443183527671E-4</v>
      </c>
      <c r="F71" s="18">
        <f t="shared" si="4"/>
        <v>2.011295952938085E-3</v>
      </c>
      <c r="H71" s="12">
        <v>0.22916666666666666</v>
      </c>
      <c r="I71" s="17">
        <f t="shared" si="3"/>
        <v>4.2851776614089948E-4</v>
      </c>
      <c r="J71" s="17">
        <f t="shared" si="3"/>
        <v>4.0833777695446056E-4</v>
      </c>
      <c r="K71" s="17">
        <f t="shared" si="3"/>
        <v>4.0109281793755114E-3</v>
      </c>
      <c r="L71" s="17">
        <f t="shared" si="3"/>
        <v>1.9757022723550332E-3</v>
      </c>
      <c r="M71" s="18">
        <f t="shared" si="3"/>
        <v>2.4897318224089589E-3</v>
      </c>
    </row>
    <row r="72" spans="1:13" x14ac:dyDescent="0.25">
      <c r="A72" s="12">
        <v>0.25</v>
      </c>
      <c r="B72" s="18">
        <f t="shared" si="4"/>
        <v>3.6339736463742768E-4</v>
      </c>
      <c r="C72" s="18">
        <f t="shared" si="4"/>
        <v>5.8895091202790076E-5</v>
      </c>
      <c r="D72" s="18">
        <f t="shared" si="4"/>
        <v>5.2338909206249146E-3</v>
      </c>
      <c r="E72" s="18">
        <f t="shared" si="4"/>
        <v>1.2964300554704356E-3</v>
      </c>
      <c r="F72" s="18">
        <f t="shared" si="4"/>
        <v>3.0524260617134777E-3</v>
      </c>
      <c r="H72" s="12">
        <v>0.25</v>
      </c>
      <c r="I72" s="17">
        <f t="shared" si="3"/>
        <v>6.328119973202193E-4</v>
      </c>
      <c r="J72" s="17">
        <f t="shared" si="3"/>
        <v>8.3792554503379923E-4</v>
      </c>
      <c r="K72" s="17">
        <f t="shared" si="3"/>
        <v>5.5717222250668344E-3</v>
      </c>
      <c r="L72" s="17">
        <f t="shared" si="3"/>
        <v>2.735735200656556E-3</v>
      </c>
      <c r="M72" s="18">
        <f t="shared" si="3"/>
        <v>3.5033373881173178E-3</v>
      </c>
    </row>
    <row r="73" spans="1:13" x14ac:dyDescent="0.25">
      <c r="A73" s="12">
        <v>0.27083333333333331</v>
      </c>
      <c r="B73" s="18">
        <f t="shared" si="4"/>
        <v>6.5767767840852734E-4</v>
      </c>
      <c r="C73" s="18">
        <f t="shared" si="4"/>
        <v>1.844216722198219E-4</v>
      </c>
      <c r="D73" s="18">
        <f t="shared" si="4"/>
        <v>7.6242893241007552E-3</v>
      </c>
      <c r="E73" s="18">
        <f t="shared" si="4"/>
        <v>2.2850803018236881E-3</v>
      </c>
      <c r="F73" s="18">
        <f t="shared" si="4"/>
        <v>4.5078448687212603E-3</v>
      </c>
      <c r="H73" s="12">
        <v>0.27083333333333331</v>
      </c>
      <c r="I73" s="17">
        <f t="shared" si="3"/>
        <v>9.9139973178851435E-4</v>
      </c>
      <c r="J73" s="17">
        <f t="shared" si="3"/>
        <v>1.5504169434318058E-3</v>
      </c>
      <c r="K73" s="17">
        <f t="shared" si="3"/>
        <v>7.8040776582537375E-3</v>
      </c>
      <c r="L73" s="17">
        <f t="shared" si="3"/>
        <v>3.8372667304402562E-3</v>
      </c>
      <c r="M73" s="18">
        <f t="shared" si="3"/>
        <v>4.984573756425215E-3</v>
      </c>
    </row>
    <row r="74" spans="1:13" x14ac:dyDescent="0.25">
      <c r="A74" s="12">
        <v>0.29166666666666669</v>
      </c>
      <c r="B74" s="18">
        <f t="shared" si="4"/>
        <v>1.0870665187894327E-3</v>
      </c>
      <c r="C74" s="18">
        <f t="shared" si="4"/>
        <v>4.9620970211575167E-4</v>
      </c>
      <c r="D74" s="18">
        <f t="shared" si="4"/>
        <v>1.058286685599919E-2</v>
      </c>
      <c r="E74" s="18">
        <f t="shared" si="4"/>
        <v>3.7929780054710787E-3</v>
      </c>
      <c r="F74" s="18">
        <f t="shared" si="4"/>
        <v>6.3568871784664537E-3</v>
      </c>
      <c r="H74" s="12">
        <v>0.29166666666666669</v>
      </c>
      <c r="I74" s="17">
        <f t="shared" si="3"/>
        <v>1.4893719941241616E-3</v>
      </c>
      <c r="J74" s="17">
        <f t="shared" si="3"/>
        <v>2.6134280413264354E-3</v>
      </c>
      <c r="K74" s="17">
        <f t="shared" si="3"/>
        <v>1.0634868810102912E-2</v>
      </c>
      <c r="L74" s="17">
        <f t="shared" si="3"/>
        <v>5.4936223670700411E-3</v>
      </c>
      <c r="M74" s="18">
        <f t="shared" si="3"/>
        <v>6.9028675310607744E-3</v>
      </c>
    </row>
    <row r="75" spans="1:13" x14ac:dyDescent="0.25">
      <c r="A75" s="12">
        <v>0.3125</v>
      </c>
      <c r="B75" s="18">
        <f t="shared" si="4"/>
        <v>1.6615911121135999E-3</v>
      </c>
      <c r="C75" s="18">
        <f t="shared" si="4"/>
        <v>1.1359383136926244E-3</v>
      </c>
      <c r="D75" s="18">
        <f t="shared" si="4"/>
        <v>1.3845456130547258E-2</v>
      </c>
      <c r="E75" s="18">
        <f t="shared" si="4"/>
        <v>5.9538452576467218E-3</v>
      </c>
      <c r="F75" s="18">
        <f t="shared" si="4"/>
        <v>8.4786282037664293E-3</v>
      </c>
      <c r="H75" s="12">
        <v>0.3125</v>
      </c>
      <c r="I75" s="17">
        <f t="shared" si="3"/>
        <v>2.1606107959767583E-3</v>
      </c>
      <c r="J75" s="17">
        <f t="shared" si="3"/>
        <v>4.1367261023797603E-3</v>
      </c>
      <c r="K75" s="17">
        <f t="shared" si="3"/>
        <v>1.3911551971487758E-2</v>
      </c>
      <c r="L75" s="17">
        <f t="shared" si="3"/>
        <v>8.0353416884959908E-3</v>
      </c>
      <c r="M75" s="18">
        <f t="shared" si="3"/>
        <v>9.2053226407878153E-3</v>
      </c>
    </row>
    <row r="76" spans="1:13" x14ac:dyDescent="0.25">
      <c r="A76" s="12">
        <v>0.33333333333333331</v>
      </c>
      <c r="B76" s="18">
        <f t="shared" si="4"/>
        <v>2.399205546278474E-3</v>
      </c>
      <c r="C76" s="18">
        <f t="shared" si="4"/>
        <v>2.2410334626615461E-3</v>
      </c>
      <c r="D76" s="18">
        <f t="shared" si="4"/>
        <v>1.7040919819795528E-2</v>
      </c>
      <c r="E76" s="18">
        <f t="shared" si="4"/>
        <v>8.9338993947756483E-3</v>
      </c>
      <c r="F76" s="18">
        <f t="shared" si="4"/>
        <v>1.0695484456755588E-2</v>
      </c>
      <c r="H76" s="12">
        <v>0.33333333333333331</v>
      </c>
      <c r="I76" s="17">
        <f t="shared" si="3"/>
        <v>3.1075654036692569E-3</v>
      </c>
      <c r="J76" s="17">
        <f t="shared" si="3"/>
        <v>6.3288618511992993E-3</v>
      </c>
      <c r="K76" s="17">
        <f t="shared" si="3"/>
        <v>1.7436052073138794E-2</v>
      </c>
      <c r="L76" s="17">
        <f t="shared" si="3"/>
        <v>1.1856617374035648E-2</v>
      </c>
      <c r="M76" s="18">
        <f t="shared" si="3"/>
        <v>1.1847018784345893E-2</v>
      </c>
    </row>
    <row r="77" spans="1:13" x14ac:dyDescent="0.25">
      <c r="A77" s="12">
        <v>0.35416666666666669</v>
      </c>
      <c r="B77" s="18">
        <f t="shared" si="4"/>
        <v>3.339178101655539E-3</v>
      </c>
      <c r="C77" s="18">
        <f t="shared" si="4"/>
        <v>3.8804290790388934E-3</v>
      </c>
      <c r="D77" s="18">
        <f t="shared" si="4"/>
        <v>1.9869296043093558E-2</v>
      </c>
      <c r="E77" s="18">
        <f t="shared" si="4"/>
        <v>1.2991402692470939E-2</v>
      </c>
      <c r="F77" s="18">
        <f t="shared" si="4"/>
        <v>1.286911880217695E-2</v>
      </c>
      <c r="H77" s="12">
        <v>0.35416666666666669</v>
      </c>
      <c r="I77" s="17">
        <f t="shared" si="3"/>
        <v>4.486630451173106E-3</v>
      </c>
      <c r="J77" s="17">
        <f t="shared" si="3"/>
        <v>9.4763702645045082E-3</v>
      </c>
      <c r="K77" s="17">
        <f t="shared" si="3"/>
        <v>2.0986219887441804E-2</v>
      </c>
      <c r="L77" s="17">
        <f t="shared" si="3"/>
        <v>1.7347892476903472E-2</v>
      </c>
      <c r="M77" s="18">
        <f t="shared" si="3"/>
        <v>1.479440288501295E-2</v>
      </c>
    </row>
    <row r="78" spans="1:13" x14ac:dyDescent="0.25">
      <c r="A78" s="12">
        <v>0.375</v>
      </c>
      <c r="B78" s="18">
        <f t="shared" si="4"/>
        <v>4.5443174776194778E-3</v>
      </c>
      <c r="C78" s="18">
        <f t="shared" si="4"/>
        <v>6.0256592135197237E-3</v>
      </c>
      <c r="D78" s="18">
        <f t="shared" si="4"/>
        <v>2.2273205701182373E-2</v>
      </c>
      <c r="E78" s="18">
        <f t="shared" si="4"/>
        <v>1.8572050746984176E-2</v>
      </c>
      <c r="F78" s="18">
        <f t="shared" si="4"/>
        <v>1.4995192388228695E-2</v>
      </c>
      <c r="H78" s="12">
        <v>0.375</v>
      </c>
      <c r="I78" s="17">
        <f t="shared" si="3"/>
        <v>6.4209412695385689E-3</v>
      </c>
      <c r="J78" s="17">
        <f t="shared" si="3"/>
        <v>1.3774461507414973E-2</v>
      </c>
      <c r="K78" s="17">
        <f t="shared" si="3"/>
        <v>2.4311729300094773E-2</v>
      </c>
      <c r="L78" s="17">
        <f t="shared" si="3"/>
        <v>2.4782213265521547E-2</v>
      </c>
      <c r="M78" s="18">
        <f t="shared" si="3"/>
        <v>1.797368278766321E-2</v>
      </c>
    </row>
    <row r="79" spans="1:13" x14ac:dyDescent="0.25">
      <c r="A79" s="12">
        <v>0.39583333333333331</v>
      </c>
      <c r="B79" s="18">
        <f t="shared" si="4"/>
        <v>6.0946273601568055E-3</v>
      </c>
      <c r="C79" s="18">
        <f t="shared" si="4"/>
        <v>8.5854763429176785E-3</v>
      </c>
      <c r="D79" s="18">
        <f t="shared" si="4"/>
        <v>2.4452518372064771E-2</v>
      </c>
      <c r="E79" s="18">
        <f t="shared" si="4"/>
        <v>2.6408903858276364E-2</v>
      </c>
      <c r="F79" s="18">
        <f t="shared" si="4"/>
        <v>1.7217285685491558E-2</v>
      </c>
      <c r="H79" s="12">
        <v>0.39583333333333331</v>
      </c>
      <c r="I79" s="17">
        <f t="shared" si="3"/>
        <v>8.8822029579821091E-3</v>
      </c>
      <c r="J79" s="17">
        <f t="shared" si="3"/>
        <v>1.9088254582383998E-2</v>
      </c>
      <c r="K79" s="17">
        <f t="shared" si="3"/>
        <v>2.713590215316327E-2</v>
      </c>
      <c r="L79" s="17">
        <f t="shared" si="3"/>
        <v>3.4129998514522253E-2</v>
      </c>
      <c r="M79" s="18">
        <f t="shared" si="3"/>
        <v>2.1202960778925476E-2</v>
      </c>
    </row>
    <row r="80" spans="1:13" x14ac:dyDescent="0.25">
      <c r="A80" s="12">
        <v>0.41666666666666669</v>
      </c>
      <c r="B80" s="18">
        <f t="shared" si="4"/>
        <v>8.0666858675323798E-3</v>
      </c>
      <c r="C80" s="18">
        <f t="shared" si="4"/>
        <v>1.1458529794922345E-2</v>
      </c>
      <c r="D80" s="18">
        <f t="shared" si="4"/>
        <v>2.6666861296035089E-2</v>
      </c>
      <c r="E80" s="18">
        <f t="shared" si="4"/>
        <v>3.7454971258828712E-2</v>
      </c>
      <c r="F80" s="18">
        <f t="shared" si="4"/>
        <v>1.9716452668962478E-2</v>
      </c>
      <c r="H80" s="12">
        <v>0.41666666666666669</v>
      </c>
      <c r="I80" s="17">
        <f t="shared" si="3"/>
        <v>1.1650851881576989E-2</v>
      </c>
      <c r="J80" s="17">
        <f t="shared" si="3"/>
        <v>2.4866667836057E-2</v>
      </c>
      <c r="K80" s="17">
        <f t="shared" si="3"/>
        <v>2.9207323548489199E-2</v>
      </c>
      <c r="L80" s="17">
        <f t="shared" si="3"/>
        <v>4.4889143419998903E-2</v>
      </c>
      <c r="M80" s="18">
        <f t="shared" si="3"/>
        <v>2.4194261327656934E-2</v>
      </c>
    </row>
    <row r="81" spans="1:13" x14ac:dyDescent="0.25">
      <c r="A81" s="12">
        <v>0.4375</v>
      </c>
      <c r="B81" s="18">
        <f t="shared" si="4"/>
        <v>1.0483586873218941E-2</v>
      </c>
      <c r="C81" s="18">
        <f t="shared" si="4"/>
        <v>1.4561681128205347E-2</v>
      </c>
      <c r="D81" s="18">
        <f t="shared" si="4"/>
        <v>2.8961983681073868E-2</v>
      </c>
      <c r="E81" s="18">
        <f t="shared" si="4"/>
        <v>5.2358547671572331E-2</v>
      </c>
      <c r="F81" s="18">
        <f t="shared" si="4"/>
        <v>2.2533194905521987E-2</v>
      </c>
      <c r="H81" s="12">
        <v>0.4375</v>
      </c>
      <c r="I81" s="17">
        <f t="shared" ref="I81:M96" si="5">I24/I$59</f>
        <v>1.4422649422481821E-2</v>
      </c>
      <c r="J81" s="17">
        <f t="shared" si="5"/>
        <v>3.0356727775814128E-2</v>
      </c>
      <c r="K81" s="17">
        <f t="shared" si="5"/>
        <v>3.0399977175987171E-2</v>
      </c>
      <c r="L81" s="17">
        <f t="shared" si="5"/>
        <v>5.6072015317778306E-2</v>
      </c>
      <c r="M81" s="18">
        <f t="shared" si="5"/>
        <v>2.6666746053850301E-2</v>
      </c>
    </row>
    <row r="82" spans="1:13" x14ac:dyDescent="0.25">
      <c r="A82" s="12">
        <v>0.45833333333333331</v>
      </c>
      <c r="B82" s="18">
        <f t="shared" ref="B82:F97" si="6">B25/B$59</f>
        <v>1.32576671426078E-2</v>
      </c>
      <c r="C82" s="18">
        <f t="shared" si="6"/>
        <v>1.791938496170865E-2</v>
      </c>
      <c r="D82" s="18">
        <f t="shared" si="6"/>
        <v>3.1064407595819996E-2</v>
      </c>
      <c r="E82" s="18">
        <f t="shared" si="6"/>
        <v>7.0448659062384539E-2</v>
      </c>
      <c r="F82" s="18">
        <f t="shared" si="6"/>
        <v>2.5473997857283819E-2</v>
      </c>
      <c r="H82" s="12">
        <v>0.45833333333333331</v>
      </c>
      <c r="I82" s="17">
        <f t="shared" si="5"/>
        <v>1.6995242007375417E-2</v>
      </c>
      <c r="J82" s="17">
        <f t="shared" si="5"/>
        <v>3.4993409402816408E-2</v>
      </c>
      <c r="K82" s="17">
        <f t="shared" si="5"/>
        <v>3.0796735992263215E-2</v>
      </c>
      <c r="L82" s="17">
        <f t="shared" si="5"/>
        <v>6.6377801896214242E-2</v>
      </c>
      <c r="M82" s="18">
        <f t="shared" si="5"/>
        <v>2.8500690544109222E-2</v>
      </c>
    </row>
    <row r="83" spans="1:13" x14ac:dyDescent="0.25">
      <c r="A83" s="12">
        <v>0.47916666666666669</v>
      </c>
      <c r="B83" s="18">
        <f t="shared" si="6"/>
        <v>1.621123424425467E-2</v>
      </c>
      <c r="C83" s="18">
        <f t="shared" si="6"/>
        <v>2.1951850980420153E-2</v>
      </c>
      <c r="D83" s="18">
        <f t="shared" si="6"/>
        <v>3.2570625775065282E-2</v>
      </c>
      <c r="E83" s="18">
        <f t="shared" si="6"/>
        <v>8.8887931211112714E-2</v>
      </c>
      <c r="F83" s="18">
        <f t="shared" si="6"/>
        <v>2.8234600611253872E-2</v>
      </c>
      <c r="H83" s="12">
        <v>0.47916666666666669</v>
      </c>
      <c r="I83" s="17">
        <f t="shared" si="5"/>
        <v>1.9386337875026593E-2</v>
      </c>
      <c r="J83" s="17">
        <f t="shared" si="5"/>
        <v>3.866598755440049E-2</v>
      </c>
      <c r="K83" s="17">
        <f t="shared" si="5"/>
        <v>3.0679001452546616E-2</v>
      </c>
      <c r="L83" s="17">
        <f t="shared" si="5"/>
        <v>7.4450060382238892E-2</v>
      </c>
      <c r="M83" s="18">
        <f t="shared" si="5"/>
        <v>2.9806157298494836E-2</v>
      </c>
    </row>
    <row r="84" spans="1:13" x14ac:dyDescent="0.25">
      <c r="A84" s="12">
        <v>0.5</v>
      </c>
      <c r="B84" s="18">
        <f t="shared" si="6"/>
        <v>1.9242247590060609E-2</v>
      </c>
      <c r="C84" s="18">
        <f t="shared" si="6"/>
        <v>2.7838474874573707E-2</v>
      </c>
      <c r="D84" s="18">
        <f t="shared" si="6"/>
        <v>3.329141804949648E-2</v>
      </c>
      <c r="E84" s="18">
        <f t="shared" si="6"/>
        <v>0.10305643802122963</v>
      </c>
      <c r="F84" s="18">
        <f t="shared" si="6"/>
        <v>3.069742981627149E-2</v>
      </c>
      <c r="H84" s="12">
        <v>0.5</v>
      </c>
      <c r="I84" s="17">
        <f t="shared" si="5"/>
        <v>2.1811570794750611E-2</v>
      </c>
      <c r="J84" s="17">
        <f t="shared" si="5"/>
        <v>4.1693039889731262E-2</v>
      </c>
      <c r="K84" s="17">
        <f t="shared" si="5"/>
        <v>3.0411866328282616E-2</v>
      </c>
      <c r="L84" s="17">
        <f t="shared" si="5"/>
        <v>7.9145335128033942E-2</v>
      </c>
      <c r="M84" s="18">
        <f t="shared" si="5"/>
        <v>3.0856690494785396E-2</v>
      </c>
    </row>
    <row r="85" spans="1:13" x14ac:dyDescent="0.25">
      <c r="A85" s="12">
        <v>0.52083333333333337</v>
      </c>
      <c r="B85" s="18">
        <f t="shared" si="6"/>
        <v>2.2563246530001194E-2</v>
      </c>
      <c r="C85" s="18">
        <f t="shared" si="6"/>
        <v>3.7421381183240149E-2</v>
      </c>
      <c r="D85" s="18">
        <f t="shared" si="6"/>
        <v>3.345643933537696E-2</v>
      </c>
      <c r="E85" s="18">
        <f t="shared" si="6"/>
        <v>0.10851024422015745</v>
      </c>
      <c r="F85" s="18">
        <f t="shared" si="6"/>
        <v>3.3159104324854104E-2</v>
      </c>
      <c r="H85" s="12">
        <v>0.52083333333333337</v>
      </c>
      <c r="I85" s="17">
        <f t="shared" si="5"/>
        <v>2.4599825279205071E-2</v>
      </c>
      <c r="J85" s="17">
        <f t="shared" si="5"/>
        <v>4.4602890816425926E-2</v>
      </c>
      <c r="K85" s="17">
        <f t="shared" si="5"/>
        <v>3.0301656471243849E-2</v>
      </c>
      <c r="L85" s="17">
        <f t="shared" si="5"/>
        <v>7.9806692451104014E-2</v>
      </c>
      <c r="M85" s="18">
        <f t="shared" si="5"/>
        <v>3.1965277568963432E-2</v>
      </c>
    </row>
    <row r="86" spans="1:13" x14ac:dyDescent="0.25">
      <c r="A86" s="12">
        <v>0.54166666666666663</v>
      </c>
      <c r="B86" s="18">
        <f t="shared" si="6"/>
        <v>2.6814127022614442E-2</v>
      </c>
      <c r="C86" s="18">
        <f t="shared" si="6"/>
        <v>5.2136367503666022E-2</v>
      </c>
      <c r="D86" s="18">
        <f t="shared" si="6"/>
        <v>3.3599161511740055E-2</v>
      </c>
      <c r="E86" s="18">
        <f t="shared" si="6"/>
        <v>0.10338417623566704</v>
      </c>
      <c r="F86" s="18">
        <f t="shared" si="6"/>
        <v>3.6229963890113112E-2</v>
      </c>
      <c r="H86" s="12">
        <v>0.54166666666666663</v>
      </c>
      <c r="I86" s="17">
        <f t="shared" si="5"/>
        <v>2.8161289959039795E-2</v>
      </c>
      <c r="J86" s="17">
        <f t="shared" si="5"/>
        <v>4.7893454979992665E-2</v>
      </c>
      <c r="K86" s="17">
        <f t="shared" si="5"/>
        <v>3.051867361261806E-2</v>
      </c>
      <c r="L86" s="17">
        <f t="shared" si="5"/>
        <v>7.6468263569983957E-2</v>
      </c>
      <c r="M86" s="18">
        <f t="shared" si="5"/>
        <v>3.3407187684197384E-2</v>
      </c>
    </row>
    <row r="87" spans="1:13" x14ac:dyDescent="0.25">
      <c r="A87" s="12">
        <v>0.5625</v>
      </c>
      <c r="B87" s="18">
        <f t="shared" si="6"/>
        <v>3.2887515918036306E-2</v>
      </c>
      <c r="C87" s="18">
        <f t="shared" si="6"/>
        <v>7.1271982847369922E-2</v>
      </c>
      <c r="D87" s="18">
        <f t="shared" si="6"/>
        <v>3.4207096318685133E-2</v>
      </c>
      <c r="E87" s="18">
        <f t="shared" si="6"/>
        <v>8.9447685207110023E-2</v>
      </c>
      <c r="F87" s="18">
        <f t="shared" si="6"/>
        <v>4.0392693273967002E-2</v>
      </c>
      <c r="H87" s="12">
        <v>0.5625</v>
      </c>
      <c r="I87" s="17">
        <f t="shared" si="5"/>
        <v>3.2995882132288774E-2</v>
      </c>
      <c r="J87" s="17">
        <f t="shared" si="5"/>
        <v>5.1803686063615101E-2</v>
      </c>
      <c r="K87" s="17">
        <f t="shared" si="5"/>
        <v>3.1100993526345988E-2</v>
      </c>
      <c r="L87" s="17">
        <f t="shared" si="5"/>
        <v>6.9836881779869811E-2</v>
      </c>
      <c r="M87" s="18">
        <f t="shared" si="5"/>
        <v>3.5394801617200787E-2</v>
      </c>
    </row>
    <row r="88" spans="1:13" x14ac:dyDescent="0.25">
      <c r="A88" s="12">
        <v>0.58333333333333337</v>
      </c>
      <c r="B88" s="18">
        <f t="shared" si="6"/>
        <v>4.1488636814716616E-2</v>
      </c>
      <c r="C88" s="18">
        <f t="shared" si="6"/>
        <v>9.0911295008627366E-2</v>
      </c>
      <c r="D88" s="18">
        <f t="shared" si="6"/>
        <v>3.5391682559383165E-2</v>
      </c>
      <c r="E88" s="18">
        <f t="shared" si="6"/>
        <v>7.1052269533979459E-2</v>
      </c>
      <c r="F88" s="18">
        <f t="shared" si="6"/>
        <v>4.5523135591214486E-2</v>
      </c>
      <c r="H88" s="12">
        <v>0.58333333333333337</v>
      </c>
      <c r="I88" s="17">
        <f t="shared" si="5"/>
        <v>3.9597218983277983E-2</v>
      </c>
      <c r="J88" s="17">
        <f t="shared" si="5"/>
        <v>5.6061635235693602E-2</v>
      </c>
      <c r="K88" s="17">
        <f t="shared" si="5"/>
        <v>3.1978109875758956E-2</v>
      </c>
      <c r="L88" s="17">
        <f t="shared" si="5"/>
        <v>6.1026881360685639E-2</v>
      </c>
      <c r="M88" s="18">
        <f t="shared" si="5"/>
        <v>3.802423964562264E-2</v>
      </c>
    </row>
    <row r="89" spans="1:13" x14ac:dyDescent="0.25">
      <c r="A89" s="12">
        <v>0.60416666666666663</v>
      </c>
      <c r="B89" s="18">
        <f t="shared" si="6"/>
        <v>5.262058683808548E-2</v>
      </c>
      <c r="C89" s="18">
        <f t="shared" si="6"/>
        <v>0.10498279092209022</v>
      </c>
      <c r="D89" s="18">
        <f t="shared" si="6"/>
        <v>3.6802975311395723E-2</v>
      </c>
      <c r="E89" s="18">
        <f t="shared" si="6"/>
        <v>5.2878536865511791E-2</v>
      </c>
      <c r="F89" s="18">
        <f t="shared" si="6"/>
        <v>5.0767917034240564E-2</v>
      </c>
      <c r="H89" s="12">
        <v>0.60416666666666663</v>
      </c>
      <c r="I89" s="17">
        <f t="shared" si="5"/>
        <v>4.8155865528822984E-2</v>
      </c>
      <c r="J89" s="17">
        <f t="shared" si="5"/>
        <v>5.9753659865265249E-2</v>
      </c>
      <c r="K89" s="17">
        <f t="shared" si="5"/>
        <v>3.2976662203339252E-2</v>
      </c>
      <c r="L89" s="17">
        <f t="shared" si="5"/>
        <v>5.1238896707099496E-2</v>
      </c>
      <c r="M89" s="18">
        <f t="shared" si="5"/>
        <v>4.1169521173434892E-2</v>
      </c>
    </row>
    <row r="90" spans="1:13" x14ac:dyDescent="0.25">
      <c r="A90" s="12">
        <v>0.625</v>
      </c>
      <c r="B90" s="18">
        <f t="shared" si="6"/>
        <v>6.5233754050595075E-2</v>
      </c>
      <c r="C90" s="18">
        <f t="shared" si="6"/>
        <v>0.10833832516615886</v>
      </c>
      <c r="D90" s="18">
        <f t="shared" si="6"/>
        <v>3.7851958413660632E-2</v>
      </c>
      <c r="E90" s="18">
        <f t="shared" si="6"/>
        <v>3.8042969261917484E-2</v>
      </c>
      <c r="F90" s="18">
        <f t="shared" si="6"/>
        <v>5.491758348307281E-2</v>
      </c>
      <c r="H90" s="12">
        <v>0.625</v>
      </c>
      <c r="I90" s="17">
        <f t="shared" si="5"/>
        <v>5.8172633885949933E-2</v>
      </c>
      <c r="J90" s="17">
        <f t="shared" si="5"/>
        <v>6.1601974159517903E-2</v>
      </c>
      <c r="K90" s="17">
        <f t="shared" si="5"/>
        <v>3.3854451778476034E-2</v>
      </c>
      <c r="L90" s="17">
        <f t="shared" si="5"/>
        <v>4.156292943083429E-2</v>
      </c>
      <c r="M90" s="18">
        <f t="shared" si="5"/>
        <v>4.4423148085477683E-2</v>
      </c>
    </row>
    <row r="91" spans="1:13" x14ac:dyDescent="0.25">
      <c r="A91" s="12">
        <v>0.64583333333333337</v>
      </c>
      <c r="B91" s="18">
        <f t="shared" si="6"/>
        <v>7.7226565141014059E-2</v>
      </c>
      <c r="C91" s="18">
        <f t="shared" si="6"/>
        <v>9.9805234135137838E-2</v>
      </c>
      <c r="D91" s="18">
        <f t="shared" si="6"/>
        <v>3.810769996529207E-2</v>
      </c>
      <c r="E91" s="18">
        <f t="shared" si="6"/>
        <v>2.7462237140450128E-2</v>
      </c>
      <c r="F91" s="18">
        <f t="shared" si="6"/>
        <v>5.7010752762583328E-2</v>
      </c>
      <c r="H91" s="12">
        <v>0.64583333333333337</v>
      </c>
      <c r="I91" s="17">
        <f t="shared" si="5"/>
        <v>6.8249908153837496E-2</v>
      </c>
      <c r="J91" s="17">
        <f t="shared" si="5"/>
        <v>6.0657897283163453E-2</v>
      </c>
      <c r="K91" s="17">
        <f t="shared" si="5"/>
        <v>3.4413172204459941E-2</v>
      </c>
      <c r="L91" s="17">
        <f t="shared" si="5"/>
        <v>3.2882290868368046E-2</v>
      </c>
      <c r="M91" s="18">
        <f t="shared" si="5"/>
        <v>4.7186806411772197E-2</v>
      </c>
    </row>
    <row r="92" spans="1:13" x14ac:dyDescent="0.25">
      <c r="A92" s="12">
        <v>0.66666666666666663</v>
      </c>
      <c r="B92" s="18">
        <f t="shared" si="6"/>
        <v>8.5897334572563808E-2</v>
      </c>
      <c r="C92" s="18">
        <f t="shared" si="6"/>
        <v>8.2801152436830894E-2</v>
      </c>
      <c r="D92" s="18">
        <f t="shared" si="6"/>
        <v>3.7608486168998131E-2</v>
      </c>
      <c r="E92" s="18">
        <f t="shared" si="6"/>
        <v>2.0378716972912644E-2</v>
      </c>
      <c r="F92" s="18">
        <f t="shared" si="6"/>
        <v>5.6731660368656907E-2</v>
      </c>
      <c r="H92" s="12">
        <v>0.66666666666666663</v>
      </c>
      <c r="I92" s="17">
        <f t="shared" si="5"/>
        <v>7.6289479319005232E-2</v>
      </c>
      <c r="J92" s="17">
        <f t="shared" si="5"/>
        <v>5.6910141365802323E-2</v>
      </c>
      <c r="K92" s="17">
        <f t="shared" si="5"/>
        <v>3.4636611819314253E-2</v>
      </c>
      <c r="L92" s="17">
        <f t="shared" si="5"/>
        <v>2.5774700468137759E-2</v>
      </c>
      <c r="M92" s="18">
        <f t="shared" si="5"/>
        <v>4.8879308802214735E-2</v>
      </c>
    </row>
    <row r="93" spans="1:13" x14ac:dyDescent="0.25">
      <c r="A93" s="12">
        <v>0.6875</v>
      </c>
      <c r="B93" s="18">
        <f t="shared" si="6"/>
        <v>8.8814352459118964E-2</v>
      </c>
      <c r="C93" s="18">
        <f t="shared" si="6"/>
        <v>6.3050909924752416E-2</v>
      </c>
      <c r="D93" s="18">
        <f t="shared" si="6"/>
        <v>3.6869021680546558E-2</v>
      </c>
      <c r="E93" s="18">
        <f t="shared" si="6"/>
        <v>1.5413172865334387E-2</v>
      </c>
      <c r="F93" s="18">
        <f t="shared" si="6"/>
        <v>5.439100810517699E-2</v>
      </c>
      <c r="H93" s="12">
        <v>0.6875</v>
      </c>
      <c r="I93" s="17">
        <f t="shared" si="5"/>
        <v>8.0128808661093592E-2</v>
      </c>
      <c r="J93" s="17">
        <f t="shared" si="5"/>
        <v>5.1256124754646595E-2</v>
      </c>
      <c r="K93" s="17">
        <f t="shared" si="5"/>
        <v>3.4731354227665955E-2</v>
      </c>
      <c r="L93" s="17">
        <f t="shared" si="5"/>
        <v>2.0421581105318529E-2</v>
      </c>
      <c r="M93" s="18">
        <f t="shared" si="5"/>
        <v>4.9131359374352028E-2</v>
      </c>
    </row>
    <row r="94" spans="1:13" x14ac:dyDescent="0.25">
      <c r="A94" s="12">
        <v>0.70833333333333337</v>
      </c>
      <c r="B94" s="18">
        <f t="shared" si="6"/>
        <v>8.4833634583292711E-2</v>
      </c>
      <c r="C94" s="18">
        <f t="shared" si="6"/>
        <v>4.5367050207574006E-2</v>
      </c>
      <c r="D94" s="18">
        <f t="shared" si="6"/>
        <v>3.6573863260094257E-2</v>
      </c>
      <c r="E94" s="18">
        <f t="shared" si="6"/>
        <v>1.147070668942091E-2</v>
      </c>
      <c r="F94" s="18">
        <f t="shared" si="6"/>
        <v>5.064660333982908E-2</v>
      </c>
      <c r="H94" s="12">
        <v>0.70833333333333337</v>
      </c>
      <c r="I94" s="17">
        <f t="shared" si="5"/>
        <v>7.8401878744857406E-2</v>
      </c>
      <c r="J94" s="17">
        <f t="shared" si="5"/>
        <v>4.4885119632951782E-2</v>
      </c>
      <c r="K94" s="17">
        <f t="shared" si="5"/>
        <v>3.5013407545836331E-2</v>
      </c>
      <c r="L94" s="17">
        <f t="shared" si="5"/>
        <v>1.661582769349015E-2</v>
      </c>
      <c r="M94" s="18">
        <f t="shared" si="5"/>
        <v>4.7884239906402185E-2</v>
      </c>
    </row>
    <row r="95" spans="1:13" x14ac:dyDescent="0.25">
      <c r="A95" s="12">
        <v>0.72916666666666663</v>
      </c>
      <c r="B95" s="18">
        <f t="shared" si="6"/>
        <v>7.4738711037819594E-2</v>
      </c>
      <c r="C95" s="18">
        <f t="shared" si="6"/>
        <v>3.1899069112900746E-2</v>
      </c>
      <c r="D95" s="18">
        <f t="shared" si="6"/>
        <v>3.715597987956501E-2</v>
      </c>
      <c r="E95" s="18">
        <f t="shared" si="6"/>
        <v>8.0968159566557427E-3</v>
      </c>
      <c r="F95" s="18">
        <f t="shared" si="6"/>
        <v>4.6230507333780868E-2</v>
      </c>
      <c r="H95" s="12">
        <v>0.72916666666666663</v>
      </c>
      <c r="I95" s="17">
        <f t="shared" si="5"/>
        <v>7.1209897858113269E-2</v>
      </c>
      <c r="J95" s="17">
        <f t="shared" si="5"/>
        <v>3.8671950442644903E-2</v>
      </c>
      <c r="K95" s="17">
        <f t="shared" si="5"/>
        <v>3.5705878115739421E-2</v>
      </c>
      <c r="L95" s="17">
        <f t="shared" si="5"/>
        <v>1.3895954020874055E-2</v>
      </c>
      <c r="M95" s="18">
        <f t="shared" si="5"/>
        <v>4.5390147155357781E-2</v>
      </c>
    </row>
    <row r="96" spans="1:13" x14ac:dyDescent="0.25">
      <c r="A96" s="12">
        <v>0.75</v>
      </c>
      <c r="B96" s="18">
        <f t="shared" si="6"/>
        <v>6.1014863637001031E-2</v>
      </c>
      <c r="C96" s="18">
        <f t="shared" si="6"/>
        <v>2.2518577424137584E-2</v>
      </c>
      <c r="D96" s="18">
        <f t="shared" si="6"/>
        <v>3.8511399716135479E-2</v>
      </c>
      <c r="E96" s="18">
        <f t="shared" si="6"/>
        <v>5.307060277945517E-3</v>
      </c>
      <c r="F96" s="18">
        <f t="shared" si="6"/>
        <v>4.1772537906046008E-2</v>
      </c>
      <c r="H96" s="12">
        <v>0.75</v>
      </c>
      <c r="I96" s="17">
        <f t="shared" si="5"/>
        <v>6.0177456854221621E-2</v>
      </c>
      <c r="J96" s="17">
        <f t="shared" si="5"/>
        <v>3.3026498809790396E-2</v>
      </c>
      <c r="K96" s="17">
        <f t="shared" si="5"/>
        <v>3.6764320690312054E-2</v>
      </c>
      <c r="L96" s="17">
        <f t="shared" si="5"/>
        <v>1.1755871885066325E-2</v>
      </c>
      <c r="M96" s="18">
        <f t="shared" si="5"/>
        <v>4.2116391246780023E-2</v>
      </c>
    </row>
    <row r="97" spans="1:13" x14ac:dyDescent="0.25">
      <c r="A97" s="12">
        <v>0.77083333333333337</v>
      </c>
      <c r="B97" s="18">
        <f t="shared" si="6"/>
        <v>4.6776637149226204E-2</v>
      </c>
      <c r="C97" s="18">
        <f t="shared" si="6"/>
        <v>1.6186279955560417E-2</v>
      </c>
      <c r="D97" s="18">
        <f t="shared" si="6"/>
        <v>3.9997683282813806E-2</v>
      </c>
      <c r="E97" s="18">
        <f t="shared" si="6"/>
        <v>3.2325880836234877E-3</v>
      </c>
      <c r="F97" s="18">
        <f t="shared" si="6"/>
        <v>3.766538070102448E-2</v>
      </c>
      <c r="H97" s="12">
        <v>0.77083333333333337</v>
      </c>
      <c r="I97" s="17">
        <f t="shared" ref="I97:M112" si="7">I40/I$59</f>
        <v>4.7778948791033199E-2</v>
      </c>
      <c r="J97" s="17">
        <f t="shared" si="7"/>
        <v>2.808305905910035E-2</v>
      </c>
      <c r="K97" s="17">
        <f t="shared" si="7"/>
        <v>3.7819387374904263E-2</v>
      </c>
      <c r="L97" s="17">
        <f t="shared" si="7"/>
        <v>9.8567364856994386E-3</v>
      </c>
      <c r="M97" s="18">
        <f t="shared" si="7"/>
        <v>3.8554798613071969E-2</v>
      </c>
    </row>
    <row r="98" spans="1:13" x14ac:dyDescent="0.25">
      <c r="A98" s="12">
        <v>0.79166666666666663</v>
      </c>
      <c r="B98" s="18">
        <f t="shared" ref="B98:F113" si="8">B41/B$59</f>
        <v>3.4488171851320595E-2</v>
      </c>
      <c r="C98" s="18">
        <f t="shared" si="8"/>
        <v>1.1937067838468842E-2</v>
      </c>
      <c r="D98" s="18">
        <f t="shared" si="8"/>
        <v>4.0703764145957673E-2</v>
      </c>
      <c r="E98" s="18">
        <f t="shared" si="8"/>
        <v>1.9037224168487723E-3</v>
      </c>
      <c r="F98" s="18">
        <f t="shared" si="8"/>
        <v>3.3975269749361464E-2</v>
      </c>
      <c r="H98" s="12">
        <v>0.79166666666666663</v>
      </c>
      <c r="I98" s="17">
        <f t="shared" si="7"/>
        <v>3.6303745099677855E-2</v>
      </c>
      <c r="J98" s="17">
        <f t="shared" si="7"/>
        <v>2.3873228365213571E-2</v>
      </c>
      <c r="K98" s="17">
        <f t="shared" si="7"/>
        <v>3.827661213400458E-2</v>
      </c>
      <c r="L98" s="17">
        <f t="shared" si="7"/>
        <v>8.1489894273210663E-3</v>
      </c>
      <c r="M98" s="18">
        <f t="shared" si="7"/>
        <v>3.5013836974008887E-2</v>
      </c>
    </row>
    <row r="99" spans="1:13" x14ac:dyDescent="0.25">
      <c r="A99" s="12">
        <v>0.8125</v>
      </c>
      <c r="B99" s="18">
        <f t="shared" si="8"/>
        <v>2.5247321850798247E-2</v>
      </c>
      <c r="C99" s="18">
        <f t="shared" si="8"/>
        <v>9.1035760904303546E-3</v>
      </c>
      <c r="D99" s="18">
        <f t="shared" si="8"/>
        <v>3.9843678425327704E-2</v>
      </c>
      <c r="E99" s="18">
        <f t="shared" si="8"/>
        <v>1.2321980858463889E-3</v>
      </c>
      <c r="F99" s="18">
        <f t="shared" si="8"/>
        <v>3.0486540553617613E-2</v>
      </c>
      <c r="H99" s="12">
        <v>0.8125</v>
      </c>
      <c r="I99" s="17">
        <f t="shared" si="7"/>
        <v>2.7079058680556899E-2</v>
      </c>
      <c r="J99" s="17">
        <f t="shared" si="7"/>
        <v>2.0352525588705209E-2</v>
      </c>
      <c r="K99" s="17">
        <f t="shared" si="7"/>
        <v>3.7552375015064685E-2</v>
      </c>
      <c r="L99" s="17">
        <f t="shared" si="7"/>
        <v>6.8136420843711697E-3</v>
      </c>
      <c r="M99" s="18">
        <f t="shared" si="7"/>
        <v>3.1535730007874602E-2</v>
      </c>
    </row>
    <row r="100" spans="1:13" x14ac:dyDescent="0.25">
      <c r="A100" s="12">
        <v>0.83333333333333337</v>
      </c>
      <c r="B100" s="18">
        <f t="shared" si="8"/>
        <v>1.8913438160080787E-2</v>
      </c>
      <c r="C100" s="18">
        <f t="shared" si="8"/>
        <v>7.1837374266469391E-3</v>
      </c>
      <c r="D100" s="18">
        <f t="shared" si="8"/>
        <v>3.707377878451789E-2</v>
      </c>
      <c r="E100" s="18">
        <f t="shared" si="8"/>
        <v>1.0625468801552865E-3</v>
      </c>
      <c r="F100" s="18">
        <f t="shared" si="8"/>
        <v>2.6897812547281016E-2</v>
      </c>
      <c r="H100" s="12">
        <v>0.83333333333333337</v>
      </c>
      <c r="I100" s="17">
        <f t="shared" si="7"/>
        <v>2.0339071283576576E-2</v>
      </c>
      <c r="J100" s="17">
        <f t="shared" si="7"/>
        <v>1.7399415565096745E-2</v>
      </c>
      <c r="K100" s="17">
        <f t="shared" si="7"/>
        <v>3.5346641170289836E-2</v>
      </c>
      <c r="L100" s="17">
        <f t="shared" si="7"/>
        <v>6.0329052734368702E-3</v>
      </c>
      <c r="M100" s="18">
        <f t="shared" si="7"/>
        <v>2.8006743247625431E-2</v>
      </c>
    </row>
    <row r="101" spans="1:13" x14ac:dyDescent="0.25">
      <c r="A101" s="12">
        <v>0.85416666666666663</v>
      </c>
      <c r="B101" s="18">
        <f t="shared" si="8"/>
        <v>1.4743126579093187E-2</v>
      </c>
      <c r="C101" s="18">
        <f t="shared" si="8"/>
        <v>5.7697255277693871E-3</v>
      </c>
      <c r="D101" s="18">
        <f t="shared" si="8"/>
        <v>3.2592706066928011E-2</v>
      </c>
      <c r="E101" s="18">
        <f t="shared" si="8"/>
        <v>1.1933524444406151E-3</v>
      </c>
      <c r="F101" s="18">
        <f t="shared" si="8"/>
        <v>2.3048771584362714E-2</v>
      </c>
      <c r="H101" s="12">
        <v>0.85416666666666663</v>
      </c>
      <c r="I101" s="17">
        <f t="shared" si="7"/>
        <v>1.5633501135533322E-2</v>
      </c>
      <c r="J101" s="17">
        <f t="shared" si="7"/>
        <v>1.4879461591399063E-2</v>
      </c>
      <c r="K101" s="17">
        <f t="shared" si="7"/>
        <v>3.1800294465327839E-2</v>
      </c>
      <c r="L101" s="17">
        <f t="shared" si="7"/>
        <v>5.7564433728433187E-3</v>
      </c>
      <c r="M101" s="18">
        <f t="shared" si="7"/>
        <v>2.4361620564017961E-2</v>
      </c>
    </row>
    <row r="102" spans="1:13" x14ac:dyDescent="0.25">
      <c r="A102" s="12">
        <v>0.875</v>
      </c>
      <c r="B102" s="18">
        <f t="shared" si="8"/>
        <v>1.1985086427041353E-2</v>
      </c>
      <c r="C102" s="18">
        <f t="shared" si="8"/>
        <v>4.6073372139175508E-3</v>
      </c>
      <c r="D102" s="18">
        <f t="shared" si="8"/>
        <v>2.7014639149801418E-2</v>
      </c>
      <c r="E102" s="18">
        <f t="shared" si="8"/>
        <v>1.3909896476767976E-3</v>
      </c>
      <c r="F102" s="18">
        <f t="shared" si="8"/>
        <v>1.9026617968460953E-2</v>
      </c>
      <c r="H102" s="12">
        <v>0.875</v>
      </c>
      <c r="I102" s="17">
        <f t="shared" si="7"/>
        <v>1.2351344149144945E-2</v>
      </c>
      <c r="J102" s="17">
        <f t="shared" si="7"/>
        <v>1.2715879686759322E-2</v>
      </c>
      <c r="K102" s="17">
        <f t="shared" si="7"/>
        <v>2.742618530399904E-2</v>
      </c>
      <c r="L102" s="17">
        <f t="shared" si="7"/>
        <v>5.6648261752480153E-3</v>
      </c>
      <c r="M102" s="18">
        <f t="shared" si="7"/>
        <v>2.0699276953417379E-2</v>
      </c>
    </row>
    <row r="103" spans="1:13" x14ac:dyDescent="0.25">
      <c r="A103" s="12">
        <v>0.89583333333333337</v>
      </c>
      <c r="B103" s="18">
        <f t="shared" si="8"/>
        <v>1.01190253702874E-2</v>
      </c>
      <c r="C103" s="18">
        <f t="shared" si="8"/>
        <v>3.6435099242046734E-3</v>
      </c>
      <c r="D103" s="18">
        <f t="shared" si="8"/>
        <v>2.1115732066684909E-2</v>
      </c>
      <c r="E103" s="18">
        <f t="shared" si="8"/>
        <v>1.450670225236149E-3</v>
      </c>
      <c r="F103" s="18">
        <f t="shared" si="8"/>
        <v>1.5101232974042013E-2</v>
      </c>
      <c r="H103" s="12">
        <v>0.89583333333333337</v>
      </c>
      <c r="I103" s="17">
        <f t="shared" si="7"/>
        <v>1.0010607963910765E-2</v>
      </c>
      <c r="J103" s="17">
        <f t="shared" si="7"/>
        <v>1.0877084382955503E-2</v>
      </c>
      <c r="K103" s="17">
        <f t="shared" si="7"/>
        <v>2.2844906734828814E-2</v>
      </c>
      <c r="L103" s="17">
        <f t="shared" si="7"/>
        <v>5.3676459004435833E-3</v>
      </c>
      <c r="M103" s="18">
        <f t="shared" si="7"/>
        <v>1.7219164397419814E-2</v>
      </c>
    </row>
    <row r="104" spans="1:13" x14ac:dyDescent="0.25">
      <c r="A104" s="12">
        <v>0.91666666666666663</v>
      </c>
      <c r="B104" s="18">
        <f t="shared" si="8"/>
        <v>8.7878313934912668E-3</v>
      </c>
      <c r="C104" s="18">
        <f t="shared" si="8"/>
        <v>2.9513137793464087E-3</v>
      </c>
      <c r="D104" s="18">
        <f t="shared" si="8"/>
        <v>1.5584178222723705E-2</v>
      </c>
      <c r="E104" s="18">
        <f t="shared" si="8"/>
        <v>1.2832322741815456E-3</v>
      </c>
      <c r="F104" s="18">
        <f t="shared" si="8"/>
        <v>1.156007588461576E-2</v>
      </c>
      <c r="H104" s="12">
        <v>0.91666666666666663</v>
      </c>
      <c r="I104" s="17">
        <f t="shared" si="7"/>
        <v>8.270750583097829E-3</v>
      </c>
      <c r="J104" s="17">
        <f t="shared" si="7"/>
        <v>9.298732512055978E-3</v>
      </c>
      <c r="K104" s="17">
        <f t="shared" si="7"/>
        <v>1.8501312756506485E-2</v>
      </c>
      <c r="L104" s="17">
        <f t="shared" si="7"/>
        <v>4.6604110333147517E-3</v>
      </c>
      <c r="M104" s="18">
        <f t="shared" si="7"/>
        <v>1.4062513545499119E-2</v>
      </c>
    </row>
    <row r="105" spans="1:13" x14ac:dyDescent="0.25">
      <c r="A105" s="12">
        <v>0.9375</v>
      </c>
      <c r="B105" s="18">
        <f t="shared" si="8"/>
        <v>7.670061181996389E-3</v>
      </c>
      <c r="C105" s="18">
        <f t="shared" si="8"/>
        <v>2.5674226567352935E-3</v>
      </c>
      <c r="D105" s="18">
        <f t="shared" si="8"/>
        <v>1.0867989321103881E-2</v>
      </c>
      <c r="E105" s="18">
        <f t="shared" si="8"/>
        <v>9.4510149376526072E-4</v>
      </c>
      <c r="F105" s="18">
        <f t="shared" si="8"/>
        <v>8.5670987441936117E-3</v>
      </c>
      <c r="H105" s="12">
        <v>0.9375</v>
      </c>
      <c r="I105" s="17">
        <f t="shared" si="7"/>
        <v>6.8505964154484452E-3</v>
      </c>
      <c r="J105" s="17">
        <f t="shared" si="7"/>
        <v>7.843907353652051E-3</v>
      </c>
      <c r="K105" s="17">
        <f t="shared" si="7"/>
        <v>1.4552985874503242E-2</v>
      </c>
      <c r="L105" s="17">
        <f t="shared" si="7"/>
        <v>3.6229739410570103E-3</v>
      </c>
      <c r="M105" s="18">
        <f t="shared" si="7"/>
        <v>1.1224280850277709E-2</v>
      </c>
    </row>
    <row r="106" spans="1:13" x14ac:dyDescent="0.25">
      <c r="A106" s="12">
        <v>0.95833333333333337</v>
      </c>
      <c r="B106" s="18">
        <f t="shared" si="8"/>
        <v>6.4817872740161684E-3</v>
      </c>
      <c r="C106" s="18">
        <f t="shared" si="8"/>
        <v>2.382341370145616E-3</v>
      </c>
      <c r="D106" s="18">
        <f t="shared" si="8"/>
        <v>7.1488228606481786E-3</v>
      </c>
      <c r="E106" s="18">
        <f t="shared" si="8"/>
        <v>5.7342819810857345E-4</v>
      </c>
      <c r="F106" s="18">
        <f t="shared" si="8"/>
        <v>6.1323079350908546E-3</v>
      </c>
      <c r="H106" s="12">
        <v>0.95833333333333337</v>
      </c>
      <c r="I106" s="17">
        <f t="shared" si="7"/>
        <v>5.5202446514962334E-3</v>
      </c>
      <c r="J106" s="17">
        <f t="shared" si="7"/>
        <v>6.3645286914699875E-3</v>
      </c>
      <c r="K106" s="17">
        <f t="shared" si="7"/>
        <v>1.0977038302177548E-2</v>
      </c>
      <c r="L106" s="17">
        <f t="shared" si="7"/>
        <v>2.5078561086134912E-3</v>
      </c>
      <c r="M106" s="18">
        <f t="shared" si="7"/>
        <v>8.6156595619857178E-3</v>
      </c>
    </row>
    <row r="107" spans="1:13" x14ac:dyDescent="0.25">
      <c r="A107" s="12">
        <v>0.97916666666666663</v>
      </c>
      <c r="B107" s="18">
        <f t="shared" si="8"/>
        <v>5.0917323366213079E-3</v>
      </c>
      <c r="C107" s="18">
        <f t="shared" si="8"/>
        <v>2.1875242772094483E-3</v>
      </c>
      <c r="D107" s="18">
        <f t="shared" si="8"/>
        <v>4.407549305705959E-3</v>
      </c>
      <c r="E107" s="18">
        <f t="shared" si="8"/>
        <v>2.8332957256960498E-4</v>
      </c>
      <c r="F107" s="18">
        <f t="shared" si="8"/>
        <v>4.1838567515925231E-3</v>
      </c>
      <c r="H107" s="12">
        <v>0.97916666666666663</v>
      </c>
      <c r="I107" s="17">
        <f t="shared" si="7"/>
        <v>4.1710875746196032E-3</v>
      </c>
      <c r="J107" s="17">
        <f t="shared" si="7"/>
        <v>4.8124277580489563E-3</v>
      </c>
      <c r="K107" s="17">
        <f t="shared" si="7"/>
        <v>7.7632136584942007E-3</v>
      </c>
      <c r="L107" s="17">
        <f t="shared" si="7"/>
        <v>1.551375481237701E-3</v>
      </c>
      <c r="M107" s="18">
        <f t="shared" si="7"/>
        <v>6.2011831594397087E-3</v>
      </c>
    </row>
    <row r="108" spans="1:13" x14ac:dyDescent="0.25">
      <c r="A108" s="12">
        <v>1</v>
      </c>
      <c r="B108" s="18">
        <f t="shared" si="8"/>
        <v>3.5915401477119055E-3</v>
      </c>
      <c r="C108" s="18">
        <f t="shared" si="8"/>
        <v>1.8310553453909286E-3</v>
      </c>
      <c r="D108" s="18">
        <f t="shared" si="8"/>
        <v>2.5164112854960761E-3</v>
      </c>
      <c r="E108" s="18">
        <f t="shared" si="8"/>
        <v>1.1217126872943476E-4</v>
      </c>
      <c r="F108" s="18">
        <f t="shared" si="8"/>
        <v>2.6579270034434999E-3</v>
      </c>
      <c r="H108" s="12">
        <v>1</v>
      </c>
      <c r="I108" s="17">
        <f t="shared" si="7"/>
        <v>2.8546821888696065E-3</v>
      </c>
      <c r="J108" s="17">
        <f t="shared" si="7"/>
        <v>3.2888419007506809E-3</v>
      </c>
      <c r="K108" s="17">
        <f t="shared" si="7"/>
        <v>5.0129461172200166E-3</v>
      </c>
      <c r="L108" s="17">
        <f t="shared" si="7"/>
        <v>8.6308260637124926E-4</v>
      </c>
      <c r="M108" s="18">
        <f t="shared" si="7"/>
        <v>4.0685335258717507E-3</v>
      </c>
    </row>
    <row r="109" spans="1:13" x14ac:dyDescent="0.25">
      <c r="A109" s="12">
        <v>1.0208333333333333</v>
      </c>
      <c r="B109" s="18">
        <f t="shared" si="8"/>
        <v>2.2156563161810487E-3</v>
      </c>
      <c r="C109" s="18">
        <f t="shared" si="8"/>
        <v>1.3243054288562728E-3</v>
      </c>
      <c r="D109" s="18">
        <f t="shared" si="8"/>
        <v>1.3070713832767351E-3</v>
      </c>
      <c r="E109" s="18">
        <f t="shared" si="8"/>
        <v>3.4737034087670122E-5</v>
      </c>
      <c r="F109" s="18">
        <f t="shared" si="8"/>
        <v>1.5283091961317797E-3</v>
      </c>
      <c r="H109" s="12">
        <v>1.0208333333333333</v>
      </c>
      <c r="I109" s="17">
        <f t="shared" si="7"/>
        <v>1.7194815261953708E-3</v>
      </c>
      <c r="J109" s="17">
        <f t="shared" si="7"/>
        <v>1.9782901090701298E-3</v>
      </c>
      <c r="K109" s="17">
        <f t="shared" si="7"/>
        <v>2.8791330044083065E-3</v>
      </c>
      <c r="L109" s="17">
        <f t="shared" si="7"/>
        <v>4.3297757397588865E-4</v>
      </c>
      <c r="M109" s="18">
        <f t="shared" si="7"/>
        <v>2.3686676610208553E-3</v>
      </c>
    </row>
    <row r="110" spans="1:13" x14ac:dyDescent="0.25">
      <c r="A110" s="12">
        <v>4.1666666666666664E-2</v>
      </c>
      <c r="B110" s="18">
        <f t="shared" si="8"/>
        <v>1.1710436152737127E-3</v>
      </c>
      <c r="C110" s="18">
        <f t="shared" si="8"/>
        <v>8.0259462304169897E-4</v>
      </c>
      <c r="D110" s="18">
        <f t="shared" si="8"/>
        <v>6.0417643419687485E-4</v>
      </c>
      <c r="E110" s="18">
        <f t="shared" si="8"/>
        <v>8.1076652603376427E-6</v>
      </c>
      <c r="F110" s="18">
        <f t="shared" si="8"/>
        <v>7.7294524710797572E-4</v>
      </c>
      <c r="H110" s="12">
        <v>4.1666666666666664E-2</v>
      </c>
      <c r="I110" s="17">
        <f t="shared" si="7"/>
        <v>8.8990688515245241E-4</v>
      </c>
      <c r="J110" s="17">
        <f t="shared" si="7"/>
        <v>1.0233692183271692E-3</v>
      </c>
      <c r="K110" s="17">
        <f t="shared" si="7"/>
        <v>1.4350973940895975E-3</v>
      </c>
      <c r="L110" s="17">
        <f t="shared" si="7"/>
        <v>1.9455167737593711E-4</v>
      </c>
      <c r="M110" s="18">
        <f t="shared" si="7"/>
        <v>1.19398634679944E-3</v>
      </c>
    </row>
    <row r="111" spans="1:13" x14ac:dyDescent="0.25">
      <c r="A111" s="12">
        <v>6.25E-2</v>
      </c>
      <c r="B111" s="18">
        <f t="shared" si="8"/>
        <v>5.20544543661294E-4</v>
      </c>
      <c r="C111" s="18">
        <f t="shared" si="8"/>
        <v>3.9915457642318445E-4</v>
      </c>
      <c r="D111" s="18">
        <f t="shared" si="8"/>
        <v>2.4233006395423684E-4</v>
      </c>
      <c r="E111" s="18">
        <f t="shared" si="8"/>
        <v>1.3415094454205871E-6</v>
      </c>
      <c r="F111" s="18">
        <f t="shared" si="8"/>
        <v>3.3456260378777455E-4</v>
      </c>
      <c r="H111" s="12">
        <v>6.25E-2</v>
      </c>
      <c r="I111" s="17">
        <f t="shared" si="7"/>
        <v>3.8700882413115388E-4</v>
      </c>
      <c r="J111" s="17">
        <f t="shared" si="7"/>
        <v>4.4525242222910935E-4</v>
      </c>
      <c r="K111" s="17">
        <f t="shared" si="7"/>
        <v>6.0607946803132944E-4</v>
      </c>
      <c r="L111" s="17">
        <f t="shared" si="7"/>
        <v>7.6837776633357E-5</v>
      </c>
      <c r="M111" s="18">
        <f t="shared" si="7"/>
        <v>5.0889092462323877E-4</v>
      </c>
    </row>
    <row r="112" spans="1:13" x14ac:dyDescent="0.25">
      <c r="A112" s="12">
        <v>8.3333333333333329E-2</v>
      </c>
      <c r="B112" s="18">
        <f t="shared" si="8"/>
        <v>1.9081215329675832E-4</v>
      </c>
      <c r="C112" s="18">
        <f t="shared" si="8"/>
        <v>1.5965955659270762E-4</v>
      </c>
      <c r="D112" s="18">
        <f t="shared" si="8"/>
        <v>8.1985975286146434E-5</v>
      </c>
      <c r="E112" s="18">
        <f t="shared" si="8"/>
        <v>1.4028765187177875E-7</v>
      </c>
      <c r="F112" s="18">
        <f t="shared" si="8"/>
        <v>1.2059388426441098E-4</v>
      </c>
      <c r="H112" s="12">
        <v>8.3333333333333329E-2</v>
      </c>
      <c r="I112" s="17">
        <f t="shared" si="7"/>
        <v>1.3807320471941753E-4</v>
      </c>
      <c r="J112" s="17">
        <f t="shared" si="7"/>
        <v>1.5903018814580113E-4</v>
      </c>
      <c r="K112" s="17">
        <f t="shared" si="7"/>
        <v>2.1134165936876912E-4</v>
      </c>
      <c r="L112" s="17">
        <f t="shared" si="7"/>
        <v>2.5885219510965469E-5</v>
      </c>
      <c r="M112" s="18">
        <f t="shared" si="7"/>
        <v>1.7877991228001681E-4</v>
      </c>
    </row>
    <row r="113" spans="1:13" x14ac:dyDescent="0.25">
      <c r="A113" s="12">
        <v>0.10416666666666667</v>
      </c>
      <c r="B113" s="18">
        <f t="shared" si="8"/>
        <v>5.6287361974993556E-5</v>
      </c>
      <c r="C113" s="18">
        <f t="shared" si="8"/>
        <v>5.007164186604293E-5</v>
      </c>
      <c r="D113" s="18">
        <f t="shared" si="8"/>
        <v>2.2635418201321872E-5</v>
      </c>
      <c r="E113" s="18">
        <f t="shared" si="8"/>
        <v>6.9725885334046999E-9</v>
      </c>
      <c r="F113" s="18">
        <f t="shared" si="8"/>
        <v>3.510598970879104E-5</v>
      </c>
      <c r="H113" s="12">
        <v>0.10416666666666667</v>
      </c>
      <c r="I113" s="17">
        <f t="shared" ref="I113:M115" si="9">I56/I$59</f>
        <v>3.9225677143293658E-5</v>
      </c>
      <c r="J113" s="17">
        <f t="shared" si="9"/>
        <v>4.5245544544955512E-5</v>
      </c>
      <c r="K113" s="17">
        <f t="shared" si="9"/>
        <v>5.8968091471304403E-5</v>
      </c>
      <c r="L113" s="17">
        <f t="shared" si="9"/>
        <v>7.1494816543272381E-6</v>
      </c>
      <c r="M113" s="18">
        <f t="shared" si="9"/>
        <v>5.018817534481459E-5</v>
      </c>
    </row>
    <row r="114" spans="1:13" x14ac:dyDescent="0.25">
      <c r="A114" s="12">
        <v>0.125</v>
      </c>
      <c r="B114" s="18">
        <f t="shared" ref="B114:F115" si="10">B57/B$59</f>
        <v>1.2686097657345422E-5</v>
      </c>
      <c r="C114" s="18">
        <f t="shared" si="10"/>
        <v>1.1660432131304737E-5</v>
      </c>
      <c r="D114" s="18">
        <f t="shared" si="10"/>
        <v>4.8124090544479719E-6</v>
      </c>
      <c r="E114" s="18">
        <f t="shared" si="10"/>
        <v>0</v>
      </c>
      <c r="F114" s="18">
        <f t="shared" si="10"/>
        <v>7.8013292208351845E-6</v>
      </c>
      <c r="H114" s="12">
        <v>0.125</v>
      </c>
      <c r="I114" s="17">
        <f t="shared" si="9"/>
        <v>8.388343430963555E-6</v>
      </c>
      <c r="J114" s="17">
        <f t="shared" si="9"/>
        <v>9.6902760372906073E-6</v>
      </c>
      <c r="K114" s="17">
        <f t="shared" si="9"/>
        <v>1.2433382117615904E-5</v>
      </c>
      <c r="L114" s="17">
        <f t="shared" si="9"/>
        <v>1.515722193070246E-6</v>
      </c>
      <c r="M114" s="18">
        <f t="shared" si="9"/>
        <v>1.0634472147406062E-5</v>
      </c>
    </row>
    <row r="115" spans="1:13" ht="15.75" thickBot="1" x14ac:dyDescent="0.3">
      <c r="A115" s="13" t="s">
        <v>34</v>
      </c>
      <c r="B115" s="20">
        <f t="shared" si="10"/>
        <v>0</v>
      </c>
      <c r="C115" s="20">
        <f t="shared" si="10"/>
        <v>0</v>
      </c>
      <c r="D115" s="20">
        <f t="shared" si="10"/>
        <v>0</v>
      </c>
      <c r="E115" s="20">
        <f t="shared" si="10"/>
        <v>0</v>
      </c>
      <c r="F115" s="20">
        <f t="shared" si="10"/>
        <v>0</v>
      </c>
      <c r="H115" s="13" t="s">
        <v>34</v>
      </c>
      <c r="I115" s="19">
        <f t="shared" si="9"/>
        <v>0</v>
      </c>
      <c r="J115" s="19">
        <f t="shared" si="9"/>
        <v>0</v>
      </c>
      <c r="K115" s="19">
        <f t="shared" si="9"/>
        <v>0</v>
      </c>
      <c r="L115" s="19">
        <f t="shared" si="9"/>
        <v>0</v>
      </c>
      <c r="M115" s="20">
        <f t="shared" si="9"/>
        <v>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13"/>
  <sheetViews>
    <sheetView workbookViewId="0">
      <selection activeCell="A3" sqref="A3"/>
    </sheetView>
  </sheetViews>
  <sheetFormatPr defaultRowHeight="15" x14ac:dyDescent="0.25"/>
  <cols>
    <col min="1" max="1" width="12.7109375" customWidth="1" collapsed="1"/>
    <col min="2" max="6" width="10.7109375" customWidth="1" collapsed="1"/>
    <col min="7" max="7" width="6.42578125" customWidth="1" collapsed="1"/>
    <col min="8" max="8" width="12.7109375" customWidth="1" collapsed="1"/>
    <col min="9" max="13" width="10.7109375" customWidth="1" collapsed="1"/>
  </cols>
  <sheetData>
    <row r="1" spans="1:17" x14ac:dyDescent="0.25">
      <c r="A1" t="s">
        <v>10</v>
      </c>
    </row>
    <row r="2" spans="1:17" x14ac:dyDescent="0.25">
      <c r="A2" t="s">
        <v>46</v>
      </c>
    </row>
    <row r="3" spans="1:17" x14ac:dyDescent="0.25">
      <c r="A3" t="s">
        <v>7</v>
      </c>
    </row>
    <row r="5" spans="1:17" x14ac:dyDescent="0.25">
      <c r="O5" s="5"/>
      <c r="P5" s="5"/>
      <c r="Q5" s="5"/>
    </row>
    <row r="6" spans="1:17" ht="15.75" thickBot="1" x14ac:dyDescent="0.3">
      <c r="A6" s="3" t="s">
        <v>50</v>
      </c>
      <c r="B6" s="1"/>
      <c r="C6" s="1"/>
      <c r="D6" s="1"/>
      <c r="E6" s="1"/>
      <c r="F6" s="1"/>
      <c r="H6" s="3" t="s">
        <v>15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14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14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s="15">
        <v>0</v>
      </c>
      <c r="B8" s="6">
        <v>31271.904113300301</v>
      </c>
      <c r="C8" s="6">
        <v>3257.7369405150002</v>
      </c>
      <c r="D8" s="6">
        <v>1325996.584800747</v>
      </c>
      <c r="E8" s="6">
        <v>101582.41709017129</v>
      </c>
      <c r="F8" s="6">
        <f>SUM(B8:E8)</f>
        <v>1462108.6429447336</v>
      </c>
      <c r="H8" s="15">
        <v>0</v>
      </c>
      <c r="I8" s="14">
        <v>41766.855280781056</v>
      </c>
      <c r="J8" s="14">
        <v>52203.166558245</v>
      </c>
      <c r="K8" s="14">
        <v>1429545.6882960508</v>
      </c>
      <c r="L8" s="14">
        <v>103083.30360391241</v>
      </c>
      <c r="M8" s="14">
        <f>SUM(I8:L8)</f>
        <v>1626599.0137389894</v>
      </c>
      <c r="O8" s="5"/>
      <c r="P8" s="14"/>
      <c r="Q8" s="14"/>
    </row>
    <row r="9" spans="1:17" x14ac:dyDescent="0.25">
      <c r="A9" s="12">
        <v>2.0833333333333332E-2</v>
      </c>
      <c r="B9" s="6">
        <v>32335.478141381736</v>
      </c>
      <c r="C9" s="6">
        <v>9250.7674400738561</v>
      </c>
      <c r="D9" s="6">
        <v>1007317.641613347</v>
      </c>
      <c r="E9" s="6">
        <v>72740.914679176145</v>
      </c>
      <c r="F9" s="6">
        <f t="shared" ref="F9:F56" si="0">SUM(B9:E9)</f>
        <v>1121644.8018739787</v>
      </c>
      <c r="H9" s="12">
        <v>2.0833333333333332E-2</v>
      </c>
      <c r="I9" s="9">
        <v>39470.984967544813</v>
      </c>
      <c r="J9" s="9">
        <v>46961.647770807307</v>
      </c>
      <c r="K9" s="9">
        <v>1069069.3566619847</v>
      </c>
      <c r="L9" s="9">
        <v>73095.713825927494</v>
      </c>
      <c r="M9" s="14">
        <f t="shared" ref="M9:M56" si="1">SUM(I9:L9)</f>
        <v>1228597.7032262643</v>
      </c>
      <c r="O9" s="5"/>
      <c r="P9" s="16"/>
      <c r="Q9" s="16"/>
    </row>
    <row r="10" spans="1:17" x14ac:dyDescent="0.25">
      <c r="A10" s="12">
        <v>4.1666666666666664E-2</v>
      </c>
      <c r="B10" s="6">
        <v>33638.660322013668</v>
      </c>
      <c r="C10" s="6">
        <v>14498.272165587252</v>
      </c>
      <c r="D10" s="6">
        <v>722073.16173702758</v>
      </c>
      <c r="E10" s="6">
        <v>47572.332915012885</v>
      </c>
      <c r="F10" s="6">
        <f t="shared" si="0"/>
        <v>817782.42713964137</v>
      </c>
      <c r="H10" s="12">
        <v>4.1666666666666664E-2</v>
      </c>
      <c r="I10" s="9">
        <v>38220.670803170186</v>
      </c>
      <c r="J10" s="9">
        <v>42755.751230973197</v>
      </c>
      <c r="K10" s="9">
        <v>750314.22919798782</v>
      </c>
      <c r="L10" s="9">
        <v>47203.607120514025</v>
      </c>
      <c r="M10" s="14">
        <f t="shared" si="1"/>
        <v>878494.25835264521</v>
      </c>
      <c r="O10" s="5"/>
      <c r="P10" s="16"/>
      <c r="Q10" s="16"/>
    </row>
    <row r="11" spans="1:17" x14ac:dyDescent="0.25">
      <c r="A11" s="12">
        <v>6.25E-2</v>
      </c>
      <c r="B11" s="6">
        <v>35350.972979902152</v>
      </c>
      <c r="C11" s="6">
        <v>18507.817644425271</v>
      </c>
      <c r="D11" s="6">
        <v>491710.18635360902</v>
      </c>
      <c r="E11" s="6">
        <v>28363.019119147459</v>
      </c>
      <c r="F11" s="6">
        <f t="shared" si="0"/>
        <v>573931.9960970839</v>
      </c>
      <c r="H11" s="12">
        <v>6.25E-2</v>
      </c>
      <c r="I11" s="9">
        <v>38621.896170432556</v>
      </c>
      <c r="J11" s="9">
        <v>40095.231785575743</v>
      </c>
      <c r="K11" s="9">
        <v>498934.83726246248</v>
      </c>
      <c r="L11" s="9">
        <v>27834.519520629095</v>
      </c>
      <c r="M11" s="14">
        <f t="shared" si="1"/>
        <v>605486.48473909986</v>
      </c>
      <c r="O11" s="5"/>
      <c r="P11" s="16"/>
      <c r="Q11" s="16"/>
    </row>
    <row r="12" spans="1:17" x14ac:dyDescent="0.25">
      <c r="A12" s="12">
        <v>8.3333333333333329E-2</v>
      </c>
      <c r="B12" s="6">
        <v>37539.230668158976</v>
      </c>
      <c r="C12" s="6">
        <v>21115.788029500309</v>
      </c>
      <c r="D12" s="6">
        <v>321303.88521218562</v>
      </c>
      <c r="E12" s="6">
        <v>15470.170324188044</v>
      </c>
      <c r="F12" s="6">
        <f t="shared" si="0"/>
        <v>395429.07423403295</v>
      </c>
      <c r="H12" s="12">
        <v>8.3333333333333329E-2</v>
      </c>
      <c r="I12" s="9">
        <v>40644.864795208807</v>
      </c>
      <c r="J12" s="9">
        <v>38819.639935920313</v>
      </c>
      <c r="K12" s="9">
        <v>319033.04032630718</v>
      </c>
      <c r="L12" s="9">
        <v>15176.281490717729</v>
      </c>
      <c r="M12" s="14">
        <f t="shared" si="1"/>
        <v>413673.82654815406</v>
      </c>
      <c r="O12" s="5"/>
      <c r="P12" s="16"/>
      <c r="Q12" s="16"/>
    </row>
    <row r="13" spans="1:17" x14ac:dyDescent="0.25">
      <c r="A13" s="12">
        <v>0.10416666666666667</v>
      </c>
      <c r="B13" s="6">
        <v>40144.807086659865</v>
      </c>
      <c r="C13" s="6">
        <v>22432.330647994015</v>
      </c>
      <c r="D13" s="6">
        <v>203587.9460064458</v>
      </c>
      <c r="E13" s="6">
        <v>7781.8437319213072</v>
      </c>
      <c r="F13" s="6">
        <f t="shared" si="0"/>
        <v>273946.92747302097</v>
      </c>
      <c r="H13" s="12">
        <v>0.10416666666666667</v>
      </c>
      <c r="I13" s="9">
        <v>43722.542320206274</v>
      </c>
      <c r="J13" s="9">
        <v>38354.519829651486</v>
      </c>
      <c r="K13" s="9">
        <v>199263.87793302181</v>
      </c>
      <c r="L13" s="9">
        <v>7832.6452609834359</v>
      </c>
      <c r="M13" s="14">
        <f t="shared" si="1"/>
        <v>289173.585343863</v>
      </c>
      <c r="O13" s="5"/>
      <c r="P13" s="5"/>
      <c r="Q13" s="5"/>
    </row>
    <row r="14" spans="1:17" x14ac:dyDescent="0.25">
      <c r="A14" s="12">
        <v>0.125</v>
      </c>
      <c r="B14" s="6">
        <v>42937.780034750831</v>
      </c>
      <c r="C14" s="6">
        <v>22867.550083709615</v>
      </c>
      <c r="D14" s="6">
        <v>126232.78544336549</v>
      </c>
      <c r="E14" s="6">
        <v>3643.2508205244176</v>
      </c>
      <c r="F14" s="6">
        <f t="shared" si="0"/>
        <v>195681.36638235033</v>
      </c>
      <c r="H14" s="12">
        <v>0.125</v>
      </c>
      <c r="I14" s="9">
        <v>47039.698320166724</v>
      </c>
      <c r="J14" s="9">
        <v>38088.559656409008</v>
      </c>
      <c r="K14" s="9">
        <v>123082.39920754291</v>
      </c>
      <c r="L14" s="9">
        <v>3947.1001353980619</v>
      </c>
      <c r="M14" s="14">
        <f t="shared" si="1"/>
        <v>212157.75731951671</v>
      </c>
    </row>
    <row r="15" spans="1:17" x14ac:dyDescent="0.25">
      <c r="A15" s="12">
        <v>0.14583333333333334</v>
      </c>
      <c r="B15" s="6">
        <v>45510.6189331356</v>
      </c>
      <c r="C15" s="6">
        <v>23346.27341328255</v>
      </c>
      <c r="D15" s="6">
        <v>77262.991165051542</v>
      </c>
      <c r="E15" s="6">
        <v>1594.5833276773867</v>
      </c>
      <c r="F15" s="6">
        <f t="shared" si="0"/>
        <v>147714.46683914709</v>
      </c>
      <c r="H15" s="12">
        <v>0.14583333333333334</v>
      </c>
      <c r="I15" s="9">
        <v>49902.032653876071</v>
      </c>
      <c r="J15" s="9">
        <v>37632.179070388294</v>
      </c>
      <c r="K15" s="9">
        <v>75840.151296206051</v>
      </c>
      <c r="L15" s="9">
        <v>1998.4869649565915</v>
      </c>
      <c r="M15" s="14">
        <f t="shared" si="1"/>
        <v>165372.84998542702</v>
      </c>
    </row>
    <row r="16" spans="1:17" x14ac:dyDescent="0.25">
      <c r="A16" s="12">
        <v>0.16666666666666666</v>
      </c>
      <c r="B16" s="6">
        <v>47440.719982880211</v>
      </c>
      <c r="C16" s="6">
        <v>25505.675171760631</v>
      </c>
      <c r="D16" s="6">
        <v>47227.599266476696</v>
      </c>
      <c r="E16" s="6">
        <v>649.9458019511859</v>
      </c>
      <c r="F16" s="6">
        <f t="shared" si="0"/>
        <v>120823.94022306871</v>
      </c>
      <c r="H16" s="12">
        <v>0.16666666666666666</v>
      </c>
      <c r="I16" s="9">
        <v>52095.424577025289</v>
      </c>
      <c r="J16" s="9">
        <v>36919.801583361259</v>
      </c>
      <c r="K16" s="9">
        <v>46987.560178231251</v>
      </c>
      <c r="L16" s="9">
        <v>1031.6713157305394</v>
      </c>
      <c r="M16" s="14">
        <f t="shared" si="1"/>
        <v>137034.45765434834</v>
      </c>
    </row>
    <row r="17" spans="1:13" x14ac:dyDescent="0.25">
      <c r="A17" s="12">
        <v>0.1875</v>
      </c>
      <c r="B17" s="6">
        <v>48660.098426792938</v>
      </c>
      <c r="C17" s="6">
        <v>31392.629678540186</v>
      </c>
      <c r="D17" s="6">
        <v>29334.147177097359</v>
      </c>
      <c r="E17" s="6">
        <v>244.74251131428531</v>
      </c>
      <c r="F17" s="6">
        <f t="shared" si="0"/>
        <v>109631.61779374476</v>
      </c>
      <c r="H17" s="12">
        <v>0.1875</v>
      </c>
      <c r="I17" s="9">
        <v>54099.018868430248</v>
      </c>
      <c r="J17" s="9">
        <v>36195.533393284662</v>
      </c>
      <c r="K17" s="9">
        <v>29537.268151805918</v>
      </c>
      <c r="L17" s="9">
        <v>541.16009651704712</v>
      </c>
      <c r="M17" s="14">
        <f t="shared" si="1"/>
        <v>120372.98051003787</v>
      </c>
    </row>
    <row r="18" spans="1:13" x14ac:dyDescent="0.25">
      <c r="A18" s="12">
        <v>0.20833333333333334</v>
      </c>
      <c r="B18" s="6">
        <v>49882.863832609823</v>
      </c>
      <c r="C18" s="6">
        <v>42289.543272374583</v>
      </c>
      <c r="D18" s="6">
        <v>18917.04818953326</v>
      </c>
      <c r="E18" s="6">
        <v>85.057649740141699</v>
      </c>
      <c r="F18" s="6">
        <f t="shared" si="0"/>
        <v>111174.51294425782</v>
      </c>
      <c r="H18" s="12">
        <v>0.20833333333333334</v>
      </c>
      <c r="I18" s="9">
        <v>57010.151266551096</v>
      </c>
      <c r="J18" s="9">
        <v>35871.983499536909</v>
      </c>
      <c r="K18" s="9">
        <v>19000.165628348914</v>
      </c>
      <c r="L18" s="9">
        <v>283.53037511587428</v>
      </c>
      <c r="M18" s="14">
        <f t="shared" si="1"/>
        <v>112165.83076955281</v>
      </c>
    </row>
    <row r="19" spans="1:13" x14ac:dyDescent="0.25">
      <c r="A19" s="12">
        <v>0.22916666666666666</v>
      </c>
      <c r="B19" s="6">
        <v>52825.816524145252</v>
      </c>
      <c r="C19" s="6">
        <v>57080.067903524803</v>
      </c>
      <c r="D19" s="6">
        <v>12875.840230924245</v>
      </c>
      <c r="E19" s="6">
        <v>27.656956319101468</v>
      </c>
      <c r="F19" s="6">
        <f t="shared" si="0"/>
        <v>122809.38161491339</v>
      </c>
      <c r="H19" s="12">
        <v>0.22916666666666666</v>
      </c>
      <c r="I19" s="9">
        <v>62176.320414618051</v>
      </c>
      <c r="J19" s="9">
        <v>36261.078166296829</v>
      </c>
      <c r="K19" s="9">
        <v>12576.887418698516</v>
      </c>
      <c r="L19" s="9">
        <v>144.90474910167706</v>
      </c>
      <c r="M19" s="14">
        <f t="shared" si="1"/>
        <v>111159.19074871509</v>
      </c>
    </row>
    <row r="20" spans="1:13" x14ac:dyDescent="0.25">
      <c r="A20" s="12">
        <v>0.25</v>
      </c>
      <c r="B20" s="6">
        <v>59952.782594312666</v>
      </c>
      <c r="C20" s="6">
        <v>71581.273620652646</v>
      </c>
      <c r="D20" s="6">
        <v>9252.3922112001983</v>
      </c>
      <c r="E20" s="6">
        <v>8.5523935345417819</v>
      </c>
      <c r="F20" s="6">
        <f t="shared" si="0"/>
        <v>140795.00081970004</v>
      </c>
      <c r="H20" s="12">
        <v>0.25</v>
      </c>
      <c r="I20" s="9">
        <v>70688.407506619522</v>
      </c>
      <c r="J20" s="9">
        <v>37293.666889051572</v>
      </c>
      <c r="K20" s="9">
        <v>8589.5270017851453</v>
      </c>
      <c r="L20" s="9">
        <v>70.715976601312263</v>
      </c>
      <c r="M20" s="14">
        <f t="shared" si="1"/>
        <v>116642.31737405754</v>
      </c>
    </row>
    <row r="21" spans="1:13" x14ac:dyDescent="0.25">
      <c r="A21" s="12">
        <v>0.27083333333333331</v>
      </c>
      <c r="B21" s="6">
        <v>73519.119866959023</v>
      </c>
      <c r="C21" s="6">
        <v>80165.818769631907</v>
      </c>
      <c r="D21" s="6">
        <v>6931.2168400305636</v>
      </c>
      <c r="E21" s="6">
        <v>2.4823922473580167</v>
      </c>
      <c r="F21" s="6">
        <f t="shared" si="0"/>
        <v>160618.63786886886</v>
      </c>
      <c r="H21" s="12">
        <v>0.27083333333333331</v>
      </c>
      <c r="I21" s="9">
        <v>82882.813124657143</v>
      </c>
      <c r="J21" s="9">
        <v>38422.719388666585</v>
      </c>
      <c r="K21" s="9">
        <v>6067.8641340918894</v>
      </c>
      <c r="L21" s="9">
        <v>32.700334610457347</v>
      </c>
      <c r="M21" s="14">
        <f t="shared" si="1"/>
        <v>127406.09698202608</v>
      </c>
    </row>
    <row r="22" spans="1:13" x14ac:dyDescent="0.25">
      <c r="A22" s="12">
        <v>0.29166666666666669</v>
      </c>
      <c r="B22" s="6">
        <v>93943.460973670095</v>
      </c>
      <c r="C22" s="6">
        <v>79087.854466074787</v>
      </c>
      <c r="D22" s="6">
        <v>5374.9235259945162</v>
      </c>
      <c r="E22" s="6">
        <v>0.6376840777312951</v>
      </c>
      <c r="F22" s="6">
        <f t="shared" si="0"/>
        <v>178406.87664981713</v>
      </c>
      <c r="H22" s="12">
        <v>0.29166666666666669</v>
      </c>
      <c r="I22" s="9">
        <v>97886.818854040132</v>
      </c>
      <c r="J22" s="9">
        <v>38816.709602115297</v>
      </c>
      <c r="K22" s="9">
        <v>4465.8311036411251</v>
      </c>
      <c r="L22" s="9">
        <v>14.604804725922007</v>
      </c>
      <c r="M22" s="14">
        <f t="shared" si="1"/>
        <v>141183.96436452249</v>
      </c>
    </row>
    <row r="23" spans="1:13" x14ac:dyDescent="0.25">
      <c r="A23" s="12">
        <v>0.3125</v>
      </c>
      <c r="B23" s="6">
        <v>118233.05483722128</v>
      </c>
      <c r="C23" s="6">
        <v>68909.197178699556</v>
      </c>
      <c r="D23" s="6">
        <v>4353.4364818579579</v>
      </c>
      <c r="E23" s="6">
        <v>0.13305646679170294</v>
      </c>
      <c r="F23" s="6">
        <f t="shared" si="0"/>
        <v>191495.82155424557</v>
      </c>
      <c r="H23" s="12">
        <v>0.3125</v>
      </c>
      <c r="I23" s="9">
        <v>113289.10879580652</v>
      </c>
      <c r="J23" s="9">
        <v>37749.98467670563</v>
      </c>
      <c r="K23" s="9">
        <v>3474.4000466240982</v>
      </c>
      <c r="L23" s="9">
        <v>6.6424514797722765</v>
      </c>
      <c r="M23" s="14">
        <f t="shared" si="1"/>
        <v>154520.13597061601</v>
      </c>
    </row>
    <row r="24" spans="1:13" x14ac:dyDescent="0.25">
      <c r="A24" s="12">
        <v>0.33333333333333331</v>
      </c>
      <c r="B24" s="6">
        <v>139903.95116852861</v>
      </c>
      <c r="C24" s="6">
        <v>53886.046021614107</v>
      </c>
      <c r="D24" s="6">
        <v>3722.8282128733508</v>
      </c>
      <c r="E24" s="6">
        <v>2.04526490390275E-2</v>
      </c>
      <c r="F24" s="6">
        <f t="shared" si="0"/>
        <v>197512.8458556651</v>
      </c>
      <c r="H24" s="12">
        <v>0.33333333333333331</v>
      </c>
      <c r="I24" s="9">
        <v>125281.90415582973</v>
      </c>
      <c r="J24" s="9">
        <v>34950.888610912836</v>
      </c>
      <c r="K24" s="9">
        <v>2894.6588103899162</v>
      </c>
      <c r="L24" s="9">
        <v>3.2553137629503883</v>
      </c>
      <c r="M24" s="14">
        <f t="shared" si="1"/>
        <v>163130.70689089547</v>
      </c>
    </row>
    <row r="25" spans="1:13" x14ac:dyDescent="0.25">
      <c r="A25" s="12">
        <v>0.35416666666666669</v>
      </c>
      <c r="B25" s="6">
        <v>151384.32091565593</v>
      </c>
      <c r="C25" s="6">
        <v>38980.696246186635</v>
      </c>
      <c r="D25" s="6">
        <v>3323.9046155835481</v>
      </c>
      <c r="E25" s="6">
        <v>2.0273422351831435E-3</v>
      </c>
      <c r="F25" s="6">
        <f t="shared" si="0"/>
        <v>193688.92380476833</v>
      </c>
      <c r="H25" s="12">
        <v>0.35416666666666669</v>
      </c>
      <c r="I25" s="9">
        <v>129700.38218640412</v>
      </c>
      <c r="J25" s="9">
        <v>30694.140568839233</v>
      </c>
      <c r="K25" s="9">
        <v>2563.6116202828453</v>
      </c>
      <c r="L25" s="9">
        <v>1.7033470708087206</v>
      </c>
      <c r="M25" s="14">
        <f t="shared" si="1"/>
        <v>162959.837722597</v>
      </c>
    </row>
    <row r="26" spans="1:13" x14ac:dyDescent="0.25">
      <c r="A26" s="12">
        <v>0.375</v>
      </c>
      <c r="B26" s="6">
        <v>147913.64827439701</v>
      </c>
      <c r="C26" s="6">
        <v>27175.418990397957</v>
      </c>
      <c r="D26" s="6">
        <v>2994.7473770899028</v>
      </c>
      <c r="E26" s="6">
        <v>9.6943078750610345E-5</v>
      </c>
      <c r="F26" s="6">
        <f t="shared" si="0"/>
        <v>178083.81473882793</v>
      </c>
      <c r="H26" s="12">
        <v>0.375</v>
      </c>
      <c r="I26" s="9">
        <v>123840.56870348798</v>
      </c>
      <c r="J26" s="9">
        <v>25606.117949870255</v>
      </c>
      <c r="K26" s="9">
        <v>2336.8709040519775</v>
      </c>
      <c r="L26" s="9">
        <v>0.87549739770232449</v>
      </c>
      <c r="M26" s="14">
        <f t="shared" si="1"/>
        <v>151784.43305480792</v>
      </c>
    </row>
    <row r="27" spans="1:13" x14ac:dyDescent="0.25">
      <c r="A27" s="12">
        <v>0.39583333333333331</v>
      </c>
      <c r="B27" s="6">
        <v>130201.05121987562</v>
      </c>
      <c r="C27" s="6">
        <v>18915.31498363414</v>
      </c>
      <c r="D27" s="6">
        <v>2626.4766337390211</v>
      </c>
      <c r="E27" s="6">
        <v>0</v>
      </c>
      <c r="F27" s="6">
        <f t="shared" si="0"/>
        <v>151742.84283724878</v>
      </c>
      <c r="H27" s="12">
        <v>0.39583333333333331</v>
      </c>
      <c r="I27" s="9">
        <v>108046.92741327311</v>
      </c>
      <c r="J27" s="9">
        <v>20351.934193516816</v>
      </c>
      <c r="K27" s="9">
        <v>2110.609920269032</v>
      </c>
      <c r="L27" s="9">
        <v>0.40306707795486607</v>
      </c>
      <c r="M27" s="14">
        <f t="shared" si="1"/>
        <v>130509.87459413693</v>
      </c>
    </row>
    <row r="28" spans="1:13" x14ac:dyDescent="0.25">
      <c r="A28" s="12">
        <v>0.41666666666666669</v>
      </c>
      <c r="B28" s="6">
        <v>103777.7668261902</v>
      </c>
      <c r="C28" s="6">
        <v>13249.839820625017</v>
      </c>
      <c r="D28" s="6">
        <v>2195.0909567581593</v>
      </c>
      <c r="E28" s="6">
        <v>0</v>
      </c>
      <c r="F28" s="6">
        <f t="shared" si="0"/>
        <v>119222.69760357337</v>
      </c>
      <c r="H28" s="12">
        <v>0.41666666666666669</v>
      </c>
      <c r="I28" s="9">
        <v>85824.694183682732</v>
      </c>
      <c r="J28" s="9">
        <v>15425.414169846534</v>
      </c>
      <c r="K28" s="9">
        <v>1843.5393287119132</v>
      </c>
      <c r="L28" s="9">
        <v>0.15547768645680038</v>
      </c>
      <c r="M28" s="14">
        <f t="shared" si="1"/>
        <v>103093.80315992763</v>
      </c>
    </row>
    <row r="29" spans="1:13" x14ac:dyDescent="0.25">
      <c r="A29" s="12">
        <v>0.4375</v>
      </c>
      <c r="B29" s="6">
        <v>75711.047324091574</v>
      </c>
      <c r="C29" s="6">
        <v>9149.1640103920508</v>
      </c>
      <c r="D29" s="6">
        <v>1746.0222337013417</v>
      </c>
      <c r="E29" s="6">
        <v>0</v>
      </c>
      <c r="F29" s="6">
        <f t="shared" si="0"/>
        <v>86606.233568184965</v>
      </c>
      <c r="H29" s="12">
        <v>0.4375</v>
      </c>
      <c r="I29" s="9">
        <v>62212.930024393521</v>
      </c>
      <c r="J29" s="9">
        <v>11125.784837574423</v>
      </c>
      <c r="K29" s="9">
        <v>1549.4712278935035</v>
      </c>
      <c r="L29" s="9">
        <v>4.7836516756680957E-2</v>
      </c>
      <c r="M29" s="14">
        <f t="shared" si="1"/>
        <v>74888.233926378205</v>
      </c>
    </row>
    <row r="30" spans="1:13" x14ac:dyDescent="0.25">
      <c r="A30" s="12">
        <v>0.45833333333333331</v>
      </c>
      <c r="B30" s="6">
        <v>51313.676196323897</v>
      </c>
      <c r="C30" s="6">
        <v>6068.4167532301335</v>
      </c>
      <c r="D30" s="6">
        <v>1346.4670156352909</v>
      </c>
      <c r="E30" s="6">
        <v>0</v>
      </c>
      <c r="F30" s="6">
        <f t="shared" si="0"/>
        <v>58728.559965189321</v>
      </c>
      <c r="H30" s="12">
        <v>0.45833333333333331</v>
      </c>
      <c r="I30" s="9">
        <v>41528.931101337512</v>
      </c>
      <c r="J30" s="9">
        <v>7626.4477214220242</v>
      </c>
      <c r="K30" s="9">
        <v>1264.0560728647897</v>
      </c>
      <c r="L30" s="9">
        <v>1.1182785034179688E-2</v>
      </c>
      <c r="M30" s="14">
        <f t="shared" si="1"/>
        <v>50419.446078409361</v>
      </c>
    </row>
    <row r="31" spans="1:13" x14ac:dyDescent="0.25">
      <c r="A31" s="12">
        <v>0.47916666666666669</v>
      </c>
      <c r="B31" s="6">
        <v>32851.275262846102</v>
      </c>
      <c r="C31" s="6">
        <v>3841.3575688823876</v>
      </c>
      <c r="D31" s="6">
        <v>1037.4511310211717</v>
      </c>
      <c r="E31" s="6">
        <v>0</v>
      </c>
      <c r="F31" s="6">
        <f t="shared" si="0"/>
        <v>37730.083962749668</v>
      </c>
      <c r="H31" s="12">
        <v>0.47916666666666669</v>
      </c>
      <c r="I31" s="9">
        <v>25963.680441759429</v>
      </c>
      <c r="J31" s="9">
        <v>5006.2182406748298</v>
      </c>
      <c r="K31" s="9">
        <v>1012.2330400811063</v>
      </c>
      <c r="L31" s="9">
        <v>1.8589496612548828E-3</v>
      </c>
      <c r="M31" s="14">
        <f t="shared" si="1"/>
        <v>31982.133581465027</v>
      </c>
    </row>
    <row r="32" spans="1:13" x14ac:dyDescent="0.25">
      <c r="A32" s="12">
        <v>0.5</v>
      </c>
      <c r="B32" s="6">
        <v>20190.869517929059</v>
      </c>
      <c r="C32" s="6">
        <v>2390.7147995557689</v>
      </c>
      <c r="D32" s="6">
        <v>814.00569973437496</v>
      </c>
      <c r="E32" s="6">
        <v>0</v>
      </c>
      <c r="F32" s="6">
        <f t="shared" si="0"/>
        <v>23395.590017219201</v>
      </c>
      <c r="H32" s="12">
        <v>0.5</v>
      </c>
      <c r="I32" s="9">
        <v>15596.367131301864</v>
      </c>
      <c r="J32" s="9">
        <v>3224.9215905688325</v>
      </c>
      <c r="K32" s="9">
        <v>797.16430373254934</v>
      </c>
      <c r="L32" s="9">
        <v>1.9550323486328125E-4</v>
      </c>
      <c r="M32" s="14">
        <f t="shared" si="1"/>
        <v>19618.45322110648</v>
      </c>
    </row>
    <row r="33" spans="1:13" x14ac:dyDescent="0.25">
      <c r="A33" s="12">
        <v>0.52083333333333337</v>
      </c>
      <c r="B33" s="6">
        <v>12103.973700067065</v>
      </c>
      <c r="C33" s="6">
        <v>1575.47894689852</v>
      </c>
      <c r="D33" s="6">
        <v>640.81487968313138</v>
      </c>
      <c r="E33" s="6">
        <v>0</v>
      </c>
      <c r="F33" s="6">
        <f t="shared" si="0"/>
        <v>14320.267526648717</v>
      </c>
      <c r="H33" s="12">
        <v>0.52083333333333337</v>
      </c>
      <c r="I33" s="9">
        <v>9292.1156209184701</v>
      </c>
      <c r="J33" s="9">
        <v>2118.8105540243255</v>
      </c>
      <c r="K33" s="9">
        <v>609.5919136838146</v>
      </c>
      <c r="L33" s="9">
        <v>9.7751617431640625E-6</v>
      </c>
      <c r="M33" s="14">
        <f t="shared" si="1"/>
        <v>12020.518098401772</v>
      </c>
    </row>
    <row r="34" spans="1:13" x14ac:dyDescent="0.25">
      <c r="A34" s="12">
        <v>0.54166666666666663</v>
      </c>
      <c r="B34" s="6">
        <v>7209.9336987107681</v>
      </c>
      <c r="C34" s="6">
        <v>1204.2153487371124</v>
      </c>
      <c r="D34" s="6">
        <v>484.72995481142641</v>
      </c>
      <c r="E34" s="6">
        <v>0</v>
      </c>
      <c r="F34" s="6">
        <f t="shared" si="0"/>
        <v>8898.8790022593075</v>
      </c>
      <c r="H34" s="12">
        <v>0.54166666666666663</v>
      </c>
      <c r="I34" s="9">
        <v>5645.4787911295716</v>
      </c>
      <c r="J34" s="9">
        <v>1461.8049883190408</v>
      </c>
      <c r="K34" s="9">
        <v>442.31407120241602</v>
      </c>
      <c r="L34" s="9">
        <v>0</v>
      </c>
      <c r="M34" s="14">
        <f t="shared" si="1"/>
        <v>7549.5978506510282</v>
      </c>
    </row>
    <row r="35" spans="1:13" x14ac:dyDescent="0.25">
      <c r="A35" s="12">
        <v>0.5625</v>
      </c>
      <c r="B35" s="6">
        <v>4365.1128919738949</v>
      </c>
      <c r="C35" s="6">
        <v>1101.1964264376238</v>
      </c>
      <c r="D35" s="6">
        <v>336.08636971969031</v>
      </c>
      <c r="E35" s="6">
        <v>0</v>
      </c>
      <c r="F35" s="6">
        <f t="shared" si="0"/>
        <v>5802.3956881312088</v>
      </c>
      <c r="H35" s="12">
        <v>0.5625</v>
      </c>
      <c r="I35" s="9">
        <v>3528.5157940426461</v>
      </c>
      <c r="J35" s="9">
        <v>1053.9239053007689</v>
      </c>
      <c r="K35" s="9">
        <v>296.81634944723413</v>
      </c>
      <c r="L35" s="9">
        <v>0</v>
      </c>
      <c r="M35" s="14">
        <f t="shared" si="1"/>
        <v>4879.2560487906485</v>
      </c>
    </row>
    <row r="36" spans="1:13" x14ac:dyDescent="0.25">
      <c r="A36" s="12">
        <v>0.58333333333333337</v>
      </c>
      <c r="B36" s="6">
        <v>2737.7008517810009</v>
      </c>
      <c r="C36" s="6">
        <v>1135.8890036732819</v>
      </c>
      <c r="D36" s="6">
        <v>205.85758403470089</v>
      </c>
      <c r="E36" s="6">
        <v>0</v>
      </c>
      <c r="F36" s="6">
        <f t="shared" si="0"/>
        <v>4079.4474394889835</v>
      </c>
      <c r="H36" s="12">
        <v>0.58333333333333337</v>
      </c>
      <c r="I36" s="9">
        <v>2241.3922766000182</v>
      </c>
      <c r="J36" s="9">
        <v>772.00852187550549</v>
      </c>
      <c r="K36" s="9">
        <v>179.94028636317279</v>
      </c>
      <c r="L36" s="9">
        <v>0</v>
      </c>
      <c r="M36" s="14">
        <f t="shared" si="1"/>
        <v>3193.3410848386961</v>
      </c>
    </row>
    <row r="37" spans="1:13" x14ac:dyDescent="0.25">
      <c r="A37" s="12">
        <v>0.60416666666666663</v>
      </c>
      <c r="B37" s="6">
        <v>1780.9657485530342</v>
      </c>
      <c r="C37" s="6">
        <v>1209.524347228092</v>
      </c>
      <c r="D37" s="6">
        <v>108.42348988895236</v>
      </c>
      <c r="E37" s="6">
        <v>0</v>
      </c>
      <c r="F37" s="6">
        <f t="shared" si="0"/>
        <v>3098.9135856700782</v>
      </c>
      <c r="H37" s="12">
        <v>0.60416666666666663</v>
      </c>
      <c r="I37" s="9">
        <v>1430.5034922502862</v>
      </c>
      <c r="J37" s="9">
        <v>562.92983887456114</v>
      </c>
      <c r="K37" s="9">
        <v>96.562933476301382</v>
      </c>
      <c r="L37" s="9">
        <v>0</v>
      </c>
      <c r="M37" s="14">
        <f t="shared" si="1"/>
        <v>2089.9962646011486</v>
      </c>
    </row>
    <row r="38" spans="1:13" x14ac:dyDescent="0.25">
      <c r="A38" s="12">
        <v>0.625</v>
      </c>
      <c r="B38" s="6">
        <v>1177.2914571095605</v>
      </c>
      <c r="C38" s="6">
        <v>1238.831874625768</v>
      </c>
      <c r="D38" s="6">
        <v>48.010977848389615</v>
      </c>
      <c r="E38" s="6">
        <v>0</v>
      </c>
      <c r="F38" s="6">
        <f t="shared" si="0"/>
        <v>2464.1343095837183</v>
      </c>
      <c r="H38" s="12">
        <v>0.625</v>
      </c>
      <c r="I38" s="9">
        <v>932.07483021234771</v>
      </c>
      <c r="J38" s="9">
        <v>408.32914724822564</v>
      </c>
      <c r="K38" s="9">
        <v>45.052756971178212</v>
      </c>
      <c r="L38" s="9">
        <v>0</v>
      </c>
      <c r="M38" s="14">
        <f t="shared" si="1"/>
        <v>1385.4567344317516</v>
      </c>
    </row>
    <row r="39" spans="1:13" x14ac:dyDescent="0.25">
      <c r="A39" s="12">
        <v>0.64583333333333337</v>
      </c>
      <c r="B39" s="6">
        <v>767.91377036487802</v>
      </c>
      <c r="C39" s="6">
        <v>1164.6970309059152</v>
      </c>
      <c r="D39" s="6">
        <v>17.461789908204981</v>
      </c>
      <c r="E39" s="6">
        <v>0</v>
      </c>
      <c r="F39" s="6">
        <f t="shared" si="0"/>
        <v>1950.0725911789982</v>
      </c>
      <c r="H39" s="12">
        <v>0.64583333333333337</v>
      </c>
      <c r="I39" s="9">
        <v>647.76018621808998</v>
      </c>
      <c r="J39" s="9">
        <v>296.60303248184999</v>
      </c>
      <c r="K39" s="9">
        <v>17.990528426409128</v>
      </c>
      <c r="L39" s="9">
        <v>0</v>
      </c>
      <c r="M39" s="14">
        <f t="shared" si="1"/>
        <v>962.35374712634916</v>
      </c>
    </row>
    <row r="40" spans="1:13" x14ac:dyDescent="0.25">
      <c r="A40" s="12">
        <v>0.66666666666666663</v>
      </c>
      <c r="B40" s="6">
        <v>484.4395549941047</v>
      </c>
      <c r="C40" s="6">
        <v>975.5631974090968</v>
      </c>
      <c r="D40" s="6">
        <v>5.0674355020381405</v>
      </c>
      <c r="E40" s="6">
        <v>0</v>
      </c>
      <c r="F40" s="6">
        <f t="shared" si="0"/>
        <v>1465.0701879052397</v>
      </c>
      <c r="H40" s="12">
        <v>0.66666666666666663</v>
      </c>
      <c r="I40" s="9">
        <v>492.59626317063527</v>
      </c>
      <c r="J40" s="9">
        <v>214.6305383955015</v>
      </c>
      <c r="K40" s="9">
        <v>6.0856197425325274</v>
      </c>
      <c r="L40" s="9">
        <v>0</v>
      </c>
      <c r="M40" s="14">
        <f t="shared" si="1"/>
        <v>713.3124213086694</v>
      </c>
    </row>
    <row r="41" spans="1:13" x14ac:dyDescent="0.25">
      <c r="A41" s="12">
        <v>0.6875</v>
      </c>
      <c r="B41" s="6">
        <v>297.56087816116582</v>
      </c>
      <c r="C41" s="6">
        <v>714.04026905572778</v>
      </c>
      <c r="D41" s="6">
        <v>1.126511596639614</v>
      </c>
      <c r="E41" s="6">
        <v>0</v>
      </c>
      <c r="F41" s="6">
        <f t="shared" si="0"/>
        <v>1012.7276588135333</v>
      </c>
      <c r="H41" s="12">
        <v>0.6875</v>
      </c>
      <c r="I41" s="9">
        <v>395.74573024674635</v>
      </c>
      <c r="J41" s="9">
        <v>151.19045645977391</v>
      </c>
      <c r="K41" s="9">
        <v>1.755652792807233</v>
      </c>
      <c r="L41" s="9">
        <v>0</v>
      </c>
      <c r="M41" s="14">
        <f t="shared" si="1"/>
        <v>548.69183949932756</v>
      </c>
    </row>
    <row r="42" spans="1:13" x14ac:dyDescent="0.25">
      <c r="A42" s="12">
        <v>0.70833333333333337</v>
      </c>
      <c r="B42" s="6">
        <v>187.52299838785831</v>
      </c>
      <c r="C42" s="6">
        <v>450.6567245223639</v>
      </c>
      <c r="D42" s="6">
        <v>0.17992670397373486</v>
      </c>
      <c r="E42" s="6">
        <v>0</v>
      </c>
      <c r="F42" s="6">
        <f t="shared" si="0"/>
        <v>638.35964961419586</v>
      </c>
      <c r="H42" s="12">
        <v>0.70833333333333337</v>
      </c>
      <c r="I42" s="9">
        <v>313.73393376901384</v>
      </c>
      <c r="J42" s="9">
        <v>100.49320828766955</v>
      </c>
      <c r="K42" s="9">
        <v>0.45489133893878003</v>
      </c>
      <c r="L42" s="9">
        <v>0</v>
      </c>
      <c r="M42" s="14">
        <f t="shared" si="1"/>
        <v>414.68203339562223</v>
      </c>
    </row>
    <row r="43" spans="1:13" x14ac:dyDescent="0.25">
      <c r="A43" s="12">
        <v>0.72916666666666663</v>
      </c>
      <c r="B43" s="6">
        <v>132.48981296184985</v>
      </c>
      <c r="C43" s="6">
        <v>242.81674688870226</v>
      </c>
      <c r="D43" s="6">
        <v>1.8365101652433397E-2</v>
      </c>
      <c r="E43" s="6">
        <v>0</v>
      </c>
      <c r="F43" s="6">
        <f t="shared" si="0"/>
        <v>375.32492495220453</v>
      </c>
      <c r="H43" s="12">
        <v>0.72916666666666663</v>
      </c>
      <c r="I43" s="9">
        <v>232.35935989078678</v>
      </c>
      <c r="J43" s="9">
        <v>61.29915005288715</v>
      </c>
      <c r="K43" s="9">
        <v>0.11882610542912259</v>
      </c>
      <c r="L43" s="9">
        <v>0</v>
      </c>
      <c r="M43" s="14">
        <f t="shared" si="1"/>
        <v>293.7773360491031</v>
      </c>
    </row>
    <row r="44" spans="1:13" x14ac:dyDescent="0.25">
      <c r="A44" s="12">
        <v>0.75</v>
      </c>
      <c r="B44" s="6">
        <v>108.35840593185318</v>
      </c>
      <c r="C44" s="6">
        <v>110.72074282920363</v>
      </c>
      <c r="D44" s="6">
        <v>8.9912263907527927E-4</v>
      </c>
      <c r="E44" s="6">
        <v>0</v>
      </c>
      <c r="F44" s="6">
        <f t="shared" si="0"/>
        <v>219.0800478836959</v>
      </c>
      <c r="H44" s="12">
        <v>0.75</v>
      </c>
      <c r="I44" s="9">
        <v>156.20799858844555</v>
      </c>
      <c r="J44" s="9">
        <v>33.622499771742866</v>
      </c>
      <c r="K44" s="9">
        <v>3.3769745248580049E-2</v>
      </c>
      <c r="L44" s="9">
        <v>0</v>
      </c>
      <c r="M44" s="14">
        <f t="shared" si="1"/>
        <v>189.86426810543699</v>
      </c>
    </row>
    <row r="45" spans="1:13" x14ac:dyDescent="0.25">
      <c r="A45" s="12">
        <v>0.77083333333333337</v>
      </c>
      <c r="B45" s="6">
        <v>94.027445990548031</v>
      </c>
      <c r="C45" s="6">
        <v>42.330104108691216</v>
      </c>
      <c r="D45" s="6">
        <v>0</v>
      </c>
      <c r="E45" s="6">
        <v>0</v>
      </c>
      <c r="F45" s="6">
        <f t="shared" si="0"/>
        <v>136.35755009923923</v>
      </c>
      <c r="H45" s="12">
        <v>0.77083333333333337</v>
      </c>
      <c r="I45" s="9">
        <v>94.675246074626457</v>
      </c>
      <c r="J45" s="9">
        <v>16.345632236239908</v>
      </c>
      <c r="K45" s="9">
        <v>9.4240211381294292E-3</v>
      </c>
      <c r="L45" s="9">
        <v>0</v>
      </c>
      <c r="M45" s="14">
        <f t="shared" si="1"/>
        <v>111.0303023320045</v>
      </c>
    </row>
    <row r="46" spans="1:13" x14ac:dyDescent="0.25">
      <c r="A46" s="12">
        <v>0.79166666666666663</v>
      </c>
      <c r="B46" s="6">
        <v>77.027292789701562</v>
      </c>
      <c r="C46" s="6">
        <v>13.40198564183712</v>
      </c>
      <c r="D46" s="6">
        <v>0</v>
      </c>
      <c r="E46" s="6">
        <v>0</v>
      </c>
      <c r="F46" s="6">
        <f t="shared" si="0"/>
        <v>90.429278431538677</v>
      </c>
      <c r="H46" s="12">
        <v>0.79166666666666663</v>
      </c>
      <c r="I46" s="9">
        <v>52.479689146960411</v>
      </c>
      <c r="J46" s="9">
        <v>6.9604903536898259</v>
      </c>
      <c r="K46" s="9">
        <v>2.1724600009817244E-3</v>
      </c>
      <c r="L46" s="9">
        <v>0</v>
      </c>
      <c r="M46" s="14">
        <f t="shared" si="1"/>
        <v>59.442351960651223</v>
      </c>
    </row>
    <row r="47" spans="1:13" x14ac:dyDescent="0.25">
      <c r="A47" s="12">
        <v>0.8125</v>
      </c>
      <c r="B47" s="6">
        <v>55.270714322569773</v>
      </c>
      <c r="C47" s="6">
        <v>3.4464979113340379</v>
      </c>
      <c r="D47" s="6">
        <v>0</v>
      </c>
      <c r="E47" s="6">
        <v>0</v>
      </c>
      <c r="F47" s="6">
        <f t="shared" si="0"/>
        <v>58.717212233903808</v>
      </c>
      <c r="H47" s="12">
        <v>0.8125</v>
      </c>
      <c r="I47" s="9">
        <v>27.596498548442661</v>
      </c>
      <c r="J47" s="9">
        <v>2.5628427474969495</v>
      </c>
      <c r="K47" s="9">
        <v>3.6207666683028741E-4</v>
      </c>
      <c r="L47" s="9">
        <v>0</v>
      </c>
      <c r="M47" s="14">
        <f t="shared" si="1"/>
        <v>30.159703372606444</v>
      </c>
    </row>
    <row r="48" spans="1:13" x14ac:dyDescent="0.25">
      <c r="A48" s="12">
        <v>0.83333333333333337</v>
      </c>
      <c r="B48" s="6">
        <v>33.392197341150094</v>
      </c>
      <c r="C48" s="6">
        <v>0.69642029953002937</v>
      </c>
      <c r="D48" s="6">
        <v>0</v>
      </c>
      <c r="E48" s="6">
        <v>0</v>
      </c>
      <c r="F48" s="6">
        <f t="shared" si="0"/>
        <v>34.088617640680127</v>
      </c>
      <c r="H48" s="12">
        <v>0.83333333333333337</v>
      </c>
      <c r="I48" s="9">
        <v>14.403992447288744</v>
      </c>
      <c r="J48" s="9">
        <v>0.80131711191612043</v>
      </c>
      <c r="K48" s="9">
        <v>3.8113333350556576E-5</v>
      </c>
      <c r="L48" s="9">
        <v>0</v>
      </c>
      <c r="M48" s="14">
        <f t="shared" si="1"/>
        <v>15.205347672538213</v>
      </c>
    </row>
    <row r="49" spans="1:13" x14ac:dyDescent="0.25">
      <c r="A49" s="12">
        <v>0.85416666666666663</v>
      </c>
      <c r="B49" s="6">
        <v>16.574339456359212</v>
      </c>
      <c r="C49" s="6">
        <v>0.10415944814682009</v>
      </c>
      <c r="D49" s="6">
        <v>0</v>
      </c>
      <c r="E49" s="6">
        <v>0</v>
      </c>
      <c r="F49" s="6">
        <f t="shared" si="0"/>
        <v>16.678498904506032</v>
      </c>
      <c r="H49" s="12">
        <v>0.85416666666666663</v>
      </c>
      <c r="I49" s="9">
        <v>7.5857013832570033</v>
      </c>
      <c r="J49" s="9">
        <v>0.20696556781229233</v>
      </c>
      <c r="K49" s="9">
        <v>1.9056666675278283E-6</v>
      </c>
      <c r="L49" s="9">
        <v>0</v>
      </c>
      <c r="M49" s="14">
        <f t="shared" si="1"/>
        <v>7.792668856735963</v>
      </c>
    </row>
    <row r="50" spans="1:13" x14ac:dyDescent="0.25">
      <c r="A50" s="12">
        <v>0.875</v>
      </c>
      <c r="B50" s="6">
        <v>6.612291293066078</v>
      </c>
      <c r="C50" s="6">
        <v>1.025931453704834E-2</v>
      </c>
      <c r="D50" s="6">
        <v>0</v>
      </c>
      <c r="E50" s="6">
        <v>0</v>
      </c>
      <c r="F50" s="6">
        <f t="shared" si="0"/>
        <v>6.6225506076031264</v>
      </c>
      <c r="H50" s="12">
        <v>0.875</v>
      </c>
      <c r="I50" s="9">
        <v>3.8946892650291143</v>
      </c>
      <c r="J50" s="9">
        <v>4.2302238077766632E-2</v>
      </c>
      <c r="K50" s="9">
        <v>0</v>
      </c>
      <c r="L50" s="9">
        <v>0</v>
      </c>
      <c r="M50" s="14">
        <f t="shared" si="1"/>
        <v>3.936991503106881</v>
      </c>
    </row>
    <row r="51" spans="1:13" x14ac:dyDescent="0.25">
      <c r="A51" s="12">
        <v>0.89583333333333337</v>
      </c>
      <c r="B51" s="6">
        <v>2.0647340975747994</v>
      </c>
      <c r="C51" s="6">
        <v>4.9781370162963866E-4</v>
      </c>
      <c r="D51" s="6">
        <v>0</v>
      </c>
      <c r="E51" s="6">
        <v>0</v>
      </c>
      <c r="F51" s="6">
        <f t="shared" si="0"/>
        <v>2.0652319112764292</v>
      </c>
      <c r="H51" s="12">
        <v>0.89583333333333337</v>
      </c>
      <c r="I51" s="9">
        <v>1.8403179421109783</v>
      </c>
      <c r="J51" s="9">
        <v>6.3871583643289849E-3</v>
      </c>
      <c r="K51" s="9">
        <v>0</v>
      </c>
      <c r="L51" s="9">
        <v>0</v>
      </c>
      <c r="M51" s="14">
        <f t="shared" si="1"/>
        <v>1.8467051004753072</v>
      </c>
    </row>
    <row r="52" spans="1:13" x14ac:dyDescent="0.25">
      <c r="A52" s="12">
        <v>0.91666666666666663</v>
      </c>
      <c r="B52" s="6">
        <v>0.48574877880117417</v>
      </c>
      <c r="C52" s="6">
        <v>0</v>
      </c>
      <c r="D52" s="6">
        <v>0</v>
      </c>
      <c r="E52" s="6">
        <v>0</v>
      </c>
      <c r="F52" s="6">
        <f t="shared" si="0"/>
        <v>0.48574877880117417</v>
      </c>
      <c r="H52" s="12">
        <v>0.91666666666666663</v>
      </c>
      <c r="I52" s="9">
        <v>0.76355786908733414</v>
      </c>
      <c r="J52" s="9">
        <v>6.2988081256481218E-4</v>
      </c>
      <c r="K52" s="9">
        <v>0</v>
      </c>
      <c r="L52" s="9">
        <v>0</v>
      </c>
      <c r="M52" s="14">
        <f t="shared" si="1"/>
        <v>0.7641877498998989</v>
      </c>
    </row>
    <row r="53" spans="1:13" x14ac:dyDescent="0.25">
      <c r="A53" s="12">
        <v>0.9375</v>
      </c>
      <c r="B53" s="6">
        <v>8.0958129800195691E-2</v>
      </c>
      <c r="C53" s="6">
        <v>0</v>
      </c>
      <c r="D53" s="6">
        <v>0</v>
      </c>
      <c r="E53" s="6">
        <v>0</v>
      </c>
      <c r="F53" s="6">
        <f t="shared" si="0"/>
        <v>8.0958129800195691E-2</v>
      </c>
      <c r="H53" s="12">
        <v>0.9375</v>
      </c>
      <c r="I53" s="9">
        <v>0.27015454468845285</v>
      </c>
      <c r="J53" s="9">
        <v>3.026948468802332E-5</v>
      </c>
      <c r="K53" s="9">
        <v>0</v>
      </c>
      <c r="L53" s="9">
        <v>0</v>
      </c>
      <c r="M53" s="14">
        <f t="shared" si="1"/>
        <v>0.27018481417314089</v>
      </c>
    </row>
    <row r="54" spans="1:13" x14ac:dyDescent="0.25">
      <c r="A54" s="12">
        <v>0.95833333333333337</v>
      </c>
      <c r="B54" s="6">
        <v>8.5219084000205999E-3</v>
      </c>
      <c r="C54" s="6">
        <v>0</v>
      </c>
      <c r="D54" s="6">
        <v>0</v>
      </c>
      <c r="E54" s="6">
        <v>0</v>
      </c>
      <c r="F54" s="6">
        <f t="shared" si="0"/>
        <v>8.5219084000205999E-3</v>
      </c>
      <c r="H54" s="12">
        <v>0.95833333333333337</v>
      </c>
      <c r="I54" s="9">
        <v>7.9883942194904994E-2</v>
      </c>
      <c r="J54" s="9">
        <v>0</v>
      </c>
      <c r="K54" s="9">
        <v>0</v>
      </c>
      <c r="L54" s="9">
        <v>0</v>
      </c>
      <c r="M54" s="14">
        <f t="shared" si="1"/>
        <v>7.9883942194904994E-2</v>
      </c>
    </row>
    <row r="55" spans="1:13" x14ac:dyDescent="0.25">
      <c r="A55" s="12">
        <v>0.97916666666666663</v>
      </c>
      <c r="B55" s="6">
        <v>4.2609542000102997E-4</v>
      </c>
      <c r="C55" s="6">
        <v>0</v>
      </c>
      <c r="D55" s="6">
        <v>0</v>
      </c>
      <c r="E55" s="6">
        <v>0</v>
      </c>
      <c r="F55" s="6">
        <f t="shared" si="0"/>
        <v>4.2609542000102997E-4</v>
      </c>
      <c r="H55" s="12">
        <v>0.97916666666666663</v>
      </c>
      <c r="I55" s="9">
        <v>1.8843552259680905E-2</v>
      </c>
      <c r="J55" s="9">
        <v>0</v>
      </c>
      <c r="K55" s="9">
        <v>0</v>
      </c>
      <c r="L55" s="9">
        <v>0</v>
      </c>
      <c r="M55" s="14">
        <f t="shared" si="1"/>
        <v>1.8843552259680905E-2</v>
      </c>
    </row>
    <row r="56" spans="1:13" x14ac:dyDescent="0.25">
      <c r="A56" s="21" t="s">
        <v>13</v>
      </c>
      <c r="B56" s="22">
        <v>0</v>
      </c>
      <c r="C56" s="22">
        <v>0</v>
      </c>
      <c r="D56" s="22">
        <v>0</v>
      </c>
      <c r="E56" s="22">
        <v>0</v>
      </c>
      <c r="F56" s="22">
        <f t="shared" si="0"/>
        <v>0</v>
      </c>
      <c r="G56" s="5"/>
      <c r="H56" s="21" t="s">
        <v>13</v>
      </c>
      <c r="I56" s="24">
        <v>0</v>
      </c>
      <c r="J56" s="24">
        <v>0</v>
      </c>
      <c r="K56" s="24">
        <v>0</v>
      </c>
      <c r="L56" s="24">
        <v>0</v>
      </c>
      <c r="M56" s="27">
        <f t="shared" si="1"/>
        <v>0</v>
      </c>
    </row>
    <row r="57" spans="1:13" ht="15.75" thickBot="1" x14ac:dyDescent="0.3">
      <c r="A57" s="1"/>
      <c r="B57" s="7">
        <f>SUM(B8:B56)</f>
        <v>1728073.7844629332</v>
      </c>
      <c r="C57" s="7">
        <f>SUM(C8:C56)</f>
        <v>776129.18620461447</v>
      </c>
      <c r="D57" s="7">
        <f>SUM(D8:D56)</f>
        <v>4431406.5583149502</v>
      </c>
      <c r="E57" s="7">
        <f>SUM(E8:E56)</f>
        <v>279767.76303040434</v>
      </c>
      <c r="F57" s="7">
        <f>SUM(F8:F56)</f>
        <v>7215377.292012902</v>
      </c>
      <c r="H57" s="1"/>
      <c r="I57" s="7">
        <f>SUM(I8:I56)</f>
        <v>1673026.0869123577</v>
      </c>
      <c r="J57" s="7">
        <f>SUM(J8:J56)</f>
        <v>793716.61335887085</v>
      </c>
      <c r="K57" s="7">
        <f>SUM(K8:K56)</f>
        <v>4613852.0286709405</v>
      </c>
      <c r="L57" s="7">
        <f>SUM(L8:L56)</f>
        <v>282304.04181344708</v>
      </c>
      <c r="M57" s="7">
        <f>SUM(M8:M56)</f>
        <v>7362898.7707556169</v>
      </c>
    </row>
    <row r="63" spans="1:13" ht="15.75" thickBot="1" x14ac:dyDescent="0.3">
      <c r="A63" s="3" t="s">
        <v>50</v>
      </c>
      <c r="B63" s="1"/>
      <c r="C63" s="1"/>
      <c r="D63" s="1"/>
      <c r="E63" s="1"/>
      <c r="F63" s="1"/>
      <c r="H63" s="3" t="s">
        <v>15</v>
      </c>
      <c r="I63" s="1"/>
      <c r="J63" s="1"/>
      <c r="K63" s="1"/>
      <c r="L63" s="1"/>
      <c r="M63" s="1"/>
    </row>
    <row r="64" spans="1:13" x14ac:dyDescent="0.25">
      <c r="A64" s="2" t="s">
        <v>14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0</v>
      </c>
      <c r="H64" s="2" t="s">
        <v>14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0</v>
      </c>
    </row>
    <row r="65" spans="1:13" x14ac:dyDescent="0.25">
      <c r="A65" s="15">
        <v>0</v>
      </c>
      <c r="B65" s="18">
        <f>B8/B$57</f>
        <v>1.8096394028116844E-2</v>
      </c>
      <c r="C65" s="18">
        <f t="shared" ref="C65:F65" si="2">C8/C$57</f>
        <v>4.1974158405842354E-3</v>
      </c>
      <c r="D65" s="18">
        <f t="shared" si="2"/>
        <v>0.29922702134217166</v>
      </c>
      <c r="E65" s="18">
        <f t="shared" si="2"/>
        <v>0.36309550460655332</v>
      </c>
      <c r="F65" s="18">
        <f t="shared" si="2"/>
        <v>0.20263786407444309</v>
      </c>
      <c r="G65" s="18"/>
      <c r="H65" s="15">
        <v>0</v>
      </c>
      <c r="I65" s="18">
        <f t="shared" ref="I65:M65" si="3">I8/I$57</f>
        <v>2.4964855962206545E-2</v>
      </c>
      <c r="J65" s="18">
        <f t="shared" si="3"/>
        <v>6.577053532662025E-2</v>
      </c>
      <c r="K65" s="18">
        <f t="shared" si="3"/>
        <v>0.30983778400622952</v>
      </c>
      <c r="L65" s="18">
        <f t="shared" si="3"/>
        <v>0.36514993884512714</v>
      </c>
      <c r="M65" s="18">
        <f t="shared" si="3"/>
        <v>0.22091829106758992</v>
      </c>
    </row>
    <row r="66" spans="1:13" x14ac:dyDescent="0.25">
      <c r="A66" s="12">
        <v>2.0833333333333332E-2</v>
      </c>
      <c r="B66" s="18">
        <f t="shared" ref="B66:F66" si="4">B9/B$57</f>
        <v>1.8711861977254204E-2</v>
      </c>
      <c r="C66" s="18">
        <f t="shared" si="4"/>
        <v>1.1919107803832846E-2</v>
      </c>
      <c r="D66" s="18">
        <f t="shared" si="4"/>
        <v>0.22731329846575424</v>
      </c>
      <c r="E66" s="18">
        <f t="shared" si="4"/>
        <v>0.26000463345475183</v>
      </c>
      <c r="F66" s="18">
        <f t="shared" si="4"/>
        <v>0.15545199599133769</v>
      </c>
      <c r="G66" s="18"/>
      <c r="H66" s="12">
        <v>2.0833333333333332E-2</v>
      </c>
      <c r="I66" s="18">
        <f t="shared" ref="I66:M66" si="5">I9/I$57</f>
        <v>2.3592569940370883E-2</v>
      </c>
      <c r="J66" s="18">
        <f t="shared" si="5"/>
        <v>5.9166769323466435E-2</v>
      </c>
      <c r="K66" s="18">
        <f t="shared" si="5"/>
        <v>0.23170863521818216</v>
      </c>
      <c r="L66" s="18">
        <f t="shared" si="5"/>
        <v>0.2589254952085695</v>
      </c>
      <c r="M66" s="18">
        <f t="shared" si="5"/>
        <v>0.16686331585951977</v>
      </c>
    </row>
    <row r="67" spans="1:13" x14ac:dyDescent="0.25">
      <c r="A67" s="12">
        <v>4.1666666666666664E-2</v>
      </c>
      <c r="B67" s="18">
        <f t="shared" ref="B67:F67" si="6">B10/B$57</f>
        <v>1.9465986131181431E-2</v>
      </c>
      <c r="C67" s="18">
        <f t="shared" si="6"/>
        <v>1.8680230589556784E-2</v>
      </c>
      <c r="D67" s="18">
        <f t="shared" si="6"/>
        <v>0.16294446294532658</v>
      </c>
      <c r="E67" s="18">
        <f t="shared" si="6"/>
        <v>0.17004222502162575</v>
      </c>
      <c r="F67" s="18">
        <f t="shared" si="6"/>
        <v>0.11333883094996151</v>
      </c>
      <c r="G67" s="18"/>
      <c r="H67" s="12">
        <v>4.1666666666666664E-2</v>
      </c>
      <c r="I67" s="18">
        <f t="shared" ref="I67:M67" si="7">I10/I$57</f>
        <v>2.2845233019473173E-2</v>
      </c>
      <c r="J67" s="18">
        <f t="shared" si="7"/>
        <v>5.3867779143538755E-2</v>
      </c>
      <c r="K67" s="18">
        <f t="shared" si="7"/>
        <v>0.16262208335582931</v>
      </c>
      <c r="L67" s="18">
        <f t="shared" si="7"/>
        <v>0.16720839991269854</v>
      </c>
      <c r="M67" s="18">
        <f t="shared" si="7"/>
        <v>0.11931364068753722</v>
      </c>
    </row>
    <row r="68" spans="1:13" x14ac:dyDescent="0.25">
      <c r="A68" s="12">
        <v>6.25E-2</v>
      </c>
      <c r="B68" s="18">
        <f t="shared" ref="B68:F68" si="8">B11/B$57</f>
        <v>2.0456865498303278E-2</v>
      </c>
      <c r="C68" s="18">
        <f t="shared" si="8"/>
        <v>2.3846310605752648E-2</v>
      </c>
      <c r="D68" s="18">
        <f t="shared" si="8"/>
        <v>0.11096029666494484</v>
      </c>
      <c r="E68" s="18">
        <f t="shared" si="8"/>
        <v>0.10138058370958576</v>
      </c>
      <c r="F68" s="18">
        <f t="shared" si="8"/>
        <v>7.9542894691369895E-2</v>
      </c>
      <c r="G68" s="18"/>
      <c r="H68" s="12">
        <v>6.25E-2</v>
      </c>
      <c r="I68" s="18">
        <f t="shared" ref="I68:M68" si="9">I11/I$57</f>
        <v>2.3085053169559923E-2</v>
      </c>
      <c r="J68" s="18">
        <f t="shared" si="9"/>
        <v>5.0515802631243521E-2</v>
      </c>
      <c r="K68" s="18">
        <f t="shared" si="9"/>
        <v>0.10813845657858796</v>
      </c>
      <c r="L68" s="18">
        <f t="shared" si="9"/>
        <v>9.8597665629678713E-2</v>
      </c>
      <c r="M68" s="18">
        <f t="shared" si="9"/>
        <v>8.2234796863431797E-2</v>
      </c>
    </row>
    <row r="69" spans="1:13" x14ac:dyDescent="0.25">
      <c r="A69" s="12">
        <v>8.3333333333333329E-2</v>
      </c>
      <c r="B69" s="18">
        <f t="shared" ref="B69:F69" si="10">B12/B$57</f>
        <v>2.1723164257031864E-2</v>
      </c>
      <c r="C69" s="18">
        <f t="shared" si="10"/>
        <v>2.7206537783689862E-2</v>
      </c>
      <c r="D69" s="18">
        <f t="shared" si="10"/>
        <v>7.2506072504067862E-2</v>
      </c>
      <c r="E69" s="18">
        <f t="shared" si="10"/>
        <v>5.5296472176126994E-2</v>
      </c>
      <c r="F69" s="18">
        <f t="shared" si="10"/>
        <v>5.480365866269462E-2</v>
      </c>
      <c r="G69" s="18"/>
      <c r="H69" s="12">
        <v>8.3333333333333329E-2</v>
      </c>
      <c r="I69" s="18">
        <f t="shared" ref="I69:M69" si="11">I12/I$57</f>
        <v>2.4294220582191082E-2</v>
      </c>
      <c r="J69" s="18">
        <f t="shared" si="11"/>
        <v>4.8908690183064631E-2</v>
      </c>
      <c r="K69" s="18">
        <f t="shared" si="11"/>
        <v>6.9146786317333925E-2</v>
      </c>
      <c r="L69" s="18">
        <f t="shared" si="11"/>
        <v>5.3758640482896664E-2</v>
      </c>
      <c r="M69" s="18">
        <f t="shared" si="11"/>
        <v>5.6183554796543918E-2</v>
      </c>
    </row>
    <row r="70" spans="1:13" x14ac:dyDescent="0.25">
      <c r="A70" s="12">
        <v>0.10416666666666667</v>
      </c>
      <c r="B70" s="18">
        <f t="shared" ref="B70:F70" si="12">B13/B$57</f>
        <v>2.3230956598960524E-2</v>
      </c>
      <c r="C70" s="18">
        <f t="shared" si="12"/>
        <v>2.89028309290769E-2</v>
      </c>
      <c r="D70" s="18">
        <f t="shared" si="12"/>
        <v>4.5942060004501246E-2</v>
      </c>
      <c r="E70" s="18">
        <f t="shared" si="12"/>
        <v>2.7815369603808138E-2</v>
      </c>
      <c r="F70" s="18">
        <f t="shared" si="12"/>
        <v>3.7967096713884652E-2</v>
      </c>
      <c r="G70" s="18"/>
      <c r="H70" s="12">
        <v>0.10416666666666667</v>
      </c>
      <c r="I70" s="18">
        <f t="shared" ref="I70:M70" si="13">I13/I$57</f>
        <v>2.6133807871996859E-2</v>
      </c>
      <c r="J70" s="18">
        <f t="shared" si="13"/>
        <v>4.8322687448032392E-2</v>
      </c>
      <c r="K70" s="18">
        <f t="shared" si="13"/>
        <v>4.3188181305940467E-2</v>
      </c>
      <c r="L70" s="18">
        <f t="shared" si="13"/>
        <v>2.7745423730629496E-2</v>
      </c>
      <c r="M70" s="18">
        <f t="shared" si="13"/>
        <v>3.9274420896891753E-2</v>
      </c>
    </row>
    <row r="71" spans="1:13" x14ac:dyDescent="0.25">
      <c r="A71" s="12">
        <v>0.125</v>
      </c>
      <c r="B71" s="18">
        <f t="shared" ref="B71:F71" si="14">B14/B$57</f>
        <v>2.4847191376203552E-2</v>
      </c>
      <c r="C71" s="18">
        <f t="shared" si="14"/>
        <v>2.9463587364283114E-2</v>
      </c>
      <c r="D71" s="18">
        <f t="shared" si="14"/>
        <v>2.8485940926929014E-2</v>
      </c>
      <c r="E71" s="18">
        <f t="shared" si="14"/>
        <v>1.3022411092190345E-2</v>
      </c>
      <c r="F71" s="18">
        <f t="shared" si="14"/>
        <v>2.7120046320926391E-2</v>
      </c>
      <c r="G71" s="18"/>
      <c r="H71" s="12">
        <v>0.125</v>
      </c>
      <c r="I71" s="18">
        <f t="shared" ref="I71:M71" si="15">I14/I$57</f>
        <v>2.8116536070863386E-2</v>
      </c>
      <c r="J71" s="18">
        <f t="shared" si="15"/>
        <v>4.7987605419048542E-2</v>
      </c>
      <c r="K71" s="18">
        <f t="shared" si="15"/>
        <v>2.6676711442563936E-2</v>
      </c>
      <c r="L71" s="18">
        <f t="shared" si="15"/>
        <v>1.3981734409620658E-2</v>
      </c>
      <c r="M71" s="18">
        <f t="shared" si="15"/>
        <v>2.8814433543779935E-2</v>
      </c>
    </row>
    <row r="72" spans="1:13" x14ac:dyDescent="0.25">
      <c r="A72" s="12">
        <v>0.14583333333333334</v>
      </c>
      <c r="B72" s="18">
        <f t="shared" ref="B72:F72" si="16">B15/B$57</f>
        <v>2.6336039202909275E-2</v>
      </c>
      <c r="C72" s="18">
        <f t="shared" si="16"/>
        <v>3.0080396186940542E-2</v>
      </c>
      <c r="D72" s="18">
        <f t="shared" si="16"/>
        <v>1.7435319948262865E-2</v>
      </c>
      <c r="E72" s="18">
        <f t="shared" si="16"/>
        <v>5.6996678616760147E-3</v>
      </c>
      <c r="F72" s="18">
        <f t="shared" si="16"/>
        <v>2.0472175031326548E-2</v>
      </c>
      <c r="G72" s="18"/>
      <c r="H72" s="12">
        <v>0.14583333333333334</v>
      </c>
      <c r="I72" s="18">
        <f t="shared" ref="I72:M72" si="17">I15/I$57</f>
        <v>2.9827408576737997E-2</v>
      </c>
      <c r="J72" s="18">
        <f t="shared" si="17"/>
        <v>4.7412613566365266E-2</v>
      </c>
      <c r="K72" s="18">
        <f t="shared" si="17"/>
        <v>1.6437491021586242E-2</v>
      </c>
      <c r="L72" s="18">
        <f t="shared" si="17"/>
        <v>7.0792006806520928E-3</v>
      </c>
      <c r="M72" s="18">
        <f t="shared" si="17"/>
        <v>2.2460291134554826E-2</v>
      </c>
    </row>
    <row r="73" spans="1:13" x14ac:dyDescent="0.25">
      <c r="A73" s="12">
        <v>0.16666666666666666</v>
      </c>
      <c r="B73" s="18">
        <f t="shared" ref="B73:F73" si="18">B16/B$57</f>
        <v>2.7452948137642329E-2</v>
      </c>
      <c r="C73" s="18">
        <f t="shared" si="18"/>
        <v>3.2862667227458772E-2</v>
      </c>
      <c r="D73" s="18">
        <f t="shared" si="18"/>
        <v>1.0657473794152408E-2</v>
      </c>
      <c r="E73" s="18">
        <f t="shared" si="18"/>
        <v>2.323161878663453E-3</v>
      </c>
      <c r="F73" s="18">
        <f t="shared" si="18"/>
        <v>1.6745339201709574E-2</v>
      </c>
      <c r="G73" s="18"/>
      <c r="H73" s="12">
        <v>0.16666666666666666</v>
      </c>
      <c r="I73" s="18">
        <f t="shared" ref="I73:M73" si="19">I16/I$57</f>
        <v>3.1138441285855654E-2</v>
      </c>
      <c r="J73" s="18">
        <f t="shared" si="19"/>
        <v>4.6515092366686231E-2</v>
      </c>
      <c r="K73" s="18">
        <f t="shared" si="19"/>
        <v>1.0184019748844529E-2</v>
      </c>
      <c r="L73" s="18">
        <f t="shared" si="19"/>
        <v>3.6544688099516874E-3</v>
      </c>
      <c r="M73" s="18">
        <f t="shared" si="19"/>
        <v>1.8611481961239185E-2</v>
      </c>
    </row>
    <row r="74" spans="1:13" x14ac:dyDescent="0.25">
      <c r="A74" s="12">
        <v>0.1875</v>
      </c>
      <c r="B74" s="18">
        <f t="shared" ref="B74:F74" si="20">B17/B$57</f>
        <v>2.8158576829470261E-2</v>
      </c>
      <c r="C74" s="18">
        <f t="shared" si="20"/>
        <v>4.044768607666302E-2</v>
      </c>
      <c r="D74" s="18">
        <f t="shared" si="20"/>
        <v>6.6196018783371835E-3</v>
      </c>
      <c r="E74" s="18">
        <f t="shared" si="20"/>
        <v>8.7480597715501411E-4</v>
      </c>
      <c r="F74" s="18">
        <f t="shared" si="20"/>
        <v>1.5194162876985245E-2</v>
      </c>
      <c r="G74" s="18"/>
      <c r="H74" s="12">
        <v>0.1875</v>
      </c>
      <c r="I74" s="18">
        <f t="shared" ref="I74:M74" si="21">I17/I$57</f>
        <v>3.2336028285292515E-2</v>
      </c>
      <c r="J74" s="18">
        <f t="shared" si="21"/>
        <v>4.5602590123585106E-2</v>
      </c>
      <c r="K74" s="18">
        <f t="shared" si="21"/>
        <v>6.4018672398374211E-3</v>
      </c>
      <c r="L74" s="18">
        <f t="shared" si="21"/>
        <v>1.9169406610007305E-3</v>
      </c>
      <c r="M74" s="18">
        <f t="shared" si="21"/>
        <v>1.6348585558196477E-2</v>
      </c>
    </row>
    <row r="75" spans="1:13" x14ac:dyDescent="0.25">
      <c r="A75" s="12">
        <v>0.20833333333333334</v>
      </c>
      <c r="B75" s="18">
        <f t="shared" ref="B75:F75" si="22">B18/B$57</f>
        <v>2.8866165485007273E-2</v>
      </c>
      <c r="C75" s="18">
        <f t="shared" si="22"/>
        <v>5.4487763150844325E-2</v>
      </c>
      <c r="D75" s="18">
        <f t="shared" si="22"/>
        <v>4.2688586435469149E-3</v>
      </c>
      <c r="E75" s="18">
        <f t="shared" si="22"/>
        <v>3.0402948795389939E-4</v>
      </c>
      <c r="F75" s="18">
        <f t="shared" si="22"/>
        <v>1.5407997176713545E-2</v>
      </c>
      <c r="G75" s="18"/>
      <c r="H75" s="12">
        <v>0.20833333333333334</v>
      </c>
      <c r="I75" s="18">
        <f t="shared" ref="I75:M75" si="23">I18/I$57</f>
        <v>3.4076068336606639E-2</v>
      </c>
      <c r="J75" s="18">
        <f t="shared" si="23"/>
        <v>4.5194951064124647E-2</v>
      </c>
      <c r="K75" s="18">
        <f t="shared" si="23"/>
        <v>4.1180700010056614E-3</v>
      </c>
      <c r="L75" s="18">
        <f t="shared" si="23"/>
        <v>1.0043440160989179E-3</v>
      </c>
      <c r="M75" s="18">
        <f t="shared" si="23"/>
        <v>1.5233922706510576E-2</v>
      </c>
    </row>
    <row r="76" spans="1:13" x14ac:dyDescent="0.25">
      <c r="A76" s="12">
        <v>0.22916666666666666</v>
      </c>
      <c r="B76" s="18">
        <f t="shared" ref="B76:F76" si="24">B19/B$57</f>
        <v>3.0569190389380826E-2</v>
      </c>
      <c r="C76" s="18">
        <f t="shared" si="24"/>
        <v>7.3544545055256469E-2</v>
      </c>
      <c r="D76" s="18">
        <f t="shared" si="24"/>
        <v>2.9055876642066227E-3</v>
      </c>
      <c r="E76" s="18">
        <f t="shared" si="24"/>
        <v>9.8856837612472848E-5</v>
      </c>
      <c r="F76" s="18">
        <f t="shared" si="24"/>
        <v>1.7020507264513783E-2</v>
      </c>
      <c r="G76" s="18"/>
      <c r="H76" s="12">
        <v>0.22916666666666666</v>
      </c>
      <c r="I76" s="18">
        <f t="shared" ref="I76:M76" si="25">I19/I$57</f>
        <v>3.716398740043985E-2</v>
      </c>
      <c r="J76" s="18">
        <f t="shared" si="25"/>
        <v>4.5685169689023197E-2</v>
      </c>
      <c r="K76" s="18">
        <f t="shared" si="25"/>
        <v>2.7258974367934804E-3</v>
      </c>
      <c r="L76" s="18">
        <f t="shared" si="25"/>
        <v>5.1329321454573226E-4</v>
      </c>
      <c r="M76" s="18">
        <f t="shared" si="25"/>
        <v>1.5097204811537479E-2</v>
      </c>
    </row>
    <row r="77" spans="1:13" x14ac:dyDescent="0.25">
      <c r="A77" s="12">
        <v>0.25</v>
      </c>
      <c r="B77" s="18">
        <f t="shared" ref="B77:F77" si="26">B20/B$57</f>
        <v>3.4693415948639804E-2</v>
      </c>
      <c r="C77" s="18">
        <f t="shared" si="26"/>
        <v>9.222855536549987E-2</v>
      </c>
      <c r="D77" s="18">
        <f t="shared" si="26"/>
        <v>2.0879131917696209E-3</v>
      </c>
      <c r="E77" s="18">
        <f t="shared" si="26"/>
        <v>3.0569617606773135E-5</v>
      </c>
      <c r="F77" s="18">
        <f t="shared" si="26"/>
        <v>1.9513186230130167E-2</v>
      </c>
      <c r="G77" s="18"/>
      <c r="H77" s="12">
        <v>0.25</v>
      </c>
      <c r="I77" s="18">
        <f t="shared" ref="I77:M77" si="27">I20/I$57</f>
        <v>4.225182623247558E-2</v>
      </c>
      <c r="J77" s="18">
        <f t="shared" si="27"/>
        <v>4.6986123587902807E-2</v>
      </c>
      <c r="K77" s="18">
        <f t="shared" si="27"/>
        <v>1.8616823748158721E-3</v>
      </c>
      <c r="L77" s="18">
        <f t="shared" si="27"/>
        <v>2.5049579930578177E-4</v>
      </c>
      <c r="M77" s="18">
        <f t="shared" si="27"/>
        <v>1.5841901539831591E-2</v>
      </c>
    </row>
    <row r="78" spans="1:13" x14ac:dyDescent="0.25">
      <c r="A78" s="12">
        <v>0.27083333333333331</v>
      </c>
      <c r="B78" s="18">
        <f t="shared" ref="B78:F78" si="28">B21/B$57</f>
        <v>4.2543970360506327E-2</v>
      </c>
      <c r="C78" s="18">
        <f t="shared" si="28"/>
        <v>0.1032892721914692</v>
      </c>
      <c r="D78" s="18">
        <f t="shared" si="28"/>
        <v>1.5641121501309891E-3</v>
      </c>
      <c r="E78" s="18">
        <f t="shared" si="28"/>
        <v>8.8730460595927832E-6</v>
      </c>
      <c r="F78" s="18">
        <f t="shared" si="28"/>
        <v>2.2260601402876945E-2</v>
      </c>
      <c r="G78" s="18"/>
      <c r="H78" s="12">
        <v>0.27083333333333331</v>
      </c>
      <c r="I78" s="18">
        <f t="shared" ref="I78:M78" si="29">I21/I$57</f>
        <v>4.9540657956876795E-2</v>
      </c>
      <c r="J78" s="18">
        <f t="shared" si="29"/>
        <v>4.8408611766444336E-2</v>
      </c>
      <c r="K78" s="18">
        <f t="shared" si="29"/>
        <v>1.3151406019060801E-3</v>
      </c>
      <c r="L78" s="18">
        <f t="shared" si="29"/>
        <v>1.1583374577423326E-4</v>
      </c>
      <c r="M78" s="18">
        <f t="shared" si="29"/>
        <v>1.7303795821295941E-2</v>
      </c>
    </row>
    <row r="79" spans="1:13" x14ac:dyDescent="0.25">
      <c r="A79" s="12">
        <v>0.29166666666666669</v>
      </c>
      <c r="B79" s="18">
        <f t="shared" ref="B79:F79" si="30">B22/B$57</f>
        <v>5.4363107535287745E-2</v>
      </c>
      <c r="C79" s="18">
        <f t="shared" si="30"/>
        <v>0.10190037415398072</v>
      </c>
      <c r="D79" s="18">
        <f t="shared" si="30"/>
        <v>1.2129159117457145E-3</v>
      </c>
      <c r="E79" s="18">
        <f t="shared" si="30"/>
        <v>2.2793336545425837E-6</v>
      </c>
      <c r="F79" s="18">
        <f t="shared" si="30"/>
        <v>2.4725924844887254E-2</v>
      </c>
      <c r="G79" s="18"/>
      <c r="H79" s="12">
        <v>0.29166666666666669</v>
      </c>
      <c r="I79" s="18">
        <f t="shared" ref="I79:M79" si="31">I22/I$57</f>
        <v>5.8508841924093669E-2</v>
      </c>
      <c r="J79" s="18">
        <f t="shared" si="31"/>
        <v>4.8904998268651231E-2</v>
      </c>
      <c r="K79" s="18">
        <f t="shared" si="31"/>
        <v>9.6791814646200215E-4</v>
      </c>
      <c r="L79" s="18">
        <f t="shared" si="31"/>
        <v>5.1734309690022761E-5</v>
      </c>
      <c r="M79" s="18">
        <f t="shared" si="31"/>
        <v>1.9175051669226399E-2</v>
      </c>
    </row>
    <row r="80" spans="1:13" x14ac:dyDescent="0.25">
      <c r="A80" s="12">
        <v>0.3125</v>
      </c>
      <c r="B80" s="18">
        <f t="shared" ref="B80:F80" si="32">B23/B$57</f>
        <v>6.841898528885261E-2</v>
      </c>
      <c r="C80" s="18">
        <f t="shared" si="32"/>
        <v>8.8785731040054855E-2</v>
      </c>
      <c r="D80" s="18">
        <f t="shared" si="32"/>
        <v>9.8240511778124005E-4</v>
      </c>
      <c r="E80" s="18">
        <f t="shared" si="32"/>
        <v>4.7559613498872901E-7</v>
      </c>
      <c r="F80" s="18">
        <f t="shared" si="32"/>
        <v>2.6539959561951505E-2</v>
      </c>
      <c r="G80" s="18"/>
      <c r="H80" s="12">
        <v>0.3125</v>
      </c>
      <c r="I80" s="18">
        <f t="shared" ref="I80:M80" si="33">I23/I$57</f>
        <v>6.7715088056329406E-2</v>
      </c>
      <c r="J80" s="18">
        <f t="shared" si="33"/>
        <v>4.7561036321205688E-2</v>
      </c>
      <c r="K80" s="18">
        <f t="shared" si="33"/>
        <v>7.5303673048763306E-4</v>
      </c>
      <c r="L80" s="18">
        <f t="shared" si="33"/>
        <v>2.3529423939887333E-5</v>
      </c>
      <c r="M80" s="18">
        <f t="shared" si="33"/>
        <v>2.0986318131161592E-2</v>
      </c>
    </row>
    <row r="81" spans="1:13" x14ac:dyDescent="0.25">
      <c r="A81" s="12">
        <v>0.33333333333333331</v>
      </c>
      <c r="B81" s="18">
        <f t="shared" ref="B81:F81" si="34">B24/B$57</f>
        <v>8.0959477787581433E-2</v>
      </c>
      <c r="C81" s="18">
        <f t="shared" si="34"/>
        <v>6.9429222582293004E-2</v>
      </c>
      <c r="D81" s="18">
        <f t="shared" si="34"/>
        <v>8.4010080408622283E-4</v>
      </c>
      <c r="E81" s="18">
        <f t="shared" si="34"/>
        <v>7.3105810396048974E-8</v>
      </c>
      <c r="F81" s="18">
        <f t="shared" si="34"/>
        <v>2.7373876356306819E-2</v>
      </c>
      <c r="G81" s="18"/>
      <c r="H81" s="12">
        <v>0.33333333333333331</v>
      </c>
      <c r="I81" s="18">
        <f t="shared" ref="I81:M81" si="35">I24/I$57</f>
        <v>7.4883413436214213E-2</v>
      </c>
      <c r="J81" s="18">
        <f t="shared" si="35"/>
        <v>4.4034467746626525E-2</v>
      </c>
      <c r="K81" s="18">
        <f t="shared" si="35"/>
        <v>6.2738440513527855E-4</v>
      </c>
      <c r="L81" s="18">
        <f t="shared" si="35"/>
        <v>1.1531233283232882E-5</v>
      </c>
      <c r="M81" s="18">
        <f t="shared" si="35"/>
        <v>2.2155772063419826E-2</v>
      </c>
    </row>
    <row r="82" spans="1:13" x14ac:dyDescent="0.25">
      <c r="A82" s="12">
        <v>0.35416666666666669</v>
      </c>
      <c r="B82" s="18">
        <f t="shared" ref="B82:F82" si="36">B25/B$57</f>
        <v>8.7602926609238824E-2</v>
      </c>
      <c r="C82" s="18">
        <f t="shared" si="36"/>
        <v>5.0224494760734296E-2</v>
      </c>
      <c r="D82" s="18">
        <f t="shared" si="36"/>
        <v>7.5007891328469499E-4</v>
      </c>
      <c r="E82" s="18">
        <f t="shared" si="36"/>
        <v>7.246518373751367E-9</v>
      </c>
      <c r="F82" s="18">
        <f t="shared" si="36"/>
        <v>2.6843907943549017E-2</v>
      </c>
      <c r="G82" s="18"/>
      <c r="H82" s="12">
        <v>0.35416666666666669</v>
      </c>
      <c r="I82" s="18">
        <f t="shared" ref="I82:M82" si="37">I25/I$57</f>
        <v>7.7524423080438512E-2</v>
      </c>
      <c r="J82" s="18">
        <f t="shared" si="37"/>
        <v>3.8671409987182909E-2</v>
      </c>
      <c r="K82" s="18">
        <f t="shared" si="37"/>
        <v>5.5563368836978406E-4</v>
      </c>
      <c r="L82" s="18">
        <f t="shared" si="37"/>
        <v>6.0337324958823332E-6</v>
      </c>
      <c r="M82" s="18">
        <f t="shared" si="37"/>
        <v>2.213256528391375E-2</v>
      </c>
    </row>
    <row r="83" spans="1:13" x14ac:dyDescent="0.25">
      <c r="A83" s="12">
        <v>0.375</v>
      </c>
      <c r="B83" s="18">
        <f t="shared" ref="B83:F83" si="38">B26/B$57</f>
        <v>8.5594521254986219E-2</v>
      </c>
      <c r="C83" s="18">
        <f t="shared" si="38"/>
        <v>3.5014040798143076E-2</v>
      </c>
      <c r="D83" s="18">
        <f t="shared" si="38"/>
        <v>6.7580063749074297E-4</v>
      </c>
      <c r="E83" s="18">
        <f t="shared" si="38"/>
        <v>3.4651268502323782E-10</v>
      </c>
      <c r="F83" s="18">
        <f t="shared" si="38"/>
        <v>2.4681150760606615E-2</v>
      </c>
      <c r="G83" s="18"/>
      <c r="H83" s="12">
        <v>0.375</v>
      </c>
      <c r="I83" s="18">
        <f t="shared" ref="I83:M83" si="39">I26/I$57</f>
        <v>7.4021899402681238E-2</v>
      </c>
      <c r="J83" s="18">
        <f t="shared" si="39"/>
        <v>3.2261033117991084E-2</v>
      </c>
      <c r="K83" s="18">
        <f t="shared" si="39"/>
        <v>5.0649021458218141E-4</v>
      </c>
      <c r="L83" s="18">
        <f t="shared" si="39"/>
        <v>3.1012570421534134E-6</v>
      </c>
      <c r="M83" s="18">
        <f t="shared" si="39"/>
        <v>2.0614765703105144E-2</v>
      </c>
    </row>
    <row r="84" spans="1:13" x14ac:dyDescent="0.25">
      <c r="A84" s="12">
        <v>0.39583333333333331</v>
      </c>
      <c r="B84" s="18">
        <f t="shared" ref="B84:F84" si="40">B27/B$57</f>
        <v>7.5344613401644028E-2</v>
      </c>
      <c r="C84" s="18">
        <f t="shared" si="40"/>
        <v>2.4371348636085706E-2</v>
      </c>
      <c r="D84" s="18">
        <f t="shared" si="40"/>
        <v>5.9269593055297166E-4</v>
      </c>
      <c r="E84" s="18">
        <f t="shared" si="40"/>
        <v>0</v>
      </c>
      <c r="F84" s="18">
        <f t="shared" si="40"/>
        <v>2.1030479307744765E-2</v>
      </c>
      <c r="G84" s="18"/>
      <c r="H84" s="12">
        <v>0.39583333333333331</v>
      </c>
      <c r="I84" s="18">
        <f t="shared" ref="I84:M84" si="41">I27/I$57</f>
        <v>6.4581735012081254E-2</v>
      </c>
      <c r="J84" s="18">
        <f t="shared" si="41"/>
        <v>2.5641310577324272E-2</v>
      </c>
      <c r="K84" s="18">
        <f t="shared" si="41"/>
        <v>4.5745071735146461E-4</v>
      </c>
      <c r="L84" s="18">
        <f t="shared" si="41"/>
        <v>1.4277765042458086E-6</v>
      </c>
      <c r="M84" s="18">
        <f t="shared" si="41"/>
        <v>1.7725338709327843E-2</v>
      </c>
    </row>
    <row r="85" spans="1:13" x14ac:dyDescent="0.25">
      <c r="A85" s="12">
        <v>0.41666666666666669</v>
      </c>
      <c r="B85" s="18">
        <f t="shared" ref="B85:F85" si="42">B28/B$57</f>
        <v>6.0054013757545203E-2</v>
      </c>
      <c r="C85" s="18">
        <f t="shared" si="42"/>
        <v>1.7071693805793695E-2</v>
      </c>
      <c r="D85" s="18">
        <f t="shared" si="42"/>
        <v>4.9534858241326567E-4</v>
      </c>
      <c r="E85" s="18">
        <f t="shared" si="42"/>
        <v>0</v>
      </c>
      <c r="F85" s="18">
        <f t="shared" si="42"/>
        <v>1.6523418357560805E-2</v>
      </c>
      <c r="G85" s="18"/>
      <c r="H85" s="12">
        <v>0.41666666666666669</v>
      </c>
      <c r="I85" s="18">
        <f t="shared" ref="I85:M85" si="43">I28/I$57</f>
        <v>5.1299077076601918E-2</v>
      </c>
      <c r="J85" s="18">
        <f t="shared" si="43"/>
        <v>1.9434410103335069E-2</v>
      </c>
      <c r="K85" s="18">
        <f t="shared" si="43"/>
        <v>3.995662013553912E-4</v>
      </c>
      <c r="L85" s="18">
        <f t="shared" si="43"/>
        <v>5.5074552053187944E-7</v>
      </c>
      <c r="M85" s="18">
        <f t="shared" si="43"/>
        <v>1.4001795538654082E-2</v>
      </c>
    </row>
    <row r="86" spans="1:13" x14ac:dyDescent="0.25">
      <c r="A86" s="12">
        <v>0.4375</v>
      </c>
      <c r="B86" s="18">
        <f t="shared" ref="B86:F86" si="44">B29/B$57</f>
        <v>4.3812392737397933E-2</v>
      </c>
      <c r="C86" s="18">
        <f t="shared" si="44"/>
        <v>1.178819734267797E-2</v>
      </c>
      <c r="D86" s="18">
        <f t="shared" si="44"/>
        <v>3.9401084299637575E-4</v>
      </c>
      <c r="E86" s="18">
        <f t="shared" si="44"/>
        <v>0</v>
      </c>
      <c r="F86" s="18">
        <f t="shared" si="44"/>
        <v>1.2003008306170513E-2</v>
      </c>
      <c r="G86" s="18"/>
      <c r="H86" s="12">
        <v>0.4375</v>
      </c>
      <c r="I86" s="18">
        <f t="shared" ref="I86:M86" si="45">I29/I$57</f>
        <v>3.7185869671171823E-2</v>
      </c>
      <c r="J86" s="18">
        <f t="shared" si="45"/>
        <v>1.401732639876597E-2</v>
      </c>
      <c r="K86" s="18">
        <f t="shared" si="45"/>
        <v>3.3583028199971163E-4</v>
      </c>
      <c r="L86" s="18">
        <f t="shared" si="45"/>
        <v>1.6945034314560899E-7</v>
      </c>
      <c r="M86" s="18">
        <f t="shared" si="45"/>
        <v>1.0171025876903751E-2</v>
      </c>
    </row>
    <row r="87" spans="1:13" x14ac:dyDescent="0.25">
      <c r="A87" s="12">
        <v>0.45833333333333331</v>
      </c>
      <c r="B87" s="18">
        <f t="shared" ref="B87:F87" si="46">B30/B$57</f>
        <v>2.9694146544947234E-2</v>
      </c>
      <c r="C87" s="18">
        <f t="shared" si="46"/>
        <v>7.8188230272663514E-3</v>
      </c>
      <c r="D87" s="18">
        <f t="shared" si="46"/>
        <v>3.0384641939675406E-4</v>
      </c>
      <c r="E87" s="18">
        <f t="shared" si="46"/>
        <v>0</v>
      </c>
      <c r="F87" s="18">
        <f t="shared" si="46"/>
        <v>8.1393609215971545E-3</v>
      </c>
      <c r="G87" s="18"/>
      <c r="H87" s="12">
        <v>0.45833333333333331</v>
      </c>
      <c r="I87" s="18">
        <f t="shared" ref="I87:M87" si="47">I30/I$57</f>
        <v>2.4822644085592805E-2</v>
      </c>
      <c r="J87" s="18">
        <f t="shared" si="47"/>
        <v>9.6085272666124773E-3</v>
      </c>
      <c r="K87" s="18">
        <f t="shared" si="47"/>
        <v>2.7396979032049968E-4</v>
      </c>
      <c r="L87" s="18">
        <f t="shared" si="47"/>
        <v>3.9612557306457288E-8</v>
      </c>
      <c r="M87" s="18">
        <f t="shared" si="47"/>
        <v>6.8477711901551875E-3</v>
      </c>
    </row>
    <row r="88" spans="1:13" x14ac:dyDescent="0.25">
      <c r="A88" s="12">
        <v>0.47916666666666669</v>
      </c>
      <c r="B88" s="18">
        <f t="shared" ref="B88:F88" si="48">B31/B$57</f>
        <v>1.9010342936864773E-2</v>
      </c>
      <c r="C88" s="18">
        <f t="shared" si="48"/>
        <v>4.9493790945643844E-3</v>
      </c>
      <c r="D88" s="18">
        <f t="shared" si="48"/>
        <v>2.3411328149851911E-4</v>
      </c>
      <c r="E88" s="18">
        <f t="shared" si="48"/>
        <v>0</v>
      </c>
      <c r="F88" s="18">
        <f t="shared" si="48"/>
        <v>5.2291214216220088E-3</v>
      </c>
      <c r="G88" s="18"/>
      <c r="H88" s="12">
        <v>0.47916666666666669</v>
      </c>
      <c r="I88" s="18">
        <f t="shared" ref="I88:M88" si="49">I31/I$57</f>
        <v>1.551899318538214E-2</v>
      </c>
      <c r="J88" s="18">
        <f t="shared" si="49"/>
        <v>6.3073119000109923E-3</v>
      </c>
      <c r="K88" s="18">
        <f t="shared" si="49"/>
        <v>2.1939000943051239E-4</v>
      </c>
      <c r="L88" s="18">
        <f t="shared" si="49"/>
        <v>6.5849204613348007E-9</v>
      </c>
      <c r="M88" s="18">
        <f t="shared" si="49"/>
        <v>4.3436878024852785E-3</v>
      </c>
    </row>
    <row r="89" spans="1:13" x14ac:dyDescent="0.25">
      <c r="A89" s="12">
        <v>0.5</v>
      </c>
      <c r="B89" s="18">
        <f t="shared" ref="B89:F89" si="50">B32/B$57</f>
        <v>1.1684032070542732E-2</v>
      </c>
      <c r="C89" s="18">
        <f t="shared" si="50"/>
        <v>3.08030524048028E-3</v>
      </c>
      <c r="D89" s="18">
        <f t="shared" si="50"/>
        <v>1.8369014194985123E-4</v>
      </c>
      <c r="E89" s="18">
        <f t="shared" si="50"/>
        <v>0</v>
      </c>
      <c r="F89" s="18">
        <f t="shared" si="50"/>
        <v>3.2424624618198508E-3</v>
      </c>
      <c r="G89" s="18"/>
      <c r="H89" s="12">
        <v>0.5</v>
      </c>
      <c r="I89" s="18">
        <f t="shared" ref="I89:M89" si="51">I32/I$57</f>
        <v>9.3222498162510055E-3</v>
      </c>
      <c r="J89" s="18">
        <f t="shared" si="51"/>
        <v>4.0630642426917642E-3</v>
      </c>
      <c r="K89" s="18">
        <f t="shared" si="51"/>
        <v>1.727763046536582E-4</v>
      </c>
      <c r="L89" s="18">
        <f t="shared" si="51"/>
        <v>6.9252722563736523E-10</v>
      </c>
      <c r="M89" s="18">
        <f t="shared" si="51"/>
        <v>2.6645012829767775E-3</v>
      </c>
    </row>
    <row r="90" spans="1:13" x14ac:dyDescent="0.25">
      <c r="A90" s="12">
        <v>0.52083333333333337</v>
      </c>
      <c r="B90" s="18">
        <f t="shared" ref="B90:F90" si="52">B33/B$57</f>
        <v>7.0043153301054505E-3</v>
      </c>
      <c r="C90" s="18">
        <f t="shared" si="52"/>
        <v>2.0299184399994582E-3</v>
      </c>
      <c r="D90" s="18">
        <f t="shared" si="52"/>
        <v>1.4460755772469731E-4</v>
      </c>
      <c r="E90" s="18">
        <f t="shared" si="52"/>
        <v>0</v>
      </c>
      <c r="F90" s="18">
        <f t="shared" si="52"/>
        <v>1.9846872792779122E-3</v>
      </c>
      <c r="G90" s="18"/>
      <c r="H90" s="12">
        <v>0.52083333333333337</v>
      </c>
      <c r="I90" s="18">
        <f t="shared" ref="I90:M90" si="53">I33/I$57</f>
        <v>5.5540769469216546E-3</v>
      </c>
      <c r="J90" s="18">
        <f t="shared" si="53"/>
        <v>2.6694799105412286E-3</v>
      </c>
      <c r="K90" s="18">
        <f t="shared" si="53"/>
        <v>1.3212212049622509E-4</v>
      </c>
      <c r="L90" s="18">
        <f t="shared" si="53"/>
        <v>3.4626361281868263E-11</v>
      </c>
      <c r="M90" s="18">
        <f t="shared" si="53"/>
        <v>1.6325795685451434E-3</v>
      </c>
    </row>
    <row r="91" spans="1:13" x14ac:dyDescent="0.25">
      <c r="A91" s="12">
        <v>0.54166666666666663</v>
      </c>
      <c r="B91" s="18">
        <f t="shared" ref="B91:F91" si="54">B34/B$57</f>
        <v>4.1722371831197811E-3</v>
      </c>
      <c r="C91" s="18">
        <f t="shared" si="54"/>
        <v>1.551565602919666E-3</v>
      </c>
      <c r="D91" s="18">
        <f t="shared" si="54"/>
        <v>1.0938512375983525E-4</v>
      </c>
      <c r="E91" s="18">
        <f t="shared" si="54"/>
        <v>0</v>
      </c>
      <c r="F91" s="18">
        <f t="shared" si="54"/>
        <v>1.2333213693634518E-3</v>
      </c>
      <c r="G91" s="18"/>
      <c r="H91" s="12">
        <v>0.54166666666666663</v>
      </c>
      <c r="I91" s="18">
        <f t="shared" ref="I91:M91" si="55">I34/I$57</f>
        <v>3.3744116934533567E-3</v>
      </c>
      <c r="J91" s="18">
        <f t="shared" si="55"/>
        <v>1.8417215460980916E-3</v>
      </c>
      <c r="K91" s="18">
        <f t="shared" si="55"/>
        <v>9.5866548917007287E-5</v>
      </c>
      <c r="L91" s="18">
        <f t="shared" si="55"/>
        <v>0</v>
      </c>
      <c r="M91" s="18">
        <f t="shared" si="55"/>
        <v>1.0253567359416855E-3</v>
      </c>
    </row>
    <row r="92" spans="1:13" x14ac:dyDescent="0.25">
      <c r="A92" s="12">
        <v>0.5625</v>
      </c>
      <c r="B92" s="18">
        <f t="shared" ref="B92:F92" si="56">B35/B$57</f>
        <v>2.5259991391690054E-3</v>
      </c>
      <c r="C92" s="18">
        <f t="shared" si="56"/>
        <v>1.4188313569582867E-3</v>
      </c>
      <c r="D92" s="18">
        <f t="shared" si="56"/>
        <v>7.5841917300291153E-5</v>
      </c>
      <c r="E92" s="18">
        <f t="shared" si="56"/>
        <v>0</v>
      </c>
      <c r="F92" s="18">
        <f t="shared" si="56"/>
        <v>8.041707943054066E-4</v>
      </c>
      <c r="G92" s="18"/>
      <c r="H92" s="12">
        <v>0.5625</v>
      </c>
      <c r="I92" s="18">
        <f t="shared" ref="I92:M92" si="57">I35/I$57</f>
        <v>2.1090620293642134E-3</v>
      </c>
      <c r="J92" s="18">
        <f t="shared" si="57"/>
        <v>1.3278339996447169E-3</v>
      </c>
      <c r="K92" s="18">
        <f t="shared" si="57"/>
        <v>6.4331571017619871E-5</v>
      </c>
      <c r="L92" s="18">
        <f t="shared" si="57"/>
        <v>0</v>
      </c>
      <c r="M92" s="18">
        <f t="shared" si="57"/>
        <v>6.6268139773567949E-4</v>
      </c>
    </row>
    <row r="93" spans="1:13" x14ac:dyDescent="0.25">
      <c r="A93" s="12">
        <v>0.58333333333333337</v>
      </c>
      <c r="B93" s="18">
        <f t="shared" ref="B93:F93" si="58">B36/B$57</f>
        <v>1.5842499761269447E-3</v>
      </c>
      <c r="C93" s="18">
        <f t="shared" si="58"/>
        <v>1.4635308449459886E-3</v>
      </c>
      <c r="D93" s="18">
        <f t="shared" si="58"/>
        <v>4.6454231027039546E-5</v>
      </c>
      <c r="E93" s="18">
        <f t="shared" si="58"/>
        <v>0</v>
      </c>
      <c r="F93" s="18">
        <f t="shared" si="58"/>
        <v>5.6538241513784014E-4</v>
      </c>
      <c r="G93" s="18"/>
      <c r="H93" s="12">
        <v>0.58333333333333337</v>
      </c>
      <c r="I93" s="18">
        <f t="shared" ref="I93:M93" si="59">I36/I$57</f>
        <v>1.3397234473113357E-3</v>
      </c>
      <c r="J93" s="18">
        <f t="shared" si="59"/>
        <v>9.7265007293787073E-4</v>
      </c>
      <c r="K93" s="18">
        <f t="shared" si="59"/>
        <v>3.9000012407204597E-5</v>
      </c>
      <c r="L93" s="18">
        <f t="shared" si="59"/>
        <v>0</v>
      </c>
      <c r="M93" s="18">
        <f t="shared" si="59"/>
        <v>4.3370704721925436E-4</v>
      </c>
    </row>
    <row r="94" spans="1:13" x14ac:dyDescent="0.25">
      <c r="A94" s="12">
        <v>0.60416666666666663</v>
      </c>
      <c r="B94" s="18">
        <f t="shared" ref="B94:F94" si="60">B37/B$57</f>
        <v>1.0306074685963362E-3</v>
      </c>
      <c r="C94" s="18">
        <f t="shared" si="60"/>
        <v>1.5584059570583131E-3</v>
      </c>
      <c r="D94" s="18">
        <f t="shared" si="60"/>
        <v>2.4467059941839454E-5</v>
      </c>
      <c r="E94" s="18">
        <f t="shared" si="60"/>
        <v>0</v>
      </c>
      <c r="F94" s="18">
        <f t="shared" si="60"/>
        <v>4.294873934174497E-4</v>
      </c>
      <c r="G94" s="18"/>
      <c r="H94" s="12">
        <v>0.60416666666666663</v>
      </c>
      <c r="I94" s="18">
        <f t="shared" ref="I94:M94" si="61">I37/I$57</f>
        <v>8.5503956181002681E-4</v>
      </c>
      <c r="J94" s="18">
        <f t="shared" si="61"/>
        <v>7.0923277829896972E-4</v>
      </c>
      <c r="K94" s="18">
        <f t="shared" si="61"/>
        <v>2.0928918586085899E-5</v>
      </c>
      <c r="L94" s="18">
        <f t="shared" si="61"/>
        <v>0</v>
      </c>
      <c r="M94" s="18">
        <f t="shared" si="61"/>
        <v>2.8385508611123588E-4</v>
      </c>
    </row>
    <row r="95" spans="1:13" x14ac:dyDescent="0.25">
      <c r="A95" s="12">
        <v>0.625</v>
      </c>
      <c r="B95" s="18">
        <f t="shared" ref="B95:F95" si="62">B38/B$57</f>
        <v>6.8127383662350391E-4</v>
      </c>
      <c r="C95" s="18">
        <f t="shared" si="62"/>
        <v>1.5961671029069756E-3</v>
      </c>
      <c r="D95" s="18">
        <f t="shared" si="62"/>
        <v>1.0834252559901854E-5</v>
      </c>
      <c r="E95" s="18">
        <f t="shared" si="62"/>
        <v>0</v>
      </c>
      <c r="F95" s="18">
        <f t="shared" si="62"/>
        <v>3.4151149827070081E-4</v>
      </c>
      <c r="G95" s="18"/>
      <c r="H95" s="12">
        <v>0.625</v>
      </c>
      <c r="I95" s="18">
        <f t="shared" ref="I95:M95" si="63">I38/I$57</f>
        <v>5.5711912534043759E-4</v>
      </c>
      <c r="J95" s="18">
        <f t="shared" si="63"/>
        <v>5.1445206056636213E-4</v>
      </c>
      <c r="K95" s="18">
        <f t="shared" si="63"/>
        <v>9.764673138890421E-6</v>
      </c>
      <c r="L95" s="18">
        <f t="shared" si="63"/>
        <v>0</v>
      </c>
      <c r="M95" s="18">
        <f t="shared" si="63"/>
        <v>1.8816729355761183E-4</v>
      </c>
    </row>
    <row r="96" spans="1:13" x14ac:dyDescent="0.25">
      <c r="A96" s="12">
        <v>0.64583333333333337</v>
      </c>
      <c r="B96" s="18">
        <f t="shared" ref="B96:F96" si="64">B39/B$57</f>
        <v>4.4437556849086593E-4</v>
      </c>
      <c r="C96" s="18">
        <f t="shared" si="64"/>
        <v>1.5006484121560413E-3</v>
      </c>
      <c r="D96" s="18">
        <f t="shared" si="64"/>
        <v>3.9404621711903714E-6</v>
      </c>
      <c r="E96" s="18">
        <f t="shared" si="64"/>
        <v>0</v>
      </c>
      <c r="F96" s="18">
        <f t="shared" si="64"/>
        <v>2.702661984616717E-4</v>
      </c>
      <c r="G96" s="18"/>
      <c r="H96" s="12">
        <v>0.64583333333333337</v>
      </c>
      <c r="I96" s="18">
        <f t="shared" ref="I96:M96" si="65">I39/I$57</f>
        <v>3.8717877221721006E-4</v>
      </c>
      <c r="J96" s="18">
        <f t="shared" si="65"/>
        <v>3.7368882985411821E-4</v>
      </c>
      <c r="K96" s="18">
        <f t="shared" si="65"/>
        <v>3.8992426099957641E-6</v>
      </c>
      <c r="L96" s="18">
        <f t="shared" si="65"/>
        <v>0</v>
      </c>
      <c r="M96" s="18">
        <f t="shared" si="65"/>
        <v>1.3070310717141473E-4</v>
      </c>
    </row>
    <row r="97" spans="1:13" x14ac:dyDescent="0.25">
      <c r="A97" s="12">
        <v>0.66666666666666663</v>
      </c>
      <c r="B97" s="18">
        <f t="shared" ref="B97:F97" si="66">B40/B$57</f>
        <v>2.8033499457586142E-4</v>
      </c>
      <c r="C97" s="18">
        <f t="shared" si="66"/>
        <v>1.256959813842002E-3</v>
      </c>
      <c r="D97" s="18">
        <f t="shared" si="66"/>
        <v>1.1435275539162089E-6</v>
      </c>
      <c r="E97" s="18">
        <f t="shared" si="66"/>
        <v>0</v>
      </c>
      <c r="F97" s="18">
        <f t="shared" si="66"/>
        <v>2.0304831315293885E-4</v>
      </c>
      <c r="G97" s="18"/>
      <c r="H97" s="12">
        <v>0.66666666666666663</v>
      </c>
      <c r="I97" s="18">
        <f t="shared" ref="I97:M97" si="67">I40/I$57</f>
        <v>2.9443429903698814E-4</v>
      </c>
      <c r="J97" s="18">
        <f t="shared" si="67"/>
        <v>2.7041205234097637E-4</v>
      </c>
      <c r="K97" s="18">
        <f t="shared" si="67"/>
        <v>1.3189889282785564E-6</v>
      </c>
      <c r="L97" s="18">
        <f t="shared" si="67"/>
        <v>0</v>
      </c>
      <c r="M97" s="18">
        <f t="shared" si="67"/>
        <v>9.6879292180661845E-5</v>
      </c>
    </row>
    <row r="98" spans="1:13" x14ac:dyDescent="0.25">
      <c r="A98" s="12">
        <v>0.6875</v>
      </c>
      <c r="B98" s="18">
        <f t="shared" ref="B98:F98" si="68">B41/B$57</f>
        <v>1.7219222977428857E-4</v>
      </c>
      <c r="C98" s="18">
        <f t="shared" si="68"/>
        <v>9.2000182669007646E-4</v>
      </c>
      <c r="D98" s="18">
        <f t="shared" si="68"/>
        <v>2.5421084294914524E-7</v>
      </c>
      <c r="E98" s="18">
        <f t="shared" si="68"/>
        <v>0</v>
      </c>
      <c r="F98" s="18">
        <f t="shared" si="68"/>
        <v>1.4035685423332986E-4</v>
      </c>
      <c r="G98" s="18"/>
      <c r="H98" s="12">
        <v>0.6875</v>
      </c>
      <c r="I98" s="18">
        <f t="shared" ref="I98:M98" si="69">I41/I$57</f>
        <v>2.3654486522509179E-4</v>
      </c>
      <c r="J98" s="18">
        <f t="shared" si="69"/>
        <v>1.9048417774696961E-4</v>
      </c>
      <c r="K98" s="18">
        <f t="shared" si="69"/>
        <v>3.8051779335302259E-7</v>
      </c>
      <c r="L98" s="18">
        <f t="shared" si="69"/>
        <v>0</v>
      </c>
      <c r="M98" s="18">
        <f t="shared" si="69"/>
        <v>7.4521171155938367E-5</v>
      </c>
    </row>
    <row r="99" spans="1:13" x14ac:dyDescent="0.25">
      <c r="A99" s="12">
        <v>0.70833333333333337</v>
      </c>
      <c r="B99" s="18">
        <f t="shared" ref="B99:F99" si="70">B42/B$57</f>
        <v>1.0851562015110278E-4</v>
      </c>
      <c r="C99" s="18">
        <f t="shared" si="70"/>
        <v>5.8064653737110615E-4</v>
      </c>
      <c r="D99" s="18">
        <f t="shared" si="70"/>
        <v>4.0602617161390015E-8</v>
      </c>
      <c r="E99" s="18">
        <f t="shared" si="70"/>
        <v>0</v>
      </c>
      <c r="F99" s="18">
        <f t="shared" si="70"/>
        <v>8.8472109465548147E-5</v>
      </c>
      <c r="G99" s="18"/>
      <c r="H99" s="12">
        <v>0.70833333333333337</v>
      </c>
      <c r="I99" s="18">
        <f t="shared" ref="I99:M99" si="71">I42/I$57</f>
        <v>1.8752483073830812E-4</v>
      </c>
      <c r="J99" s="18">
        <f t="shared" si="71"/>
        <v>1.2661094223843916E-4</v>
      </c>
      <c r="K99" s="18">
        <f t="shared" si="71"/>
        <v>9.8592528783333207E-8</v>
      </c>
      <c r="L99" s="18">
        <f t="shared" si="71"/>
        <v>0</v>
      </c>
      <c r="M99" s="18">
        <f t="shared" si="71"/>
        <v>5.6320485491757686E-5</v>
      </c>
    </row>
    <row r="100" spans="1:13" x14ac:dyDescent="0.25">
      <c r="A100" s="12">
        <v>0.72916666666666663</v>
      </c>
      <c r="B100" s="18">
        <f t="shared" ref="B100:F100" si="72">B43/B$57</f>
        <v>7.6669071745120106E-5</v>
      </c>
      <c r="C100" s="18">
        <f t="shared" si="72"/>
        <v>3.1285609561484441E-4</v>
      </c>
      <c r="D100" s="18">
        <f t="shared" si="72"/>
        <v>4.1443052924073748E-9</v>
      </c>
      <c r="E100" s="18">
        <f t="shared" si="72"/>
        <v>0</v>
      </c>
      <c r="F100" s="18">
        <f t="shared" si="72"/>
        <v>5.2017366488606539E-5</v>
      </c>
      <c r="G100" s="18"/>
      <c r="H100" s="12">
        <v>0.72916666666666663</v>
      </c>
      <c r="I100" s="18">
        <f t="shared" ref="I100:M100" si="73">I43/I$57</f>
        <v>1.3888567650467188E-4</v>
      </c>
      <c r="J100" s="18">
        <f t="shared" si="73"/>
        <v>7.7230524120541961E-5</v>
      </c>
      <c r="K100" s="18">
        <f t="shared" si="73"/>
        <v>2.5754208130370289E-8</v>
      </c>
      <c r="L100" s="18">
        <f t="shared" si="73"/>
        <v>0</v>
      </c>
      <c r="M100" s="18">
        <f t="shared" si="73"/>
        <v>3.9899684240661403E-5</v>
      </c>
    </row>
    <row r="101" spans="1:13" x14ac:dyDescent="0.25">
      <c r="A101" s="12">
        <v>0.75</v>
      </c>
      <c r="B101" s="18">
        <f t="shared" ref="B101:F101" si="74">B44/B$57</f>
        <v>6.2704733389338355E-5</v>
      </c>
      <c r="C101" s="18">
        <f t="shared" si="74"/>
        <v>1.4265762040291811E-4</v>
      </c>
      <c r="D101" s="18">
        <f t="shared" si="74"/>
        <v>2.0289779943304776E-10</v>
      </c>
      <c r="E101" s="18">
        <f t="shared" si="74"/>
        <v>0</v>
      </c>
      <c r="F101" s="18">
        <f t="shared" si="74"/>
        <v>3.0362937240469413E-5</v>
      </c>
      <c r="G101" s="18"/>
      <c r="H101" s="12">
        <v>0.75</v>
      </c>
      <c r="I101" s="18">
        <f t="shared" ref="I101:M101" si="75">I44/I$57</f>
        <v>9.3368537293243403E-5</v>
      </c>
      <c r="J101" s="18">
        <f t="shared" si="75"/>
        <v>4.2360836608242692E-5</v>
      </c>
      <c r="K101" s="18">
        <f t="shared" si="75"/>
        <v>7.3192085569132814E-9</v>
      </c>
      <c r="L101" s="18">
        <f t="shared" si="75"/>
        <v>0</v>
      </c>
      <c r="M101" s="18">
        <f t="shared" si="75"/>
        <v>2.5786619375992342E-5</v>
      </c>
    </row>
    <row r="102" spans="1:13" x14ac:dyDescent="0.25">
      <c r="A102" s="12">
        <v>0.77083333333333337</v>
      </c>
      <c r="B102" s="18">
        <f t="shared" ref="B102:F102" si="76">B45/B$57</f>
        <v>5.4411707900407013E-5</v>
      </c>
      <c r="C102" s="18">
        <f t="shared" si="76"/>
        <v>5.4540023569647769E-5</v>
      </c>
      <c r="D102" s="18">
        <f t="shared" si="76"/>
        <v>0</v>
      </c>
      <c r="E102" s="18">
        <f t="shared" si="76"/>
        <v>0</v>
      </c>
      <c r="F102" s="18">
        <f t="shared" si="76"/>
        <v>1.8898187105223301E-5</v>
      </c>
      <c r="G102" s="18"/>
      <c r="H102" s="12">
        <v>0.77083333333333337</v>
      </c>
      <c r="I102" s="18">
        <f t="shared" ref="I102:M102" si="77">I45/I$57</f>
        <v>5.6589222855068407E-5</v>
      </c>
      <c r="J102" s="18">
        <f t="shared" si="77"/>
        <v>2.0593788716438769E-5</v>
      </c>
      <c r="K102" s="18">
        <f t="shared" si="77"/>
        <v>2.0425494965091237E-9</v>
      </c>
      <c r="L102" s="18">
        <f t="shared" si="77"/>
        <v>0</v>
      </c>
      <c r="M102" s="18">
        <f t="shared" si="77"/>
        <v>1.5079699692871102E-5</v>
      </c>
    </row>
    <row r="103" spans="1:13" x14ac:dyDescent="0.25">
      <c r="A103" s="12">
        <v>0.79166666666666663</v>
      </c>
      <c r="B103" s="18">
        <f t="shared" ref="B103:F103" si="78">B46/B$57</f>
        <v>4.4574076339941019E-5</v>
      </c>
      <c r="C103" s="18">
        <f t="shared" si="78"/>
        <v>1.7267725373626002E-5</v>
      </c>
      <c r="D103" s="18">
        <f t="shared" si="78"/>
        <v>0</v>
      </c>
      <c r="E103" s="18">
        <f t="shared" si="78"/>
        <v>0</v>
      </c>
      <c r="F103" s="18">
        <f t="shared" si="78"/>
        <v>1.2532855146970598E-5</v>
      </c>
      <c r="G103" s="18"/>
      <c r="H103" s="12">
        <v>0.79166666666666663</v>
      </c>
      <c r="I103" s="18">
        <f t="shared" ref="I103:M103" si="79">I46/I$57</f>
        <v>3.1368123639849486E-5</v>
      </c>
      <c r="J103" s="18">
        <f t="shared" si="79"/>
        <v>8.7694905669597116E-6</v>
      </c>
      <c r="K103" s="18">
        <f t="shared" si="79"/>
        <v>4.7085601954328827E-10</v>
      </c>
      <c r="L103" s="18">
        <f t="shared" si="79"/>
        <v>0</v>
      </c>
      <c r="M103" s="18">
        <f t="shared" si="79"/>
        <v>8.0732268378790913E-6</v>
      </c>
    </row>
    <row r="104" spans="1:13" x14ac:dyDescent="0.25">
      <c r="A104" s="12">
        <v>0.8125</v>
      </c>
      <c r="B104" s="18">
        <f t="shared" ref="B104:F104" si="80">B47/B$57</f>
        <v>3.1984001389007423E-5</v>
      </c>
      <c r="C104" s="18">
        <f t="shared" si="80"/>
        <v>4.4406240257345788E-6</v>
      </c>
      <c r="D104" s="18">
        <f t="shared" si="80"/>
        <v>0</v>
      </c>
      <c r="E104" s="18">
        <f t="shared" si="80"/>
        <v>0</v>
      </c>
      <c r="F104" s="18">
        <f t="shared" si="80"/>
        <v>8.1377882067097332E-6</v>
      </c>
      <c r="G104" s="18"/>
      <c r="H104" s="12">
        <v>0.8125</v>
      </c>
      <c r="I104" s="18">
        <f t="shared" ref="I104:M104" si="81">I47/I$57</f>
        <v>1.6494960099141789E-5</v>
      </c>
      <c r="J104" s="18">
        <f t="shared" si="81"/>
        <v>3.2289140788567397E-6</v>
      </c>
      <c r="K104" s="18">
        <f t="shared" si="81"/>
        <v>7.8476003257214703E-11</v>
      </c>
      <c r="L104" s="18">
        <f t="shared" si="81"/>
        <v>0</v>
      </c>
      <c r="M104" s="18">
        <f t="shared" si="81"/>
        <v>4.0961724874442769E-6</v>
      </c>
    </row>
    <row r="105" spans="1:13" x14ac:dyDescent="0.25">
      <c r="A105" s="12">
        <v>0.83333333333333337</v>
      </c>
      <c r="B105" s="18">
        <f t="shared" ref="B105:F105" si="82">B48/B$57</f>
        <v>1.9323363181235941E-5</v>
      </c>
      <c r="C105" s="18">
        <f t="shared" si="82"/>
        <v>8.9729945981754245E-7</v>
      </c>
      <c r="D105" s="18">
        <f t="shared" si="82"/>
        <v>0</v>
      </c>
      <c r="E105" s="18">
        <f t="shared" si="82"/>
        <v>0</v>
      </c>
      <c r="F105" s="18">
        <f t="shared" si="82"/>
        <v>4.7244400758384032E-6</v>
      </c>
      <c r="G105" s="18"/>
      <c r="H105" s="12">
        <v>0.83333333333333337</v>
      </c>
      <c r="I105" s="18">
        <f t="shared" ref="I105:M105" si="83">I48/I$57</f>
        <v>8.6095444416362548E-6</v>
      </c>
      <c r="J105" s="18">
        <f t="shared" si="83"/>
        <v>1.0095758340310978E-6</v>
      </c>
      <c r="K105" s="18">
        <f t="shared" si="83"/>
        <v>8.2606319218120762E-12</v>
      </c>
      <c r="L105" s="18">
        <f t="shared" si="83"/>
        <v>0</v>
      </c>
      <c r="M105" s="18">
        <f t="shared" si="83"/>
        <v>2.0651306158019832E-6</v>
      </c>
    </row>
    <row r="106" spans="1:13" x14ac:dyDescent="0.25">
      <c r="A106" s="12">
        <v>0.85416666666666663</v>
      </c>
      <c r="B106" s="18">
        <f t="shared" ref="B106:F106" si="84">B49/B$57</f>
        <v>9.5912220909654846E-6</v>
      </c>
      <c r="C106" s="18">
        <f t="shared" si="84"/>
        <v>1.3420375112573084E-7</v>
      </c>
      <c r="D106" s="18">
        <f t="shared" si="84"/>
        <v>0</v>
      </c>
      <c r="E106" s="18">
        <f t="shared" si="84"/>
        <v>0</v>
      </c>
      <c r="F106" s="18">
        <f t="shared" si="84"/>
        <v>2.3115213840540787E-6</v>
      </c>
      <c r="G106" s="18"/>
      <c r="H106" s="12">
        <v>0.85416666666666663</v>
      </c>
      <c r="I106" s="18">
        <f t="shared" ref="I106:M106" si="85">I49/I$57</f>
        <v>4.53412020445942E-6</v>
      </c>
      <c r="J106" s="18">
        <f t="shared" si="85"/>
        <v>2.6075499029363895E-7</v>
      </c>
      <c r="K106" s="18">
        <f t="shared" si="85"/>
        <v>4.1303159609060369E-13</v>
      </c>
      <c r="L106" s="18">
        <f t="shared" si="85"/>
        <v>0</v>
      </c>
      <c r="M106" s="18">
        <f t="shared" si="85"/>
        <v>1.0583696855493019E-6</v>
      </c>
    </row>
    <row r="107" spans="1:13" x14ac:dyDescent="0.25">
      <c r="A107" s="12">
        <v>0.875</v>
      </c>
      <c r="B107" s="18">
        <f t="shared" ref="B107:F107" si="86">B50/B$57</f>
        <v>3.8263940767558757E-6</v>
      </c>
      <c r="C107" s="18">
        <f t="shared" si="86"/>
        <v>1.3218565567953825E-8</v>
      </c>
      <c r="D107" s="18">
        <f t="shared" si="86"/>
        <v>0</v>
      </c>
      <c r="E107" s="18">
        <f t="shared" si="86"/>
        <v>0</v>
      </c>
      <c r="F107" s="18">
        <f t="shared" si="86"/>
        <v>9.1783843582704848E-7</v>
      </c>
      <c r="G107" s="18"/>
      <c r="H107" s="12">
        <v>0.875</v>
      </c>
      <c r="I107" s="18">
        <f t="shared" ref="I107:M107" si="87">I50/I$57</f>
        <v>2.3279309841587301E-6</v>
      </c>
      <c r="J107" s="18">
        <f t="shared" si="87"/>
        <v>5.3296399956592703E-8</v>
      </c>
      <c r="K107" s="18">
        <f t="shared" si="87"/>
        <v>0</v>
      </c>
      <c r="L107" s="18">
        <f t="shared" si="87"/>
        <v>0</v>
      </c>
      <c r="M107" s="18">
        <f t="shared" si="87"/>
        <v>5.3470672702224964E-7</v>
      </c>
    </row>
    <row r="108" spans="1:13" x14ac:dyDescent="0.25">
      <c r="A108" s="12">
        <v>0.89583333333333337</v>
      </c>
      <c r="B108" s="18">
        <f t="shared" ref="B108:F108" si="88">B51/B$57</f>
        <v>1.1948182514767428E-6</v>
      </c>
      <c r="C108" s="18">
        <f t="shared" si="88"/>
        <v>6.4140572275605384E-10</v>
      </c>
      <c r="D108" s="18">
        <f t="shared" si="88"/>
        <v>0</v>
      </c>
      <c r="E108" s="18">
        <f t="shared" si="88"/>
        <v>0</v>
      </c>
      <c r="F108" s="18">
        <f t="shared" si="88"/>
        <v>2.8622646158261855E-7</v>
      </c>
      <c r="G108" s="18"/>
      <c r="H108" s="12">
        <v>0.89583333333333337</v>
      </c>
      <c r="I108" s="18">
        <f t="shared" ref="I108:M108" si="89">I51/I$57</f>
        <v>1.099993572429803E-6</v>
      </c>
      <c r="J108" s="18">
        <f t="shared" si="89"/>
        <v>8.0471521659344389E-9</v>
      </c>
      <c r="K108" s="18">
        <f t="shared" si="89"/>
        <v>0</v>
      </c>
      <c r="L108" s="18">
        <f t="shared" si="89"/>
        <v>0</v>
      </c>
      <c r="M108" s="18">
        <f t="shared" si="89"/>
        <v>2.5081223550297289E-7</v>
      </c>
    </row>
    <row r="109" spans="1:13" x14ac:dyDescent="0.25">
      <c r="A109" s="12">
        <v>0.91666666666666663</v>
      </c>
      <c r="B109" s="18">
        <f t="shared" ref="B109:F109" si="90">B52/B$57</f>
        <v>2.810926148921006E-7</v>
      </c>
      <c r="C109" s="18">
        <f t="shared" si="90"/>
        <v>0</v>
      </c>
      <c r="D109" s="18">
        <f t="shared" si="90"/>
        <v>0</v>
      </c>
      <c r="E109" s="18">
        <f t="shared" si="90"/>
        <v>0</v>
      </c>
      <c r="F109" s="18">
        <f t="shared" si="90"/>
        <v>6.7321327650998401E-8</v>
      </c>
      <c r="G109" s="18"/>
      <c r="H109" s="12">
        <v>0.91666666666666663</v>
      </c>
      <c r="I109" s="18">
        <f t="shared" ref="I109:M109" si="91">I52/I$57</f>
        <v>4.5639328344037558E-7</v>
      </c>
      <c r="J109" s="18">
        <f t="shared" si="91"/>
        <v>7.9358400966217152E-10</v>
      </c>
      <c r="K109" s="18">
        <f t="shared" si="91"/>
        <v>0</v>
      </c>
      <c r="L109" s="18">
        <f t="shared" si="91"/>
        <v>0</v>
      </c>
      <c r="M109" s="18">
        <f t="shared" si="91"/>
        <v>1.0378897954364707E-7</v>
      </c>
    </row>
    <row r="110" spans="1:13" x14ac:dyDescent="0.25">
      <c r="A110" s="12">
        <v>0.9375</v>
      </c>
      <c r="B110" s="18">
        <f t="shared" ref="B110:F110" si="92">B53/B$57</f>
        <v>4.6848769148683433E-8</v>
      </c>
      <c r="C110" s="18">
        <f t="shared" si="92"/>
        <v>0</v>
      </c>
      <c r="D110" s="18">
        <f t="shared" si="92"/>
        <v>0</v>
      </c>
      <c r="E110" s="18">
        <f t="shared" si="92"/>
        <v>0</v>
      </c>
      <c r="F110" s="18">
        <f t="shared" si="92"/>
        <v>1.12202212751664E-8</v>
      </c>
      <c r="G110" s="18"/>
      <c r="H110" s="12">
        <v>0.9375</v>
      </c>
      <c r="I110" s="18">
        <f t="shared" ref="I110:M110" si="93">I53/I$57</f>
        <v>1.6147658832208335E-7</v>
      </c>
      <c r="J110" s="18">
        <f t="shared" si="93"/>
        <v>3.8136387948247826E-11</v>
      </c>
      <c r="K110" s="18">
        <f t="shared" si="93"/>
        <v>0</v>
      </c>
      <c r="L110" s="18">
        <f t="shared" si="93"/>
        <v>0</v>
      </c>
      <c r="M110" s="18">
        <f t="shared" si="93"/>
        <v>3.6695440557498411E-8</v>
      </c>
    </row>
    <row r="111" spans="1:13" x14ac:dyDescent="0.25">
      <c r="A111" s="12">
        <v>0.95833333333333337</v>
      </c>
      <c r="B111" s="18">
        <f t="shared" ref="B111:F111" si="94">B54/B$57</f>
        <v>4.9314493840719406E-9</v>
      </c>
      <c r="C111" s="18">
        <f t="shared" si="94"/>
        <v>0</v>
      </c>
      <c r="D111" s="18">
        <f t="shared" si="94"/>
        <v>0</v>
      </c>
      <c r="E111" s="18">
        <f t="shared" si="94"/>
        <v>0</v>
      </c>
      <c r="F111" s="18">
        <f t="shared" si="94"/>
        <v>1.1810759237017265E-9</v>
      </c>
      <c r="G111" s="18"/>
      <c r="H111" s="12">
        <v>0.95833333333333337</v>
      </c>
      <c r="I111" s="18">
        <f t="shared" ref="I111:M111" si="95">I54/I$57</f>
        <v>4.7748174890885459E-8</v>
      </c>
      <c r="J111" s="18">
        <f t="shared" si="95"/>
        <v>0</v>
      </c>
      <c r="K111" s="18">
        <f t="shared" si="95"/>
        <v>0</v>
      </c>
      <c r="L111" s="18">
        <f t="shared" si="95"/>
        <v>0</v>
      </c>
      <c r="M111" s="18">
        <f t="shared" si="95"/>
        <v>1.0849523357864516E-8</v>
      </c>
    </row>
    <row r="112" spans="1:13" x14ac:dyDescent="0.25">
      <c r="A112" s="12">
        <v>0.97916666666666663</v>
      </c>
      <c r="B112" s="18">
        <f t="shared" ref="B112:F112" si="96">B55/B$57</f>
        <v>2.4657246920359702E-10</v>
      </c>
      <c r="C112" s="18">
        <f t="shared" si="96"/>
        <v>0</v>
      </c>
      <c r="D112" s="18">
        <f t="shared" si="96"/>
        <v>0</v>
      </c>
      <c r="E112" s="18">
        <f t="shared" si="96"/>
        <v>0</v>
      </c>
      <c r="F112" s="18">
        <f t="shared" si="96"/>
        <v>5.9053796185086315E-11</v>
      </c>
      <c r="G112" s="18"/>
      <c r="H112" s="12">
        <v>0.97916666666666663</v>
      </c>
      <c r="I112" s="18">
        <f t="shared" ref="I112:M112" si="97">I55/I$57</f>
        <v>1.1263155073963909E-8</v>
      </c>
      <c r="J112" s="18">
        <f t="shared" si="97"/>
        <v>0</v>
      </c>
      <c r="K112" s="18">
        <f t="shared" si="97"/>
        <v>0</v>
      </c>
      <c r="L112" s="18">
        <f t="shared" si="97"/>
        <v>0</v>
      </c>
      <c r="M112" s="18">
        <f t="shared" si="97"/>
        <v>2.5592572771100431E-9</v>
      </c>
    </row>
    <row r="113" spans="1:13" ht="15.75" thickBot="1" x14ac:dyDescent="0.3">
      <c r="A113" s="13" t="s">
        <v>13</v>
      </c>
      <c r="B113" s="18">
        <f t="shared" ref="B113:F113" si="98">B56/B$57</f>
        <v>0</v>
      </c>
      <c r="C113" s="18">
        <f t="shared" si="98"/>
        <v>0</v>
      </c>
      <c r="D113" s="18">
        <f t="shared" si="98"/>
        <v>0</v>
      </c>
      <c r="E113" s="18">
        <f t="shared" si="98"/>
        <v>0</v>
      </c>
      <c r="F113" s="18">
        <f t="shared" si="98"/>
        <v>0</v>
      </c>
      <c r="G113" s="28"/>
      <c r="H113" s="13" t="s">
        <v>13</v>
      </c>
      <c r="I113" s="18">
        <f t="shared" ref="I113:M113" si="99">I56/I$57</f>
        <v>0</v>
      </c>
      <c r="J113" s="18">
        <f t="shared" si="99"/>
        <v>0</v>
      </c>
      <c r="K113" s="18">
        <f t="shared" si="99"/>
        <v>0</v>
      </c>
      <c r="L113" s="18">
        <f t="shared" si="99"/>
        <v>0</v>
      </c>
      <c r="M113" s="18">
        <f t="shared" si="99"/>
        <v>0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58"/>
  <sheetViews>
    <sheetView workbookViewId="0">
      <selection activeCell="A3" sqref="A3"/>
    </sheetView>
  </sheetViews>
  <sheetFormatPr defaultRowHeight="15" x14ac:dyDescent="0.25"/>
  <cols>
    <col min="1" max="1" width="12.7109375" customWidth="1" collapsed="1"/>
    <col min="2" max="10" width="10.7109375" customWidth="1" collapsed="1"/>
    <col min="11" max="11" width="6.42578125" customWidth="1" collapsed="1"/>
    <col min="12" max="12" width="12.7109375" customWidth="1" collapsed="1"/>
    <col min="13" max="21" width="10.7109375" customWidth="1" collapsed="1"/>
  </cols>
  <sheetData>
    <row r="1" spans="1:26" x14ac:dyDescent="0.25">
      <c r="A1" t="s">
        <v>25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51</v>
      </c>
      <c r="B6" s="1"/>
      <c r="C6" s="1"/>
      <c r="D6" s="1"/>
      <c r="E6" s="1"/>
      <c r="F6" s="1"/>
      <c r="G6" s="1"/>
      <c r="H6" s="1"/>
      <c r="I6" s="1"/>
      <c r="J6" s="1"/>
      <c r="L6" s="3" t="s">
        <v>26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>
        <v>0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f>SUM(B8:I8)</f>
        <v>0</v>
      </c>
      <c r="L8" t="s">
        <v>5</v>
      </c>
      <c r="M8" s="9">
        <v>755.91127706089947</v>
      </c>
      <c r="N8" s="9">
        <v>583.29507809292375</v>
      </c>
      <c r="O8" s="9">
        <v>0</v>
      </c>
      <c r="P8" s="9">
        <v>0</v>
      </c>
      <c r="Q8" s="9">
        <v>406.57636972101125</v>
      </c>
      <c r="R8" s="9">
        <v>44.414736842105292</v>
      </c>
      <c r="S8" s="9">
        <v>0</v>
      </c>
      <c r="T8" s="9">
        <v>0</v>
      </c>
      <c r="U8">
        <f>SUM(M8:T8)</f>
        <v>1790.1974617169396</v>
      </c>
      <c r="W8" s="5"/>
      <c r="X8" s="16"/>
      <c r="Y8" s="16"/>
      <c r="Z8" s="5"/>
    </row>
    <row r="9" spans="1:26" x14ac:dyDescent="0.25">
      <c r="A9" s="12">
        <v>0.125</v>
      </c>
      <c r="B9" s="6">
        <v>3339.7288279331547</v>
      </c>
      <c r="C9" s="6">
        <v>282.44800695515971</v>
      </c>
      <c r="D9" s="6">
        <v>0.71768924193741235</v>
      </c>
      <c r="E9" s="6">
        <v>13.513914594583031</v>
      </c>
      <c r="F9" s="6">
        <v>157.27422732287241</v>
      </c>
      <c r="G9" s="6">
        <v>0</v>
      </c>
      <c r="H9" s="6">
        <v>0</v>
      </c>
      <c r="I9" s="6">
        <v>0</v>
      </c>
      <c r="J9" s="6">
        <f t="shared" ref="J9:J58" si="0">SUM(B9:I9)</f>
        <v>3793.6826660477072</v>
      </c>
      <c r="L9" s="12">
        <v>0.125</v>
      </c>
      <c r="M9" s="9">
        <v>4784.525438769102</v>
      </c>
      <c r="N9" s="9">
        <v>600.12703888592205</v>
      </c>
      <c r="O9" s="9">
        <v>0</v>
      </c>
      <c r="P9" s="9">
        <v>0</v>
      </c>
      <c r="Q9" s="9">
        <v>322.40953002444041</v>
      </c>
      <c r="R9" s="9">
        <v>29.753908380269962</v>
      </c>
      <c r="S9" s="9">
        <v>0</v>
      </c>
      <c r="T9" s="9">
        <v>0</v>
      </c>
      <c r="U9">
        <f t="shared" ref="U9:U58" si="1">SUM(M9:T9)</f>
        <v>5736.8159160597352</v>
      </c>
      <c r="W9" s="5"/>
      <c r="X9" s="16"/>
      <c r="Y9" s="16"/>
      <c r="Z9" s="5"/>
    </row>
    <row r="10" spans="1:26" x14ac:dyDescent="0.25">
      <c r="A10" s="12">
        <v>0.14583333333333334</v>
      </c>
      <c r="B10" s="6">
        <v>7980.4240419087673</v>
      </c>
      <c r="C10" s="6">
        <v>603.57101352104553</v>
      </c>
      <c r="D10" s="6">
        <v>2.7883532237758986</v>
      </c>
      <c r="E10" s="6">
        <v>33.313413548313413</v>
      </c>
      <c r="F10" s="6">
        <v>354.48812658273505</v>
      </c>
      <c r="G10" s="6">
        <v>0</v>
      </c>
      <c r="H10" s="6">
        <v>0</v>
      </c>
      <c r="I10" s="6">
        <v>0</v>
      </c>
      <c r="J10" s="6">
        <f t="shared" si="0"/>
        <v>8974.5849487846372</v>
      </c>
      <c r="L10" s="12">
        <v>0.14583333333333334</v>
      </c>
      <c r="M10" s="9">
        <v>9155.1198079041405</v>
      </c>
      <c r="N10" s="9">
        <v>685.43014551004092</v>
      </c>
      <c r="O10" s="9">
        <v>0</v>
      </c>
      <c r="P10" s="9">
        <v>0</v>
      </c>
      <c r="Q10" s="9">
        <v>270.10855620215182</v>
      </c>
      <c r="R10" s="9">
        <v>17.706590338987429</v>
      </c>
      <c r="S10" s="9">
        <v>0</v>
      </c>
      <c r="T10" s="9">
        <v>0</v>
      </c>
      <c r="U10">
        <f t="shared" si="1"/>
        <v>10128.365099955321</v>
      </c>
      <c r="W10" s="5"/>
      <c r="X10" s="16"/>
      <c r="Y10" s="16"/>
      <c r="Z10" s="5"/>
    </row>
    <row r="11" spans="1:26" x14ac:dyDescent="0.25">
      <c r="A11" s="12">
        <v>0.16666666666666666</v>
      </c>
      <c r="B11" s="6">
        <v>15295.304658686502</v>
      </c>
      <c r="C11" s="6">
        <v>1033.1833223569945</v>
      </c>
      <c r="D11" s="6">
        <v>8.8158416147950565</v>
      </c>
      <c r="E11" s="6">
        <v>68.232137229444618</v>
      </c>
      <c r="F11" s="6">
        <v>635.91900580430774</v>
      </c>
      <c r="G11" s="6">
        <v>0</v>
      </c>
      <c r="H11" s="6">
        <v>0</v>
      </c>
      <c r="I11" s="6">
        <v>0</v>
      </c>
      <c r="J11" s="6">
        <f t="shared" si="0"/>
        <v>17041.454965692043</v>
      </c>
      <c r="L11" s="12">
        <v>0.16666666666666666</v>
      </c>
      <c r="M11" s="9">
        <v>14658.143563430784</v>
      </c>
      <c r="N11" s="9">
        <v>922.98718496052493</v>
      </c>
      <c r="O11" s="9">
        <v>0</v>
      </c>
      <c r="P11" s="9">
        <v>0</v>
      </c>
      <c r="Q11" s="9">
        <v>280.90400782296467</v>
      </c>
      <c r="R11" s="9">
        <v>9.7512456447988178</v>
      </c>
      <c r="S11" s="9">
        <v>0</v>
      </c>
      <c r="T11" s="9">
        <v>0</v>
      </c>
      <c r="U11">
        <f t="shared" si="1"/>
        <v>15871.786001859071</v>
      </c>
      <c r="W11" s="5"/>
      <c r="X11" s="16"/>
      <c r="Y11" s="16"/>
      <c r="Z11" s="5"/>
    </row>
    <row r="12" spans="1:26" x14ac:dyDescent="0.25">
      <c r="A12" s="12">
        <v>0.1875</v>
      </c>
      <c r="B12" s="6">
        <v>26611.554267127882</v>
      </c>
      <c r="C12" s="6">
        <v>1680.4197238724944</v>
      </c>
      <c r="D12" s="6">
        <v>24.216213156374</v>
      </c>
      <c r="E12" s="6">
        <v>131.552328049545</v>
      </c>
      <c r="F12" s="6">
        <v>1049.4284768584516</v>
      </c>
      <c r="G12" s="6">
        <v>0</v>
      </c>
      <c r="H12" s="6">
        <v>0</v>
      </c>
      <c r="I12" s="6">
        <v>0</v>
      </c>
      <c r="J12" s="6">
        <f t="shared" si="0"/>
        <v>29497.171009064747</v>
      </c>
      <c r="L12" s="12">
        <v>0.1875</v>
      </c>
      <c r="M12" s="9">
        <v>22687.153063388825</v>
      </c>
      <c r="N12" s="9">
        <v>1421.9325448839131</v>
      </c>
      <c r="O12" s="9">
        <v>0</v>
      </c>
      <c r="P12" s="9">
        <v>0</v>
      </c>
      <c r="Q12" s="9">
        <v>387.44884229866557</v>
      </c>
      <c r="R12" s="9">
        <v>5.9639899596301156</v>
      </c>
      <c r="S12" s="9">
        <v>0</v>
      </c>
      <c r="T12" s="9">
        <v>0</v>
      </c>
      <c r="U12">
        <f t="shared" si="1"/>
        <v>24502.498440531032</v>
      </c>
      <c r="W12" s="5"/>
      <c r="X12" s="5"/>
      <c r="Y12" s="5"/>
      <c r="Z12" s="5"/>
    </row>
    <row r="13" spans="1:26" x14ac:dyDescent="0.25">
      <c r="A13" s="12">
        <v>0.20833333333333334</v>
      </c>
      <c r="B13" s="6">
        <v>42853.383994249634</v>
      </c>
      <c r="C13" s="6">
        <v>2667.7790396320765</v>
      </c>
      <c r="D13" s="6">
        <v>59.042457774076034</v>
      </c>
      <c r="E13" s="6">
        <v>240.39696536189936</v>
      </c>
      <c r="F13" s="6">
        <v>1631.0107973735121</v>
      </c>
      <c r="G13" s="6">
        <v>0</v>
      </c>
      <c r="H13" s="6">
        <v>0</v>
      </c>
      <c r="I13" s="6">
        <v>1.0420465469360351E-4</v>
      </c>
      <c r="J13" s="6">
        <f t="shared" si="0"/>
        <v>47451.61335859586</v>
      </c>
      <c r="L13" s="12">
        <v>0.20833333333333334</v>
      </c>
      <c r="M13" s="9">
        <v>34871.72526650822</v>
      </c>
      <c r="N13" s="9">
        <v>2306.8350867429376</v>
      </c>
      <c r="O13" s="9">
        <v>0</v>
      </c>
      <c r="P13" s="9">
        <v>0</v>
      </c>
      <c r="Q13" s="9">
        <v>624.76880952455645</v>
      </c>
      <c r="R13" s="9">
        <v>5.6847778183685502</v>
      </c>
      <c r="S13" s="9">
        <v>0</v>
      </c>
      <c r="T13" s="9">
        <v>0</v>
      </c>
      <c r="U13">
        <f t="shared" si="1"/>
        <v>37809.013940594079</v>
      </c>
    </row>
    <row r="14" spans="1:26" x14ac:dyDescent="0.25">
      <c r="A14" s="12">
        <v>0.22916666666666666</v>
      </c>
      <c r="B14" s="6">
        <v>64014.802508351378</v>
      </c>
      <c r="C14" s="6">
        <v>4080.255015324763</v>
      </c>
      <c r="D14" s="6">
        <v>129.02917654440373</v>
      </c>
      <c r="E14" s="6">
        <v>411.01152920565141</v>
      </c>
      <c r="F14" s="6">
        <v>2372.4652970510069</v>
      </c>
      <c r="G14" s="6">
        <v>0</v>
      </c>
      <c r="H14" s="6">
        <v>0</v>
      </c>
      <c r="I14" s="6">
        <v>2.0840930938720698E-3</v>
      </c>
      <c r="J14" s="6">
        <f t="shared" si="0"/>
        <v>71007.565610570295</v>
      </c>
      <c r="L14" s="12">
        <v>0.22916666666666666</v>
      </c>
      <c r="M14" s="9">
        <v>52201.291789867973</v>
      </c>
      <c r="N14" s="9">
        <v>3675.4224625788024</v>
      </c>
      <c r="O14" s="9">
        <v>0</v>
      </c>
      <c r="P14" s="9">
        <v>0</v>
      </c>
      <c r="Q14" s="9">
        <v>1022.7361854361046</v>
      </c>
      <c r="R14" s="9">
        <v>8.4095649477221315</v>
      </c>
      <c r="S14" s="9">
        <v>0</v>
      </c>
      <c r="T14" s="9">
        <v>0</v>
      </c>
      <c r="U14">
        <f t="shared" si="1"/>
        <v>56907.86000283061</v>
      </c>
    </row>
    <row r="15" spans="1:26" x14ac:dyDescent="0.25">
      <c r="A15" s="12">
        <v>0.25</v>
      </c>
      <c r="B15" s="6">
        <v>88576.58383324687</v>
      </c>
      <c r="C15" s="6">
        <v>5913.0929225768614</v>
      </c>
      <c r="D15" s="6">
        <v>253.43507056537763</v>
      </c>
      <c r="E15" s="6">
        <v>650.71582737846438</v>
      </c>
      <c r="F15" s="6">
        <v>3193.2966091226435</v>
      </c>
      <c r="G15" s="6">
        <v>0</v>
      </c>
      <c r="H15" s="6">
        <v>0</v>
      </c>
      <c r="I15" s="6">
        <v>1.9798884391784666E-2</v>
      </c>
      <c r="J15" s="6">
        <f t="shared" si="0"/>
        <v>98587.144061774598</v>
      </c>
      <c r="L15" s="12">
        <v>0.25</v>
      </c>
      <c r="M15" s="9">
        <v>74029.210177270987</v>
      </c>
      <c r="N15" s="9">
        <v>5533.920663206356</v>
      </c>
      <c r="O15" s="9">
        <v>0</v>
      </c>
      <c r="P15" s="9">
        <v>0</v>
      </c>
      <c r="Q15" s="9">
        <v>1588.0719066470826</v>
      </c>
      <c r="R15" s="9">
        <v>14.13163087203576</v>
      </c>
      <c r="S15" s="9">
        <v>0</v>
      </c>
      <c r="T15" s="9">
        <v>0</v>
      </c>
      <c r="U15">
        <f t="shared" si="1"/>
        <v>81165.334377996463</v>
      </c>
    </row>
    <row r="16" spans="1:26" x14ac:dyDescent="0.25">
      <c r="A16" s="12">
        <v>0.27083333333333331</v>
      </c>
      <c r="B16" s="6">
        <v>113137.76469102284</v>
      </c>
      <c r="C16" s="6">
        <v>8038.3332981283311</v>
      </c>
      <c r="D16" s="6">
        <v>447.05613151994243</v>
      </c>
      <c r="E16" s="6">
        <v>949.73387470860655</v>
      </c>
      <c r="F16" s="6">
        <v>3949.7988398668886</v>
      </c>
      <c r="G16" s="6">
        <v>0</v>
      </c>
      <c r="H16" s="6">
        <v>0</v>
      </c>
      <c r="I16" s="6">
        <v>0.1188303209543228</v>
      </c>
      <c r="J16" s="6">
        <f t="shared" si="0"/>
        <v>126522.80566556755</v>
      </c>
      <c r="L16" s="12">
        <v>0.27083333333333331</v>
      </c>
      <c r="M16" s="9">
        <v>97581.825873042399</v>
      </c>
      <c r="N16" s="9">
        <v>7742.9619634036517</v>
      </c>
      <c r="O16" s="9">
        <v>0</v>
      </c>
      <c r="P16" s="9">
        <v>0</v>
      </c>
      <c r="Q16" s="9">
        <v>2283.7053574870533</v>
      </c>
      <c r="R16" s="9">
        <v>22.908109179617917</v>
      </c>
      <c r="S16" s="9">
        <v>0</v>
      </c>
      <c r="T16" s="9">
        <v>0</v>
      </c>
      <c r="U16">
        <f t="shared" si="1"/>
        <v>107631.40130311273</v>
      </c>
    </row>
    <row r="17" spans="1:21" x14ac:dyDescent="0.25">
      <c r="A17" s="12">
        <v>0.29166666666666669</v>
      </c>
      <c r="B17" s="6">
        <v>132792.14167169345</v>
      </c>
      <c r="C17" s="6">
        <v>10202.207502753596</v>
      </c>
      <c r="D17" s="6">
        <v>706.83082101028106</v>
      </c>
      <c r="E17" s="6">
        <v>1277.4110876262764</v>
      </c>
      <c r="F17" s="6">
        <v>4487.9079002977096</v>
      </c>
      <c r="G17" s="6">
        <v>0</v>
      </c>
      <c r="H17" s="6">
        <v>0</v>
      </c>
      <c r="I17" s="6">
        <v>0.50561184406280502</v>
      </c>
      <c r="J17" s="6">
        <f t="shared" si="0"/>
        <v>149467.00459522539</v>
      </c>
      <c r="L17" s="12">
        <v>0.29166666666666669</v>
      </c>
      <c r="M17" s="9">
        <v>118436.15225801447</v>
      </c>
      <c r="N17" s="9">
        <v>10009.037032339078</v>
      </c>
      <c r="O17" s="9">
        <v>0</v>
      </c>
      <c r="P17" s="9">
        <v>0</v>
      </c>
      <c r="Q17" s="9">
        <v>3019.2448753777289</v>
      </c>
      <c r="R17" s="9">
        <v>34.081162080196414</v>
      </c>
      <c r="S17" s="9">
        <v>0</v>
      </c>
      <c r="T17" s="9">
        <v>0</v>
      </c>
      <c r="U17">
        <f t="shared" si="1"/>
        <v>131498.51532781147</v>
      </c>
    </row>
    <row r="18" spans="1:21" x14ac:dyDescent="0.25">
      <c r="A18" s="12">
        <v>0.3125</v>
      </c>
      <c r="B18" s="6">
        <v>142648.21521898577</v>
      </c>
      <c r="C18" s="6">
        <v>12068.332711608833</v>
      </c>
      <c r="D18" s="6">
        <v>999.74231194193703</v>
      </c>
      <c r="E18" s="6">
        <v>1587.0441264748436</v>
      </c>
      <c r="F18" s="6">
        <v>4704.8819568612034</v>
      </c>
      <c r="G18" s="6">
        <v>0</v>
      </c>
      <c r="H18" s="6">
        <v>0</v>
      </c>
      <c r="I18" s="6">
        <v>1.6226217410564421</v>
      </c>
      <c r="J18" s="6">
        <f t="shared" si="0"/>
        <v>162009.83894761364</v>
      </c>
      <c r="L18" s="12">
        <v>0.3125</v>
      </c>
      <c r="M18" s="9">
        <v>131921.38638280088</v>
      </c>
      <c r="N18" s="9">
        <v>11939.097271872113</v>
      </c>
      <c r="O18" s="9">
        <v>0</v>
      </c>
      <c r="P18" s="9">
        <v>0</v>
      </c>
      <c r="Q18" s="9">
        <v>3664.3682190649952</v>
      </c>
      <c r="R18" s="9">
        <v>45.87118700221879</v>
      </c>
      <c r="S18" s="9">
        <v>0</v>
      </c>
      <c r="T18" s="9">
        <v>0</v>
      </c>
      <c r="U18">
        <f t="shared" si="1"/>
        <v>147570.72306074019</v>
      </c>
    </row>
    <row r="19" spans="1:21" x14ac:dyDescent="0.25">
      <c r="A19" s="12">
        <v>0.33333333333333331</v>
      </c>
      <c r="B19" s="6">
        <v>140018.73519035836</v>
      </c>
      <c r="C19" s="6">
        <v>13315.526604486364</v>
      </c>
      <c r="D19" s="6">
        <v>1263.7506808902629</v>
      </c>
      <c r="E19" s="6">
        <v>1829.7640194475603</v>
      </c>
      <c r="F19" s="6">
        <v>4580.7954532949416</v>
      </c>
      <c r="G19" s="6">
        <v>0</v>
      </c>
      <c r="H19" s="6">
        <v>0</v>
      </c>
      <c r="I19" s="6">
        <v>4.0811690640449525</v>
      </c>
      <c r="J19" s="6">
        <f t="shared" si="0"/>
        <v>161012.65311754151</v>
      </c>
      <c r="L19" s="12">
        <v>0.33333333333333331</v>
      </c>
      <c r="M19" s="9">
        <v>134860.19484908984</v>
      </c>
      <c r="N19" s="9">
        <v>13152.357920827822</v>
      </c>
      <c r="O19" s="9">
        <v>0</v>
      </c>
      <c r="P19" s="9">
        <v>0</v>
      </c>
      <c r="Q19" s="9">
        <v>4087.3840876363324</v>
      </c>
      <c r="R19" s="9">
        <v>55.794495694812085</v>
      </c>
      <c r="S19" s="9">
        <v>0</v>
      </c>
      <c r="T19" s="9">
        <v>0</v>
      </c>
      <c r="U19">
        <f t="shared" si="1"/>
        <v>152155.73135324879</v>
      </c>
    </row>
    <row r="20" spans="1:21" x14ac:dyDescent="0.25">
      <c r="A20" s="12">
        <v>0.35416666666666669</v>
      </c>
      <c r="B20" s="6">
        <v>125883.48536490821</v>
      </c>
      <c r="C20" s="6">
        <v>13757.130104172495</v>
      </c>
      <c r="D20" s="6">
        <v>1429.7287737099671</v>
      </c>
      <c r="E20" s="6">
        <v>1971.3506558963754</v>
      </c>
      <c r="F20" s="6">
        <v>4176.3568965363147</v>
      </c>
      <c r="G20" s="6">
        <v>0</v>
      </c>
      <c r="H20" s="6">
        <v>0</v>
      </c>
      <c r="I20" s="6">
        <v>8.2572805863618832</v>
      </c>
      <c r="J20" s="6">
        <f t="shared" si="0"/>
        <v>147226.30907580972</v>
      </c>
      <c r="L20" s="12">
        <v>0.35416666666666669</v>
      </c>
      <c r="M20" s="9">
        <v>126823.74932459948</v>
      </c>
      <c r="N20" s="9">
        <v>13417.215035265352</v>
      </c>
      <c r="O20" s="9">
        <v>0</v>
      </c>
      <c r="P20" s="9">
        <v>0</v>
      </c>
      <c r="Q20" s="9">
        <v>4206.3911717951178</v>
      </c>
      <c r="R20" s="9">
        <v>61.735432859384574</v>
      </c>
      <c r="S20" s="9">
        <v>0</v>
      </c>
      <c r="T20" s="9">
        <v>0</v>
      </c>
      <c r="U20">
        <f t="shared" si="1"/>
        <v>144509.09096451933</v>
      </c>
    </row>
    <row r="21" spans="1:21" x14ac:dyDescent="0.25">
      <c r="A21" s="12">
        <v>0.375</v>
      </c>
      <c r="B21" s="6">
        <v>104454.7872159727</v>
      </c>
      <c r="C21" s="6">
        <v>13405.844765822565</v>
      </c>
      <c r="D21" s="6">
        <v>1456.8939071179029</v>
      </c>
      <c r="E21" s="6">
        <v>2003.1719632652844</v>
      </c>
      <c r="F21" s="6">
        <v>3613.8539643392896</v>
      </c>
      <c r="G21" s="6">
        <v>4.0215837955474853E-4</v>
      </c>
      <c r="H21" s="6">
        <v>0</v>
      </c>
      <c r="I21" s="6">
        <v>13.700534766197201</v>
      </c>
      <c r="J21" s="6">
        <f t="shared" si="0"/>
        <v>124948.2527534423</v>
      </c>
      <c r="L21" s="12">
        <v>0.375</v>
      </c>
      <c r="M21" s="9">
        <v>110276.32293263703</v>
      </c>
      <c r="N21" s="9">
        <v>12754.97513720431</v>
      </c>
      <c r="O21" s="9">
        <v>0</v>
      </c>
      <c r="P21" s="9">
        <v>0</v>
      </c>
      <c r="Q21" s="9">
        <v>4027.5106860286051</v>
      </c>
      <c r="R21" s="9">
        <v>62.996646245390039</v>
      </c>
      <c r="S21" s="9">
        <v>0</v>
      </c>
      <c r="T21" s="9">
        <v>0</v>
      </c>
      <c r="U21">
        <f t="shared" si="1"/>
        <v>127121.80540211534</v>
      </c>
    </row>
    <row r="22" spans="1:21" x14ac:dyDescent="0.25">
      <c r="A22" s="12">
        <v>0.39583333333333331</v>
      </c>
      <c r="B22" s="6">
        <v>81109.170726468539</v>
      </c>
      <c r="C22" s="6">
        <v>12435.35518225431</v>
      </c>
      <c r="D22" s="6">
        <v>1357.5846480998157</v>
      </c>
      <c r="E22" s="6">
        <v>1943.5754275654306</v>
      </c>
      <c r="F22" s="6">
        <v>3043.7307548708941</v>
      </c>
      <c r="G22" s="6">
        <v>8.0431675910949702E-3</v>
      </c>
      <c r="H22" s="6">
        <v>0</v>
      </c>
      <c r="I22" s="6">
        <v>18.936899838447566</v>
      </c>
      <c r="J22" s="6">
        <f t="shared" si="0"/>
        <v>99908.361682265022</v>
      </c>
      <c r="L22" s="12">
        <v>0.39583333333333331</v>
      </c>
      <c r="M22" s="9">
        <v>89536.604131367465</v>
      </c>
      <c r="N22" s="9">
        <v>11446.797931327535</v>
      </c>
      <c r="O22" s="9">
        <v>0</v>
      </c>
      <c r="P22" s="9">
        <v>0</v>
      </c>
      <c r="Q22" s="9">
        <v>3645.3323986053147</v>
      </c>
      <c r="R22" s="9">
        <v>60.624904071490342</v>
      </c>
      <c r="S22" s="9">
        <v>0</v>
      </c>
      <c r="T22" s="9">
        <v>0</v>
      </c>
      <c r="U22">
        <f t="shared" si="1"/>
        <v>104689.35936537181</v>
      </c>
    </row>
    <row r="23" spans="1:21" x14ac:dyDescent="0.25">
      <c r="A23" s="12">
        <v>0.41666666666666669</v>
      </c>
      <c r="B23" s="6">
        <v>60169.488459051303</v>
      </c>
      <c r="C23" s="6">
        <v>11079.894682086149</v>
      </c>
      <c r="D23" s="6">
        <v>1189.1364339101121</v>
      </c>
      <c r="E23" s="6">
        <v>1832.1231493884056</v>
      </c>
      <c r="F23" s="6">
        <v>2595.3245790962092</v>
      </c>
      <c r="G23" s="6">
        <v>7.6663696408271781E-2</v>
      </c>
      <c r="H23" s="6">
        <v>0</v>
      </c>
      <c r="I23" s="6">
        <v>22.121807254791253</v>
      </c>
      <c r="J23" s="6">
        <f t="shared" si="0"/>
        <v>76888.165774483394</v>
      </c>
      <c r="L23" s="12">
        <v>0.41666666666666669</v>
      </c>
      <c r="M23" s="9">
        <v>69086.584738114849</v>
      </c>
      <c r="N23" s="9">
        <v>9920.5375289547283</v>
      </c>
      <c r="O23" s="9">
        <v>0</v>
      </c>
      <c r="P23" s="9">
        <v>0</v>
      </c>
      <c r="Q23" s="9">
        <v>3200.5309028052534</v>
      </c>
      <c r="R23" s="9">
        <v>56.767041486388408</v>
      </c>
      <c r="S23" s="9">
        <v>0</v>
      </c>
      <c r="T23" s="9">
        <v>0</v>
      </c>
      <c r="U23">
        <f t="shared" si="1"/>
        <v>82264.420211361212</v>
      </c>
    </row>
    <row r="24" spans="1:21" x14ac:dyDescent="0.25">
      <c r="A24" s="12">
        <v>0.4375</v>
      </c>
      <c r="B24" s="6">
        <v>43835.742884322572</v>
      </c>
      <c r="C24" s="6">
        <v>9561.0500134579888</v>
      </c>
      <c r="D24" s="6">
        <v>1016.9070610930364</v>
      </c>
      <c r="E24" s="6">
        <v>1718.2817034920183</v>
      </c>
      <c r="F24" s="6">
        <v>2333.8720781627162</v>
      </c>
      <c r="G24" s="6">
        <v>0.46353263854980459</v>
      </c>
      <c r="H24" s="6">
        <v>0</v>
      </c>
      <c r="I24" s="6">
        <v>22.164943419694897</v>
      </c>
      <c r="J24" s="6">
        <f t="shared" si="0"/>
        <v>58488.48221658657</v>
      </c>
      <c r="L24" s="12">
        <v>0.4375</v>
      </c>
      <c r="M24" s="9">
        <v>52065.860803852185</v>
      </c>
      <c r="N24" s="9">
        <v>8568.0527797663653</v>
      </c>
      <c r="O24" s="9">
        <v>0</v>
      </c>
      <c r="P24" s="9">
        <v>0</v>
      </c>
      <c r="Q24" s="9">
        <v>2817.2925546683928</v>
      </c>
      <c r="R24" s="9">
        <v>53.466245471201368</v>
      </c>
      <c r="S24" s="9">
        <v>0</v>
      </c>
      <c r="T24" s="9">
        <v>0</v>
      </c>
      <c r="U24">
        <f t="shared" si="1"/>
        <v>63504.672383758145</v>
      </c>
    </row>
    <row r="25" spans="1:21" x14ac:dyDescent="0.25">
      <c r="A25" s="12">
        <v>0.45833333333333331</v>
      </c>
      <c r="B25" s="6">
        <v>32401.66194463618</v>
      </c>
      <c r="C25" s="6">
        <v>8076.04419733955</v>
      </c>
      <c r="D25" s="6">
        <v>879.23563894388417</v>
      </c>
      <c r="E25" s="6">
        <v>1643.6587497902062</v>
      </c>
      <c r="F25" s="6">
        <v>2250.2919632770909</v>
      </c>
      <c r="G25" s="6">
        <v>1.9969041817188258</v>
      </c>
      <c r="H25" s="6">
        <v>0</v>
      </c>
      <c r="I25" s="6">
        <v>19.343633174896237</v>
      </c>
      <c r="J25" s="6">
        <f t="shared" si="0"/>
        <v>45272.23303134353</v>
      </c>
      <c r="L25" s="12">
        <v>0.45833333333333331</v>
      </c>
      <c r="M25" s="9">
        <v>39617.334124027468</v>
      </c>
      <c r="N25" s="9">
        <v>7595.5260872251747</v>
      </c>
      <c r="O25" s="9">
        <v>0</v>
      </c>
      <c r="P25" s="9">
        <v>0</v>
      </c>
      <c r="Q25" s="9">
        <v>2556.9460736829906</v>
      </c>
      <c r="R25" s="9">
        <v>51.709565654221933</v>
      </c>
      <c r="S25" s="9">
        <v>0</v>
      </c>
      <c r="T25" s="9">
        <v>0</v>
      </c>
      <c r="U25">
        <f t="shared" si="1"/>
        <v>49821.515850589858</v>
      </c>
    </row>
    <row r="26" spans="1:21" x14ac:dyDescent="0.25">
      <c r="A26" s="12">
        <v>0.47916666666666669</v>
      </c>
      <c r="B26" s="6">
        <v>25056.185553781896</v>
      </c>
      <c r="C26" s="6">
        <v>6799.8598780764905</v>
      </c>
      <c r="D26" s="6">
        <v>781.09139030762822</v>
      </c>
      <c r="E26" s="6">
        <v>1622.2870746106894</v>
      </c>
      <c r="F26" s="6">
        <v>2278.3372588978273</v>
      </c>
      <c r="G26" s="6">
        <v>6.5294127531051629</v>
      </c>
      <c r="H26" s="6">
        <v>0</v>
      </c>
      <c r="I26" s="6">
        <v>14.916614937305448</v>
      </c>
      <c r="J26" s="6">
        <f t="shared" si="0"/>
        <v>36559.207183364953</v>
      </c>
      <c r="L26" s="12">
        <v>0.47916666666666669</v>
      </c>
      <c r="M26" s="9">
        <v>31216.55426653137</v>
      </c>
      <c r="N26" s="9">
        <v>6989.9191830671543</v>
      </c>
      <c r="O26" s="9">
        <v>0</v>
      </c>
      <c r="P26" s="9">
        <v>0</v>
      </c>
      <c r="Q26" s="9">
        <v>2411.8562196185471</v>
      </c>
      <c r="R26" s="9">
        <v>51.319957007598688</v>
      </c>
      <c r="S26" s="9">
        <v>0</v>
      </c>
      <c r="T26" s="9">
        <v>0</v>
      </c>
      <c r="U26">
        <f t="shared" si="1"/>
        <v>40669.649626224666</v>
      </c>
    </row>
    <row r="27" spans="1:21" x14ac:dyDescent="0.25">
      <c r="A27" s="12">
        <v>0.5</v>
      </c>
      <c r="B27" s="6">
        <v>20615.985456069138</v>
      </c>
      <c r="C27" s="6">
        <v>5853.6821564018555</v>
      </c>
      <c r="D27" s="6">
        <v>711.53541534168528</v>
      </c>
      <c r="E27" s="6">
        <v>1631.9533605295292</v>
      </c>
      <c r="F27" s="6">
        <v>2317.4296063948618</v>
      </c>
      <c r="G27" s="6">
        <v>16.866154845356938</v>
      </c>
      <c r="H27" s="6">
        <v>1.1023161411285399E-3</v>
      </c>
      <c r="I27" s="6">
        <v>10.255945239067078</v>
      </c>
      <c r="J27" s="6">
        <f t="shared" si="0"/>
        <v>31157.709197137632</v>
      </c>
      <c r="L27" s="12">
        <v>0.5</v>
      </c>
      <c r="M27" s="9">
        <v>25572.870983899942</v>
      </c>
      <c r="N27" s="9">
        <v>6604.1499303197961</v>
      </c>
      <c r="O27" s="9">
        <v>0</v>
      </c>
      <c r="P27" s="9">
        <v>0</v>
      </c>
      <c r="Q27" s="9">
        <v>2335.169585570462</v>
      </c>
      <c r="R27" s="9">
        <v>51.620266379649486</v>
      </c>
      <c r="S27" s="9">
        <v>0</v>
      </c>
      <c r="T27" s="9">
        <v>0</v>
      </c>
      <c r="U27">
        <f t="shared" si="1"/>
        <v>34563.810766169852</v>
      </c>
    </row>
    <row r="28" spans="1:21" x14ac:dyDescent="0.25">
      <c r="A28" s="12">
        <v>0.52083333333333337</v>
      </c>
      <c r="B28" s="6">
        <v>17978.202042662975</v>
      </c>
      <c r="C28" s="6">
        <v>5261.858745187541</v>
      </c>
      <c r="D28" s="6">
        <v>659.16512715816066</v>
      </c>
      <c r="E28" s="6">
        <v>1626.4470259321554</v>
      </c>
      <c r="F28" s="6">
        <v>2262.0331628388485</v>
      </c>
      <c r="G28" s="6">
        <v>35.405898068904868</v>
      </c>
      <c r="H28" s="6">
        <v>2.20463228225708E-2</v>
      </c>
      <c r="I28" s="6">
        <v>6.2783185837268825</v>
      </c>
      <c r="J28" s="6">
        <f t="shared" si="0"/>
        <v>27829.412366755136</v>
      </c>
      <c r="L28" s="12">
        <v>0.52083333333333337</v>
      </c>
      <c r="M28" s="9">
        <v>21483.680164716661</v>
      </c>
      <c r="N28" s="9">
        <v>6286.2778407748092</v>
      </c>
      <c r="O28" s="9">
        <v>0</v>
      </c>
      <c r="P28" s="9">
        <v>0</v>
      </c>
      <c r="Q28" s="9">
        <v>2280.343302502245</v>
      </c>
      <c r="R28" s="9">
        <v>52.293868524386284</v>
      </c>
      <c r="S28" s="9">
        <v>0</v>
      </c>
      <c r="T28" s="9">
        <v>0</v>
      </c>
      <c r="U28">
        <f t="shared" si="1"/>
        <v>30102.595176518102</v>
      </c>
    </row>
    <row r="29" spans="1:21" x14ac:dyDescent="0.25">
      <c r="A29" s="12">
        <v>0.54166666666666663</v>
      </c>
      <c r="B29" s="6">
        <v>16328.106694163931</v>
      </c>
      <c r="C29" s="6">
        <v>4952.1823213955777</v>
      </c>
      <c r="D29" s="6">
        <v>612.79122054377081</v>
      </c>
      <c r="E29" s="6">
        <v>1563.1507002803635</v>
      </c>
      <c r="F29" s="6">
        <v>2047.7604324803433</v>
      </c>
      <c r="G29" s="6">
        <v>61.759066463112823</v>
      </c>
      <c r="H29" s="6">
        <v>0.2097925126552582</v>
      </c>
      <c r="I29" s="6">
        <v>3.3745513666868208</v>
      </c>
      <c r="J29" s="6">
        <f t="shared" si="0"/>
        <v>25569.334779206441</v>
      </c>
      <c r="L29" s="12">
        <v>0.54166666666666663</v>
      </c>
      <c r="M29" s="9">
        <v>18236.847420231781</v>
      </c>
      <c r="N29" s="9">
        <v>5963.0822416033861</v>
      </c>
      <c r="O29" s="9">
        <v>0</v>
      </c>
      <c r="P29" s="9">
        <v>0</v>
      </c>
      <c r="Q29" s="9">
        <v>2224.5007802022501</v>
      </c>
      <c r="R29" s="9">
        <v>53.840596054389366</v>
      </c>
      <c r="S29" s="9">
        <v>0</v>
      </c>
      <c r="T29" s="9">
        <v>0</v>
      </c>
      <c r="U29">
        <f t="shared" si="1"/>
        <v>26478.271038091807</v>
      </c>
    </row>
    <row r="30" spans="1:21" x14ac:dyDescent="0.25">
      <c r="A30" s="12">
        <v>0.5625</v>
      </c>
      <c r="B30" s="6">
        <v>15149.33803930453</v>
      </c>
      <c r="C30" s="6">
        <v>4808.0773562880431</v>
      </c>
      <c r="D30" s="6">
        <v>558.78715421191168</v>
      </c>
      <c r="E30" s="6">
        <v>1428.6314540565018</v>
      </c>
      <c r="F30" s="6">
        <v>1692.2206868793915</v>
      </c>
      <c r="G30" s="6">
        <v>91.268239809989922</v>
      </c>
      <c r="H30" s="6">
        <v>1.2636893177032471</v>
      </c>
      <c r="I30" s="6">
        <v>1.5596341919898984</v>
      </c>
      <c r="J30" s="6">
        <f t="shared" si="0"/>
        <v>23731.146254060055</v>
      </c>
      <c r="L30" s="12">
        <v>0.5625</v>
      </c>
      <c r="M30" s="9">
        <v>15557.543966470115</v>
      </c>
      <c r="N30" s="9">
        <v>5639.5757597997699</v>
      </c>
      <c r="O30" s="9">
        <v>0</v>
      </c>
      <c r="P30" s="9">
        <v>0</v>
      </c>
      <c r="Q30" s="9">
        <v>2167.1556447581465</v>
      </c>
      <c r="R30" s="9">
        <v>57.289065054472871</v>
      </c>
      <c r="S30" s="9">
        <v>0</v>
      </c>
      <c r="T30" s="9">
        <v>0</v>
      </c>
      <c r="U30">
        <f t="shared" si="1"/>
        <v>23421.564436082503</v>
      </c>
    </row>
    <row r="31" spans="1:21" x14ac:dyDescent="0.25">
      <c r="A31" s="12">
        <v>0.58333333333333337</v>
      </c>
      <c r="B31" s="6">
        <v>14108.736059581106</v>
      </c>
      <c r="C31" s="6">
        <v>4727.8836576591102</v>
      </c>
      <c r="D31" s="6">
        <v>487.79067987973053</v>
      </c>
      <c r="E31" s="6">
        <v>1247.1581720819415</v>
      </c>
      <c r="F31" s="6">
        <v>1289.0544605477621</v>
      </c>
      <c r="G31" s="6">
        <v>116.40453204464913</v>
      </c>
      <c r="H31" s="6">
        <v>5.4076864135265348</v>
      </c>
      <c r="I31" s="6">
        <v>0.65214436936378473</v>
      </c>
      <c r="J31" s="6">
        <f t="shared" si="0"/>
        <v>21983.087392577192</v>
      </c>
      <c r="L31" s="12">
        <v>0.58333333333333337</v>
      </c>
      <c r="M31" s="9">
        <v>13361.424835598307</v>
      </c>
      <c r="N31" s="9">
        <v>5344.4845649372501</v>
      </c>
      <c r="O31" s="9">
        <v>0</v>
      </c>
      <c r="P31" s="9">
        <v>0</v>
      </c>
      <c r="Q31" s="9">
        <v>2114.4132674087377</v>
      </c>
      <c r="R31" s="9">
        <v>63.25815096114502</v>
      </c>
      <c r="S31" s="9">
        <v>0</v>
      </c>
      <c r="T31" s="9">
        <v>0</v>
      </c>
      <c r="U31">
        <f t="shared" si="1"/>
        <v>20883.580818905441</v>
      </c>
    </row>
    <row r="32" spans="1:21" x14ac:dyDescent="0.25">
      <c r="A32" s="12">
        <v>0.60416666666666663</v>
      </c>
      <c r="B32" s="6">
        <v>12954.770878008221</v>
      </c>
      <c r="C32" s="6">
        <v>4651.2470923572746</v>
      </c>
      <c r="D32" s="6">
        <v>404.79929923219368</v>
      </c>
      <c r="E32" s="6">
        <v>1068.387961145653</v>
      </c>
      <c r="F32" s="6">
        <v>950.26870828709684</v>
      </c>
      <c r="G32" s="6">
        <v>130.4743005847931</v>
      </c>
      <c r="H32" s="6">
        <v>17.492097710609432</v>
      </c>
      <c r="I32" s="6">
        <v>0.53224627077579489</v>
      </c>
      <c r="J32" s="6">
        <f t="shared" si="0"/>
        <v>20177.972583596616</v>
      </c>
      <c r="L32" s="12">
        <v>0.60416666666666663</v>
      </c>
      <c r="M32" s="9">
        <v>11570.589756036186</v>
      </c>
      <c r="N32" s="9">
        <v>5081.9204135828268</v>
      </c>
      <c r="O32" s="9">
        <v>0</v>
      </c>
      <c r="P32" s="9">
        <v>0</v>
      </c>
      <c r="Q32" s="9">
        <v>2065.3612287638812</v>
      </c>
      <c r="R32" s="9">
        <v>71.041793725828583</v>
      </c>
      <c r="S32" s="9">
        <v>0</v>
      </c>
      <c r="T32" s="9">
        <v>0</v>
      </c>
      <c r="U32">
        <f t="shared" si="1"/>
        <v>18788.913192108725</v>
      </c>
    </row>
    <row r="33" spans="1:21" x14ac:dyDescent="0.25">
      <c r="A33" s="12">
        <v>0.625</v>
      </c>
      <c r="B33" s="6">
        <v>11527.059722744971</v>
      </c>
      <c r="C33" s="6">
        <v>4550.1808839701571</v>
      </c>
      <c r="D33" s="6">
        <v>328.16280895444993</v>
      </c>
      <c r="E33" s="6">
        <v>942.01700390768087</v>
      </c>
      <c r="F33" s="6">
        <v>741.42459328958125</v>
      </c>
      <c r="G33" s="6">
        <v>130.71902811670304</v>
      </c>
      <c r="H33" s="6">
        <v>44.433373728990539</v>
      </c>
      <c r="I33" s="6">
        <v>1.5333131512403486</v>
      </c>
      <c r="J33" s="6">
        <f t="shared" si="0"/>
        <v>18265.530727863774</v>
      </c>
      <c r="L33" s="12">
        <v>0.625</v>
      </c>
      <c r="M33" s="9">
        <v>10077.610190420264</v>
      </c>
      <c r="N33" s="9">
        <v>4825.2503047280607</v>
      </c>
      <c r="O33" s="9">
        <v>0</v>
      </c>
      <c r="P33" s="9">
        <v>0</v>
      </c>
      <c r="Q33" s="9">
        <v>2010.4305340236456</v>
      </c>
      <c r="R33" s="9">
        <v>78.62874513868536</v>
      </c>
      <c r="S33" s="9">
        <v>0</v>
      </c>
      <c r="T33" s="9">
        <v>0</v>
      </c>
      <c r="U33">
        <f t="shared" si="1"/>
        <v>16991.919774310656</v>
      </c>
    </row>
    <row r="34" spans="1:21" x14ac:dyDescent="0.25">
      <c r="A34" s="12">
        <v>0.64583333333333337</v>
      </c>
      <c r="B34" s="6">
        <v>9824.6221735677609</v>
      </c>
      <c r="C34" s="6">
        <v>4403.1615957776667</v>
      </c>
      <c r="D34" s="6">
        <v>275.48786172222771</v>
      </c>
      <c r="E34" s="6">
        <v>893.20262694778137</v>
      </c>
      <c r="F34" s="6">
        <v>655.68205012288672</v>
      </c>
      <c r="G34" s="6">
        <v>118.96663793563843</v>
      </c>
      <c r="H34" s="6">
        <v>90.915867576599098</v>
      </c>
      <c r="I34" s="6">
        <v>4.7782721297740931</v>
      </c>
      <c r="J34" s="6">
        <f t="shared" si="0"/>
        <v>16266.817085780334</v>
      </c>
      <c r="L34" s="12">
        <v>0.64583333333333337</v>
      </c>
      <c r="M34" s="9">
        <v>8792.3965260208752</v>
      </c>
      <c r="N34" s="9">
        <v>4542.7580479772887</v>
      </c>
      <c r="O34" s="9">
        <v>0</v>
      </c>
      <c r="P34" s="9">
        <v>0</v>
      </c>
      <c r="Q34" s="9">
        <v>1939.0748479055185</v>
      </c>
      <c r="R34" s="9">
        <v>83.858793933693619</v>
      </c>
      <c r="S34" s="9">
        <v>0</v>
      </c>
      <c r="T34" s="9">
        <v>0</v>
      </c>
      <c r="U34">
        <f t="shared" si="1"/>
        <v>15358.088215837375</v>
      </c>
    </row>
    <row r="35" spans="1:21" x14ac:dyDescent="0.25">
      <c r="A35" s="12">
        <v>0.66666666666666663</v>
      </c>
      <c r="B35" s="6">
        <v>8007.4785734908628</v>
      </c>
      <c r="C35" s="6">
        <v>4174.3290822643285</v>
      </c>
      <c r="D35" s="6">
        <v>249.52785666374797</v>
      </c>
      <c r="E35" s="6">
        <v>910.22285437203743</v>
      </c>
      <c r="F35" s="6">
        <v>634.44864494335832</v>
      </c>
      <c r="G35" s="6">
        <v>100.99049919533731</v>
      </c>
      <c r="H35" s="6">
        <v>152.51956508874889</v>
      </c>
      <c r="I35" s="6">
        <v>11.928838679790495</v>
      </c>
      <c r="J35" s="6">
        <f t="shared" si="0"/>
        <v>14241.445914698212</v>
      </c>
      <c r="L35" s="12">
        <v>0.66666666666666663</v>
      </c>
      <c r="M35" s="9">
        <v>7675.2167617621926</v>
      </c>
      <c r="N35" s="9">
        <v>4221.0080048256941</v>
      </c>
      <c r="O35" s="9">
        <v>0</v>
      </c>
      <c r="P35" s="9">
        <v>0</v>
      </c>
      <c r="Q35" s="9">
        <v>1846.7894717089282</v>
      </c>
      <c r="R35" s="9">
        <v>85.730302931008026</v>
      </c>
      <c r="S35" s="9">
        <v>0</v>
      </c>
      <c r="T35" s="9">
        <v>0</v>
      </c>
      <c r="U35">
        <f t="shared" si="1"/>
        <v>13828.744541227821</v>
      </c>
    </row>
    <row r="36" spans="1:21" x14ac:dyDescent="0.25">
      <c r="A36" s="12">
        <v>0.6875</v>
      </c>
      <c r="B36" s="6">
        <v>6295.6517001332468</v>
      </c>
      <c r="C36" s="6">
        <v>3818.7681613285531</v>
      </c>
      <c r="D36" s="6">
        <v>236.84213626596846</v>
      </c>
      <c r="E36" s="6">
        <v>948.75962983851082</v>
      </c>
      <c r="F36" s="6">
        <v>611.21641365794039</v>
      </c>
      <c r="G36" s="6">
        <v>86.053491528511046</v>
      </c>
      <c r="H36" s="6">
        <v>212.46662064552302</v>
      </c>
      <c r="I36" s="6">
        <v>23.856233790040012</v>
      </c>
      <c r="J36" s="6">
        <f t="shared" si="0"/>
        <v>12233.614387188294</v>
      </c>
      <c r="L36" s="12">
        <v>0.6875</v>
      </c>
      <c r="M36" s="9">
        <v>6718.146331308868</v>
      </c>
      <c r="N36" s="9">
        <v>3865.2819486625558</v>
      </c>
      <c r="O36" s="9">
        <v>0</v>
      </c>
      <c r="P36" s="9">
        <v>0</v>
      </c>
      <c r="Q36" s="9">
        <v>1734.6345031308006</v>
      </c>
      <c r="R36" s="9">
        <v>84.616638043341084</v>
      </c>
      <c r="S36" s="9">
        <v>0</v>
      </c>
      <c r="T36" s="9">
        <v>0</v>
      </c>
      <c r="U36">
        <f t="shared" si="1"/>
        <v>12402.679421145565</v>
      </c>
    </row>
    <row r="37" spans="1:21" x14ac:dyDescent="0.25">
      <c r="A37" s="12">
        <v>0.70833333333333337</v>
      </c>
      <c r="B37" s="6">
        <v>4848.9762654054703</v>
      </c>
      <c r="C37" s="6">
        <v>3316.0912925017674</v>
      </c>
      <c r="D37" s="6">
        <v>219.16095213024639</v>
      </c>
      <c r="E37" s="6">
        <v>951.5990936665296</v>
      </c>
      <c r="F37" s="6">
        <v>548.86135373434468</v>
      </c>
      <c r="G37" s="6">
        <v>85.161022540926936</v>
      </c>
      <c r="H37" s="6">
        <v>248.05712354040145</v>
      </c>
      <c r="I37" s="6">
        <v>38.766319760084144</v>
      </c>
      <c r="J37" s="6">
        <f t="shared" si="0"/>
        <v>10256.673423279773</v>
      </c>
      <c r="L37" s="12">
        <v>0.70833333333333337</v>
      </c>
      <c r="M37" s="9">
        <v>5902.688952007743</v>
      </c>
      <c r="N37" s="9">
        <v>3484.4644098566682</v>
      </c>
      <c r="O37" s="9">
        <v>0</v>
      </c>
      <c r="P37" s="9">
        <v>0</v>
      </c>
      <c r="Q37" s="9">
        <v>1603.7276460898402</v>
      </c>
      <c r="R37" s="9">
        <v>81.325635217591</v>
      </c>
      <c r="S37" s="9">
        <v>0</v>
      </c>
      <c r="T37" s="9">
        <v>0</v>
      </c>
      <c r="U37">
        <f t="shared" si="1"/>
        <v>11072.206643171843</v>
      </c>
    </row>
    <row r="38" spans="1:21" x14ac:dyDescent="0.25">
      <c r="A38" s="12">
        <v>0.72916666666666663</v>
      </c>
      <c r="B38" s="6">
        <v>3716.5723927209724</v>
      </c>
      <c r="C38" s="6">
        <v>2702.3945742552996</v>
      </c>
      <c r="D38" s="6">
        <v>186.48620075213498</v>
      </c>
      <c r="E38" s="6">
        <v>877.14219318024902</v>
      </c>
      <c r="F38" s="6">
        <v>450.27019228944084</v>
      </c>
      <c r="G38" s="6">
        <v>105.45503914690018</v>
      </c>
      <c r="H38" s="6">
        <v>244.34182249069215</v>
      </c>
      <c r="I38" s="6">
        <v>51.688426346778861</v>
      </c>
      <c r="J38" s="6">
        <f t="shared" si="0"/>
        <v>8334.3508411824678</v>
      </c>
      <c r="L38" s="12">
        <v>0.72916666666666663</v>
      </c>
      <c r="M38" s="9">
        <v>5179.1755207130182</v>
      </c>
      <c r="N38" s="9">
        <v>3080.8198203998845</v>
      </c>
      <c r="O38" s="9">
        <v>0</v>
      </c>
      <c r="P38" s="9">
        <v>0</v>
      </c>
      <c r="Q38" s="9">
        <v>1452.5758359745025</v>
      </c>
      <c r="R38" s="9">
        <v>76.207559916749034</v>
      </c>
      <c r="S38" s="9">
        <v>0</v>
      </c>
      <c r="T38" s="9">
        <v>0</v>
      </c>
      <c r="U38">
        <f t="shared" si="1"/>
        <v>9788.7787370041551</v>
      </c>
    </row>
    <row r="39" spans="1:21" x14ac:dyDescent="0.25">
      <c r="A39" s="12">
        <v>0.75</v>
      </c>
      <c r="B39" s="6">
        <v>2862.7499289660682</v>
      </c>
      <c r="C39" s="6">
        <v>2064.8124504990446</v>
      </c>
      <c r="D39" s="6">
        <v>141.54515319780376</v>
      </c>
      <c r="E39" s="6">
        <v>722.23129919271696</v>
      </c>
      <c r="F39" s="6">
        <v>341.41206333487105</v>
      </c>
      <c r="G39" s="6">
        <v>142.68474257051946</v>
      </c>
      <c r="H39" s="6">
        <v>203.975248067379</v>
      </c>
      <c r="I39" s="6">
        <v>56.857268981456748</v>
      </c>
      <c r="J39" s="6">
        <f t="shared" si="0"/>
        <v>6536.268154809859</v>
      </c>
      <c r="L39" s="12">
        <v>0.75</v>
      </c>
      <c r="M39" s="9">
        <v>4486.3754915875807</v>
      </c>
      <c r="N39" s="9">
        <v>2655.2599878219562</v>
      </c>
      <c r="O39" s="9">
        <v>0</v>
      </c>
      <c r="P39" s="9">
        <v>0</v>
      </c>
      <c r="Q39" s="9">
        <v>1281.1477708329458</v>
      </c>
      <c r="R39" s="9">
        <v>69.318114753478397</v>
      </c>
      <c r="S39" s="9">
        <v>0</v>
      </c>
      <c r="T39" s="9">
        <v>0</v>
      </c>
      <c r="U39">
        <f t="shared" si="1"/>
        <v>8492.1013649959605</v>
      </c>
    </row>
    <row r="40" spans="1:21" x14ac:dyDescent="0.25">
      <c r="A40" s="12">
        <v>0.77083333333333337</v>
      </c>
      <c r="B40" s="6">
        <v>2219.7160939056243</v>
      </c>
      <c r="C40" s="6">
        <v>1498.4311549112604</v>
      </c>
      <c r="D40" s="6">
        <v>94.582165736130932</v>
      </c>
      <c r="E40" s="6">
        <v>523.34463905914765</v>
      </c>
      <c r="F40" s="6">
        <v>245.70928101113691</v>
      </c>
      <c r="G40" s="6">
        <v>179.32457990837099</v>
      </c>
      <c r="H40" s="6">
        <v>144.64835068702698</v>
      </c>
      <c r="I40" s="6">
        <v>51.688426346778861</v>
      </c>
      <c r="J40" s="6">
        <f t="shared" si="0"/>
        <v>4957.4446915654771</v>
      </c>
      <c r="L40" s="12">
        <v>0.77083333333333337</v>
      </c>
      <c r="M40" s="9">
        <v>3791.0553380901119</v>
      </c>
      <c r="N40" s="9">
        <v>2220.2617787348681</v>
      </c>
      <c r="O40" s="9">
        <v>0</v>
      </c>
      <c r="P40" s="9">
        <v>0</v>
      </c>
      <c r="Q40" s="9">
        <v>1097.1725304927013</v>
      </c>
      <c r="R40" s="9">
        <v>61.256884070178209</v>
      </c>
      <c r="S40" s="9">
        <v>0</v>
      </c>
      <c r="T40" s="9">
        <v>0</v>
      </c>
      <c r="U40">
        <f t="shared" si="1"/>
        <v>7169.7465313878592</v>
      </c>
    </row>
    <row r="41" spans="1:21" x14ac:dyDescent="0.25">
      <c r="A41" s="12">
        <v>0.79166666666666663</v>
      </c>
      <c r="B41" s="6">
        <v>1726.972585844642</v>
      </c>
      <c r="C41" s="6">
        <v>1062.0667547887215</v>
      </c>
      <c r="D41" s="6">
        <v>55.239514234061772</v>
      </c>
      <c r="E41" s="6">
        <v>334.26892538355014</v>
      </c>
      <c r="F41" s="6">
        <v>171.18483283622754</v>
      </c>
      <c r="G41" s="6">
        <v>193.7796856482029</v>
      </c>
      <c r="H41" s="6">
        <v>87.123376200199132</v>
      </c>
      <c r="I41" s="6">
        <v>38.766319760084151</v>
      </c>
      <c r="J41" s="6">
        <f t="shared" si="0"/>
        <v>3669.4019946956892</v>
      </c>
      <c r="L41" s="12">
        <v>0.79166666666666663</v>
      </c>
      <c r="M41" s="9">
        <v>3109.6485906888756</v>
      </c>
      <c r="N41" s="9">
        <v>1804.3121175434062</v>
      </c>
      <c r="O41" s="9">
        <v>0</v>
      </c>
      <c r="P41" s="9">
        <v>0</v>
      </c>
      <c r="Q41" s="9">
        <v>916.83695643403007</v>
      </c>
      <c r="R41" s="9">
        <v>53.469113506587405</v>
      </c>
      <c r="S41" s="9">
        <v>0</v>
      </c>
      <c r="T41" s="9">
        <v>0</v>
      </c>
      <c r="U41">
        <f t="shared" si="1"/>
        <v>5884.2667781728996</v>
      </c>
    </row>
    <row r="42" spans="1:21" x14ac:dyDescent="0.25">
      <c r="A42" s="12">
        <v>0.8125</v>
      </c>
      <c r="B42" s="6">
        <v>1348.4179390008107</v>
      </c>
      <c r="C42" s="6">
        <v>765.60011314680924</v>
      </c>
      <c r="D42" s="6">
        <v>27.954546511452779</v>
      </c>
      <c r="E42" s="6">
        <v>196.87819756811999</v>
      </c>
      <c r="F42" s="6">
        <v>114.77256311557932</v>
      </c>
      <c r="G42" s="6">
        <v>175.26888586521147</v>
      </c>
      <c r="H42" s="6">
        <v>44.411911033630375</v>
      </c>
      <c r="I42" s="6">
        <v>23.856196775436402</v>
      </c>
      <c r="J42" s="6">
        <f t="shared" si="0"/>
        <v>2697.1603530170505</v>
      </c>
      <c r="L42" s="12">
        <v>0.8125</v>
      </c>
      <c r="M42" s="9">
        <v>2491.2245654337771</v>
      </c>
      <c r="N42" s="9">
        <v>1440.5467238454976</v>
      </c>
      <c r="O42" s="9">
        <v>0</v>
      </c>
      <c r="P42" s="9">
        <v>0</v>
      </c>
      <c r="Q42" s="9">
        <v>757.46905726850605</v>
      </c>
      <c r="R42" s="9">
        <v>47.458435550939726</v>
      </c>
      <c r="S42" s="9">
        <v>0</v>
      </c>
      <c r="T42" s="9">
        <v>0</v>
      </c>
      <c r="U42">
        <f t="shared" si="1"/>
        <v>4736.6987820987206</v>
      </c>
    </row>
    <row r="43" spans="1:21" x14ac:dyDescent="0.25">
      <c r="A43" s="12">
        <v>0.83333333333333337</v>
      </c>
      <c r="B43" s="6">
        <v>1070.9368619471597</v>
      </c>
      <c r="C43" s="6">
        <v>586.45733531894496</v>
      </c>
      <c r="D43" s="6">
        <v>12.083571618211643</v>
      </c>
      <c r="E43" s="6">
        <v>124.51297165418416</v>
      </c>
      <c r="F43" s="6">
        <v>71.981871373876331</v>
      </c>
      <c r="G43" s="6">
        <v>131.27387254679201</v>
      </c>
      <c r="H43" s="6">
        <v>19.001522494554521</v>
      </c>
      <c r="I43" s="6">
        <v>11.928098387718199</v>
      </c>
      <c r="J43" s="6">
        <f t="shared" si="0"/>
        <v>2028.1761053414416</v>
      </c>
      <c r="L43" s="12">
        <v>0.83333333333333337</v>
      </c>
      <c r="M43" s="9">
        <v>1977.0851364911071</v>
      </c>
      <c r="N43" s="9">
        <v>1148.5522475609996</v>
      </c>
      <c r="O43" s="9">
        <v>0</v>
      </c>
      <c r="P43" s="9">
        <v>0</v>
      </c>
      <c r="Q43" s="9">
        <v>628.05716963694044</v>
      </c>
      <c r="R43" s="9">
        <v>43.624414558271027</v>
      </c>
      <c r="S43" s="9">
        <v>0</v>
      </c>
      <c r="T43" s="9">
        <v>0</v>
      </c>
      <c r="U43">
        <f t="shared" si="1"/>
        <v>3797.318968247318</v>
      </c>
    </row>
    <row r="44" spans="1:21" x14ac:dyDescent="0.25">
      <c r="A44" s="12">
        <v>0.85416666666666663</v>
      </c>
      <c r="B44" s="6">
        <v>888.26223838504859</v>
      </c>
      <c r="C44" s="6">
        <v>489.66118342027892</v>
      </c>
      <c r="D44" s="6">
        <v>4.3632761831823288</v>
      </c>
      <c r="E44" s="6">
        <v>103.75301249147954</v>
      </c>
      <c r="F44" s="6">
        <v>40.979073916144003</v>
      </c>
      <c r="G44" s="6">
        <v>80.758369996547685</v>
      </c>
      <c r="H44" s="6">
        <v>6.7209607172012333</v>
      </c>
      <c r="I44" s="6">
        <v>4.7712393550872791</v>
      </c>
      <c r="J44" s="6">
        <f t="shared" si="0"/>
        <v>1619.2693544649696</v>
      </c>
      <c r="L44" s="12">
        <v>0.85416666666666663</v>
      </c>
      <c r="M44" s="9">
        <v>1572.6123901532319</v>
      </c>
      <c r="N44" s="9">
        <v>925.26993076352596</v>
      </c>
      <c r="O44" s="9">
        <v>0</v>
      </c>
      <c r="P44" s="9">
        <v>0</v>
      </c>
      <c r="Q44" s="9">
        <v>525.77413581634573</v>
      </c>
      <c r="R44" s="9">
        <v>40.884569487881329</v>
      </c>
      <c r="S44" s="9">
        <v>0</v>
      </c>
      <c r="T44" s="9">
        <v>0</v>
      </c>
      <c r="U44">
        <f t="shared" si="1"/>
        <v>3064.5410262209848</v>
      </c>
    </row>
    <row r="45" spans="1:21" x14ac:dyDescent="0.25">
      <c r="A45" s="12">
        <v>0.875</v>
      </c>
      <c r="B45" s="6">
        <v>780.19831133875687</v>
      </c>
      <c r="C45" s="6">
        <v>436.75633005073558</v>
      </c>
      <c r="D45" s="6">
        <v>1.2747445856908273</v>
      </c>
      <c r="E45" s="6">
        <v>107.51115680622604</v>
      </c>
      <c r="F45" s="6">
        <v>20.883713107826573</v>
      </c>
      <c r="G45" s="6">
        <v>40.376826844096179</v>
      </c>
      <c r="H45" s="6">
        <v>1.9170401656627656</v>
      </c>
      <c r="I45" s="6">
        <v>1.4910122984647749</v>
      </c>
      <c r="J45" s="6">
        <f t="shared" si="0"/>
        <v>1390.4091351974596</v>
      </c>
      <c r="L45" s="12">
        <v>0.875</v>
      </c>
      <c r="M45" s="9">
        <v>1251.7440843724603</v>
      </c>
      <c r="N45" s="9">
        <v>751.71994550087902</v>
      </c>
      <c r="O45" s="9">
        <v>0</v>
      </c>
      <c r="P45" s="9">
        <v>0</v>
      </c>
      <c r="Q45" s="9">
        <v>440.80171628591143</v>
      </c>
      <c r="R45" s="9">
        <v>37.494318707385716</v>
      </c>
      <c r="S45" s="9">
        <v>0</v>
      </c>
      <c r="T45" s="9">
        <v>0</v>
      </c>
      <c r="U45">
        <f t="shared" si="1"/>
        <v>2481.7600648666366</v>
      </c>
    </row>
    <row r="46" spans="1:21" x14ac:dyDescent="0.25">
      <c r="A46" s="12">
        <v>0.89583333333333337</v>
      </c>
      <c r="B46" s="6">
        <v>705.72612138410932</v>
      </c>
      <c r="C46" s="6">
        <v>391.12870657262636</v>
      </c>
      <c r="D46" s="6">
        <v>0.28796994983770086</v>
      </c>
      <c r="E46" s="6">
        <v>110.1876647723598</v>
      </c>
      <c r="F46" s="6">
        <v>9.6388138321535592</v>
      </c>
      <c r="G46" s="6">
        <v>16.150625930786131</v>
      </c>
      <c r="H46" s="6">
        <v>0.42383458137512209</v>
      </c>
      <c r="I46" s="6">
        <v>0.35082642316818236</v>
      </c>
      <c r="J46" s="6">
        <f t="shared" si="0"/>
        <v>1233.8945634464162</v>
      </c>
      <c r="L46" s="12">
        <v>0.89583333333333337</v>
      </c>
      <c r="M46" s="9">
        <v>982.46789057892647</v>
      </c>
      <c r="N46" s="9">
        <v>607.58278284264406</v>
      </c>
      <c r="O46" s="9">
        <v>0</v>
      </c>
      <c r="P46" s="9">
        <v>0</v>
      </c>
      <c r="Q46" s="9">
        <v>364.22135329810834</v>
      </c>
      <c r="R46" s="9">
        <v>32.365587497550479</v>
      </c>
      <c r="S46" s="9">
        <v>0</v>
      </c>
      <c r="T46" s="9">
        <v>0</v>
      </c>
      <c r="U46">
        <f t="shared" si="1"/>
        <v>1986.6376142172294</v>
      </c>
    </row>
    <row r="47" spans="1:21" x14ac:dyDescent="0.25">
      <c r="A47" s="12">
        <v>0.91666666666666663</v>
      </c>
      <c r="B47" s="6">
        <v>619.97328091516317</v>
      </c>
      <c r="C47" s="6">
        <v>328.68431233536705</v>
      </c>
      <c r="D47" s="6">
        <v>4.6969022013606074E-2</v>
      </c>
      <c r="E47" s="6">
        <v>98.443753266504515</v>
      </c>
      <c r="F47" s="6">
        <v>4.1867388214715042</v>
      </c>
      <c r="G47" s="6">
        <v>5.0470706033706669</v>
      </c>
      <c r="H47" s="6">
        <v>6.8067025899887085E-2</v>
      </c>
      <c r="I47" s="6">
        <v>5.847107052803039E-2</v>
      </c>
      <c r="J47" s="6">
        <f t="shared" si="0"/>
        <v>1056.5086630603182</v>
      </c>
      <c r="L47" s="12">
        <v>0.91666666666666663</v>
      </c>
      <c r="M47" s="9">
        <v>747.16735039707339</v>
      </c>
      <c r="N47" s="9">
        <v>480.94705939063027</v>
      </c>
      <c r="O47" s="9">
        <v>0</v>
      </c>
      <c r="P47" s="9">
        <v>0</v>
      </c>
      <c r="Q47" s="9">
        <v>292.2942466488189</v>
      </c>
      <c r="R47" s="9">
        <v>25.767168361266108</v>
      </c>
      <c r="S47" s="9">
        <v>0</v>
      </c>
      <c r="T47" s="9">
        <v>0</v>
      </c>
      <c r="U47">
        <f t="shared" si="1"/>
        <v>1546.1758247977887</v>
      </c>
    </row>
    <row r="48" spans="1:21" x14ac:dyDescent="0.25">
      <c r="A48" s="12">
        <v>0.9375</v>
      </c>
      <c r="B48" s="6">
        <v>500.8913605018904</v>
      </c>
      <c r="C48" s="6">
        <v>247.02077482883377</v>
      </c>
      <c r="D48" s="6">
        <v>4.9021100130271916E-3</v>
      </c>
      <c r="E48" s="6">
        <v>73.542550745806921</v>
      </c>
      <c r="F48" s="6">
        <v>1.7884837537892149</v>
      </c>
      <c r="G48" s="6">
        <v>1.1875460243225098</v>
      </c>
      <c r="H48" s="6">
        <v>7.0489168167114247E-3</v>
      </c>
      <c r="I48" s="6">
        <v>6.154849529266356E-3</v>
      </c>
      <c r="J48" s="6">
        <f t="shared" si="0"/>
        <v>824.44882173100189</v>
      </c>
      <c r="L48" s="12">
        <v>0.9375</v>
      </c>
      <c r="M48" s="9">
        <v>544.25257763377408</v>
      </c>
      <c r="N48" s="9">
        <v>368.35990899335172</v>
      </c>
      <c r="O48" s="9">
        <v>0</v>
      </c>
      <c r="P48" s="9">
        <v>0</v>
      </c>
      <c r="Q48" s="9">
        <v>225.45788299003806</v>
      </c>
      <c r="R48" s="9">
        <v>18.916770405279401</v>
      </c>
      <c r="S48" s="9">
        <v>0</v>
      </c>
      <c r="T48" s="9">
        <v>0</v>
      </c>
      <c r="U48">
        <f t="shared" si="1"/>
        <v>1156.9871400224431</v>
      </c>
    </row>
    <row r="49" spans="1:21" x14ac:dyDescent="0.25">
      <c r="A49" s="12">
        <v>0.95833333333333337</v>
      </c>
      <c r="B49" s="6">
        <v>359.66440679199371</v>
      </c>
      <c r="C49" s="6">
        <v>161.5197058489486</v>
      </c>
      <c r="D49" s="6">
        <v>2.4510550065135958E-4</v>
      </c>
      <c r="E49" s="6">
        <v>45.220925434039415</v>
      </c>
      <c r="F49" s="6">
        <v>0.75486747594054227</v>
      </c>
      <c r="G49" s="6">
        <v>0.19792433738708495</v>
      </c>
      <c r="H49" s="6">
        <v>3.5244584083557131E-4</v>
      </c>
      <c r="I49" s="6">
        <v>3.0774247646331787E-4</v>
      </c>
      <c r="J49" s="6">
        <f t="shared" si="0"/>
        <v>567.35873518212725</v>
      </c>
      <c r="L49" s="12">
        <v>0.95833333333333337</v>
      </c>
      <c r="M49" s="9">
        <v>377.73450175152675</v>
      </c>
      <c r="N49" s="9">
        <v>269.99534831512483</v>
      </c>
      <c r="O49" s="9">
        <v>0</v>
      </c>
      <c r="P49" s="9">
        <v>0</v>
      </c>
      <c r="Q49" s="9">
        <v>165.39655937718794</v>
      </c>
      <c r="R49" s="9">
        <v>12.994035195607378</v>
      </c>
      <c r="S49" s="9">
        <v>0</v>
      </c>
      <c r="T49" s="9">
        <v>0</v>
      </c>
      <c r="U49">
        <f t="shared" si="1"/>
        <v>826.12044463944687</v>
      </c>
    </row>
    <row r="50" spans="1:21" x14ac:dyDescent="0.25">
      <c r="A50" s="12">
        <v>0.97916666666666663</v>
      </c>
      <c r="B50" s="6">
        <v>225.83938023036214</v>
      </c>
      <c r="C50" s="6">
        <v>90.544676314470962</v>
      </c>
      <c r="D50" s="6">
        <v>0</v>
      </c>
      <c r="E50" s="6">
        <v>22.607524402874802</v>
      </c>
      <c r="F50" s="6">
        <v>0.29929007133691787</v>
      </c>
      <c r="G50" s="6">
        <v>2.0834140777587887E-2</v>
      </c>
      <c r="H50" s="6">
        <v>0</v>
      </c>
      <c r="I50" s="6">
        <v>0</v>
      </c>
      <c r="J50" s="6">
        <f t="shared" si="0"/>
        <v>339.31170515982245</v>
      </c>
      <c r="L50" s="12">
        <v>0.97916666666666663</v>
      </c>
      <c r="M50" s="9">
        <v>248.43419786328738</v>
      </c>
      <c r="N50" s="9">
        <v>186.47272303524244</v>
      </c>
      <c r="O50" s="9">
        <v>0</v>
      </c>
      <c r="P50" s="9">
        <v>0</v>
      </c>
      <c r="Q50" s="9">
        <v>113.59257217735595</v>
      </c>
      <c r="R50" s="9">
        <v>8.4925710313206118</v>
      </c>
      <c r="S50" s="9">
        <v>0</v>
      </c>
      <c r="T50" s="9">
        <v>0</v>
      </c>
      <c r="U50">
        <f t="shared" si="1"/>
        <v>556.99206410720637</v>
      </c>
    </row>
    <row r="51" spans="1:21" x14ac:dyDescent="0.25">
      <c r="A51" s="12">
        <v>1</v>
      </c>
      <c r="B51" s="6">
        <v>123.47313463502245</v>
      </c>
      <c r="C51" s="6">
        <v>43.12707607744094</v>
      </c>
      <c r="D51" s="6">
        <v>0</v>
      </c>
      <c r="E51" s="6">
        <v>9.042891727226074</v>
      </c>
      <c r="F51" s="6">
        <v>0.10388753871165181</v>
      </c>
      <c r="G51" s="6">
        <v>1.0417070388793945E-3</v>
      </c>
      <c r="H51" s="6">
        <v>0</v>
      </c>
      <c r="I51" s="6">
        <v>0</v>
      </c>
      <c r="J51" s="6">
        <f t="shared" si="0"/>
        <v>175.74803168544</v>
      </c>
      <c r="L51" s="12">
        <v>1</v>
      </c>
      <c r="M51" s="9">
        <v>152.8386164079354</v>
      </c>
      <c r="N51" s="9">
        <v>118.66844778621413</v>
      </c>
      <c r="O51" s="9">
        <v>0</v>
      </c>
      <c r="P51" s="9">
        <v>0</v>
      </c>
      <c r="Q51" s="9">
        <v>71.433828753353168</v>
      </c>
      <c r="R51" s="9">
        <v>5.2892657591562937</v>
      </c>
      <c r="S51" s="9">
        <v>0</v>
      </c>
      <c r="T51" s="9">
        <v>0</v>
      </c>
      <c r="U51">
        <f t="shared" si="1"/>
        <v>348.23015870665898</v>
      </c>
    </row>
    <row r="52" spans="1:21" x14ac:dyDescent="0.25">
      <c r="A52" s="12">
        <v>1.0208333333333333</v>
      </c>
      <c r="B52" s="6">
        <v>58.942615964998062</v>
      </c>
      <c r="C52" s="6">
        <v>17.307258167548014</v>
      </c>
      <c r="D52" s="6">
        <v>0</v>
      </c>
      <c r="E52" s="6">
        <v>2.8259036647581479</v>
      </c>
      <c r="F52" s="6">
        <v>2.9678893089294438E-2</v>
      </c>
      <c r="G52" s="6">
        <v>0</v>
      </c>
      <c r="H52" s="6">
        <v>0</v>
      </c>
      <c r="I52" s="6">
        <v>0</v>
      </c>
      <c r="J52" s="6">
        <f t="shared" si="0"/>
        <v>79.10545669039351</v>
      </c>
      <c r="L52" s="12">
        <v>1.0208333333333333</v>
      </c>
      <c r="M52" s="9">
        <v>85.95940436420031</v>
      </c>
      <c r="N52" s="9">
        <v>67.736164344918649</v>
      </c>
      <c r="O52" s="9">
        <v>0</v>
      </c>
      <c r="P52" s="9">
        <v>0</v>
      </c>
      <c r="Q52" s="9">
        <v>40.082197374729354</v>
      </c>
      <c r="R52" s="9">
        <v>3.0688364199233726</v>
      </c>
      <c r="S52" s="9">
        <v>0</v>
      </c>
      <c r="T52" s="9">
        <v>0</v>
      </c>
      <c r="U52">
        <f t="shared" si="1"/>
        <v>196.84660250377169</v>
      </c>
    </row>
    <row r="53" spans="1:21" x14ac:dyDescent="0.25">
      <c r="A53" s="12">
        <v>4.1666666666666664E-2</v>
      </c>
      <c r="B53" s="6">
        <v>24.698216244266458</v>
      </c>
      <c r="C53" s="6">
        <v>5.7798263793158489</v>
      </c>
      <c r="D53" s="6">
        <v>0</v>
      </c>
      <c r="E53" s="6">
        <v>0.66491850935485841</v>
      </c>
      <c r="F53" s="6">
        <v>6.5973293781280522E-3</v>
      </c>
      <c r="G53" s="6">
        <v>0</v>
      </c>
      <c r="H53" s="6">
        <v>0</v>
      </c>
      <c r="I53" s="6">
        <v>0</v>
      </c>
      <c r="J53" s="6">
        <f t="shared" si="0"/>
        <v>31.149558462315294</v>
      </c>
      <c r="L53" s="12">
        <v>4.1666666666666664E-2</v>
      </c>
      <c r="M53" s="9">
        <v>42.905623285767234</v>
      </c>
      <c r="N53" s="9">
        <v>33.723154008800002</v>
      </c>
      <c r="O53" s="9">
        <v>0</v>
      </c>
      <c r="P53" s="9">
        <v>0</v>
      </c>
      <c r="Q53" s="9">
        <v>19.542487180107379</v>
      </c>
      <c r="R53" s="9">
        <v>1.5958122617934047</v>
      </c>
      <c r="S53" s="9">
        <v>0</v>
      </c>
      <c r="T53" s="9">
        <v>0</v>
      </c>
      <c r="U53">
        <f t="shared" si="1"/>
        <v>97.767076736468013</v>
      </c>
    </row>
    <row r="54" spans="1:21" x14ac:dyDescent="0.25">
      <c r="A54" s="12">
        <v>6.25E-2</v>
      </c>
      <c r="B54" s="6">
        <v>9.0940179160291628</v>
      </c>
      <c r="C54" s="6">
        <v>1.5722803288214922</v>
      </c>
      <c r="D54" s="6">
        <v>0</v>
      </c>
      <c r="E54" s="6">
        <v>0.11081975155914306</v>
      </c>
      <c r="F54" s="6">
        <v>1.0640144348144532E-3</v>
      </c>
      <c r="G54" s="6">
        <v>0</v>
      </c>
      <c r="H54" s="6">
        <v>0</v>
      </c>
      <c r="I54" s="6">
        <v>0</v>
      </c>
      <c r="J54" s="6">
        <f t="shared" si="0"/>
        <v>10.778182010844612</v>
      </c>
      <c r="L54" s="12">
        <v>6.25E-2</v>
      </c>
      <c r="M54" s="9">
        <v>18.407030156696365</v>
      </c>
      <c r="N54" s="9">
        <v>14.247020887704327</v>
      </c>
      <c r="O54" s="9">
        <v>0</v>
      </c>
      <c r="P54" s="9">
        <v>0</v>
      </c>
      <c r="Q54" s="9">
        <v>8.0651125630800156</v>
      </c>
      <c r="R54" s="9">
        <v>0.71373146756644079</v>
      </c>
      <c r="S54" s="9">
        <v>0</v>
      </c>
      <c r="T54" s="9">
        <v>0</v>
      </c>
      <c r="U54">
        <f t="shared" si="1"/>
        <v>41.432895075047142</v>
      </c>
    </row>
    <row r="55" spans="1:21" x14ac:dyDescent="0.25">
      <c r="A55" s="12">
        <v>8.3333333333333329E-2</v>
      </c>
      <c r="B55" s="6">
        <v>2.9088536835031125</v>
      </c>
      <c r="C55" s="6">
        <v>0.33572885857147405</v>
      </c>
      <c r="D55" s="6">
        <v>0</v>
      </c>
      <c r="E55" s="6">
        <v>1.1665237006225586E-2</v>
      </c>
      <c r="F55" s="6">
        <v>1.1043548583984375E-4</v>
      </c>
      <c r="G55" s="6">
        <v>0</v>
      </c>
      <c r="H55" s="6">
        <v>0</v>
      </c>
      <c r="I55" s="6">
        <v>0</v>
      </c>
      <c r="J55" s="6">
        <f t="shared" si="0"/>
        <v>3.2563582145666516</v>
      </c>
      <c r="L55" s="12">
        <v>8.3333333333333329E-2</v>
      </c>
      <c r="M55" s="9">
        <v>6.5675044215912193</v>
      </c>
      <c r="N55" s="9">
        <v>4.9655313337701905</v>
      </c>
      <c r="O55" s="9">
        <v>0</v>
      </c>
      <c r="P55" s="9">
        <v>0</v>
      </c>
      <c r="Q55" s="9">
        <v>2.7414271296895643</v>
      </c>
      <c r="R55" s="9">
        <v>0.2643091668392536</v>
      </c>
      <c r="S55" s="9">
        <v>0</v>
      </c>
      <c r="T55" s="9">
        <v>0</v>
      </c>
      <c r="U55">
        <f t="shared" si="1"/>
        <v>14.538772051890229</v>
      </c>
    </row>
    <row r="56" spans="1:21" x14ac:dyDescent="0.25">
      <c r="A56" s="12">
        <v>0.10416666666666667</v>
      </c>
      <c r="B56" s="6">
        <v>0.78392414817345912</v>
      </c>
      <c r="C56" s="6">
        <v>5.2768869426832204E-2</v>
      </c>
      <c r="D56" s="6">
        <v>0</v>
      </c>
      <c r="E56" s="6">
        <v>5.8326185031127924E-4</v>
      </c>
      <c r="F56" s="6">
        <v>5.5217742919921875E-6</v>
      </c>
      <c r="G56" s="6">
        <v>0</v>
      </c>
      <c r="H56" s="6">
        <v>0</v>
      </c>
      <c r="I56" s="6">
        <v>0</v>
      </c>
      <c r="J56" s="6">
        <f t="shared" si="0"/>
        <v>0.83728180122489471</v>
      </c>
      <c r="L56" s="12">
        <v>0.10416666666666667</v>
      </c>
      <c r="M56" s="9">
        <v>1.8794231613818695</v>
      </c>
      <c r="N56" s="9">
        <v>1.382093576596833</v>
      </c>
      <c r="O56" s="9">
        <v>0</v>
      </c>
      <c r="P56" s="9">
        <v>0</v>
      </c>
      <c r="Q56" s="9">
        <v>0.74332227669376816</v>
      </c>
      <c r="R56" s="9">
        <v>7.8035311551782435E-2</v>
      </c>
      <c r="S56" s="9">
        <v>0</v>
      </c>
      <c r="T56" s="9">
        <v>0</v>
      </c>
      <c r="U56">
        <f t="shared" si="1"/>
        <v>4.0828743262242533</v>
      </c>
    </row>
    <row r="57" spans="1:21" x14ac:dyDescent="0.25">
      <c r="A57" s="12">
        <v>0.125</v>
      </c>
      <c r="B57" s="6">
        <v>0.16627033276807784</v>
      </c>
      <c r="C57" s="6">
        <v>5.412773512897491E-3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f t="shared" si="0"/>
        <v>0.17168310628097533</v>
      </c>
      <c r="L57" s="12">
        <v>0.125</v>
      </c>
      <c r="M57" s="9">
        <v>0.40600489291473452</v>
      </c>
      <c r="N57" s="9">
        <v>0.29013158033863573</v>
      </c>
      <c r="O57" s="9">
        <v>0</v>
      </c>
      <c r="P57" s="9">
        <v>0</v>
      </c>
      <c r="Q57" s="9">
        <v>0.15198548104580845</v>
      </c>
      <c r="R57" s="9">
        <v>1.728359853897066E-2</v>
      </c>
      <c r="S57" s="9">
        <v>0</v>
      </c>
      <c r="T57" s="9">
        <v>0</v>
      </c>
      <c r="U57">
        <f t="shared" si="1"/>
        <v>0.86540555283814935</v>
      </c>
    </row>
    <row r="58" spans="1:21" ht="15.75" thickBot="1" x14ac:dyDescent="0.3">
      <c r="A58" s="13" t="s">
        <v>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f t="shared" si="0"/>
        <v>0</v>
      </c>
      <c r="L58" s="13" t="s">
        <v>6</v>
      </c>
      <c r="M58" s="10">
        <v>0</v>
      </c>
      <c r="N58" s="10">
        <v>0</v>
      </c>
      <c r="O58" s="10">
        <v>0</v>
      </c>
      <c r="P58" s="10">
        <v>0</v>
      </c>
      <c r="Q58" s="10">
        <v>0</v>
      </c>
      <c r="R58" s="10">
        <v>0</v>
      </c>
      <c r="S58" s="10">
        <v>0</v>
      </c>
      <c r="T58" s="10">
        <v>0</v>
      </c>
      <c r="U58" s="1">
        <f t="shared" si="1"/>
        <v>0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58"/>
  <sheetViews>
    <sheetView workbookViewId="0">
      <selection activeCell="A3" sqref="A3"/>
    </sheetView>
  </sheetViews>
  <sheetFormatPr defaultRowHeight="15" x14ac:dyDescent="0.25"/>
  <cols>
    <col min="1" max="1" width="12.7109375" customWidth="1" collapsed="1"/>
    <col min="2" max="10" width="10.7109375" customWidth="1" collapsed="1"/>
    <col min="11" max="11" width="6.42578125" customWidth="1" collapsed="1"/>
    <col min="12" max="12" width="12.7109375" customWidth="1" collapsed="1"/>
    <col min="13" max="21" width="10.7109375" customWidth="1" collapsed="1"/>
  </cols>
  <sheetData>
    <row r="1" spans="1:26" x14ac:dyDescent="0.25">
      <c r="A1" t="s">
        <v>32</v>
      </c>
    </row>
    <row r="2" spans="1:26" x14ac:dyDescent="0.25">
      <c r="A2" t="s">
        <v>60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52</v>
      </c>
      <c r="B6" s="1"/>
      <c r="C6" s="1"/>
      <c r="D6" s="1"/>
      <c r="E6" s="1"/>
      <c r="F6" s="1"/>
      <c r="G6" s="1"/>
      <c r="H6" s="1"/>
      <c r="I6" s="1"/>
      <c r="J6" s="1"/>
      <c r="L6" s="3" t="s">
        <v>27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>
        <v>0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f>SUM(B8:I8)</f>
        <v>0</v>
      </c>
      <c r="L8" t="s">
        <v>5</v>
      </c>
      <c r="M8" s="9">
        <v>0.5</v>
      </c>
      <c r="N8" s="9">
        <v>0</v>
      </c>
      <c r="O8" s="9">
        <v>0</v>
      </c>
      <c r="P8" s="9">
        <v>0</v>
      </c>
      <c r="Q8" s="9">
        <v>27.768948715325628</v>
      </c>
      <c r="R8" s="9">
        <v>0</v>
      </c>
      <c r="S8" s="9">
        <v>0</v>
      </c>
      <c r="T8" s="9">
        <v>0</v>
      </c>
      <c r="U8">
        <f>SUM(M8:T8)</f>
        <v>28.268948715325628</v>
      </c>
      <c r="W8" s="5"/>
      <c r="X8" s="16"/>
      <c r="Y8" s="16"/>
      <c r="Z8" s="5"/>
    </row>
    <row r="9" spans="1:26" x14ac:dyDescent="0.25">
      <c r="A9" s="12">
        <v>0.125</v>
      </c>
      <c r="B9" s="6">
        <v>2.2068494928932189E-4</v>
      </c>
      <c r="C9" s="6">
        <v>5.2154818547797692</v>
      </c>
      <c r="D9" s="6">
        <v>0</v>
      </c>
      <c r="E9" s="6">
        <v>2.9382714240948959</v>
      </c>
      <c r="F9" s="6">
        <v>6.607984229993165</v>
      </c>
      <c r="G9" s="6">
        <v>18.837266195178032</v>
      </c>
      <c r="H9" s="6">
        <v>64.202891150116926</v>
      </c>
      <c r="I9" s="6">
        <v>7.7276492995023727</v>
      </c>
      <c r="J9" s="6">
        <f t="shared" ref="J9:J58" si="0">SUM(B9:I9)</f>
        <v>105.52976483861445</v>
      </c>
      <c r="L9" s="12">
        <v>0.125</v>
      </c>
      <c r="M9" s="9">
        <v>13.109738692619359</v>
      </c>
      <c r="N9" s="9">
        <v>0</v>
      </c>
      <c r="O9" s="9">
        <v>0</v>
      </c>
      <c r="P9" s="9">
        <v>0</v>
      </c>
      <c r="Q9" s="9">
        <v>45.561426050659243</v>
      </c>
      <c r="R9" s="9">
        <v>42.689649496665595</v>
      </c>
      <c r="S9" s="9">
        <v>50.33938853067567</v>
      </c>
      <c r="T9" s="9">
        <v>7.2378534416869442</v>
      </c>
      <c r="U9">
        <f t="shared" ref="U9:U58" si="1">SUM(M9:T9)</f>
        <v>158.93805621230683</v>
      </c>
      <c r="W9" s="5"/>
      <c r="X9" s="16"/>
      <c r="Y9" s="16"/>
      <c r="Z9" s="5"/>
    </row>
    <row r="10" spans="1:26" x14ac:dyDescent="0.25">
      <c r="A10" s="12">
        <v>0.14583333333333334</v>
      </c>
      <c r="B10" s="6">
        <v>4.9886881178646076E-3</v>
      </c>
      <c r="C10" s="6">
        <v>25.273676314406195</v>
      </c>
      <c r="D10" s="6">
        <v>0</v>
      </c>
      <c r="E10" s="6">
        <v>16.712373650615753</v>
      </c>
      <c r="F10" s="6">
        <v>13.217099402298594</v>
      </c>
      <c r="G10" s="6">
        <v>82.088761863112452</v>
      </c>
      <c r="H10" s="6">
        <v>193.82637893795967</v>
      </c>
      <c r="I10" s="6">
        <v>33.169590526580812</v>
      </c>
      <c r="J10" s="6">
        <f t="shared" si="0"/>
        <v>364.29286938309133</v>
      </c>
      <c r="L10" s="12">
        <v>0.14583333333333334</v>
      </c>
      <c r="M10" s="9">
        <v>20.32626580924326</v>
      </c>
      <c r="N10" s="9">
        <v>0</v>
      </c>
      <c r="O10" s="9">
        <v>0</v>
      </c>
      <c r="P10" s="9">
        <v>0</v>
      </c>
      <c r="Q10" s="9">
        <v>61.082160298119689</v>
      </c>
      <c r="R10" s="9">
        <v>123.23919630009851</v>
      </c>
      <c r="S10" s="9">
        <v>170.58502856243541</v>
      </c>
      <c r="T10" s="9">
        <v>22.747712090961578</v>
      </c>
      <c r="U10">
        <f t="shared" si="1"/>
        <v>397.98036306085845</v>
      </c>
      <c r="W10" s="5"/>
      <c r="X10" s="16"/>
      <c r="Y10" s="16"/>
      <c r="Z10" s="5"/>
    </row>
    <row r="11" spans="1:26" x14ac:dyDescent="0.25">
      <c r="A11" s="12">
        <v>0.16666666666666666</v>
      </c>
      <c r="B11" s="6">
        <v>5.4075192982937802E-2</v>
      </c>
      <c r="C11" s="6">
        <v>92.167470217469088</v>
      </c>
      <c r="D11" s="6">
        <v>0</v>
      </c>
      <c r="E11" s="6">
        <v>70.261592487746526</v>
      </c>
      <c r="F11" s="6">
        <v>24.436316618078457</v>
      </c>
      <c r="G11" s="6">
        <v>283.43963075029859</v>
      </c>
      <c r="H11" s="6">
        <v>602.31661944103246</v>
      </c>
      <c r="I11" s="6">
        <v>112.38307457840442</v>
      </c>
      <c r="J11" s="6">
        <f t="shared" si="0"/>
        <v>1185.0587792860124</v>
      </c>
      <c r="L11" s="12">
        <v>0.16666666666666666</v>
      </c>
      <c r="M11" s="9">
        <v>21.555601334635909</v>
      </c>
      <c r="N11" s="9">
        <v>0</v>
      </c>
      <c r="O11" s="9">
        <v>0</v>
      </c>
      <c r="P11" s="9">
        <v>0</v>
      </c>
      <c r="Q11" s="9">
        <v>88.393201100149753</v>
      </c>
      <c r="R11" s="9">
        <v>324.90615738639877</v>
      </c>
      <c r="S11" s="9">
        <v>524.97408768852677</v>
      </c>
      <c r="T11" s="9">
        <v>65.36080398112405</v>
      </c>
      <c r="U11">
        <f t="shared" si="1"/>
        <v>1025.1898514908353</v>
      </c>
      <c r="W11" s="5"/>
      <c r="X11" s="16"/>
      <c r="Y11" s="16"/>
      <c r="Z11" s="5"/>
    </row>
    <row r="12" spans="1:26" x14ac:dyDescent="0.25">
      <c r="A12" s="12">
        <v>0.1875</v>
      </c>
      <c r="B12" s="6">
        <v>0.37373417681274407</v>
      </c>
      <c r="C12" s="6">
        <v>266.81334749550615</v>
      </c>
      <c r="D12" s="6">
        <v>4.466760902166367E-4</v>
      </c>
      <c r="E12" s="6">
        <v>230.29693137427574</v>
      </c>
      <c r="F12" s="6">
        <v>55.974763418013723</v>
      </c>
      <c r="G12" s="6">
        <v>806.35911167204392</v>
      </c>
      <c r="H12" s="6">
        <v>1853.5763851456645</v>
      </c>
      <c r="I12" s="6">
        <v>315.01275855684275</v>
      </c>
      <c r="J12" s="6">
        <f t="shared" si="0"/>
        <v>3528.4074785152497</v>
      </c>
      <c r="L12" s="12">
        <v>0.1875</v>
      </c>
      <c r="M12" s="9">
        <v>22.161831929820728</v>
      </c>
      <c r="N12" s="9">
        <v>0</v>
      </c>
      <c r="O12" s="9">
        <v>0</v>
      </c>
      <c r="P12" s="9">
        <v>0</v>
      </c>
      <c r="Q12" s="9">
        <v>170.83565657064048</v>
      </c>
      <c r="R12" s="9">
        <v>811.63624092397777</v>
      </c>
      <c r="S12" s="9">
        <v>1475.4455620734418</v>
      </c>
      <c r="T12" s="9">
        <v>174.91863696860204</v>
      </c>
      <c r="U12">
        <f t="shared" si="1"/>
        <v>2654.9979284664832</v>
      </c>
      <c r="W12" s="5"/>
      <c r="X12" s="5"/>
      <c r="Y12" s="5"/>
      <c r="Z12" s="5"/>
    </row>
    <row r="13" spans="1:26" x14ac:dyDescent="0.25">
      <c r="A13" s="12">
        <v>0.20833333333333334</v>
      </c>
      <c r="B13" s="6">
        <v>1.8477810221657514</v>
      </c>
      <c r="C13" s="6">
        <v>629.95641790532841</v>
      </c>
      <c r="D13" s="6">
        <v>8.9335218043327322E-3</v>
      </c>
      <c r="E13" s="6">
        <v>606.57912483845189</v>
      </c>
      <c r="F13" s="6">
        <v>143.07936154487015</v>
      </c>
      <c r="G13" s="6">
        <v>1909.0760818978549</v>
      </c>
      <c r="H13" s="6">
        <v>5030.2243451281802</v>
      </c>
      <c r="I13" s="6">
        <v>743.88707969129086</v>
      </c>
      <c r="J13" s="6">
        <f t="shared" si="0"/>
        <v>9064.6591255499461</v>
      </c>
      <c r="L13" s="12">
        <v>0.20833333333333334</v>
      </c>
      <c r="M13" s="9">
        <v>31.214418947851499</v>
      </c>
      <c r="N13" s="9">
        <v>0</v>
      </c>
      <c r="O13" s="9">
        <v>0</v>
      </c>
      <c r="P13" s="9">
        <v>0</v>
      </c>
      <c r="Q13" s="9">
        <v>388.30473637069178</v>
      </c>
      <c r="R13" s="9">
        <v>1822.4408852611011</v>
      </c>
      <c r="S13" s="9">
        <v>3641.9903046808267</v>
      </c>
      <c r="T13" s="9">
        <v>416.29748927582898</v>
      </c>
      <c r="U13">
        <f t="shared" si="1"/>
        <v>6300.2478345363006</v>
      </c>
    </row>
    <row r="14" spans="1:26" x14ac:dyDescent="0.25">
      <c r="A14" s="12">
        <v>0.22916666666666666</v>
      </c>
      <c r="B14" s="6">
        <v>6.9524748740672244</v>
      </c>
      <c r="C14" s="6">
        <v>1237.5374048611891</v>
      </c>
      <c r="D14" s="6">
        <v>8.486845714116098E-2</v>
      </c>
      <c r="E14" s="6">
        <v>1312.7595036511484</v>
      </c>
      <c r="F14" s="6">
        <v>344.30761223672732</v>
      </c>
      <c r="G14" s="6">
        <v>3788.714466329217</v>
      </c>
      <c r="H14" s="6">
        <v>11583.983437617902</v>
      </c>
      <c r="I14" s="6">
        <v>1503.4129547270534</v>
      </c>
      <c r="J14" s="6">
        <f t="shared" si="0"/>
        <v>19777.752722754445</v>
      </c>
      <c r="L14" s="12">
        <v>0.22916666666666666</v>
      </c>
      <c r="M14" s="9">
        <v>58.387883745980972</v>
      </c>
      <c r="N14" s="9">
        <v>0</v>
      </c>
      <c r="O14" s="9">
        <v>0</v>
      </c>
      <c r="P14" s="9">
        <v>0</v>
      </c>
      <c r="Q14" s="9">
        <v>852.01214449860333</v>
      </c>
      <c r="R14" s="9">
        <v>3582.5613144605968</v>
      </c>
      <c r="S14" s="9">
        <v>7797.897514455356</v>
      </c>
      <c r="T14" s="9">
        <v>864.51783444946841</v>
      </c>
      <c r="U14">
        <f t="shared" si="1"/>
        <v>13155.376691610005</v>
      </c>
    </row>
    <row r="15" spans="1:26" x14ac:dyDescent="0.25">
      <c r="A15" s="12">
        <v>0.25</v>
      </c>
      <c r="B15" s="6">
        <v>20.687817341335016</v>
      </c>
      <c r="C15" s="6">
        <v>2056.0417550636998</v>
      </c>
      <c r="D15" s="6">
        <v>0.50921074284696588</v>
      </c>
      <c r="E15" s="6">
        <v>2376.6089889027676</v>
      </c>
      <c r="F15" s="6">
        <v>725.96154335967492</v>
      </c>
      <c r="G15" s="6">
        <v>6340.7176050500857</v>
      </c>
      <c r="H15" s="6">
        <v>22588.87824173272</v>
      </c>
      <c r="I15" s="6">
        <v>2639.9880187361236</v>
      </c>
      <c r="J15" s="6">
        <f t="shared" si="0"/>
        <v>36749.393180929255</v>
      </c>
      <c r="L15" s="12">
        <v>0.25</v>
      </c>
      <c r="M15" s="9">
        <v>111.03651448681134</v>
      </c>
      <c r="N15" s="9">
        <v>0</v>
      </c>
      <c r="O15" s="9">
        <v>0</v>
      </c>
      <c r="P15" s="9">
        <v>0</v>
      </c>
      <c r="Q15" s="9">
        <v>1673.4775578731258</v>
      </c>
      <c r="R15" s="9">
        <v>6130.4087222925818</v>
      </c>
      <c r="S15" s="9">
        <v>14504.199386665023</v>
      </c>
      <c r="T15" s="9">
        <v>1563.4946149946472</v>
      </c>
      <c r="U15">
        <f t="shared" si="1"/>
        <v>23982.616796312192</v>
      </c>
    </row>
    <row r="16" spans="1:26" x14ac:dyDescent="0.25">
      <c r="A16" s="12">
        <v>0.27083333333333331</v>
      </c>
      <c r="B16" s="6">
        <v>49.985158246473688</v>
      </c>
      <c r="C16" s="6">
        <v>2932.9248339519481</v>
      </c>
      <c r="D16" s="6">
        <v>2.1641456570996054</v>
      </c>
      <c r="E16" s="6">
        <v>3658.1168904003512</v>
      </c>
      <c r="F16" s="6">
        <v>1318.1073788712977</v>
      </c>
      <c r="G16" s="6">
        <v>8994.0904144524247</v>
      </c>
      <c r="H16" s="6">
        <v>37556.403712404855</v>
      </c>
      <c r="I16" s="6">
        <v>4086.4894021340601</v>
      </c>
      <c r="J16" s="6">
        <f t="shared" si="0"/>
        <v>58598.28193611851</v>
      </c>
      <c r="L16" s="12">
        <v>0.27083333333333331</v>
      </c>
      <c r="M16" s="9">
        <v>190.75926276250419</v>
      </c>
      <c r="N16" s="9">
        <v>0</v>
      </c>
      <c r="O16" s="9">
        <v>0</v>
      </c>
      <c r="P16" s="9">
        <v>0</v>
      </c>
      <c r="Q16" s="9">
        <v>2902.6551286547242</v>
      </c>
      <c r="R16" s="9">
        <v>9153.1808475874586</v>
      </c>
      <c r="S16" s="9">
        <v>23577.414597630439</v>
      </c>
      <c r="T16" s="9">
        <v>2472.482495362161</v>
      </c>
      <c r="U16">
        <f t="shared" si="1"/>
        <v>38296.492331997288</v>
      </c>
    </row>
    <row r="17" spans="1:21" x14ac:dyDescent="0.25">
      <c r="A17" s="12">
        <v>0.29166666666666669</v>
      </c>
      <c r="B17" s="6">
        <v>100.07455714335488</v>
      </c>
      <c r="C17" s="6">
        <v>3650.5473076499225</v>
      </c>
      <c r="D17" s="6">
        <v>6.9252661027187363</v>
      </c>
      <c r="E17" s="6">
        <v>4869.8174951363735</v>
      </c>
      <c r="F17" s="6">
        <v>2062.2268488688824</v>
      </c>
      <c r="G17" s="6">
        <v>10859.2630732464</v>
      </c>
      <c r="H17" s="6">
        <v>53632.188313322076</v>
      </c>
      <c r="I17" s="6">
        <v>5646.8014783099879</v>
      </c>
      <c r="J17" s="6">
        <f t="shared" si="0"/>
        <v>80827.844339779724</v>
      </c>
      <c r="L17" s="12">
        <v>0.29166666666666669</v>
      </c>
      <c r="M17" s="9">
        <v>290.13848630545567</v>
      </c>
      <c r="N17" s="9">
        <v>0</v>
      </c>
      <c r="O17" s="9">
        <v>0</v>
      </c>
      <c r="P17" s="9">
        <v>0</v>
      </c>
      <c r="Q17" s="9">
        <v>4458.8758248826716</v>
      </c>
      <c r="R17" s="9">
        <v>11983.479901569288</v>
      </c>
      <c r="S17" s="9">
        <v>33729.217705276125</v>
      </c>
      <c r="T17" s="9">
        <v>3437.9520756806046</v>
      </c>
      <c r="U17">
        <f t="shared" si="1"/>
        <v>53899.663993714144</v>
      </c>
    </row>
    <row r="18" spans="1:21" x14ac:dyDescent="0.25">
      <c r="A18" s="12">
        <v>0.3125</v>
      </c>
      <c r="B18" s="6">
        <v>169.09269774252408</v>
      </c>
      <c r="C18" s="6">
        <v>4039.216147224306</v>
      </c>
      <c r="D18" s="6">
        <v>17.313165256796839</v>
      </c>
      <c r="E18" s="6">
        <v>5722.8491629260952</v>
      </c>
      <c r="F18" s="6">
        <v>2799.9886058692678</v>
      </c>
      <c r="G18" s="6">
        <v>11201.839975232382</v>
      </c>
      <c r="H18" s="6">
        <v>66155.978590237035</v>
      </c>
      <c r="I18" s="6">
        <v>7027.6591522783037</v>
      </c>
      <c r="J18" s="6">
        <f t="shared" si="0"/>
        <v>97133.93749676671</v>
      </c>
      <c r="L18" s="12">
        <v>0.3125</v>
      </c>
      <c r="M18" s="9">
        <v>392.61141425411188</v>
      </c>
      <c r="N18" s="9">
        <v>0</v>
      </c>
      <c r="O18" s="9">
        <v>0</v>
      </c>
      <c r="P18" s="9">
        <v>0</v>
      </c>
      <c r="Q18" s="9">
        <v>6105.5645240934609</v>
      </c>
      <c r="R18" s="9">
        <v>13833.445786601411</v>
      </c>
      <c r="S18" s="9">
        <v>42759.389007500984</v>
      </c>
      <c r="T18" s="9">
        <v>4227.0957740446866</v>
      </c>
      <c r="U18">
        <f t="shared" si="1"/>
        <v>67318.10650649466</v>
      </c>
    </row>
    <row r="19" spans="1:21" x14ac:dyDescent="0.25">
      <c r="A19" s="12">
        <v>0.33333333333333331</v>
      </c>
      <c r="B19" s="6">
        <v>246.09683073646974</v>
      </c>
      <c r="C19" s="6">
        <v>4057.4547491206349</v>
      </c>
      <c r="D19" s="6">
        <v>34.626330513593679</v>
      </c>
      <c r="E19" s="6">
        <v>6089.5425979677339</v>
      </c>
      <c r="F19" s="6">
        <v>3336.512371132826</v>
      </c>
      <c r="G19" s="6">
        <v>9910.3736421607391</v>
      </c>
      <c r="H19" s="6">
        <v>70731.28569909514</v>
      </c>
      <c r="I19" s="6">
        <v>7904.3464648770096</v>
      </c>
      <c r="J19" s="6">
        <f t="shared" si="0"/>
        <v>102310.23868560416</v>
      </c>
      <c r="L19" s="12">
        <v>0.33333333333333331</v>
      </c>
      <c r="M19" s="9">
        <v>477.59721550785838</v>
      </c>
      <c r="N19" s="9">
        <v>0</v>
      </c>
      <c r="O19" s="9">
        <v>0</v>
      </c>
      <c r="P19" s="9">
        <v>0</v>
      </c>
      <c r="Q19" s="9">
        <v>7510.5458950069378</v>
      </c>
      <c r="R19" s="9">
        <v>14159.356286583248</v>
      </c>
      <c r="S19" s="9">
        <v>48374.235671067174</v>
      </c>
      <c r="T19" s="9">
        <v>4621.3161924001106</v>
      </c>
      <c r="U19">
        <f t="shared" si="1"/>
        <v>75143.05126056532</v>
      </c>
    </row>
    <row r="20" spans="1:21" x14ac:dyDescent="0.25">
      <c r="A20" s="12">
        <v>0.35416666666666669</v>
      </c>
      <c r="B20" s="6">
        <v>316.75424211885849</v>
      </c>
      <c r="C20" s="6">
        <v>3776.1545875545926</v>
      </c>
      <c r="D20" s="6">
        <v>56.267787084589727</v>
      </c>
      <c r="E20" s="6">
        <v>6037.0910653721148</v>
      </c>
      <c r="F20" s="6">
        <v>3544.9693429272911</v>
      </c>
      <c r="G20" s="6">
        <v>7561.8529492347125</v>
      </c>
      <c r="H20" s="6">
        <v>65634.013709614286</v>
      </c>
      <c r="I20" s="6">
        <v>8015.9177202529909</v>
      </c>
      <c r="J20" s="6">
        <f t="shared" si="0"/>
        <v>94943.021404159445</v>
      </c>
      <c r="L20" s="12">
        <v>0.35416666666666669</v>
      </c>
      <c r="M20" s="9">
        <v>528.99448227451626</v>
      </c>
      <c r="N20" s="9">
        <v>0</v>
      </c>
      <c r="O20" s="9">
        <v>0</v>
      </c>
      <c r="P20" s="9">
        <v>0</v>
      </c>
      <c r="Q20" s="9">
        <v>8379.1756263602856</v>
      </c>
      <c r="R20" s="9">
        <v>12924.193740308874</v>
      </c>
      <c r="S20" s="9">
        <v>49221.896146622843</v>
      </c>
      <c r="T20" s="9">
        <v>4519.3169185121933</v>
      </c>
      <c r="U20">
        <f t="shared" si="1"/>
        <v>75573.576914078716</v>
      </c>
    </row>
    <row r="21" spans="1:21" x14ac:dyDescent="0.25">
      <c r="A21" s="12">
        <v>0.375</v>
      </c>
      <c r="B21" s="6">
        <v>372.85188675991816</v>
      </c>
      <c r="C21" s="6">
        <v>3304.1691043459227</v>
      </c>
      <c r="D21" s="6">
        <v>75.023716112786303</v>
      </c>
      <c r="E21" s="6">
        <v>5714.9135763068298</v>
      </c>
      <c r="F21" s="6">
        <v>3430.7076634700002</v>
      </c>
      <c r="G21" s="6">
        <v>5034.9844881781064</v>
      </c>
      <c r="H21" s="6">
        <v>52840.893957380191</v>
      </c>
      <c r="I21" s="6">
        <v>7280.2205305228235</v>
      </c>
      <c r="J21" s="6">
        <f t="shared" si="0"/>
        <v>78053.764923076582</v>
      </c>
      <c r="L21" s="12">
        <v>0.375</v>
      </c>
      <c r="M21" s="9">
        <v>541.99980148037707</v>
      </c>
      <c r="N21" s="9">
        <v>0</v>
      </c>
      <c r="O21" s="9">
        <v>0</v>
      </c>
      <c r="P21" s="9">
        <v>0</v>
      </c>
      <c r="Q21" s="9">
        <v>8586.2827612314595</v>
      </c>
      <c r="R21" s="9">
        <v>10587.806088986088</v>
      </c>
      <c r="S21" s="9">
        <v>45496.722656490252</v>
      </c>
      <c r="T21" s="9">
        <v>3983.5538776676167</v>
      </c>
      <c r="U21">
        <f t="shared" si="1"/>
        <v>69196.365185855786</v>
      </c>
    </row>
    <row r="22" spans="1:21" x14ac:dyDescent="0.25">
      <c r="A22" s="12">
        <v>0.39583333333333331</v>
      </c>
      <c r="B22" s="6">
        <v>415.04194896545062</v>
      </c>
      <c r="C22" s="6">
        <v>2740.2629743546922</v>
      </c>
      <c r="D22" s="6">
        <v>82.526087724064936</v>
      </c>
      <c r="E22" s="6">
        <v>5227.427718234203</v>
      </c>
      <c r="F22" s="6">
        <v>3107.1174633849841</v>
      </c>
      <c r="G22" s="6">
        <v>3011.0550543641484</v>
      </c>
      <c r="H22" s="6">
        <v>36877.882319011929</v>
      </c>
      <c r="I22" s="6">
        <v>5870.1732148417241</v>
      </c>
      <c r="J22" s="6">
        <f t="shared" si="0"/>
        <v>57331.486780881198</v>
      </c>
      <c r="L22" s="12">
        <v>0.39583333333333331</v>
      </c>
      <c r="M22" s="9">
        <v>524.11923394987082</v>
      </c>
      <c r="N22" s="9">
        <v>0</v>
      </c>
      <c r="O22" s="9">
        <v>0</v>
      </c>
      <c r="P22" s="9">
        <v>0</v>
      </c>
      <c r="Q22" s="9">
        <v>8222.5932556247026</v>
      </c>
      <c r="R22" s="9">
        <v>7850.7951658362208</v>
      </c>
      <c r="S22" s="9">
        <v>38727.694229648638</v>
      </c>
      <c r="T22" s="9">
        <v>3200.1931462620964</v>
      </c>
      <c r="U22">
        <f t="shared" si="1"/>
        <v>58525.395031321532</v>
      </c>
    </row>
    <row r="23" spans="1:21" x14ac:dyDescent="0.25">
      <c r="A23" s="12">
        <v>0.41666666666666669</v>
      </c>
      <c r="B23" s="6">
        <v>444.41835670690301</v>
      </c>
      <c r="C23" s="6">
        <v>2175.3466860709977</v>
      </c>
      <c r="D23" s="6">
        <v>75.024092455123125</v>
      </c>
      <c r="E23" s="6">
        <v>4615.1234922116391</v>
      </c>
      <c r="F23" s="6">
        <v>2717.7797985311659</v>
      </c>
      <c r="G23" s="6">
        <v>1727.3937998865531</v>
      </c>
      <c r="H23" s="6">
        <v>22353.13047079313</v>
      </c>
      <c r="I23" s="6">
        <v>4169.3411767500638</v>
      </c>
      <c r="J23" s="6">
        <f t="shared" si="0"/>
        <v>38277.557873405574</v>
      </c>
      <c r="L23" s="12">
        <v>0.41666666666666669</v>
      </c>
      <c r="M23" s="9">
        <v>490.3018444877531</v>
      </c>
      <c r="N23" s="9">
        <v>0</v>
      </c>
      <c r="O23" s="9">
        <v>0</v>
      </c>
      <c r="P23" s="9">
        <v>0</v>
      </c>
      <c r="Q23" s="9">
        <v>7528.3999355245023</v>
      </c>
      <c r="R23" s="9">
        <v>5335.3561191302706</v>
      </c>
      <c r="S23" s="9">
        <v>30939.486955594501</v>
      </c>
      <c r="T23" s="9">
        <v>2383.2116306650832</v>
      </c>
      <c r="U23">
        <f t="shared" si="1"/>
        <v>46676.756485402111</v>
      </c>
    </row>
    <row r="24" spans="1:21" x14ac:dyDescent="0.25">
      <c r="A24" s="12">
        <v>0.4375</v>
      </c>
      <c r="B24" s="6">
        <v>453.22860274509162</v>
      </c>
      <c r="C24" s="6">
        <v>1696.0482297352423</v>
      </c>
      <c r="D24" s="6">
        <v>56.275313931326195</v>
      </c>
      <c r="E24" s="6">
        <v>3923.7367405463601</v>
      </c>
      <c r="F24" s="6">
        <v>2374.0201041885157</v>
      </c>
      <c r="G24" s="6">
        <v>1056.8993580538813</v>
      </c>
      <c r="H24" s="6">
        <v>11935.185808068873</v>
      </c>
      <c r="I24" s="6">
        <v>2601.2585391844509</v>
      </c>
      <c r="J24" s="6">
        <f t="shared" si="0"/>
        <v>24096.652696453741</v>
      </c>
      <c r="L24" s="12">
        <v>0.4375</v>
      </c>
      <c r="M24" s="9">
        <v>455.74320217794059</v>
      </c>
      <c r="N24" s="9">
        <v>0</v>
      </c>
      <c r="O24" s="9">
        <v>0</v>
      </c>
      <c r="P24" s="9">
        <v>0</v>
      </c>
      <c r="Q24" s="9">
        <v>6764.4989214022371</v>
      </c>
      <c r="R24" s="9">
        <v>3387.827487603091</v>
      </c>
      <c r="S24" s="9">
        <v>23767.482462622425</v>
      </c>
      <c r="T24" s="9">
        <v>1686.5804638108832</v>
      </c>
      <c r="U24">
        <f t="shared" si="1"/>
        <v>36062.132537616577</v>
      </c>
    </row>
    <row r="25" spans="1:21" x14ac:dyDescent="0.25">
      <c r="A25" s="12">
        <v>0.45833333333333331</v>
      </c>
      <c r="B25" s="6">
        <v>428.42839659362733</v>
      </c>
      <c r="C25" s="6">
        <v>1356.6224803450805</v>
      </c>
      <c r="D25" s="6">
        <v>34.697835557590139</v>
      </c>
      <c r="E25" s="6">
        <v>3247.7364791881919</v>
      </c>
      <c r="F25" s="6">
        <v>2135.2468524196129</v>
      </c>
      <c r="G25" s="6">
        <v>736.5065050689243</v>
      </c>
      <c r="H25" s="6">
        <v>5913.5906446545123</v>
      </c>
      <c r="I25" s="6">
        <v>1442.6096868484019</v>
      </c>
      <c r="J25" s="6">
        <f t="shared" si="0"/>
        <v>15295.438880675942</v>
      </c>
      <c r="L25" s="12">
        <v>0.45833333333333331</v>
      </c>
      <c r="M25" s="9">
        <v>430.6222843187067</v>
      </c>
      <c r="N25" s="9">
        <v>0</v>
      </c>
      <c r="O25" s="9">
        <v>0</v>
      </c>
      <c r="P25" s="9">
        <v>0</v>
      </c>
      <c r="Q25" s="9">
        <v>6103.849309062969</v>
      </c>
      <c r="R25" s="9">
        <v>2066.1913288891574</v>
      </c>
      <c r="S25" s="9">
        <v>18017.227178017554</v>
      </c>
      <c r="T25" s="9">
        <v>1170.2309357820841</v>
      </c>
      <c r="U25">
        <f t="shared" si="1"/>
        <v>27788.121036070472</v>
      </c>
    </row>
    <row r="26" spans="1:21" x14ac:dyDescent="0.25">
      <c r="A26" s="12">
        <v>0.47916666666666669</v>
      </c>
      <c r="B26" s="6">
        <v>366.13923287478798</v>
      </c>
      <c r="C26" s="6">
        <v>1150.2071724161497</v>
      </c>
      <c r="D26" s="6">
        <v>17.742195520775589</v>
      </c>
      <c r="E26" s="6">
        <v>2688.02608286446</v>
      </c>
      <c r="F26" s="6">
        <v>2010.2404085161497</v>
      </c>
      <c r="G26" s="6">
        <v>551.34670929129766</v>
      </c>
      <c r="H26" s="6">
        <v>3097.9222978358271</v>
      </c>
      <c r="I26" s="6">
        <v>748.50167148196692</v>
      </c>
      <c r="J26" s="6">
        <f t="shared" si="0"/>
        <v>10630.125770801415</v>
      </c>
      <c r="L26" s="12">
        <v>0.47916666666666669</v>
      </c>
      <c r="M26" s="9">
        <v>419.01074178499658</v>
      </c>
      <c r="N26" s="9">
        <v>0</v>
      </c>
      <c r="O26" s="9">
        <v>0</v>
      </c>
      <c r="P26" s="9">
        <v>0</v>
      </c>
      <c r="Q26" s="9">
        <v>5598.0413884719674</v>
      </c>
      <c r="R26" s="9">
        <v>1250.5345409207162</v>
      </c>
      <c r="S26" s="9">
        <v>13749.973370188547</v>
      </c>
      <c r="T26" s="9">
        <v>819.69784423959925</v>
      </c>
      <c r="U26">
        <f t="shared" si="1"/>
        <v>21837.257885605824</v>
      </c>
    </row>
    <row r="27" spans="1:21" x14ac:dyDescent="0.25">
      <c r="A27" s="12">
        <v>0.5</v>
      </c>
      <c r="B27" s="6">
        <v>280.0654908576247</v>
      </c>
      <c r="C27" s="6">
        <v>1020.2217613529602</v>
      </c>
      <c r="D27" s="6">
        <v>8.7488977680449693</v>
      </c>
      <c r="E27" s="6">
        <v>2276.7148462026053</v>
      </c>
      <c r="F27" s="6">
        <v>1960.6526323680037</v>
      </c>
      <c r="G27" s="6">
        <v>401.23240134379159</v>
      </c>
      <c r="H27" s="6">
        <v>2013.7042527116539</v>
      </c>
      <c r="I27" s="6">
        <v>414.06455229020116</v>
      </c>
      <c r="J27" s="6">
        <f t="shared" si="0"/>
        <v>8375.4048348948854</v>
      </c>
      <c r="L27" s="12">
        <v>0.5</v>
      </c>
      <c r="M27" s="9">
        <v>421.19901094245506</v>
      </c>
      <c r="N27" s="9">
        <v>0</v>
      </c>
      <c r="O27" s="9">
        <v>0</v>
      </c>
      <c r="P27" s="9">
        <v>0</v>
      </c>
      <c r="Q27" s="9">
        <v>5214.5453072758892</v>
      </c>
      <c r="R27" s="9">
        <v>771.95771687660999</v>
      </c>
      <c r="S27" s="9">
        <v>10642.373536030927</v>
      </c>
      <c r="T27" s="9">
        <v>588.06958373698785</v>
      </c>
      <c r="U27">
        <f t="shared" si="1"/>
        <v>17638.145154862872</v>
      </c>
    </row>
    <row r="28" spans="1:21" x14ac:dyDescent="0.25">
      <c r="A28" s="12">
        <v>0.52083333333333337</v>
      </c>
      <c r="B28" s="6">
        <v>193.53188553671495</v>
      </c>
      <c r="C28" s="6">
        <v>903.34722504920001</v>
      </c>
      <c r="D28" s="6">
        <v>8.0042792774319551</v>
      </c>
      <c r="E28" s="6">
        <v>1958.637032974156</v>
      </c>
      <c r="F28" s="6">
        <v>1917.6748501155639</v>
      </c>
      <c r="G28" s="6">
        <v>275.80864874965346</v>
      </c>
      <c r="H28" s="6">
        <v>1609.8101725263596</v>
      </c>
      <c r="I28" s="6">
        <v>289.94628062963483</v>
      </c>
      <c r="J28" s="6">
        <f t="shared" si="0"/>
        <v>7156.7603748587153</v>
      </c>
      <c r="L28" s="12">
        <v>0.52083333333333337</v>
      </c>
      <c r="M28" s="9">
        <v>436.73578370582311</v>
      </c>
      <c r="N28" s="9">
        <v>0</v>
      </c>
      <c r="O28" s="9">
        <v>0</v>
      </c>
      <c r="P28" s="9">
        <v>0</v>
      </c>
      <c r="Q28" s="9">
        <v>4900.0298480334732</v>
      </c>
      <c r="R28" s="9">
        <v>492.15830306481985</v>
      </c>
      <c r="S28" s="9">
        <v>8320.5289931882653</v>
      </c>
      <c r="T28" s="9">
        <v>429.80072687660265</v>
      </c>
      <c r="U28">
        <f t="shared" si="1"/>
        <v>14579.253654868984</v>
      </c>
    </row>
    <row r="29" spans="1:21" x14ac:dyDescent="0.25">
      <c r="A29" s="12">
        <v>0.54166666666666663</v>
      </c>
      <c r="B29" s="6">
        <v>124.13890047677819</v>
      </c>
      <c r="C29" s="6">
        <v>765.03951061658017</v>
      </c>
      <c r="D29" s="6">
        <v>15.149541205075645</v>
      </c>
      <c r="E29" s="6">
        <v>1652.3472905955982</v>
      </c>
      <c r="F29" s="6">
        <v>1821.9878627534372</v>
      </c>
      <c r="G29" s="6">
        <v>196.85070298013287</v>
      </c>
      <c r="H29" s="6">
        <v>1378.1855540261272</v>
      </c>
      <c r="I29" s="6">
        <v>261.36515245664123</v>
      </c>
      <c r="J29" s="6">
        <f t="shared" si="0"/>
        <v>6215.0645151103708</v>
      </c>
      <c r="L29" s="12">
        <v>0.54166666666666663</v>
      </c>
      <c r="M29" s="9">
        <v>465.79627704424422</v>
      </c>
      <c r="N29" s="9">
        <v>0</v>
      </c>
      <c r="O29" s="9">
        <v>0</v>
      </c>
      <c r="P29" s="9">
        <v>0</v>
      </c>
      <c r="Q29" s="9">
        <v>4623.150062964648</v>
      </c>
      <c r="R29" s="9">
        <v>324.62201621864347</v>
      </c>
      <c r="S29" s="9">
        <v>6522.1712165979206</v>
      </c>
      <c r="T29" s="9">
        <v>314.98570334099634</v>
      </c>
      <c r="U29">
        <f t="shared" si="1"/>
        <v>12250.725276166453</v>
      </c>
    </row>
    <row r="30" spans="1:21" x14ac:dyDescent="0.25">
      <c r="A30" s="12">
        <v>0.5625</v>
      </c>
      <c r="B30" s="6">
        <v>76.591936936320707</v>
      </c>
      <c r="C30" s="6">
        <v>607.66963782996277</v>
      </c>
      <c r="D30" s="6">
        <v>29.597016661724716</v>
      </c>
      <c r="E30" s="6">
        <v>1327.4773477587985</v>
      </c>
      <c r="F30" s="6">
        <v>1664.2654241720138</v>
      </c>
      <c r="G30" s="6">
        <v>174.31011683212597</v>
      </c>
      <c r="H30" s="6">
        <v>1174.07394754231</v>
      </c>
      <c r="I30" s="6">
        <v>265.09091368019585</v>
      </c>
      <c r="J30" s="6">
        <f t="shared" si="0"/>
        <v>5319.0763414134517</v>
      </c>
      <c r="L30" s="12">
        <v>0.5625</v>
      </c>
      <c r="M30" s="9">
        <v>508.66872071951877</v>
      </c>
      <c r="N30" s="9">
        <v>0</v>
      </c>
      <c r="O30" s="9">
        <v>0</v>
      </c>
      <c r="P30" s="9">
        <v>0</v>
      </c>
      <c r="Q30" s="9">
        <v>4378.4500928391444</v>
      </c>
      <c r="R30" s="9">
        <v>222.59798664203129</v>
      </c>
      <c r="S30" s="9">
        <v>5105.922922555671</v>
      </c>
      <c r="T30" s="9">
        <v>228.64597873152448</v>
      </c>
      <c r="U30">
        <f t="shared" si="1"/>
        <v>10444.28570148789</v>
      </c>
    </row>
    <row r="31" spans="1:21" x14ac:dyDescent="0.25">
      <c r="A31" s="12">
        <v>0.58333333333333337</v>
      </c>
      <c r="B31" s="6">
        <v>47.534540794133278</v>
      </c>
      <c r="C31" s="6">
        <v>458.42542139358693</v>
      </c>
      <c r="D31" s="6">
        <v>48.940497599603823</v>
      </c>
      <c r="E31" s="6">
        <v>1023.4135350552108</v>
      </c>
      <c r="F31" s="6">
        <v>1489.2197827723714</v>
      </c>
      <c r="G31" s="6">
        <v>193.78715862127788</v>
      </c>
      <c r="H31" s="6">
        <v>1002.5214013028146</v>
      </c>
      <c r="I31" s="6">
        <v>271.53787587594991</v>
      </c>
      <c r="J31" s="6">
        <f t="shared" si="0"/>
        <v>4535.3802134149482</v>
      </c>
      <c r="L31" s="12">
        <v>0.58333333333333337</v>
      </c>
      <c r="M31" s="9">
        <v>565.3055082708222</v>
      </c>
      <c r="N31" s="9">
        <v>0</v>
      </c>
      <c r="O31" s="9">
        <v>0</v>
      </c>
      <c r="P31" s="9">
        <v>0</v>
      </c>
      <c r="Q31" s="9">
        <v>4166.7048351188305</v>
      </c>
      <c r="R31" s="9">
        <v>160.80275869053523</v>
      </c>
      <c r="S31" s="9">
        <v>3996.4742552050693</v>
      </c>
      <c r="T31" s="9">
        <v>164.2739783325278</v>
      </c>
      <c r="U31">
        <f t="shared" si="1"/>
        <v>9053.5613356177855</v>
      </c>
    </row>
    <row r="32" spans="1:21" x14ac:dyDescent="0.25">
      <c r="A32" s="12">
        <v>0.60416666666666663</v>
      </c>
      <c r="B32" s="6">
        <v>34.212121965672836</v>
      </c>
      <c r="C32" s="6">
        <v>348.83377903755036</v>
      </c>
      <c r="D32" s="6">
        <v>68.39942005772555</v>
      </c>
      <c r="E32" s="6">
        <v>801.5597750780596</v>
      </c>
      <c r="F32" s="6">
        <v>1357.4662895193926</v>
      </c>
      <c r="G32" s="6">
        <v>227.48884265818231</v>
      </c>
      <c r="H32" s="6">
        <v>883.27286399447928</v>
      </c>
      <c r="I32" s="6">
        <v>265.16896315801142</v>
      </c>
      <c r="J32" s="6">
        <f t="shared" si="0"/>
        <v>3986.4020554690746</v>
      </c>
      <c r="L32" s="12">
        <v>0.60416666666666663</v>
      </c>
      <c r="M32" s="9">
        <v>637.04062989799036</v>
      </c>
      <c r="N32" s="9">
        <v>0</v>
      </c>
      <c r="O32" s="9">
        <v>0</v>
      </c>
      <c r="P32" s="9">
        <v>0</v>
      </c>
      <c r="Q32" s="9">
        <v>3981.4239096142878</v>
      </c>
      <c r="R32" s="9">
        <v>123.7282847237995</v>
      </c>
      <c r="S32" s="9">
        <v>3137.0481757859425</v>
      </c>
      <c r="T32" s="9">
        <v>118.13572658048614</v>
      </c>
      <c r="U32">
        <f t="shared" si="1"/>
        <v>7997.3767266025061</v>
      </c>
    </row>
    <row r="33" spans="1:21" x14ac:dyDescent="0.25">
      <c r="A33" s="12">
        <v>0.625</v>
      </c>
      <c r="B33" s="6">
        <v>39.088670508950756</v>
      </c>
      <c r="C33" s="6">
        <v>294.51851484602952</v>
      </c>
      <c r="D33" s="6">
        <v>83.388521555036561</v>
      </c>
      <c r="E33" s="6">
        <v>688.81910872427841</v>
      </c>
      <c r="F33" s="6">
        <v>1301.3657049718672</v>
      </c>
      <c r="G33" s="6">
        <v>251.14473365442294</v>
      </c>
      <c r="H33" s="6">
        <v>805.99401877641685</v>
      </c>
      <c r="I33" s="6">
        <v>237.42355176055432</v>
      </c>
      <c r="J33" s="6">
        <f t="shared" si="0"/>
        <v>3701.7428247975568</v>
      </c>
      <c r="L33" s="12">
        <v>0.625</v>
      </c>
      <c r="M33" s="9">
        <v>730.1210954664823</v>
      </c>
      <c r="N33" s="9">
        <v>0</v>
      </c>
      <c r="O33" s="9">
        <v>0</v>
      </c>
      <c r="P33" s="9">
        <v>0</v>
      </c>
      <c r="Q33" s="9">
        <v>3816.8943143587812</v>
      </c>
      <c r="R33" s="9">
        <v>101.02868173214597</v>
      </c>
      <c r="S33" s="9">
        <v>2472.8962183930985</v>
      </c>
      <c r="T33" s="9">
        <v>86.545308669617853</v>
      </c>
      <c r="U33">
        <f t="shared" si="1"/>
        <v>7207.485618620125</v>
      </c>
    </row>
    <row r="34" spans="1:21" x14ac:dyDescent="0.25">
      <c r="A34" s="12">
        <v>0.64583333333333337</v>
      </c>
      <c r="B34" s="6">
        <v>68.976559144809556</v>
      </c>
      <c r="C34" s="6">
        <v>285.61182678318869</v>
      </c>
      <c r="D34" s="6">
        <v>92.949019412264036</v>
      </c>
      <c r="E34" s="6">
        <v>663.739285404969</v>
      </c>
      <c r="F34" s="6">
        <v>1312.3887318981347</v>
      </c>
      <c r="G34" s="6">
        <v>253.79193264006767</v>
      </c>
      <c r="H34" s="6">
        <v>744.34080270946038</v>
      </c>
      <c r="I34" s="6">
        <v>188.78905595457553</v>
      </c>
      <c r="J34" s="6">
        <f t="shared" si="0"/>
        <v>3610.5872139474691</v>
      </c>
      <c r="L34" s="12">
        <v>0.64583333333333337</v>
      </c>
      <c r="M34" s="9">
        <v>857.24497460255498</v>
      </c>
      <c r="N34" s="9">
        <v>0</v>
      </c>
      <c r="O34" s="9">
        <v>0</v>
      </c>
      <c r="P34" s="9">
        <v>0</v>
      </c>
      <c r="Q34" s="9">
        <v>3685.0849254079853</v>
      </c>
      <c r="R34" s="9">
        <v>86.146777558828816</v>
      </c>
      <c r="S34" s="9">
        <v>1955.6864433586888</v>
      </c>
      <c r="T34" s="9">
        <v>65.492422702493357</v>
      </c>
      <c r="U34">
        <f t="shared" si="1"/>
        <v>6649.6555436305507</v>
      </c>
    </row>
    <row r="35" spans="1:21" x14ac:dyDescent="0.25">
      <c r="A35" s="12">
        <v>0.66666666666666663</v>
      </c>
      <c r="B35" s="6">
        <v>130.27031157724733</v>
      </c>
      <c r="C35" s="6">
        <v>294.64654660470603</v>
      </c>
      <c r="D35" s="6">
        <v>99.528993089231733</v>
      </c>
      <c r="E35" s="6">
        <v>681.4085683005942</v>
      </c>
      <c r="F35" s="6">
        <v>1358.232011642498</v>
      </c>
      <c r="G35" s="6">
        <v>236.710678987145</v>
      </c>
      <c r="H35" s="6">
        <v>683.23551407146454</v>
      </c>
      <c r="I35" s="6">
        <v>129.84726829230786</v>
      </c>
      <c r="J35" s="6">
        <f t="shared" si="0"/>
        <v>3613.879892565195</v>
      </c>
      <c r="L35" s="12">
        <v>0.66666666666666663</v>
      </c>
      <c r="M35" s="9">
        <v>1032.2150173670184</v>
      </c>
      <c r="N35" s="9">
        <v>0</v>
      </c>
      <c r="O35" s="9">
        <v>0</v>
      </c>
      <c r="P35" s="9">
        <v>0</v>
      </c>
      <c r="Q35" s="9">
        <v>3615.5823285007914</v>
      </c>
      <c r="R35" s="9">
        <v>75.407613043082861</v>
      </c>
      <c r="S35" s="9">
        <v>1550.2146276740327</v>
      </c>
      <c r="T35" s="9">
        <v>51.205598314956106</v>
      </c>
      <c r="U35">
        <f t="shared" si="1"/>
        <v>6324.6251848998809</v>
      </c>
    </row>
    <row r="36" spans="1:21" x14ac:dyDescent="0.25">
      <c r="A36" s="12">
        <v>0.6875</v>
      </c>
      <c r="B36" s="6">
        <v>221.76342101278911</v>
      </c>
      <c r="C36" s="6">
        <v>294.97586606186678</v>
      </c>
      <c r="D36" s="6">
        <v>104.57379351642626</v>
      </c>
      <c r="E36" s="6">
        <v>701.46848241524935</v>
      </c>
      <c r="F36" s="6">
        <v>1399.5180839738907</v>
      </c>
      <c r="G36" s="6">
        <v>206.15111058092117</v>
      </c>
      <c r="H36" s="6">
        <v>627.13750332832342</v>
      </c>
      <c r="I36" s="6">
        <v>75.549603536605844</v>
      </c>
      <c r="J36" s="6">
        <f t="shared" si="0"/>
        <v>3631.1378644260726</v>
      </c>
      <c r="L36" s="12">
        <v>0.6875</v>
      </c>
      <c r="M36" s="9">
        <v>1256.9202530335472</v>
      </c>
      <c r="N36" s="9">
        <v>0</v>
      </c>
      <c r="O36" s="9">
        <v>0</v>
      </c>
      <c r="P36" s="9">
        <v>0</v>
      </c>
      <c r="Q36" s="9">
        <v>3628.6294225952047</v>
      </c>
      <c r="R36" s="9">
        <v>66.843438275139448</v>
      </c>
      <c r="S36" s="9">
        <v>1233.1843354435975</v>
      </c>
      <c r="T36" s="9">
        <v>40.731411831631164</v>
      </c>
      <c r="U36">
        <f t="shared" si="1"/>
        <v>6226.30886117912</v>
      </c>
    </row>
    <row r="37" spans="1:21" x14ac:dyDescent="0.25">
      <c r="A37" s="12">
        <v>0.70833333333333337</v>
      </c>
      <c r="B37" s="6">
        <v>328.04127531163743</v>
      </c>
      <c r="C37" s="6">
        <v>274.08760062534475</v>
      </c>
      <c r="D37" s="6">
        <v>105.20306953943003</v>
      </c>
      <c r="E37" s="6">
        <v>699.56800947986017</v>
      </c>
      <c r="F37" s="6">
        <v>1392.8022543712882</v>
      </c>
      <c r="G37" s="6">
        <v>167.65194721639156</v>
      </c>
      <c r="H37" s="6">
        <v>586.85342282474039</v>
      </c>
      <c r="I37" s="6">
        <v>36.423766069412231</v>
      </c>
      <c r="J37" s="6">
        <f t="shared" si="0"/>
        <v>3590.6313454381047</v>
      </c>
      <c r="L37" s="12">
        <v>0.70833333333333337</v>
      </c>
      <c r="M37" s="9">
        <v>1508.1073704809151</v>
      </c>
      <c r="N37" s="9">
        <v>0</v>
      </c>
      <c r="O37" s="9">
        <v>0</v>
      </c>
      <c r="P37" s="9">
        <v>0</v>
      </c>
      <c r="Q37" s="9">
        <v>3701.0081436734117</v>
      </c>
      <c r="R37" s="9">
        <v>59.124539141125936</v>
      </c>
      <c r="S37" s="9">
        <v>985.82810733449378</v>
      </c>
      <c r="T37" s="9">
        <v>32.231789870533561</v>
      </c>
      <c r="U37">
        <f t="shared" si="1"/>
        <v>6286.2999505004791</v>
      </c>
    </row>
    <row r="38" spans="1:21" x14ac:dyDescent="0.25">
      <c r="A38" s="12">
        <v>0.72916666666666663</v>
      </c>
      <c r="B38" s="6">
        <v>419.37371602899435</v>
      </c>
      <c r="C38" s="6">
        <v>233.79520166628052</v>
      </c>
      <c r="D38" s="6">
        <v>96.58721003937049</v>
      </c>
      <c r="E38" s="6">
        <v>667.06933517235097</v>
      </c>
      <c r="F38" s="6">
        <v>1297.7131149568177</v>
      </c>
      <c r="G38" s="6">
        <v>125.54651940917968</v>
      </c>
      <c r="H38" s="6">
        <v>562.59534707999239</v>
      </c>
      <c r="I38" s="6">
        <v>14.229017102718352</v>
      </c>
      <c r="J38" s="6">
        <f t="shared" si="0"/>
        <v>3416.9094614557043</v>
      </c>
      <c r="L38" s="12">
        <v>0.72916666666666663</v>
      </c>
      <c r="M38" s="9">
        <v>1737.1704811903344</v>
      </c>
      <c r="N38" s="9">
        <v>0</v>
      </c>
      <c r="O38" s="9">
        <v>0</v>
      </c>
      <c r="P38" s="9">
        <v>0</v>
      </c>
      <c r="Q38" s="9">
        <v>3758.7800561049271</v>
      </c>
      <c r="R38" s="9">
        <v>51.145810022981593</v>
      </c>
      <c r="S38" s="9">
        <v>788.43359466120023</v>
      </c>
      <c r="T38" s="9">
        <v>24.925206812085481</v>
      </c>
      <c r="U38">
        <f t="shared" si="1"/>
        <v>6360.4551487915296</v>
      </c>
    </row>
    <row r="39" spans="1:21" x14ac:dyDescent="0.25">
      <c r="A39" s="12">
        <v>0.75</v>
      </c>
      <c r="B39" s="6">
        <v>462.90702771430267</v>
      </c>
      <c r="C39" s="6">
        <v>182.75202046475272</v>
      </c>
      <c r="D39" s="6">
        <v>77.564008900548373</v>
      </c>
      <c r="E39" s="6">
        <v>606.46710197054915</v>
      </c>
      <c r="F39" s="6">
        <v>1100.6633607076337</v>
      </c>
      <c r="G39" s="6">
        <v>84.704109703302379</v>
      </c>
      <c r="H39" s="6">
        <v>539.18423283362404</v>
      </c>
      <c r="I39" s="6">
        <v>4.3796567852497095</v>
      </c>
      <c r="J39" s="6">
        <f t="shared" si="0"/>
        <v>3058.621519079963</v>
      </c>
      <c r="L39" s="12">
        <v>0.75</v>
      </c>
      <c r="M39" s="9">
        <v>1890.5929076150092</v>
      </c>
      <c r="N39" s="9">
        <v>0</v>
      </c>
      <c r="O39" s="9">
        <v>0</v>
      </c>
      <c r="P39" s="9">
        <v>0</v>
      </c>
      <c r="Q39" s="9">
        <v>3713.4412413302107</v>
      </c>
      <c r="R39" s="9">
        <v>42.338723777541674</v>
      </c>
      <c r="S39" s="9">
        <v>622.06652401931194</v>
      </c>
      <c r="T39" s="9">
        <v>18.705898657421898</v>
      </c>
      <c r="U39">
        <f t="shared" si="1"/>
        <v>6287.1452953994958</v>
      </c>
    </row>
    <row r="40" spans="1:21" x14ac:dyDescent="0.25">
      <c r="A40" s="12">
        <v>0.77083333333333337</v>
      </c>
      <c r="B40" s="6">
        <v>441.42866941994265</v>
      </c>
      <c r="C40" s="6">
        <v>130.22351483604007</v>
      </c>
      <c r="D40" s="6">
        <v>52.943519236751833</v>
      </c>
      <c r="E40" s="6">
        <v>524.33078549231254</v>
      </c>
      <c r="F40" s="6">
        <v>833.88167136847176</v>
      </c>
      <c r="G40" s="6">
        <v>50.342448310852049</v>
      </c>
      <c r="H40" s="6">
        <v>495.46998244643225</v>
      </c>
      <c r="I40" s="6">
        <v>1.0220418049097062</v>
      </c>
      <c r="J40" s="6">
        <f t="shared" si="0"/>
        <v>2529.642632915713</v>
      </c>
      <c r="L40" s="12">
        <v>0.77083333333333337</v>
      </c>
      <c r="M40" s="9">
        <v>1940.7309647738939</v>
      </c>
      <c r="N40" s="9">
        <v>0</v>
      </c>
      <c r="O40" s="9">
        <v>0</v>
      </c>
      <c r="P40" s="9">
        <v>0</v>
      </c>
      <c r="Q40" s="9">
        <v>3519.4684913948367</v>
      </c>
      <c r="R40" s="9">
        <v>33.090146582783007</v>
      </c>
      <c r="S40" s="9">
        <v>474.80423225062884</v>
      </c>
      <c r="T40" s="9">
        <v>13.665181343999127</v>
      </c>
      <c r="U40">
        <f t="shared" si="1"/>
        <v>5981.7590163461418</v>
      </c>
    </row>
    <row r="41" spans="1:21" x14ac:dyDescent="0.25">
      <c r="A41" s="12">
        <v>0.79166666666666663</v>
      </c>
      <c r="B41" s="6">
        <v>366.03669885500364</v>
      </c>
      <c r="C41" s="6">
        <v>83.680416324861497</v>
      </c>
      <c r="D41" s="6">
        <v>30.124737605945995</v>
      </c>
      <c r="E41" s="6">
        <v>426.0958553416811</v>
      </c>
      <c r="F41" s="6">
        <v>561.89354364751932</v>
      </c>
      <c r="G41" s="6">
        <v>25.823769475817684</v>
      </c>
      <c r="H41" s="6">
        <v>419.30773393559468</v>
      </c>
      <c r="I41" s="6">
        <v>0.19197879076004029</v>
      </c>
      <c r="J41" s="6">
        <f t="shared" si="0"/>
        <v>1913.1547339771837</v>
      </c>
      <c r="L41" s="12">
        <v>0.79166666666666663</v>
      </c>
      <c r="M41" s="9">
        <v>1901.4986819455755</v>
      </c>
      <c r="N41" s="9">
        <v>0</v>
      </c>
      <c r="O41" s="9">
        <v>0</v>
      </c>
      <c r="P41" s="9">
        <v>0</v>
      </c>
      <c r="Q41" s="9">
        <v>3205.1649995473467</v>
      </c>
      <c r="R41" s="9">
        <v>24.535227538048435</v>
      </c>
      <c r="S41" s="9">
        <v>344.9992195425188</v>
      </c>
      <c r="T41" s="9">
        <v>9.7879139036537079</v>
      </c>
      <c r="U41">
        <f t="shared" si="1"/>
        <v>5485.9860424771432</v>
      </c>
    </row>
    <row r="42" spans="1:21" x14ac:dyDescent="0.25">
      <c r="A42" s="12">
        <v>0.8125</v>
      </c>
      <c r="B42" s="6">
        <v>270.10121405953265</v>
      </c>
      <c r="C42" s="6">
        <v>47.867085786384777</v>
      </c>
      <c r="D42" s="6">
        <v>14.053346845149882</v>
      </c>
      <c r="E42" s="6">
        <v>317.85871667176355</v>
      </c>
      <c r="F42" s="6">
        <v>342.60662053503711</v>
      </c>
      <c r="G42" s="6">
        <v>11.211257547140121</v>
      </c>
      <c r="H42" s="6">
        <v>317.46581118273741</v>
      </c>
      <c r="I42" s="6">
        <v>0.2336232054233551</v>
      </c>
      <c r="J42" s="6">
        <f t="shared" si="0"/>
        <v>1321.3976758331689</v>
      </c>
      <c r="L42" s="12">
        <v>0.8125</v>
      </c>
      <c r="M42" s="9">
        <v>1811.6046981382251</v>
      </c>
      <c r="N42" s="9">
        <v>0</v>
      </c>
      <c r="O42" s="9">
        <v>0</v>
      </c>
      <c r="P42" s="9">
        <v>0</v>
      </c>
      <c r="Q42" s="9">
        <v>2846.1275300182219</v>
      </c>
      <c r="R42" s="9">
        <v>17.722865444947896</v>
      </c>
      <c r="S42" s="9">
        <v>237.50475599493939</v>
      </c>
      <c r="T42" s="9">
        <v>6.904849081298396</v>
      </c>
      <c r="U42">
        <f t="shared" si="1"/>
        <v>4919.864698677633</v>
      </c>
    </row>
    <row r="43" spans="1:21" x14ac:dyDescent="0.25">
      <c r="A43" s="12">
        <v>0.83333333333333337</v>
      </c>
      <c r="B43" s="6">
        <v>187.43986804428576</v>
      </c>
      <c r="C43" s="6">
        <v>24.092838207802338</v>
      </c>
      <c r="D43" s="6">
        <v>5.2754256428057147</v>
      </c>
      <c r="E43" s="6">
        <v>211.15034287575784</v>
      </c>
      <c r="F43" s="6">
        <v>198.27988925519963</v>
      </c>
      <c r="G43" s="6">
        <v>4.0300723543167116</v>
      </c>
      <c r="H43" s="6">
        <v>215.2427794712782</v>
      </c>
      <c r="I43" s="6">
        <v>1.2959699016809463</v>
      </c>
      <c r="J43" s="6">
        <f t="shared" si="0"/>
        <v>846.8071857531271</v>
      </c>
      <c r="L43" s="12">
        <v>0.83333333333333337</v>
      </c>
      <c r="M43" s="9">
        <v>1697.9933646349784</v>
      </c>
      <c r="N43" s="9">
        <v>0</v>
      </c>
      <c r="O43" s="9">
        <v>0</v>
      </c>
      <c r="P43" s="9">
        <v>0</v>
      </c>
      <c r="Q43" s="9">
        <v>2502.7058537464786</v>
      </c>
      <c r="R43" s="9">
        <v>12.904978256501519</v>
      </c>
      <c r="S43" s="9">
        <v>156.29121343348052</v>
      </c>
      <c r="T43" s="9">
        <v>4.7834409607236701</v>
      </c>
      <c r="U43">
        <f t="shared" si="1"/>
        <v>4374.678851032163</v>
      </c>
    </row>
    <row r="44" spans="1:21" x14ac:dyDescent="0.25">
      <c r="A44" s="12">
        <v>0.85416666666666663</v>
      </c>
      <c r="B44" s="6">
        <v>132.85005458285374</v>
      </c>
      <c r="C44" s="6">
        <v>10.5696497902308</v>
      </c>
      <c r="D44" s="6">
        <v>1.5537988533919858</v>
      </c>
      <c r="E44" s="6">
        <v>121.43584344765947</v>
      </c>
      <c r="F44" s="6">
        <v>117.22082745435142</v>
      </c>
      <c r="G44" s="6">
        <v>1.1657676637172698</v>
      </c>
      <c r="H44" s="6">
        <v>149.50661034131051</v>
      </c>
      <c r="I44" s="6">
        <v>5.5040946060419085</v>
      </c>
      <c r="J44" s="6">
        <f t="shared" si="0"/>
        <v>539.8066467395571</v>
      </c>
      <c r="L44" s="12">
        <v>0.85416666666666663</v>
      </c>
      <c r="M44" s="9">
        <v>1553.9043132118879</v>
      </c>
      <c r="N44" s="9">
        <v>0</v>
      </c>
      <c r="O44" s="9">
        <v>0</v>
      </c>
      <c r="P44" s="9">
        <v>0</v>
      </c>
      <c r="Q44" s="9">
        <v>2178.3124178181311</v>
      </c>
      <c r="R44" s="9">
        <v>9.562174018469447</v>
      </c>
      <c r="S44" s="9">
        <v>99.964402341291333</v>
      </c>
      <c r="T44" s="9">
        <v>3.2181364240642223</v>
      </c>
      <c r="U44">
        <f t="shared" si="1"/>
        <v>3844.9614438138437</v>
      </c>
    </row>
    <row r="45" spans="1:21" x14ac:dyDescent="0.25">
      <c r="A45" s="12">
        <v>0.875</v>
      </c>
      <c r="B45" s="6">
        <v>100.35295403796344</v>
      </c>
      <c r="C45" s="6">
        <v>4.0027736464250401</v>
      </c>
      <c r="D45" s="6">
        <v>0.34580280409128189</v>
      </c>
      <c r="E45" s="6">
        <v>59.876610797532223</v>
      </c>
      <c r="F45" s="6">
        <v>74.705593951972673</v>
      </c>
      <c r="G45" s="6">
        <v>0.26042650222778319</v>
      </c>
      <c r="H45" s="6">
        <v>162.18780317723753</v>
      </c>
      <c r="I45" s="6">
        <v>17.61310273933411</v>
      </c>
      <c r="J45" s="6">
        <f t="shared" si="0"/>
        <v>419.34506765678412</v>
      </c>
      <c r="L45" s="12">
        <v>0.875</v>
      </c>
      <c r="M45" s="9">
        <v>1353.083253438042</v>
      </c>
      <c r="N45" s="9">
        <v>0</v>
      </c>
      <c r="O45" s="9">
        <v>0</v>
      </c>
      <c r="P45" s="9">
        <v>0</v>
      </c>
      <c r="Q45" s="9">
        <v>1834.7504750229396</v>
      </c>
      <c r="R45" s="9">
        <v>6.9874279624508961</v>
      </c>
      <c r="S45" s="9">
        <v>62.774805330846959</v>
      </c>
      <c r="T45" s="9">
        <v>2.0660373004265828</v>
      </c>
      <c r="U45">
        <f t="shared" si="1"/>
        <v>3259.661999054706</v>
      </c>
    </row>
    <row r="46" spans="1:21" x14ac:dyDescent="0.25">
      <c r="A46" s="12">
        <v>0.89583333333333337</v>
      </c>
      <c r="B46" s="6">
        <v>76.513731165395257</v>
      </c>
      <c r="C46" s="6">
        <v>1.2896922317096486</v>
      </c>
      <c r="D46" s="6">
        <v>5.4681627488756185E-2</v>
      </c>
      <c r="E46" s="6">
        <v>27.364005995851443</v>
      </c>
      <c r="F46" s="6">
        <v>50.716355704289271</v>
      </c>
      <c r="G46" s="6">
        <v>4.2094305276870726E-2</v>
      </c>
      <c r="H46" s="6">
        <v>291.47373329114919</v>
      </c>
      <c r="I46" s="6">
        <v>44.032756848335275</v>
      </c>
      <c r="J46" s="6">
        <f t="shared" si="0"/>
        <v>491.48705116949571</v>
      </c>
      <c r="L46" s="12">
        <v>0.89583333333333337</v>
      </c>
      <c r="M46" s="9">
        <v>1085.6446326988514</v>
      </c>
      <c r="N46" s="9">
        <v>0</v>
      </c>
      <c r="O46" s="9">
        <v>0</v>
      </c>
      <c r="P46" s="9">
        <v>0</v>
      </c>
      <c r="Q46" s="9">
        <v>1444.7418394307515</v>
      </c>
      <c r="R46" s="9">
        <v>4.7899224580232964</v>
      </c>
      <c r="S46" s="9">
        <v>38.33161420481315</v>
      </c>
      <c r="T46" s="9">
        <v>1.238755147529186</v>
      </c>
      <c r="U46">
        <f t="shared" si="1"/>
        <v>2574.7467639399688</v>
      </c>
    </row>
    <row r="47" spans="1:21" x14ac:dyDescent="0.25">
      <c r="A47" s="12">
        <v>0.91666666666666663</v>
      </c>
      <c r="B47" s="6">
        <v>53.606749616524098</v>
      </c>
      <c r="C47" s="6">
        <v>0.34469717807336386</v>
      </c>
      <c r="D47" s="6">
        <v>5.4762812226257333E-3</v>
      </c>
      <c r="E47" s="6">
        <v>16.362336817773059</v>
      </c>
      <c r="F47" s="6">
        <v>34.972269961391333</v>
      </c>
      <c r="G47" s="6">
        <v>4.3718767166137694E-3</v>
      </c>
      <c r="H47" s="6">
        <v>548.3772723946571</v>
      </c>
      <c r="I47" s="6">
        <v>88.06551369667055</v>
      </c>
      <c r="J47" s="6">
        <f t="shared" si="0"/>
        <v>741.73868782302873</v>
      </c>
      <c r="L47" s="12">
        <v>0.91666666666666663</v>
      </c>
      <c r="M47" s="9">
        <v>780.05842655755259</v>
      </c>
      <c r="N47" s="9">
        <v>0</v>
      </c>
      <c r="O47" s="9">
        <v>0</v>
      </c>
      <c r="P47" s="9">
        <v>0</v>
      </c>
      <c r="Q47" s="9">
        <v>1029.0621397413574</v>
      </c>
      <c r="R47" s="9">
        <v>2.9537102548197964</v>
      </c>
      <c r="S47" s="9">
        <v>22.126655728694725</v>
      </c>
      <c r="T47" s="9">
        <v>0.67712977205482716</v>
      </c>
      <c r="U47">
        <f t="shared" si="1"/>
        <v>1834.8780620544792</v>
      </c>
    </row>
    <row r="48" spans="1:21" x14ac:dyDescent="0.25">
      <c r="A48" s="12">
        <v>0.9375</v>
      </c>
      <c r="B48" s="6">
        <v>32.244747898325414</v>
      </c>
      <c r="C48" s="6">
        <v>7.3218142524030888E-2</v>
      </c>
      <c r="D48" s="6">
        <v>2.6116189030361175E-4</v>
      </c>
      <c r="E48" s="6">
        <v>16.844061340001559</v>
      </c>
      <c r="F48" s="6">
        <v>23.745023288278318</v>
      </c>
      <c r="G48" s="6">
        <v>2.1859383583068849E-4</v>
      </c>
      <c r="H48" s="6">
        <v>882.61502484321602</v>
      </c>
      <c r="I48" s="6">
        <v>143.10645975708962</v>
      </c>
      <c r="J48" s="6">
        <f t="shared" si="0"/>
        <v>1098.6290150251612</v>
      </c>
      <c r="L48" s="12">
        <v>0.9375</v>
      </c>
      <c r="M48" s="9">
        <v>491.01217359412414</v>
      </c>
      <c r="N48" s="9">
        <v>0</v>
      </c>
      <c r="O48" s="9">
        <v>0</v>
      </c>
      <c r="P48" s="9">
        <v>0</v>
      </c>
      <c r="Q48" s="9">
        <v>646.46433018427638</v>
      </c>
      <c r="R48" s="9">
        <v>1.5948995730739735</v>
      </c>
      <c r="S48" s="9">
        <v>11.663989039320334</v>
      </c>
      <c r="T48" s="9">
        <v>0.32870615715465723</v>
      </c>
      <c r="U48">
        <f t="shared" si="1"/>
        <v>1151.0640985479492</v>
      </c>
    </row>
    <row r="49" spans="1:21" x14ac:dyDescent="0.25">
      <c r="A49" s="12">
        <v>0.95833333333333337</v>
      </c>
      <c r="B49" s="6">
        <v>16.016999221046486</v>
      </c>
      <c r="C49" s="6">
        <v>1.1518518718782426E-2</v>
      </c>
      <c r="D49" s="6">
        <v>0</v>
      </c>
      <c r="E49" s="6">
        <v>20.546520010692078</v>
      </c>
      <c r="F49" s="6">
        <v>15.715802910206074</v>
      </c>
      <c r="G49" s="6">
        <v>0</v>
      </c>
      <c r="H49" s="6">
        <v>1175.2028288246395</v>
      </c>
      <c r="I49" s="6">
        <v>190.80861300945281</v>
      </c>
      <c r="J49" s="6">
        <f t="shared" si="0"/>
        <v>1418.3022824947557</v>
      </c>
      <c r="L49" s="12">
        <v>0.95833333333333337</v>
      </c>
      <c r="M49" s="9">
        <v>266.39576282047909</v>
      </c>
      <c r="N49" s="9">
        <v>0</v>
      </c>
      <c r="O49" s="9">
        <v>0</v>
      </c>
      <c r="P49" s="9">
        <v>0</v>
      </c>
      <c r="Q49" s="9">
        <v>352.10477102279037</v>
      </c>
      <c r="R49" s="9">
        <v>0.74224482886135024</v>
      </c>
      <c r="S49" s="9">
        <v>5.4385370803292679</v>
      </c>
      <c r="T49" s="9">
        <v>0.13772512307516691</v>
      </c>
      <c r="U49">
        <f t="shared" si="1"/>
        <v>624.81904087553528</v>
      </c>
    </row>
    <row r="50" spans="1:21" x14ac:dyDescent="0.25">
      <c r="A50" s="12">
        <v>0.97916666666666663</v>
      </c>
      <c r="B50" s="6">
        <v>6.3972514872833024</v>
      </c>
      <c r="C50" s="6">
        <v>1.1838331342144015E-3</v>
      </c>
      <c r="D50" s="6">
        <v>0</v>
      </c>
      <c r="E50" s="6">
        <v>22.330237905971902</v>
      </c>
      <c r="F50" s="6">
        <v>10.022251428365708</v>
      </c>
      <c r="G50" s="6">
        <v>0</v>
      </c>
      <c r="H50" s="6">
        <v>1292.5003897743227</v>
      </c>
      <c r="I50" s="6">
        <v>209.88947431039813</v>
      </c>
      <c r="J50" s="6">
        <f t="shared" si="0"/>
        <v>1541.140788739476</v>
      </c>
      <c r="L50" s="12">
        <v>0.97916666666666663</v>
      </c>
      <c r="M50" s="9">
        <v>123.1988949176887</v>
      </c>
      <c r="N50" s="9">
        <v>0</v>
      </c>
      <c r="O50" s="9">
        <v>0</v>
      </c>
      <c r="P50" s="9">
        <v>0</v>
      </c>
      <c r="Q50" s="9">
        <v>164.84452921837789</v>
      </c>
      <c r="R50" s="9">
        <v>0.29514746265860448</v>
      </c>
      <c r="S50" s="9">
        <v>2.180513870363054</v>
      </c>
      <c r="T50" s="9">
        <v>4.8254898661653153E-2</v>
      </c>
      <c r="U50">
        <f t="shared" si="1"/>
        <v>290.56734036774986</v>
      </c>
    </row>
    <row r="51" spans="1:21" x14ac:dyDescent="0.25">
      <c r="A51" s="12">
        <v>1</v>
      </c>
      <c r="B51" s="6">
        <v>1.9987255920189144</v>
      </c>
      <c r="C51" s="6">
        <v>5.9191656710720061E-5</v>
      </c>
      <c r="D51" s="6">
        <v>0</v>
      </c>
      <c r="E51" s="6">
        <v>20.275610609298042</v>
      </c>
      <c r="F51" s="6">
        <v>5.9929488933086397</v>
      </c>
      <c r="G51" s="6">
        <v>0</v>
      </c>
      <c r="H51" s="6">
        <v>1174.9806510030032</v>
      </c>
      <c r="I51" s="6">
        <v>190.80861300945287</v>
      </c>
      <c r="J51" s="6">
        <f t="shared" si="0"/>
        <v>1394.0566082987384</v>
      </c>
      <c r="L51" s="12">
        <v>1</v>
      </c>
      <c r="M51" s="9">
        <v>48.374863803792721</v>
      </c>
      <c r="N51" s="9">
        <v>0</v>
      </c>
      <c r="O51" s="9">
        <v>0</v>
      </c>
      <c r="P51" s="9">
        <v>0</v>
      </c>
      <c r="Q51" s="9">
        <v>66.573909759939724</v>
      </c>
      <c r="R51" s="9">
        <v>0.10004926868717717</v>
      </c>
      <c r="S51" s="9">
        <v>0.7310439305485894</v>
      </c>
      <c r="T51" s="9">
        <v>1.3624322657682458E-2</v>
      </c>
      <c r="U51">
        <f t="shared" si="1"/>
        <v>115.79349108562589</v>
      </c>
    </row>
    <row r="52" spans="1:21" x14ac:dyDescent="0.25">
      <c r="A52" s="12">
        <v>1.0208333333333333</v>
      </c>
      <c r="B52" s="6">
        <v>0.47028837459268569</v>
      </c>
      <c r="C52" s="6">
        <v>0</v>
      </c>
      <c r="D52" s="6">
        <v>0</v>
      </c>
      <c r="E52" s="6">
        <v>15.205633899999562</v>
      </c>
      <c r="F52" s="6">
        <v>3.2358472406864163</v>
      </c>
      <c r="G52" s="6">
        <v>0</v>
      </c>
      <c r="H52" s="6">
        <v>881.23464891672143</v>
      </c>
      <c r="I52" s="6">
        <v>143.10645975708962</v>
      </c>
      <c r="J52" s="6">
        <f t="shared" si="0"/>
        <v>1043.2528781890896</v>
      </c>
      <c r="L52" s="12">
        <v>1.0208333333333333</v>
      </c>
      <c r="M52" s="9">
        <v>16.286693321153756</v>
      </c>
      <c r="N52" s="9">
        <v>0</v>
      </c>
      <c r="O52" s="9">
        <v>0</v>
      </c>
      <c r="P52" s="9">
        <v>0</v>
      </c>
      <c r="Q52" s="9">
        <v>23.756826828298856</v>
      </c>
      <c r="R52" s="9">
        <v>2.9079909672215548E-2</v>
      </c>
      <c r="S52" s="9">
        <v>0.19838404698073525</v>
      </c>
      <c r="T52" s="9">
        <v>2.9563611867476484E-3</v>
      </c>
      <c r="U52">
        <f t="shared" si="1"/>
        <v>40.273940467292306</v>
      </c>
    </row>
    <row r="53" spans="1:21" x14ac:dyDescent="0.25">
      <c r="A53" s="12">
        <v>4.1666666666666664E-2</v>
      </c>
      <c r="B53" s="6">
        <v>7.8381395765447615E-2</v>
      </c>
      <c r="C53" s="6">
        <v>0</v>
      </c>
      <c r="D53" s="6">
        <v>0</v>
      </c>
      <c r="E53" s="6">
        <v>9.3573131692304994</v>
      </c>
      <c r="F53" s="6">
        <v>1.5200758039951323</v>
      </c>
      <c r="G53" s="6">
        <v>0</v>
      </c>
      <c r="H53" s="6">
        <v>542.29824548721319</v>
      </c>
      <c r="I53" s="6">
        <v>88.065513696670536</v>
      </c>
      <c r="J53" s="6">
        <f t="shared" si="0"/>
        <v>641.31952955287488</v>
      </c>
      <c r="L53" s="12">
        <v>4.1666666666666664E-2</v>
      </c>
      <c r="M53" s="9">
        <v>4.8617865666254474</v>
      </c>
      <c r="N53" s="9">
        <v>0</v>
      </c>
      <c r="O53" s="9">
        <v>0</v>
      </c>
      <c r="P53" s="9">
        <v>0</v>
      </c>
      <c r="Q53" s="9">
        <v>7.862904148632321</v>
      </c>
      <c r="R53" s="9">
        <v>7.3471650021899263E-3</v>
      </c>
      <c r="S53" s="9">
        <v>4.1715613026085577E-2</v>
      </c>
      <c r="T53" s="9">
        <v>4.6014785766601563E-4</v>
      </c>
      <c r="U53">
        <f t="shared" si="1"/>
        <v>12.77421364114371</v>
      </c>
    </row>
    <row r="54" spans="1:21" x14ac:dyDescent="0.25">
      <c r="A54" s="12">
        <v>6.25E-2</v>
      </c>
      <c r="B54" s="6">
        <v>8.2506732384681706E-3</v>
      </c>
      <c r="C54" s="6">
        <v>0</v>
      </c>
      <c r="D54" s="6">
        <v>0</v>
      </c>
      <c r="E54" s="6">
        <v>4.6786565846152506</v>
      </c>
      <c r="F54" s="6">
        <v>0.60168367862701411</v>
      </c>
      <c r="G54" s="6">
        <v>0</v>
      </c>
      <c r="H54" s="6">
        <v>271.1491227436066</v>
      </c>
      <c r="I54" s="6">
        <v>44.032756848335268</v>
      </c>
      <c r="J54" s="6">
        <f t="shared" si="0"/>
        <v>320.4704705284226</v>
      </c>
      <c r="L54" s="12">
        <v>6.25E-2</v>
      </c>
      <c r="M54" s="9">
        <v>1.3577832582197034</v>
      </c>
      <c r="N54" s="9">
        <v>0</v>
      </c>
      <c r="O54" s="9">
        <v>0</v>
      </c>
      <c r="P54" s="9">
        <v>0</v>
      </c>
      <c r="Q54" s="9">
        <v>2.5270983565301339</v>
      </c>
      <c r="R54" s="9">
        <v>1.6294027587889059E-3</v>
      </c>
      <c r="S54" s="9">
        <v>6.3598921702800043E-3</v>
      </c>
      <c r="T54" s="9">
        <v>4.5537948608398438E-5</v>
      </c>
      <c r="U54">
        <f t="shared" si="1"/>
        <v>3.8929164476275147</v>
      </c>
    </row>
    <row r="55" spans="1:21" x14ac:dyDescent="0.25">
      <c r="A55" s="12">
        <v>8.3333333333333329E-2</v>
      </c>
      <c r="B55" s="6">
        <v>4.1253366192340853E-4</v>
      </c>
      <c r="C55" s="6">
        <v>0</v>
      </c>
      <c r="D55" s="6">
        <v>0</v>
      </c>
      <c r="E55" s="6">
        <v>1.8714626338461</v>
      </c>
      <c r="F55" s="6">
        <v>0.19495558977127075</v>
      </c>
      <c r="G55" s="6">
        <v>0</v>
      </c>
      <c r="H55" s="6">
        <v>108.45964909744262</v>
      </c>
      <c r="I55" s="6">
        <v>17.613102739334106</v>
      </c>
      <c r="J55" s="6">
        <f t="shared" si="0"/>
        <v>128.13958259405601</v>
      </c>
      <c r="L55" s="12">
        <v>8.3333333333333329E-2</v>
      </c>
      <c r="M55" s="9">
        <v>0.36465494750642918</v>
      </c>
      <c r="N55" s="9">
        <v>0</v>
      </c>
      <c r="O55" s="9">
        <v>0</v>
      </c>
      <c r="P55" s="9">
        <v>0</v>
      </c>
      <c r="Q55" s="9">
        <v>0.77801140870610141</v>
      </c>
      <c r="R55" s="9">
        <v>3.1016419725894467E-4</v>
      </c>
      <c r="S55" s="9">
        <v>6.2406627209911445E-4</v>
      </c>
      <c r="T55" s="9">
        <v>2.1457672119140625E-6</v>
      </c>
      <c r="U55">
        <f t="shared" si="1"/>
        <v>1.1436027324491005</v>
      </c>
    </row>
    <row r="56" spans="1:21" x14ac:dyDescent="0.25">
      <c r="A56" s="12">
        <v>0.10416666666666667</v>
      </c>
      <c r="B56" s="6">
        <v>0</v>
      </c>
      <c r="C56" s="6">
        <v>0</v>
      </c>
      <c r="D56" s="6">
        <v>0</v>
      </c>
      <c r="E56" s="6">
        <v>0.58471136470269025</v>
      </c>
      <c r="F56" s="6">
        <v>5.0123702287673953E-2</v>
      </c>
      <c r="G56" s="6">
        <v>0</v>
      </c>
      <c r="H56" s="6">
        <v>33.886644751548765</v>
      </c>
      <c r="I56" s="6">
        <v>5.5029585700035089</v>
      </c>
      <c r="J56" s="6">
        <f t="shared" si="0"/>
        <v>40.024438388542634</v>
      </c>
      <c r="L56" s="12">
        <v>0.10416666666666667</v>
      </c>
      <c r="M56" s="9">
        <v>8.9434336453633606E-2</v>
      </c>
      <c r="N56" s="9">
        <v>0</v>
      </c>
      <c r="O56" s="9">
        <v>0</v>
      </c>
      <c r="P56" s="9">
        <v>0</v>
      </c>
      <c r="Q56" s="9">
        <v>0.21149959749878083</v>
      </c>
      <c r="R56" s="9">
        <v>4.673004150390625E-5</v>
      </c>
      <c r="S56" s="9">
        <v>2.9535382658915338E-5</v>
      </c>
      <c r="T56" s="9">
        <v>0</v>
      </c>
      <c r="U56">
        <f t="shared" si="1"/>
        <v>0.30101019937657725</v>
      </c>
    </row>
    <row r="57" spans="1:21" x14ac:dyDescent="0.25">
      <c r="A57" s="12">
        <v>0.125</v>
      </c>
      <c r="B57" s="6">
        <v>0</v>
      </c>
      <c r="C57" s="6">
        <v>0</v>
      </c>
      <c r="D57" s="6">
        <v>0</v>
      </c>
      <c r="E57" s="6">
        <v>0.13519337912200929</v>
      </c>
      <c r="F57" s="6">
        <v>9.6994864940643313E-3</v>
      </c>
      <c r="G57" s="6">
        <v>0</v>
      </c>
      <c r="H57" s="6">
        <v>7.8350623703002915</v>
      </c>
      <c r="I57" s="6">
        <v>1.2723603630065918</v>
      </c>
      <c r="J57" s="6">
        <f t="shared" si="0"/>
        <v>9.2523155989229569</v>
      </c>
      <c r="L57" s="12">
        <v>0.125</v>
      </c>
      <c r="M57" s="9">
        <v>1.7750567269454912E-2</v>
      </c>
      <c r="N57" s="9">
        <v>0</v>
      </c>
      <c r="O57" s="9">
        <v>0</v>
      </c>
      <c r="P57" s="9">
        <v>0</v>
      </c>
      <c r="Q57" s="9">
        <v>4.5236740305456061E-2</v>
      </c>
      <c r="R57" s="9">
        <v>4.76837158203125E-6</v>
      </c>
      <c r="S57" s="9">
        <v>0</v>
      </c>
      <c r="T57" s="9">
        <v>0</v>
      </c>
      <c r="U57">
        <f t="shared" si="1"/>
        <v>6.2992075946493004E-2</v>
      </c>
    </row>
    <row r="58" spans="1:21" ht="15.75" thickBot="1" x14ac:dyDescent="0.3">
      <c r="A58" s="13" t="s">
        <v>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f t="shared" si="0"/>
        <v>0</v>
      </c>
      <c r="L58" s="13" t="s">
        <v>6</v>
      </c>
      <c r="M58" s="10">
        <v>0</v>
      </c>
      <c r="N58" s="10">
        <v>0</v>
      </c>
      <c r="O58" s="10">
        <v>0</v>
      </c>
      <c r="P58" s="10">
        <v>0</v>
      </c>
      <c r="Q58" s="10">
        <v>0</v>
      </c>
      <c r="R58" s="10">
        <v>0</v>
      </c>
      <c r="S58" s="10">
        <v>0</v>
      </c>
      <c r="T58" s="10">
        <v>0</v>
      </c>
      <c r="U58" s="1">
        <f t="shared" si="1"/>
        <v>0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58"/>
  <sheetViews>
    <sheetView workbookViewId="0">
      <selection activeCell="A3" sqref="A3"/>
    </sheetView>
  </sheetViews>
  <sheetFormatPr defaultRowHeight="15" x14ac:dyDescent="0.25"/>
  <cols>
    <col min="1" max="1" width="12.7109375" customWidth="1" collapsed="1"/>
    <col min="2" max="10" width="10.7109375" customWidth="1" collapsed="1"/>
    <col min="11" max="11" width="6.42578125" customWidth="1" collapsed="1"/>
    <col min="12" max="12" width="12.7109375" customWidth="1" collapsed="1"/>
    <col min="13" max="21" width="10.7109375" customWidth="1" collapsed="1"/>
  </cols>
  <sheetData>
    <row r="1" spans="1:26" x14ac:dyDescent="0.25">
      <c r="A1" t="s">
        <v>29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53</v>
      </c>
      <c r="B6" s="1"/>
      <c r="C6" s="1"/>
      <c r="D6" s="1"/>
      <c r="E6" s="1"/>
      <c r="F6" s="1"/>
      <c r="G6" s="1"/>
      <c r="H6" s="1"/>
      <c r="I6" s="1"/>
      <c r="J6" s="1"/>
      <c r="L6" s="3" t="s">
        <v>28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>
        <v>0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f>SUM(B8:I8)</f>
        <v>0</v>
      </c>
      <c r="L8" t="s">
        <v>5</v>
      </c>
      <c r="M8" s="9">
        <v>3611.609661126583</v>
      </c>
      <c r="N8" s="9">
        <v>754.58180667665329</v>
      </c>
      <c r="O8" s="9">
        <v>454.49095981984686</v>
      </c>
      <c r="P8" s="9">
        <v>1064.0737662786175</v>
      </c>
      <c r="Q8" s="9">
        <v>493.49806048309483</v>
      </c>
      <c r="R8" s="9">
        <v>257.6729803395308</v>
      </c>
      <c r="S8" s="9">
        <v>1026.5993350501283</v>
      </c>
      <c r="T8" s="9">
        <v>415.11083473159653</v>
      </c>
      <c r="U8">
        <f>SUM(M8:T8)</f>
        <v>8077.637404506052</v>
      </c>
      <c r="W8" s="5"/>
      <c r="X8" s="16"/>
      <c r="Y8" s="16"/>
      <c r="Z8" s="5"/>
    </row>
    <row r="9" spans="1:26" x14ac:dyDescent="0.25">
      <c r="A9" s="12">
        <v>0.125</v>
      </c>
      <c r="B9" s="6">
        <v>766.08668766847472</v>
      </c>
      <c r="C9" s="6">
        <v>172.15825041838099</v>
      </c>
      <c r="D9" s="6">
        <v>79.596097965826829</v>
      </c>
      <c r="E9" s="6">
        <v>321.97951758052955</v>
      </c>
      <c r="F9" s="6">
        <v>43.803588308684397</v>
      </c>
      <c r="G9" s="6">
        <v>4.877309799194336E-4</v>
      </c>
      <c r="H9" s="6">
        <v>222.94884768342973</v>
      </c>
      <c r="I9" s="6">
        <v>71.261539470672602</v>
      </c>
      <c r="J9" s="6">
        <f t="shared" ref="J9:J58" si="0">SUM(B9:I9)</f>
        <v>1677.8350168269787</v>
      </c>
      <c r="L9" s="12">
        <v>0.125</v>
      </c>
      <c r="M9" s="9">
        <v>4001.1134158632713</v>
      </c>
      <c r="N9" s="9">
        <v>773.15734645579028</v>
      </c>
      <c r="O9" s="9">
        <v>723.553538341641</v>
      </c>
      <c r="P9" s="9">
        <v>1276.6139480864115</v>
      </c>
      <c r="Q9" s="9">
        <v>365.16695169865216</v>
      </c>
      <c r="R9" s="9">
        <v>206.60983725388871</v>
      </c>
      <c r="S9" s="9">
        <v>1036.6256789418155</v>
      </c>
      <c r="T9" s="9">
        <v>544.76950469422627</v>
      </c>
      <c r="U9">
        <f t="shared" ref="U9:U58" si="1">SUM(M9:T9)</f>
        <v>8927.6102213356971</v>
      </c>
      <c r="W9" s="5"/>
      <c r="X9" s="16"/>
      <c r="Y9" s="16"/>
      <c r="Z9" s="5"/>
    </row>
    <row r="10" spans="1:26" x14ac:dyDescent="0.25">
      <c r="A10" s="12">
        <v>0.14583333333333334</v>
      </c>
      <c r="B10" s="6">
        <v>1602.0883520287696</v>
      </c>
      <c r="C10" s="6">
        <v>322.16234452121239</v>
      </c>
      <c r="D10" s="6">
        <v>186.20505196979289</v>
      </c>
      <c r="E10" s="6">
        <v>667.64147012951355</v>
      </c>
      <c r="F10" s="6">
        <v>89.180788931773549</v>
      </c>
      <c r="G10" s="6">
        <v>1.1217751497606275E-2</v>
      </c>
      <c r="H10" s="6">
        <v>410.81527891278267</v>
      </c>
      <c r="I10" s="6">
        <v>148.51731208622456</v>
      </c>
      <c r="J10" s="6">
        <f t="shared" si="0"/>
        <v>3426.6218163315662</v>
      </c>
      <c r="L10" s="12">
        <v>0.14583333333333334</v>
      </c>
      <c r="M10" s="9">
        <v>4196.1785310876439</v>
      </c>
      <c r="N10" s="9">
        <v>794.78956477345412</v>
      </c>
      <c r="O10" s="9">
        <v>971.7124627715026</v>
      </c>
      <c r="P10" s="9">
        <v>1474.4007068729322</v>
      </c>
      <c r="Q10" s="9">
        <v>255.12936944955274</v>
      </c>
      <c r="R10" s="9">
        <v>163.59549575095772</v>
      </c>
      <c r="S10" s="9">
        <v>1009.0377339600202</v>
      </c>
      <c r="T10" s="9">
        <v>641.93475646757599</v>
      </c>
      <c r="U10">
        <f t="shared" si="1"/>
        <v>9506.7786211336388</v>
      </c>
      <c r="W10" s="5"/>
      <c r="X10" s="16"/>
      <c r="Y10" s="16"/>
      <c r="Z10" s="5"/>
    </row>
    <row r="11" spans="1:26" x14ac:dyDescent="0.25">
      <c r="A11" s="12">
        <v>0.16666666666666666</v>
      </c>
      <c r="B11" s="6">
        <v>2578.9092421636878</v>
      </c>
      <c r="C11" s="6">
        <v>471.28968838108943</v>
      </c>
      <c r="D11" s="6">
        <v>360.14017738613512</v>
      </c>
      <c r="E11" s="6">
        <v>1081.5753075278901</v>
      </c>
      <c r="F11" s="6">
        <v>136.77925592862374</v>
      </c>
      <c r="G11" s="6">
        <v>0.12193152416904449</v>
      </c>
      <c r="H11" s="6">
        <v>531.56827431988722</v>
      </c>
      <c r="I11" s="6">
        <v>233.89970362353324</v>
      </c>
      <c r="J11" s="6">
        <f t="shared" si="0"/>
        <v>5394.2835808550162</v>
      </c>
      <c r="L11" s="12">
        <v>0.16666666666666666</v>
      </c>
      <c r="M11" s="9">
        <v>4209.8334508673834</v>
      </c>
      <c r="N11" s="9">
        <v>848.90351886899509</v>
      </c>
      <c r="O11" s="9">
        <v>1238.1129293902427</v>
      </c>
      <c r="P11" s="9">
        <v>1717.7391543312542</v>
      </c>
      <c r="Q11" s="9">
        <v>177.77190621549153</v>
      </c>
      <c r="R11" s="9">
        <v>135.64750294783681</v>
      </c>
      <c r="S11" s="9">
        <v>965.23304106447063</v>
      </c>
      <c r="T11" s="9">
        <v>725.34155653364621</v>
      </c>
      <c r="U11">
        <f t="shared" si="1"/>
        <v>10018.583060219318</v>
      </c>
      <c r="W11" s="5"/>
      <c r="X11" s="16"/>
      <c r="Y11" s="16"/>
      <c r="Z11" s="5"/>
    </row>
    <row r="12" spans="1:26" x14ac:dyDescent="0.25">
      <c r="A12" s="12">
        <v>0.1875</v>
      </c>
      <c r="B12" s="6">
        <v>3777.5783622664812</v>
      </c>
      <c r="C12" s="6">
        <v>700.53647266487292</v>
      </c>
      <c r="D12" s="6">
        <v>660.7614418595108</v>
      </c>
      <c r="E12" s="6">
        <v>1661.4073840060878</v>
      </c>
      <c r="F12" s="6">
        <v>188.52439447763112</v>
      </c>
      <c r="G12" s="6">
        <v>0.83417517321325296</v>
      </c>
      <c r="H12" s="6">
        <v>575.96176553881173</v>
      </c>
      <c r="I12" s="6">
        <v>339.66962238037576</v>
      </c>
      <c r="J12" s="6">
        <f t="shared" si="0"/>
        <v>7905.2736183669849</v>
      </c>
      <c r="L12" s="12">
        <v>0.1875</v>
      </c>
      <c r="M12" s="9">
        <v>4286.9819752960848</v>
      </c>
      <c r="N12" s="9">
        <v>1001.341819136596</v>
      </c>
      <c r="O12" s="9">
        <v>1647.3181038340381</v>
      </c>
      <c r="P12" s="9">
        <v>2173.084149344817</v>
      </c>
      <c r="Q12" s="9">
        <v>141.51799062827865</v>
      </c>
      <c r="R12" s="9">
        <v>127.63935527826222</v>
      </c>
      <c r="S12" s="9">
        <v>991.61204736867478</v>
      </c>
      <c r="T12" s="9">
        <v>878.12184868751115</v>
      </c>
      <c r="U12">
        <f t="shared" si="1"/>
        <v>11247.617289574266</v>
      </c>
      <c r="W12" s="5"/>
      <c r="X12" s="5"/>
      <c r="Y12" s="5"/>
      <c r="Z12" s="5"/>
    </row>
    <row r="13" spans="1:26" x14ac:dyDescent="0.25">
      <c r="A13" s="12">
        <v>0.20833333333333334</v>
      </c>
      <c r="B13" s="6">
        <v>5296.2498104153183</v>
      </c>
      <c r="C13" s="6">
        <v>1131.5369534384731</v>
      </c>
      <c r="D13" s="6">
        <v>1167.2187620484697</v>
      </c>
      <c r="E13" s="6">
        <v>2598.1769646998982</v>
      </c>
      <c r="F13" s="6">
        <v>253.10065781153369</v>
      </c>
      <c r="G13" s="6">
        <v>4.0343628678928001</v>
      </c>
      <c r="H13" s="6">
        <v>584.32799062550077</v>
      </c>
      <c r="I13" s="6">
        <v>520.91429049801809</v>
      </c>
      <c r="J13" s="6">
        <f t="shared" si="0"/>
        <v>11555.559792405105</v>
      </c>
      <c r="L13" s="12">
        <v>0.20833333333333334</v>
      </c>
      <c r="M13" s="9">
        <v>4738.093951064373</v>
      </c>
      <c r="N13" s="9">
        <v>1342.080000181732</v>
      </c>
      <c r="O13" s="9">
        <v>2387.6554092072765</v>
      </c>
      <c r="P13" s="9">
        <v>3085.1201636443852</v>
      </c>
      <c r="Q13" s="9">
        <v>149.44445039899873</v>
      </c>
      <c r="R13" s="9">
        <v>141.31287861384641</v>
      </c>
      <c r="S13" s="9">
        <v>1192.9428306224333</v>
      </c>
      <c r="T13" s="9">
        <v>1219.6554414806637</v>
      </c>
      <c r="U13">
        <f t="shared" si="1"/>
        <v>14256.305125213707</v>
      </c>
    </row>
    <row r="14" spans="1:26" x14ac:dyDescent="0.25">
      <c r="A14" s="12">
        <v>0.22916666666666666</v>
      </c>
      <c r="B14" s="6">
        <v>7228.1435258512211</v>
      </c>
      <c r="C14" s="6">
        <v>1884.1708862077112</v>
      </c>
      <c r="D14" s="6">
        <v>1984.1891533190405</v>
      </c>
      <c r="E14" s="6">
        <v>4197.9467319386422</v>
      </c>
      <c r="F14" s="6">
        <v>349.68588831936722</v>
      </c>
      <c r="G14" s="6">
        <v>14.682833993573315</v>
      </c>
      <c r="H14" s="6">
        <v>654.4210478166342</v>
      </c>
      <c r="I14" s="6">
        <v>906.12400652039037</v>
      </c>
      <c r="J14" s="6">
        <f t="shared" si="0"/>
        <v>17219.364073966579</v>
      </c>
      <c r="L14" s="12">
        <v>0.22916666666666666</v>
      </c>
      <c r="M14" s="9">
        <v>5730.9547187181433</v>
      </c>
      <c r="N14" s="9">
        <v>1957.6134845401671</v>
      </c>
      <c r="O14" s="9">
        <v>3657.9132063575157</v>
      </c>
      <c r="P14" s="9">
        <v>4710.2053918383299</v>
      </c>
      <c r="Q14" s="9">
        <v>201.75620304495914</v>
      </c>
      <c r="R14" s="9">
        <v>174.93336934543478</v>
      </c>
      <c r="S14" s="9">
        <v>1636.1964384130456</v>
      </c>
      <c r="T14" s="9">
        <v>1862.7380895152414</v>
      </c>
      <c r="U14">
        <f t="shared" si="1"/>
        <v>19932.310901772835</v>
      </c>
    </row>
    <row r="15" spans="1:26" x14ac:dyDescent="0.25">
      <c r="A15" s="12">
        <v>0.25</v>
      </c>
      <c r="B15" s="6">
        <v>9595.2722696615183</v>
      </c>
      <c r="C15" s="6">
        <v>3030.4540028852789</v>
      </c>
      <c r="D15" s="6">
        <v>3254.6946102461484</v>
      </c>
      <c r="E15" s="6">
        <v>6834.9575014851016</v>
      </c>
      <c r="F15" s="6">
        <v>502.2724895238178</v>
      </c>
      <c r="G15" s="6">
        <v>41.789068370436901</v>
      </c>
      <c r="H15" s="6">
        <v>915.81314615035046</v>
      </c>
      <c r="I15" s="6">
        <v>1693.8035764247177</v>
      </c>
      <c r="J15" s="6">
        <f t="shared" si="0"/>
        <v>25869.056664747368</v>
      </c>
      <c r="L15" s="12">
        <v>0.25</v>
      </c>
      <c r="M15" s="9">
        <v>7189.4193460804618</v>
      </c>
      <c r="N15" s="9">
        <v>2902.1463284395877</v>
      </c>
      <c r="O15" s="9">
        <v>5610.7891925310969</v>
      </c>
      <c r="P15" s="9">
        <v>7247.5243176025515</v>
      </c>
      <c r="Q15" s="9">
        <v>298.0469097202199</v>
      </c>
      <c r="R15" s="9">
        <v>224.01745857130555</v>
      </c>
      <c r="S15" s="9">
        <v>2321.4836869938272</v>
      </c>
      <c r="T15" s="9">
        <v>2881.2840016240693</v>
      </c>
      <c r="U15">
        <f t="shared" si="1"/>
        <v>28674.71124156312</v>
      </c>
    </row>
    <row r="16" spans="1:26" x14ac:dyDescent="0.25">
      <c r="A16" s="12">
        <v>0.27083333333333331</v>
      </c>
      <c r="B16" s="6">
        <v>12264.910587907389</v>
      </c>
      <c r="C16" s="6">
        <v>4560.6352408496077</v>
      </c>
      <c r="D16" s="6">
        <v>5161.432064415214</v>
      </c>
      <c r="E16" s="6">
        <v>10792.949847318037</v>
      </c>
      <c r="F16" s="6">
        <v>723.08788381441855</v>
      </c>
      <c r="G16" s="6">
        <v>95.428674880607232</v>
      </c>
      <c r="H16" s="6">
        <v>1476.2581774004695</v>
      </c>
      <c r="I16" s="6">
        <v>3091.0273577276462</v>
      </c>
      <c r="J16" s="6">
        <f t="shared" si="0"/>
        <v>38165.729834313388</v>
      </c>
      <c r="L16" s="12">
        <v>0.27083333333333331</v>
      </c>
      <c r="M16" s="9">
        <v>8840.5547075198374</v>
      </c>
      <c r="N16" s="9">
        <v>4179.0832185600075</v>
      </c>
      <c r="O16" s="9">
        <v>8312.1209693671808</v>
      </c>
      <c r="P16" s="9">
        <v>10791.133970568408</v>
      </c>
      <c r="Q16" s="9">
        <v>437.33700865323965</v>
      </c>
      <c r="R16" s="9">
        <v>282.90216743675592</v>
      </c>
      <c r="S16" s="9">
        <v>3186.4353069381887</v>
      </c>
      <c r="T16" s="9">
        <v>4294.1690743278414</v>
      </c>
      <c r="U16">
        <f t="shared" si="1"/>
        <v>40323.736423371462</v>
      </c>
    </row>
    <row r="17" spans="1:21" x14ac:dyDescent="0.25">
      <c r="A17" s="12">
        <v>0.29166666666666669</v>
      </c>
      <c r="B17" s="6">
        <v>14913.784373250663</v>
      </c>
      <c r="C17" s="6">
        <v>6371.1998859389987</v>
      </c>
      <c r="D17" s="6">
        <v>7883.265074359756</v>
      </c>
      <c r="E17" s="6">
        <v>16024.501431562592</v>
      </c>
      <c r="F17" s="6">
        <v>996.19356586023105</v>
      </c>
      <c r="G17" s="6">
        <v>178.09788178068598</v>
      </c>
      <c r="H17" s="6">
        <v>2357.4344143775697</v>
      </c>
      <c r="I17" s="6">
        <v>5197.7761386424299</v>
      </c>
      <c r="J17" s="6">
        <f t="shared" si="0"/>
        <v>53922.252765772922</v>
      </c>
      <c r="L17" s="12">
        <v>0.29166666666666669</v>
      </c>
      <c r="M17" s="9">
        <v>10352.265042203049</v>
      </c>
      <c r="N17" s="9">
        <v>5735.06343530706</v>
      </c>
      <c r="O17" s="9">
        <v>11714.687810746011</v>
      </c>
      <c r="P17" s="9">
        <v>15298.429947619654</v>
      </c>
      <c r="Q17" s="9">
        <v>615.41191257590413</v>
      </c>
      <c r="R17" s="9">
        <v>346.23167863908174</v>
      </c>
      <c r="S17" s="9">
        <v>4131.8708395939339</v>
      </c>
      <c r="T17" s="9">
        <v>6057.9659859611047</v>
      </c>
      <c r="U17">
        <f t="shared" si="1"/>
        <v>54251.926652645794</v>
      </c>
    </row>
    <row r="18" spans="1:21" x14ac:dyDescent="0.25">
      <c r="A18" s="12">
        <v>0.3125</v>
      </c>
      <c r="B18" s="6">
        <v>17099.078686117973</v>
      </c>
      <c r="C18" s="6">
        <v>8279.9505557304346</v>
      </c>
      <c r="D18" s="6">
        <v>11486.897667894165</v>
      </c>
      <c r="E18" s="6">
        <v>21984.47122443952</v>
      </c>
      <c r="F18" s="6">
        <v>1277.4813606108542</v>
      </c>
      <c r="G18" s="6">
        <v>275.75839647052612</v>
      </c>
      <c r="H18" s="6">
        <v>3449.7146002385612</v>
      </c>
      <c r="I18" s="6">
        <v>7886.0987600156059</v>
      </c>
      <c r="J18" s="6">
        <f t="shared" si="0"/>
        <v>71739.451251517632</v>
      </c>
      <c r="L18" s="12">
        <v>0.3125</v>
      </c>
      <c r="M18" s="9">
        <v>11468.171043093873</v>
      </c>
      <c r="N18" s="9">
        <v>7461.6737086100648</v>
      </c>
      <c r="O18" s="9">
        <v>15636.808004334491</v>
      </c>
      <c r="P18" s="9">
        <v>20558.252626886042</v>
      </c>
      <c r="Q18" s="9">
        <v>821.20276211253599</v>
      </c>
      <c r="R18" s="9">
        <v>409.59421983871368</v>
      </c>
      <c r="S18" s="9">
        <v>5053.1638992407052</v>
      </c>
      <c r="T18" s="9">
        <v>8062.9004819836618</v>
      </c>
      <c r="U18">
        <f t="shared" si="1"/>
        <v>69471.766746100082</v>
      </c>
    </row>
    <row r="19" spans="1:21" x14ac:dyDescent="0.25">
      <c r="A19" s="12">
        <v>0.33333333333333331</v>
      </c>
      <c r="B19" s="6">
        <v>18434.714383709834</v>
      </c>
      <c r="C19" s="6">
        <v>10068.025035994171</v>
      </c>
      <c r="D19" s="6">
        <v>15787.244193347688</v>
      </c>
      <c r="E19" s="6">
        <v>27742.631260339556</v>
      </c>
      <c r="F19" s="6">
        <v>1516.0380999127301</v>
      </c>
      <c r="G19" s="6">
        <v>360.01573521477633</v>
      </c>
      <c r="H19" s="6">
        <v>4525.5501012128589</v>
      </c>
      <c r="I19" s="6">
        <v>10761.943898174879</v>
      </c>
      <c r="J19" s="6">
        <f t="shared" si="0"/>
        <v>89196.162707906507</v>
      </c>
      <c r="L19" s="12">
        <v>0.33333333333333331</v>
      </c>
      <c r="M19" s="9">
        <v>12071.699532886818</v>
      </c>
      <c r="N19" s="9">
        <v>9202.3111980324556</v>
      </c>
      <c r="O19" s="9">
        <v>19750.468652534924</v>
      </c>
      <c r="P19" s="9">
        <v>26163.061722400023</v>
      </c>
      <c r="Q19" s="9">
        <v>1035.2727453387586</v>
      </c>
      <c r="R19" s="9">
        <v>469.52827745920933</v>
      </c>
      <c r="S19" s="9">
        <v>5863.6425779380734</v>
      </c>
      <c r="T19" s="9">
        <v>10135.237448136764</v>
      </c>
      <c r="U19">
        <f t="shared" si="1"/>
        <v>84691.222154727031</v>
      </c>
    </row>
    <row r="20" spans="1:21" x14ac:dyDescent="0.25">
      <c r="A20" s="12">
        <v>0.35416666666666669</v>
      </c>
      <c r="B20" s="6">
        <v>18785.022281449757</v>
      </c>
      <c r="C20" s="6">
        <v>11538.226042793967</v>
      </c>
      <c r="D20" s="6">
        <v>20279.255339810625</v>
      </c>
      <c r="E20" s="6">
        <v>32404.419430581009</v>
      </c>
      <c r="F20" s="6">
        <v>1684.0663298390011</v>
      </c>
      <c r="G20" s="6">
        <v>406.57807160902632</v>
      </c>
      <c r="H20" s="6">
        <v>5329.0199591627115</v>
      </c>
      <c r="I20" s="6">
        <v>13277.788323826313</v>
      </c>
      <c r="J20" s="6">
        <f t="shared" si="0"/>
        <v>103704.37577907242</v>
      </c>
      <c r="L20" s="12">
        <v>0.35416666666666669</v>
      </c>
      <c r="M20" s="9">
        <v>12170.740099042589</v>
      </c>
      <c r="N20" s="9">
        <v>10770.116199858256</v>
      </c>
      <c r="O20" s="9">
        <v>23605.716375071592</v>
      </c>
      <c r="P20" s="9">
        <v>31525.709132420729</v>
      </c>
      <c r="Q20" s="9">
        <v>1232.4609727669126</v>
      </c>
      <c r="R20" s="9">
        <v>523.78508531508453</v>
      </c>
      <c r="S20" s="9">
        <v>6504.0411231364851</v>
      </c>
      <c r="T20" s="9">
        <v>12056.277032715894</v>
      </c>
      <c r="U20">
        <f t="shared" si="1"/>
        <v>98388.846020327546</v>
      </c>
    </row>
    <row r="21" spans="1:21" x14ac:dyDescent="0.25">
      <c r="A21" s="12">
        <v>0.375</v>
      </c>
      <c r="B21" s="6">
        <v>18342.334876314573</v>
      </c>
      <c r="C21" s="6">
        <v>12567.070391963623</v>
      </c>
      <c r="D21" s="6">
        <v>24250.471514927125</v>
      </c>
      <c r="E21" s="6">
        <v>35554.744372412009</v>
      </c>
      <c r="F21" s="6">
        <v>1794.800233315651</v>
      </c>
      <c r="G21" s="6">
        <v>417.37036722747791</v>
      </c>
      <c r="H21" s="6">
        <v>5699.2631812558175</v>
      </c>
      <c r="I21" s="6">
        <v>14961.882990049719</v>
      </c>
      <c r="J21" s="6">
        <f t="shared" si="0"/>
        <v>113587.937927466</v>
      </c>
      <c r="L21" s="12">
        <v>0.375</v>
      </c>
      <c r="M21" s="9">
        <v>11846.247903365009</v>
      </c>
      <c r="N21" s="9">
        <v>11984.724630200662</v>
      </c>
      <c r="O21" s="9">
        <v>26717.397389187383</v>
      </c>
      <c r="P21" s="9">
        <v>35986.615511759723</v>
      </c>
      <c r="Q21" s="9">
        <v>1388.0231077413314</v>
      </c>
      <c r="R21" s="9">
        <v>572.26303141639255</v>
      </c>
      <c r="S21" s="9">
        <v>6944.5656105487224</v>
      </c>
      <c r="T21" s="9">
        <v>13605.861096993598</v>
      </c>
      <c r="U21">
        <f t="shared" si="1"/>
        <v>109045.69828121284</v>
      </c>
    </row>
    <row r="22" spans="1:21" x14ac:dyDescent="0.25">
      <c r="A22" s="12">
        <v>0.39583333333333331</v>
      </c>
      <c r="B22" s="6">
        <v>17513.211296415837</v>
      </c>
      <c r="C22" s="6">
        <v>13128.645041456211</v>
      </c>
      <c r="D22" s="6">
        <v>27066.362993851209</v>
      </c>
      <c r="E22" s="6">
        <v>37344.015422180441</v>
      </c>
      <c r="F22" s="6">
        <v>1894.3871227729055</v>
      </c>
      <c r="G22" s="6">
        <v>423.85237239429227</v>
      </c>
      <c r="H22" s="6">
        <v>5643.7839853678952</v>
      </c>
      <c r="I22" s="6">
        <v>15620.410640140293</v>
      </c>
      <c r="J22" s="6">
        <f t="shared" si="0"/>
        <v>118634.66887457909</v>
      </c>
      <c r="L22" s="12">
        <v>0.39583333333333331</v>
      </c>
      <c r="M22" s="9">
        <v>11215.180012105011</v>
      </c>
      <c r="N22" s="9">
        <v>12723.246156998992</v>
      </c>
      <c r="O22" s="9">
        <v>28704.625193501139</v>
      </c>
      <c r="P22" s="9">
        <v>39006.24773058173</v>
      </c>
      <c r="Q22" s="9">
        <v>1484.7287380957291</v>
      </c>
      <c r="R22" s="9">
        <v>618.00204391800196</v>
      </c>
      <c r="S22" s="9">
        <v>7190.8544987223104</v>
      </c>
      <c r="T22" s="9">
        <v>14623.955347114716</v>
      </c>
      <c r="U22">
        <f t="shared" si="1"/>
        <v>115566.83972103763</v>
      </c>
    </row>
    <row r="23" spans="1:21" x14ac:dyDescent="0.25">
      <c r="A23" s="12">
        <v>0.41666666666666669</v>
      </c>
      <c r="B23" s="6">
        <v>16678.882674768076</v>
      </c>
      <c r="C23" s="6">
        <v>13287.083018046416</v>
      </c>
      <c r="D23" s="6">
        <v>28459.757367656021</v>
      </c>
      <c r="E23" s="6">
        <v>38162.280246398666</v>
      </c>
      <c r="F23" s="6">
        <v>2029.2640786606221</v>
      </c>
      <c r="G23" s="6">
        <v>462.92766503129599</v>
      </c>
      <c r="H23" s="6">
        <v>5312.6544699212318</v>
      </c>
      <c r="I23" s="6">
        <v>15374.653948754429</v>
      </c>
      <c r="J23" s="6">
        <f t="shared" si="0"/>
        <v>119767.50346923675</v>
      </c>
      <c r="L23" s="12">
        <v>0.41666666666666669</v>
      </c>
      <c r="M23" s="9">
        <v>10422.16588054294</v>
      </c>
      <c r="N23" s="9">
        <v>12963.895097327806</v>
      </c>
      <c r="O23" s="9">
        <v>29426.001661685132</v>
      </c>
      <c r="P23" s="9">
        <v>40363.391362732858</v>
      </c>
      <c r="Q23" s="9">
        <v>1518.5465536868783</v>
      </c>
      <c r="R23" s="9">
        <v>667.2206315726155</v>
      </c>
      <c r="S23" s="9">
        <v>7294.0390703965404</v>
      </c>
      <c r="T23" s="9">
        <v>15065.282698055711</v>
      </c>
      <c r="U23">
        <f t="shared" si="1"/>
        <v>117720.54295600048</v>
      </c>
    </row>
    <row r="24" spans="1:21" x14ac:dyDescent="0.25">
      <c r="A24" s="12">
        <v>0.4375</v>
      </c>
      <c r="B24" s="6">
        <v>16000.179407309732</v>
      </c>
      <c r="C24" s="6">
        <v>13172.975019193662</v>
      </c>
      <c r="D24" s="6">
        <v>28627.703196183211</v>
      </c>
      <c r="E24" s="6">
        <v>38272.916303806567</v>
      </c>
      <c r="F24" s="6">
        <v>2209.7068786790514</v>
      </c>
      <c r="G24" s="6">
        <v>543.28990213278757</v>
      </c>
      <c r="H24" s="6">
        <v>4908.7750648152833</v>
      </c>
      <c r="I24" s="6">
        <v>14529.75015522146</v>
      </c>
      <c r="J24" s="6">
        <f t="shared" si="0"/>
        <v>118265.29592734177</v>
      </c>
      <c r="L24" s="12">
        <v>0.4375</v>
      </c>
      <c r="M24" s="9">
        <v>9637.1724185106505</v>
      </c>
      <c r="N24" s="9">
        <v>12797.185673388412</v>
      </c>
      <c r="O24" s="9">
        <v>29036.295720738941</v>
      </c>
      <c r="P24" s="9">
        <v>40248.641248981294</v>
      </c>
      <c r="Q24" s="9">
        <v>1501.2592599972943</v>
      </c>
      <c r="R24" s="9">
        <v>727.98915519183299</v>
      </c>
      <c r="S24" s="9">
        <v>7350.7816145373363</v>
      </c>
      <c r="T24" s="9">
        <v>15015.832886323136</v>
      </c>
      <c r="U24">
        <f t="shared" si="1"/>
        <v>116315.15797766889</v>
      </c>
    </row>
    <row r="25" spans="1:21" x14ac:dyDescent="0.25">
      <c r="A25" s="12">
        <v>0.45833333333333331</v>
      </c>
      <c r="B25" s="6">
        <v>15405.195686751695</v>
      </c>
      <c r="C25" s="6">
        <v>12957.540096557488</v>
      </c>
      <c r="D25" s="6">
        <v>28083.90660104161</v>
      </c>
      <c r="E25" s="6">
        <v>37782.86714115378</v>
      </c>
      <c r="F25" s="6">
        <v>2400.6465192055311</v>
      </c>
      <c r="G25" s="6">
        <v>632.12924391966453</v>
      </c>
      <c r="H25" s="6">
        <v>4608.4944645915039</v>
      </c>
      <c r="I25" s="6">
        <v>13400.817503190516</v>
      </c>
      <c r="J25" s="6">
        <f t="shared" si="0"/>
        <v>115271.5972564118</v>
      </c>
      <c r="L25" s="12">
        <v>0.45833333333333331</v>
      </c>
      <c r="M25" s="9">
        <v>9034.1447164655074</v>
      </c>
      <c r="N25" s="9">
        <v>12395.019961715458</v>
      </c>
      <c r="O25" s="9">
        <v>27923.95401290456</v>
      </c>
      <c r="P25" s="9">
        <v>39188.109577873576</v>
      </c>
      <c r="Q25" s="9">
        <v>1458.4141875229386</v>
      </c>
      <c r="R25" s="9">
        <v>808.06335706897426</v>
      </c>
      <c r="S25" s="9">
        <v>7480.7066675329079</v>
      </c>
      <c r="T25" s="9">
        <v>14656.825316160275</v>
      </c>
      <c r="U25">
        <f t="shared" si="1"/>
        <v>112945.23779724419</v>
      </c>
    </row>
    <row r="26" spans="1:21" x14ac:dyDescent="0.25">
      <c r="A26" s="12">
        <v>0.47916666666666669</v>
      </c>
      <c r="B26" s="6">
        <v>14756.33734297055</v>
      </c>
      <c r="C26" s="6">
        <v>12824.245625667292</v>
      </c>
      <c r="D26" s="6">
        <v>27372.471650103842</v>
      </c>
      <c r="E26" s="6">
        <v>36898.078207524843</v>
      </c>
      <c r="F26" s="6">
        <v>2554.1322391012382</v>
      </c>
      <c r="G26" s="6">
        <v>676.98964815142051</v>
      </c>
      <c r="H26" s="6">
        <v>4524.6601350989349</v>
      </c>
      <c r="I26" s="6">
        <v>12223.226438002228</v>
      </c>
      <c r="J26" s="6">
        <f t="shared" si="0"/>
        <v>111830.14128662033</v>
      </c>
      <c r="L26" s="12">
        <v>0.47916666666666669</v>
      </c>
      <c r="M26" s="9">
        <v>8751.9926628263838</v>
      </c>
      <c r="N26" s="9">
        <v>11949.577181291201</v>
      </c>
      <c r="O26" s="9">
        <v>26553.361012685345</v>
      </c>
      <c r="P26" s="9">
        <v>37823.42254680286</v>
      </c>
      <c r="Q26" s="9">
        <v>1421.7982179019687</v>
      </c>
      <c r="R26" s="9">
        <v>912.73969707530159</v>
      </c>
      <c r="S26" s="9">
        <v>7786.5664713889155</v>
      </c>
      <c r="T26" s="9">
        <v>14191.935830886039</v>
      </c>
      <c r="U26">
        <f t="shared" si="1"/>
        <v>109391.39362085801</v>
      </c>
    </row>
    <row r="27" spans="1:21" x14ac:dyDescent="0.25">
      <c r="A27" s="12">
        <v>0.5</v>
      </c>
      <c r="B27" s="6">
        <v>14060.292351801731</v>
      </c>
      <c r="C27" s="6">
        <v>12932.523501845526</v>
      </c>
      <c r="D27" s="6">
        <v>26797.092293671627</v>
      </c>
      <c r="E27" s="6">
        <v>36082.60578699824</v>
      </c>
      <c r="F27" s="6">
        <v>2657.6264760081144</v>
      </c>
      <c r="G27" s="6">
        <v>648.16947006222972</v>
      </c>
      <c r="H27" s="6">
        <v>4692.9473305542469</v>
      </c>
      <c r="I27" s="6">
        <v>11168.975265144109</v>
      </c>
      <c r="J27" s="6">
        <f t="shared" si="0"/>
        <v>109040.23247608583</v>
      </c>
      <c r="L27" s="12">
        <v>0.5</v>
      </c>
      <c r="M27" s="9">
        <v>8861.2955941092441</v>
      </c>
      <c r="N27" s="9">
        <v>11607.55253684568</v>
      </c>
      <c r="O27" s="9">
        <v>25288.948945272823</v>
      </c>
      <c r="P27" s="9">
        <v>36652.913615049045</v>
      </c>
      <c r="Q27" s="9">
        <v>1418.4468154891226</v>
      </c>
      <c r="R27" s="9">
        <v>1043.3173119622581</v>
      </c>
      <c r="S27" s="9">
        <v>8318.2419371056076</v>
      </c>
      <c r="T27" s="9">
        <v>13774.471732052269</v>
      </c>
      <c r="U27">
        <f t="shared" si="1"/>
        <v>106965.18848788604</v>
      </c>
    </row>
    <row r="28" spans="1:21" x14ac:dyDescent="0.25">
      <c r="A28" s="12">
        <v>0.52083333333333337</v>
      </c>
      <c r="B28" s="6">
        <v>13556.874224875286</v>
      </c>
      <c r="C28" s="6">
        <v>13376.230896066103</v>
      </c>
      <c r="D28" s="6">
        <v>26302.108941837876</v>
      </c>
      <c r="E28" s="6">
        <v>35876.547549491894</v>
      </c>
      <c r="F28" s="6">
        <v>2748.6030253917343</v>
      </c>
      <c r="G28" s="6">
        <v>568.67443287491449</v>
      </c>
      <c r="H28" s="6">
        <v>5071.6546520632501</v>
      </c>
      <c r="I28" s="6">
        <v>10393.48257485652</v>
      </c>
      <c r="J28" s="6">
        <f t="shared" si="0"/>
        <v>107894.17629745758</v>
      </c>
      <c r="L28" s="12">
        <v>0.52083333333333337</v>
      </c>
      <c r="M28" s="9">
        <v>9358.689356375995</v>
      </c>
      <c r="N28" s="9">
        <v>11427.892619489934</v>
      </c>
      <c r="O28" s="9">
        <v>24288.435647206526</v>
      </c>
      <c r="P28" s="9">
        <v>35865.175554122659</v>
      </c>
      <c r="Q28" s="9">
        <v>1461.3561716373388</v>
      </c>
      <c r="R28" s="9">
        <v>1196.6847894702942</v>
      </c>
      <c r="S28" s="9">
        <v>9060.8897146037343</v>
      </c>
      <c r="T28" s="9">
        <v>13468.260993751563</v>
      </c>
      <c r="U28">
        <f t="shared" si="1"/>
        <v>106127.38484665805</v>
      </c>
    </row>
    <row r="29" spans="1:21" x14ac:dyDescent="0.25">
      <c r="A29" s="12">
        <v>0.54166666666666663</v>
      </c>
      <c r="B29" s="6">
        <v>13616.802030641284</v>
      </c>
      <c r="C29" s="6">
        <v>14146.429022271555</v>
      </c>
      <c r="D29" s="6">
        <v>25585.84098511278</v>
      </c>
      <c r="E29" s="6">
        <v>36514.932016652558</v>
      </c>
      <c r="F29" s="6">
        <v>2874.3097454892809</v>
      </c>
      <c r="G29" s="6">
        <v>507.40978448140044</v>
      </c>
      <c r="H29" s="6">
        <v>5578.0743164554824</v>
      </c>
      <c r="I29" s="6">
        <v>10025.529484843613</v>
      </c>
      <c r="J29" s="6">
        <f t="shared" si="0"/>
        <v>108849.32738594795</v>
      </c>
      <c r="L29" s="12">
        <v>0.54166666666666663</v>
      </c>
      <c r="M29" s="9">
        <v>10194.698415832234</v>
      </c>
      <c r="N29" s="9">
        <v>11383.152243833119</v>
      </c>
      <c r="O29" s="9">
        <v>23513.023037313695</v>
      </c>
      <c r="P29" s="9">
        <v>35351.591256181971</v>
      </c>
      <c r="Q29" s="9">
        <v>1547.3319089625411</v>
      </c>
      <c r="R29" s="9">
        <v>1366.9208837035276</v>
      </c>
      <c r="S29" s="9">
        <v>9953.7266939494275</v>
      </c>
      <c r="T29" s="9">
        <v>13255.142327423362</v>
      </c>
      <c r="U29">
        <f t="shared" si="1"/>
        <v>106565.58676719989</v>
      </c>
    </row>
    <row r="30" spans="1:21" x14ac:dyDescent="0.25">
      <c r="A30" s="12">
        <v>0.5625</v>
      </c>
      <c r="B30" s="6">
        <v>14529.529343465323</v>
      </c>
      <c r="C30" s="6">
        <v>15109.17222461587</v>
      </c>
      <c r="D30" s="6">
        <v>24380.404595252941</v>
      </c>
      <c r="E30" s="6">
        <v>37695.528529670097</v>
      </c>
      <c r="F30" s="6">
        <v>3034.2601795441806</v>
      </c>
      <c r="G30" s="6">
        <v>539.36736896152956</v>
      </c>
      <c r="H30" s="6">
        <v>6168.6980257697105</v>
      </c>
      <c r="I30" s="6">
        <v>10087.263293624523</v>
      </c>
      <c r="J30" s="6">
        <f t="shared" si="0"/>
        <v>111544.22356090417</v>
      </c>
      <c r="L30" s="12">
        <v>0.5625</v>
      </c>
      <c r="M30" s="9">
        <v>11325.036879023995</v>
      </c>
      <c r="N30" s="9">
        <v>11404.021664601732</v>
      </c>
      <c r="O30" s="9">
        <v>22832.535188827929</v>
      </c>
      <c r="P30" s="9">
        <v>34878.778220909575</v>
      </c>
      <c r="Q30" s="9">
        <v>1663.6164322358854</v>
      </c>
      <c r="R30" s="9">
        <v>1549.4297145916892</v>
      </c>
      <c r="S30" s="9">
        <v>10930.05277745083</v>
      </c>
      <c r="T30" s="9">
        <v>13078.589426085162</v>
      </c>
      <c r="U30">
        <f t="shared" si="1"/>
        <v>107662.0603037268</v>
      </c>
    </row>
    <row r="31" spans="1:21" x14ac:dyDescent="0.25">
      <c r="A31" s="12">
        <v>0.58333333333333337</v>
      </c>
      <c r="B31" s="6">
        <v>16357.572987822037</v>
      </c>
      <c r="C31" s="6">
        <v>16016.550213981602</v>
      </c>
      <c r="D31" s="6">
        <v>22675.914046050013</v>
      </c>
      <c r="E31" s="6">
        <v>38715.924645624378</v>
      </c>
      <c r="F31" s="6">
        <v>3166.8168638736979</v>
      </c>
      <c r="G31" s="6">
        <v>699.72283145867732</v>
      </c>
      <c r="H31" s="6">
        <v>6917.2498277852537</v>
      </c>
      <c r="I31" s="6">
        <v>10426.749692762733</v>
      </c>
      <c r="J31" s="6">
        <f t="shared" si="0"/>
        <v>114976.5011093584</v>
      </c>
      <c r="L31" s="12">
        <v>0.58333333333333337</v>
      </c>
      <c r="M31" s="9">
        <v>12763.980457087186</v>
      </c>
      <c r="N31" s="9">
        <v>11439.701609553405</v>
      </c>
      <c r="O31" s="9">
        <v>22145.751589214949</v>
      </c>
      <c r="P31" s="9">
        <v>34295.176702589815</v>
      </c>
      <c r="Q31" s="9">
        <v>1799.2103024939533</v>
      </c>
      <c r="R31" s="9">
        <v>1745.9382381844396</v>
      </c>
      <c r="S31" s="9">
        <v>11956.437027359534</v>
      </c>
      <c r="T31" s="9">
        <v>12896.570397667423</v>
      </c>
      <c r="U31">
        <f t="shared" si="1"/>
        <v>109042.76632415071</v>
      </c>
    </row>
    <row r="32" spans="1:21" x14ac:dyDescent="0.25">
      <c r="A32" s="12">
        <v>0.60416666666666663</v>
      </c>
      <c r="B32" s="6">
        <v>18987.230941043159</v>
      </c>
      <c r="C32" s="6">
        <v>16580.373466357385</v>
      </c>
      <c r="D32" s="6">
        <v>20709.697754357487</v>
      </c>
      <c r="E32" s="6">
        <v>38899.813001634247</v>
      </c>
      <c r="F32" s="6">
        <v>3198.9784667351996</v>
      </c>
      <c r="G32" s="6">
        <v>960.98196805265911</v>
      </c>
      <c r="H32" s="6">
        <v>8023.1806607035396</v>
      </c>
      <c r="I32" s="6">
        <v>10768.50652409041</v>
      </c>
      <c r="J32" s="6">
        <f t="shared" si="0"/>
        <v>118128.7627829741</v>
      </c>
      <c r="L32" s="12">
        <v>0.60416666666666663</v>
      </c>
      <c r="M32" s="9">
        <v>14611.579770576793</v>
      </c>
      <c r="N32" s="9">
        <v>11493.800567062595</v>
      </c>
      <c r="O32" s="9">
        <v>21434.782924099047</v>
      </c>
      <c r="P32" s="9">
        <v>33624.758275286993</v>
      </c>
      <c r="Q32" s="9">
        <v>1953.0123283112164</v>
      </c>
      <c r="R32" s="9">
        <v>1966.0282867262385</v>
      </c>
      <c r="S32" s="9">
        <v>13043.794310008101</v>
      </c>
      <c r="T32" s="9">
        <v>12711.040334503678</v>
      </c>
      <c r="U32">
        <f t="shared" si="1"/>
        <v>110838.79679657466</v>
      </c>
    </row>
    <row r="33" spans="1:21" x14ac:dyDescent="0.25">
      <c r="A33" s="12">
        <v>0.625</v>
      </c>
      <c r="B33" s="6">
        <v>22336.780474497529</v>
      </c>
      <c r="C33" s="6">
        <v>16614.139738097754</v>
      </c>
      <c r="D33" s="6">
        <v>18779.349986702782</v>
      </c>
      <c r="E33" s="6">
        <v>38011.186275358341</v>
      </c>
      <c r="F33" s="6">
        <v>3114.9388162806613</v>
      </c>
      <c r="G33" s="6">
        <v>1247.1742697001591</v>
      </c>
      <c r="H33" s="6">
        <v>9720.7958325778236</v>
      </c>
      <c r="I33" s="6">
        <v>10890.149649451017</v>
      </c>
      <c r="J33" s="6">
        <f t="shared" si="0"/>
        <v>120714.51504266608</v>
      </c>
      <c r="L33" s="12">
        <v>0.625</v>
      </c>
      <c r="M33" s="9">
        <v>17033.334847902086</v>
      </c>
      <c r="N33" s="9">
        <v>11612.628723031012</v>
      </c>
      <c r="O33" s="9">
        <v>20732.482391439949</v>
      </c>
      <c r="P33" s="9">
        <v>32994.894956964788</v>
      </c>
      <c r="Q33" s="9">
        <v>2132.4103770479433</v>
      </c>
      <c r="R33" s="9">
        <v>2221.4813531920336</v>
      </c>
      <c r="S33" s="9">
        <v>14216.309408017738</v>
      </c>
      <c r="T33" s="9">
        <v>12553.815130323823</v>
      </c>
      <c r="U33">
        <f t="shared" si="1"/>
        <v>113497.35718791939</v>
      </c>
    </row>
    <row r="34" spans="1:21" x14ac:dyDescent="0.25">
      <c r="A34" s="12">
        <v>0.64583333333333337</v>
      </c>
      <c r="B34" s="6">
        <v>26524.330755892002</v>
      </c>
      <c r="C34" s="6">
        <v>16170.688266538133</v>
      </c>
      <c r="D34" s="6">
        <v>17086.867027045933</v>
      </c>
      <c r="E34" s="6">
        <v>36375.3299962932</v>
      </c>
      <c r="F34" s="6">
        <v>2981.350612098066</v>
      </c>
      <c r="G34" s="6">
        <v>1476.8703771838764</v>
      </c>
      <c r="H34" s="6">
        <v>12123.58676344621</v>
      </c>
      <c r="I34" s="6">
        <v>10790.489957421423</v>
      </c>
      <c r="J34" s="6">
        <f t="shared" si="0"/>
        <v>123529.51375591883</v>
      </c>
      <c r="L34" s="12">
        <v>0.64583333333333337</v>
      </c>
      <c r="M34" s="9">
        <v>20195.685196536626</v>
      </c>
      <c r="N34" s="9">
        <v>11839.747218118149</v>
      </c>
      <c r="O34" s="9">
        <v>20053.658426337915</v>
      </c>
      <c r="P34" s="9">
        <v>32481.24775019275</v>
      </c>
      <c r="Q34" s="9">
        <v>2343.0337160358313</v>
      </c>
      <c r="R34" s="9">
        <v>2515.2864917989496</v>
      </c>
      <c r="S34" s="9">
        <v>15457.525061598544</v>
      </c>
      <c r="T34" s="9">
        <v>12441.159391760326</v>
      </c>
      <c r="U34">
        <f t="shared" si="1"/>
        <v>117327.3432523791</v>
      </c>
    </row>
    <row r="35" spans="1:21" x14ac:dyDescent="0.25">
      <c r="A35" s="12">
        <v>0.66666666666666663</v>
      </c>
      <c r="B35" s="6">
        <v>31796.103420771509</v>
      </c>
      <c r="C35" s="6">
        <v>15543.465031142214</v>
      </c>
      <c r="D35" s="6">
        <v>15716.199576301311</v>
      </c>
      <c r="E35" s="6">
        <v>34647.753100968388</v>
      </c>
      <c r="F35" s="6">
        <v>2907.812311702372</v>
      </c>
      <c r="G35" s="6">
        <v>1606.8673954694095</v>
      </c>
      <c r="H35" s="6">
        <v>15084.523798426746</v>
      </c>
      <c r="I35" s="6">
        <v>10680.303506165623</v>
      </c>
      <c r="J35" s="6">
        <f t="shared" si="0"/>
        <v>127983.02814094757</v>
      </c>
      <c r="L35" s="12">
        <v>0.66666666666666663</v>
      </c>
      <c r="M35" s="9">
        <v>24180.803447301856</v>
      </c>
      <c r="N35" s="9">
        <v>12173.738976091165</v>
      </c>
      <c r="O35" s="9">
        <v>19358.991182553902</v>
      </c>
      <c r="P35" s="9">
        <v>32009.812857686215</v>
      </c>
      <c r="Q35" s="9">
        <v>2577.938296027959</v>
      </c>
      <c r="R35" s="9">
        <v>2832.7677364205829</v>
      </c>
      <c r="S35" s="9">
        <v>16677.173172697523</v>
      </c>
      <c r="T35" s="9">
        <v>12338.617803894729</v>
      </c>
      <c r="U35">
        <f t="shared" si="1"/>
        <v>122149.84347267395</v>
      </c>
    </row>
    <row r="36" spans="1:21" x14ac:dyDescent="0.25">
      <c r="A36" s="12">
        <v>0.6875</v>
      </c>
      <c r="B36" s="6">
        <v>38196.928055398435</v>
      </c>
      <c r="C36" s="6">
        <v>15070.446797514634</v>
      </c>
      <c r="D36" s="6">
        <v>14670.977071639903</v>
      </c>
      <c r="E36" s="6">
        <v>33396.514737761026</v>
      </c>
      <c r="F36" s="6">
        <v>2974.287096794741</v>
      </c>
      <c r="G36" s="6">
        <v>1645.3863023482027</v>
      </c>
      <c r="H36" s="6">
        <v>18153.201239319562</v>
      </c>
      <c r="I36" s="6">
        <v>10769.881873004913</v>
      </c>
      <c r="J36" s="6">
        <f t="shared" si="0"/>
        <v>134877.62317378141</v>
      </c>
      <c r="L36" s="12">
        <v>0.6875</v>
      </c>
      <c r="M36" s="9">
        <v>28896.31837789253</v>
      </c>
      <c r="N36" s="9">
        <v>12553.59031711908</v>
      </c>
      <c r="O36" s="9">
        <v>18571.382593431739</v>
      </c>
      <c r="P36" s="9">
        <v>31383.529692213029</v>
      </c>
      <c r="Q36" s="9">
        <v>2814.8263991692929</v>
      </c>
      <c r="R36" s="9">
        <v>3140.631765824824</v>
      </c>
      <c r="S36" s="9">
        <v>17723.390817885112</v>
      </c>
      <c r="T36" s="9">
        <v>12168.010614429637</v>
      </c>
      <c r="U36">
        <f t="shared" si="1"/>
        <v>127251.68057796525</v>
      </c>
    </row>
    <row r="37" spans="1:21" x14ac:dyDescent="0.25">
      <c r="A37" s="12">
        <v>0.70833333333333337</v>
      </c>
      <c r="B37" s="6">
        <v>45190.136302145278</v>
      </c>
      <c r="C37" s="6">
        <v>14863.531412846667</v>
      </c>
      <c r="D37" s="6">
        <v>13879.107916014647</v>
      </c>
      <c r="E37" s="6">
        <v>32743.373147109844</v>
      </c>
      <c r="F37" s="6">
        <v>3177.4109792305512</v>
      </c>
      <c r="G37" s="6">
        <v>1627.7846473341313</v>
      </c>
      <c r="H37" s="6">
        <v>20668.516588420032</v>
      </c>
      <c r="I37" s="6">
        <v>11026.453987664225</v>
      </c>
      <c r="J37" s="6">
        <f t="shared" si="0"/>
        <v>143176.31498076537</v>
      </c>
      <c r="L37" s="12">
        <v>0.70833333333333337</v>
      </c>
      <c r="M37" s="9">
        <v>33989.082577351292</v>
      </c>
      <c r="N37" s="9">
        <v>12867.603037440163</v>
      </c>
      <c r="O37" s="9">
        <v>17608.385938273983</v>
      </c>
      <c r="P37" s="9">
        <v>30379.857918453283</v>
      </c>
      <c r="Q37" s="9">
        <v>3022.0481726764697</v>
      </c>
      <c r="R37" s="9">
        <v>3392.6610856215998</v>
      </c>
      <c r="S37" s="9">
        <v>18421.735914717246</v>
      </c>
      <c r="T37" s="9">
        <v>11844.902717099474</v>
      </c>
      <c r="U37">
        <f t="shared" si="1"/>
        <v>131526.27736163349</v>
      </c>
    </row>
    <row r="38" spans="1:21" x14ac:dyDescent="0.25">
      <c r="A38" s="12">
        <v>0.72916666666666663</v>
      </c>
      <c r="B38" s="6">
        <v>51527.195570536074</v>
      </c>
      <c r="C38" s="6">
        <v>14694.54872721195</v>
      </c>
      <c r="D38" s="6">
        <v>13172.722066318938</v>
      </c>
      <c r="E38" s="6">
        <v>32262.006023137983</v>
      </c>
      <c r="F38" s="6">
        <v>3427.9878749248746</v>
      </c>
      <c r="G38" s="6">
        <v>1581.369010949973</v>
      </c>
      <c r="H38" s="6">
        <v>21967.645741896271</v>
      </c>
      <c r="I38" s="6">
        <v>11126.41481052959</v>
      </c>
      <c r="J38" s="6">
        <f t="shared" si="0"/>
        <v>149759.88982550564</v>
      </c>
      <c r="L38" s="12">
        <v>0.72916666666666663</v>
      </c>
      <c r="M38" s="9">
        <v>38814.557016646002</v>
      </c>
      <c r="N38" s="9">
        <v>12975.450420633391</v>
      </c>
      <c r="O38" s="9">
        <v>16398.437740835012</v>
      </c>
      <c r="P38" s="9">
        <v>28830.366809373347</v>
      </c>
      <c r="Q38" s="9">
        <v>3167.5420831922274</v>
      </c>
      <c r="R38" s="9">
        <v>3538.7583415083227</v>
      </c>
      <c r="S38" s="9">
        <v>18613.380931582855</v>
      </c>
      <c r="T38" s="9">
        <v>11310.050142052767</v>
      </c>
      <c r="U38">
        <f t="shared" si="1"/>
        <v>133648.5434858239</v>
      </c>
    </row>
    <row r="39" spans="1:21" x14ac:dyDescent="0.25">
      <c r="A39" s="12">
        <v>0.75</v>
      </c>
      <c r="B39" s="6">
        <v>55556.58543633089</v>
      </c>
      <c r="C39" s="6">
        <v>14153.130908454559</v>
      </c>
      <c r="D39" s="6">
        <v>12310.039482051558</v>
      </c>
      <c r="E39" s="6">
        <v>31208.367088670864</v>
      </c>
      <c r="F39" s="6">
        <v>3595.8395693842458</v>
      </c>
      <c r="G39" s="6">
        <v>1512.6170414489191</v>
      </c>
      <c r="H39" s="6">
        <v>21635.747139778494</v>
      </c>
      <c r="I39" s="6">
        <v>10662.601206848145</v>
      </c>
      <c r="J39" s="6">
        <f t="shared" si="0"/>
        <v>150634.92787296767</v>
      </c>
      <c r="L39" s="12">
        <v>0.75</v>
      </c>
      <c r="M39" s="9">
        <v>42555.593606517774</v>
      </c>
      <c r="N39" s="9">
        <v>12747.660305098996</v>
      </c>
      <c r="O39" s="9">
        <v>14895.165195198409</v>
      </c>
      <c r="P39" s="9">
        <v>26661.752348475602</v>
      </c>
      <c r="Q39" s="9">
        <v>3226.7248384446252</v>
      </c>
      <c r="R39" s="9">
        <v>3538.6051337340859</v>
      </c>
      <c r="S39" s="9">
        <v>18194.791744730086</v>
      </c>
      <c r="T39" s="9">
        <v>10540.530273900395</v>
      </c>
      <c r="U39">
        <f t="shared" si="1"/>
        <v>132360.82344609997</v>
      </c>
    </row>
    <row r="40" spans="1:21" x14ac:dyDescent="0.25">
      <c r="A40" s="12">
        <v>0.77083333333333337</v>
      </c>
      <c r="B40" s="6">
        <v>55894.898074658231</v>
      </c>
      <c r="C40" s="6">
        <v>12948.8052743772</v>
      </c>
      <c r="D40" s="6">
        <v>11070.065769393252</v>
      </c>
      <c r="E40" s="6">
        <v>28966.107208804522</v>
      </c>
      <c r="F40" s="6">
        <v>3572.6553515290188</v>
      </c>
      <c r="G40" s="6">
        <v>1421.4347271997965</v>
      </c>
      <c r="H40" s="6">
        <v>19679.489869833469</v>
      </c>
      <c r="I40" s="6">
        <v>9436.8143196738965</v>
      </c>
      <c r="J40" s="6">
        <f t="shared" si="0"/>
        <v>142990.2705954694</v>
      </c>
      <c r="L40" s="12">
        <v>0.77083333333333337</v>
      </c>
      <c r="M40" s="9">
        <v>44504.757376329988</v>
      </c>
      <c r="N40" s="9">
        <v>12121.106506610029</v>
      </c>
      <c r="O40" s="9">
        <v>13111.978698671788</v>
      </c>
      <c r="P40" s="9">
        <v>23927.791219810097</v>
      </c>
      <c r="Q40" s="9">
        <v>3189.1286696883881</v>
      </c>
      <c r="R40" s="9">
        <v>3379.7783952301043</v>
      </c>
      <c r="S40" s="9">
        <v>17165.283552267028</v>
      </c>
      <c r="T40" s="9">
        <v>9554.5285312483247</v>
      </c>
      <c r="U40">
        <f t="shared" si="1"/>
        <v>126954.35294985576</v>
      </c>
    </row>
    <row r="41" spans="1:21" x14ac:dyDescent="0.25">
      <c r="A41" s="12">
        <v>0.79166666666666663</v>
      </c>
      <c r="B41" s="6">
        <v>52101.956603261366</v>
      </c>
      <c r="C41" s="6">
        <v>11109.304015558948</v>
      </c>
      <c r="D41" s="6">
        <v>9380.7277919228709</v>
      </c>
      <c r="E41" s="6">
        <v>25419.045703168544</v>
      </c>
      <c r="F41" s="6">
        <v>3319.5762532192375</v>
      </c>
      <c r="G41" s="6">
        <v>1318.2442568432418</v>
      </c>
      <c r="H41" s="6">
        <v>16522.813785096645</v>
      </c>
      <c r="I41" s="6">
        <v>7597.7092410274745</v>
      </c>
      <c r="J41" s="6">
        <f t="shared" si="0"/>
        <v>126769.37765009834</v>
      </c>
      <c r="L41" s="12">
        <v>0.79166666666666663</v>
      </c>
      <c r="M41" s="9">
        <v>44344.725415101668</v>
      </c>
      <c r="N41" s="9">
        <v>11135.698262408845</v>
      </c>
      <c r="O41" s="9">
        <v>11150.934029295131</v>
      </c>
      <c r="P41" s="9">
        <v>20821.249230070447</v>
      </c>
      <c r="Q41" s="9">
        <v>3061.0895246866739</v>
      </c>
      <c r="R41" s="9">
        <v>3088.9446734400649</v>
      </c>
      <c r="S41" s="9">
        <v>15648.13680073481</v>
      </c>
      <c r="T41" s="9">
        <v>8414.7228582503867</v>
      </c>
      <c r="U41">
        <f t="shared" si="1"/>
        <v>117665.50079398802</v>
      </c>
    </row>
    <row r="42" spans="1:21" x14ac:dyDescent="0.25">
      <c r="A42" s="12">
        <v>0.8125</v>
      </c>
      <c r="B42" s="6">
        <v>44924.934425160835</v>
      </c>
      <c r="C42" s="6">
        <v>8941.1223969004532</v>
      </c>
      <c r="D42" s="6">
        <v>7391.5933312454126</v>
      </c>
      <c r="E42" s="6">
        <v>20997.111953438885</v>
      </c>
      <c r="F42" s="6">
        <v>2878.2584026229342</v>
      </c>
      <c r="G42" s="6">
        <v>1223.165503049082</v>
      </c>
      <c r="H42" s="6">
        <v>12822.31931095278</v>
      </c>
      <c r="I42" s="6">
        <v>5536.1443181890245</v>
      </c>
      <c r="J42" s="6">
        <f t="shared" si="0"/>
        <v>104714.6496415594</v>
      </c>
      <c r="L42" s="12">
        <v>0.8125</v>
      </c>
      <c r="M42" s="9">
        <v>42205.354560950225</v>
      </c>
      <c r="N42" s="9">
        <v>9910.9702943405555</v>
      </c>
      <c r="O42" s="9">
        <v>9176.9864681608542</v>
      </c>
      <c r="P42" s="9">
        <v>17616.158946215102</v>
      </c>
      <c r="Q42" s="9">
        <v>2859.4935936388392</v>
      </c>
      <c r="R42" s="9">
        <v>2721.4646520306883</v>
      </c>
      <c r="S42" s="9">
        <v>13841.628892318739</v>
      </c>
      <c r="T42" s="9">
        <v>7213.6062739167992</v>
      </c>
      <c r="U42">
        <f t="shared" si="1"/>
        <v>105545.66368157179</v>
      </c>
    </row>
    <row r="43" spans="1:21" x14ac:dyDescent="0.25">
      <c r="A43" s="12">
        <v>0.83333333333333337</v>
      </c>
      <c r="B43" s="6">
        <v>35940.751862377059</v>
      </c>
      <c r="C43" s="6">
        <v>6828.0586617176687</v>
      </c>
      <c r="D43" s="6">
        <v>5415.9215114932522</v>
      </c>
      <c r="E43" s="6">
        <v>16401.907057488494</v>
      </c>
      <c r="F43" s="6">
        <v>2343.3747132440885</v>
      </c>
      <c r="G43" s="6">
        <v>1150.4055959222051</v>
      </c>
      <c r="H43" s="6">
        <v>9216.3833018207552</v>
      </c>
      <c r="I43" s="6">
        <v>3656.6461487942929</v>
      </c>
      <c r="J43" s="6">
        <f t="shared" si="0"/>
        <v>80953.448852857808</v>
      </c>
      <c r="L43" s="12">
        <v>0.83333333333333337</v>
      </c>
      <c r="M43" s="9">
        <v>38470.852318925798</v>
      </c>
      <c r="N43" s="9">
        <v>8573.3657729578208</v>
      </c>
      <c r="O43" s="9">
        <v>7341.9504545941991</v>
      </c>
      <c r="P43" s="9">
        <v>14549.579968575112</v>
      </c>
      <c r="Q43" s="9">
        <v>2599.258477450579</v>
      </c>
      <c r="R43" s="9">
        <v>2332.186193079855</v>
      </c>
      <c r="S43" s="9">
        <v>11922.363851657021</v>
      </c>
      <c r="T43" s="9">
        <v>6036.1265794981928</v>
      </c>
      <c r="U43">
        <f t="shared" si="1"/>
        <v>91825.683616738577</v>
      </c>
    </row>
    <row r="44" spans="1:21" x14ac:dyDescent="0.25">
      <c r="A44" s="12">
        <v>0.85416666666666663</v>
      </c>
      <c r="B44" s="6">
        <v>26853.353950501183</v>
      </c>
      <c r="C44" s="6">
        <v>5042.5557065802695</v>
      </c>
      <c r="D44" s="6">
        <v>3761.4505756336903</v>
      </c>
      <c r="E44" s="6">
        <v>12251.767280310884</v>
      </c>
      <c r="F44" s="6">
        <v>1814.6610053526174</v>
      </c>
      <c r="G44" s="6">
        <v>1094.1255796523228</v>
      </c>
      <c r="H44" s="6">
        <v>6146.4800978665353</v>
      </c>
      <c r="I44" s="6">
        <v>2204.4671253017186</v>
      </c>
      <c r="J44" s="6">
        <f t="shared" si="0"/>
        <v>59168.86132119922</v>
      </c>
      <c r="L44" s="12">
        <v>0.85416666666666663</v>
      </c>
      <c r="M44" s="9">
        <v>33551.872648942095</v>
      </c>
      <c r="N44" s="9">
        <v>7198.9063858349018</v>
      </c>
      <c r="O44" s="9">
        <v>5723.5853020660234</v>
      </c>
      <c r="P44" s="9">
        <v>11735.693450678387</v>
      </c>
      <c r="Q44" s="9">
        <v>2286.863150556057</v>
      </c>
      <c r="R44" s="9">
        <v>1950.7584199578166</v>
      </c>
      <c r="S44" s="9">
        <v>9984.4175143849407</v>
      </c>
      <c r="T44" s="9">
        <v>4927.5079078077852</v>
      </c>
      <c r="U44">
        <f t="shared" si="1"/>
        <v>77359.604780228008</v>
      </c>
    </row>
    <row r="45" spans="1:21" x14ac:dyDescent="0.25">
      <c r="A45" s="12">
        <v>0.875</v>
      </c>
      <c r="B45" s="6">
        <v>18903.825328485596</v>
      </c>
      <c r="C45" s="6">
        <v>3679.3155706695807</v>
      </c>
      <c r="D45" s="6">
        <v>2571.8926662504646</v>
      </c>
      <c r="E45" s="6">
        <v>8874.8099679558381</v>
      </c>
      <c r="F45" s="6">
        <v>1357.3491420921171</v>
      </c>
      <c r="G45" s="6">
        <v>1027.828651367065</v>
      </c>
      <c r="H45" s="6">
        <v>3807.5230910340542</v>
      </c>
      <c r="I45" s="6">
        <v>1229.0329103481768</v>
      </c>
      <c r="J45" s="6">
        <f t="shared" si="0"/>
        <v>41451.577328202897</v>
      </c>
      <c r="L45" s="12">
        <v>0.875</v>
      </c>
      <c r="M45" s="9">
        <v>27832.620388218143</v>
      </c>
      <c r="N45" s="9">
        <v>5819.6081365829823</v>
      </c>
      <c r="O45" s="9">
        <v>4329.2584212208085</v>
      </c>
      <c r="P45" s="9">
        <v>9184.8477699560881</v>
      </c>
      <c r="Q45" s="9">
        <v>1927.7482421424361</v>
      </c>
      <c r="R45" s="9">
        <v>1581.6545703808019</v>
      </c>
      <c r="S45" s="9">
        <v>8063.9317612032037</v>
      </c>
      <c r="T45" s="9">
        <v>3896.2309730378925</v>
      </c>
      <c r="U45">
        <f t="shared" si="1"/>
        <v>62635.900262742354</v>
      </c>
    </row>
    <row r="46" spans="1:21" x14ac:dyDescent="0.25">
      <c r="A46" s="12">
        <v>0.89583333333333337</v>
      </c>
      <c r="B46" s="6">
        <v>12665.154766188061</v>
      </c>
      <c r="C46" s="6">
        <v>2698.1200827074308</v>
      </c>
      <c r="D46" s="6">
        <v>1795.5444414800227</v>
      </c>
      <c r="E46" s="6">
        <v>6302.4806094017804</v>
      </c>
      <c r="F46" s="6">
        <v>991.14820454662663</v>
      </c>
      <c r="G46" s="6">
        <v>919.66345799906753</v>
      </c>
      <c r="H46" s="6">
        <v>2193.1809238991736</v>
      </c>
      <c r="I46" s="6">
        <v>646.80516552817812</v>
      </c>
      <c r="J46" s="6">
        <f t="shared" si="0"/>
        <v>28212.09765175034</v>
      </c>
      <c r="L46" s="12">
        <v>0.89583333333333337</v>
      </c>
      <c r="M46" s="9">
        <v>21766.191247037968</v>
      </c>
      <c r="N46" s="9">
        <v>4472.3652186977979</v>
      </c>
      <c r="O46" s="9">
        <v>3143.7154300699094</v>
      </c>
      <c r="P46" s="9">
        <v>6892.2043598361752</v>
      </c>
      <c r="Q46" s="9">
        <v>1539.4549796519666</v>
      </c>
      <c r="R46" s="9">
        <v>1224.2003620199775</v>
      </c>
      <c r="S46" s="9">
        <v>6207.7976655840785</v>
      </c>
      <c r="T46" s="9">
        <v>2946.0025477669719</v>
      </c>
      <c r="U46">
        <f t="shared" si="1"/>
        <v>48191.931810664842</v>
      </c>
    </row>
    <row r="47" spans="1:21" x14ac:dyDescent="0.25">
      <c r="A47" s="12">
        <v>0.91666666666666663</v>
      </c>
      <c r="B47" s="6">
        <v>8164.4768679122808</v>
      </c>
      <c r="C47" s="6">
        <v>2000.8944334731032</v>
      </c>
      <c r="D47" s="6">
        <v>1280.717108338155</v>
      </c>
      <c r="E47" s="6">
        <v>4387.024899949698</v>
      </c>
      <c r="F47" s="6">
        <v>705.54877665443348</v>
      </c>
      <c r="G47" s="6">
        <v>755.48828193532722</v>
      </c>
      <c r="H47" s="6">
        <v>1176.7477712290286</v>
      </c>
      <c r="I47" s="6">
        <v>328.79528356027595</v>
      </c>
      <c r="J47" s="6">
        <f t="shared" si="0"/>
        <v>18799.6934230523</v>
      </c>
      <c r="L47" s="12">
        <v>0.91666666666666663</v>
      </c>
      <c r="M47" s="9">
        <v>15918.198198610131</v>
      </c>
      <c r="N47" s="9">
        <v>3228.9242898905218</v>
      </c>
      <c r="O47" s="9">
        <v>2164.9456748672178</v>
      </c>
      <c r="P47" s="9">
        <v>4898.329737415148</v>
      </c>
      <c r="Q47" s="9">
        <v>1154.9708226616947</v>
      </c>
      <c r="R47" s="9">
        <v>889.79573248923589</v>
      </c>
      <c r="S47" s="9">
        <v>4507.3333831529126</v>
      </c>
      <c r="T47" s="9">
        <v>2100.9958795571656</v>
      </c>
      <c r="U47">
        <f t="shared" si="1"/>
        <v>34863.493718644022</v>
      </c>
    </row>
    <row r="48" spans="1:21" x14ac:dyDescent="0.25">
      <c r="A48" s="12">
        <v>0.9375</v>
      </c>
      <c r="B48" s="6">
        <v>5121.1481061293916</v>
      </c>
      <c r="C48" s="6">
        <v>1487.9122968186177</v>
      </c>
      <c r="D48" s="6">
        <v>896.45048317869259</v>
      </c>
      <c r="E48" s="6">
        <v>2945.1367512959596</v>
      </c>
      <c r="F48" s="6">
        <v>482.73188333003253</v>
      </c>
      <c r="G48" s="6">
        <v>552.63635321147115</v>
      </c>
      <c r="H48" s="6">
        <v>588.94092399358749</v>
      </c>
      <c r="I48" s="6">
        <v>162.88913495182987</v>
      </c>
      <c r="J48" s="6">
        <f t="shared" si="0"/>
        <v>12237.845932909582</v>
      </c>
      <c r="L48" s="12">
        <v>0.9375</v>
      </c>
      <c r="M48" s="9">
        <v>10841.875186472258</v>
      </c>
      <c r="N48" s="9">
        <v>2175.459617755233</v>
      </c>
      <c r="O48" s="9">
        <v>1401.446341283573</v>
      </c>
      <c r="P48" s="9">
        <v>3271.5983442323359</v>
      </c>
      <c r="Q48" s="9">
        <v>811.30675032482907</v>
      </c>
      <c r="R48" s="9">
        <v>600.67333862408145</v>
      </c>
      <c r="S48" s="9">
        <v>3067.8440507074265</v>
      </c>
      <c r="T48" s="9">
        <v>1399.7857571928798</v>
      </c>
      <c r="U48">
        <f t="shared" si="1"/>
        <v>23569.989386592613</v>
      </c>
    </row>
    <row r="49" spans="1:21" x14ac:dyDescent="0.25">
      <c r="A49" s="12">
        <v>0.95833333333333337</v>
      </c>
      <c r="B49" s="6">
        <v>3151.085840635124</v>
      </c>
      <c r="C49" s="6">
        <v>1084.3794682588211</v>
      </c>
      <c r="D49" s="6">
        <v>586.54484733143943</v>
      </c>
      <c r="E49" s="6">
        <v>1852.977989648085</v>
      </c>
      <c r="F49" s="6">
        <v>310.99572986362398</v>
      </c>
      <c r="G49" s="6">
        <v>351.40184586597422</v>
      </c>
      <c r="H49" s="6">
        <v>274.12359983038903</v>
      </c>
      <c r="I49" s="6">
        <v>76.944986401200282</v>
      </c>
      <c r="J49" s="6">
        <f t="shared" si="0"/>
        <v>7688.454307834656</v>
      </c>
      <c r="L49" s="12">
        <v>0.95833333333333337</v>
      </c>
      <c r="M49" s="9">
        <v>6880.5455009076795</v>
      </c>
      <c r="N49" s="9">
        <v>1367.2262627759651</v>
      </c>
      <c r="O49" s="9">
        <v>849.69989385395343</v>
      </c>
      <c r="P49" s="9">
        <v>2049.4614724631624</v>
      </c>
      <c r="Q49" s="9">
        <v>533.68669470638997</v>
      </c>
      <c r="R49" s="9">
        <v>375.49770792474942</v>
      </c>
      <c r="S49" s="9">
        <v>1953.7310488445478</v>
      </c>
      <c r="T49" s="9">
        <v>868.59060473782836</v>
      </c>
      <c r="U49">
        <f t="shared" si="1"/>
        <v>14878.439186214275</v>
      </c>
    </row>
    <row r="50" spans="1:21" x14ac:dyDescent="0.25">
      <c r="A50" s="12">
        <v>0.97916666666666663</v>
      </c>
      <c r="B50" s="6">
        <v>1898.3773600805785</v>
      </c>
      <c r="C50" s="6">
        <v>749.5952823743678</v>
      </c>
      <c r="D50" s="6">
        <v>348.20448035997606</v>
      </c>
      <c r="E50" s="6">
        <v>1058.0419099430885</v>
      </c>
      <c r="F50" s="6">
        <v>185.02532915772827</v>
      </c>
      <c r="G50" s="6">
        <v>190.35427526891232</v>
      </c>
      <c r="H50" s="6">
        <v>117.1721816470623</v>
      </c>
      <c r="I50" s="6">
        <v>33.015201126933093</v>
      </c>
      <c r="J50" s="6">
        <f t="shared" si="0"/>
        <v>4579.7860199586476</v>
      </c>
      <c r="L50" s="12">
        <v>0.97916666666666663</v>
      </c>
      <c r="M50" s="9">
        <v>4077.0889885129</v>
      </c>
      <c r="N50" s="9">
        <v>803.85600219806838</v>
      </c>
      <c r="O50" s="9">
        <v>482.21696028147807</v>
      </c>
      <c r="P50" s="9">
        <v>1205.0214091042628</v>
      </c>
      <c r="Q50" s="9">
        <v>328.52796198793658</v>
      </c>
      <c r="R50" s="9">
        <v>218.06450987248195</v>
      </c>
      <c r="S50" s="9">
        <v>1162.7612183744611</v>
      </c>
      <c r="T50" s="9">
        <v>502.80762143589754</v>
      </c>
      <c r="U50">
        <f t="shared" si="1"/>
        <v>8780.3446717674851</v>
      </c>
    </row>
    <row r="51" spans="1:21" x14ac:dyDescent="0.25">
      <c r="A51" s="12">
        <v>1</v>
      </c>
      <c r="B51" s="6">
        <v>1100.3680543500286</v>
      </c>
      <c r="C51" s="6">
        <v>474.25290652983279</v>
      </c>
      <c r="D51" s="6">
        <v>186.76024233286623</v>
      </c>
      <c r="E51" s="6">
        <v>532.80763586026387</v>
      </c>
      <c r="F51" s="6">
        <v>100.17762790064619</v>
      </c>
      <c r="G51" s="6">
        <v>86.154628870964046</v>
      </c>
      <c r="H51" s="6">
        <v>44.864208707690238</v>
      </c>
      <c r="I51" s="6">
        <v>12.159750244736671</v>
      </c>
      <c r="J51" s="6">
        <f t="shared" si="0"/>
        <v>2537.5450547970286</v>
      </c>
      <c r="L51" s="12">
        <v>1</v>
      </c>
      <c r="M51" s="9">
        <v>2250.3351629522163</v>
      </c>
      <c r="N51" s="9">
        <v>441.90314150215426</v>
      </c>
      <c r="O51" s="9">
        <v>255.32736486141266</v>
      </c>
      <c r="P51" s="9">
        <v>662.83879375615629</v>
      </c>
      <c r="Q51" s="9">
        <v>187.9136658327389</v>
      </c>
      <c r="R51" s="9">
        <v>118.0047924093831</v>
      </c>
      <c r="S51" s="9">
        <v>642.85447408543359</v>
      </c>
      <c r="T51" s="9">
        <v>271.59580161694362</v>
      </c>
      <c r="U51">
        <f t="shared" si="1"/>
        <v>4830.7731970164377</v>
      </c>
    </row>
    <row r="52" spans="1:21" x14ac:dyDescent="0.25">
      <c r="A52" s="12">
        <v>1.0208333333333333</v>
      </c>
      <c r="B52" s="6">
        <v>595.05549780476133</v>
      </c>
      <c r="C52" s="6">
        <v>265.58658266330247</v>
      </c>
      <c r="D52" s="6">
        <v>92.140349285019141</v>
      </c>
      <c r="E52" s="6">
        <v>231.23247396795932</v>
      </c>
      <c r="F52" s="6">
        <v>48.843282018381728</v>
      </c>
      <c r="G52" s="6">
        <v>31.873954434037209</v>
      </c>
      <c r="H52" s="6">
        <v>14.850387590169907</v>
      </c>
      <c r="I52" s="6">
        <v>3.6417082126140592</v>
      </c>
      <c r="J52" s="6">
        <f t="shared" si="0"/>
        <v>1283.2242359762449</v>
      </c>
      <c r="L52" s="12">
        <v>1.0208333333333333</v>
      </c>
      <c r="M52" s="9">
        <v>1142.5727190573846</v>
      </c>
      <c r="N52" s="9">
        <v>224.66603795185833</v>
      </c>
      <c r="O52" s="9">
        <v>124.66632318889023</v>
      </c>
      <c r="P52" s="9">
        <v>336.56114043117867</v>
      </c>
      <c r="Q52" s="9">
        <v>98.229884841722708</v>
      </c>
      <c r="R52" s="9">
        <v>59.177389011443395</v>
      </c>
      <c r="S52" s="9">
        <v>325.32047604961701</v>
      </c>
      <c r="T52" s="9">
        <v>135.69069887481345</v>
      </c>
      <c r="U52">
        <f t="shared" si="1"/>
        <v>2446.884669406908</v>
      </c>
    </row>
    <row r="53" spans="1:21" x14ac:dyDescent="0.25">
      <c r="A53" s="12">
        <v>4.1666666666666664E-2</v>
      </c>
      <c r="B53" s="6">
        <v>289.63937948794097</v>
      </c>
      <c r="C53" s="6">
        <v>127.80556014209488</v>
      </c>
      <c r="D53" s="6">
        <v>42.947850594333083</v>
      </c>
      <c r="E53" s="6">
        <v>84.860385900829272</v>
      </c>
      <c r="F53" s="6">
        <v>21.232505400189034</v>
      </c>
      <c r="G53" s="6">
        <v>9.3713658992052071</v>
      </c>
      <c r="H53" s="6">
        <v>4.067620559096337</v>
      </c>
      <c r="I53" s="6">
        <v>0.83905104231834393</v>
      </c>
      <c r="J53" s="6">
        <f t="shared" si="0"/>
        <v>580.76371902600715</v>
      </c>
      <c r="L53" s="12">
        <v>4.1666666666666664E-2</v>
      </c>
      <c r="M53" s="9">
        <v>521.19830196271232</v>
      </c>
      <c r="N53" s="9">
        <v>103.19523165429632</v>
      </c>
      <c r="O53" s="9">
        <v>54.897059125996627</v>
      </c>
      <c r="P53" s="9">
        <v>153.91370880229215</v>
      </c>
      <c r="Q53" s="9">
        <v>45.777056946923366</v>
      </c>
      <c r="R53" s="9">
        <v>26.980174217082634</v>
      </c>
      <c r="S53" s="9">
        <v>147.17697109808458</v>
      </c>
      <c r="T53" s="9">
        <v>61.364807555135357</v>
      </c>
      <c r="U53">
        <f t="shared" si="1"/>
        <v>1114.5033113625234</v>
      </c>
    </row>
    <row r="54" spans="1:21" x14ac:dyDescent="0.25">
      <c r="A54" s="12">
        <v>6.25E-2</v>
      </c>
      <c r="B54" s="6">
        <v>122.5950199464271</v>
      </c>
      <c r="C54" s="6">
        <v>51.429702077844055</v>
      </c>
      <c r="D54" s="6">
        <v>19.079086129448687</v>
      </c>
      <c r="E54" s="6">
        <v>25.868140139010965</v>
      </c>
      <c r="F54" s="6">
        <v>8.111658431666978</v>
      </c>
      <c r="G54" s="6">
        <v>2.103479503393173</v>
      </c>
      <c r="H54" s="6">
        <v>0.87392668449878697</v>
      </c>
      <c r="I54" s="6">
        <v>0.1385001935958862</v>
      </c>
      <c r="J54" s="6">
        <f t="shared" si="0"/>
        <v>230.19951310588564</v>
      </c>
      <c r="L54" s="12">
        <v>6.25E-2</v>
      </c>
      <c r="M54" s="9">
        <v>207.03990732859853</v>
      </c>
      <c r="N54" s="9">
        <v>41.468863026990967</v>
      </c>
      <c r="O54" s="9">
        <v>21.15106189902593</v>
      </c>
      <c r="P54" s="9">
        <v>61.394069978926254</v>
      </c>
      <c r="Q54" s="9">
        <v>18.462800973129092</v>
      </c>
      <c r="R54" s="9">
        <v>10.842598838890599</v>
      </c>
      <c r="S54" s="9">
        <v>57.795622367547224</v>
      </c>
      <c r="T54" s="9">
        <v>24.335839594600657</v>
      </c>
      <c r="U54">
        <f t="shared" si="1"/>
        <v>442.49076400770923</v>
      </c>
    </row>
    <row r="55" spans="1:21" x14ac:dyDescent="0.25">
      <c r="A55" s="12">
        <v>8.3333333333333329E-2</v>
      </c>
      <c r="B55" s="6">
        <v>43.718178259368543</v>
      </c>
      <c r="C55" s="6">
        <v>16.829623599851814</v>
      </c>
      <c r="D55" s="6">
        <v>7.8466808182396264</v>
      </c>
      <c r="E55" s="6">
        <v>6.4115741828742152</v>
      </c>
      <c r="F55" s="6">
        <v>2.6606537353978523</v>
      </c>
      <c r="G55" s="6">
        <v>0.3382453405857086</v>
      </c>
      <c r="H55" s="6">
        <v>0.13687226259708404</v>
      </c>
      <c r="I55" s="6">
        <v>1.4527971744537351E-2</v>
      </c>
      <c r="J55" s="6">
        <f t="shared" si="0"/>
        <v>77.956356170659404</v>
      </c>
      <c r="L55" s="12">
        <v>8.3333333333333329E-2</v>
      </c>
      <c r="M55" s="9">
        <v>69.149254612398465</v>
      </c>
      <c r="N55" s="9">
        <v>14.056451150591981</v>
      </c>
      <c r="O55" s="9">
        <v>6.884467525895797</v>
      </c>
      <c r="P55" s="9">
        <v>20.61217898004567</v>
      </c>
      <c r="Q55" s="9">
        <v>6.2389168016709187</v>
      </c>
      <c r="R55" s="9">
        <v>3.6989610947818843</v>
      </c>
      <c r="S55" s="9">
        <v>19.060968180919446</v>
      </c>
      <c r="T55" s="9">
        <v>8.1540797161114611</v>
      </c>
      <c r="U55">
        <f t="shared" si="1"/>
        <v>147.85527806241564</v>
      </c>
    </row>
    <row r="56" spans="1:21" x14ac:dyDescent="0.25">
      <c r="A56" s="12">
        <v>0.10416666666666667</v>
      </c>
      <c r="B56" s="6">
        <v>12.72665246984922</v>
      </c>
      <c r="C56" s="6">
        <v>4.3332834310837862</v>
      </c>
      <c r="D56" s="6">
        <v>2.820706032506556</v>
      </c>
      <c r="E56" s="6">
        <v>1.2513255410560817</v>
      </c>
      <c r="F56" s="6">
        <v>0.72309253667202844</v>
      </c>
      <c r="G56" s="6">
        <v>3.4673759818077084E-2</v>
      </c>
      <c r="H56" s="6">
        <v>1.38164849281311E-2</v>
      </c>
      <c r="I56" s="6">
        <v>7.2639858722686767E-4</v>
      </c>
      <c r="J56" s="6">
        <f t="shared" si="0"/>
        <v>21.904276654501107</v>
      </c>
      <c r="L56" s="12">
        <v>0.10416666666666667</v>
      </c>
      <c r="M56" s="9">
        <v>18.674517402572555</v>
      </c>
      <c r="N56" s="9">
        <v>3.8605575094891167</v>
      </c>
      <c r="O56" s="9">
        <v>1.8197243430935996</v>
      </c>
      <c r="P56" s="9">
        <v>5.6001514565849639</v>
      </c>
      <c r="Q56" s="9">
        <v>1.7028534612990145</v>
      </c>
      <c r="R56" s="9">
        <v>1.0269808822185365</v>
      </c>
      <c r="S56" s="9">
        <v>5.0857974386707587</v>
      </c>
      <c r="T56" s="9">
        <v>2.2150064931991542</v>
      </c>
      <c r="U56">
        <f t="shared" si="1"/>
        <v>39.985588987127699</v>
      </c>
    </row>
    <row r="57" spans="1:21" x14ac:dyDescent="0.25">
      <c r="A57" s="12">
        <v>0.125</v>
      </c>
      <c r="B57" s="6">
        <v>2.861245386056162</v>
      </c>
      <c r="C57" s="6">
        <v>0.83039103810961568</v>
      </c>
      <c r="D57" s="6">
        <v>0.80442394815060914</v>
      </c>
      <c r="E57" s="6">
        <v>0.18087089040321003</v>
      </c>
      <c r="F57" s="6">
        <v>0.15242300672232068</v>
      </c>
      <c r="G57" s="6">
        <v>1.7013391256332398E-3</v>
      </c>
      <c r="H57" s="6">
        <v>6.7225944995880126E-4</v>
      </c>
      <c r="I57" s="6">
        <v>0</v>
      </c>
      <c r="J57" s="6">
        <f t="shared" si="0"/>
        <v>4.8317278680175102</v>
      </c>
      <c r="L57" s="12">
        <v>0.125</v>
      </c>
      <c r="M57" s="9">
        <v>3.8345345367188566</v>
      </c>
      <c r="N57" s="9">
        <v>0.80674197829071548</v>
      </c>
      <c r="O57" s="9">
        <v>0.36720260241784375</v>
      </c>
      <c r="P57" s="9">
        <v>1.1574251597339733</v>
      </c>
      <c r="Q57" s="9">
        <v>0.35344275857461438</v>
      </c>
      <c r="R57" s="9">
        <v>0.21742772100516061</v>
      </c>
      <c r="S57" s="9">
        <v>1.0335715627368292</v>
      </c>
      <c r="T57" s="9">
        <v>0.45782651254110879</v>
      </c>
      <c r="U57">
        <f t="shared" si="1"/>
        <v>8.2281728320191014</v>
      </c>
    </row>
    <row r="58" spans="1:21" ht="15.75" thickBot="1" x14ac:dyDescent="0.3">
      <c r="A58" s="13" t="s">
        <v>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f t="shared" si="0"/>
        <v>0</v>
      </c>
      <c r="L58" s="13" t="s">
        <v>6</v>
      </c>
      <c r="M58" s="10">
        <v>0</v>
      </c>
      <c r="N58" s="10">
        <v>0</v>
      </c>
      <c r="O58" s="10">
        <v>0</v>
      </c>
      <c r="P58" s="10">
        <v>0</v>
      </c>
      <c r="Q58" s="10">
        <v>0</v>
      </c>
      <c r="R58" s="10">
        <v>0</v>
      </c>
      <c r="S58" s="10">
        <v>0</v>
      </c>
      <c r="T58" s="10">
        <v>0</v>
      </c>
      <c r="U58" s="1">
        <f t="shared" si="1"/>
        <v>0</v>
      </c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58"/>
  <sheetViews>
    <sheetView workbookViewId="0">
      <selection activeCell="A3" sqref="A3"/>
    </sheetView>
  </sheetViews>
  <sheetFormatPr defaultRowHeight="15" x14ac:dyDescent="0.25"/>
  <cols>
    <col min="1" max="1" width="12.7109375" customWidth="1" collapsed="1"/>
    <col min="2" max="10" width="10.7109375" customWidth="1" collapsed="1"/>
    <col min="11" max="11" width="6.42578125" customWidth="1" collapsed="1"/>
    <col min="12" max="12" width="12.7109375" customWidth="1" collapsed="1"/>
    <col min="13" max="21" width="10.7109375" customWidth="1" collapsed="1"/>
  </cols>
  <sheetData>
    <row r="1" spans="1:26" x14ac:dyDescent="0.25">
      <c r="A1" t="s">
        <v>30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54</v>
      </c>
      <c r="B6" s="1"/>
      <c r="C6" s="1"/>
      <c r="D6" s="1"/>
      <c r="E6" s="1"/>
      <c r="F6" s="1"/>
      <c r="G6" s="1"/>
      <c r="H6" s="1"/>
      <c r="I6" s="1"/>
      <c r="J6" s="1"/>
      <c r="L6" s="3" t="s">
        <v>31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>
        <v>0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f>SUM(B8:I8)</f>
        <v>0</v>
      </c>
      <c r="L8" t="s">
        <v>5</v>
      </c>
      <c r="M8" s="9">
        <v>8.9950354318109103</v>
      </c>
      <c r="N8" s="9">
        <v>48.486980041241637</v>
      </c>
      <c r="O8" s="9">
        <v>0</v>
      </c>
      <c r="P8" s="9">
        <v>0</v>
      </c>
      <c r="Q8" s="9">
        <v>27.9866639794087</v>
      </c>
      <c r="R8" s="9">
        <v>2</v>
      </c>
      <c r="S8" s="9">
        <v>0</v>
      </c>
      <c r="T8" s="9">
        <v>0</v>
      </c>
      <c r="U8">
        <f>SUM(M8:T8)</f>
        <v>87.468679452461245</v>
      </c>
      <c r="W8" s="5"/>
      <c r="X8" s="16"/>
      <c r="Y8" s="16"/>
      <c r="Z8" s="5"/>
    </row>
    <row r="9" spans="1:26" x14ac:dyDescent="0.25">
      <c r="A9" s="12">
        <v>0.125</v>
      </c>
      <c r="B9" s="6">
        <v>1.1780282153673922</v>
      </c>
      <c r="C9" s="6">
        <v>3.0338476004047421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f t="shared" ref="J9:J58" si="0">SUM(B9:I9)</f>
        <v>4.2118758157721343</v>
      </c>
      <c r="L9" s="12">
        <v>0.125</v>
      </c>
      <c r="M9" s="9">
        <v>76.370400364618874</v>
      </c>
      <c r="N9" s="9">
        <v>44.005373779912432</v>
      </c>
      <c r="O9" s="9">
        <v>0</v>
      </c>
      <c r="P9" s="9">
        <v>0</v>
      </c>
      <c r="Q9" s="9">
        <v>26.593268959749278</v>
      </c>
      <c r="R9" s="9">
        <v>1.3273451328277588</v>
      </c>
      <c r="S9" s="9">
        <v>0</v>
      </c>
      <c r="T9" s="9">
        <v>0</v>
      </c>
      <c r="U9">
        <f t="shared" ref="U9:U58" si="1">SUM(M9:T9)</f>
        <v>148.29638823710835</v>
      </c>
      <c r="W9" s="5"/>
      <c r="X9" s="16"/>
      <c r="Y9" s="16"/>
      <c r="Z9" s="5"/>
    </row>
    <row r="10" spans="1:26" x14ac:dyDescent="0.25">
      <c r="A10" s="12">
        <v>0.14583333333333334</v>
      </c>
      <c r="B10" s="6">
        <v>4.9594816332575187</v>
      </c>
      <c r="C10" s="6">
        <v>7.0053729664230051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f t="shared" si="0"/>
        <v>11.964854599680525</v>
      </c>
      <c r="L10" s="12">
        <v>0.14583333333333334</v>
      </c>
      <c r="M10" s="9">
        <v>124.13585959540116</v>
      </c>
      <c r="N10" s="9">
        <v>41.840926304363983</v>
      </c>
      <c r="O10" s="9">
        <v>0</v>
      </c>
      <c r="P10" s="9">
        <v>0</v>
      </c>
      <c r="Q10" s="9">
        <v>24.174311294337961</v>
      </c>
      <c r="R10" s="9">
        <v>0.76757192611694336</v>
      </c>
      <c r="S10" s="9">
        <v>0</v>
      </c>
      <c r="T10" s="9">
        <v>0</v>
      </c>
      <c r="U10">
        <f t="shared" si="1"/>
        <v>190.91866912022004</v>
      </c>
      <c r="W10" s="5"/>
      <c r="X10" s="16"/>
      <c r="Y10" s="16"/>
      <c r="Z10" s="5"/>
    </row>
    <row r="11" spans="1:26" x14ac:dyDescent="0.25">
      <c r="A11" s="12">
        <v>0.16666666666666666</v>
      </c>
      <c r="B11" s="6">
        <v>16.091203132496346</v>
      </c>
      <c r="C11" s="6">
        <v>12.258352589328707</v>
      </c>
      <c r="D11" s="6">
        <v>0</v>
      </c>
      <c r="E11" s="6">
        <v>0</v>
      </c>
      <c r="F11" s="6">
        <v>1.1211168662452698E-4</v>
      </c>
      <c r="G11" s="6">
        <v>0</v>
      </c>
      <c r="H11" s="6">
        <v>0</v>
      </c>
      <c r="I11" s="6">
        <v>0</v>
      </c>
      <c r="J11" s="6">
        <f t="shared" si="0"/>
        <v>28.349667833511681</v>
      </c>
      <c r="L11" s="12">
        <v>0.16666666666666666</v>
      </c>
      <c r="M11" s="9">
        <v>150.21642340204338</v>
      </c>
      <c r="N11" s="9">
        <v>44.976849142635544</v>
      </c>
      <c r="O11" s="9">
        <v>0</v>
      </c>
      <c r="P11" s="9">
        <v>0</v>
      </c>
      <c r="Q11" s="9">
        <v>21.113790391144903</v>
      </c>
      <c r="R11" s="9">
        <v>0.38438582420349121</v>
      </c>
      <c r="S11" s="9">
        <v>0</v>
      </c>
      <c r="T11" s="9">
        <v>0</v>
      </c>
      <c r="U11">
        <f t="shared" si="1"/>
        <v>216.6914487600273</v>
      </c>
      <c r="W11" s="5"/>
      <c r="X11" s="16"/>
      <c r="Y11" s="16"/>
      <c r="Z11" s="5"/>
    </row>
    <row r="12" spans="1:26" x14ac:dyDescent="0.25">
      <c r="A12" s="12">
        <v>0.1875</v>
      </c>
      <c r="B12" s="6">
        <v>43.035522924480041</v>
      </c>
      <c r="C12" s="6">
        <v>18.588291407403201</v>
      </c>
      <c r="D12" s="6">
        <v>0</v>
      </c>
      <c r="E12" s="6">
        <v>0</v>
      </c>
      <c r="F12" s="6">
        <v>2.2422337324905397E-3</v>
      </c>
      <c r="G12" s="6">
        <v>0</v>
      </c>
      <c r="H12" s="6">
        <v>0</v>
      </c>
      <c r="I12" s="6">
        <v>0</v>
      </c>
      <c r="J12" s="6">
        <f t="shared" si="0"/>
        <v>61.626056565615727</v>
      </c>
      <c r="L12" s="12">
        <v>0.1875</v>
      </c>
      <c r="M12" s="9">
        <v>171.3121016098666</v>
      </c>
      <c r="N12" s="9">
        <v>56.750733904346347</v>
      </c>
      <c r="O12" s="9">
        <v>0</v>
      </c>
      <c r="P12" s="9">
        <v>0</v>
      </c>
      <c r="Q12" s="9">
        <v>19.261440005095388</v>
      </c>
      <c r="R12" s="9">
        <v>0.18272185325622559</v>
      </c>
      <c r="S12" s="9">
        <v>0</v>
      </c>
      <c r="T12" s="9">
        <v>0</v>
      </c>
      <c r="U12">
        <f t="shared" si="1"/>
        <v>247.50699737256457</v>
      </c>
      <c r="W12" s="5"/>
      <c r="X12" s="5"/>
      <c r="Y12" s="5"/>
      <c r="Z12" s="5"/>
    </row>
    <row r="13" spans="1:26" x14ac:dyDescent="0.25">
      <c r="A13" s="12">
        <v>0.20833333333333334</v>
      </c>
      <c r="B13" s="6">
        <v>99.054526895668829</v>
      </c>
      <c r="C13" s="6">
        <v>25.880323518891625</v>
      </c>
      <c r="D13" s="6">
        <v>0</v>
      </c>
      <c r="E13" s="6">
        <v>0</v>
      </c>
      <c r="F13" s="6">
        <v>2.193675068908529E-2</v>
      </c>
      <c r="G13" s="6">
        <v>0</v>
      </c>
      <c r="H13" s="6">
        <v>0</v>
      </c>
      <c r="I13" s="6">
        <v>0</v>
      </c>
      <c r="J13" s="6">
        <f t="shared" si="0"/>
        <v>124.95678716524954</v>
      </c>
      <c r="L13" s="12">
        <v>0.20833333333333334</v>
      </c>
      <c r="M13" s="9">
        <v>210.8518494295034</v>
      </c>
      <c r="N13" s="9">
        <v>80.275677489269327</v>
      </c>
      <c r="O13" s="9">
        <v>0</v>
      </c>
      <c r="P13" s="9">
        <v>0</v>
      </c>
      <c r="Q13" s="9">
        <v>20.93828100111584</v>
      </c>
      <c r="R13" s="9">
        <v>0.14045643287523479</v>
      </c>
      <c r="S13" s="9">
        <v>0</v>
      </c>
      <c r="T13" s="9">
        <v>0</v>
      </c>
      <c r="U13">
        <f t="shared" si="1"/>
        <v>312.20626435276381</v>
      </c>
    </row>
    <row r="14" spans="1:26" x14ac:dyDescent="0.25">
      <c r="A14" s="12">
        <v>0.22916666666666666</v>
      </c>
      <c r="B14" s="6">
        <v>204.21041399590899</v>
      </c>
      <c r="C14" s="6">
        <v>34.445471891338016</v>
      </c>
      <c r="D14" s="6">
        <v>0</v>
      </c>
      <c r="E14" s="6">
        <v>0</v>
      </c>
      <c r="F14" s="6">
        <v>0.14051792736046409</v>
      </c>
      <c r="G14" s="6">
        <v>0</v>
      </c>
      <c r="H14" s="6">
        <v>0</v>
      </c>
      <c r="I14" s="6">
        <v>0</v>
      </c>
      <c r="J14" s="6">
        <f t="shared" si="0"/>
        <v>238.79640381460746</v>
      </c>
      <c r="L14" s="12">
        <v>0.22916666666666666</v>
      </c>
      <c r="M14" s="9">
        <v>289.60816087521783</v>
      </c>
      <c r="N14" s="9">
        <v>119.21025293591883</v>
      </c>
      <c r="O14" s="9">
        <v>0</v>
      </c>
      <c r="P14" s="9">
        <v>0</v>
      </c>
      <c r="Q14" s="9">
        <v>28.24564789090369</v>
      </c>
      <c r="R14" s="9">
        <v>0.24598921768642562</v>
      </c>
      <c r="S14" s="9">
        <v>0</v>
      </c>
      <c r="T14" s="9">
        <v>0</v>
      </c>
      <c r="U14">
        <f t="shared" si="1"/>
        <v>437.31005091972679</v>
      </c>
    </row>
    <row r="15" spans="1:26" x14ac:dyDescent="0.25">
      <c r="A15" s="12">
        <v>0.25</v>
      </c>
      <c r="B15" s="6">
        <v>388.93697503047201</v>
      </c>
      <c r="C15" s="6">
        <v>44.385794742922442</v>
      </c>
      <c r="D15" s="6">
        <v>0</v>
      </c>
      <c r="E15" s="6">
        <v>0</v>
      </c>
      <c r="F15" s="6">
        <v>0.66408679301824469</v>
      </c>
      <c r="G15" s="6">
        <v>0</v>
      </c>
      <c r="H15" s="6">
        <v>0</v>
      </c>
      <c r="I15" s="6">
        <v>0</v>
      </c>
      <c r="J15" s="6">
        <f t="shared" si="0"/>
        <v>433.98685656641271</v>
      </c>
      <c r="L15" s="12">
        <v>0.25</v>
      </c>
      <c r="M15" s="9">
        <v>426.89540081328636</v>
      </c>
      <c r="N15" s="9">
        <v>179.97183611926656</v>
      </c>
      <c r="O15" s="9">
        <v>0</v>
      </c>
      <c r="P15" s="9">
        <v>0</v>
      </c>
      <c r="Q15" s="9">
        <v>43.306881473157368</v>
      </c>
      <c r="R15" s="9">
        <v>0.50519084287638194</v>
      </c>
      <c r="S15" s="9">
        <v>0</v>
      </c>
      <c r="T15" s="9">
        <v>0</v>
      </c>
      <c r="U15">
        <f t="shared" si="1"/>
        <v>650.67930924858661</v>
      </c>
    </row>
    <row r="16" spans="1:26" x14ac:dyDescent="0.25">
      <c r="A16" s="12">
        <v>0.27083333333333331</v>
      </c>
      <c r="B16" s="6">
        <v>694.50460744761926</v>
      </c>
      <c r="C16" s="6">
        <v>54.89165336922828</v>
      </c>
      <c r="D16" s="6">
        <v>0</v>
      </c>
      <c r="E16" s="6">
        <v>0</v>
      </c>
      <c r="F16" s="6">
        <v>2.4677453289409872</v>
      </c>
      <c r="G16" s="6">
        <v>0</v>
      </c>
      <c r="H16" s="6">
        <v>0</v>
      </c>
      <c r="I16" s="6">
        <v>0</v>
      </c>
      <c r="J16" s="6">
        <f t="shared" si="0"/>
        <v>751.86400614578849</v>
      </c>
      <c r="L16" s="12">
        <v>0.27083333333333331</v>
      </c>
      <c r="M16" s="9">
        <v>645.35614419457715</v>
      </c>
      <c r="N16" s="9">
        <v>273.23608773249828</v>
      </c>
      <c r="O16" s="9">
        <v>0</v>
      </c>
      <c r="P16" s="9">
        <v>0</v>
      </c>
      <c r="Q16" s="9">
        <v>68.879860405431216</v>
      </c>
      <c r="R16" s="9">
        <v>0.91808376428184868</v>
      </c>
      <c r="S16" s="9">
        <v>0</v>
      </c>
      <c r="T16" s="9">
        <v>0</v>
      </c>
      <c r="U16">
        <f t="shared" si="1"/>
        <v>988.39017609678854</v>
      </c>
    </row>
    <row r="17" spans="1:21" x14ac:dyDescent="0.25">
      <c r="A17" s="12">
        <v>0.29166666666666669</v>
      </c>
      <c r="B17" s="6">
        <v>1161.9312366747515</v>
      </c>
      <c r="C17" s="6">
        <v>65.159662217040946</v>
      </c>
      <c r="D17" s="6">
        <v>0</v>
      </c>
      <c r="E17" s="6">
        <v>0</v>
      </c>
      <c r="F17" s="6">
        <v>7.4948180285579529</v>
      </c>
      <c r="G17" s="6">
        <v>0</v>
      </c>
      <c r="H17" s="6">
        <v>0</v>
      </c>
      <c r="I17" s="6">
        <v>0</v>
      </c>
      <c r="J17" s="6">
        <f t="shared" si="0"/>
        <v>1234.5857169203505</v>
      </c>
      <c r="L17" s="12">
        <v>0.29166666666666669</v>
      </c>
      <c r="M17" s="9">
        <v>970.75849045239352</v>
      </c>
      <c r="N17" s="9">
        <v>412.98140587601671</v>
      </c>
      <c r="O17" s="9">
        <v>0</v>
      </c>
      <c r="P17" s="9">
        <v>0</v>
      </c>
      <c r="Q17" s="9">
        <v>108.70365575281416</v>
      </c>
      <c r="R17" s="9">
        <v>1.4677751058163242</v>
      </c>
      <c r="S17" s="9">
        <v>0</v>
      </c>
      <c r="T17" s="9">
        <v>0</v>
      </c>
      <c r="U17">
        <f t="shared" si="1"/>
        <v>1493.9113271870408</v>
      </c>
    </row>
    <row r="18" spans="1:21" x14ac:dyDescent="0.25">
      <c r="A18" s="12">
        <v>0.3125</v>
      </c>
      <c r="B18" s="6">
        <v>1810.7516383570551</v>
      </c>
      <c r="C18" s="6">
        <v>76.718280922778831</v>
      </c>
      <c r="D18" s="6">
        <v>0</v>
      </c>
      <c r="E18" s="6">
        <v>0</v>
      </c>
      <c r="F18" s="6">
        <v>19.125026638017118</v>
      </c>
      <c r="G18" s="6">
        <v>0</v>
      </c>
      <c r="H18" s="6">
        <v>0</v>
      </c>
      <c r="I18" s="6">
        <v>0</v>
      </c>
      <c r="J18" s="6">
        <f t="shared" si="0"/>
        <v>1906.594945917851</v>
      </c>
      <c r="L18" s="12">
        <v>0.3125</v>
      </c>
      <c r="M18" s="9">
        <v>1429.5641556880353</v>
      </c>
      <c r="N18" s="9">
        <v>614.52981408287815</v>
      </c>
      <c r="O18" s="9">
        <v>0</v>
      </c>
      <c r="P18" s="9">
        <v>0</v>
      </c>
      <c r="Q18" s="9">
        <v>167.70284303083062</v>
      </c>
      <c r="R18" s="9">
        <v>2.161775429869853</v>
      </c>
      <c r="S18" s="9">
        <v>0</v>
      </c>
      <c r="T18" s="9">
        <v>0</v>
      </c>
      <c r="U18">
        <f t="shared" si="1"/>
        <v>2213.9585882316142</v>
      </c>
    </row>
    <row r="19" spans="1:21" x14ac:dyDescent="0.25">
      <c r="A19" s="12">
        <v>0.33333333333333331</v>
      </c>
      <c r="B19" s="6">
        <v>2630.5228185377141</v>
      </c>
      <c r="C19" s="6">
        <v>94.460506517516848</v>
      </c>
      <c r="D19" s="6">
        <v>0</v>
      </c>
      <c r="E19" s="6">
        <v>0</v>
      </c>
      <c r="F19" s="6">
        <v>42.048605020202771</v>
      </c>
      <c r="G19" s="6">
        <v>0</v>
      </c>
      <c r="H19" s="6">
        <v>0</v>
      </c>
      <c r="I19" s="6">
        <v>0</v>
      </c>
      <c r="J19" s="6">
        <f t="shared" si="0"/>
        <v>2767.0319300754336</v>
      </c>
      <c r="L19" s="12">
        <v>0.33333333333333331</v>
      </c>
      <c r="M19" s="9">
        <v>2051.7243323542534</v>
      </c>
      <c r="N19" s="9">
        <v>893.84533441816313</v>
      </c>
      <c r="O19" s="9">
        <v>0</v>
      </c>
      <c r="P19" s="9">
        <v>0</v>
      </c>
      <c r="Q19" s="9">
        <v>252.20787137156012</v>
      </c>
      <c r="R19" s="9">
        <v>3.1007450967170502</v>
      </c>
      <c r="S19" s="9">
        <v>0</v>
      </c>
      <c r="T19" s="9">
        <v>0</v>
      </c>
      <c r="U19">
        <f t="shared" si="1"/>
        <v>3200.8782832406937</v>
      </c>
    </row>
    <row r="20" spans="1:21" x14ac:dyDescent="0.25">
      <c r="A20" s="12">
        <v>0.35416666666666669</v>
      </c>
      <c r="B20" s="6">
        <v>3614.8625122615722</v>
      </c>
      <c r="C20" s="6">
        <v>124.53583436139019</v>
      </c>
      <c r="D20" s="6">
        <v>0</v>
      </c>
      <c r="E20" s="6">
        <v>0</v>
      </c>
      <c r="F20" s="6">
        <v>81.883338124685011</v>
      </c>
      <c r="G20" s="6">
        <v>0</v>
      </c>
      <c r="H20" s="6">
        <v>0</v>
      </c>
      <c r="I20" s="6">
        <v>0</v>
      </c>
      <c r="J20" s="6">
        <f t="shared" si="0"/>
        <v>3821.2816847476474</v>
      </c>
      <c r="L20" s="12">
        <v>0.35416666666666669</v>
      </c>
      <c r="M20" s="9">
        <v>2872.9301832330048</v>
      </c>
      <c r="N20" s="9">
        <v>1265.6204252722916</v>
      </c>
      <c r="O20" s="9">
        <v>0</v>
      </c>
      <c r="P20" s="9">
        <v>0</v>
      </c>
      <c r="Q20" s="9">
        <v>369.20825232453819</v>
      </c>
      <c r="R20" s="9">
        <v>4.4886346574349849</v>
      </c>
      <c r="S20" s="9">
        <v>0</v>
      </c>
      <c r="T20" s="9">
        <v>0</v>
      </c>
      <c r="U20">
        <f t="shared" si="1"/>
        <v>4512.2474954872696</v>
      </c>
    </row>
    <row r="21" spans="1:21" x14ac:dyDescent="0.25">
      <c r="A21" s="12">
        <v>0.375</v>
      </c>
      <c r="B21" s="6">
        <v>4834.0092440896424</v>
      </c>
      <c r="C21" s="6">
        <v>170.98286557424694</v>
      </c>
      <c r="D21" s="6">
        <v>0</v>
      </c>
      <c r="E21" s="6">
        <v>0</v>
      </c>
      <c r="F21" s="6">
        <v>145.41030006841038</v>
      </c>
      <c r="G21" s="6">
        <v>0</v>
      </c>
      <c r="H21" s="6">
        <v>0</v>
      </c>
      <c r="I21" s="6">
        <v>0</v>
      </c>
      <c r="J21" s="6">
        <f t="shared" si="0"/>
        <v>5150.4024097322999</v>
      </c>
      <c r="L21" s="12">
        <v>0.375</v>
      </c>
      <c r="M21" s="9">
        <v>3917.9404112366756</v>
      </c>
      <c r="N21" s="9">
        <v>1734.5373651548302</v>
      </c>
      <c r="O21" s="9">
        <v>0</v>
      </c>
      <c r="P21" s="9">
        <v>0</v>
      </c>
      <c r="Q21" s="9">
        <v>523.27446788422935</v>
      </c>
      <c r="R21" s="9">
        <v>6.5417791052993195</v>
      </c>
      <c r="S21" s="9">
        <v>0</v>
      </c>
      <c r="T21" s="9">
        <v>0</v>
      </c>
      <c r="U21">
        <f t="shared" si="1"/>
        <v>6182.294023381035</v>
      </c>
    </row>
    <row r="22" spans="1:21" x14ac:dyDescent="0.25">
      <c r="A22" s="12">
        <v>0.39583333333333331</v>
      </c>
      <c r="B22" s="6">
        <v>6478.5756072912682</v>
      </c>
      <c r="C22" s="6">
        <v>234.52666316483271</v>
      </c>
      <c r="D22" s="6">
        <v>0</v>
      </c>
      <c r="E22" s="6">
        <v>0</v>
      </c>
      <c r="F22" s="6">
        <v>240.78673248969113</v>
      </c>
      <c r="G22" s="6">
        <v>0</v>
      </c>
      <c r="H22" s="6">
        <v>0</v>
      </c>
      <c r="I22" s="6">
        <v>0</v>
      </c>
      <c r="J22" s="6">
        <f t="shared" si="0"/>
        <v>6953.8890029457925</v>
      </c>
      <c r="L22" s="12">
        <v>0.39583333333333331</v>
      </c>
      <c r="M22" s="9">
        <v>5161.5688579487223</v>
      </c>
      <c r="N22" s="9">
        <v>2281.3959639894397</v>
      </c>
      <c r="O22" s="9">
        <v>0</v>
      </c>
      <c r="P22" s="9">
        <v>0</v>
      </c>
      <c r="Q22" s="9">
        <v>711.94515841484986</v>
      </c>
      <c r="R22" s="9">
        <v>9.3773236600335963</v>
      </c>
      <c r="S22" s="9">
        <v>0</v>
      </c>
      <c r="T22" s="9">
        <v>0</v>
      </c>
      <c r="U22">
        <f t="shared" si="1"/>
        <v>8164.2873040130453</v>
      </c>
    </row>
    <row r="23" spans="1:21" x14ac:dyDescent="0.25">
      <c r="A23" s="12">
        <v>0.41666666666666669</v>
      </c>
      <c r="B23" s="6">
        <v>8775.3498481737515</v>
      </c>
      <c r="C23" s="6">
        <v>313.93054730923967</v>
      </c>
      <c r="D23" s="6">
        <v>0</v>
      </c>
      <c r="E23" s="6">
        <v>0</v>
      </c>
      <c r="F23" s="6">
        <v>373.61614151088315</v>
      </c>
      <c r="G23" s="6">
        <v>0</v>
      </c>
      <c r="H23" s="6">
        <v>0</v>
      </c>
      <c r="I23" s="6">
        <v>0</v>
      </c>
      <c r="J23" s="6">
        <f t="shared" si="0"/>
        <v>9462.8965369938742</v>
      </c>
      <c r="L23" s="12">
        <v>0.41666666666666669</v>
      </c>
      <c r="M23" s="9">
        <v>6495.1990276014039</v>
      </c>
      <c r="N23" s="9">
        <v>2856.154297901086</v>
      </c>
      <c r="O23" s="9">
        <v>0</v>
      </c>
      <c r="P23" s="9">
        <v>0</v>
      </c>
      <c r="Q23" s="9">
        <v>922.85494849067413</v>
      </c>
      <c r="R23" s="9">
        <v>12.981836006598154</v>
      </c>
      <c r="S23" s="9">
        <v>0</v>
      </c>
      <c r="T23" s="9">
        <v>0</v>
      </c>
      <c r="U23">
        <f t="shared" si="1"/>
        <v>10287.190109999763</v>
      </c>
    </row>
    <row r="24" spans="1:21" x14ac:dyDescent="0.25">
      <c r="A24" s="12">
        <v>0.4375</v>
      </c>
      <c r="B24" s="6">
        <v>11749.708545852529</v>
      </c>
      <c r="C24" s="6">
        <v>406.65330199894839</v>
      </c>
      <c r="D24" s="6">
        <v>0</v>
      </c>
      <c r="E24" s="6">
        <v>0</v>
      </c>
      <c r="F24" s="6">
        <v>535.77033054788865</v>
      </c>
      <c r="G24" s="6">
        <v>0</v>
      </c>
      <c r="H24" s="6">
        <v>0</v>
      </c>
      <c r="I24" s="6">
        <v>0</v>
      </c>
      <c r="J24" s="6">
        <f t="shared" si="0"/>
        <v>12692.132178399366</v>
      </c>
      <c r="L24" s="12">
        <v>0.4375</v>
      </c>
      <c r="M24" s="9">
        <v>7730.9811612601598</v>
      </c>
      <c r="N24" s="9">
        <v>3386.2322267692898</v>
      </c>
      <c r="O24" s="9">
        <v>0</v>
      </c>
      <c r="P24" s="9">
        <v>0</v>
      </c>
      <c r="Q24" s="9">
        <v>1134.6885959991039</v>
      </c>
      <c r="R24" s="9">
        <v>17.206154507727334</v>
      </c>
      <c r="S24" s="9">
        <v>0</v>
      </c>
      <c r="T24" s="9">
        <v>0</v>
      </c>
      <c r="U24">
        <f t="shared" si="1"/>
        <v>12269.10813853628</v>
      </c>
    </row>
    <row r="25" spans="1:21" x14ac:dyDescent="0.25">
      <c r="A25" s="12">
        <v>0.45833333333333331</v>
      </c>
      <c r="B25" s="6">
        <v>14981.785708169609</v>
      </c>
      <c r="C25" s="6">
        <v>506.07825192552184</v>
      </c>
      <c r="D25" s="6">
        <v>0</v>
      </c>
      <c r="E25" s="6">
        <v>0</v>
      </c>
      <c r="F25" s="6">
        <v>694.25009316847616</v>
      </c>
      <c r="G25" s="6">
        <v>0</v>
      </c>
      <c r="H25" s="6">
        <v>0</v>
      </c>
      <c r="I25" s="6">
        <v>0</v>
      </c>
      <c r="J25" s="6">
        <f t="shared" si="0"/>
        <v>16182.114053263607</v>
      </c>
      <c r="L25" s="12">
        <v>0.45833333333333331</v>
      </c>
      <c r="M25" s="9">
        <v>8645.1659805230593</v>
      </c>
      <c r="N25" s="9">
        <v>3793.5177937237559</v>
      </c>
      <c r="O25" s="9">
        <v>0</v>
      </c>
      <c r="P25" s="9">
        <v>0</v>
      </c>
      <c r="Q25" s="9">
        <v>1320.6119498052942</v>
      </c>
      <c r="R25" s="9">
        <v>21.651326106956759</v>
      </c>
      <c r="S25" s="9">
        <v>0</v>
      </c>
      <c r="T25" s="9">
        <v>0</v>
      </c>
      <c r="U25">
        <f t="shared" si="1"/>
        <v>13780.947050159068</v>
      </c>
    </row>
    <row r="26" spans="1:21" x14ac:dyDescent="0.25">
      <c r="A26" s="12">
        <v>0.47916666666666669</v>
      </c>
      <c r="B26" s="6">
        <v>17615.34637972101</v>
      </c>
      <c r="C26" s="6">
        <v>596.97357596153608</v>
      </c>
      <c r="D26" s="6">
        <v>0</v>
      </c>
      <c r="E26" s="6">
        <v>0</v>
      </c>
      <c r="F26" s="6">
        <v>796.56727303459888</v>
      </c>
      <c r="G26" s="6">
        <v>0</v>
      </c>
      <c r="H26" s="6">
        <v>0</v>
      </c>
      <c r="I26" s="6">
        <v>0</v>
      </c>
      <c r="J26" s="6">
        <f t="shared" si="0"/>
        <v>19008.887228717143</v>
      </c>
      <c r="L26" s="12">
        <v>0.47916666666666669</v>
      </c>
      <c r="M26" s="9">
        <v>9040.2585668008451</v>
      </c>
      <c r="N26" s="9">
        <v>4010.3868661023271</v>
      </c>
      <c r="O26" s="9">
        <v>0</v>
      </c>
      <c r="P26" s="9">
        <v>0</v>
      </c>
      <c r="Q26" s="9">
        <v>1452.9201469872955</v>
      </c>
      <c r="R26" s="9">
        <v>25.541549098400075</v>
      </c>
      <c r="S26" s="9">
        <v>0</v>
      </c>
      <c r="T26" s="9">
        <v>0</v>
      </c>
      <c r="U26">
        <f t="shared" si="1"/>
        <v>14529.107128988868</v>
      </c>
    </row>
    <row r="27" spans="1:21" x14ac:dyDescent="0.25">
      <c r="A27" s="12">
        <v>0.5</v>
      </c>
      <c r="B27" s="6">
        <v>18736.856313378274</v>
      </c>
      <c r="C27" s="6">
        <v>655.08287689565884</v>
      </c>
      <c r="D27" s="6">
        <v>0</v>
      </c>
      <c r="E27" s="6">
        <v>0</v>
      </c>
      <c r="F27" s="6">
        <v>798.82996309348255</v>
      </c>
      <c r="G27" s="6">
        <v>0</v>
      </c>
      <c r="H27" s="6">
        <v>0</v>
      </c>
      <c r="I27" s="6">
        <v>0</v>
      </c>
      <c r="J27" s="6">
        <f t="shared" si="0"/>
        <v>20190.769153367415</v>
      </c>
      <c r="L27" s="12">
        <v>0.5</v>
      </c>
      <c r="M27" s="9">
        <v>8812.2812747970984</v>
      </c>
      <c r="N27" s="9">
        <v>3996.9000600082127</v>
      </c>
      <c r="O27" s="9">
        <v>0</v>
      </c>
      <c r="P27" s="9">
        <v>0</v>
      </c>
      <c r="Q27" s="9">
        <v>1510.5424877507637</v>
      </c>
      <c r="R27" s="9">
        <v>27.927821409943569</v>
      </c>
      <c r="S27" s="9">
        <v>0</v>
      </c>
      <c r="T27" s="9">
        <v>0</v>
      </c>
      <c r="U27">
        <f t="shared" si="1"/>
        <v>14347.651643966017</v>
      </c>
    </row>
    <row r="28" spans="1:21" x14ac:dyDescent="0.25">
      <c r="A28" s="12">
        <v>0.52083333333333337</v>
      </c>
      <c r="B28" s="6">
        <v>17903.576247858877</v>
      </c>
      <c r="C28" s="6">
        <v>656.24900241618911</v>
      </c>
      <c r="D28" s="6">
        <v>0</v>
      </c>
      <c r="E28" s="6">
        <v>0</v>
      </c>
      <c r="F28" s="6">
        <v>696.99055283611733</v>
      </c>
      <c r="G28" s="6">
        <v>0</v>
      </c>
      <c r="H28" s="6">
        <v>0</v>
      </c>
      <c r="I28" s="6">
        <v>0</v>
      </c>
      <c r="J28" s="6">
        <f t="shared" si="0"/>
        <v>19256.815803111182</v>
      </c>
      <c r="L28" s="12">
        <v>0.52083333333333337</v>
      </c>
      <c r="M28" s="9">
        <v>8006.4220980688751</v>
      </c>
      <c r="N28" s="9">
        <v>3761.6868559855548</v>
      </c>
      <c r="O28" s="9">
        <v>0</v>
      </c>
      <c r="P28" s="9">
        <v>0</v>
      </c>
      <c r="Q28" s="9">
        <v>1488.8456421534399</v>
      </c>
      <c r="R28" s="9">
        <v>28.292528407752318</v>
      </c>
      <c r="S28" s="9">
        <v>0</v>
      </c>
      <c r="T28" s="9">
        <v>0</v>
      </c>
      <c r="U28">
        <f t="shared" si="1"/>
        <v>13285.247124615622</v>
      </c>
    </row>
    <row r="29" spans="1:21" x14ac:dyDescent="0.25">
      <c r="A29" s="12">
        <v>0.54166666666666663</v>
      </c>
      <c r="B29" s="6">
        <v>15411.918024954708</v>
      </c>
      <c r="C29" s="6">
        <v>592.57207331920597</v>
      </c>
      <c r="D29" s="6">
        <v>0</v>
      </c>
      <c r="E29" s="6">
        <v>0</v>
      </c>
      <c r="F29" s="6">
        <v>531.83057117219835</v>
      </c>
      <c r="G29" s="6">
        <v>0</v>
      </c>
      <c r="H29" s="6">
        <v>0</v>
      </c>
      <c r="I29" s="6">
        <v>0</v>
      </c>
      <c r="J29" s="6">
        <f t="shared" si="0"/>
        <v>16536.320669446111</v>
      </c>
      <c r="L29" s="12">
        <v>0.54166666666666663</v>
      </c>
      <c r="M29" s="9">
        <v>6819.9467775552584</v>
      </c>
      <c r="N29" s="9">
        <v>3370.2576247623251</v>
      </c>
      <c r="O29" s="9">
        <v>0</v>
      </c>
      <c r="P29" s="9">
        <v>0</v>
      </c>
      <c r="Q29" s="9">
        <v>1404.1032671747275</v>
      </c>
      <c r="R29" s="9">
        <v>27.011490170507855</v>
      </c>
      <c r="S29" s="9">
        <v>0</v>
      </c>
      <c r="T29" s="9">
        <v>0</v>
      </c>
      <c r="U29">
        <f t="shared" si="1"/>
        <v>11621.319159662818</v>
      </c>
    </row>
    <row r="30" spans="1:21" x14ac:dyDescent="0.25">
      <c r="A30" s="12">
        <v>0.5625</v>
      </c>
      <c r="B30" s="6">
        <v>12101.369981584376</v>
      </c>
      <c r="C30" s="6">
        <v>482.77814271107292</v>
      </c>
      <c r="D30" s="6">
        <v>0</v>
      </c>
      <c r="E30" s="6">
        <v>0</v>
      </c>
      <c r="F30" s="6">
        <v>361.56987297017156</v>
      </c>
      <c r="G30" s="6">
        <v>0</v>
      </c>
      <c r="H30" s="6">
        <v>0</v>
      </c>
      <c r="I30" s="6">
        <v>0</v>
      </c>
      <c r="J30" s="6">
        <f t="shared" si="0"/>
        <v>12945.717997265619</v>
      </c>
      <c r="L30" s="12">
        <v>0.5625</v>
      </c>
      <c r="M30" s="9">
        <v>5522.5965416425279</v>
      </c>
      <c r="N30" s="9">
        <v>2920.3935970292341</v>
      </c>
      <c r="O30" s="9">
        <v>0</v>
      </c>
      <c r="P30" s="9">
        <v>0</v>
      </c>
      <c r="Q30" s="9">
        <v>1285.3962430361103</v>
      </c>
      <c r="R30" s="9">
        <v>25.080502756311823</v>
      </c>
      <c r="S30" s="9">
        <v>0</v>
      </c>
      <c r="T30" s="9">
        <v>0</v>
      </c>
      <c r="U30">
        <f t="shared" si="1"/>
        <v>9753.4668844641819</v>
      </c>
    </row>
    <row r="31" spans="1:21" x14ac:dyDescent="0.25">
      <c r="A31" s="12">
        <v>0.58333333333333337</v>
      </c>
      <c r="B31" s="6">
        <v>8878.2493082753699</v>
      </c>
      <c r="C31" s="6">
        <v>364.2596796095437</v>
      </c>
      <c r="D31" s="6">
        <v>0</v>
      </c>
      <c r="E31" s="6">
        <v>0</v>
      </c>
      <c r="F31" s="6">
        <v>227.13735445654112</v>
      </c>
      <c r="G31" s="6">
        <v>0</v>
      </c>
      <c r="H31" s="6">
        <v>0</v>
      </c>
      <c r="I31" s="6">
        <v>0</v>
      </c>
      <c r="J31" s="6">
        <f t="shared" si="0"/>
        <v>9469.6463423414552</v>
      </c>
      <c r="L31" s="12">
        <v>0.58333333333333337</v>
      </c>
      <c r="M31" s="9">
        <v>4335.1817905576791</v>
      </c>
      <c r="N31" s="9">
        <v>2494.6555990380807</v>
      </c>
      <c r="O31" s="9">
        <v>0</v>
      </c>
      <c r="P31" s="9">
        <v>0</v>
      </c>
      <c r="Q31" s="9">
        <v>1158.8044827502436</v>
      </c>
      <c r="R31" s="9">
        <v>23.30591997434885</v>
      </c>
      <c r="S31" s="9">
        <v>0</v>
      </c>
      <c r="T31" s="9">
        <v>0</v>
      </c>
      <c r="U31">
        <f t="shared" si="1"/>
        <v>8011.9477923203513</v>
      </c>
    </row>
    <row r="32" spans="1:21" x14ac:dyDescent="0.25">
      <c r="A32" s="12">
        <v>0.60416666666666663</v>
      </c>
      <c r="B32" s="6">
        <v>6316.3133591435926</v>
      </c>
      <c r="C32" s="6">
        <v>270.17277245361993</v>
      </c>
      <c r="D32" s="6">
        <v>0</v>
      </c>
      <c r="E32" s="6">
        <v>0</v>
      </c>
      <c r="F32" s="6">
        <v>138.22012631532851</v>
      </c>
      <c r="G32" s="6">
        <v>0</v>
      </c>
      <c r="H32" s="6">
        <v>0</v>
      </c>
      <c r="I32" s="6">
        <v>0</v>
      </c>
      <c r="J32" s="6">
        <f t="shared" si="0"/>
        <v>6724.7062579125404</v>
      </c>
      <c r="L32" s="12">
        <v>0.60416666666666663</v>
      </c>
      <c r="M32" s="9">
        <v>3356.250060273042</v>
      </c>
      <c r="N32" s="9">
        <v>2128.5595320191169</v>
      </c>
      <c r="O32" s="9">
        <v>0</v>
      </c>
      <c r="P32" s="9">
        <v>0</v>
      </c>
      <c r="Q32" s="9">
        <v>1037.6374323376192</v>
      </c>
      <c r="R32" s="9">
        <v>21.818183690417452</v>
      </c>
      <c r="S32" s="9">
        <v>0</v>
      </c>
      <c r="T32" s="9">
        <v>0</v>
      </c>
      <c r="U32">
        <f t="shared" si="1"/>
        <v>6544.2652083201956</v>
      </c>
    </row>
    <row r="33" spans="1:21" x14ac:dyDescent="0.25">
      <c r="A33" s="12">
        <v>0.625</v>
      </c>
      <c r="B33" s="6">
        <v>4542.9852926076328</v>
      </c>
      <c r="C33" s="6">
        <v>210.75602481947365</v>
      </c>
      <c r="D33" s="6">
        <v>0</v>
      </c>
      <c r="E33" s="6">
        <v>0</v>
      </c>
      <c r="F33" s="6">
        <v>83.724908189265747</v>
      </c>
      <c r="G33" s="6">
        <v>0</v>
      </c>
      <c r="H33" s="6">
        <v>0</v>
      </c>
      <c r="I33" s="6">
        <v>0</v>
      </c>
      <c r="J33" s="6">
        <f t="shared" si="0"/>
        <v>4837.4662256163729</v>
      </c>
      <c r="L33" s="12">
        <v>0.625</v>
      </c>
      <c r="M33" s="9">
        <v>2581.309878985463</v>
      </c>
      <c r="N33" s="9">
        <v>1818.2149392201306</v>
      </c>
      <c r="O33" s="9">
        <v>0</v>
      </c>
      <c r="P33" s="9">
        <v>0</v>
      </c>
      <c r="Q33" s="9">
        <v>925.36398771053189</v>
      </c>
      <c r="R33" s="9">
        <v>20.394037446810845</v>
      </c>
      <c r="S33" s="9">
        <v>0</v>
      </c>
      <c r="T33" s="9">
        <v>0</v>
      </c>
      <c r="U33">
        <f t="shared" si="1"/>
        <v>5345.2828433629365</v>
      </c>
    </row>
    <row r="34" spans="1:21" x14ac:dyDescent="0.25">
      <c r="A34" s="12">
        <v>0.64583333333333337</v>
      </c>
      <c r="B34" s="6">
        <v>3376.8972713395274</v>
      </c>
      <c r="C34" s="6">
        <v>174.20636055044088</v>
      </c>
      <c r="D34" s="6">
        <v>0</v>
      </c>
      <c r="E34" s="6">
        <v>0</v>
      </c>
      <c r="F34" s="6">
        <v>49.356315189678824</v>
      </c>
      <c r="G34" s="6">
        <v>0</v>
      </c>
      <c r="H34" s="6">
        <v>0</v>
      </c>
      <c r="I34" s="6">
        <v>0</v>
      </c>
      <c r="J34" s="6">
        <f t="shared" si="0"/>
        <v>3600.459947079647</v>
      </c>
      <c r="L34" s="12">
        <v>0.64583333333333337</v>
      </c>
      <c r="M34" s="9">
        <v>1971.0741067429997</v>
      </c>
      <c r="N34" s="9">
        <v>1550.7131754673501</v>
      </c>
      <c r="O34" s="9">
        <v>0</v>
      </c>
      <c r="P34" s="9">
        <v>0</v>
      </c>
      <c r="Q34" s="9">
        <v>824.15569720866188</v>
      </c>
      <c r="R34" s="9">
        <v>19.138483896257089</v>
      </c>
      <c r="S34" s="9">
        <v>0</v>
      </c>
      <c r="T34" s="9">
        <v>0</v>
      </c>
      <c r="U34">
        <f t="shared" si="1"/>
        <v>4365.0814633152686</v>
      </c>
    </row>
    <row r="35" spans="1:21" x14ac:dyDescent="0.25">
      <c r="A35" s="12">
        <v>0.66666666666666663</v>
      </c>
      <c r="B35" s="6">
        <v>2554.6717320617763</v>
      </c>
      <c r="C35" s="6">
        <v>142.88252267217746</v>
      </c>
      <c r="D35" s="6">
        <v>0</v>
      </c>
      <c r="E35" s="6">
        <v>0</v>
      </c>
      <c r="F35" s="6">
        <v>26.719512681259474</v>
      </c>
      <c r="G35" s="6">
        <v>0</v>
      </c>
      <c r="H35" s="6">
        <v>0</v>
      </c>
      <c r="I35" s="6">
        <v>0</v>
      </c>
      <c r="J35" s="6">
        <f t="shared" si="0"/>
        <v>2724.2737674152131</v>
      </c>
      <c r="L35" s="12">
        <v>0.66666666666666663</v>
      </c>
      <c r="M35" s="9">
        <v>1498.0493757567897</v>
      </c>
      <c r="N35" s="9">
        <v>1323.9026279277878</v>
      </c>
      <c r="O35" s="9">
        <v>0</v>
      </c>
      <c r="P35" s="9">
        <v>0</v>
      </c>
      <c r="Q35" s="9">
        <v>738.52697421523089</v>
      </c>
      <c r="R35" s="9">
        <v>18.711436173814199</v>
      </c>
      <c r="S35" s="9">
        <v>0</v>
      </c>
      <c r="T35" s="9">
        <v>0</v>
      </c>
      <c r="U35">
        <f t="shared" si="1"/>
        <v>3579.1904140736224</v>
      </c>
    </row>
    <row r="36" spans="1:21" x14ac:dyDescent="0.25">
      <c r="A36" s="12">
        <v>0.6875</v>
      </c>
      <c r="B36" s="6">
        <v>1896.1306434182784</v>
      </c>
      <c r="C36" s="6">
        <v>107.97793537702843</v>
      </c>
      <c r="D36" s="6">
        <v>0</v>
      </c>
      <c r="E36" s="6">
        <v>0</v>
      </c>
      <c r="F36" s="6">
        <v>12.523505570233603</v>
      </c>
      <c r="G36" s="6">
        <v>0</v>
      </c>
      <c r="H36" s="6">
        <v>0</v>
      </c>
      <c r="I36" s="6">
        <v>0</v>
      </c>
      <c r="J36" s="6">
        <f t="shared" si="0"/>
        <v>2016.6320843655403</v>
      </c>
      <c r="L36" s="12">
        <v>0.6875</v>
      </c>
      <c r="M36" s="9">
        <v>1147.8739061723425</v>
      </c>
      <c r="N36" s="9">
        <v>1142.3220122825337</v>
      </c>
      <c r="O36" s="9">
        <v>0</v>
      </c>
      <c r="P36" s="9">
        <v>0</v>
      </c>
      <c r="Q36" s="9">
        <v>671.60949328447577</v>
      </c>
      <c r="R36" s="9">
        <v>19.803595924773688</v>
      </c>
      <c r="S36" s="9">
        <v>0</v>
      </c>
      <c r="T36" s="9">
        <v>0</v>
      </c>
      <c r="U36">
        <f t="shared" si="1"/>
        <v>2981.6090076641253</v>
      </c>
    </row>
    <row r="37" spans="1:21" x14ac:dyDescent="0.25">
      <c r="A37" s="12">
        <v>0.70833333333333337</v>
      </c>
      <c r="B37" s="6">
        <v>1344.4614485341167</v>
      </c>
      <c r="C37" s="6">
        <v>71.88160260702648</v>
      </c>
      <c r="D37" s="6">
        <v>0</v>
      </c>
      <c r="E37" s="6">
        <v>0</v>
      </c>
      <c r="F37" s="6">
        <v>4.8506002346445314</v>
      </c>
      <c r="G37" s="6">
        <v>0</v>
      </c>
      <c r="H37" s="6">
        <v>0</v>
      </c>
      <c r="I37" s="6">
        <v>0</v>
      </c>
      <c r="J37" s="6">
        <f t="shared" si="0"/>
        <v>1421.1936513757878</v>
      </c>
      <c r="L37" s="12">
        <v>0.70833333333333337</v>
      </c>
      <c r="M37" s="9">
        <v>901.27806186235819</v>
      </c>
      <c r="N37" s="9">
        <v>1002.532831186975</v>
      </c>
      <c r="O37" s="9">
        <v>0</v>
      </c>
      <c r="P37" s="9">
        <v>0</v>
      </c>
      <c r="Q37" s="9">
        <v>619.63940926474811</v>
      </c>
      <c r="R37" s="9">
        <v>22.329564565766717</v>
      </c>
      <c r="S37" s="9">
        <v>0</v>
      </c>
      <c r="T37" s="9">
        <v>0</v>
      </c>
      <c r="U37">
        <f t="shared" si="1"/>
        <v>2545.7798668798482</v>
      </c>
    </row>
    <row r="38" spans="1:21" x14ac:dyDescent="0.25">
      <c r="A38" s="12">
        <v>0.72916666666666663</v>
      </c>
      <c r="B38" s="6">
        <v>913.97806209171108</v>
      </c>
      <c r="C38" s="6">
        <v>41.369881068454212</v>
      </c>
      <c r="D38" s="6">
        <v>0</v>
      </c>
      <c r="E38" s="6">
        <v>0</v>
      </c>
      <c r="F38" s="6">
        <v>1.4915195474636564</v>
      </c>
      <c r="G38" s="6">
        <v>0</v>
      </c>
      <c r="H38" s="6">
        <v>0</v>
      </c>
      <c r="I38" s="6">
        <v>0</v>
      </c>
      <c r="J38" s="6">
        <f t="shared" si="0"/>
        <v>956.83946270762897</v>
      </c>
      <c r="L38" s="12">
        <v>0.72916666666666663</v>
      </c>
      <c r="M38" s="9">
        <v>726.8359753000542</v>
      </c>
      <c r="N38" s="9">
        <v>887.19361620242159</v>
      </c>
      <c r="O38" s="9">
        <v>0</v>
      </c>
      <c r="P38" s="9">
        <v>0</v>
      </c>
      <c r="Q38" s="9">
        <v>571.44774638876311</v>
      </c>
      <c r="R38" s="9">
        <v>25.114935746053696</v>
      </c>
      <c r="S38" s="9">
        <v>0</v>
      </c>
      <c r="T38" s="9">
        <v>0</v>
      </c>
      <c r="U38">
        <f t="shared" si="1"/>
        <v>2210.5922736372922</v>
      </c>
    </row>
    <row r="39" spans="1:21" x14ac:dyDescent="0.25">
      <c r="A39" s="12">
        <v>0.75</v>
      </c>
      <c r="B39" s="6">
        <v>621.5167155202605</v>
      </c>
      <c r="C39" s="6">
        <v>20.857175577117417</v>
      </c>
      <c r="D39" s="6">
        <v>0</v>
      </c>
      <c r="E39" s="6">
        <v>0</v>
      </c>
      <c r="F39" s="6">
        <v>0.34812324882757373</v>
      </c>
      <c r="G39" s="6">
        <v>0</v>
      </c>
      <c r="H39" s="6">
        <v>0</v>
      </c>
      <c r="I39" s="6">
        <v>0</v>
      </c>
      <c r="J39" s="6">
        <f t="shared" si="0"/>
        <v>642.72201434620558</v>
      </c>
      <c r="L39" s="12">
        <v>0.75</v>
      </c>
      <c r="M39" s="9">
        <v>590.88110157100652</v>
      </c>
      <c r="N39" s="9">
        <v>774.60428487076319</v>
      </c>
      <c r="O39" s="9">
        <v>0</v>
      </c>
      <c r="P39" s="9">
        <v>0</v>
      </c>
      <c r="Q39" s="9">
        <v>515.41144095019445</v>
      </c>
      <c r="R39" s="9">
        <v>26.495338623091069</v>
      </c>
      <c r="S39" s="9">
        <v>0</v>
      </c>
      <c r="T39" s="9">
        <v>0</v>
      </c>
      <c r="U39">
        <f t="shared" si="1"/>
        <v>1907.3921660150552</v>
      </c>
    </row>
    <row r="40" spans="1:21" x14ac:dyDescent="0.25">
      <c r="A40" s="12">
        <v>0.77083333333333337</v>
      </c>
      <c r="B40" s="6">
        <v>452.13487583790447</v>
      </c>
      <c r="C40" s="6">
        <v>10.660860098752035</v>
      </c>
      <c r="D40" s="6">
        <v>0</v>
      </c>
      <c r="E40" s="6">
        <v>0</v>
      </c>
      <c r="F40" s="6">
        <v>5.7799458059389866E-2</v>
      </c>
      <c r="G40" s="6">
        <v>0</v>
      </c>
      <c r="H40" s="6">
        <v>0</v>
      </c>
      <c r="I40" s="6">
        <v>0</v>
      </c>
      <c r="J40" s="6">
        <f t="shared" si="0"/>
        <v>462.85353539471589</v>
      </c>
      <c r="L40" s="12">
        <v>0.77083333333333337</v>
      </c>
      <c r="M40" s="9">
        <v>472.51367103820724</v>
      </c>
      <c r="N40" s="9">
        <v>654.80926912525547</v>
      </c>
      <c r="O40" s="9">
        <v>0</v>
      </c>
      <c r="P40" s="9">
        <v>0</v>
      </c>
      <c r="Q40" s="9">
        <v>449.50189267628599</v>
      </c>
      <c r="R40" s="9">
        <v>25.47336327824112</v>
      </c>
      <c r="S40" s="9">
        <v>0</v>
      </c>
      <c r="T40" s="9">
        <v>0</v>
      </c>
      <c r="U40">
        <f t="shared" si="1"/>
        <v>1602.2981961179896</v>
      </c>
    </row>
    <row r="41" spans="1:21" x14ac:dyDescent="0.25">
      <c r="A41" s="12">
        <v>0.79166666666666663</v>
      </c>
      <c r="B41" s="6">
        <v>362.52800819339581</v>
      </c>
      <c r="C41" s="6">
        <v>8.7915564599034681</v>
      </c>
      <c r="D41" s="6">
        <v>0</v>
      </c>
      <c r="E41" s="6">
        <v>0</v>
      </c>
      <c r="F41" s="6">
        <v>6.0754566566658015E-3</v>
      </c>
      <c r="G41" s="6">
        <v>0</v>
      </c>
      <c r="H41" s="6">
        <v>0</v>
      </c>
      <c r="I41" s="6">
        <v>0</v>
      </c>
      <c r="J41" s="6">
        <f t="shared" si="0"/>
        <v>371.32564010995594</v>
      </c>
      <c r="L41" s="12">
        <v>0.79166666666666663</v>
      </c>
      <c r="M41" s="9">
        <v>369.67304909523318</v>
      </c>
      <c r="N41" s="9">
        <v>537.14376989428615</v>
      </c>
      <c r="O41" s="9">
        <v>0</v>
      </c>
      <c r="P41" s="9">
        <v>0</v>
      </c>
      <c r="Q41" s="9">
        <v>385.22502462164942</v>
      </c>
      <c r="R41" s="9">
        <v>22.492238949126495</v>
      </c>
      <c r="S41" s="9">
        <v>0</v>
      </c>
      <c r="T41" s="9">
        <v>0</v>
      </c>
      <c r="U41">
        <f t="shared" si="1"/>
        <v>1314.5340825602952</v>
      </c>
    </row>
    <row r="42" spans="1:21" x14ac:dyDescent="0.25">
      <c r="A42" s="12">
        <v>0.8125</v>
      </c>
      <c r="B42" s="6">
        <v>303.20745366401769</v>
      </c>
      <c r="C42" s="6">
        <v>12.71001087466346</v>
      </c>
      <c r="D42" s="6">
        <v>0</v>
      </c>
      <c r="E42" s="6">
        <v>0</v>
      </c>
      <c r="F42" s="6">
        <v>3.0377283283329008E-4</v>
      </c>
      <c r="G42" s="6">
        <v>0</v>
      </c>
      <c r="H42" s="6">
        <v>0</v>
      </c>
      <c r="I42" s="6">
        <v>0</v>
      </c>
      <c r="J42" s="6">
        <f t="shared" si="0"/>
        <v>315.91776831151395</v>
      </c>
      <c r="L42" s="12">
        <v>0.8125</v>
      </c>
      <c r="M42" s="9">
        <v>291.40070092060137</v>
      </c>
      <c r="N42" s="9">
        <v>441.4024393643038</v>
      </c>
      <c r="O42" s="9">
        <v>0</v>
      </c>
      <c r="P42" s="9">
        <v>0</v>
      </c>
      <c r="Q42" s="9">
        <v>339.47254523969804</v>
      </c>
      <c r="R42" s="9">
        <v>19.086948815634685</v>
      </c>
      <c r="S42" s="9">
        <v>0</v>
      </c>
      <c r="T42" s="9">
        <v>0</v>
      </c>
      <c r="U42">
        <f t="shared" si="1"/>
        <v>1091.3626343402379</v>
      </c>
    </row>
    <row r="43" spans="1:21" x14ac:dyDescent="0.25">
      <c r="A43" s="12">
        <v>0.83333333333333337</v>
      </c>
      <c r="B43" s="6">
        <v>241.2018984260543</v>
      </c>
      <c r="C43" s="6">
        <v>19.548662653784177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f t="shared" si="0"/>
        <v>260.75056107983846</v>
      </c>
      <c r="L43" s="12">
        <v>0.83333333333333337</v>
      </c>
      <c r="M43" s="9">
        <v>243.14454267403781</v>
      </c>
      <c r="N43" s="9">
        <v>379.64746720143944</v>
      </c>
      <c r="O43" s="9">
        <v>0</v>
      </c>
      <c r="P43" s="9">
        <v>0</v>
      </c>
      <c r="Q43" s="9">
        <v>319.48049537981285</v>
      </c>
      <c r="R43" s="9">
        <v>16.642002543250317</v>
      </c>
      <c r="S43" s="9">
        <v>0</v>
      </c>
      <c r="T43" s="9">
        <v>0</v>
      </c>
      <c r="U43">
        <f t="shared" si="1"/>
        <v>958.9145077985404</v>
      </c>
    </row>
    <row r="44" spans="1:21" x14ac:dyDescent="0.25">
      <c r="A44" s="12">
        <v>0.85416666666666663</v>
      </c>
      <c r="B44" s="6">
        <v>169.97072155834769</v>
      </c>
      <c r="C44" s="6">
        <v>25.86525029502161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f t="shared" si="0"/>
        <v>195.8359718533693</v>
      </c>
      <c r="L44" s="12">
        <v>0.85416666666666663</v>
      </c>
      <c r="M44" s="9">
        <v>217.57032754253626</v>
      </c>
      <c r="N44" s="9">
        <v>344.69548952618271</v>
      </c>
      <c r="O44" s="9">
        <v>0</v>
      </c>
      <c r="P44" s="9">
        <v>0</v>
      </c>
      <c r="Q44" s="9">
        <v>314.47676328797155</v>
      </c>
      <c r="R44" s="9">
        <v>15.350268389768814</v>
      </c>
      <c r="S44" s="9">
        <v>0</v>
      </c>
      <c r="T44" s="9">
        <v>0</v>
      </c>
      <c r="U44">
        <f t="shared" si="1"/>
        <v>892.09284874645937</v>
      </c>
    </row>
    <row r="45" spans="1:21" x14ac:dyDescent="0.25">
      <c r="A45" s="12">
        <v>0.875</v>
      </c>
      <c r="B45" s="6">
        <v>101.64812287984077</v>
      </c>
      <c r="C45" s="6">
        <v>28.424917889249414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f t="shared" si="0"/>
        <v>130.0730407690902</v>
      </c>
      <c r="L45" s="12">
        <v>0.875</v>
      </c>
      <c r="M45" s="9">
        <v>198.01187559401029</v>
      </c>
      <c r="N45" s="9">
        <v>315.35312653394817</v>
      </c>
      <c r="O45" s="9">
        <v>0</v>
      </c>
      <c r="P45" s="9">
        <v>0</v>
      </c>
      <c r="Q45" s="9">
        <v>302.69289958547154</v>
      </c>
      <c r="R45" s="9">
        <v>14.295295313551659</v>
      </c>
      <c r="S45" s="9">
        <v>0</v>
      </c>
      <c r="T45" s="9">
        <v>0</v>
      </c>
      <c r="U45">
        <f t="shared" si="1"/>
        <v>830.35319702698155</v>
      </c>
    </row>
    <row r="46" spans="1:21" x14ac:dyDescent="0.25">
      <c r="A46" s="12">
        <v>0.89583333333333337</v>
      </c>
      <c r="B46" s="6">
        <v>50.174369332599092</v>
      </c>
      <c r="C46" s="6">
        <v>25.838452195463887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f t="shared" si="0"/>
        <v>76.012821528062972</v>
      </c>
      <c r="L46" s="12">
        <v>0.89583333333333337</v>
      </c>
      <c r="M46" s="9">
        <v>170.17288431314569</v>
      </c>
      <c r="N46" s="9">
        <v>272.95426421300346</v>
      </c>
      <c r="O46" s="9">
        <v>0</v>
      </c>
      <c r="P46" s="9">
        <v>0</v>
      </c>
      <c r="Q46" s="9">
        <v>267.91493366202667</v>
      </c>
      <c r="R46" s="9">
        <v>12.475132000461061</v>
      </c>
      <c r="S46" s="9">
        <v>0</v>
      </c>
      <c r="T46" s="9">
        <v>0</v>
      </c>
      <c r="U46">
        <f t="shared" si="1"/>
        <v>723.51721418863679</v>
      </c>
    </row>
    <row r="47" spans="1:21" x14ac:dyDescent="0.25">
      <c r="A47" s="12">
        <v>0.91666666666666663</v>
      </c>
      <c r="B47" s="6">
        <v>19.958440465880113</v>
      </c>
      <c r="C47" s="6">
        <v>19.378735159524933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f t="shared" si="0"/>
        <v>39.337175625405045</v>
      </c>
      <c r="L47" s="12">
        <v>0.91666666666666663</v>
      </c>
      <c r="M47" s="9">
        <v>131.0287076996112</v>
      </c>
      <c r="N47" s="9">
        <v>214.06615850960785</v>
      </c>
      <c r="O47" s="9">
        <v>0</v>
      </c>
      <c r="P47" s="9">
        <v>0</v>
      </c>
      <c r="Q47" s="9">
        <v>210.78266895589849</v>
      </c>
      <c r="R47" s="9">
        <v>9.7102212975236455</v>
      </c>
      <c r="S47" s="9">
        <v>0</v>
      </c>
      <c r="T47" s="9">
        <v>0</v>
      </c>
      <c r="U47">
        <f t="shared" si="1"/>
        <v>565.5877564626411</v>
      </c>
    </row>
    <row r="48" spans="1:21" x14ac:dyDescent="0.25">
      <c r="A48" s="12">
        <v>0.9375</v>
      </c>
      <c r="B48" s="6">
        <v>6.2231531830153939</v>
      </c>
      <c r="C48" s="6">
        <v>11.925375482784574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f t="shared" si="0"/>
        <v>18.148528665799969</v>
      </c>
      <c r="L48" s="12">
        <v>0.9375</v>
      </c>
      <c r="M48" s="9">
        <v>87.991223400469877</v>
      </c>
      <c r="N48" s="9">
        <v>149.49599588622027</v>
      </c>
      <c r="O48" s="9">
        <v>0</v>
      </c>
      <c r="P48" s="9">
        <v>0</v>
      </c>
      <c r="Q48" s="9">
        <v>145.91754300662916</v>
      </c>
      <c r="R48" s="9">
        <v>6.6470631547492145</v>
      </c>
      <c r="S48" s="9">
        <v>0</v>
      </c>
      <c r="T48" s="9">
        <v>0</v>
      </c>
      <c r="U48">
        <f t="shared" si="1"/>
        <v>390.05182544806854</v>
      </c>
    </row>
    <row r="49" spans="1:21" x14ac:dyDescent="0.25">
      <c r="A49" s="12">
        <v>0.95833333333333337</v>
      </c>
      <c r="B49" s="6">
        <v>1.4631555881433156</v>
      </c>
      <c r="C49" s="6">
        <v>5.9626877413922879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f t="shared" si="0"/>
        <v>7.4258433295356037</v>
      </c>
      <c r="L49" s="12">
        <v>0.95833333333333337</v>
      </c>
      <c r="M49" s="9">
        <v>51.035968634364451</v>
      </c>
      <c r="N49" s="9">
        <v>93.307005043403436</v>
      </c>
      <c r="O49" s="9">
        <v>0</v>
      </c>
      <c r="P49" s="9">
        <v>0</v>
      </c>
      <c r="Q49" s="9">
        <v>89.66759267414966</v>
      </c>
      <c r="R49" s="9">
        <v>4.0750551313320766</v>
      </c>
      <c r="S49" s="9">
        <v>0</v>
      </c>
      <c r="T49" s="9">
        <v>0</v>
      </c>
      <c r="U49">
        <f t="shared" si="1"/>
        <v>238.08562148324961</v>
      </c>
    </row>
    <row r="50" spans="1:21" x14ac:dyDescent="0.25">
      <c r="A50" s="12">
        <v>0.97916666666666663</v>
      </c>
      <c r="B50" s="6">
        <v>0.24381553680534362</v>
      </c>
      <c r="C50" s="6">
        <v>2.385075096556915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f t="shared" si="0"/>
        <v>2.6288906333622588</v>
      </c>
      <c r="L50" s="12">
        <v>0.97916666666666663</v>
      </c>
      <c r="M50" s="9">
        <v>25.646156204023246</v>
      </c>
      <c r="N50" s="9">
        <v>53.090944996383094</v>
      </c>
      <c r="O50" s="9">
        <v>0</v>
      </c>
      <c r="P50" s="9">
        <v>0</v>
      </c>
      <c r="Q50" s="9">
        <v>50.222390659334813</v>
      </c>
      <c r="R50" s="9">
        <v>2.3456233654237302</v>
      </c>
      <c r="S50" s="9">
        <v>0</v>
      </c>
      <c r="T50" s="9">
        <v>0</v>
      </c>
      <c r="U50">
        <f t="shared" si="1"/>
        <v>131.30511522516488</v>
      </c>
    </row>
    <row r="51" spans="1:21" x14ac:dyDescent="0.25">
      <c r="A51" s="12">
        <v>1</v>
      </c>
      <c r="B51" s="6">
        <v>2.5664793347930911E-2</v>
      </c>
      <c r="C51" s="6">
        <v>0.74533596767403587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f t="shared" si="0"/>
        <v>0.7710007610219668</v>
      </c>
      <c r="L51" s="12">
        <v>1</v>
      </c>
      <c r="M51" s="9">
        <v>11.357637096355791</v>
      </c>
      <c r="N51" s="9">
        <v>28.280934640427407</v>
      </c>
      <c r="O51" s="9">
        <v>0</v>
      </c>
      <c r="P51" s="9">
        <v>0</v>
      </c>
      <c r="Q51" s="9">
        <v>26.599120096109605</v>
      </c>
      <c r="R51" s="9">
        <v>1.3366606666779592</v>
      </c>
      <c r="S51" s="9">
        <v>0</v>
      </c>
      <c r="T51" s="9">
        <v>0</v>
      </c>
      <c r="U51">
        <f t="shared" si="1"/>
        <v>67.574352499570765</v>
      </c>
    </row>
    <row r="52" spans="1:21" x14ac:dyDescent="0.25">
      <c r="A52" s="12">
        <v>1.0208333333333333</v>
      </c>
      <c r="B52" s="6">
        <v>1.2832396673965454E-3</v>
      </c>
      <c r="C52" s="6">
        <v>0.17537316886447904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f t="shared" si="0"/>
        <v>0.17665640853187559</v>
      </c>
      <c r="L52" s="12">
        <v>1.0208333333333333</v>
      </c>
      <c r="M52" s="9">
        <v>4.5753036410535604</v>
      </c>
      <c r="N52" s="9">
        <v>14.29672865100887</v>
      </c>
      <c r="O52" s="9">
        <v>0</v>
      </c>
      <c r="P52" s="9">
        <v>0</v>
      </c>
      <c r="Q52" s="9">
        <v>13.627473277911971</v>
      </c>
      <c r="R52" s="9">
        <v>0.76003483607377054</v>
      </c>
      <c r="S52" s="9">
        <v>0</v>
      </c>
      <c r="T52" s="9">
        <v>0</v>
      </c>
      <c r="U52">
        <f t="shared" si="1"/>
        <v>33.259540406048174</v>
      </c>
    </row>
    <row r="53" spans="1:21" x14ac:dyDescent="0.25">
      <c r="A53" s="12">
        <v>4.1666666666666664E-2</v>
      </c>
      <c r="B53" s="6">
        <v>0</v>
      </c>
      <c r="C53" s="6">
        <v>2.9228861477413173E-2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f t="shared" si="0"/>
        <v>2.9228861477413173E-2</v>
      </c>
      <c r="L53" s="12">
        <v>4.1666666666666664E-2</v>
      </c>
      <c r="M53" s="9">
        <v>1.73390607777628</v>
      </c>
      <c r="N53" s="9">
        <v>6.7424584103408396</v>
      </c>
      <c r="O53" s="9">
        <v>0</v>
      </c>
      <c r="P53" s="9">
        <v>0</v>
      </c>
      <c r="Q53" s="9">
        <v>6.6366341746013724</v>
      </c>
      <c r="R53" s="9">
        <v>0.40853210416410279</v>
      </c>
      <c r="S53" s="9">
        <v>0</v>
      </c>
      <c r="T53" s="9">
        <v>0</v>
      </c>
      <c r="U53">
        <f t="shared" si="1"/>
        <v>15.521530766882595</v>
      </c>
    </row>
    <row r="54" spans="1:21" x14ac:dyDescent="0.25">
      <c r="A54" s="12">
        <v>6.25E-2</v>
      </c>
      <c r="B54" s="6">
        <v>0</v>
      </c>
      <c r="C54" s="6">
        <v>3.0767222607803349E-3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f t="shared" si="0"/>
        <v>3.0767222607803349E-3</v>
      </c>
      <c r="L54" s="12">
        <v>6.25E-2</v>
      </c>
      <c r="M54" s="9">
        <v>0.62152879588342436</v>
      </c>
      <c r="N54" s="9">
        <v>2.8402256343813361</v>
      </c>
      <c r="O54" s="9">
        <v>0</v>
      </c>
      <c r="P54" s="9">
        <v>0</v>
      </c>
      <c r="Q54" s="9">
        <v>2.9167495148023717</v>
      </c>
      <c r="R54" s="9">
        <v>0.19294870079813126</v>
      </c>
      <c r="S54" s="9">
        <v>0</v>
      </c>
      <c r="T54" s="9">
        <v>0</v>
      </c>
      <c r="U54">
        <f t="shared" si="1"/>
        <v>6.5714526458652633</v>
      </c>
    </row>
    <row r="55" spans="1:21" x14ac:dyDescent="0.25">
      <c r="A55" s="12">
        <v>8.3333333333333329E-2</v>
      </c>
      <c r="B55" s="6">
        <v>0</v>
      </c>
      <c r="C55" s="6">
        <v>1.5383611303901673E-4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f t="shared" si="0"/>
        <v>1.5383611303901673E-4</v>
      </c>
      <c r="L55" s="12">
        <v>8.3333333333333329E-2</v>
      </c>
      <c r="M55" s="9">
        <v>0.20235034454286183</v>
      </c>
      <c r="N55" s="9">
        <v>1.0149374258733626</v>
      </c>
      <c r="O55" s="9">
        <v>0</v>
      </c>
      <c r="P55" s="9">
        <v>0</v>
      </c>
      <c r="Q55" s="9">
        <v>1.090029914702944</v>
      </c>
      <c r="R55" s="9">
        <v>7.550284051052121E-2</v>
      </c>
      <c r="S55" s="9">
        <v>0</v>
      </c>
      <c r="T55" s="9">
        <v>0</v>
      </c>
      <c r="U55">
        <f t="shared" si="1"/>
        <v>2.3828205256296897</v>
      </c>
    </row>
    <row r="56" spans="1:21" x14ac:dyDescent="0.25">
      <c r="A56" s="12">
        <v>0.10416666666666667</v>
      </c>
      <c r="B56" s="6">
        <v>0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f t="shared" si="0"/>
        <v>0</v>
      </c>
      <c r="L56" s="12">
        <v>0.10416666666666667</v>
      </c>
      <c r="M56" s="9">
        <v>5.585273856991628E-2</v>
      </c>
      <c r="N56" s="9">
        <v>0.29264497115022364</v>
      </c>
      <c r="O56" s="9">
        <v>0</v>
      </c>
      <c r="P56" s="9">
        <v>0</v>
      </c>
      <c r="Q56" s="9">
        <v>0.32823370555662085</v>
      </c>
      <c r="R56" s="9">
        <v>2.3388623965274274E-2</v>
      </c>
      <c r="S56" s="9">
        <v>0</v>
      </c>
      <c r="T56" s="9">
        <v>0</v>
      </c>
      <c r="U56">
        <f t="shared" si="1"/>
        <v>0.70012003924203503</v>
      </c>
    </row>
    <row r="57" spans="1:21" x14ac:dyDescent="0.25">
      <c r="A57" s="12">
        <v>0.125</v>
      </c>
      <c r="B57" s="6">
        <v>0</v>
      </c>
      <c r="C57" s="6">
        <v>0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f t="shared" si="0"/>
        <v>0</v>
      </c>
      <c r="L57" s="12">
        <v>0.125</v>
      </c>
      <c r="M57" s="9">
        <v>1.1946043542675956E-2</v>
      </c>
      <c r="N57" s="9">
        <v>6.3633686192914013E-2</v>
      </c>
      <c r="O57" s="9">
        <v>0</v>
      </c>
      <c r="P57" s="9">
        <v>0</v>
      </c>
      <c r="Q57" s="9">
        <v>7.4271581403155554E-2</v>
      </c>
      <c r="R57" s="9">
        <v>5.3856372833251953E-3</v>
      </c>
      <c r="S57" s="9">
        <v>0</v>
      </c>
      <c r="T57" s="9">
        <v>0</v>
      </c>
      <c r="U57">
        <f t="shared" si="1"/>
        <v>0.1552369484220707</v>
      </c>
    </row>
    <row r="58" spans="1:21" ht="15.75" thickBot="1" x14ac:dyDescent="0.3">
      <c r="A58" s="13" t="s">
        <v>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f t="shared" si="0"/>
        <v>0</v>
      </c>
      <c r="L58" s="13" t="s">
        <v>6</v>
      </c>
      <c r="M58" s="10">
        <v>0</v>
      </c>
      <c r="N58" s="10">
        <v>0</v>
      </c>
      <c r="O58" s="10">
        <v>0</v>
      </c>
      <c r="P58" s="10">
        <v>0</v>
      </c>
      <c r="Q58" s="10">
        <v>0</v>
      </c>
      <c r="R58" s="10">
        <v>0</v>
      </c>
      <c r="S58" s="10">
        <v>0</v>
      </c>
      <c r="T58" s="10">
        <v>0</v>
      </c>
      <c r="U58" s="1">
        <f t="shared" si="1"/>
        <v>0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width="12.7109375" customWidth="1" collapsed="1"/>
    <col min="2" max="10" width="10.7109375" customWidth="1" collapsed="1"/>
    <col min="11" max="11" width="6.42578125" customWidth="1" collapsed="1"/>
    <col min="12" max="12" width="12.7109375" customWidth="1" collapsed="1"/>
    <col min="13" max="21" width="10.7109375" customWidth="1" collapsed="1"/>
  </cols>
  <sheetData>
    <row r="1" spans="1:26" x14ac:dyDescent="0.25">
      <c r="A1" t="s">
        <v>38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55</v>
      </c>
      <c r="B6" s="1"/>
      <c r="C6" s="1"/>
      <c r="D6" s="1"/>
      <c r="E6" s="1"/>
      <c r="F6" s="1"/>
      <c r="G6" s="1"/>
      <c r="H6" s="1"/>
      <c r="I6" s="1"/>
      <c r="J6" s="1"/>
      <c r="L6" s="3" t="s">
        <v>39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>
        <v>0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f>SUM(B8:I8)</f>
        <v>0</v>
      </c>
      <c r="L8" t="s">
        <v>5</v>
      </c>
      <c r="M8" s="9">
        <v>8975.7857395667925</v>
      </c>
      <c r="N8" s="9">
        <v>2856.4221412020611</v>
      </c>
      <c r="O8" s="9">
        <v>0</v>
      </c>
      <c r="P8" s="9">
        <v>0</v>
      </c>
      <c r="Q8" s="9">
        <v>2572.6773455772932</v>
      </c>
      <c r="R8" s="9">
        <v>136.14912354242327</v>
      </c>
      <c r="S8" s="9">
        <v>0</v>
      </c>
      <c r="T8" s="9">
        <v>0</v>
      </c>
      <c r="U8">
        <f>SUM(M8:T8)</f>
        <v>14541.03434988857</v>
      </c>
      <c r="W8" s="5"/>
      <c r="X8" s="16"/>
      <c r="Y8" s="16"/>
      <c r="Z8" s="5"/>
    </row>
    <row r="9" spans="1:26" x14ac:dyDescent="0.25">
      <c r="A9" s="12">
        <v>0.125</v>
      </c>
      <c r="B9" s="6">
        <v>0.50041216410042055</v>
      </c>
      <c r="C9" s="6">
        <v>6.5870631039911407</v>
      </c>
      <c r="D9" s="6">
        <v>0</v>
      </c>
      <c r="E9" s="6">
        <v>9.6767915660535948</v>
      </c>
      <c r="F9" s="6">
        <v>0.3472377374493919</v>
      </c>
      <c r="G9" s="6">
        <v>0</v>
      </c>
      <c r="H9" s="6">
        <v>0</v>
      </c>
      <c r="I9" s="6">
        <v>0</v>
      </c>
      <c r="J9" s="6">
        <f t="shared" ref="J9:J58" si="0">SUM(B9:I9)</f>
        <v>17.111504571594544</v>
      </c>
      <c r="L9" s="12">
        <v>0.125</v>
      </c>
      <c r="M9" s="9">
        <v>5999.9251989270724</v>
      </c>
      <c r="N9" s="9">
        <v>1902.2762819652826</v>
      </c>
      <c r="O9" s="9">
        <v>0</v>
      </c>
      <c r="P9" s="9">
        <v>0</v>
      </c>
      <c r="Q9" s="9">
        <v>1709.2507316218171</v>
      </c>
      <c r="R9" s="9">
        <v>90.351814373236323</v>
      </c>
      <c r="S9" s="9">
        <v>0</v>
      </c>
      <c r="T9" s="9">
        <v>0</v>
      </c>
      <c r="U9">
        <f t="shared" ref="U9:U58" si="1">SUM(M9:T9)</f>
        <v>9701.8040268874083</v>
      </c>
      <c r="W9" s="5"/>
      <c r="X9" s="16"/>
      <c r="Y9" s="16"/>
      <c r="Z9" s="5"/>
    </row>
    <row r="10" spans="1:26" x14ac:dyDescent="0.25">
      <c r="A10" s="12">
        <v>0.14583333333333334</v>
      </c>
      <c r="B10" s="6">
        <v>2.4060163100307279</v>
      </c>
      <c r="C10" s="6">
        <v>12.975267976454933</v>
      </c>
      <c r="D10" s="6">
        <v>0</v>
      </c>
      <c r="E10" s="6">
        <v>18.916599280163332</v>
      </c>
      <c r="F10" s="6">
        <v>0.9471732390218125</v>
      </c>
      <c r="G10" s="6">
        <v>0</v>
      </c>
      <c r="H10" s="6">
        <v>0</v>
      </c>
      <c r="I10" s="6">
        <v>0</v>
      </c>
      <c r="J10" s="6">
        <f t="shared" si="0"/>
        <v>35.245056805670806</v>
      </c>
      <c r="L10" s="12">
        <v>0.14583333333333334</v>
      </c>
      <c r="M10" s="9">
        <v>3521.6063395734182</v>
      </c>
      <c r="N10" s="9">
        <v>1108.7525320567097</v>
      </c>
      <c r="O10" s="9">
        <v>0</v>
      </c>
      <c r="P10" s="9">
        <v>0</v>
      </c>
      <c r="Q10" s="9">
        <v>989.37521644017784</v>
      </c>
      <c r="R10" s="9">
        <v>52.187499976545517</v>
      </c>
      <c r="S10" s="9">
        <v>0</v>
      </c>
      <c r="T10" s="9">
        <v>0</v>
      </c>
      <c r="U10">
        <f t="shared" si="1"/>
        <v>5671.921588046851</v>
      </c>
      <c r="W10" s="5"/>
      <c r="X10" s="16"/>
      <c r="Y10" s="16"/>
      <c r="Z10" s="5"/>
    </row>
    <row r="11" spans="1:26" x14ac:dyDescent="0.25">
      <c r="A11" s="12">
        <v>0.16666666666666666</v>
      </c>
      <c r="B11" s="6">
        <v>8.944642264792968</v>
      </c>
      <c r="C11" s="6">
        <v>18.581991732993217</v>
      </c>
      <c r="D11" s="6">
        <v>0</v>
      </c>
      <c r="E11" s="6">
        <v>26.202551269380429</v>
      </c>
      <c r="F11" s="6">
        <v>2.8325402249983811</v>
      </c>
      <c r="G11" s="6">
        <v>0</v>
      </c>
      <c r="H11" s="6">
        <v>0</v>
      </c>
      <c r="I11" s="6">
        <v>0</v>
      </c>
      <c r="J11" s="6">
        <f t="shared" si="0"/>
        <v>56.561725492164996</v>
      </c>
      <c r="L11" s="12">
        <v>0.16666666666666666</v>
      </c>
      <c r="M11" s="9">
        <v>1816.5202685140628</v>
      </c>
      <c r="N11" s="9">
        <v>563.85195832105069</v>
      </c>
      <c r="O11" s="9">
        <v>0</v>
      </c>
      <c r="P11" s="9">
        <v>0</v>
      </c>
      <c r="Q11" s="9">
        <v>490.73592431174757</v>
      </c>
      <c r="R11" s="9">
        <v>25.766651702650524</v>
      </c>
      <c r="S11" s="9">
        <v>0</v>
      </c>
      <c r="T11" s="9">
        <v>0</v>
      </c>
      <c r="U11">
        <f t="shared" si="1"/>
        <v>2896.8748028495115</v>
      </c>
      <c r="W11" s="5"/>
      <c r="X11" s="16"/>
      <c r="Y11" s="16"/>
      <c r="Z11" s="5"/>
    </row>
    <row r="12" spans="1:26" x14ac:dyDescent="0.25">
      <c r="A12" s="12">
        <v>0.1875</v>
      </c>
      <c r="B12" s="6">
        <v>27.304755565799475</v>
      </c>
      <c r="C12" s="6">
        <v>23.840458066176165</v>
      </c>
      <c r="D12" s="6">
        <v>0</v>
      </c>
      <c r="E12" s="6">
        <v>29.846241344154819</v>
      </c>
      <c r="F12" s="6">
        <v>9.3253891631610202</v>
      </c>
      <c r="G12" s="6">
        <v>0</v>
      </c>
      <c r="H12" s="6">
        <v>0</v>
      </c>
      <c r="I12" s="6">
        <v>0</v>
      </c>
      <c r="J12" s="6">
        <f t="shared" si="0"/>
        <v>90.316844139291476</v>
      </c>
      <c r="L12" s="12">
        <v>0.1875</v>
      </c>
      <c r="M12" s="9">
        <v>877.03916581745193</v>
      </c>
      <c r="N12" s="9">
        <v>263.01917118269046</v>
      </c>
      <c r="O12" s="9">
        <v>0</v>
      </c>
      <c r="P12" s="9">
        <v>0</v>
      </c>
      <c r="Q12" s="9">
        <v>206.27388897490454</v>
      </c>
      <c r="R12" s="9">
        <v>10.671333065267083</v>
      </c>
      <c r="S12" s="9">
        <v>0</v>
      </c>
      <c r="T12" s="9">
        <v>0</v>
      </c>
      <c r="U12">
        <f t="shared" si="1"/>
        <v>1357.003559040314</v>
      </c>
      <c r="W12" s="5"/>
      <c r="X12" s="5"/>
      <c r="Y12" s="5"/>
      <c r="Z12" s="5"/>
    </row>
    <row r="13" spans="1:26" x14ac:dyDescent="0.25">
      <c r="A13" s="12">
        <v>0.20833333333333334</v>
      </c>
      <c r="B13" s="6">
        <v>70.77650495346667</v>
      </c>
      <c r="C13" s="6">
        <v>33.360674911864365</v>
      </c>
      <c r="D13" s="6">
        <v>1.6039266286277771E-3</v>
      </c>
      <c r="E13" s="6">
        <v>30.669920225813129</v>
      </c>
      <c r="F13" s="6">
        <v>27.750249789112971</v>
      </c>
      <c r="G13" s="6">
        <v>0</v>
      </c>
      <c r="H13" s="6">
        <v>0</v>
      </c>
      <c r="I13" s="6">
        <v>0</v>
      </c>
      <c r="J13" s="6">
        <f t="shared" si="0"/>
        <v>162.55895380688577</v>
      </c>
      <c r="L13" s="12">
        <v>0.20833333333333334</v>
      </c>
      <c r="M13" s="9">
        <v>521.29918387929524</v>
      </c>
      <c r="N13" s="9">
        <v>145.03943963594472</v>
      </c>
      <c r="O13" s="9">
        <v>0</v>
      </c>
      <c r="P13" s="9">
        <v>0</v>
      </c>
      <c r="Q13" s="9">
        <v>75.515577771523141</v>
      </c>
      <c r="R13" s="9">
        <v>3.6335515122522803</v>
      </c>
      <c r="S13" s="9">
        <v>0</v>
      </c>
      <c r="T13" s="9">
        <v>0</v>
      </c>
      <c r="U13">
        <f t="shared" si="1"/>
        <v>745.48775279901542</v>
      </c>
    </row>
    <row r="14" spans="1:26" x14ac:dyDescent="0.25">
      <c r="A14" s="12">
        <v>0.22916666666666666</v>
      </c>
      <c r="B14" s="6">
        <v>160.16282649841892</v>
      </c>
      <c r="C14" s="6">
        <v>58.447202705211645</v>
      </c>
      <c r="D14" s="6">
        <v>3.2596588541657444E-2</v>
      </c>
      <c r="E14" s="6">
        <v>34.010399461023098</v>
      </c>
      <c r="F14" s="6">
        <v>68.616761530931711</v>
      </c>
      <c r="G14" s="6">
        <v>0</v>
      </c>
      <c r="H14" s="6">
        <v>0</v>
      </c>
      <c r="I14" s="6">
        <v>1.0420465469360351E-4</v>
      </c>
      <c r="J14" s="6">
        <f t="shared" si="0"/>
        <v>321.26989098878175</v>
      </c>
      <c r="L14" s="12">
        <v>0.22916666666666666</v>
      </c>
      <c r="M14" s="9">
        <v>549.43791866314814</v>
      </c>
      <c r="N14" s="9">
        <v>143.24665035163508</v>
      </c>
      <c r="O14" s="9">
        <v>0</v>
      </c>
      <c r="P14" s="9">
        <v>0</v>
      </c>
      <c r="Q14" s="9">
        <v>30.915164906256994</v>
      </c>
      <c r="R14" s="9">
        <v>1.0098306072376397</v>
      </c>
      <c r="S14" s="9">
        <v>0</v>
      </c>
      <c r="T14" s="9">
        <v>0</v>
      </c>
      <c r="U14">
        <f t="shared" si="1"/>
        <v>724.60956452827782</v>
      </c>
    </row>
    <row r="15" spans="1:26" x14ac:dyDescent="0.25">
      <c r="A15" s="12">
        <v>0.25</v>
      </c>
      <c r="B15" s="6">
        <v>324.23921069585043</v>
      </c>
      <c r="C15" s="6">
        <v>115.57793137236904</v>
      </c>
      <c r="D15" s="6">
        <v>0.31510717882131578</v>
      </c>
      <c r="E15" s="6">
        <v>48.393334520286302</v>
      </c>
      <c r="F15" s="6">
        <v>139.25295867041874</v>
      </c>
      <c r="G15" s="6">
        <v>0</v>
      </c>
      <c r="H15" s="6">
        <v>0</v>
      </c>
      <c r="I15" s="6">
        <v>2.0840930938720698E-3</v>
      </c>
      <c r="J15" s="6">
        <f t="shared" si="0"/>
        <v>627.78062653083975</v>
      </c>
      <c r="L15" s="12">
        <v>0.25</v>
      </c>
      <c r="M15" s="9">
        <v>829.9920210350009</v>
      </c>
      <c r="N15" s="9">
        <v>214.01552260931703</v>
      </c>
      <c r="O15" s="9">
        <v>0</v>
      </c>
      <c r="P15" s="9">
        <v>0</v>
      </c>
      <c r="Q15" s="9">
        <v>25.788268844528346</v>
      </c>
      <c r="R15" s="9">
        <v>0.26863299718347555</v>
      </c>
      <c r="S15" s="9">
        <v>0</v>
      </c>
      <c r="T15" s="9">
        <v>0</v>
      </c>
      <c r="U15">
        <f t="shared" si="1"/>
        <v>1070.0644454860299</v>
      </c>
    </row>
    <row r="16" spans="1:26" x14ac:dyDescent="0.25">
      <c r="A16" s="12">
        <v>0.27083333333333331</v>
      </c>
      <c r="B16" s="6">
        <v>599.30138250683922</v>
      </c>
      <c r="C16" s="6">
        <v>219.88322089075376</v>
      </c>
      <c r="D16" s="6">
        <v>1.9272183570805956</v>
      </c>
      <c r="E16" s="6">
        <v>80.617246170114527</v>
      </c>
      <c r="F16" s="6">
        <v>234.41045954860289</v>
      </c>
      <c r="G16" s="6">
        <v>0</v>
      </c>
      <c r="H16" s="6">
        <v>0</v>
      </c>
      <c r="I16" s="6">
        <v>1.9798884391784666E-2</v>
      </c>
      <c r="J16" s="6">
        <f t="shared" si="0"/>
        <v>1136.1593263577829</v>
      </c>
      <c r="L16" s="12">
        <v>0.27083333333333331</v>
      </c>
      <c r="M16" s="9">
        <v>1301.2781810564713</v>
      </c>
      <c r="N16" s="9">
        <v>337.44573279511741</v>
      </c>
      <c r="O16" s="9">
        <v>0</v>
      </c>
      <c r="P16" s="9">
        <v>0</v>
      </c>
      <c r="Q16" s="9">
        <v>37.538473472416378</v>
      </c>
      <c r="R16" s="9">
        <v>0.16222021144882307</v>
      </c>
      <c r="S16" s="9">
        <v>0</v>
      </c>
      <c r="T16" s="9">
        <v>0</v>
      </c>
      <c r="U16">
        <f t="shared" si="1"/>
        <v>1676.424607535454</v>
      </c>
    </row>
    <row r="17" spans="1:21" x14ac:dyDescent="0.25">
      <c r="A17" s="12">
        <v>0.29166666666666669</v>
      </c>
      <c r="B17" s="6">
        <v>1025.7395568363927</v>
      </c>
      <c r="C17" s="6">
        <v>378.2673569149681</v>
      </c>
      <c r="D17" s="6">
        <v>8.3693243544478317</v>
      </c>
      <c r="E17" s="6">
        <v>130.89232385246666</v>
      </c>
      <c r="F17" s="6">
        <v>334.5549928512412</v>
      </c>
      <c r="G17" s="6">
        <v>0</v>
      </c>
      <c r="H17" s="6">
        <v>0</v>
      </c>
      <c r="I17" s="6">
        <v>0.11879330635070799</v>
      </c>
      <c r="J17" s="6">
        <f t="shared" si="0"/>
        <v>1877.9423481158672</v>
      </c>
      <c r="L17" s="12">
        <v>0.29166666666666669</v>
      </c>
      <c r="M17" s="9">
        <v>1950.0260171211728</v>
      </c>
      <c r="N17" s="9">
        <v>509.12040484313763</v>
      </c>
      <c r="O17" s="9">
        <v>0</v>
      </c>
      <c r="P17" s="9">
        <v>0</v>
      </c>
      <c r="Q17" s="9">
        <v>59.066967595428451</v>
      </c>
      <c r="R17" s="9">
        <v>0.26607000149964222</v>
      </c>
      <c r="S17" s="9">
        <v>0</v>
      </c>
      <c r="T17" s="9">
        <v>0</v>
      </c>
      <c r="U17">
        <f t="shared" si="1"/>
        <v>2518.4794595612384</v>
      </c>
    </row>
    <row r="18" spans="1:21" x14ac:dyDescent="0.25">
      <c r="A18" s="12">
        <v>0.3125</v>
      </c>
      <c r="B18" s="6">
        <v>1638.4657658400531</v>
      </c>
      <c r="C18" s="6">
        <v>589.91484464758264</v>
      </c>
      <c r="D18" s="6">
        <v>27.466845359323457</v>
      </c>
      <c r="E18" s="6">
        <v>193.54047117917099</v>
      </c>
      <c r="F18" s="6">
        <v>420.55924898005787</v>
      </c>
      <c r="G18" s="6">
        <v>0</v>
      </c>
      <c r="H18" s="6">
        <v>0</v>
      </c>
      <c r="I18" s="6">
        <v>0.50487155199050893</v>
      </c>
      <c r="J18" s="6">
        <f t="shared" si="0"/>
        <v>2870.4520475581789</v>
      </c>
      <c r="L18" s="12">
        <v>0.3125</v>
      </c>
      <c r="M18" s="9">
        <v>2822.6788477453524</v>
      </c>
      <c r="N18" s="9">
        <v>739.2607483388548</v>
      </c>
      <c r="O18" s="9">
        <v>0</v>
      </c>
      <c r="P18" s="9">
        <v>0</v>
      </c>
      <c r="Q18" s="9">
        <v>91.045093535291812</v>
      </c>
      <c r="R18" s="9">
        <v>0.53768843059890681</v>
      </c>
      <c r="S18" s="9">
        <v>0</v>
      </c>
      <c r="T18" s="9">
        <v>0</v>
      </c>
      <c r="U18">
        <f t="shared" si="1"/>
        <v>3653.5223780500978</v>
      </c>
    </row>
    <row r="19" spans="1:21" x14ac:dyDescent="0.25">
      <c r="A19" s="12">
        <v>0.33333333333333331</v>
      </c>
      <c r="B19" s="6">
        <v>2457.0354661674414</v>
      </c>
      <c r="C19" s="6">
        <v>855.71064474108948</v>
      </c>
      <c r="D19" s="6">
        <v>70.853621071104953</v>
      </c>
      <c r="E19" s="6">
        <v>264.13361652643619</v>
      </c>
      <c r="F19" s="6">
        <v>495.35571406159357</v>
      </c>
      <c r="G19" s="6">
        <v>0</v>
      </c>
      <c r="H19" s="6">
        <v>0</v>
      </c>
      <c r="I19" s="6">
        <v>1.6156259809732434</v>
      </c>
      <c r="J19" s="6">
        <f t="shared" si="0"/>
        <v>4144.7046885486388</v>
      </c>
      <c r="L19" s="12">
        <v>0.33333333333333331</v>
      </c>
      <c r="M19" s="9">
        <v>4058.2621552486298</v>
      </c>
      <c r="N19" s="9">
        <v>1056.8507950265462</v>
      </c>
      <c r="O19" s="9">
        <v>0</v>
      </c>
      <c r="P19" s="9">
        <v>0</v>
      </c>
      <c r="Q19" s="9">
        <v>138.60412733840818</v>
      </c>
      <c r="R19" s="9">
        <v>1.0746529013301651</v>
      </c>
      <c r="S19" s="9">
        <v>0</v>
      </c>
      <c r="T19" s="9">
        <v>0</v>
      </c>
      <c r="U19">
        <f t="shared" si="1"/>
        <v>5254.791730514914</v>
      </c>
    </row>
    <row r="20" spans="1:21" x14ac:dyDescent="0.25">
      <c r="A20" s="12">
        <v>0.35416666666666669</v>
      </c>
      <c r="B20" s="6">
        <v>3496.3247122461676</v>
      </c>
      <c r="C20" s="6">
        <v>1187.3029004222651</v>
      </c>
      <c r="D20" s="6">
        <v>147.79916272663169</v>
      </c>
      <c r="E20" s="6">
        <v>345.32413031618654</v>
      </c>
      <c r="F20" s="6">
        <v>587.74686904130738</v>
      </c>
      <c r="G20" s="6">
        <v>0</v>
      </c>
      <c r="H20" s="6">
        <v>0</v>
      </c>
      <c r="I20" s="6">
        <v>4.0397127079963679</v>
      </c>
      <c r="J20" s="6">
        <f t="shared" si="0"/>
        <v>5768.5374874605541</v>
      </c>
      <c r="L20" s="12">
        <v>0.35416666666666669</v>
      </c>
      <c r="M20" s="9">
        <v>5873.2394601528995</v>
      </c>
      <c r="N20" s="9">
        <v>1502.1229629321883</v>
      </c>
      <c r="O20" s="9">
        <v>0</v>
      </c>
      <c r="P20" s="9">
        <v>0</v>
      </c>
      <c r="Q20" s="9">
        <v>209.41021767733463</v>
      </c>
      <c r="R20" s="9">
        <v>1.9731007312610815</v>
      </c>
      <c r="S20" s="9">
        <v>0</v>
      </c>
      <c r="T20" s="9">
        <v>0</v>
      </c>
      <c r="U20">
        <f t="shared" si="1"/>
        <v>7586.7457414936835</v>
      </c>
    </row>
    <row r="21" spans="1:21" x14ac:dyDescent="0.25">
      <c r="A21" s="12">
        <v>0.375</v>
      </c>
      <c r="B21" s="6">
        <v>4809.7659099688799</v>
      </c>
      <c r="C21" s="6">
        <v>1606.9860242207205</v>
      </c>
      <c r="D21" s="6">
        <v>255.50424995901122</v>
      </c>
      <c r="E21" s="6">
        <v>442.73724981940546</v>
      </c>
      <c r="F21" s="6">
        <v>727.37607947922368</v>
      </c>
      <c r="G21" s="6">
        <v>0</v>
      </c>
      <c r="H21" s="6">
        <v>0</v>
      </c>
      <c r="I21" s="6">
        <v>8.0849776065349559</v>
      </c>
      <c r="J21" s="6">
        <f t="shared" si="0"/>
        <v>7850.4544910537752</v>
      </c>
      <c r="L21" s="12">
        <v>0.375</v>
      </c>
      <c r="M21" s="9">
        <v>8447.1877241855509</v>
      </c>
      <c r="N21" s="9">
        <v>2097.6118775664318</v>
      </c>
      <c r="O21" s="9">
        <v>0</v>
      </c>
      <c r="P21" s="9">
        <v>0</v>
      </c>
      <c r="Q21" s="9">
        <v>309.58349461873138</v>
      </c>
      <c r="R21" s="9">
        <v>3.2191428143012364</v>
      </c>
      <c r="S21" s="9">
        <v>0</v>
      </c>
      <c r="T21" s="9">
        <v>0</v>
      </c>
      <c r="U21">
        <f t="shared" si="1"/>
        <v>10857.602239185017</v>
      </c>
    </row>
    <row r="22" spans="1:21" x14ac:dyDescent="0.25">
      <c r="A22" s="12">
        <v>0.39583333333333331</v>
      </c>
      <c r="B22" s="6">
        <v>6527.8332872823721</v>
      </c>
      <c r="C22" s="6">
        <v>2143.0288989337782</v>
      </c>
      <c r="D22" s="6">
        <v>376.10576217867236</v>
      </c>
      <c r="E22" s="6">
        <v>554.2619860341606</v>
      </c>
      <c r="F22" s="6">
        <v>914.26584665578912</v>
      </c>
      <c r="G22" s="6">
        <v>0</v>
      </c>
      <c r="H22" s="6">
        <v>0</v>
      </c>
      <c r="I22" s="6">
        <v>13.168856999874112</v>
      </c>
      <c r="J22" s="6">
        <f t="shared" si="0"/>
        <v>10528.664638084647</v>
      </c>
      <c r="L22" s="12">
        <v>0.39583333333333331</v>
      </c>
      <c r="M22" s="9">
        <v>11762.676166390052</v>
      </c>
      <c r="N22" s="9">
        <v>2814.0818638344526</v>
      </c>
      <c r="O22" s="9">
        <v>0</v>
      </c>
      <c r="P22" s="9">
        <v>0</v>
      </c>
      <c r="Q22" s="9">
        <v>438.08271228127245</v>
      </c>
      <c r="R22" s="9">
        <v>4.6747268224114542</v>
      </c>
      <c r="S22" s="9">
        <v>0</v>
      </c>
      <c r="T22" s="9">
        <v>0</v>
      </c>
      <c r="U22">
        <f t="shared" si="1"/>
        <v>15019.515469328187</v>
      </c>
    </row>
    <row r="23" spans="1:21" x14ac:dyDescent="0.25">
      <c r="A23" s="12">
        <v>0.41666666666666669</v>
      </c>
      <c r="B23" s="6">
        <v>8816.5379057688224</v>
      </c>
      <c r="C23" s="6">
        <v>2828.5796717319054</v>
      </c>
      <c r="D23" s="6">
        <v>488.94863375392254</v>
      </c>
      <c r="E23" s="6">
        <v>666.33355746207258</v>
      </c>
      <c r="F23" s="6">
        <v>1117.3777707034687</v>
      </c>
      <c r="G23" s="6">
        <v>0</v>
      </c>
      <c r="H23" s="6">
        <v>0</v>
      </c>
      <c r="I23" s="6">
        <v>17.681549556851383</v>
      </c>
      <c r="J23" s="6">
        <f t="shared" si="0"/>
        <v>13935.459088977044</v>
      </c>
      <c r="L23" s="12">
        <v>0.41666666666666669</v>
      </c>
      <c r="M23" s="9">
        <v>15544.615816061934</v>
      </c>
      <c r="N23" s="9">
        <v>3565.8654949456418</v>
      </c>
      <c r="O23" s="9">
        <v>0</v>
      </c>
      <c r="P23" s="9">
        <v>0</v>
      </c>
      <c r="Q23" s="9">
        <v>584.51505444155714</v>
      </c>
      <c r="R23" s="9">
        <v>6.2141218590642318</v>
      </c>
      <c r="S23" s="9">
        <v>0</v>
      </c>
      <c r="T23" s="9">
        <v>0</v>
      </c>
      <c r="U23">
        <f t="shared" si="1"/>
        <v>19701.210487308199</v>
      </c>
    </row>
    <row r="24" spans="1:21" x14ac:dyDescent="0.25">
      <c r="A24" s="12">
        <v>0.4375</v>
      </c>
      <c r="B24" s="6">
        <v>11736.88133007877</v>
      </c>
      <c r="C24" s="6">
        <v>3695.9579160793755</v>
      </c>
      <c r="D24" s="6">
        <v>589.94585352316722</v>
      </c>
      <c r="E24" s="6">
        <v>763.74307262488742</v>
      </c>
      <c r="F24" s="6">
        <v>1304.3787704590334</v>
      </c>
      <c r="G24" s="6">
        <v>0</v>
      </c>
      <c r="H24" s="6">
        <v>0</v>
      </c>
      <c r="I24" s="6">
        <v>19.826309597015378</v>
      </c>
      <c r="J24" s="6">
        <f t="shared" si="0"/>
        <v>18110.733252362246</v>
      </c>
      <c r="L24" s="12">
        <v>0.4375</v>
      </c>
      <c r="M24" s="9">
        <v>19394.420660183932</v>
      </c>
      <c r="N24" s="9">
        <v>4251.6705924337239</v>
      </c>
      <c r="O24" s="9">
        <v>0</v>
      </c>
      <c r="P24" s="9">
        <v>0</v>
      </c>
      <c r="Q24" s="9">
        <v>734.23743227601767</v>
      </c>
      <c r="R24" s="9">
        <v>7.9010295594753588</v>
      </c>
      <c r="S24" s="9">
        <v>0</v>
      </c>
      <c r="T24" s="9">
        <v>0</v>
      </c>
      <c r="U24">
        <f t="shared" si="1"/>
        <v>24388.229714453148</v>
      </c>
    </row>
    <row r="25" spans="1:21" x14ac:dyDescent="0.25">
      <c r="A25" s="12">
        <v>0.45833333333333331</v>
      </c>
      <c r="B25" s="6">
        <v>15122.076569868521</v>
      </c>
      <c r="C25" s="6">
        <v>4753.0746339671277</v>
      </c>
      <c r="D25" s="6">
        <v>696.05748587551875</v>
      </c>
      <c r="E25" s="6">
        <v>844.24050592174422</v>
      </c>
      <c r="F25" s="6">
        <v>1468.6599775998102</v>
      </c>
      <c r="G25" s="6">
        <v>0</v>
      </c>
      <c r="H25" s="6">
        <v>0</v>
      </c>
      <c r="I25" s="6">
        <v>18.936899838447566</v>
      </c>
      <c r="J25" s="6">
        <f t="shared" si="0"/>
        <v>22903.046073071171</v>
      </c>
      <c r="L25" s="12">
        <v>0.45833333333333331</v>
      </c>
      <c r="M25" s="9">
        <v>23037.814612493927</v>
      </c>
      <c r="N25" s="9">
        <v>4812.7771102927891</v>
      </c>
      <c r="O25" s="9">
        <v>0</v>
      </c>
      <c r="P25" s="9">
        <v>0</v>
      </c>
      <c r="Q25" s="9">
        <v>877.81449892021783</v>
      </c>
      <c r="R25" s="9">
        <v>9.9936372332654475</v>
      </c>
      <c r="S25" s="9">
        <v>0</v>
      </c>
      <c r="T25" s="9">
        <v>0</v>
      </c>
      <c r="U25">
        <f t="shared" si="1"/>
        <v>28738.399858940204</v>
      </c>
    </row>
    <row r="26" spans="1:21" x14ac:dyDescent="0.25">
      <c r="A26" s="12">
        <v>0.47916666666666669</v>
      </c>
      <c r="B26" s="6">
        <v>18653.824034914753</v>
      </c>
      <c r="C26" s="6">
        <v>5957.4603982688668</v>
      </c>
      <c r="D26" s="6">
        <v>824.93205465267499</v>
      </c>
      <c r="E26" s="6">
        <v>925.9604639709529</v>
      </c>
      <c r="F26" s="6">
        <v>1627.2551807484319</v>
      </c>
      <c r="G26" s="6">
        <v>0</v>
      </c>
      <c r="H26" s="6">
        <v>0</v>
      </c>
      <c r="I26" s="6">
        <v>15.996032423973082</v>
      </c>
      <c r="J26" s="6">
        <f t="shared" si="0"/>
        <v>28005.428164979654</v>
      </c>
      <c r="L26" s="12">
        <v>0.47916666666666669</v>
      </c>
      <c r="M26" s="9">
        <v>26491.696167672144</v>
      </c>
      <c r="N26" s="9">
        <v>5260.1913859856768</v>
      </c>
      <c r="O26" s="9">
        <v>0</v>
      </c>
      <c r="P26" s="9">
        <v>0</v>
      </c>
      <c r="Q26" s="9">
        <v>1017.0536819800009</v>
      </c>
      <c r="R26" s="9">
        <v>12.723739256496362</v>
      </c>
      <c r="S26" s="9">
        <v>0</v>
      </c>
      <c r="T26" s="9">
        <v>0</v>
      </c>
      <c r="U26">
        <f t="shared" si="1"/>
        <v>32781.664974894316</v>
      </c>
    </row>
    <row r="27" spans="1:21" x14ac:dyDescent="0.25">
      <c r="A27" s="12">
        <v>0.5</v>
      </c>
      <c r="B27" s="6">
        <v>22187.369037017463</v>
      </c>
      <c r="C27" s="6">
        <v>7225.8705437507697</v>
      </c>
      <c r="D27" s="6">
        <v>969.10298537077767</v>
      </c>
      <c r="E27" s="6">
        <v>1043.6323411829896</v>
      </c>
      <c r="F27" s="6">
        <v>1802.8855509234977</v>
      </c>
      <c r="G27" s="6">
        <v>0</v>
      </c>
      <c r="H27" s="6">
        <v>0</v>
      </c>
      <c r="I27" s="6">
        <v>12.740674449205397</v>
      </c>
      <c r="J27" s="6">
        <f t="shared" si="0"/>
        <v>33241.601132694705</v>
      </c>
      <c r="L27" s="12">
        <v>0.5</v>
      </c>
      <c r="M27" s="9">
        <v>30049.141337876601</v>
      </c>
      <c r="N27" s="9">
        <v>5653.7520815943599</v>
      </c>
      <c r="O27" s="9">
        <v>0</v>
      </c>
      <c r="P27" s="9">
        <v>0</v>
      </c>
      <c r="Q27" s="9">
        <v>1163.6823293086024</v>
      </c>
      <c r="R27" s="9">
        <v>16.078983592020691</v>
      </c>
      <c r="S27" s="9">
        <v>0</v>
      </c>
      <c r="T27" s="9">
        <v>0</v>
      </c>
      <c r="U27">
        <f t="shared" si="1"/>
        <v>36882.654732371586</v>
      </c>
    </row>
    <row r="28" spans="1:21" x14ac:dyDescent="0.25">
      <c r="A28" s="12">
        <v>0.52083333333333337</v>
      </c>
      <c r="B28" s="6">
        <v>26136.07278160979</v>
      </c>
      <c r="C28" s="6">
        <v>8484.3546545372101</v>
      </c>
      <c r="D28" s="6">
        <v>1094.3643415730076</v>
      </c>
      <c r="E28" s="6">
        <v>1233.2349767125006</v>
      </c>
      <c r="F28" s="6">
        <v>2020.4508343664393</v>
      </c>
      <c r="G28" s="6">
        <v>0</v>
      </c>
      <c r="H28" s="6">
        <v>0</v>
      </c>
      <c r="I28" s="6">
        <v>10.255945239067076</v>
      </c>
      <c r="J28" s="6">
        <f t="shared" si="0"/>
        <v>38978.733534038016</v>
      </c>
      <c r="L28" s="12">
        <v>0.52083333333333337</v>
      </c>
      <c r="M28" s="9">
        <v>34177.747059393376</v>
      </c>
      <c r="N28" s="9">
        <v>6064.747441092587</v>
      </c>
      <c r="O28" s="9">
        <v>0</v>
      </c>
      <c r="P28" s="9">
        <v>0</v>
      </c>
      <c r="Q28" s="9">
        <v>1335.1268530684392</v>
      </c>
      <c r="R28" s="9">
        <v>19.880760688020665</v>
      </c>
      <c r="S28" s="9">
        <v>0</v>
      </c>
      <c r="T28" s="9">
        <v>0</v>
      </c>
      <c r="U28">
        <f t="shared" si="1"/>
        <v>41597.502114242423</v>
      </c>
    </row>
    <row r="29" spans="1:21" x14ac:dyDescent="0.25">
      <c r="A29" s="12">
        <v>0.54166666666666663</v>
      </c>
      <c r="B29" s="6">
        <v>31614.619295027274</v>
      </c>
      <c r="C29" s="6">
        <v>9706.2686043687136</v>
      </c>
      <c r="D29" s="6">
        <v>1166.4123973050771</v>
      </c>
      <c r="E29" s="6">
        <v>1505.8625633869576</v>
      </c>
      <c r="F29" s="6">
        <v>2320.6484278871339</v>
      </c>
      <c r="G29" s="6">
        <v>6.5576267242431637E-4</v>
      </c>
      <c r="H29" s="6">
        <v>0</v>
      </c>
      <c r="I29" s="6">
        <v>8.4542590718269324</v>
      </c>
      <c r="J29" s="6">
        <f t="shared" si="0"/>
        <v>46322.266202809653</v>
      </c>
      <c r="L29" s="12">
        <v>0.54166666666666663</v>
      </c>
      <c r="M29" s="9">
        <v>39479.813982577063</v>
      </c>
      <c r="N29" s="9">
        <v>6561.9409860677988</v>
      </c>
      <c r="O29" s="9">
        <v>0</v>
      </c>
      <c r="P29" s="9">
        <v>0</v>
      </c>
      <c r="Q29" s="9">
        <v>1553.892895751897</v>
      </c>
      <c r="R29" s="9">
        <v>24.174850409384668</v>
      </c>
      <c r="S29" s="9">
        <v>0</v>
      </c>
      <c r="T29" s="9">
        <v>0</v>
      </c>
      <c r="U29">
        <f t="shared" si="1"/>
        <v>47619.822714806141</v>
      </c>
    </row>
    <row r="30" spans="1:21" x14ac:dyDescent="0.25">
      <c r="A30" s="12">
        <v>0.5625</v>
      </c>
      <c r="B30" s="6">
        <v>40162.896300385612</v>
      </c>
      <c r="C30" s="6">
        <v>10884.831291053231</v>
      </c>
      <c r="D30" s="6">
        <v>1177.6396022871927</v>
      </c>
      <c r="E30" s="6">
        <v>1823.5573783964246</v>
      </c>
      <c r="F30" s="6">
        <v>2758.5811787369507</v>
      </c>
      <c r="G30" s="6">
        <v>1.311525344848633E-2</v>
      </c>
      <c r="H30" s="6">
        <v>0</v>
      </c>
      <c r="I30" s="6">
        <v>6.7218443751335126</v>
      </c>
      <c r="J30" s="6">
        <f t="shared" si="0"/>
        <v>56814.240710487989</v>
      </c>
      <c r="L30" s="12">
        <v>0.5625</v>
      </c>
      <c r="M30" s="9">
        <v>46695.365588428009</v>
      </c>
      <c r="N30" s="9">
        <v>7220.7561498722362</v>
      </c>
      <c r="O30" s="9">
        <v>0</v>
      </c>
      <c r="P30" s="9">
        <v>0</v>
      </c>
      <c r="Q30" s="9">
        <v>1849.2367201729883</v>
      </c>
      <c r="R30" s="9">
        <v>29.601919535161912</v>
      </c>
      <c r="S30" s="9">
        <v>0</v>
      </c>
      <c r="T30" s="9">
        <v>0</v>
      </c>
      <c r="U30">
        <f t="shared" si="1"/>
        <v>55794.960378008393</v>
      </c>
    </row>
    <row r="31" spans="1:21" x14ac:dyDescent="0.25">
      <c r="A31" s="12">
        <v>0.58333333333333337</v>
      </c>
      <c r="B31" s="6">
        <v>53099.301073288501</v>
      </c>
      <c r="C31" s="6">
        <v>11957.11342268517</v>
      </c>
      <c r="D31" s="6">
        <v>1146.5913306535817</v>
      </c>
      <c r="E31" s="6">
        <v>2103.5229472064229</v>
      </c>
      <c r="F31" s="6">
        <v>3361.5185967011903</v>
      </c>
      <c r="G31" s="6">
        <v>0.12459490776062011</v>
      </c>
      <c r="H31" s="6">
        <v>0</v>
      </c>
      <c r="I31" s="6">
        <v>4.7815229237079615</v>
      </c>
      <c r="J31" s="6">
        <f t="shared" si="0"/>
        <v>71672.953488366329</v>
      </c>
      <c r="L31" s="12">
        <v>0.58333333333333337</v>
      </c>
      <c r="M31" s="9">
        <v>56550.34369020041</v>
      </c>
      <c r="N31" s="9">
        <v>8118.0875444630137</v>
      </c>
      <c r="O31" s="9">
        <v>0</v>
      </c>
      <c r="P31" s="9">
        <v>0</v>
      </c>
      <c r="Q31" s="9">
        <v>2251.8216778698011</v>
      </c>
      <c r="R31" s="9">
        <v>37.352748487672606</v>
      </c>
      <c r="S31" s="9">
        <v>0</v>
      </c>
      <c r="T31" s="9">
        <v>0</v>
      </c>
      <c r="U31">
        <f t="shared" si="1"/>
        <v>66957.605661020891</v>
      </c>
    </row>
    <row r="32" spans="1:21" x14ac:dyDescent="0.25">
      <c r="A32" s="12">
        <v>0.60416666666666663</v>
      </c>
      <c r="B32" s="6">
        <v>70713.529808713589</v>
      </c>
      <c r="C32" s="6">
        <v>12759.855937439343</v>
      </c>
      <c r="D32" s="6">
        <v>1094.9342736674407</v>
      </c>
      <c r="E32" s="6">
        <v>2263.5527207636969</v>
      </c>
      <c r="F32" s="6">
        <v>4068.244045022655</v>
      </c>
      <c r="G32" s="6">
        <v>0.74861115360260011</v>
      </c>
      <c r="H32" s="6">
        <v>3.5244584083557131E-4</v>
      </c>
      <c r="I32" s="6">
        <v>2.889170956611633</v>
      </c>
      <c r="J32" s="6">
        <f t="shared" si="0"/>
        <v>90903.75492016277</v>
      </c>
      <c r="L32" s="12">
        <v>0.60416666666666663</v>
      </c>
      <c r="M32" s="9">
        <v>69318.105841893426</v>
      </c>
      <c r="N32" s="9">
        <v>9287.7321509567719</v>
      </c>
      <c r="O32" s="9">
        <v>0</v>
      </c>
      <c r="P32" s="9">
        <v>0</v>
      </c>
      <c r="Q32" s="9">
        <v>2775.5496008583423</v>
      </c>
      <c r="R32" s="9">
        <v>48.610197443221516</v>
      </c>
      <c r="S32" s="9">
        <v>0</v>
      </c>
      <c r="T32" s="9">
        <v>0</v>
      </c>
      <c r="U32">
        <f t="shared" si="1"/>
        <v>81429.997791151764</v>
      </c>
    </row>
    <row r="33" spans="1:21" x14ac:dyDescent="0.25">
      <c r="A33" s="12">
        <v>0.625</v>
      </c>
      <c r="B33" s="6">
        <v>91588.331060400087</v>
      </c>
      <c r="C33" s="6">
        <v>13079.200588041662</v>
      </c>
      <c r="D33" s="6">
        <v>1030.1865072552303</v>
      </c>
      <c r="E33" s="6">
        <v>2279.4862017001387</v>
      </c>
      <c r="F33" s="6">
        <v>4711.5602078490529</v>
      </c>
      <c r="G33" s="6">
        <v>3.1982663058042524</v>
      </c>
      <c r="H33" s="6">
        <v>7.0489168167114247E-3</v>
      </c>
      <c r="I33" s="6">
        <v>1.4367701292037962</v>
      </c>
      <c r="J33" s="6">
        <f t="shared" si="0"/>
        <v>112693.40665059799</v>
      </c>
      <c r="L33" s="12">
        <v>0.625</v>
      </c>
      <c r="M33" s="9">
        <v>84251.439244772337</v>
      </c>
      <c r="N33" s="9">
        <v>10658.647536815024</v>
      </c>
      <c r="O33" s="9">
        <v>0</v>
      </c>
      <c r="P33" s="9">
        <v>0</v>
      </c>
      <c r="Q33" s="9">
        <v>3394.2004750150895</v>
      </c>
      <c r="R33" s="9">
        <v>63.739084926477808</v>
      </c>
      <c r="S33" s="9">
        <v>0</v>
      </c>
      <c r="T33" s="9">
        <v>0</v>
      </c>
      <c r="U33">
        <f t="shared" si="1"/>
        <v>98368.026341528937</v>
      </c>
    </row>
    <row r="34" spans="1:21" x14ac:dyDescent="0.25">
      <c r="A34" s="12">
        <v>0.64583333333333337</v>
      </c>
      <c r="B34" s="6">
        <v>112395.49317445367</v>
      </c>
      <c r="C34" s="6">
        <v>12770.774675243778</v>
      </c>
      <c r="D34" s="6">
        <v>949.95867343171381</v>
      </c>
      <c r="E34" s="6">
        <v>2200.611840415284</v>
      </c>
      <c r="F34" s="6">
        <v>5083.522416595777</v>
      </c>
      <c r="G34" s="6">
        <v>10.37010915327072</v>
      </c>
      <c r="H34" s="6">
        <v>6.8067025899887085E-2</v>
      </c>
      <c r="I34" s="6">
        <v>0.57428636157512658</v>
      </c>
      <c r="J34" s="6">
        <f t="shared" si="0"/>
        <v>133411.37324268094</v>
      </c>
      <c r="L34" s="12">
        <v>0.64583333333333337</v>
      </c>
      <c r="M34" s="9">
        <v>99271.674871018593</v>
      </c>
      <c r="N34" s="9">
        <v>12025.348622697005</v>
      </c>
      <c r="O34" s="9">
        <v>0</v>
      </c>
      <c r="P34" s="9">
        <v>0</v>
      </c>
      <c r="Q34" s="9">
        <v>4029.7355206379307</v>
      </c>
      <c r="R34" s="9">
        <v>81.609398978917071</v>
      </c>
      <c r="S34" s="9">
        <v>0</v>
      </c>
      <c r="T34" s="9">
        <v>0</v>
      </c>
      <c r="U34">
        <f t="shared" si="1"/>
        <v>115408.36841333244</v>
      </c>
    </row>
    <row r="35" spans="1:21" x14ac:dyDescent="0.25">
      <c r="A35" s="12">
        <v>0.66666666666666663</v>
      </c>
      <c r="B35" s="6">
        <v>128497.69191095384</v>
      </c>
      <c r="C35" s="6">
        <v>11859.550656223553</v>
      </c>
      <c r="D35" s="6">
        <v>855.8930398599806</v>
      </c>
      <c r="E35" s="6">
        <v>2101.8798830430678</v>
      </c>
      <c r="F35" s="6">
        <v>5048.1265972315996</v>
      </c>
      <c r="G35" s="6">
        <v>26.654690462350846</v>
      </c>
      <c r="H35" s="6">
        <v>0.42383458137512209</v>
      </c>
      <c r="I35" s="6">
        <v>0.18549060404300688</v>
      </c>
      <c r="J35" s="6">
        <f t="shared" si="0"/>
        <v>148390.40610295979</v>
      </c>
      <c r="L35" s="12">
        <v>0.66666666666666663</v>
      </c>
      <c r="M35" s="9">
        <v>111256.42547939121</v>
      </c>
      <c r="N35" s="9">
        <v>13082.613756583991</v>
      </c>
      <c r="O35" s="9">
        <v>0</v>
      </c>
      <c r="P35" s="9">
        <v>0</v>
      </c>
      <c r="Q35" s="9">
        <v>4564.5796990946437</v>
      </c>
      <c r="R35" s="9">
        <v>99.402072131516832</v>
      </c>
      <c r="S35" s="9">
        <v>0</v>
      </c>
      <c r="T35" s="9">
        <v>0</v>
      </c>
      <c r="U35">
        <f t="shared" si="1"/>
        <v>129003.02100720136</v>
      </c>
    </row>
    <row r="36" spans="1:21" x14ac:dyDescent="0.25">
      <c r="A36" s="12">
        <v>0.6875</v>
      </c>
      <c r="B36" s="6">
        <v>135438.18932487629</v>
      </c>
      <c r="C36" s="6">
        <v>10544.560958986605</v>
      </c>
      <c r="D36" s="6">
        <v>758.64756317526417</v>
      </c>
      <c r="E36" s="6">
        <v>2016.4144200072647</v>
      </c>
      <c r="F36" s="6">
        <v>4613.6377837244354</v>
      </c>
      <c r="G36" s="6">
        <v>56.180492498874663</v>
      </c>
      <c r="H36" s="6">
        <v>1.9170401656627656</v>
      </c>
      <c r="I36" s="6">
        <v>0.10066771864891051</v>
      </c>
      <c r="J36" s="6">
        <f t="shared" si="0"/>
        <v>153429.64825115306</v>
      </c>
      <c r="L36" s="12">
        <v>0.6875</v>
      </c>
      <c r="M36" s="9">
        <v>116984.0488352886</v>
      </c>
      <c r="N36" s="9">
        <v>13520.728675799206</v>
      </c>
      <c r="O36" s="9">
        <v>0</v>
      </c>
      <c r="P36" s="9">
        <v>0</v>
      </c>
      <c r="Q36" s="9">
        <v>4877.1919925170623</v>
      </c>
      <c r="R36" s="9">
        <v>113.23218423725314</v>
      </c>
      <c r="S36" s="9">
        <v>0</v>
      </c>
      <c r="T36" s="9">
        <v>0</v>
      </c>
      <c r="U36">
        <f t="shared" si="1"/>
        <v>135495.20168784211</v>
      </c>
    </row>
    <row r="37" spans="1:21" x14ac:dyDescent="0.25">
      <c r="A37" s="12">
        <v>0.70833333333333337</v>
      </c>
      <c r="B37" s="6">
        <v>130839.65111679204</v>
      </c>
      <c r="C37" s="6">
        <v>9110.1405083426325</v>
      </c>
      <c r="D37" s="6">
        <v>670.68749121122312</v>
      </c>
      <c r="E37" s="6">
        <v>1914.5476135231947</v>
      </c>
      <c r="F37" s="6">
        <v>3910.6981129976093</v>
      </c>
      <c r="G37" s="6">
        <v>100.02652277505399</v>
      </c>
      <c r="H37" s="6">
        <v>6.7209607172012342</v>
      </c>
      <c r="I37" s="6">
        <v>0.3578591978549957</v>
      </c>
      <c r="J37" s="6">
        <f t="shared" si="0"/>
        <v>146552.83018555684</v>
      </c>
      <c r="L37" s="12">
        <v>0.70833333333333337</v>
      </c>
      <c r="M37" s="9">
        <v>114418.57388391611</v>
      </c>
      <c r="N37" s="9">
        <v>13148.411534197767</v>
      </c>
      <c r="O37" s="9">
        <v>0</v>
      </c>
      <c r="P37" s="9">
        <v>0</v>
      </c>
      <c r="Q37" s="9">
        <v>4888.3358827164693</v>
      </c>
      <c r="R37" s="9">
        <v>119.69823016905323</v>
      </c>
      <c r="S37" s="9">
        <v>0</v>
      </c>
      <c r="T37" s="9">
        <v>0</v>
      </c>
      <c r="U37">
        <f t="shared" si="1"/>
        <v>132575.01953099939</v>
      </c>
    </row>
    <row r="38" spans="1:21" x14ac:dyDescent="0.25">
      <c r="A38" s="12">
        <v>0.72916666666666663</v>
      </c>
      <c r="B38" s="6">
        <v>115677.17361003508</v>
      </c>
      <c r="C38" s="6">
        <v>7808.8257716016878</v>
      </c>
      <c r="D38" s="6">
        <v>596.31537948432219</v>
      </c>
      <c r="E38" s="6">
        <v>1746.3240607617267</v>
      </c>
      <c r="F38" s="6">
        <v>3109.8124491584344</v>
      </c>
      <c r="G38" s="6">
        <v>154.58077688407897</v>
      </c>
      <c r="H38" s="6">
        <v>19.001522494554521</v>
      </c>
      <c r="I38" s="6">
        <v>1.491752590537071</v>
      </c>
      <c r="J38" s="6">
        <f t="shared" si="0"/>
        <v>129113.52532301041</v>
      </c>
      <c r="L38" s="12">
        <v>0.72916666666666663</v>
      </c>
      <c r="M38" s="9">
        <v>103709.70989457531</v>
      </c>
      <c r="N38" s="9">
        <v>11988.596686130217</v>
      </c>
      <c r="O38" s="9">
        <v>0</v>
      </c>
      <c r="P38" s="9">
        <v>0</v>
      </c>
      <c r="Q38" s="9">
        <v>4597.5845662884458</v>
      </c>
      <c r="R38" s="9">
        <v>117.72330301785772</v>
      </c>
      <c r="S38" s="9">
        <v>0</v>
      </c>
      <c r="T38" s="9">
        <v>0</v>
      </c>
      <c r="U38">
        <f t="shared" si="1"/>
        <v>120413.61445001182</v>
      </c>
    </row>
    <row r="39" spans="1:21" x14ac:dyDescent="0.25">
      <c r="A39" s="12">
        <v>0.75</v>
      </c>
      <c r="B39" s="6">
        <v>93979.427269913896</v>
      </c>
      <c r="C39" s="6">
        <v>6784.3413240160507</v>
      </c>
      <c r="D39" s="6">
        <v>527.8190708987629</v>
      </c>
      <c r="E39" s="6">
        <v>1499.4696998885297</v>
      </c>
      <c r="F39" s="6">
        <v>2352.8323173789349</v>
      </c>
      <c r="G39" s="6">
        <v>212.06500195217131</v>
      </c>
      <c r="H39" s="6">
        <v>44.411911033630375</v>
      </c>
      <c r="I39" s="6">
        <v>4.7712763696908942</v>
      </c>
      <c r="J39" s="6">
        <f t="shared" si="0"/>
        <v>105405.13787145168</v>
      </c>
      <c r="L39" s="12">
        <v>0.75</v>
      </c>
      <c r="M39" s="9">
        <v>87273.557563502356</v>
      </c>
      <c r="N39" s="9">
        <v>10286.766868629213</v>
      </c>
      <c r="O39" s="9">
        <v>0</v>
      </c>
      <c r="P39" s="9">
        <v>0</v>
      </c>
      <c r="Q39" s="9">
        <v>4088.4501680722124</v>
      </c>
      <c r="R39" s="9">
        <v>109.34198443997884</v>
      </c>
      <c r="S39" s="9">
        <v>0</v>
      </c>
      <c r="T39" s="9">
        <v>0</v>
      </c>
      <c r="U39">
        <f t="shared" si="1"/>
        <v>101758.11658464377</v>
      </c>
    </row>
    <row r="40" spans="1:21" x14ac:dyDescent="0.25">
      <c r="A40" s="12">
        <v>0.77083333333333337</v>
      </c>
      <c r="B40" s="6">
        <v>70991.007930485735</v>
      </c>
      <c r="C40" s="6">
        <v>6058.5056647973279</v>
      </c>
      <c r="D40" s="6">
        <v>451.20450421790025</v>
      </c>
      <c r="E40" s="6">
        <v>1216.6120005306425</v>
      </c>
      <c r="F40" s="6">
        <v>1730.0851389484853</v>
      </c>
      <c r="G40" s="6">
        <v>261.67730213165282</v>
      </c>
      <c r="H40" s="6">
        <v>87.123376200199118</v>
      </c>
      <c r="I40" s="6">
        <v>11.928098387718199</v>
      </c>
      <c r="J40" s="6">
        <f t="shared" si="0"/>
        <v>80808.144015699654</v>
      </c>
      <c r="L40" s="12">
        <v>0.77083333333333337</v>
      </c>
      <c r="M40" s="9">
        <v>68790.294007650067</v>
      </c>
      <c r="N40" s="9">
        <v>8410.2574426925894</v>
      </c>
      <c r="O40" s="9">
        <v>0</v>
      </c>
      <c r="P40" s="9">
        <v>0</v>
      </c>
      <c r="Q40" s="9">
        <v>3493.5712283598896</v>
      </c>
      <c r="R40" s="9">
        <v>98.52120366524548</v>
      </c>
      <c r="S40" s="9">
        <v>0</v>
      </c>
      <c r="T40" s="9">
        <v>0</v>
      </c>
      <c r="U40">
        <f t="shared" si="1"/>
        <v>80792.643882367789</v>
      </c>
    </row>
    <row r="41" spans="1:21" x14ac:dyDescent="0.25">
      <c r="A41" s="12">
        <v>0.79166666666666663</v>
      </c>
      <c r="B41" s="6">
        <v>50958.134356862334</v>
      </c>
      <c r="C41" s="6">
        <v>5560.1873181186702</v>
      </c>
      <c r="D41" s="6">
        <v>358.67822221951377</v>
      </c>
      <c r="E41" s="6">
        <v>963.78863505506547</v>
      </c>
      <c r="F41" s="6">
        <v>1279.5543624540642</v>
      </c>
      <c r="G41" s="6">
        <v>290.57783606886858</v>
      </c>
      <c r="H41" s="6">
        <v>144.64835068702698</v>
      </c>
      <c r="I41" s="6">
        <v>23.856196775436395</v>
      </c>
      <c r="J41" s="6">
        <f t="shared" si="0"/>
        <v>59579.425278240982</v>
      </c>
      <c r="L41" s="12">
        <v>0.79166666666666663</v>
      </c>
      <c r="M41" s="9">
        <v>51671.244741587238</v>
      </c>
      <c r="N41" s="9">
        <v>6691.516699712929</v>
      </c>
      <c r="O41" s="9">
        <v>0</v>
      </c>
      <c r="P41" s="9">
        <v>0</v>
      </c>
      <c r="Q41" s="9">
        <v>2936.9461159860161</v>
      </c>
      <c r="R41" s="9">
        <v>88.741197889975751</v>
      </c>
      <c r="S41" s="9">
        <v>0</v>
      </c>
      <c r="T41" s="9">
        <v>0</v>
      </c>
      <c r="U41">
        <f t="shared" si="1"/>
        <v>61388.448755176156</v>
      </c>
    </row>
    <row r="42" spans="1:21" x14ac:dyDescent="0.25">
      <c r="A42" s="12">
        <v>0.8125</v>
      </c>
      <c r="B42" s="6">
        <v>35887.647536589036</v>
      </c>
      <c r="C42" s="6">
        <v>5166.1821870454587</v>
      </c>
      <c r="D42" s="6">
        <v>257.99542319290629</v>
      </c>
      <c r="E42" s="6">
        <v>786.33094730747871</v>
      </c>
      <c r="F42" s="6">
        <v>987.35750611060712</v>
      </c>
      <c r="G42" s="6">
        <v>287.30474533939355</v>
      </c>
      <c r="H42" s="6">
        <v>203.97524806737903</v>
      </c>
      <c r="I42" s="6">
        <v>38.766319760084144</v>
      </c>
      <c r="J42" s="6">
        <f t="shared" si="0"/>
        <v>43615.559913412348</v>
      </c>
      <c r="L42" s="12">
        <v>0.8125</v>
      </c>
      <c r="M42" s="9">
        <v>37907.222419370868</v>
      </c>
      <c r="N42" s="9">
        <v>5312.9725818707648</v>
      </c>
      <c r="O42" s="9">
        <v>0</v>
      </c>
      <c r="P42" s="9">
        <v>0</v>
      </c>
      <c r="Q42" s="9">
        <v>2488.3015082964757</v>
      </c>
      <c r="R42" s="9">
        <v>81.308415147927633</v>
      </c>
      <c r="S42" s="9">
        <v>0</v>
      </c>
      <c r="T42" s="9">
        <v>0</v>
      </c>
      <c r="U42">
        <f t="shared" si="1"/>
        <v>45789.804924686039</v>
      </c>
    </row>
    <row r="43" spans="1:21" x14ac:dyDescent="0.25">
      <c r="A43" s="12">
        <v>0.83333333333333337</v>
      </c>
      <c r="B43" s="6">
        <v>25723.594740456356</v>
      </c>
      <c r="C43" s="6">
        <v>4746.4942163917658</v>
      </c>
      <c r="D43" s="6">
        <v>169.02837067204996</v>
      </c>
      <c r="E43" s="6">
        <v>688.40103290170146</v>
      </c>
      <c r="F43" s="6">
        <v>801.23195317587113</v>
      </c>
      <c r="G43" s="6">
        <v>248.79171246099466</v>
      </c>
      <c r="H43" s="6">
        <v>244.34182249069215</v>
      </c>
      <c r="I43" s="6">
        <v>51.688426346778861</v>
      </c>
      <c r="J43" s="6">
        <f t="shared" si="0"/>
        <v>32673.572274896211</v>
      </c>
      <c r="L43" s="12">
        <v>0.83333333333333337</v>
      </c>
      <c r="M43" s="9">
        <v>27865.958329834721</v>
      </c>
      <c r="N43" s="9">
        <v>4295.2166158221116</v>
      </c>
      <c r="O43" s="9">
        <v>0</v>
      </c>
      <c r="P43" s="9">
        <v>0</v>
      </c>
      <c r="Q43" s="9">
        <v>2155.8280375250961</v>
      </c>
      <c r="R43" s="9">
        <v>75.703107925874932</v>
      </c>
      <c r="S43" s="9">
        <v>0</v>
      </c>
      <c r="T43" s="9">
        <v>0</v>
      </c>
      <c r="U43">
        <f t="shared" si="1"/>
        <v>34392.706091107801</v>
      </c>
    </row>
    <row r="44" spans="1:21" x14ac:dyDescent="0.25">
      <c r="A44" s="12">
        <v>0.85416666666666663</v>
      </c>
      <c r="B44" s="6">
        <v>19344.358557602969</v>
      </c>
      <c r="C44" s="6">
        <v>4216.0127998231092</v>
      </c>
      <c r="D44" s="6">
        <v>109.50198349423745</v>
      </c>
      <c r="E44" s="6">
        <v>643.42905656671428</v>
      </c>
      <c r="F44" s="6">
        <v>665.60902287048714</v>
      </c>
      <c r="G44" s="6">
        <v>185.39917745876306</v>
      </c>
      <c r="H44" s="6">
        <v>248.05712354040148</v>
      </c>
      <c r="I44" s="6">
        <v>56.857268981456748</v>
      </c>
      <c r="J44" s="6">
        <f t="shared" si="0"/>
        <v>25469.224990338138</v>
      </c>
      <c r="L44" s="12">
        <v>0.85416666666666663</v>
      </c>
      <c r="M44" s="9">
        <v>20884.961321343777</v>
      </c>
      <c r="N44" s="9">
        <v>3566.4456029338589</v>
      </c>
      <c r="O44" s="9">
        <v>0</v>
      </c>
      <c r="P44" s="9">
        <v>0</v>
      </c>
      <c r="Q44" s="9">
        <v>1913.1057353455471</v>
      </c>
      <c r="R44" s="9">
        <v>71.22780427710471</v>
      </c>
      <c r="S44" s="9">
        <v>0</v>
      </c>
      <c r="T44" s="9">
        <v>0</v>
      </c>
      <c r="U44">
        <f t="shared" si="1"/>
        <v>26435.740463900285</v>
      </c>
    </row>
    <row r="45" spans="1:21" x14ac:dyDescent="0.25">
      <c r="A45" s="12">
        <v>0.875</v>
      </c>
      <c r="B45" s="6">
        <v>15496.634415688372</v>
      </c>
      <c r="C45" s="6">
        <v>3572.7494664759292</v>
      </c>
      <c r="D45" s="6">
        <v>82.603509742073626</v>
      </c>
      <c r="E45" s="6">
        <v>617.78308219768019</v>
      </c>
      <c r="F45" s="6">
        <v>553.7598689659053</v>
      </c>
      <c r="G45" s="6">
        <v>116.93659777522083</v>
      </c>
      <c r="H45" s="6">
        <v>212.46662064552311</v>
      </c>
      <c r="I45" s="6">
        <v>51.688426346778861</v>
      </c>
      <c r="J45" s="6">
        <f t="shared" si="0"/>
        <v>20704.621987837483</v>
      </c>
      <c r="L45" s="12">
        <v>0.875</v>
      </c>
      <c r="M45" s="9">
        <v>16046.481327421841</v>
      </c>
      <c r="N45" s="9">
        <v>3039.9241747876822</v>
      </c>
      <c r="O45" s="9">
        <v>0</v>
      </c>
      <c r="P45" s="9">
        <v>0</v>
      </c>
      <c r="Q45" s="9">
        <v>1731.2903551144323</v>
      </c>
      <c r="R45" s="9">
        <v>68.024204765663626</v>
      </c>
      <c r="S45" s="9">
        <v>0</v>
      </c>
      <c r="T45" s="9">
        <v>0</v>
      </c>
      <c r="U45">
        <f t="shared" si="1"/>
        <v>20885.720062089622</v>
      </c>
    </row>
    <row r="46" spans="1:21" x14ac:dyDescent="0.25">
      <c r="A46" s="12">
        <v>0.89583333333333337</v>
      </c>
      <c r="B46" s="6">
        <v>13208.383106287551</v>
      </c>
      <c r="C46" s="6">
        <v>2889.2911893471555</v>
      </c>
      <c r="D46" s="6">
        <v>76.535245579489327</v>
      </c>
      <c r="E46" s="6">
        <v>586.55228535992546</v>
      </c>
      <c r="F46" s="6">
        <v>467.4581258343311</v>
      </c>
      <c r="G46" s="6">
        <v>61.435702257156358</v>
      </c>
      <c r="H46" s="6">
        <v>152.51956508874895</v>
      </c>
      <c r="I46" s="6">
        <v>38.766319760084151</v>
      </c>
      <c r="J46" s="6">
        <f t="shared" si="0"/>
        <v>17480.941539514442</v>
      </c>
      <c r="L46" s="12">
        <v>0.89583333333333337</v>
      </c>
      <c r="M46" s="9">
        <v>12624.307057925873</v>
      </c>
      <c r="N46" s="9">
        <v>2646.4005197745214</v>
      </c>
      <c r="O46" s="9">
        <v>0</v>
      </c>
      <c r="P46" s="9">
        <v>0</v>
      </c>
      <c r="Q46" s="9">
        <v>1590.4309097074333</v>
      </c>
      <c r="R46" s="9">
        <v>66.473038989423216</v>
      </c>
      <c r="S46" s="9">
        <v>0</v>
      </c>
      <c r="T46" s="9">
        <v>0</v>
      </c>
      <c r="U46">
        <f t="shared" si="1"/>
        <v>16927.611526397253</v>
      </c>
    </row>
    <row r="47" spans="1:21" x14ac:dyDescent="0.25">
      <c r="A47" s="12">
        <v>0.91666666666666663</v>
      </c>
      <c r="B47" s="6">
        <v>11764.01161861041</v>
      </c>
      <c r="C47" s="6">
        <v>2255.9235522196641</v>
      </c>
      <c r="D47" s="6">
        <v>74.448777560256346</v>
      </c>
      <c r="E47" s="6">
        <v>535.26220045524838</v>
      </c>
      <c r="F47" s="6">
        <v>410.41194372435314</v>
      </c>
      <c r="G47" s="6">
        <v>26.431004830360408</v>
      </c>
      <c r="H47" s="6">
        <v>90.915867576599126</v>
      </c>
      <c r="I47" s="6">
        <v>23.856196775436402</v>
      </c>
      <c r="J47" s="6">
        <f t="shared" si="0"/>
        <v>15181.261161752327</v>
      </c>
      <c r="L47" s="12">
        <v>0.91666666666666663</v>
      </c>
      <c r="M47" s="9">
        <v>10124.448904388775</v>
      </c>
      <c r="N47" s="9">
        <v>2325.7718047832755</v>
      </c>
      <c r="O47" s="9">
        <v>0</v>
      </c>
      <c r="P47" s="9">
        <v>0</v>
      </c>
      <c r="Q47" s="9">
        <v>1469.4465833832376</v>
      </c>
      <c r="R47" s="9">
        <v>65.90215608679857</v>
      </c>
      <c r="S47" s="9">
        <v>0</v>
      </c>
      <c r="T47" s="9">
        <v>0</v>
      </c>
      <c r="U47">
        <f t="shared" si="1"/>
        <v>13985.569448642087</v>
      </c>
    </row>
    <row r="48" spans="1:21" x14ac:dyDescent="0.25">
      <c r="A48" s="12">
        <v>0.9375</v>
      </c>
      <c r="B48" s="6">
        <v>10571.569373080943</v>
      </c>
      <c r="C48" s="6">
        <v>1721.3216292728084</v>
      </c>
      <c r="D48" s="6">
        <v>65.430656400918494</v>
      </c>
      <c r="E48" s="6">
        <v>457.13986165326526</v>
      </c>
      <c r="F48" s="6">
        <v>369.33170573277908</v>
      </c>
      <c r="G48" s="6">
        <v>9.1224994535446147</v>
      </c>
      <c r="H48" s="6">
        <v>44.43337372899056</v>
      </c>
      <c r="I48" s="6">
        <v>11.928098387718199</v>
      </c>
      <c r="J48" s="6">
        <f t="shared" si="0"/>
        <v>13250.277197710968</v>
      </c>
      <c r="L48" s="12">
        <v>0.9375</v>
      </c>
      <c r="M48" s="9">
        <v>8166.3795979604329</v>
      </c>
      <c r="N48" s="9">
        <v>2017.005332230729</v>
      </c>
      <c r="O48" s="9">
        <v>0</v>
      </c>
      <c r="P48" s="9">
        <v>0</v>
      </c>
      <c r="Q48" s="9">
        <v>1336.5237254656386</v>
      </c>
      <c r="R48" s="9">
        <v>64.226420145121992</v>
      </c>
      <c r="S48" s="9">
        <v>0</v>
      </c>
      <c r="T48" s="9">
        <v>0</v>
      </c>
      <c r="U48">
        <f t="shared" si="1"/>
        <v>11584.135075801922</v>
      </c>
    </row>
    <row r="49" spans="1:21" x14ac:dyDescent="0.25">
      <c r="A49" s="12">
        <v>0.95833333333333337</v>
      </c>
      <c r="B49" s="6">
        <v>9167.9233691774061</v>
      </c>
      <c r="C49" s="6">
        <v>1279.6741156142589</v>
      </c>
      <c r="D49" s="6">
        <v>48.675806947089413</v>
      </c>
      <c r="E49" s="6">
        <v>354.95320027376397</v>
      </c>
      <c r="F49" s="6">
        <v>321.54832822968331</v>
      </c>
      <c r="G49" s="6">
        <v>2.457674785971641</v>
      </c>
      <c r="H49" s="6">
        <v>17.492097710609436</v>
      </c>
      <c r="I49" s="6">
        <v>4.7712393550872791</v>
      </c>
      <c r="J49" s="6">
        <f t="shared" si="0"/>
        <v>11197.495832093869</v>
      </c>
      <c r="L49" s="12">
        <v>0.95833333333333337</v>
      </c>
      <c r="M49" s="9">
        <v>6445.0028945236718</v>
      </c>
      <c r="N49" s="9">
        <v>1671.8727834275624</v>
      </c>
      <c r="O49" s="9">
        <v>0</v>
      </c>
      <c r="P49" s="9">
        <v>0</v>
      </c>
      <c r="Q49" s="9">
        <v>1158.6038710354048</v>
      </c>
      <c r="R49" s="9">
        <v>59.074089321571762</v>
      </c>
      <c r="S49" s="9">
        <v>0</v>
      </c>
      <c r="T49" s="9">
        <v>0</v>
      </c>
      <c r="U49">
        <f t="shared" si="1"/>
        <v>9334.5536383082108</v>
      </c>
    </row>
    <row r="50" spans="1:21" x14ac:dyDescent="0.25">
      <c r="A50" s="12">
        <v>0.97916666666666663</v>
      </c>
      <c r="B50" s="6">
        <v>7355.7645488930366</v>
      </c>
      <c r="C50" s="6">
        <v>904.54409100614225</v>
      </c>
      <c r="D50" s="6">
        <v>29.904126588037116</v>
      </c>
      <c r="E50" s="6">
        <v>243.43838637203527</v>
      </c>
      <c r="F50" s="6">
        <v>255.0847777447683</v>
      </c>
      <c r="G50" s="6">
        <v>0.49662386655807478</v>
      </c>
      <c r="H50" s="6">
        <v>5.4076864135265348</v>
      </c>
      <c r="I50" s="6">
        <v>1.4910122984647749</v>
      </c>
      <c r="J50" s="6">
        <f t="shared" si="0"/>
        <v>8796.1312531825697</v>
      </c>
      <c r="L50" s="12">
        <v>0.97916666666666663</v>
      </c>
      <c r="M50" s="9">
        <v>4798.2024227498805</v>
      </c>
      <c r="N50" s="9">
        <v>1280.8168603858887</v>
      </c>
      <c r="O50" s="9">
        <v>0</v>
      </c>
      <c r="P50" s="9">
        <v>0</v>
      </c>
      <c r="Q50" s="9">
        <v>924.67612179486764</v>
      </c>
      <c r="R50" s="9">
        <v>49.477625147731274</v>
      </c>
      <c r="S50" s="9">
        <v>0</v>
      </c>
      <c r="T50" s="9">
        <v>0</v>
      </c>
      <c r="U50">
        <f t="shared" si="1"/>
        <v>7053.1730300783684</v>
      </c>
    </row>
    <row r="51" spans="1:21" x14ac:dyDescent="0.25">
      <c r="A51" s="12">
        <v>1</v>
      </c>
      <c r="B51" s="6">
        <v>5280.9450804060516</v>
      </c>
      <c r="C51" s="6">
        <v>586.00906019305512</v>
      </c>
      <c r="D51" s="6">
        <v>14.948019953195441</v>
      </c>
      <c r="E51" s="6">
        <v>143.69814152250416</v>
      </c>
      <c r="F51" s="6">
        <v>177.21559740025498</v>
      </c>
      <c r="G51" s="6">
        <v>7.0617395639419531E-2</v>
      </c>
      <c r="H51" s="6">
        <v>1.2636893177032471</v>
      </c>
      <c r="I51" s="6">
        <v>0.35082642316818236</v>
      </c>
      <c r="J51" s="6">
        <f t="shared" si="0"/>
        <v>6204.5010326115726</v>
      </c>
      <c r="L51" s="12">
        <v>1</v>
      </c>
      <c r="M51" s="9">
        <v>3250.7199360937552</v>
      </c>
      <c r="N51" s="9">
        <v>880.55498478301229</v>
      </c>
      <c r="O51" s="9">
        <v>0</v>
      </c>
      <c r="P51" s="9">
        <v>0</v>
      </c>
      <c r="Q51" s="9">
        <v>659.18256430643817</v>
      </c>
      <c r="R51" s="9">
        <v>36.716978018140459</v>
      </c>
      <c r="S51" s="9">
        <v>0</v>
      </c>
      <c r="T51" s="9">
        <v>0</v>
      </c>
      <c r="U51">
        <f t="shared" si="1"/>
        <v>4827.174463201346</v>
      </c>
    </row>
    <row r="52" spans="1:21" x14ac:dyDescent="0.25">
      <c r="A52" s="12">
        <v>1.0208333333333333</v>
      </c>
      <c r="B52" s="6">
        <v>3309.1192634870013</v>
      </c>
      <c r="C52" s="6">
        <v>335.51644414363011</v>
      </c>
      <c r="D52" s="6">
        <v>5.9790523863266145</v>
      </c>
      <c r="E52" s="6">
        <v>71.358778603390874</v>
      </c>
      <c r="F52" s="6">
        <v>105.3694102681028</v>
      </c>
      <c r="G52" s="6">
        <v>6.2820496559143043E-3</v>
      </c>
      <c r="H52" s="6">
        <v>0.2097925126552582</v>
      </c>
      <c r="I52" s="6">
        <v>5.847107052803039E-2</v>
      </c>
      <c r="J52" s="6">
        <f t="shared" si="0"/>
        <v>3827.6174945212911</v>
      </c>
      <c r="L52" s="12">
        <v>1.0208333333333333</v>
      </c>
      <c r="M52" s="9">
        <v>1944.2752279010481</v>
      </c>
      <c r="N52" s="9">
        <v>530.15403477541736</v>
      </c>
      <c r="O52" s="9">
        <v>0</v>
      </c>
      <c r="P52" s="9">
        <v>0</v>
      </c>
      <c r="Q52" s="9">
        <v>409.53005709977111</v>
      </c>
      <c r="R52" s="9">
        <v>23.627852469893018</v>
      </c>
      <c r="S52" s="9">
        <v>0</v>
      </c>
      <c r="T52" s="9">
        <v>0</v>
      </c>
      <c r="U52">
        <f t="shared" si="1"/>
        <v>2907.5871722461297</v>
      </c>
    </row>
    <row r="53" spans="1:21" x14ac:dyDescent="0.25">
      <c r="A53" s="12">
        <v>4.1666666666666664E-2</v>
      </c>
      <c r="B53" s="6">
        <v>1774.5251565949534</v>
      </c>
      <c r="C53" s="6">
        <v>164.62956056378181</v>
      </c>
      <c r="D53" s="6">
        <v>1.868453870727067</v>
      </c>
      <c r="E53" s="6">
        <v>29.16790799242731</v>
      </c>
      <c r="F53" s="6">
        <v>52.795938995983938</v>
      </c>
      <c r="G53" s="6">
        <v>2.6201713085174559E-4</v>
      </c>
      <c r="H53" s="6">
        <v>2.20463228225708E-2</v>
      </c>
      <c r="I53" s="6">
        <v>6.154849529266356E-3</v>
      </c>
      <c r="J53" s="6">
        <f t="shared" si="0"/>
        <v>2023.0154812073561</v>
      </c>
      <c r="L53" s="12">
        <v>4.1666666666666664E-2</v>
      </c>
      <c r="M53" s="9">
        <v>1001.0971404067402</v>
      </c>
      <c r="N53" s="9">
        <v>273.65160651295076</v>
      </c>
      <c r="O53" s="9">
        <v>0</v>
      </c>
      <c r="P53" s="9">
        <v>0</v>
      </c>
      <c r="Q53" s="9">
        <v>217.11935085284475</v>
      </c>
      <c r="R53" s="9">
        <v>12.935416742679438</v>
      </c>
      <c r="S53" s="9">
        <v>0</v>
      </c>
      <c r="T53" s="9">
        <v>0</v>
      </c>
      <c r="U53">
        <f t="shared" si="1"/>
        <v>1504.8035145152153</v>
      </c>
    </row>
    <row r="54" spans="1:21" x14ac:dyDescent="0.25">
      <c r="A54" s="12">
        <v>6.25E-2</v>
      </c>
      <c r="B54" s="6">
        <v>799.84011843957251</v>
      </c>
      <c r="C54" s="6">
        <v>67.425567223021829</v>
      </c>
      <c r="D54" s="6">
        <v>0.43963620487695693</v>
      </c>
      <c r="E54" s="6">
        <v>9.5811412351771814</v>
      </c>
      <c r="F54" s="6">
        <v>21.969555639691116</v>
      </c>
      <c r="G54" s="6">
        <v>0</v>
      </c>
      <c r="H54" s="6">
        <v>1.1023161411285399E-3</v>
      </c>
      <c r="I54" s="6">
        <v>3.0774247646331787E-4</v>
      </c>
      <c r="J54" s="6">
        <f t="shared" si="0"/>
        <v>899.25742880095709</v>
      </c>
      <c r="L54" s="12">
        <v>6.25E-2</v>
      </c>
      <c r="M54" s="9">
        <v>433.64640306187118</v>
      </c>
      <c r="N54" s="9">
        <v>118.61094328814329</v>
      </c>
      <c r="O54" s="9">
        <v>0</v>
      </c>
      <c r="P54" s="9">
        <v>0</v>
      </c>
      <c r="Q54" s="9">
        <v>96.253720412224766</v>
      </c>
      <c r="R54" s="9">
        <v>5.9082308266242052</v>
      </c>
      <c r="S54" s="9">
        <v>0</v>
      </c>
      <c r="T54" s="9">
        <v>0</v>
      </c>
      <c r="U54">
        <f t="shared" si="1"/>
        <v>654.4192975888634</v>
      </c>
    </row>
    <row r="55" spans="1:21" x14ac:dyDescent="0.25">
      <c r="A55" s="12">
        <v>8.3333333333333329E-2</v>
      </c>
      <c r="B55" s="6">
        <v>297.19207402102666</v>
      </c>
      <c r="C55" s="6">
        <v>22.458308119252834</v>
      </c>
      <c r="D55" s="6">
        <v>7.3272700812826164E-2</v>
      </c>
      <c r="E55" s="6">
        <v>2.4538979658029083</v>
      </c>
      <c r="F55" s="6">
        <v>7.4565744682262327</v>
      </c>
      <c r="G55" s="6">
        <v>0</v>
      </c>
      <c r="H55" s="6">
        <v>0</v>
      </c>
      <c r="I55" s="6">
        <v>0</v>
      </c>
      <c r="J55" s="6">
        <f t="shared" si="0"/>
        <v>329.63412727512144</v>
      </c>
      <c r="L55" s="12">
        <v>8.3333333333333329E-2</v>
      </c>
      <c r="M55" s="9">
        <v>154.21664110886638</v>
      </c>
      <c r="N55" s="9">
        <v>42.178671827705841</v>
      </c>
      <c r="O55" s="9">
        <v>0</v>
      </c>
      <c r="P55" s="9">
        <v>0</v>
      </c>
      <c r="Q55" s="9">
        <v>34.880721311783851</v>
      </c>
      <c r="R55" s="9">
        <v>2.2012510594929133</v>
      </c>
      <c r="S55" s="9">
        <v>0</v>
      </c>
      <c r="T55" s="9">
        <v>0</v>
      </c>
      <c r="U55">
        <f t="shared" si="1"/>
        <v>233.47728530784897</v>
      </c>
    </row>
    <row r="56" spans="1:21" x14ac:dyDescent="0.25">
      <c r="A56" s="12">
        <v>0.10416666666666667</v>
      </c>
      <c r="B56" s="6">
        <v>88.848073141995684</v>
      </c>
      <c r="C56" s="6">
        <v>5.9006768282840367</v>
      </c>
      <c r="D56" s="6">
        <v>7.7129158750343331E-3</v>
      </c>
      <c r="E56" s="6">
        <v>0.46952676393628312</v>
      </c>
      <c r="F56" s="6">
        <v>2.0122371644746151</v>
      </c>
      <c r="G56" s="6">
        <v>0</v>
      </c>
      <c r="H56" s="6">
        <v>0</v>
      </c>
      <c r="I56" s="6">
        <v>0</v>
      </c>
      <c r="J56" s="6">
        <f t="shared" si="0"/>
        <v>97.23822681456565</v>
      </c>
      <c r="L56" s="12">
        <v>0.10416666666666667</v>
      </c>
      <c r="M56" s="9">
        <v>43.693148722045933</v>
      </c>
      <c r="N56" s="9">
        <v>11.948425542080194</v>
      </c>
      <c r="O56" s="9">
        <v>0</v>
      </c>
      <c r="P56" s="9">
        <v>0</v>
      </c>
      <c r="Q56" s="9">
        <v>10.037914050807627</v>
      </c>
      <c r="R56" s="9">
        <v>0.64985221416596728</v>
      </c>
      <c r="S56" s="9">
        <v>0</v>
      </c>
      <c r="T56" s="9">
        <v>0</v>
      </c>
      <c r="U56">
        <f t="shared" si="1"/>
        <v>66.32934052909971</v>
      </c>
    </row>
    <row r="57" spans="1:21" x14ac:dyDescent="0.25">
      <c r="A57" s="12">
        <v>0.125</v>
      </c>
      <c r="B57" s="6">
        <v>20.283949027442901</v>
      </c>
      <c r="C57" s="6">
        <v>1.158909145774129</v>
      </c>
      <c r="D57" s="6">
        <v>3.8564579375171659E-4</v>
      </c>
      <c r="E57" s="6">
        <v>6.2546107881378168E-2</v>
      </c>
      <c r="F57" s="6">
        <v>0.4098514908867798</v>
      </c>
      <c r="G57" s="6">
        <v>0</v>
      </c>
      <c r="H57" s="6">
        <v>0</v>
      </c>
      <c r="I57" s="6">
        <v>0</v>
      </c>
      <c r="J57" s="6">
        <f t="shared" si="0"/>
        <v>21.915641417778939</v>
      </c>
      <c r="L57" s="12">
        <v>0.125</v>
      </c>
      <c r="M57" s="9">
        <v>9.3220917724847236</v>
      </c>
      <c r="N57" s="9">
        <v>2.5493237036022967</v>
      </c>
      <c r="O57" s="9">
        <v>0</v>
      </c>
      <c r="P57" s="9">
        <v>0</v>
      </c>
      <c r="Q57" s="9">
        <v>2.1693460786606877</v>
      </c>
      <c r="R57" s="9">
        <v>0.14365356382071237</v>
      </c>
      <c r="S57" s="9">
        <v>0</v>
      </c>
      <c r="T57" s="9">
        <v>0</v>
      </c>
      <c r="U57">
        <f t="shared" si="1"/>
        <v>14.18441511856842</v>
      </c>
    </row>
    <row r="58" spans="1:21" ht="15.75" thickBot="1" x14ac:dyDescent="0.3">
      <c r="A58" s="13" t="s">
        <v>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f t="shared" si="0"/>
        <v>0</v>
      </c>
      <c r="L58" s="13" t="s">
        <v>6</v>
      </c>
      <c r="M58" s="10">
        <v>0</v>
      </c>
      <c r="N58" s="10">
        <v>0</v>
      </c>
      <c r="O58" s="10">
        <v>0</v>
      </c>
      <c r="P58" s="10">
        <v>0</v>
      </c>
      <c r="Q58" s="10">
        <v>0</v>
      </c>
      <c r="R58" s="10">
        <v>0</v>
      </c>
      <c r="S58" s="10">
        <v>0</v>
      </c>
      <c r="T58" s="10">
        <v>0</v>
      </c>
      <c r="U58" s="1">
        <f t="shared" si="1"/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width="12.7109375" customWidth="1" collapsed="1"/>
    <col min="2" max="10" width="10.7109375" customWidth="1" collapsed="1"/>
    <col min="11" max="11" width="6.42578125" customWidth="1" collapsed="1"/>
    <col min="12" max="12" width="12.7109375" customWidth="1" collapsed="1"/>
    <col min="13" max="21" width="10.7109375" customWidth="1" collapsed="1"/>
  </cols>
  <sheetData>
    <row r="1" spans="1:26" x14ac:dyDescent="0.25">
      <c r="A1" t="s">
        <v>40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56</v>
      </c>
      <c r="B6" s="1"/>
      <c r="C6" s="1"/>
      <c r="D6" s="1"/>
      <c r="E6" s="1"/>
      <c r="F6" s="1"/>
      <c r="G6" s="1"/>
      <c r="H6" s="1"/>
      <c r="I6" s="1"/>
      <c r="J6" s="1"/>
      <c r="L6" s="3" t="s">
        <v>41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>
        <v>0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f>SUM(B8:I8)</f>
        <v>0</v>
      </c>
      <c r="L8" t="s">
        <v>5</v>
      </c>
      <c r="M8" s="9">
        <v>0.5</v>
      </c>
      <c r="N8" s="9">
        <v>0</v>
      </c>
      <c r="O8" s="9">
        <v>0</v>
      </c>
      <c r="P8" s="9">
        <v>0</v>
      </c>
      <c r="Q8" s="9">
        <v>28.268948715325628</v>
      </c>
      <c r="R8" s="9">
        <v>0</v>
      </c>
      <c r="S8" s="9">
        <v>5.75</v>
      </c>
      <c r="T8" s="9">
        <v>0</v>
      </c>
      <c r="U8">
        <f>SUM(M8:T8)</f>
        <v>34.518948715325628</v>
      </c>
      <c r="W8" s="5"/>
      <c r="X8" s="16"/>
      <c r="Y8" s="16"/>
      <c r="Z8" s="5"/>
    </row>
    <row r="9" spans="1:26" x14ac:dyDescent="0.25">
      <c r="A9" s="12">
        <v>0.125</v>
      </c>
      <c r="B9" s="6">
        <v>0</v>
      </c>
      <c r="C9" s="6">
        <v>0</v>
      </c>
      <c r="D9" s="6">
        <v>0</v>
      </c>
      <c r="E9" s="6">
        <v>0</v>
      </c>
      <c r="F9" s="6">
        <v>3.8800589823722853</v>
      </c>
      <c r="G9" s="6">
        <v>0</v>
      </c>
      <c r="H9" s="6">
        <v>0</v>
      </c>
      <c r="I9" s="6">
        <v>0</v>
      </c>
      <c r="J9" s="6">
        <f t="shared" ref="J9:J58" si="0">SUM(B9:I9)</f>
        <v>3.8800589823722853</v>
      </c>
      <c r="L9" s="12">
        <v>0.125</v>
      </c>
      <c r="M9" s="9">
        <v>12.975393813941317</v>
      </c>
      <c r="N9" s="9">
        <v>0</v>
      </c>
      <c r="O9" s="9">
        <v>0</v>
      </c>
      <c r="P9" s="9">
        <v>0</v>
      </c>
      <c r="Q9" s="9">
        <v>42.320846392930783</v>
      </c>
      <c r="R9" s="9">
        <v>0.3848925663823155</v>
      </c>
      <c r="S9" s="9">
        <v>7.5190759494400758</v>
      </c>
      <c r="T9" s="9">
        <v>4.1474286682247577E-2</v>
      </c>
      <c r="U9">
        <f t="shared" ref="U9:U58" si="1">SUM(M9:T9)</f>
        <v>63.241683009376729</v>
      </c>
      <c r="W9" s="5"/>
      <c r="X9" s="16"/>
      <c r="Y9" s="16"/>
      <c r="Z9" s="5"/>
    </row>
    <row r="10" spans="1:26" x14ac:dyDescent="0.25">
      <c r="A10" s="12">
        <v>0.14583333333333334</v>
      </c>
      <c r="B10" s="6">
        <v>0</v>
      </c>
      <c r="C10" s="6">
        <v>7.1128338348770145E-5</v>
      </c>
      <c r="D10" s="6">
        <v>0</v>
      </c>
      <c r="E10" s="6">
        <v>0</v>
      </c>
      <c r="F10" s="6">
        <v>6.5829164087772387</v>
      </c>
      <c r="G10" s="6">
        <v>0</v>
      </c>
      <c r="H10" s="6">
        <v>7.8568375110626217E-4</v>
      </c>
      <c r="I10" s="6">
        <v>3.8266777992248537E-4</v>
      </c>
      <c r="J10" s="6">
        <f t="shared" si="0"/>
        <v>6.5841558886466158</v>
      </c>
      <c r="L10" s="12">
        <v>0.14583333333333334</v>
      </c>
      <c r="M10" s="9">
        <v>19.691687373931508</v>
      </c>
      <c r="N10" s="9">
        <v>0</v>
      </c>
      <c r="O10" s="9">
        <v>0</v>
      </c>
      <c r="P10" s="9">
        <v>0</v>
      </c>
      <c r="Q10" s="9">
        <v>47.758495790260717</v>
      </c>
      <c r="R10" s="9">
        <v>1.1033782841968698</v>
      </c>
      <c r="S10" s="9">
        <v>8.6498804793779396</v>
      </c>
      <c r="T10" s="9">
        <v>0.13348613112360078</v>
      </c>
      <c r="U10">
        <f t="shared" si="1"/>
        <v>77.336928058890635</v>
      </c>
      <c r="W10" s="5"/>
      <c r="X10" s="16"/>
      <c r="Y10" s="16"/>
      <c r="Z10" s="5"/>
    </row>
    <row r="11" spans="1:26" x14ac:dyDescent="0.25">
      <c r="A11" s="12">
        <v>0.16666666666666666</v>
      </c>
      <c r="B11" s="6">
        <v>0</v>
      </c>
      <c r="C11" s="6">
        <v>1.4225667669754032E-3</v>
      </c>
      <c r="D11" s="6">
        <v>0</v>
      </c>
      <c r="E11" s="6">
        <v>1.9871633070087433E-4</v>
      </c>
      <c r="F11" s="6">
        <v>7.5482032549381275</v>
      </c>
      <c r="G11" s="6">
        <v>7.4462175369262697E-4</v>
      </c>
      <c r="H11" s="6">
        <v>1.6385934472084043E-2</v>
      </c>
      <c r="I11" s="6">
        <v>7.6533555984497062E-3</v>
      </c>
      <c r="J11" s="6">
        <f t="shared" si="0"/>
        <v>7.5746084498600306</v>
      </c>
      <c r="L11" s="12">
        <v>0.16666666666666666</v>
      </c>
      <c r="M11" s="9">
        <v>19.138892309165442</v>
      </c>
      <c r="N11" s="9">
        <v>0</v>
      </c>
      <c r="O11" s="9">
        <v>0</v>
      </c>
      <c r="P11" s="9">
        <v>0</v>
      </c>
      <c r="Q11" s="9">
        <v>43.606306518560615</v>
      </c>
      <c r="R11" s="9">
        <v>3.4999343695313345</v>
      </c>
      <c r="S11" s="9">
        <v>11.096257776412443</v>
      </c>
      <c r="T11" s="9">
        <v>0.47714698610007816</v>
      </c>
      <c r="U11">
        <f t="shared" si="1"/>
        <v>77.818537959769913</v>
      </c>
      <c r="W11" s="5"/>
      <c r="X11" s="16"/>
      <c r="Y11" s="16"/>
      <c r="Z11" s="5"/>
    </row>
    <row r="12" spans="1:26" x14ac:dyDescent="0.25">
      <c r="A12" s="12">
        <v>0.1875</v>
      </c>
      <c r="B12" s="6">
        <v>0</v>
      </c>
      <c r="C12" s="6">
        <v>1.6262213961772919E-2</v>
      </c>
      <c r="D12" s="6">
        <v>0</v>
      </c>
      <c r="E12" s="6">
        <v>5.239940028984643E-3</v>
      </c>
      <c r="F12" s="6">
        <v>6.999818739027722</v>
      </c>
      <c r="G12" s="6">
        <v>1.6028228878974912E-2</v>
      </c>
      <c r="H12" s="6">
        <v>0.16272510170936583</v>
      </c>
      <c r="I12" s="6">
        <v>7.2706878185272217E-2</v>
      </c>
      <c r="J12" s="6">
        <f t="shared" si="0"/>
        <v>7.2727811017920931</v>
      </c>
      <c r="L12" s="12">
        <v>0.1875</v>
      </c>
      <c r="M12" s="9">
        <v>14.474132679801588</v>
      </c>
      <c r="N12" s="9">
        <v>0</v>
      </c>
      <c r="O12" s="9">
        <v>0</v>
      </c>
      <c r="P12" s="9">
        <v>0</v>
      </c>
      <c r="Q12" s="9">
        <v>38.1046933543686</v>
      </c>
      <c r="R12" s="9">
        <v>11.143172430213911</v>
      </c>
      <c r="S12" s="9">
        <v>22.104268723370993</v>
      </c>
      <c r="T12" s="9">
        <v>1.6438542689426399</v>
      </c>
      <c r="U12">
        <f t="shared" si="1"/>
        <v>87.47012145669774</v>
      </c>
      <c r="W12" s="5"/>
      <c r="X12" s="5"/>
      <c r="Y12" s="5"/>
      <c r="Z12" s="5"/>
    </row>
    <row r="13" spans="1:26" x14ac:dyDescent="0.25">
      <c r="A13" s="12">
        <v>0.20833333333333334</v>
      </c>
      <c r="B13" s="6">
        <v>0</v>
      </c>
      <c r="C13" s="6">
        <v>0.13633613395673946</v>
      </c>
      <c r="D13" s="6">
        <v>0</v>
      </c>
      <c r="E13" s="6">
        <v>6.4416859920538888E-2</v>
      </c>
      <c r="F13" s="6">
        <v>5.8257822338628253</v>
      </c>
      <c r="G13" s="6">
        <v>0.16419400930404662</v>
      </c>
      <c r="H13" s="6">
        <v>1.0234087717533111</v>
      </c>
      <c r="I13" s="6">
        <v>0.43624126911163325</v>
      </c>
      <c r="J13" s="6">
        <f t="shared" si="0"/>
        <v>7.6503792779090949</v>
      </c>
      <c r="L13" s="12">
        <v>0.20833333333333334</v>
      </c>
      <c r="M13" s="9">
        <v>10.544653811440607</v>
      </c>
      <c r="N13" s="9">
        <v>0</v>
      </c>
      <c r="O13" s="9">
        <v>0</v>
      </c>
      <c r="P13" s="9">
        <v>0</v>
      </c>
      <c r="Q13" s="9">
        <v>44.981929835808899</v>
      </c>
      <c r="R13" s="9">
        <v>30.683141114330201</v>
      </c>
      <c r="S13" s="9">
        <v>57.086709186254687</v>
      </c>
      <c r="T13" s="9">
        <v>4.8171194454008388</v>
      </c>
      <c r="U13">
        <f t="shared" si="1"/>
        <v>148.11355339323524</v>
      </c>
    </row>
    <row r="14" spans="1:26" x14ac:dyDescent="0.25">
      <c r="A14" s="12">
        <v>0.22916666666666666</v>
      </c>
      <c r="B14" s="6">
        <v>2.1136314554595948E-4</v>
      </c>
      <c r="C14" s="6">
        <v>0.87408785468067374</v>
      </c>
      <c r="D14" s="6">
        <v>0</v>
      </c>
      <c r="E14" s="6">
        <v>0.49468522143509391</v>
      </c>
      <c r="F14" s="6">
        <v>6.1076073421019856</v>
      </c>
      <c r="G14" s="6">
        <v>1.064669622182846</v>
      </c>
      <c r="H14" s="6">
        <v>4.5758726319074627</v>
      </c>
      <c r="I14" s="6">
        <v>1.8546958636045456</v>
      </c>
      <c r="J14" s="6">
        <f t="shared" si="0"/>
        <v>14.971829899058152</v>
      </c>
      <c r="L14" s="12">
        <v>0.22916666666666666</v>
      </c>
      <c r="M14" s="9">
        <v>10.895954118922814</v>
      </c>
      <c r="N14" s="9">
        <v>0</v>
      </c>
      <c r="O14" s="9">
        <v>0</v>
      </c>
      <c r="P14" s="9">
        <v>0</v>
      </c>
      <c r="Q14" s="9">
        <v>79.322971994916585</v>
      </c>
      <c r="R14" s="9">
        <v>70.953316389682414</v>
      </c>
      <c r="S14" s="9">
        <v>141.42565701967791</v>
      </c>
      <c r="T14" s="9">
        <v>11.839033105897546</v>
      </c>
      <c r="U14">
        <f t="shared" si="1"/>
        <v>314.43693262909733</v>
      </c>
    </row>
    <row r="15" spans="1:26" x14ac:dyDescent="0.25">
      <c r="A15" s="12">
        <v>0.25</v>
      </c>
      <c r="B15" s="6">
        <v>4.2272629109191889E-3</v>
      </c>
      <c r="C15" s="6">
        <v>4.3220948010720912</v>
      </c>
      <c r="D15" s="6">
        <v>0</v>
      </c>
      <c r="E15" s="6">
        <v>2.6797119350080427</v>
      </c>
      <c r="F15" s="6">
        <v>14.055272460673283</v>
      </c>
      <c r="G15" s="6">
        <v>4.903136854410171</v>
      </c>
      <c r="H15" s="6">
        <v>15.500224427342413</v>
      </c>
      <c r="I15" s="6">
        <v>5.9484800415039061</v>
      </c>
      <c r="J15" s="6">
        <f t="shared" si="0"/>
        <v>47.413147782920824</v>
      </c>
      <c r="L15" s="12">
        <v>0.25</v>
      </c>
      <c r="M15" s="9">
        <v>16.819956620433643</v>
      </c>
      <c r="N15" s="9">
        <v>0</v>
      </c>
      <c r="O15" s="9">
        <v>0</v>
      </c>
      <c r="P15" s="9">
        <v>0</v>
      </c>
      <c r="Q15" s="9">
        <v>155.29014945213524</v>
      </c>
      <c r="R15" s="9">
        <v>139.52583970074105</v>
      </c>
      <c r="S15" s="9">
        <v>308.73527658814953</v>
      </c>
      <c r="T15" s="9">
        <v>24.866012647967665</v>
      </c>
      <c r="U15">
        <f t="shared" si="1"/>
        <v>645.23723500942708</v>
      </c>
    </row>
    <row r="16" spans="1:26" x14ac:dyDescent="0.25">
      <c r="A16" s="12">
        <v>0.27083333333333331</v>
      </c>
      <c r="B16" s="6">
        <v>4.0436396148610491E-2</v>
      </c>
      <c r="C16" s="6">
        <v>16.711637582175321</v>
      </c>
      <c r="D16" s="6">
        <v>0</v>
      </c>
      <c r="E16" s="6">
        <v>10.962138490197503</v>
      </c>
      <c r="F16" s="6">
        <v>47.164260601036283</v>
      </c>
      <c r="G16" s="6">
        <v>17.061246358036993</v>
      </c>
      <c r="H16" s="6">
        <v>41.521305817127228</v>
      </c>
      <c r="I16" s="6">
        <v>15.00656043612957</v>
      </c>
      <c r="J16" s="6">
        <f t="shared" si="0"/>
        <v>148.46758568085153</v>
      </c>
      <c r="L16" s="12">
        <v>0.27083333333333331</v>
      </c>
      <c r="M16" s="9">
        <v>27.892627345349176</v>
      </c>
      <c r="N16" s="9">
        <v>0</v>
      </c>
      <c r="O16" s="9">
        <v>0</v>
      </c>
      <c r="P16" s="9">
        <v>0</v>
      </c>
      <c r="Q16" s="9">
        <v>284.93629061069146</v>
      </c>
      <c r="R16" s="9">
        <v>238.78463100457947</v>
      </c>
      <c r="S16" s="9">
        <v>596.3607933831679</v>
      </c>
      <c r="T16" s="9">
        <v>45.910660471531976</v>
      </c>
      <c r="U16">
        <f t="shared" si="1"/>
        <v>1193.8850028153201</v>
      </c>
    </row>
    <row r="17" spans="1:21" x14ac:dyDescent="0.25">
      <c r="A17" s="12">
        <v>0.29166666666666669</v>
      </c>
      <c r="B17" s="6">
        <v>0.24677708424075512</v>
      </c>
      <c r="C17" s="6">
        <v>51.492948281087138</v>
      </c>
      <c r="D17" s="6">
        <v>4.466760902166367E-4</v>
      </c>
      <c r="E17" s="6">
        <v>35.43526318533084</v>
      </c>
      <c r="F17" s="6">
        <v>143.48457329876959</v>
      </c>
      <c r="G17" s="6">
        <v>46.61187982952594</v>
      </c>
      <c r="H17" s="6">
        <v>91.285777768731108</v>
      </c>
      <c r="I17" s="6">
        <v>30.913044545888901</v>
      </c>
      <c r="J17" s="6">
        <f t="shared" si="0"/>
        <v>399.47071066966453</v>
      </c>
      <c r="L17" s="12">
        <v>0.29166666666666669</v>
      </c>
      <c r="M17" s="9">
        <v>42.945477813511602</v>
      </c>
      <c r="N17" s="9">
        <v>0</v>
      </c>
      <c r="O17" s="9">
        <v>0</v>
      </c>
      <c r="P17" s="9">
        <v>0</v>
      </c>
      <c r="Q17" s="9">
        <v>479.20961804143701</v>
      </c>
      <c r="R17" s="9">
        <v>366.39146983323747</v>
      </c>
      <c r="S17" s="9">
        <v>1046.733319433052</v>
      </c>
      <c r="T17" s="9">
        <v>77.167513428418502</v>
      </c>
      <c r="U17">
        <f t="shared" si="1"/>
        <v>2012.4473985496566</v>
      </c>
    </row>
    <row r="18" spans="1:21" x14ac:dyDescent="0.25">
      <c r="A18" s="12">
        <v>0.3125</v>
      </c>
      <c r="B18" s="6">
        <v>1.082421501023038</v>
      </c>
      <c r="C18" s="6">
        <v>129.04184448281751</v>
      </c>
      <c r="D18" s="6">
        <v>8.9335218043327322E-3</v>
      </c>
      <c r="E18" s="6">
        <v>93.672685343307819</v>
      </c>
      <c r="F18" s="6">
        <v>361.37020835888114</v>
      </c>
      <c r="G18" s="6">
        <v>102.67459289896487</v>
      </c>
      <c r="H18" s="6">
        <v>171.98038227164744</v>
      </c>
      <c r="I18" s="6">
        <v>54.649409356832507</v>
      </c>
      <c r="J18" s="6">
        <f t="shared" si="0"/>
        <v>914.48047773527867</v>
      </c>
      <c r="L18" s="12">
        <v>0.3125</v>
      </c>
      <c r="M18" s="9">
        <v>61.30990832129222</v>
      </c>
      <c r="N18" s="9">
        <v>0</v>
      </c>
      <c r="O18" s="9">
        <v>0</v>
      </c>
      <c r="P18" s="9">
        <v>0</v>
      </c>
      <c r="Q18" s="9">
        <v>753.91235252658237</v>
      </c>
      <c r="R18" s="9">
        <v>523.30708038184048</v>
      </c>
      <c r="S18" s="9">
        <v>1724.1738650740251</v>
      </c>
      <c r="T18" s="9">
        <v>122.74653694662882</v>
      </c>
      <c r="U18">
        <f t="shared" si="1"/>
        <v>3185.4497432503695</v>
      </c>
    </row>
    <row r="19" spans="1:21" x14ac:dyDescent="0.25">
      <c r="A19" s="12">
        <v>0.33333333333333331</v>
      </c>
      <c r="B19" s="6">
        <v>3.6491378399767069</v>
      </c>
      <c r="C19" s="6">
        <v>268.55104532436798</v>
      </c>
      <c r="D19" s="6">
        <v>8.486845714116098E-2</v>
      </c>
      <c r="E19" s="6">
        <v>208.4419672823214</v>
      </c>
      <c r="F19" s="6">
        <v>752.98641753780919</v>
      </c>
      <c r="G19" s="6">
        <v>186.25368290412385</v>
      </c>
      <c r="H19" s="6">
        <v>294.32797121918202</v>
      </c>
      <c r="I19" s="6">
        <v>89.835756024360663</v>
      </c>
      <c r="J19" s="6">
        <f t="shared" si="0"/>
        <v>1804.1308465892832</v>
      </c>
      <c r="L19" s="12">
        <v>0.33333333333333331</v>
      </c>
      <c r="M19" s="9">
        <v>84.116096284508018</v>
      </c>
      <c r="N19" s="9">
        <v>0</v>
      </c>
      <c r="O19" s="9">
        <v>0</v>
      </c>
      <c r="P19" s="9">
        <v>0</v>
      </c>
      <c r="Q19" s="9">
        <v>1137.043067323078</v>
      </c>
      <c r="R19" s="9">
        <v>724.81781595519806</v>
      </c>
      <c r="S19" s="9">
        <v>2736.8863708407712</v>
      </c>
      <c r="T19" s="9">
        <v>190.62134740424531</v>
      </c>
      <c r="U19">
        <f t="shared" si="1"/>
        <v>4873.4846978078003</v>
      </c>
    </row>
    <row r="20" spans="1:21" x14ac:dyDescent="0.25">
      <c r="A20" s="12">
        <v>0.35416666666666669</v>
      </c>
      <c r="B20" s="6">
        <v>9.8898331090328515</v>
      </c>
      <c r="C20" s="6">
        <v>474.58278083048464</v>
      </c>
      <c r="D20" s="6">
        <v>0.50921074284696588</v>
      </c>
      <c r="E20" s="6">
        <v>400.73371708498939</v>
      </c>
      <c r="F20" s="6">
        <v>1312.8812079041254</v>
      </c>
      <c r="G20" s="6">
        <v>284.2860524843851</v>
      </c>
      <c r="H20" s="6">
        <v>489.23397829067704</v>
      </c>
      <c r="I20" s="6">
        <v>151.79989288222788</v>
      </c>
      <c r="J20" s="6">
        <f t="shared" si="0"/>
        <v>3123.9166733287693</v>
      </c>
      <c r="L20" s="12">
        <v>0.35416666666666669</v>
      </c>
      <c r="M20" s="9">
        <v>114.40544344127166</v>
      </c>
      <c r="N20" s="9">
        <v>0</v>
      </c>
      <c r="O20" s="9">
        <v>0</v>
      </c>
      <c r="P20" s="9">
        <v>0</v>
      </c>
      <c r="Q20" s="9">
        <v>1663.932709446784</v>
      </c>
      <c r="R20" s="9">
        <v>1002.3736218022974</v>
      </c>
      <c r="S20" s="9">
        <v>4224.7642468692711</v>
      </c>
      <c r="T20" s="9">
        <v>291.71999261345371</v>
      </c>
      <c r="U20">
        <f t="shared" si="1"/>
        <v>7297.1960141730779</v>
      </c>
    </row>
    <row r="21" spans="1:21" x14ac:dyDescent="0.25">
      <c r="A21" s="12">
        <v>0.375</v>
      </c>
      <c r="B21" s="6">
        <v>22.290743926025065</v>
      </c>
      <c r="C21" s="6">
        <v>730.33404884910806</v>
      </c>
      <c r="D21" s="6">
        <v>2.1641456570996054</v>
      </c>
      <c r="E21" s="6">
        <v>681.43316355353022</v>
      </c>
      <c r="F21" s="6">
        <v>1940.8946979655718</v>
      </c>
      <c r="G21" s="6">
        <v>376.07783302990924</v>
      </c>
      <c r="H21" s="6">
        <v>822.06818406760692</v>
      </c>
      <c r="I21" s="6">
        <v>275.65879535531997</v>
      </c>
      <c r="J21" s="6">
        <f t="shared" si="0"/>
        <v>4850.9216124041704</v>
      </c>
      <c r="L21" s="12">
        <v>0.375</v>
      </c>
      <c r="M21" s="9">
        <v>154.92677623961328</v>
      </c>
      <c r="N21" s="9">
        <v>0</v>
      </c>
      <c r="O21" s="9">
        <v>0</v>
      </c>
      <c r="P21" s="9">
        <v>0</v>
      </c>
      <c r="Q21" s="9">
        <v>2350.1525248788189</v>
      </c>
      <c r="R21" s="9">
        <v>1387.0835450370307</v>
      </c>
      <c r="S21" s="9">
        <v>6280.5111101371276</v>
      </c>
      <c r="T21" s="9">
        <v>434.22961582576386</v>
      </c>
      <c r="U21">
        <f t="shared" si="1"/>
        <v>10606.903572118354</v>
      </c>
    </row>
    <row r="22" spans="1:21" x14ac:dyDescent="0.25">
      <c r="A22" s="12">
        <v>0.39583333333333331</v>
      </c>
      <c r="B22" s="6">
        <v>42.958781273589352</v>
      </c>
      <c r="C22" s="6">
        <v>1007.0513648738287</v>
      </c>
      <c r="D22" s="6">
        <v>6.9252661027187363</v>
      </c>
      <c r="E22" s="6">
        <v>1045.6040342363501</v>
      </c>
      <c r="F22" s="6">
        <v>2471.1695733953484</v>
      </c>
      <c r="G22" s="6">
        <v>452.97177263619528</v>
      </c>
      <c r="H22" s="6">
        <v>1375.6180069544314</v>
      </c>
      <c r="I22" s="6">
        <v>509.38858092236512</v>
      </c>
      <c r="J22" s="6">
        <f t="shared" si="0"/>
        <v>6911.6873803948265</v>
      </c>
      <c r="L22" s="12">
        <v>0.39583333333333331</v>
      </c>
      <c r="M22" s="9">
        <v>204.6542068429373</v>
      </c>
      <c r="N22" s="9">
        <v>0</v>
      </c>
      <c r="O22" s="9">
        <v>0</v>
      </c>
      <c r="P22" s="9">
        <v>0</v>
      </c>
      <c r="Q22" s="9">
        <v>3156.7359660258048</v>
      </c>
      <c r="R22" s="9">
        <v>1882.3764822833728</v>
      </c>
      <c r="S22" s="9">
        <v>8838.9966973710907</v>
      </c>
      <c r="T22" s="9">
        <v>615.9800870226951</v>
      </c>
      <c r="U22">
        <f t="shared" si="1"/>
        <v>14698.7434395459</v>
      </c>
    </row>
    <row r="23" spans="1:21" x14ac:dyDescent="0.25">
      <c r="A23" s="12">
        <v>0.41666666666666669</v>
      </c>
      <c r="B23" s="6">
        <v>72.455327466769091</v>
      </c>
      <c r="C23" s="6">
        <v>1281.7142566042237</v>
      </c>
      <c r="D23" s="6">
        <v>17.313165256796839</v>
      </c>
      <c r="E23" s="6">
        <v>1471.1852455893813</v>
      </c>
      <c r="F23" s="6">
        <v>2766.6978114217964</v>
      </c>
      <c r="G23" s="6">
        <v>536.96007504531383</v>
      </c>
      <c r="H23" s="6">
        <v>2195.2734855275157</v>
      </c>
      <c r="I23" s="6">
        <v>883.02284601581084</v>
      </c>
      <c r="J23" s="6">
        <f t="shared" si="0"/>
        <v>9224.6222129276066</v>
      </c>
      <c r="L23" s="12">
        <v>0.41666666666666669</v>
      </c>
      <c r="M23" s="9">
        <v>257.22220316832068</v>
      </c>
      <c r="N23" s="9">
        <v>0</v>
      </c>
      <c r="O23" s="9">
        <v>0</v>
      </c>
      <c r="P23" s="9">
        <v>0</v>
      </c>
      <c r="Q23" s="9">
        <v>3983.6916243038377</v>
      </c>
      <c r="R23" s="9">
        <v>2449.0788180747422</v>
      </c>
      <c r="S23" s="9">
        <v>11636.821373733292</v>
      </c>
      <c r="T23" s="9">
        <v>821.54599137931848</v>
      </c>
      <c r="U23">
        <f t="shared" si="1"/>
        <v>19148.360010659511</v>
      </c>
    </row>
    <row r="24" spans="1:21" x14ac:dyDescent="0.25">
      <c r="A24" s="12">
        <v>0.4375</v>
      </c>
      <c r="B24" s="6">
        <v>108.95326895524407</v>
      </c>
      <c r="C24" s="6">
        <v>1545.3883166031069</v>
      </c>
      <c r="D24" s="6">
        <v>34.626330513593679</v>
      </c>
      <c r="E24" s="6">
        <v>1925.4688452867858</v>
      </c>
      <c r="F24" s="6">
        <v>2803.8245656957502</v>
      </c>
      <c r="G24" s="6">
        <v>684.21099125634498</v>
      </c>
      <c r="H24" s="6">
        <v>3253.5998574002983</v>
      </c>
      <c r="I24" s="6">
        <v>1366.7238196648357</v>
      </c>
      <c r="J24" s="6">
        <f t="shared" si="0"/>
        <v>11722.79599537596</v>
      </c>
      <c r="L24" s="12">
        <v>0.4375</v>
      </c>
      <c r="M24" s="9">
        <v>303.66111677222159</v>
      </c>
      <c r="N24" s="9">
        <v>0</v>
      </c>
      <c r="O24" s="9">
        <v>0</v>
      </c>
      <c r="P24" s="9">
        <v>0</v>
      </c>
      <c r="Q24" s="9">
        <v>4711.7080291354869</v>
      </c>
      <c r="R24" s="9">
        <v>3020.5549309822982</v>
      </c>
      <c r="S24" s="9">
        <v>14311.979951291682</v>
      </c>
      <c r="T24" s="9">
        <v>1028.0286069906933</v>
      </c>
      <c r="U24">
        <f t="shared" si="1"/>
        <v>23375.932635172383</v>
      </c>
    </row>
    <row r="25" spans="1:21" x14ac:dyDescent="0.25">
      <c r="A25" s="12">
        <v>0.45833333333333331</v>
      </c>
      <c r="B25" s="6">
        <v>148.03986303188813</v>
      </c>
      <c r="C25" s="6">
        <v>1798.5409432608681</v>
      </c>
      <c r="D25" s="6">
        <v>56.267787084589727</v>
      </c>
      <c r="E25" s="6">
        <v>2384.4967502613526</v>
      </c>
      <c r="F25" s="6">
        <v>2668.8598844510257</v>
      </c>
      <c r="G25" s="6">
        <v>979.8811754114347</v>
      </c>
      <c r="H25" s="6">
        <v>4536.9845650759935</v>
      </c>
      <c r="I25" s="6">
        <v>1852.8248067280053</v>
      </c>
      <c r="J25" s="6">
        <f t="shared" si="0"/>
        <v>14425.895775305158</v>
      </c>
      <c r="L25" s="12">
        <v>0.45833333333333331</v>
      </c>
      <c r="M25" s="9">
        <v>338.03068817296196</v>
      </c>
      <c r="N25" s="9">
        <v>0</v>
      </c>
      <c r="O25" s="9">
        <v>0</v>
      </c>
      <c r="P25" s="9">
        <v>0</v>
      </c>
      <c r="Q25" s="9">
        <v>5265.1885787902556</v>
      </c>
      <c r="R25" s="9">
        <v>3539.6068193914025</v>
      </c>
      <c r="S25" s="9">
        <v>16587.519913888889</v>
      </c>
      <c r="T25" s="9">
        <v>1216.0227558437521</v>
      </c>
      <c r="U25">
        <f t="shared" si="1"/>
        <v>26946.36875608726</v>
      </c>
    </row>
    <row r="26" spans="1:21" x14ac:dyDescent="0.25">
      <c r="A26" s="12">
        <v>0.47916666666666669</v>
      </c>
      <c r="B26" s="6">
        <v>183.60544663520992</v>
      </c>
      <c r="C26" s="6">
        <v>2045.990853428204</v>
      </c>
      <c r="D26" s="6">
        <v>75.023716112786303</v>
      </c>
      <c r="E26" s="6">
        <v>2857.9131898177006</v>
      </c>
      <c r="F26" s="6">
        <v>2476.6361776372</v>
      </c>
      <c r="G26" s="6">
        <v>1541.0064232429902</v>
      </c>
      <c r="H26" s="6">
        <v>6298.6622147428989</v>
      </c>
      <c r="I26" s="6">
        <v>2193.3708736807107</v>
      </c>
      <c r="J26" s="6">
        <f t="shared" si="0"/>
        <v>17672.208895297699</v>
      </c>
      <c r="L26" s="12">
        <v>0.47916666666666669</v>
      </c>
      <c r="M26" s="9">
        <v>361.48844938947548</v>
      </c>
      <c r="N26" s="9">
        <v>0</v>
      </c>
      <c r="O26" s="9">
        <v>0</v>
      </c>
      <c r="P26" s="9">
        <v>0</v>
      </c>
      <c r="Q26" s="9">
        <v>5645.040147784789</v>
      </c>
      <c r="R26" s="9">
        <v>3989.772067148645</v>
      </c>
      <c r="S26" s="9">
        <v>18400.006473196216</v>
      </c>
      <c r="T26" s="9">
        <v>1378.0982931017434</v>
      </c>
      <c r="U26">
        <f t="shared" si="1"/>
        <v>29774.405430620867</v>
      </c>
    </row>
    <row r="27" spans="1:21" x14ac:dyDescent="0.25">
      <c r="A27" s="12">
        <v>0.5</v>
      </c>
      <c r="B27" s="6">
        <v>210.82530964533697</v>
      </c>
      <c r="C27" s="6">
        <v>2296.4368863788768</v>
      </c>
      <c r="D27" s="6">
        <v>82.526087724064936</v>
      </c>
      <c r="E27" s="6">
        <v>3390.0999936823873</v>
      </c>
      <c r="F27" s="6">
        <v>2295.7538036610822</v>
      </c>
      <c r="G27" s="6">
        <v>2514.3655729914594</v>
      </c>
      <c r="H27" s="6">
        <v>9336.0709652683727</v>
      </c>
      <c r="I27" s="6">
        <v>2285.1223198662997</v>
      </c>
      <c r="J27" s="6">
        <f t="shared" si="0"/>
        <v>22411.200939217881</v>
      </c>
      <c r="L27" s="12">
        <v>0.5</v>
      </c>
      <c r="M27" s="9">
        <v>381.4405146568642</v>
      </c>
      <c r="N27" s="9">
        <v>0</v>
      </c>
      <c r="O27" s="9">
        <v>0</v>
      </c>
      <c r="P27" s="9">
        <v>0</v>
      </c>
      <c r="Q27" s="9">
        <v>5909.332767232987</v>
      </c>
      <c r="R27" s="9">
        <v>4401.8958394402653</v>
      </c>
      <c r="S27" s="9">
        <v>19892.199462927761</v>
      </c>
      <c r="T27" s="9">
        <v>1520.4920137446861</v>
      </c>
      <c r="U27">
        <f t="shared" si="1"/>
        <v>32105.360598002564</v>
      </c>
    </row>
    <row r="28" spans="1:21" x14ac:dyDescent="0.25">
      <c r="A28" s="12">
        <v>0.52083333333333337</v>
      </c>
      <c r="B28" s="6">
        <v>231.21032484694837</v>
      </c>
      <c r="C28" s="6">
        <v>2555.1041084702101</v>
      </c>
      <c r="D28" s="6">
        <v>75.023716112786303</v>
      </c>
      <c r="E28" s="6">
        <v>4013.1802643116821</v>
      </c>
      <c r="F28" s="6">
        <v>2139.9258071622171</v>
      </c>
      <c r="G28" s="6">
        <v>4014.6957911194158</v>
      </c>
      <c r="H28" s="6">
        <v>14950.219703808665</v>
      </c>
      <c r="I28" s="6">
        <v>2146.5037482851744</v>
      </c>
      <c r="J28" s="6">
        <f t="shared" si="0"/>
        <v>30125.863464117097</v>
      </c>
      <c r="L28" s="12">
        <v>0.52083333333333337</v>
      </c>
      <c r="M28" s="9">
        <v>406.7564172415955</v>
      </c>
      <c r="N28" s="9">
        <v>0</v>
      </c>
      <c r="O28" s="9">
        <v>0</v>
      </c>
      <c r="P28" s="9">
        <v>0</v>
      </c>
      <c r="Q28" s="9">
        <v>6128.8083696439453</v>
      </c>
      <c r="R28" s="9">
        <v>4838.7572737577666</v>
      </c>
      <c r="S28" s="9">
        <v>21312.22514889696</v>
      </c>
      <c r="T28" s="9">
        <v>1659.5186365095474</v>
      </c>
      <c r="U28">
        <f t="shared" si="1"/>
        <v>34346.065846049816</v>
      </c>
    </row>
    <row r="29" spans="1:21" x14ac:dyDescent="0.25">
      <c r="A29" s="12">
        <v>0.54166666666666663</v>
      </c>
      <c r="B29" s="6">
        <v>255.66507441462196</v>
      </c>
      <c r="C29" s="6">
        <v>2805.5890716494009</v>
      </c>
      <c r="D29" s="6">
        <v>56.267787084589727</v>
      </c>
      <c r="E29" s="6">
        <v>4675.8941465880607</v>
      </c>
      <c r="F29" s="6">
        <v>2004.089627845595</v>
      </c>
      <c r="G29" s="6">
        <v>5977.7483725054535</v>
      </c>
      <c r="H29" s="6">
        <v>24272.273050776839</v>
      </c>
      <c r="I29" s="6">
        <v>1924.5497745683194</v>
      </c>
      <c r="J29" s="6">
        <f t="shared" si="0"/>
        <v>41972.076905432878</v>
      </c>
      <c r="L29" s="12">
        <v>0.54166666666666663</v>
      </c>
      <c r="M29" s="9">
        <v>443.0841494756794</v>
      </c>
      <c r="N29" s="9">
        <v>0</v>
      </c>
      <c r="O29" s="9">
        <v>0</v>
      </c>
      <c r="P29" s="9">
        <v>0</v>
      </c>
      <c r="Q29" s="9">
        <v>6354.7626364792968</v>
      </c>
      <c r="R29" s="9">
        <v>5368.1121555496702</v>
      </c>
      <c r="S29" s="9">
        <v>22898.843014415776</v>
      </c>
      <c r="T29" s="9">
        <v>1815.1340354001891</v>
      </c>
      <c r="U29">
        <f t="shared" si="1"/>
        <v>36879.935991320614</v>
      </c>
    </row>
    <row r="30" spans="1:21" x14ac:dyDescent="0.25">
      <c r="A30" s="12">
        <v>0.5625</v>
      </c>
      <c r="B30" s="6">
        <v>298.81517282097013</v>
      </c>
      <c r="C30" s="6">
        <v>3000.277266818066</v>
      </c>
      <c r="D30" s="6">
        <v>34.626330513593679</v>
      </c>
      <c r="E30" s="6">
        <v>5219.5006996531238</v>
      </c>
      <c r="F30" s="6">
        <v>1890.4094564789514</v>
      </c>
      <c r="G30" s="6">
        <v>8025.3887300856904</v>
      </c>
      <c r="H30" s="6">
        <v>37086.31477445316</v>
      </c>
      <c r="I30" s="6">
        <v>1821.7593863644602</v>
      </c>
      <c r="J30" s="6">
        <f t="shared" si="0"/>
        <v>57377.091817188018</v>
      </c>
      <c r="L30" s="12">
        <v>0.5625</v>
      </c>
      <c r="M30" s="9">
        <v>491.13792359506607</v>
      </c>
      <c r="N30" s="9">
        <v>0</v>
      </c>
      <c r="O30" s="9">
        <v>0</v>
      </c>
      <c r="P30" s="9">
        <v>0</v>
      </c>
      <c r="Q30" s="9">
        <v>6605.4716771511439</v>
      </c>
      <c r="R30" s="9">
        <v>6025.4184282247243</v>
      </c>
      <c r="S30" s="9">
        <v>24768.153946591316</v>
      </c>
      <c r="T30" s="9">
        <v>2000.7932514015299</v>
      </c>
      <c r="U30">
        <f t="shared" si="1"/>
        <v>39890.975226963776</v>
      </c>
    </row>
    <row r="31" spans="1:21" x14ac:dyDescent="0.25">
      <c r="A31" s="12">
        <v>0.58333333333333337</v>
      </c>
      <c r="B31" s="6">
        <v>364.16412640747922</v>
      </c>
      <c r="C31" s="6">
        <v>3079.3944047052896</v>
      </c>
      <c r="D31" s="6">
        <v>17.313165256796836</v>
      </c>
      <c r="E31" s="6">
        <v>5450.6410586099537</v>
      </c>
      <c r="F31" s="6">
        <v>1804.3098836298273</v>
      </c>
      <c r="G31" s="6">
        <v>9524.1209212534122</v>
      </c>
      <c r="H31" s="6">
        <v>50949.827177146311</v>
      </c>
      <c r="I31" s="6">
        <v>1997.834160978794</v>
      </c>
      <c r="J31" s="6">
        <f t="shared" si="0"/>
        <v>73187.604897987854</v>
      </c>
      <c r="L31" s="12">
        <v>0.58333333333333337</v>
      </c>
      <c r="M31" s="9">
        <v>547.57406786849504</v>
      </c>
      <c r="N31" s="9">
        <v>0</v>
      </c>
      <c r="O31" s="9">
        <v>0</v>
      </c>
      <c r="P31" s="9">
        <v>0</v>
      </c>
      <c r="Q31" s="9">
        <v>6855.4006315510087</v>
      </c>
      <c r="R31" s="9">
        <v>6768.8088641812055</v>
      </c>
      <c r="S31" s="9">
        <v>26788.31992908648</v>
      </c>
      <c r="T31" s="9">
        <v>2209.6682417774919</v>
      </c>
      <c r="U31">
        <f t="shared" si="1"/>
        <v>43169.771734464681</v>
      </c>
    </row>
    <row r="32" spans="1:21" x14ac:dyDescent="0.25">
      <c r="A32" s="12">
        <v>0.60416666666666663</v>
      </c>
      <c r="B32" s="6">
        <v>432.67908408283199</v>
      </c>
      <c r="C32" s="6">
        <v>3008.7553295629141</v>
      </c>
      <c r="D32" s="6">
        <v>6.9252661027187354</v>
      </c>
      <c r="E32" s="6">
        <v>5270.7275809972753</v>
      </c>
      <c r="F32" s="6">
        <v>1741.7100580482947</v>
      </c>
      <c r="G32" s="6">
        <v>9897.7229605949578</v>
      </c>
      <c r="H32" s="6">
        <v>61644.372088610879</v>
      </c>
      <c r="I32" s="6">
        <v>2512.88779292357</v>
      </c>
      <c r="J32" s="6">
        <f t="shared" si="0"/>
        <v>84515.780160923445</v>
      </c>
      <c r="L32" s="12">
        <v>0.60416666666666663</v>
      </c>
      <c r="M32" s="9">
        <v>607.03195442757942</v>
      </c>
      <c r="N32" s="9">
        <v>0</v>
      </c>
      <c r="O32" s="9">
        <v>0</v>
      </c>
      <c r="P32" s="9">
        <v>0</v>
      </c>
      <c r="Q32" s="9">
        <v>7030.4190400494954</v>
      </c>
      <c r="R32" s="9">
        <v>7454.1197479446382</v>
      </c>
      <c r="S32" s="9">
        <v>28515.338626997109</v>
      </c>
      <c r="T32" s="9">
        <v>2405.873629818097</v>
      </c>
      <c r="U32">
        <f t="shared" si="1"/>
        <v>46012.782999236915</v>
      </c>
    </row>
    <row r="33" spans="1:21" x14ac:dyDescent="0.25">
      <c r="A33" s="12">
        <v>0.625</v>
      </c>
      <c r="B33" s="6">
        <v>470.41045059759807</v>
      </c>
      <c r="C33" s="6">
        <v>2801.5523629513286</v>
      </c>
      <c r="D33" s="6">
        <v>2.164521999436428</v>
      </c>
      <c r="E33" s="6">
        <v>4751.7762282540807</v>
      </c>
      <c r="F33" s="6">
        <v>1689.5320681707431</v>
      </c>
      <c r="G33" s="6">
        <v>8991.7824432247598</v>
      </c>
      <c r="H33" s="6">
        <v>65184.372789437162</v>
      </c>
      <c r="I33" s="6">
        <v>3325.5424609667066</v>
      </c>
      <c r="J33" s="6">
        <f t="shared" si="0"/>
        <v>87217.133325601812</v>
      </c>
      <c r="L33" s="12">
        <v>0.625</v>
      </c>
      <c r="M33" s="9">
        <v>665.3485837312536</v>
      </c>
      <c r="N33" s="9">
        <v>0</v>
      </c>
      <c r="O33" s="9">
        <v>0</v>
      </c>
      <c r="P33" s="9">
        <v>0</v>
      </c>
      <c r="Q33" s="9">
        <v>7035.645568845709</v>
      </c>
      <c r="R33" s="9">
        <v>7872.5444478910413</v>
      </c>
      <c r="S33" s="9">
        <v>29328.41170858327</v>
      </c>
      <c r="T33" s="9">
        <v>2534.1109417203688</v>
      </c>
      <c r="U33">
        <f t="shared" si="1"/>
        <v>47436.061250771643</v>
      </c>
    </row>
    <row r="34" spans="1:21" x14ac:dyDescent="0.25">
      <c r="A34" s="12">
        <v>0.64583333333333337</v>
      </c>
      <c r="B34" s="6">
        <v>453.25124372904429</v>
      </c>
      <c r="C34" s="6">
        <v>2503.2530617346943</v>
      </c>
      <c r="D34" s="6">
        <v>0.51725179489029216</v>
      </c>
      <c r="E34" s="6">
        <v>4087.8496509749216</v>
      </c>
      <c r="F34" s="6">
        <v>1637.4529576849832</v>
      </c>
      <c r="G34" s="6">
        <v>7181.0467659939422</v>
      </c>
      <c r="H34" s="6">
        <v>60178.15294293272</v>
      </c>
      <c r="I34" s="6">
        <v>4306.0945584908723</v>
      </c>
      <c r="J34" s="6">
        <f t="shared" si="0"/>
        <v>80347.618433336072</v>
      </c>
      <c r="L34" s="12">
        <v>0.64583333333333337</v>
      </c>
      <c r="M34" s="9">
        <v>723.72520531940336</v>
      </c>
      <c r="N34" s="9">
        <v>0</v>
      </c>
      <c r="O34" s="9">
        <v>0</v>
      </c>
      <c r="P34" s="9">
        <v>0</v>
      </c>
      <c r="Q34" s="9">
        <v>6818.1135059162061</v>
      </c>
      <c r="R34" s="9">
        <v>7853.1648391370036</v>
      </c>
      <c r="S34" s="9">
        <v>28765.766908521713</v>
      </c>
      <c r="T34" s="9">
        <v>2548.3126528939674</v>
      </c>
      <c r="U34">
        <f t="shared" si="1"/>
        <v>46709.083111788299</v>
      </c>
    </row>
    <row r="35" spans="1:21" x14ac:dyDescent="0.25">
      <c r="A35" s="12">
        <v>0.66666666666666663</v>
      </c>
      <c r="B35" s="6">
        <v>386.34845058787806</v>
      </c>
      <c r="C35" s="6">
        <v>2158.0111269945378</v>
      </c>
      <c r="D35" s="6">
        <v>0.1666576072747612</v>
      </c>
      <c r="E35" s="6">
        <v>3468.963413290011</v>
      </c>
      <c r="F35" s="6">
        <v>1585.1659319939126</v>
      </c>
      <c r="G35" s="6">
        <v>5123.0864933946987</v>
      </c>
      <c r="H35" s="6">
        <v>48697.940926023366</v>
      </c>
      <c r="I35" s="6">
        <v>5238.8991825506691</v>
      </c>
      <c r="J35" s="6">
        <f t="shared" si="0"/>
        <v>66658.582182442347</v>
      </c>
      <c r="L35" s="12">
        <v>0.66666666666666663</v>
      </c>
      <c r="M35" s="9">
        <v>790.70426153300377</v>
      </c>
      <c r="N35" s="9">
        <v>0</v>
      </c>
      <c r="O35" s="9">
        <v>0</v>
      </c>
      <c r="P35" s="9">
        <v>0</v>
      </c>
      <c r="Q35" s="9">
        <v>6414.5122529302025</v>
      </c>
      <c r="R35" s="9">
        <v>7361.7766668401255</v>
      </c>
      <c r="S35" s="9">
        <v>26817.73295163126</v>
      </c>
      <c r="T35" s="9">
        <v>2438.4303235077623</v>
      </c>
      <c r="U35">
        <f t="shared" si="1"/>
        <v>43823.156456442353</v>
      </c>
    </row>
    <row r="36" spans="1:21" x14ac:dyDescent="0.25">
      <c r="A36" s="12">
        <v>0.6875</v>
      </c>
      <c r="B36" s="6">
        <v>299.3364484025866</v>
      </c>
      <c r="C36" s="6">
        <v>1792.6429195588034</v>
      </c>
      <c r="D36" s="6">
        <v>0.53566279408593176</v>
      </c>
      <c r="E36" s="6">
        <v>2990.2613160556702</v>
      </c>
      <c r="F36" s="6">
        <v>1537.676633399763</v>
      </c>
      <c r="G36" s="6">
        <v>3374.1950324162444</v>
      </c>
      <c r="H36" s="6">
        <v>34915.967018093354</v>
      </c>
      <c r="I36" s="6">
        <v>5848.1502425438166</v>
      </c>
      <c r="J36" s="6">
        <f t="shared" si="0"/>
        <v>50758.765273264326</v>
      </c>
      <c r="L36" s="12">
        <v>0.6875</v>
      </c>
      <c r="M36" s="9">
        <v>878.41265089986052</v>
      </c>
      <c r="N36" s="9">
        <v>0</v>
      </c>
      <c r="O36" s="9">
        <v>0</v>
      </c>
      <c r="P36" s="9">
        <v>0</v>
      </c>
      <c r="Q36" s="9">
        <v>5932.4783688811513</v>
      </c>
      <c r="R36" s="9">
        <v>6513.937379025203</v>
      </c>
      <c r="S36" s="9">
        <v>23912.352401886616</v>
      </c>
      <c r="T36" s="9">
        <v>2232.1496308700307</v>
      </c>
      <c r="U36">
        <f t="shared" si="1"/>
        <v>39469.330431562863</v>
      </c>
    </row>
    <row r="37" spans="1:21" x14ac:dyDescent="0.25">
      <c r="A37" s="12">
        <v>0.70833333333333337</v>
      </c>
      <c r="B37" s="6">
        <v>224.19626971410048</v>
      </c>
      <c r="C37" s="6">
        <v>1427.8219046897193</v>
      </c>
      <c r="D37" s="6">
        <v>2.4100193478170011</v>
      </c>
      <c r="E37" s="6">
        <v>2653.3989519694715</v>
      </c>
      <c r="F37" s="6">
        <v>1496.6338080202793</v>
      </c>
      <c r="G37" s="6">
        <v>2162.6770577725601</v>
      </c>
      <c r="H37" s="6">
        <v>22662.93533995474</v>
      </c>
      <c r="I37" s="6">
        <v>5892.4043633632664</v>
      </c>
      <c r="J37" s="6">
        <f t="shared" si="0"/>
        <v>36522.477714831955</v>
      </c>
      <c r="L37" s="12">
        <v>0.70833333333333337</v>
      </c>
      <c r="M37" s="9">
        <v>994.65910173188047</v>
      </c>
      <c r="N37" s="9">
        <v>0</v>
      </c>
      <c r="O37" s="9">
        <v>0</v>
      </c>
      <c r="P37" s="9">
        <v>0</v>
      </c>
      <c r="Q37" s="9">
        <v>5479.965899688259</v>
      </c>
      <c r="R37" s="9">
        <v>5496.305826592712</v>
      </c>
      <c r="S37" s="9">
        <v>20619.934996516422</v>
      </c>
      <c r="T37" s="9">
        <v>1972.5278524888317</v>
      </c>
      <c r="U37">
        <f t="shared" si="1"/>
        <v>34563.39367701811</v>
      </c>
    </row>
    <row r="38" spans="1:21" x14ac:dyDescent="0.25">
      <c r="A38" s="12">
        <v>0.72916666666666663</v>
      </c>
      <c r="B38" s="6">
        <v>178.49070388490361</v>
      </c>
      <c r="C38" s="6">
        <v>1091.7530237868264</v>
      </c>
      <c r="D38" s="6">
        <v>8.3261363018336692</v>
      </c>
      <c r="E38" s="6">
        <v>2418.7880378275922</v>
      </c>
      <c r="F38" s="6">
        <v>1459.4032880862558</v>
      </c>
      <c r="G38" s="6">
        <v>1422.4755824589647</v>
      </c>
      <c r="H38" s="6">
        <v>13804.865917348268</v>
      </c>
      <c r="I38" s="6">
        <v>5296.0558277595046</v>
      </c>
      <c r="J38" s="6">
        <f t="shared" si="0"/>
        <v>25680.158517454151</v>
      </c>
      <c r="L38" s="12">
        <v>0.72916666666666663</v>
      </c>
      <c r="M38" s="9">
        <v>1137.3526497938815</v>
      </c>
      <c r="N38" s="9">
        <v>0</v>
      </c>
      <c r="O38" s="9">
        <v>0</v>
      </c>
      <c r="P38" s="9">
        <v>0</v>
      </c>
      <c r="Q38" s="9">
        <v>5109.7086468781408</v>
      </c>
      <c r="R38" s="9">
        <v>4471.4702727161011</v>
      </c>
      <c r="S38" s="9">
        <v>17365.598695010733</v>
      </c>
      <c r="T38" s="9">
        <v>1694.8668361457858</v>
      </c>
      <c r="U38">
        <f t="shared" si="1"/>
        <v>29778.997100544642</v>
      </c>
    </row>
    <row r="39" spans="1:21" x14ac:dyDescent="0.25">
      <c r="A39" s="12">
        <v>0.75</v>
      </c>
      <c r="B39" s="6">
        <v>165.5873897309861</v>
      </c>
      <c r="C39" s="6">
        <v>814.43155918907382</v>
      </c>
      <c r="D39" s="6">
        <v>22.55926805279006</v>
      </c>
      <c r="E39" s="6">
        <v>2242.5363242316771</v>
      </c>
      <c r="F39" s="6">
        <v>1426.6356516871683</v>
      </c>
      <c r="G39" s="6">
        <v>970.32995592498719</v>
      </c>
      <c r="H39" s="6">
        <v>8274.473838224174</v>
      </c>
      <c r="I39" s="6">
        <v>4211.8947082079649</v>
      </c>
      <c r="J39" s="6">
        <f t="shared" si="0"/>
        <v>18128.448695248822</v>
      </c>
      <c r="L39" s="12">
        <v>0.75</v>
      </c>
      <c r="M39" s="9">
        <v>1295.4737981623286</v>
      </c>
      <c r="N39" s="9">
        <v>0</v>
      </c>
      <c r="O39" s="9">
        <v>0</v>
      </c>
      <c r="P39" s="9">
        <v>0</v>
      </c>
      <c r="Q39" s="9">
        <v>4818.9905958821382</v>
      </c>
      <c r="R39" s="9">
        <v>3535.9019574336867</v>
      </c>
      <c r="S39" s="9">
        <v>14360.927448712153</v>
      </c>
      <c r="T39" s="9">
        <v>1420.4726620813747</v>
      </c>
      <c r="U39">
        <f t="shared" si="1"/>
        <v>25431.76646227168</v>
      </c>
    </row>
    <row r="40" spans="1:21" x14ac:dyDescent="0.25">
      <c r="A40" s="12">
        <v>0.77083333333333337</v>
      </c>
      <c r="B40" s="6">
        <v>183.44316492018046</v>
      </c>
      <c r="C40" s="6">
        <v>610.7292165837697</v>
      </c>
      <c r="D40" s="6">
        <v>49.104655644336425</v>
      </c>
      <c r="E40" s="6">
        <v>2082.9893550007437</v>
      </c>
      <c r="F40" s="6">
        <v>1407.5613024123454</v>
      </c>
      <c r="G40" s="6">
        <v>657.4998713331222</v>
      </c>
      <c r="H40" s="6">
        <v>5092.0910436681515</v>
      </c>
      <c r="I40" s="6">
        <v>2947.251144326091</v>
      </c>
      <c r="J40" s="6">
        <f t="shared" si="0"/>
        <v>13030.669753888742</v>
      </c>
      <c r="L40" s="12">
        <v>0.77083333333333337</v>
      </c>
      <c r="M40" s="9">
        <v>1454.0218954046409</v>
      </c>
      <c r="N40" s="9">
        <v>0</v>
      </c>
      <c r="O40" s="9">
        <v>0</v>
      </c>
      <c r="P40" s="9">
        <v>0</v>
      </c>
      <c r="Q40" s="9">
        <v>4581.6032701732765</v>
      </c>
      <c r="R40" s="9">
        <v>2731.8133729859419</v>
      </c>
      <c r="S40" s="9">
        <v>11694.678949777466</v>
      </c>
      <c r="T40" s="9">
        <v>1162.9964436721052</v>
      </c>
      <c r="U40">
        <f t="shared" si="1"/>
        <v>21625.113932013432</v>
      </c>
    </row>
    <row r="41" spans="1:21" x14ac:dyDescent="0.25">
      <c r="A41" s="12">
        <v>0.79166666666666663</v>
      </c>
      <c r="B41" s="6">
        <v>228.84989485239484</v>
      </c>
      <c r="C41" s="6">
        <v>473.59619070264472</v>
      </c>
      <c r="D41" s="6">
        <v>87.269039557214768</v>
      </c>
      <c r="E41" s="6">
        <v>1902.0322145526266</v>
      </c>
      <c r="F41" s="6">
        <v>1413.218925688883</v>
      </c>
      <c r="G41" s="6">
        <v>418.52112176394456</v>
      </c>
      <c r="H41" s="6">
        <v>3280.3993713468317</v>
      </c>
      <c r="I41" s="6">
        <v>1805.9797000368835</v>
      </c>
      <c r="J41" s="6">
        <f t="shared" si="0"/>
        <v>9609.866458501423</v>
      </c>
      <c r="L41" s="12">
        <v>0.79166666666666663</v>
      </c>
      <c r="M41" s="9">
        <v>1597.5818771620416</v>
      </c>
      <c r="N41" s="9">
        <v>0</v>
      </c>
      <c r="O41" s="9">
        <v>0</v>
      </c>
      <c r="P41" s="9">
        <v>0</v>
      </c>
      <c r="Q41" s="9">
        <v>4369.8558491096337</v>
      </c>
      <c r="R41" s="9">
        <v>2071.8885713902077</v>
      </c>
      <c r="S41" s="9">
        <v>9410.5780309349884</v>
      </c>
      <c r="T41" s="9">
        <v>933.46630906245969</v>
      </c>
      <c r="U41">
        <f t="shared" si="1"/>
        <v>18383.370637659333</v>
      </c>
    </row>
    <row r="42" spans="1:21" x14ac:dyDescent="0.25">
      <c r="A42" s="12">
        <v>0.8125</v>
      </c>
      <c r="B42" s="6">
        <v>294.2897883023013</v>
      </c>
      <c r="C42" s="6">
        <v>382.89661497409861</v>
      </c>
      <c r="D42" s="6">
        <v>127.98490139765894</v>
      </c>
      <c r="E42" s="6">
        <v>1674.8133377736922</v>
      </c>
      <c r="F42" s="6">
        <v>1439.7451765075141</v>
      </c>
      <c r="G42" s="6">
        <v>243.14020232248302</v>
      </c>
      <c r="H42" s="6">
        <v>2201.8898696273563</v>
      </c>
      <c r="I42" s="6">
        <v>964.02065283215052</v>
      </c>
      <c r="J42" s="6">
        <f t="shared" si="0"/>
        <v>7328.7805437372544</v>
      </c>
      <c r="L42" s="12">
        <v>0.8125</v>
      </c>
      <c r="M42" s="9">
        <v>1711.3034110686167</v>
      </c>
      <c r="N42" s="9">
        <v>0</v>
      </c>
      <c r="O42" s="9">
        <v>0</v>
      </c>
      <c r="P42" s="9">
        <v>0</v>
      </c>
      <c r="Q42" s="9">
        <v>4157.2440761840789</v>
      </c>
      <c r="R42" s="9">
        <v>1551.7808091075294</v>
      </c>
      <c r="S42" s="9">
        <v>7513.0253491855246</v>
      </c>
      <c r="T42" s="9">
        <v>738.930621411473</v>
      </c>
      <c r="U42">
        <f t="shared" si="1"/>
        <v>15672.284266957224</v>
      </c>
    </row>
    <row r="43" spans="1:21" x14ac:dyDescent="0.25">
      <c r="A43" s="12">
        <v>0.83333333333333337</v>
      </c>
      <c r="B43" s="6">
        <v>363.6088153082942</v>
      </c>
      <c r="C43" s="6">
        <v>318.41959274357737</v>
      </c>
      <c r="D43" s="6">
        <v>155.89742812187583</v>
      </c>
      <c r="E43" s="6">
        <v>1398.5051707491448</v>
      </c>
      <c r="F43" s="6">
        <v>1455.9942354814439</v>
      </c>
      <c r="G43" s="6">
        <v>132.77230313706394</v>
      </c>
      <c r="H43" s="6">
        <v>1510.946476128936</v>
      </c>
      <c r="I43" s="6">
        <v>447.08166466963297</v>
      </c>
      <c r="J43" s="6">
        <f t="shared" si="0"/>
        <v>5783.2256863399689</v>
      </c>
      <c r="L43" s="12">
        <v>0.83333333333333337</v>
      </c>
      <c r="M43" s="9">
        <v>1782.7897226878385</v>
      </c>
      <c r="N43" s="9">
        <v>0</v>
      </c>
      <c r="O43" s="9">
        <v>0</v>
      </c>
      <c r="P43" s="9">
        <v>0</v>
      </c>
      <c r="Q43" s="9">
        <v>3920.544204272011</v>
      </c>
      <c r="R43" s="9">
        <v>1154.7048205054011</v>
      </c>
      <c r="S43" s="9">
        <v>5960.3071898143116</v>
      </c>
      <c r="T43" s="9">
        <v>579.92179252233552</v>
      </c>
      <c r="U43">
        <f t="shared" si="1"/>
        <v>13398.267729801897</v>
      </c>
    </row>
    <row r="44" spans="1:21" x14ac:dyDescent="0.25">
      <c r="A44" s="12">
        <v>0.85416666666666663</v>
      </c>
      <c r="B44" s="6">
        <v>413.10391332486785</v>
      </c>
      <c r="C44" s="6">
        <v>266.51799541082687</v>
      </c>
      <c r="D44" s="6">
        <v>158.21297456656094</v>
      </c>
      <c r="E44" s="6">
        <v>1091.8958973062799</v>
      </c>
      <c r="F44" s="6">
        <v>1411.6757833671024</v>
      </c>
      <c r="G44" s="6">
        <v>78.642277489542963</v>
      </c>
      <c r="H44" s="6">
        <v>1036.3093868895771</v>
      </c>
      <c r="I44" s="6">
        <v>188.52547125756743</v>
      </c>
      <c r="J44" s="6">
        <f t="shared" si="0"/>
        <v>4644.8836996123255</v>
      </c>
      <c r="L44" s="12">
        <v>0.85416666666666663</v>
      </c>
      <c r="M44" s="9">
        <v>1806.5202231879998</v>
      </c>
      <c r="N44" s="9">
        <v>0</v>
      </c>
      <c r="O44" s="9">
        <v>0</v>
      </c>
      <c r="P44" s="9">
        <v>0</v>
      </c>
      <c r="Q44" s="9">
        <v>3650.7616026005908</v>
      </c>
      <c r="R44" s="9">
        <v>857.82662306376687</v>
      </c>
      <c r="S44" s="9">
        <v>4690.9244198241704</v>
      </c>
      <c r="T44" s="9">
        <v>451.76635055605846</v>
      </c>
      <c r="U44">
        <f t="shared" si="1"/>
        <v>11457.799219232586</v>
      </c>
    </row>
    <row r="45" spans="1:21" x14ac:dyDescent="0.25">
      <c r="A45" s="12">
        <v>0.875</v>
      </c>
      <c r="B45" s="6">
        <v>420.11628149975536</v>
      </c>
      <c r="C45" s="6">
        <v>219.838724261549</v>
      </c>
      <c r="D45" s="6">
        <v>133.77376750937171</v>
      </c>
      <c r="E45" s="6">
        <v>788.02563177960485</v>
      </c>
      <c r="F45" s="6">
        <v>1267.901333302543</v>
      </c>
      <c r="G45" s="6">
        <v>63.115584958434098</v>
      </c>
      <c r="H45" s="6">
        <v>712.85793602597721</v>
      </c>
      <c r="I45" s="6">
        <v>103.48054502749444</v>
      </c>
      <c r="J45" s="6">
        <f t="shared" si="0"/>
        <v>3709.1098043647303</v>
      </c>
      <c r="L45" s="12">
        <v>0.875</v>
      </c>
      <c r="M45" s="9">
        <v>1786.0259238098445</v>
      </c>
      <c r="N45" s="9">
        <v>0</v>
      </c>
      <c r="O45" s="9">
        <v>0</v>
      </c>
      <c r="P45" s="9">
        <v>0</v>
      </c>
      <c r="Q45" s="9">
        <v>3358.8889035373586</v>
      </c>
      <c r="R45" s="9">
        <v>639.69678507210608</v>
      </c>
      <c r="S45" s="9">
        <v>3658.5116849633964</v>
      </c>
      <c r="T45" s="9">
        <v>348.6286051877949</v>
      </c>
      <c r="U45">
        <f t="shared" si="1"/>
        <v>9791.7519025704987</v>
      </c>
    </row>
    <row r="46" spans="1:21" x14ac:dyDescent="0.25">
      <c r="A46" s="12">
        <v>0.89583333333333337</v>
      </c>
      <c r="B46" s="6">
        <v>375.35680451033733</v>
      </c>
      <c r="C46" s="6">
        <v>174.90431880427053</v>
      </c>
      <c r="D46" s="6">
        <v>93.948500455344913</v>
      </c>
      <c r="E46" s="6">
        <v>522.64756650218033</v>
      </c>
      <c r="F46" s="6">
        <v>1028.834349794693</v>
      </c>
      <c r="G46" s="6">
        <v>69.250149227261531</v>
      </c>
      <c r="H46" s="6">
        <v>536.78467713868622</v>
      </c>
      <c r="I46" s="6">
        <v>131.4599307075739</v>
      </c>
      <c r="J46" s="6">
        <f t="shared" si="0"/>
        <v>2933.1862971403471</v>
      </c>
      <c r="L46" s="12">
        <v>0.89583333333333337</v>
      </c>
      <c r="M46" s="9">
        <v>1727.9516856724404</v>
      </c>
      <c r="N46" s="9">
        <v>0</v>
      </c>
      <c r="O46" s="9">
        <v>0</v>
      </c>
      <c r="P46" s="9">
        <v>0</v>
      </c>
      <c r="Q46" s="9">
        <v>3061.6747896324055</v>
      </c>
      <c r="R46" s="9">
        <v>483.22094826806494</v>
      </c>
      <c r="S46" s="9">
        <v>2836.715697929325</v>
      </c>
      <c r="T46" s="9">
        <v>266.24054484778128</v>
      </c>
      <c r="U46">
        <f t="shared" si="1"/>
        <v>8375.803666350017</v>
      </c>
    </row>
    <row r="47" spans="1:21" x14ac:dyDescent="0.25">
      <c r="A47" s="12">
        <v>0.91666666666666663</v>
      </c>
      <c r="B47" s="6">
        <v>290.17360756011055</v>
      </c>
      <c r="C47" s="6">
        <v>130.90046753712261</v>
      </c>
      <c r="D47" s="6">
        <v>54.448224362840534</v>
      </c>
      <c r="E47" s="6">
        <v>320.54791902865304</v>
      </c>
      <c r="F47" s="6">
        <v>745.23483407469678</v>
      </c>
      <c r="G47" s="6">
        <v>86.022997382044792</v>
      </c>
      <c r="H47" s="6">
        <v>512.77794138836862</v>
      </c>
      <c r="I47" s="6">
        <v>235.83185876822469</v>
      </c>
      <c r="J47" s="6">
        <f t="shared" si="0"/>
        <v>2375.9378501020615</v>
      </c>
      <c r="L47" s="12">
        <v>0.91666666666666663</v>
      </c>
      <c r="M47" s="9">
        <v>1630.9352830292914</v>
      </c>
      <c r="N47" s="9">
        <v>0</v>
      </c>
      <c r="O47" s="9">
        <v>0</v>
      </c>
      <c r="P47" s="9">
        <v>0</v>
      </c>
      <c r="Q47" s="9">
        <v>2757.0707203166094</v>
      </c>
      <c r="R47" s="9">
        <v>373.45835554242001</v>
      </c>
      <c r="S47" s="9">
        <v>2197.3137058606426</v>
      </c>
      <c r="T47" s="9">
        <v>201.62955228967201</v>
      </c>
      <c r="U47">
        <f t="shared" si="1"/>
        <v>7160.4076170386352</v>
      </c>
    </row>
    <row r="48" spans="1:21" x14ac:dyDescent="0.25">
      <c r="A48" s="12">
        <v>0.9375</v>
      </c>
      <c r="B48" s="6">
        <v>191.36864627124652</v>
      </c>
      <c r="C48" s="6">
        <v>89.576120221261306</v>
      </c>
      <c r="D48" s="6">
        <v>25.765409283892524</v>
      </c>
      <c r="E48" s="6">
        <v>186.55105733845397</v>
      </c>
      <c r="F48" s="6">
        <v>483.71333423372039</v>
      </c>
      <c r="G48" s="6">
        <v>106.13915574574472</v>
      </c>
      <c r="H48" s="6">
        <v>605.13272923278805</v>
      </c>
      <c r="I48" s="6">
        <v>378.64210084390641</v>
      </c>
      <c r="J48" s="6">
        <f t="shared" si="0"/>
        <v>2066.8885531710139</v>
      </c>
      <c r="L48" s="12">
        <v>0.9375</v>
      </c>
      <c r="M48" s="9">
        <v>1481.6133676651316</v>
      </c>
      <c r="N48" s="9">
        <v>0</v>
      </c>
      <c r="O48" s="9">
        <v>0</v>
      </c>
      <c r="P48" s="9">
        <v>0</v>
      </c>
      <c r="Q48" s="9">
        <v>2416.9812498368365</v>
      </c>
      <c r="R48" s="9">
        <v>294.88456304215634</v>
      </c>
      <c r="S48" s="9">
        <v>1695.085223409882</v>
      </c>
      <c r="T48" s="9">
        <v>151.56782800511442</v>
      </c>
      <c r="U48">
        <f t="shared" si="1"/>
        <v>6040.1322319591209</v>
      </c>
    </row>
    <row r="49" spans="1:21" x14ac:dyDescent="0.25">
      <c r="A49" s="12">
        <v>0.95833333333333337</v>
      </c>
      <c r="B49" s="6">
        <v>106.11503614980344</v>
      </c>
      <c r="C49" s="6">
        <v>54.439215305210311</v>
      </c>
      <c r="D49" s="6">
        <v>9.7956176994222997</v>
      </c>
      <c r="E49" s="6">
        <v>107.73163515370679</v>
      </c>
      <c r="F49" s="6">
        <v>288.12344159304575</v>
      </c>
      <c r="G49" s="6">
        <v>121.5445873451233</v>
      </c>
      <c r="H49" s="6">
        <v>725.85827790355688</v>
      </c>
      <c r="I49" s="6">
        <v>504.28213766014574</v>
      </c>
      <c r="J49" s="6">
        <f t="shared" si="0"/>
        <v>1917.8899488100144</v>
      </c>
      <c r="L49" s="12">
        <v>0.95833333333333337</v>
      </c>
      <c r="M49" s="9">
        <v>1266.5211515808446</v>
      </c>
      <c r="N49" s="9">
        <v>0</v>
      </c>
      <c r="O49" s="9">
        <v>0</v>
      </c>
      <c r="P49" s="9">
        <v>0</v>
      </c>
      <c r="Q49" s="9">
        <v>2011.1050188232907</v>
      </c>
      <c r="R49" s="9">
        <v>232.39312753028776</v>
      </c>
      <c r="S49" s="9">
        <v>1278.8025044210065</v>
      </c>
      <c r="T49" s="9">
        <v>112.12783375646987</v>
      </c>
      <c r="U49">
        <f t="shared" si="1"/>
        <v>4900.9496361118991</v>
      </c>
    </row>
    <row r="50" spans="1:21" x14ac:dyDescent="0.25">
      <c r="A50" s="12">
        <v>0.97916666666666663</v>
      </c>
      <c r="B50" s="6">
        <v>48.668626695568442</v>
      </c>
      <c r="C50" s="6">
        <v>28.578516623241544</v>
      </c>
      <c r="D50" s="6">
        <v>2.920354975701442</v>
      </c>
      <c r="E50" s="6">
        <v>64.163826613353635</v>
      </c>
      <c r="F50" s="6">
        <v>164.38503867942899</v>
      </c>
      <c r="G50" s="6">
        <v>123.51373622155191</v>
      </c>
      <c r="H50" s="6">
        <v>774.16011158919332</v>
      </c>
      <c r="I50" s="6">
        <v>554.66337924730772</v>
      </c>
      <c r="J50" s="6">
        <f t="shared" si="0"/>
        <v>1761.053590645347</v>
      </c>
      <c r="L50" s="12">
        <v>0.97916666666666663</v>
      </c>
      <c r="M50" s="9">
        <v>992.33069777305775</v>
      </c>
      <c r="N50" s="9">
        <v>0</v>
      </c>
      <c r="O50" s="9">
        <v>0</v>
      </c>
      <c r="P50" s="9">
        <v>0</v>
      </c>
      <c r="Q50" s="9">
        <v>1542.7302653773452</v>
      </c>
      <c r="R50" s="9">
        <v>175.56257078079778</v>
      </c>
      <c r="S50" s="9">
        <v>915.31382208900345</v>
      </c>
      <c r="T50" s="9">
        <v>79.830535518266956</v>
      </c>
      <c r="U50">
        <f t="shared" si="1"/>
        <v>3705.7678915384708</v>
      </c>
    </row>
    <row r="51" spans="1:21" x14ac:dyDescent="0.25">
      <c r="A51" s="12">
        <v>1</v>
      </c>
      <c r="B51" s="6">
        <v>18.091796633769096</v>
      </c>
      <c r="C51" s="6">
        <v>12.620243681118362</v>
      </c>
      <c r="D51" s="6">
        <v>0.6576990938135624</v>
      </c>
      <c r="E51" s="6">
        <v>39.158398204318388</v>
      </c>
      <c r="F51" s="6">
        <v>93.495904277260962</v>
      </c>
      <c r="G51" s="6">
        <v>107.97105929279329</v>
      </c>
      <c r="H51" s="6">
        <v>697.84770653033252</v>
      </c>
      <c r="I51" s="6">
        <v>504.23755988121025</v>
      </c>
      <c r="J51" s="6">
        <f t="shared" si="0"/>
        <v>1474.0803675946163</v>
      </c>
      <c r="L51" s="12">
        <v>1</v>
      </c>
      <c r="M51" s="9">
        <v>694.84447289138279</v>
      </c>
      <c r="N51" s="9">
        <v>0</v>
      </c>
      <c r="O51" s="9">
        <v>0</v>
      </c>
      <c r="P51" s="9">
        <v>0</v>
      </c>
      <c r="Q51" s="9">
        <v>1061.758549684612</v>
      </c>
      <c r="R51" s="9">
        <v>121.80512880288403</v>
      </c>
      <c r="S51" s="9">
        <v>601.15929343090397</v>
      </c>
      <c r="T51" s="9">
        <v>52.976487047457184</v>
      </c>
      <c r="U51">
        <f t="shared" si="1"/>
        <v>2532.5439318572398</v>
      </c>
    </row>
    <row r="52" spans="1:21" x14ac:dyDescent="0.25">
      <c r="A52" s="12">
        <v>1.0208333333333333</v>
      </c>
      <c r="B52" s="6">
        <v>5.3049296644989541</v>
      </c>
      <c r="C52" s="6">
        <v>4.5620308160499086</v>
      </c>
      <c r="D52" s="6">
        <v>0.10522585503931997</v>
      </c>
      <c r="E52" s="6">
        <v>23.212795462538153</v>
      </c>
      <c r="F52" s="6">
        <v>53.008557839661187</v>
      </c>
      <c r="G52" s="6">
        <v>79.495572481155406</v>
      </c>
      <c r="H52" s="6">
        <v>522.25703709018228</v>
      </c>
      <c r="I52" s="6">
        <v>378.17816991090774</v>
      </c>
      <c r="J52" s="6">
        <f t="shared" si="0"/>
        <v>1066.1243191200329</v>
      </c>
      <c r="L52" s="12">
        <v>1.0208333333333333</v>
      </c>
      <c r="M52" s="9">
        <v>425.08629057285702</v>
      </c>
      <c r="N52" s="9">
        <v>0</v>
      </c>
      <c r="O52" s="9">
        <v>0</v>
      </c>
      <c r="P52" s="9">
        <v>0</v>
      </c>
      <c r="Q52" s="9">
        <v>640.29239595347326</v>
      </c>
      <c r="R52" s="9">
        <v>74.848132652489426</v>
      </c>
      <c r="S52" s="9">
        <v>351.46544976293535</v>
      </c>
      <c r="T52" s="9">
        <v>31.672721645112009</v>
      </c>
      <c r="U52">
        <f t="shared" si="1"/>
        <v>1523.3649905868672</v>
      </c>
    </row>
    <row r="53" spans="1:21" x14ac:dyDescent="0.25">
      <c r="A53" s="12">
        <v>4.1666666666666664E-2</v>
      </c>
      <c r="B53" s="6">
        <v>1.1795950693956196</v>
      </c>
      <c r="C53" s="6">
        <v>1.3078006881305169</v>
      </c>
      <c r="D53" s="6">
        <v>1.0660448473965646E-2</v>
      </c>
      <c r="E53" s="6">
        <v>12.527513478789523</v>
      </c>
      <c r="F53" s="6">
        <v>28.622875906042381</v>
      </c>
      <c r="G53" s="6">
        <v>48.517803339958199</v>
      </c>
      <c r="H53" s="6">
        <v>321.23281790041926</v>
      </c>
      <c r="I53" s="6">
        <v>232.72502763748167</v>
      </c>
      <c r="J53" s="6">
        <f t="shared" si="0"/>
        <v>646.12409446869106</v>
      </c>
      <c r="L53" s="12">
        <v>4.1666666666666664E-2</v>
      </c>
      <c r="M53" s="9">
        <v>222.54775609281148</v>
      </c>
      <c r="N53" s="9">
        <v>0</v>
      </c>
      <c r="O53" s="9">
        <v>0</v>
      </c>
      <c r="P53" s="9">
        <v>0</v>
      </c>
      <c r="Q53" s="9">
        <v>331.23570526354354</v>
      </c>
      <c r="R53" s="9">
        <v>39.571907020860493</v>
      </c>
      <c r="S53" s="9">
        <v>178.14974944053097</v>
      </c>
      <c r="T53" s="9">
        <v>16.531395379313977</v>
      </c>
      <c r="U53">
        <f t="shared" si="1"/>
        <v>788.03651319706046</v>
      </c>
    </row>
    <row r="54" spans="1:21" x14ac:dyDescent="0.25">
      <c r="A54" s="12">
        <v>6.25E-2</v>
      </c>
      <c r="B54" s="6">
        <v>0.18678090392449859</v>
      </c>
      <c r="C54" s="6">
        <v>0.28501933404251223</v>
      </c>
      <c r="D54" s="6">
        <v>5.1420530685710906E-4</v>
      </c>
      <c r="E54" s="6">
        <v>5.8367174278799769</v>
      </c>
      <c r="F54" s="6">
        <v>13.887187057571435</v>
      </c>
      <c r="G54" s="6">
        <v>24.17583601236344</v>
      </c>
      <c r="H54" s="6">
        <v>160.60248215019703</v>
      </c>
      <c r="I54" s="6">
        <v>116.36251381874084</v>
      </c>
      <c r="J54" s="6">
        <f t="shared" si="0"/>
        <v>321.33705091002662</v>
      </c>
      <c r="L54" s="12">
        <v>6.25E-2</v>
      </c>
      <c r="M54" s="9">
        <v>97.660863848449523</v>
      </c>
      <c r="N54" s="9">
        <v>0</v>
      </c>
      <c r="O54" s="9">
        <v>0</v>
      </c>
      <c r="P54" s="9">
        <v>0</v>
      </c>
      <c r="Q54" s="9">
        <v>143.93679310041051</v>
      </c>
      <c r="R54" s="9">
        <v>17.554613802622683</v>
      </c>
      <c r="S54" s="9">
        <v>76.391167462020491</v>
      </c>
      <c r="T54" s="9">
        <v>7.3192940460462985</v>
      </c>
      <c r="U54">
        <f t="shared" si="1"/>
        <v>342.86273225954955</v>
      </c>
    </row>
    <row r="55" spans="1:21" x14ac:dyDescent="0.25">
      <c r="A55" s="12">
        <v>8.3333333333333329E-2</v>
      </c>
      <c r="B55" s="6">
        <v>1.875393531549235E-2</v>
      </c>
      <c r="C55" s="6">
        <v>4.4269215220785148E-2</v>
      </c>
      <c r="D55" s="6">
        <v>0</v>
      </c>
      <c r="E55" s="6">
        <v>2.2515566584818911</v>
      </c>
      <c r="F55" s="6">
        <v>5.7749183196694212</v>
      </c>
      <c r="G55" s="6">
        <v>9.6580931501388569</v>
      </c>
      <c r="H55" s="6">
        <v>64.240392906188973</v>
      </c>
      <c r="I55" s="6">
        <v>46.545005527496329</v>
      </c>
      <c r="J55" s="6">
        <f t="shared" si="0"/>
        <v>128.53298971251175</v>
      </c>
      <c r="L55" s="12">
        <v>8.3333333333333329E-2</v>
      </c>
      <c r="M55" s="9">
        <v>35.095788356786173</v>
      </c>
      <c r="N55" s="9">
        <v>0</v>
      </c>
      <c r="O55" s="9">
        <v>0</v>
      </c>
      <c r="P55" s="9">
        <v>0</v>
      </c>
      <c r="Q55" s="9">
        <v>51.316860025172275</v>
      </c>
      <c r="R55" s="9">
        <v>6.3707028851580194</v>
      </c>
      <c r="S55" s="9">
        <v>27.005004527015089</v>
      </c>
      <c r="T55" s="9">
        <v>2.671449245093843</v>
      </c>
      <c r="U55">
        <f t="shared" si="1"/>
        <v>122.4598050392254</v>
      </c>
    </row>
    <row r="56" spans="1:21" x14ac:dyDescent="0.25">
      <c r="A56" s="12">
        <v>0.10416666666666667</v>
      </c>
      <c r="B56" s="6">
        <v>8.9712504631586079E-4</v>
      </c>
      <c r="C56" s="6">
        <v>4.359170927521706E-3</v>
      </c>
      <c r="D56" s="6">
        <v>0</v>
      </c>
      <c r="E56" s="6">
        <v>0.69152655482010483</v>
      </c>
      <c r="F56" s="6">
        <v>1.9834235474088291</v>
      </c>
      <c r="G56" s="6">
        <v>3.0163838317394265</v>
      </c>
      <c r="H56" s="6">
        <v>20.070979310989379</v>
      </c>
      <c r="I56" s="6">
        <v>14.54231209850311</v>
      </c>
      <c r="J56" s="6">
        <f t="shared" si="0"/>
        <v>40.309881639434685</v>
      </c>
      <c r="L56" s="12">
        <v>0.10416666666666667</v>
      </c>
      <c r="M56" s="9">
        <v>10.02839043120597</v>
      </c>
      <c r="N56" s="9">
        <v>0</v>
      </c>
      <c r="O56" s="9">
        <v>0</v>
      </c>
      <c r="P56" s="9">
        <v>0</v>
      </c>
      <c r="Q56" s="9">
        <v>14.571288281760696</v>
      </c>
      <c r="R56" s="9">
        <v>1.8348838361082933</v>
      </c>
      <c r="S56" s="9">
        <v>7.6284860768935605</v>
      </c>
      <c r="T56" s="9">
        <v>0.77788710120922011</v>
      </c>
      <c r="U56">
        <f t="shared" si="1"/>
        <v>34.840935727177737</v>
      </c>
    </row>
    <row r="57" spans="1:21" x14ac:dyDescent="0.25">
      <c r="A57" s="12">
        <v>0.125</v>
      </c>
      <c r="B57" s="6">
        <v>0</v>
      </c>
      <c r="C57" s="6">
        <v>2.0435334918880463E-4</v>
      </c>
      <c r="D57" s="6">
        <v>0</v>
      </c>
      <c r="E57" s="6">
        <v>0.15880266007602609</v>
      </c>
      <c r="F57" s="6">
        <v>0.5277030873298646</v>
      </c>
      <c r="G57" s="6">
        <v>0.69737924575805676</v>
      </c>
      <c r="H57" s="6">
        <v>4.6406888580322265</v>
      </c>
      <c r="I57" s="6">
        <v>3.362384300231934</v>
      </c>
      <c r="J57" s="6">
        <f t="shared" si="0"/>
        <v>9.3871625047772973</v>
      </c>
      <c r="L57" s="12">
        <v>0.125</v>
      </c>
      <c r="M57" s="9">
        <v>2.1541167968362762</v>
      </c>
      <c r="N57" s="9">
        <v>0</v>
      </c>
      <c r="O57" s="9">
        <v>0</v>
      </c>
      <c r="P57" s="9">
        <v>0</v>
      </c>
      <c r="Q57" s="9">
        <v>3.1148638680731691</v>
      </c>
      <c r="R57" s="9">
        <v>0.39639491352427958</v>
      </c>
      <c r="S57" s="9">
        <v>1.6261302061237921</v>
      </c>
      <c r="T57" s="9">
        <v>0.17040649850493014</v>
      </c>
      <c r="U57">
        <f t="shared" si="1"/>
        <v>7.4619122830624471</v>
      </c>
    </row>
    <row r="58" spans="1:21" ht="15.75" thickBot="1" x14ac:dyDescent="0.3">
      <c r="A58" s="13" t="s">
        <v>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f t="shared" si="0"/>
        <v>0</v>
      </c>
      <c r="L58" s="13" t="s">
        <v>6</v>
      </c>
      <c r="M58" s="10">
        <v>0</v>
      </c>
      <c r="N58" s="10">
        <v>0</v>
      </c>
      <c r="O58" s="10">
        <v>0</v>
      </c>
      <c r="P58" s="10">
        <v>0</v>
      </c>
      <c r="Q58" s="10">
        <v>0</v>
      </c>
      <c r="R58" s="10">
        <v>0</v>
      </c>
      <c r="S58" s="10">
        <v>0</v>
      </c>
      <c r="T58" s="10">
        <v>0</v>
      </c>
      <c r="U58" s="1">
        <f t="shared" si="1"/>
        <v>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width="12.7109375" customWidth="1" collapsed="1"/>
    <col min="2" max="10" width="10.7109375" customWidth="1" collapsed="1"/>
    <col min="11" max="11" width="6.42578125" customWidth="1" collapsed="1"/>
    <col min="12" max="12" width="12.7109375" customWidth="1" collapsed="1"/>
    <col min="13" max="21" width="10.7109375" customWidth="1" collapsed="1"/>
  </cols>
  <sheetData>
    <row r="1" spans="1:26" x14ac:dyDescent="0.25">
      <c r="A1" t="s">
        <v>42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57</v>
      </c>
      <c r="B6" s="1"/>
      <c r="C6" s="1"/>
      <c r="D6" s="1"/>
      <c r="E6" s="1"/>
      <c r="F6" s="1"/>
      <c r="G6" s="1"/>
      <c r="H6" s="1"/>
      <c r="I6" s="1"/>
      <c r="J6" s="1"/>
      <c r="L6" s="3" t="s">
        <v>43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>
        <v>0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f>SUM(B8:I8)</f>
        <v>0</v>
      </c>
      <c r="L8" t="s">
        <v>5</v>
      </c>
      <c r="M8" s="9">
        <v>7552.8759291094184</v>
      </c>
      <c r="N8" s="9">
        <v>1534.4058373358014</v>
      </c>
      <c r="O8" s="9">
        <v>1050.1015086110513</v>
      </c>
      <c r="P8" s="9">
        <v>2510.9248655853039</v>
      </c>
      <c r="Q8" s="9">
        <v>1056.0097769674555</v>
      </c>
      <c r="R8" s="9">
        <v>645.08491892272832</v>
      </c>
      <c r="S8" s="9">
        <v>1968.0125183824064</v>
      </c>
      <c r="T8" s="9">
        <v>1244.1257543313761</v>
      </c>
      <c r="U8">
        <f>SUM(M8:T8)</f>
        <v>17561.54110924554</v>
      </c>
      <c r="W8" s="5"/>
      <c r="X8" s="16"/>
      <c r="Y8" s="16"/>
      <c r="Z8" s="5"/>
    </row>
    <row r="9" spans="1:26" x14ac:dyDescent="0.25">
      <c r="A9" s="12">
        <v>0.125</v>
      </c>
      <c r="B9" s="6">
        <v>435.1926364188754</v>
      </c>
      <c r="C9" s="6">
        <v>79.650221349839228</v>
      </c>
      <c r="D9" s="6">
        <v>5.3645564039670566</v>
      </c>
      <c r="E9" s="6">
        <v>177.47680199564843</v>
      </c>
      <c r="F9" s="6">
        <v>30.446986498524026</v>
      </c>
      <c r="G9" s="6">
        <v>0</v>
      </c>
      <c r="H9" s="6">
        <v>200.80318999695777</v>
      </c>
      <c r="I9" s="6">
        <v>69.712688260555268</v>
      </c>
      <c r="J9" s="6">
        <f t="shared" ref="J9:J58" si="0">SUM(B9:I9)</f>
        <v>998.64708092436717</v>
      </c>
      <c r="L9" s="12">
        <v>0.125</v>
      </c>
      <c r="M9" s="9">
        <v>6307.2831296174563</v>
      </c>
      <c r="N9" s="9">
        <v>1219.3055523317714</v>
      </c>
      <c r="O9" s="9">
        <v>971.72133762358544</v>
      </c>
      <c r="P9" s="9">
        <v>2084.8230783913491</v>
      </c>
      <c r="Q9" s="9">
        <v>730.11647253689262</v>
      </c>
      <c r="R9" s="9">
        <v>455.87273113400443</v>
      </c>
      <c r="S9" s="9">
        <v>1600.9474499892785</v>
      </c>
      <c r="T9" s="9">
        <v>1025.0202911162462</v>
      </c>
      <c r="U9">
        <f t="shared" ref="U9:U58" si="1">SUM(M9:T9)</f>
        <v>14395.090042740585</v>
      </c>
      <c r="W9" s="5"/>
      <c r="X9" s="16"/>
      <c r="Y9" s="16"/>
      <c r="Z9" s="5"/>
    </row>
    <row r="10" spans="1:26" x14ac:dyDescent="0.25">
      <c r="A10" s="12">
        <v>0.14583333333333334</v>
      </c>
      <c r="B10" s="6">
        <v>946.27626347049033</v>
      </c>
      <c r="C10" s="6">
        <v>165.60395984830737</v>
      </c>
      <c r="D10" s="6">
        <v>21.207756571258141</v>
      </c>
      <c r="E10" s="6">
        <v>374.78053211180691</v>
      </c>
      <c r="F10" s="6">
        <v>60.354158600168297</v>
      </c>
      <c r="G10" s="6">
        <v>4.877309799194336E-4</v>
      </c>
      <c r="H10" s="6">
        <v>382.8511730870008</v>
      </c>
      <c r="I10" s="6">
        <v>141.30897556304933</v>
      </c>
      <c r="J10" s="6">
        <f t="shared" si="0"/>
        <v>2092.3833069830616</v>
      </c>
      <c r="L10" s="12">
        <v>0.14583333333333334</v>
      </c>
      <c r="M10" s="9">
        <v>5213.5133230831434</v>
      </c>
      <c r="N10" s="9">
        <v>967.07804028036639</v>
      </c>
      <c r="O10" s="9">
        <v>929.17737764711615</v>
      </c>
      <c r="P10" s="9">
        <v>1753.9210913876868</v>
      </c>
      <c r="Q10" s="9">
        <v>455.38585396373708</v>
      </c>
      <c r="R10" s="9">
        <v>298.95426289691358</v>
      </c>
      <c r="S10" s="9">
        <v>1265.1859481551674</v>
      </c>
      <c r="T10" s="9">
        <v>830.03278529616</v>
      </c>
      <c r="U10">
        <f t="shared" si="1"/>
        <v>11713.248682710291</v>
      </c>
      <c r="W10" s="5"/>
      <c r="X10" s="16"/>
      <c r="Y10" s="16"/>
      <c r="Z10" s="5"/>
    </row>
    <row r="11" spans="1:26" x14ac:dyDescent="0.25">
      <c r="A11" s="12">
        <v>0.16666666666666666</v>
      </c>
      <c r="B11" s="6">
        <v>1633.3089398820441</v>
      </c>
      <c r="C11" s="6">
        <v>278.27523209119863</v>
      </c>
      <c r="D11" s="6">
        <v>67.546517030919688</v>
      </c>
      <c r="E11" s="6">
        <v>619.62574288816006</v>
      </c>
      <c r="F11" s="6">
        <v>90.585569328427454</v>
      </c>
      <c r="G11" s="6">
        <v>1.0791682884178158E-2</v>
      </c>
      <c r="H11" s="6">
        <v>517.43626116216183</v>
      </c>
      <c r="I11" s="6">
        <v>206.86514761638642</v>
      </c>
      <c r="J11" s="6">
        <f t="shared" si="0"/>
        <v>3413.6542016821822</v>
      </c>
      <c r="L11" s="12">
        <v>0.16666666666666666</v>
      </c>
      <c r="M11" s="9">
        <v>4419.1950155407176</v>
      </c>
      <c r="N11" s="9">
        <v>821.72372166602133</v>
      </c>
      <c r="O11" s="9">
        <v>958.42287143027875</v>
      </c>
      <c r="P11" s="9">
        <v>1593.3058149650383</v>
      </c>
      <c r="Q11" s="9">
        <v>262.16310332578905</v>
      </c>
      <c r="R11" s="9">
        <v>192.7905416085255</v>
      </c>
      <c r="S11" s="9">
        <v>1004.6316923094539</v>
      </c>
      <c r="T11" s="9">
        <v>690.53777259427375</v>
      </c>
      <c r="U11">
        <f t="shared" si="1"/>
        <v>9942.7705334400998</v>
      </c>
      <c r="W11" s="5"/>
      <c r="X11" s="16"/>
      <c r="Y11" s="16"/>
      <c r="Z11" s="5"/>
    </row>
    <row r="12" spans="1:26" x14ac:dyDescent="0.25">
      <c r="A12" s="12">
        <v>0.1875</v>
      </c>
      <c r="B12" s="6">
        <v>2622.191567126386</v>
      </c>
      <c r="C12" s="6">
        <v>458.81958771373559</v>
      </c>
      <c r="D12" s="6">
        <v>181.46832117534453</v>
      </c>
      <c r="E12" s="6">
        <v>969.19916457266254</v>
      </c>
      <c r="F12" s="6">
        <v>125.05607020860549</v>
      </c>
      <c r="G12" s="6">
        <v>0.11357694715423582</v>
      </c>
      <c r="H12" s="6">
        <v>580.33779603743551</v>
      </c>
      <c r="I12" s="6">
        <v>254.28148072361944</v>
      </c>
      <c r="J12" s="6">
        <f t="shared" si="0"/>
        <v>5191.4675645049429</v>
      </c>
      <c r="L12" s="12">
        <v>0.1875</v>
      </c>
      <c r="M12" s="9">
        <v>4051.6339148356915</v>
      </c>
      <c r="N12" s="9">
        <v>808.48940992883536</v>
      </c>
      <c r="O12" s="9">
        <v>1106.1820735691758</v>
      </c>
      <c r="P12" s="9">
        <v>1667.8987112305233</v>
      </c>
      <c r="Q12" s="9">
        <v>153.38426010177403</v>
      </c>
      <c r="R12" s="9">
        <v>138.22440723102983</v>
      </c>
      <c r="S12" s="9">
        <v>874.20770057278207</v>
      </c>
      <c r="T12" s="9">
        <v>647.29052274543972</v>
      </c>
      <c r="U12">
        <f t="shared" si="1"/>
        <v>9447.3110002152516</v>
      </c>
      <c r="W12" s="5"/>
      <c r="X12" s="5"/>
      <c r="Y12" s="5"/>
      <c r="Z12" s="5"/>
    </row>
    <row r="13" spans="1:26" x14ac:dyDescent="0.25">
      <c r="A13" s="12">
        <v>0.20833333333333334</v>
      </c>
      <c r="B13" s="6">
        <v>4033.8960760522286</v>
      </c>
      <c r="C13" s="6">
        <v>770.02428886948564</v>
      </c>
      <c r="D13" s="6">
        <v>417.83323234876661</v>
      </c>
      <c r="E13" s="6">
        <v>1543.6888044189679</v>
      </c>
      <c r="F13" s="6">
        <v>172.28128814100992</v>
      </c>
      <c r="G13" s="6">
        <v>0.7567890310237827</v>
      </c>
      <c r="H13" s="6">
        <v>582.14626669836036</v>
      </c>
      <c r="I13" s="6">
        <v>289.9280509605407</v>
      </c>
      <c r="J13" s="6">
        <f t="shared" si="0"/>
        <v>7810.5547965203841</v>
      </c>
      <c r="L13" s="12">
        <v>0.20833333333333334</v>
      </c>
      <c r="M13" s="9">
        <v>4193.8862975031461</v>
      </c>
      <c r="N13" s="9">
        <v>950.60416544233817</v>
      </c>
      <c r="O13" s="9">
        <v>1446.2777290103313</v>
      </c>
      <c r="P13" s="9">
        <v>2065.5145036179197</v>
      </c>
      <c r="Q13" s="9">
        <v>113.90415102220879</v>
      </c>
      <c r="R13" s="9">
        <v>124.98648441421746</v>
      </c>
      <c r="S13" s="9">
        <v>926.60094482150737</v>
      </c>
      <c r="T13" s="9">
        <v>748.37336161939209</v>
      </c>
      <c r="U13">
        <f t="shared" si="1"/>
        <v>10570.14763745106</v>
      </c>
    </row>
    <row r="14" spans="1:26" x14ac:dyDescent="0.25">
      <c r="A14" s="12">
        <v>0.22916666666666666</v>
      </c>
      <c r="B14" s="6">
        <v>5926.8290870999454</v>
      </c>
      <c r="C14" s="6">
        <v>1292.2914354767677</v>
      </c>
      <c r="D14" s="6">
        <v>841.01312837820308</v>
      </c>
      <c r="E14" s="6">
        <v>2547.6164942627956</v>
      </c>
      <c r="F14" s="6">
        <v>245.77619608031065</v>
      </c>
      <c r="G14" s="6">
        <v>3.5854432635138314</v>
      </c>
      <c r="H14" s="6">
        <v>581.84777206146714</v>
      </c>
      <c r="I14" s="6">
        <v>363.25245550632474</v>
      </c>
      <c r="J14" s="6">
        <f t="shared" si="0"/>
        <v>11802.212012129328</v>
      </c>
      <c r="L14" s="12">
        <v>0.22916666666666666</v>
      </c>
      <c r="M14" s="9">
        <v>4860.9664314597794</v>
      </c>
      <c r="N14" s="9">
        <v>1282.7407874115374</v>
      </c>
      <c r="O14" s="9">
        <v>2084.6958118840557</v>
      </c>
      <c r="P14" s="9">
        <v>2916.3150918021702</v>
      </c>
      <c r="Q14" s="9">
        <v>125.45743956001124</v>
      </c>
      <c r="R14" s="9">
        <v>140.48672350642116</v>
      </c>
      <c r="S14" s="9">
        <v>1197.6722386974561</v>
      </c>
      <c r="T14" s="9">
        <v>1045.2863634502137</v>
      </c>
      <c r="U14">
        <f t="shared" si="1"/>
        <v>13653.620887771647</v>
      </c>
    </row>
    <row r="15" spans="1:26" x14ac:dyDescent="0.25">
      <c r="A15" s="12">
        <v>0.25</v>
      </c>
      <c r="B15" s="6">
        <v>8231.0141084535207</v>
      </c>
      <c r="C15" s="6">
        <v>2103.8770854903191</v>
      </c>
      <c r="D15" s="6">
        <v>1516.8477813253126</v>
      </c>
      <c r="E15" s="6">
        <v>4241.2431898386403</v>
      </c>
      <c r="F15" s="6">
        <v>360.98736504474107</v>
      </c>
      <c r="G15" s="6">
        <v>12.861833003903445</v>
      </c>
      <c r="H15" s="6">
        <v>665.04434282612795</v>
      </c>
      <c r="I15" s="6">
        <v>570.98728040766719</v>
      </c>
      <c r="J15" s="6">
        <f t="shared" si="0"/>
        <v>17702.862986390232</v>
      </c>
      <c r="L15" s="12">
        <v>0.25</v>
      </c>
      <c r="M15" s="9">
        <v>5977.5814569685281</v>
      </c>
      <c r="N15" s="9">
        <v>1846.0289699860821</v>
      </c>
      <c r="O15" s="9">
        <v>3142.0104751044528</v>
      </c>
      <c r="P15" s="9">
        <v>4372.0529950206455</v>
      </c>
      <c r="Q15" s="9">
        <v>176.06419551241791</v>
      </c>
      <c r="R15" s="9">
        <v>174.17711139649251</v>
      </c>
      <c r="S15" s="9">
        <v>1693.7998946178564</v>
      </c>
      <c r="T15" s="9">
        <v>1585.0126887952297</v>
      </c>
      <c r="U15">
        <f t="shared" si="1"/>
        <v>18966.727787401705</v>
      </c>
    </row>
    <row r="16" spans="1:26" x14ac:dyDescent="0.25">
      <c r="A16" s="12">
        <v>0.27083333333333331</v>
      </c>
      <c r="B16" s="6">
        <v>10705.324683674922</v>
      </c>
      <c r="C16" s="6">
        <v>3237.4089099994198</v>
      </c>
      <c r="D16" s="6">
        <v>2518.236422291086</v>
      </c>
      <c r="E16" s="6">
        <v>6836.5106395089506</v>
      </c>
      <c r="F16" s="6">
        <v>526.448010522103</v>
      </c>
      <c r="G16" s="6">
        <v>36.337348231408114</v>
      </c>
      <c r="H16" s="6">
        <v>901.42325461769099</v>
      </c>
      <c r="I16" s="6">
        <v>1026.3432522903681</v>
      </c>
      <c r="J16" s="6">
        <f t="shared" si="0"/>
        <v>25788.032521135949</v>
      </c>
      <c r="L16" s="12">
        <v>0.27083333333333331</v>
      </c>
      <c r="M16" s="9">
        <v>7368.1315459593106</v>
      </c>
      <c r="N16" s="9">
        <v>2668.1610220465268</v>
      </c>
      <c r="O16" s="9">
        <v>4718.8499638805288</v>
      </c>
      <c r="P16" s="9">
        <v>6554.3407843803016</v>
      </c>
      <c r="Q16" s="9">
        <v>260.5058692774694</v>
      </c>
      <c r="R16" s="9">
        <v>217.58636534010648</v>
      </c>
      <c r="S16" s="9">
        <v>2381.9976983251386</v>
      </c>
      <c r="T16" s="9">
        <v>2396.3269512562774</v>
      </c>
      <c r="U16">
        <f t="shared" si="1"/>
        <v>26565.900200465661</v>
      </c>
    </row>
    <row r="17" spans="1:21" x14ac:dyDescent="0.25">
      <c r="A17" s="12">
        <v>0.29166666666666669</v>
      </c>
      <c r="B17" s="6">
        <v>12958.756639082603</v>
      </c>
      <c r="C17" s="6">
        <v>4631.6638550017515</v>
      </c>
      <c r="D17" s="6">
        <v>3936.3195338529745</v>
      </c>
      <c r="E17" s="6">
        <v>10340.082836314639</v>
      </c>
      <c r="F17" s="6">
        <v>732.53987039473168</v>
      </c>
      <c r="G17" s="6">
        <v>83.074751550835174</v>
      </c>
      <c r="H17" s="6">
        <v>1310.4108616449832</v>
      </c>
      <c r="I17" s="6">
        <v>1802.1356891185048</v>
      </c>
      <c r="J17" s="6">
        <f t="shared" si="0"/>
        <v>35794.984036961025</v>
      </c>
      <c r="L17" s="12">
        <v>0.29166666666666669</v>
      </c>
      <c r="M17" s="9">
        <v>8784.6850913416401</v>
      </c>
      <c r="N17" s="9">
        <v>3744.3252576384739</v>
      </c>
      <c r="O17" s="9">
        <v>6861.0852754222469</v>
      </c>
      <c r="P17" s="9">
        <v>9505.1065429232585</v>
      </c>
      <c r="Q17" s="9">
        <v>375.75035724451624</v>
      </c>
      <c r="R17" s="9">
        <v>263.82423293783648</v>
      </c>
      <c r="S17" s="9">
        <v>3190.9678395020646</v>
      </c>
      <c r="T17" s="9">
        <v>3476.4660710803087</v>
      </c>
      <c r="U17">
        <f t="shared" si="1"/>
        <v>36202.210668090345</v>
      </c>
    </row>
    <row r="18" spans="1:21" x14ac:dyDescent="0.25">
      <c r="A18" s="12">
        <v>0.3125</v>
      </c>
      <c r="B18" s="6">
        <v>14566.869058718887</v>
      </c>
      <c r="C18" s="6">
        <v>6119.9221173637916</v>
      </c>
      <c r="D18" s="6">
        <v>5861.6258035483424</v>
      </c>
      <c r="E18" s="6">
        <v>14437.541414691321</v>
      </c>
      <c r="F18" s="6">
        <v>949.49178029414088</v>
      </c>
      <c r="G18" s="6">
        <v>156.82954632948474</v>
      </c>
      <c r="H18" s="6">
        <v>1851.2867429364919</v>
      </c>
      <c r="I18" s="6">
        <v>2886.6439054788361</v>
      </c>
      <c r="J18" s="6">
        <f t="shared" si="0"/>
        <v>46830.210369361295</v>
      </c>
      <c r="L18" s="12">
        <v>0.3125</v>
      </c>
      <c r="M18" s="9">
        <v>9981.326475771446</v>
      </c>
      <c r="N18" s="9">
        <v>5030.8910284836184</v>
      </c>
      <c r="O18" s="9">
        <v>9537.3164236965968</v>
      </c>
      <c r="P18" s="9">
        <v>13164.228960780616</v>
      </c>
      <c r="Q18" s="9">
        <v>516.64613713022413</v>
      </c>
      <c r="R18" s="9">
        <v>308.40516099727813</v>
      </c>
      <c r="S18" s="9">
        <v>4029.9521879176555</v>
      </c>
      <c r="T18" s="9">
        <v>4787.6180042616261</v>
      </c>
      <c r="U18">
        <f t="shared" si="1"/>
        <v>47356.38437903906</v>
      </c>
    </row>
    <row r="19" spans="1:21" x14ac:dyDescent="0.25">
      <c r="A19" s="12">
        <v>0.33333333333333331</v>
      </c>
      <c r="B19" s="6">
        <v>15261.998706121623</v>
      </c>
      <c r="C19" s="6">
        <v>7483.1687914374752</v>
      </c>
      <c r="D19" s="6">
        <v>8318.9266755845001</v>
      </c>
      <c r="E19" s="6">
        <v>18548.350362398283</v>
      </c>
      <c r="F19" s="6">
        <v>1143.1405831019572</v>
      </c>
      <c r="G19" s="6">
        <v>248.50076996783508</v>
      </c>
      <c r="H19" s="6">
        <v>2437.5129713600872</v>
      </c>
      <c r="I19" s="6">
        <v>4196.795464051128</v>
      </c>
      <c r="J19" s="6">
        <f t="shared" si="0"/>
        <v>57638.394324022884</v>
      </c>
      <c r="L19" s="12">
        <v>0.33333333333333331</v>
      </c>
      <c r="M19" s="9">
        <v>10798.037880520989</v>
      </c>
      <c r="N19" s="9">
        <v>6450.8872776389853</v>
      </c>
      <c r="O19" s="9">
        <v>12629.57613823774</v>
      </c>
      <c r="P19" s="9">
        <v>17370.982581919852</v>
      </c>
      <c r="Q19" s="9">
        <v>674.36897215557087</v>
      </c>
      <c r="R19" s="9">
        <v>349.96168438133429</v>
      </c>
      <c r="S19" s="9">
        <v>4816.3997894793447</v>
      </c>
      <c r="T19" s="9">
        <v>6263.9386645506438</v>
      </c>
      <c r="U19">
        <f t="shared" si="1"/>
        <v>59354.15298888446</v>
      </c>
    </row>
    <row r="20" spans="1:21" x14ac:dyDescent="0.25">
      <c r="A20" s="12">
        <v>0.35416666666666669</v>
      </c>
      <c r="B20" s="6">
        <v>15093.19585019439</v>
      </c>
      <c r="C20" s="6">
        <v>8553.4653027687109</v>
      </c>
      <c r="D20" s="6">
        <v>11208.366578393503</v>
      </c>
      <c r="E20" s="6">
        <v>22097.782979775791</v>
      </c>
      <c r="F20" s="6">
        <v>1298.5444132577236</v>
      </c>
      <c r="G20" s="6">
        <v>335.35982205928281</v>
      </c>
      <c r="H20" s="6">
        <v>2969.9692265750168</v>
      </c>
      <c r="I20" s="6">
        <v>5648.2749713884587</v>
      </c>
      <c r="J20" s="6">
        <f t="shared" si="0"/>
        <v>67204.959144412875</v>
      </c>
      <c r="L20" s="12">
        <v>0.35416666666666669</v>
      </c>
      <c r="M20" s="9">
        <v>11197.378721652796</v>
      </c>
      <c r="N20" s="9">
        <v>7902.0240835781588</v>
      </c>
      <c r="O20" s="9">
        <v>15933.252473770866</v>
      </c>
      <c r="P20" s="9">
        <v>21868.141443739358</v>
      </c>
      <c r="Q20" s="9">
        <v>836.99724271487662</v>
      </c>
      <c r="R20" s="9">
        <v>389.16047037929405</v>
      </c>
      <c r="S20" s="9">
        <v>5493.4070726039508</v>
      </c>
      <c r="T20" s="9">
        <v>7818.9356806609976</v>
      </c>
      <c r="U20">
        <f t="shared" si="1"/>
        <v>71439.297189100282</v>
      </c>
    </row>
    <row r="21" spans="1:21" x14ac:dyDescent="0.25">
      <c r="A21" s="12">
        <v>0.375</v>
      </c>
      <c r="B21" s="6">
        <v>14421.375759717132</v>
      </c>
      <c r="C21" s="6">
        <v>9309.8706907432152</v>
      </c>
      <c r="D21" s="6">
        <v>14330.726674102416</v>
      </c>
      <c r="E21" s="6">
        <v>24856.691429875311</v>
      </c>
      <c r="F21" s="6">
        <v>1428.9521714752532</v>
      </c>
      <c r="G21" s="6">
        <v>391.33283875714687</v>
      </c>
      <c r="H21" s="6">
        <v>3380.6632864714866</v>
      </c>
      <c r="I21" s="6">
        <v>7216.2156511148223</v>
      </c>
      <c r="J21" s="6">
        <f t="shared" si="0"/>
        <v>75335.828502256787</v>
      </c>
      <c r="L21" s="12">
        <v>0.375</v>
      </c>
      <c r="M21" s="9">
        <v>11233.108678722656</v>
      </c>
      <c r="N21" s="9">
        <v>9262.7213416568866</v>
      </c>
      <c r="O21" s="9">
        <v>19169.158107910353</v>
      </c>
      <c r="P21" s="9">
        <v>26302.739472335852</v>
      </c>
      <c r="Q21" s="9">
        <v>990.72976408349609</v>
      </c>
      <c r="R21" s="9">
        <v>426.6216758626864</v>
      </c>
      <c r="S21" s="9">
        <v>6029.0430417492007</v>
      </c>
      <c r="T21" s="9">
        <v>9345.558506451318</v>
      </c>
      <c r="U21">
        <f t="shared" si="1"/>
        <v>82759.680588772448</v>
      </c>
    </row>
    <row r="22" spans="1:21" x14ac:dyDescent="0.25">
      <c r="A22" s="12">
        <v>0.39583333333333331</v>
      </c>
      <c r="B22" s="6">
        <v>13718.238275876995</v>
      </c>
      <c r="C22" s="6">
        <v>9895.2910078106324</v>
      </c>
      <c r="D22" s="6">
        <v>17485.755969831756</v>
      </c>
      <c r="E22" s="6">
        <v>27066.687298289486</v>
      </c>
      <c r="F22" s="6">
        <v>1560.9045497257812</v>
      </c>
      <c r="G22" s="6">
        <v>402.7296763280134</v>
      </c>
      <c r="H22" s="6">
        <v>3666.7549457559585</v>
      </c>
      <c r="I22" s="6">
        <v>8910.6700005289313</v>
      </c>
      <c r="J22" s="6">
        <f t="shared" si="0"/>
        <v>82707.031724147557</v>
      </c>
      <c r="L22" s="12">
        <v>0.39583333333333331</v>
      </c>
      <c r="M22" s="9">
        <v>10987.249329584403</v>
      </c>
      <c r="N22" s="9">
        <v>10403.891670110057</v>
      </c>
      <c r="O22" s="9">
        <v>22019.738538566999</v>
      </c>
      <c r="P22" s="9">
        <v>30252.413244326297</v>
      </c>
      <c r="Q22" s="9">
        <v>1121.5131914745095</v>
      </c>
      <c r="R22" s="9">
        <v>462.28295271454408</v>
      </c>
      <c r="S22" s="9">
        <v>6409.017256739864</v>
      </c>
      <c r="T22" s="9">
        <v>10717.35548855042</v>
      </c>
      <c r="U22">
        <f t="shared" si="1"/>
        <v>92373.461672067089</v>
      </c>
    </row>
    <row r="23" spans="1:21" x14ac:dyDescent="0.25">
      <c r="A23" s="12">
        <v>0.41666666666666669</v>
      </c>
      <c r="B23" s="6">
        <v>13311.699683190982</v>
      </c>
      <c r="C23" s="6">
        <v>10520.205168154791</v>
      </c>
      <c r="D23" s="6">
        <v>20527.009358789088</v>
      </c>
      <c r="E23" s="6">
        <v>29192.165159793913</v>
      </c>
      <c r="F23" s="6">
        <v>1710.6758500842514</v>
      </c>
      <c r="G23" s="6">
        <v>377.90041520753113</v>
      </c>
      <c r="H23" s="6">
        <v>3887.242222873926</v>
      </c>
      <c r="I23" s="6">
        <v>10669.821744998932</v>
      </c>
      <c r="J23" s="6">
        <f t="shared" si="0"/>
        <v>90196.719603093428</v>
      </c>
      <c r="L23" s="12">
        <v>0.41666666666666669</v>
      </c>
      <c r="M23" s="9">
        <v>10532.550833773174</v>
      </c>
      <c r="N23" s="9">
        <v>11217.340624075267</v>
      </c>
      <c r="O23" s="9">
        <v>24197.670484654744</v>
      </c>
      <c r="P23" s="9">
        <v>33314.698813577954</v>
      </c>
      <c r="Q23" s="9">
        <v>1218.0290499804867</v>
      </c>
      <c r="R23" s="9">
        <v>497.08628767340338</v>
      </c>
      <c r="S23" s="9">
        <v>6638.2899980460679</v>
      </c>
      <c r="T23" s="9">
        <v>11809.131621661512</v>
      </c>
      <c r="U23">
        <f t="shared" si="1"/>
        <v>99424.797713442604</v>
      </c>
    </row>
    <row r="24" spans="1:21" x14ac:dyDescent="0.25">
      <c r="A24" s="12">
        <v>0.4375</v>
      </c>
      <c r="B24" s="6">
        <v>13274.105920402802</v>
      </c>
      <c r="C24" s="6">
        <v>11303.448593501431</v>
      </c>
      <c r="D24" s="6">
        <v>23304.266081309899</v>
      </c>
      <c r="E24" s="6">
        <v>31475.197713635898</v>
      </c>
      <c r="F24" s="6">
        <v>1872.4386198993191</v>
      </c>
      <c r="G24" s="6">
        <v>343.48721575785692</v>
      </c>
      <c r="H24" s="6">
        <v>4114.8720917630199</v>
      </c>
      <c r="I24" s="6">
        <v>12271.815841599702</v>
      </c>
      <c r="J24" s="6">
        <f t="shared" si="0"/>
        <v>97959.632077869916</v>
      </c>
      <c r="L24" s="12">
        <v>0.4375</v>
      </c>
      <c r="M24" s="9">
        <v>9942.7451689265054</v>
      </c>
      <c r="N24" s="9">
        <v>11656.097490838261</v>
      </c>
      <c r="O24" s="9">
        <v>25533.368164178315</v>
      </c>
      <c r="P24" s="9">
        <v>35248.274047088824</v>
      </c>
      <c r="Q24" s="9">
        <v>1276.0049921933523</v>
      </c>
      <c r="R24" s="9">
        <v>534.88828907998891</v>
      </c>
      <c r="S24" s="9">
        <v>6752.2781636717555</v>
      </c>
      <c r="T24" s="9">
        <v>12541.059638838426</v>
      </c>
      <c r="U24">
        <f t="shared" si="1"/>
        <v>103484.71595481543</v>
      </c>
    </row>
    <row r="25" spans="1:21" x14ac:dyDescent="0.25">
      <c r="A25" s="12">
        <v>0.45833333333333331</v>
      </c>
      <c r="B25" s="6">
        <v>13501.674293436059</v>
      </c>
      <c r="C25" s="6">
        <v>12168.624440992378</v>
      </c>
      <c r="D25" s="6">
        <v>25594.721410898335</v>
      </c>
      <c r="E25" s="6">
        <v>33696.935135587759</v>
      </c>
      <c r="F25" s="6">
        <v>2022.9680284324897</v>
      </c>
      <c r="G25" s="6">
        <v>328.9835530122773</v>
      </c>
      <c r="H25" s="6">
        <v>4378.1376347846981</v>
      </c>
      <c r="I25" s="6">
        <v>13378.72594155693</v>
      </c>
      <c r="J25" s="6">
        <f t="shared" si="0"/>
        <v>105070.77043870091</v>
      </c>
      <c r="L25" s="12">
        <v>0.45833333333333331</v>
      </c>
      <c r="M25" s="9">
        <v>9321.3831845159002</v>
      </c>
      <c r="N25" s="9">
        <v>11761.463671621845</v>
      </c>
      <c r="O25" s="9">
        <v>26040.864975997039</v>
      </c>
      <c r="P25" s="9">
        <v>36085.640784640578</v>
      </c>
      <c r="Q25" s="9">
        <v>1301.346010564544</v>
      </c>
      <c r="R25" s="9">
        <v>581.95662645933203</v>
      </c>
      <c r="S25" s="9">
        <v>6822.5827100002643</v>
      </c>
      <c r="T25" s="9">
        <v>12920.08668283189</v>
      </c>
      <c r="U25">
        <f t="shared" si="1"/>
        <v>104835.3246466314</v>
      </c>
    </row>
    <row r="26" spans="1:21" x14ac:dyDescent="0.25">
      <c r="A26" s="12">
        <v>0.47916666666666669</v>
      </c>
      <c r="B26" s="6">
        <v>13856.576849517332</v>
      </c>
      <c r="C26" s="6">
        <v>12890.530684229887</v>
      </c>
      <c r="D26" s="6">
        <v>27170.040215070054</v>
      </c>
      <c r="E26" s="6">
        <v>35394.405004989821</v>
      </c>
      <c r="F26" s="6">
        <v>2135.6215641363133</v>
      </c>
      <c r="G26" s="6">
        <v>348.71232618510476</v>
      </c>
      <c r="H26" s="6">
        <v>4647.239494300723</v>
      </c>
      <c r="I26" s="6">
        <v>13722.204821148156</v>
      </c>
      <c r="J26" s="6">
        <f t="shared" si="0"/>
        <v>110165.3309595774</v>
      </c>
      <c r="L26" s="12">
        <v>0.47916666666666669</v>
      </c>
      <c r="M26" s="9">
        <v>8804.4410766280052</v>
      </c>
      <c r="N26" s="9">
        <v>11651.283582649106</v>
      </c>
      <c r="O26" s="9">
        <v>25915.347406226741</v>
      </c>
      <c r="P26" s="9">
        <v>36125.32431789345</v>
      </c>
      <c r="Q26" s="9">
        <v>1308.9553556365001</v>
      </c>
      <c r="R26" s="9">
        <v>644.24697997438977</v>
      </c>
      <c r="S26" s="9">
        <v>6943.5905011653031</v>
      </c>
      <c r="T26" s="9">
        <v>13041.354684745136</v>
      </c>
      <c r="U26">
        <f t="shared" si="1"/>
        <v>104434.54390491864</v>
      </c>
    </row>
    <row r="27" spans="1:21" x14ac:dyDescent="0.25">
      <c r="A27" s="12">
        <v>0.5</v>
      </c>
      <c r="B27" s="6">
        <v>14243.996364930563</v>
      </c>
      <c r="C27" s="6">
        <v>13273.968315493086</v>
      </c>
      <c r="D27" s="6">
        <v>27964.360756686863</v>
      </c>
      <c r="E27" s="6">
        <v>36345.013038157951</v>
      </c>
      <c r="F27" s="6">
        <v>2197.5509620328958</v>
      </c>
      <c r="G27" s="6">
        <v>394.22137233412764</v>
      </c>
      <c r="H27" s="6">
        <v>4880.6070138157611</v>
      </c>
      <c r="I27" s="6">
        <v>13303.586542415738</v>
      </c>
      <c r="J27" s="6">
        <f t="shared" si="0"/>
        <v>112603.30436586699</v>
      </c>
      <c r="L27" s="12">
        <v>0.5</v>
      </c>
      <c r="M27" s="9">
        <v>8525.4971077662631</v>
      </c>
      <c r="N27" s="9">
        <v>11470.70322129297</v>
      </c>
      <c r="O27" s="9">
        <v>25450.011605913012</v>
      </c>
      <c r="P27" s="9">
        <v>35791.610575260471</v>
      </c>
      <c r="Q27" s="9">
        <v>1317.1586912392429</v>
      </c>
      <c r="R27" s="9">
        <v>725.44642573178851</v>
      </c>
      <c r="S27" s="9">
        <v>7203.6291514975374</v>
      </c>
      <c r="T27" s="9">
        <v>13041.131099534183</v>
      </c>
      <c r="U27">
        <f t="shared" si="1"/>
        <v>103525.18787823545</v>
      </c>
    </row>
    <row r="28" spans="1:21" x14ac:dyDescent="0.25">
      <c r="A28" s="12">
        <v>0.52083333333333337</v>
      </c>
      <c r="B28" s="6">
        <v>14630.824670588534</v>
      </c>
      <c r="C28" s="6">
        <v>13339.532163662629</v>
      </c>
      <c r="D28" s="6">
        <v>28140.906752122377</v>
      </c>
      <c r="E28" s="6">
        <v>36845.300213765382</v>
      </c>
      <c r="F28" s="6">
        <v>2225.9146156037204</v>
      </c>
      <c r="G28" s="6">
        <v>445.86674052680598</v>
      </c>
      <c r="H28" s="6">
        <v>5087.8580425459149</v>
      </c>
      <c r="I28" s="6">
        <v>12445.261292679788</v>
      </c>
      <c r="J28" s="6">
        <f t="shared" si="0"/>
        <v>113161.46449149514</v>
      </c>
      <c r="L28" s="12">
        <v>0.52083333333333337</v>
      </c>
      <c r="M28" s="9">
        <v>8575.3213596257556</v>
      </c>
      <c r="N28" s="9">
        <v>11336.92326941896</v>
      </c>
      <c r="O28" s="9">
        <v>24918.29086257107</v>
      </c>
      <c r="P28" s="9">
        <v>35454.439325862026</v>
      </c>
      <c r="Q28" s="9">
        <v>1341.4906323342748</v>
      </c>
      <c r="R28" s="9">
        <v>828.02423402082206</v>
      </c>
      <c r="S28" s="9">
        <v>7659.7068279227242</v>
      </c>
      <c r="T28" s="9">
        <v>13035.82543510255</v>
      </c>
      <c r="U28">
        <f t="shared" si="1"/>
        <v>103150.02194685818</v>
      </c>
    </row>
    <row r="29" spans="1:21" x14ac:dyDescent="0.25">
      <c r="A29" s="12">
        <v>0.54166666666666663</v>
      </c>
      <c r="B29" s="6">
        <v>15067.76966354535</v>
      </c>
      <c r="C29" s="6">
        <v>13369.181096392655</v>
      </c>
      <c r="D29" s="6">
        <v>27953.456444139018</v>
      </c>
      <c r="E29" s="6">
        <v>37496.255325122343</v>
      </c>
      <c r="F29" s="6">
        <v>2272.8693528649646</v>
      </c>
      <c r="G29" s="6">
        <v>496.14297953264031</v>
      </c>
      <c r="H29" s="6">
        <v>5347.4700650655031</v>
      </c>
      <c r="I29" s="6">
        <v>11641.056246126293</v>
      </c>
      <c r="J29" s="6">
        <f t="shared" si="0"/>
        <v>113644.20117278876</v>
      </c>
      <c r="L29" s="12">
        <v>0.54166666666666663</v>
      </c>
      <c r="M29" s="9">
        <v>8991.3905550792861</v>
      </c>
      <c r="N29" s="9">
        <v>11311.61793655494</v>
      </c>
      <c r="O29" s="9">
        <v>24493.390497162596</v>
      </c>
      <c r="P29" s="9">
        <v>35323.329748827993</v>
      </c>
      <c r="Q29" s="9">
        <v>1391.6902506572903</v>
      </c>
      <c r="R29" s="9">
        <v>955.84872343878556</v>
      </c>
      <c r="S29" s="9">
        <v>8331.3856472955413</v>
      </c>
      <c r="T29" s="9">
        <v>13090.117735659394</v>
      </c>
      <c r="U29">
        <f t="shared" si="1"/>
        <v>103888.77109467583</v>
      </c>
    </row>
    <row r="30" spans="1:21" x14ac:dyDescent="0.25">
      <c r="A30" s="12">
        <v>0.5625</v>
      </c>
      <c r="B30" s="6">
        <v>15699.274094842889</v>
      </c>
      <c r="C30" s="6">
        <v>13743.328278098479</v>
      </c>
      <c r="D30" s="6">
        <v>27537.315606851629</v>
      </c>
      <c r="E30" s="6">
        <v>38688.191042029095</v>
      </c>
      <c r="F30" s="6">
        <v>2404.8576135470448</v>
      </c>
      <c r="G30" s="6">
        <v>561.87054563604079</v>
      </c>
      <c r="H30" s="6">
        <v>5760.2414756103763</v>
      </c>
      <c r="I30" s="6">
        <v>11305.372207888482</v>
      </c>
      <c r="J30" s="6">
        <f t="shared" si="0"/>
        <v>115700.45086450406</v>
      </c>
      <c r="L30" s="12">
        <v>0.5625</v>
      </c>
      <c r="M30" s="9">
        <v>9775.7199161863227</v>
      </c>
      <c r="N30" s="9">
        <v>11405.020744458096</v>
      </c>
      <c r="O30" s="9">
        <v>24233.412993033431</v>
      </c>
      <c r="P30" s="9">
        <v>35441.991339316126</v>
      </c>
      <c r="Q30" s="9">
        <v>1471.9080277718958</v>
      </c>
      <c r="R30" s="9">
        <v>1114.2949303961343</v>
      </c>
      <c r="S30" s="9">
        <v>9208.7814807456816</v>
      </c>
      <c r="T30" s="9">
        <v>13219.919824298066</v>
      </c>
      <c r="U30">
        <f t="shared" si="1"/>
        <v>105871.04925620573</v>
      </c>
    </row>
    <row r="31" spans="1:21" x14ac:dyDescent="0.25">
      <c r="A31" s="12">
        <v>0.58333333333333337</v>
      </c>
      <c r="B31" s="6">
        <v>16701.984977386062</v>
      </c>
      <c r="C31" s="6">
        <v>14648.142566549603</v>
      </c>
      <c r="D31" s="6">
        <v>26828.591125882485</v>
      </c>
      <c r="E31" s="6">
        <v>40251.825106015414</v>
      </c>
      <c r="F31" s="6">
        <v>2654.7216813307814</v>
      </c>
      <c r="G31" s="6">
        <v>669.26067667045481</v>
      </c>
      <c r="H31" s="6">
        <v>6375.4486359050288</v>
      </c>
      <c r="I31" s="6">
        <v>11577.164088968038</v>
      </c>
      <c r="J31" s="6">
        <f t="shared" si="0"/>
        <v>119707.13885870787</v>
      </c>
      <c r="L31" s="12">
        <v>0.58333333333333337</v>
      </c>
      <c r="M31" s="9">
        <v>10910.461896488396</v>
      </c>
      <c r="N31" s="9">
        <v>11588.262861367233</v>
      </c>
      <c r="O31" s="9">
        <v>24095.838267635365</v>
      </c>
      <c r="P31" s="9">
        <v>35719.305809452519</v>
      </c>
      <c r="Q31" s="9">
        <v>1581.2325448568802</v>
      </c>
      <c r="R31" s="9">
        <v>1305.6387475479987</v>
      </c>
      <c r="S31" s="9">
        <v>10255.425801224408</v>
      </c>
      <c r="T31" s="9">
        <v>13400.67952586243</v>
      </c>
      <c r="U31">
        <f t="shared" si="1"/>
        <v>108856.84545443523</v>
      </c>
    </row>
    <row r="32" spans="1:21" x14ac:dyDescent="0.25">
      <c r="A32" s="12">
        <v>0.60416666666666663</v>
      </c>
      <c r="B32" s="6">
        <v>18179.597859450678</v>
      </c>
      <c r="C32" s="6">
        <v>15864.414697976539</v>
      </c>
      <c r="D32" s="6">
        <v>25655.655525496884</v>
      </c>
      <c r="E32" s="6">
        <v>41554.18818232308</v>
      </c>
      <c r="F32" s="6">
        <v>2975.8213864911263</v>
      </c>
      <c r="G32" s="6">
        <v>823.59208162309358</v>
      </c>
      <c r="H32" s="6">
        <v>7147.8062510197169</v>
      </c>
      <c r="I32" s="6">
        <v>12279.552158199906</v>
      </c>
      <c r="J32" s="6">
        <f t="shared" si="0"/>
        <v>124480.62814258103</v>
      </c>
      <c r="L32" s="12">
        <v>0.60416666666666663</v>
      </c>
      <c r="M32" s="9">
        <v>12358.011863954567</v>
      </c>
      <c r="N32" s="9">
        <v>11799.076856489637</v>
      </c>
      <c r="O32" s="9">
        <v>23946.814730572703</v>
      </c>
      <c r="P32" s="9">
        <v>35950.575124779403</v>
      </c>
      <c r="Q32" s="9">
        <v>1713.241305423584</v>
      </c>
      <c r="R32" s="9">
        <v>1523.0850517645545</v>
      </c>
      <c r="S32" s="9">
        <v>11399.848271812307</v>
      </c>
      <c r="T32" s="9">
        <v>13565.369274918943</v>
      </c>
      <c r="U32">
        <f t="shared" si="1"/>
        <v>112256.0224797157</v>
      </c>
    </row>
    <row r="33" spans="1:21" x14ac:dyDescent="0.25">
      <c r="A33" s="12">
        <v>0.625</v>
      </c>
      <c r="B33" s="6">
        <v>20125.103483014555</v>
      </c>
      <c r="C33" s="6">
        <v>16839.541412665014</v>
      </c>
      <c r="D33" s="6">
        <v>23900.112544792173</v>
      </c>
      <c r="E33" s="6">
        <v>41917.0779923316</v>
      </c>
      <c r="F33" s="6">
        <v>3246.3137897795168</v>
      </c>
      <c r="G33" s="6">
        <v>993.76284492228638</v>
      </c>
      <c r="H33" s="6">
        <v>7964.0722072960143</v>
      </c>
      <c r="I33" s="6">
        <v>13042.674274996876</v>
      </c>
      <c r="J33" s="6">
        <f t="shared" si="0"/>
        <v>128028.65854979804</v>
      </c>
      <c r="L33" s="12">
        <v>0.625</v>
      </c>
      <c r="M33" s="9">
        <v>14069.903803234305</v>
      </c>
      <c r="N33" s="9">
        <v>11955.42744770542</v>
      </c>
      <c r="O33" s="9">
        <v>23591.503855419862</v>
      </c>
      <c r="P33" s="9">
        <v>35868.295515820428</v>
      </c>
      <c r="Q33" s="9">
        <v>1856.6894213151086</v>
      </c>
      <c r="R33" s="9">
        <v>1750.2747881712185</v>
      </c>
      <c r="S33" s="9">
        <v>12536.347393513624</v>
      </c>
      <c r="T33" s="9">
        <v>13615.668183854319</v>
      </c>
      <c r="U33">
        <f t="shared" si="1"/>
        <v>115244.11040903429</v>
      </c>
    </row>
    <row r="34" spans="1:21" x14ac:dyDescent="0.25">
      <c r="A34" s="12">
        <v>0.64583333333333337</v>
      </c>
      <c r="B34" s="6">
        <v>22496.417428742279</v>
      </c>
      <c r="C34" s="6">
        <v>17037.705988325779</v>
      </c>
      <c r="D34" s="6">
        <v>21616.702376517773</v>
      </c>
      <c r="E34" s="6">
        <v>41021.305857395593</v>
      </c>
      <c r="F34" s="6">
        <v>3341.9328472322959</v>
      </c>
      <c r="G34" s="6">
        <v>1129.2065129576958</v>
      </c>
      <c r="H34" s="6">
        <v>8735.4097093726396</v>
      </c>
      <c r="I34" s="6">
        <v>13514.985854281305</v>
      </c>
      <c r="J34" s="6">
        <f t="shared" si="0"/>
        <v>128893.66657482536</v>
      </c>
      <c r="L34" s="12">
        <v>0.64583333333333337</v>
      </c>
      <c r="M34" s="9">
        <v>16028.896702754755</v>
      </c>
      <c r="N34" s="9">
        <v>11993.973376730246</v>
      </c>
      <c r="O34" s="9">
        <v>22863.816695312085</v>
      </c>
      <c r="P34" s="9">
        <v>35264.81842966417</v>
      </c>
      <c r="Q34" s="9">
        <v>1999.5720526847781</v>
      </c>
      <c r="R34" s="9">
        <v>1969.3560309972981</v>
      </c>
      <c r="S34" s="9">
        <v>13556.670595399066</v>
      </c>
      <c r="T34" s="9">
        <v>13468.949551513942</v>
      </c>
      <c r="U34">
        <f t="shared" si="1"/>
        <v>117146.05343505632</v>
      </c>
    </row>
    <row r="35" spans="1:21" x14ac:dyDescent="0.25">
      <c r="A35" s="12">
        <v>0.66666666666666663</v>
      </c>
      <c r="B35" s="6">
        <v>25318.670095291134</v>
      </c>
      <c r="C35" s="6">
        <v>16311.125080044249</v>
      </c>
      <c r="D35" s="6">
        <v>19056.50322956247</v>
      </c>
      <c r="E35" s="6">
        <v>39048.571863002289</v>
      </c>
      <c r="F35" s="6">
        <v>3228.7622411659104</v>
      </c>
      <c r="G35" s="6">
        <v>1195.3481566345467</v>
      </c>
      <c r="H35" s="6">
        <v>9505.3636810189491</v>
      </c>
      <c r="I35" s="6">
        <v>13540.805296680688</v>
      </c>
      <c r="J35" s="6">
        <f t="shared" si="0"/>
        <v>127205.14964340023</v>
      </c>
      <c r="L35" s="12">
        <v>0.66666666666666663</v>
      </c>
      <c r="M35" s="9">
        <v>18303.540441662572</v>
      </c>
      <c r="N35" s="9">
        <v>11915.775075321013</v>
      </c>
      <c r="O35" s="9">
        <v>21737.480001731958</v>
      </c>
      <c r="P35" s="9">
        <v>34125.140484199932</v>
      </c>
      <c r="Q35" s="9">
        <v>2135.3072005011259</v>
      </c>
      <c r="R35" s="9">
        <v>2172.3721205267434</v>
      </c>
      <c r="S35" s="9">
        <v>14401.209782225946</v>
      </c>
      <c r="T35" s="9">
        <v>13115.840251139307</v>
      </c>
      <c r="U35">
        <f t="shared" si="1"/>
        <v>117906.66535730861</v>
      </c>
    </row>
    <row r="36" spans="1:21" x14ac:dyDescent="0.25">
      <c r="A36" s="12">
        <v>0.6875</v>
      </c>
      <c r="B36" s="6">
        <v>28699.370951492172</v>
      </c>
      <c r="C36" s="6">
        <v>14992.879404678646</v>
      </c>
      <c r="D36" s="6">
        <v>16583.73638318236</v>
      </c>
      <c r="E36" s="6">
        <v>36534.676738441085</v>
      </c>
      <c r="F36" s="6">
        <v>2995.564170506841</v>
      </c>
      <c r="G36" s="6">
        <v>1195.7917744495396</v>
      </c>
      <c r="H36" s="6">
        <v>10497.194127183913</v>
      </c>
      <c r="I36" s="6">
        <v>13204.806681162954</v>
      </c>
      <c r="J36" s="6">
        <f t="shared" si="0"/>
        <v>124704.02023109751</v>
      </c>
      <c r="L36" s="12">
        <v>0.6875</v>
      </c>
      <c r="M36" s="9">
        <v>21058.610224980086</v>
      </c>
      <c r="N36" s="9">
        <v>11797.894079004884</v>
      </c>
      <c r="O36" s="9">
        <v>20362.186052490291</v>
      </c>
      <c r="P36" s="9">
        <v>32650.65581850825</v>
      </c>
      <c r="Q36" s="9">
        <v>2267.0739225791394</v>
      </c>
      <c r="R36" s="9">
        <v>2366.6232512444908</v>
      </c>
      <c r="S36" s="9">
        <v>15089.888337799392</v>
      </c>
      <c r="T36" s="9">
        <v>12636.246781826891</v>
      </c>
      <c r="U36">
        <f t="shared" si="1"/>
        <v>118229.17846843341</v>
      </c>
    </row>
    <row r="37" spans="1:21" x14ac:dyDescent="0.25">
      <c r="A37" s="12">
        <v>0.70833333333333337</v>
      </c>
      <c r="B37" s="6">
        <v>32729.550267583076</v>
      </c>
      <c r="C37" s="6">
        <v>13648.702497763436</v>
      </c>
      <c r="D37" s="6">
        <v>14528.897454024283</v>
      </c>
      <c r="E37" s="6">
        <v>34072.426970208573</v>
      </c>
      <c r="F37" s="6">
        <v>2795.7976263760747</v>
      </c>
      <c r="G37" s="6">
        <v>1163.0937162331597</v>
      </c>
      <c r="H37" s="6">
        <v>12036.030333825467</v>
      </c>
      <c r="I37" s="6">
        <v>12731.191603193285</v>
      </c>
      <c r="J37" s="6">
        <f t="shared" si="0"/>
        <v>123705.69046920736</v>
      </c>
      <c r="L37" s="12">
        <v>0.70833333333333337</v>
      </c>
      <c r="M37" s="9">
        <v>24480.397431094141</v>
      </c>
      <c r="N37" s="9">
        <v>11751.929229030697</v>
      </c>
      <c r="O37" s="9">
        <v>18981.987785003639</v>
      </c>
      <c r="P37" s="9">
        <v>31140.427419513708</v>
      </c>
      <c r="Q37" s="9">
        <v>2406.8815265240737</v>
      </c>
      <c r="R37" s="9">
        <v>2568.9426521681703</v>
      </c>
      <c r="S37" s="9">
        <v>15702.710506030917</v>
      </c>
      <c r="T37" s="9">
        <v>12156.041045028654</v>
      </c>
      <c r="U37">
        <f t="shared" si="1"/>
        <v>119189.317594394</v>
      </c>
    </row>
    <row r="38" spans="1:21" x14ac:dyDescent="0.25">
      <c r="A38" s="12">
        <v>0.72916666666666663</v>
      </c>
      <c r="B38" s="6">
        <v>37326.484648265163</v>
      </c>
      <c r="C38" s="6">
        <v>12710.334143710803</v>
      </c>
      <c r="D38" s="6">
        <v>13066.496890732573</v>
      </c>
      <c r="E38" s="6">
        <v>32043.311287215874</v>
      </c>
      <c r="F38" s="6">
        <v>2750.8069376943195</v>
      </c>
      <c r="G38" s="6">
        <v>1132.6828257056704</v>
      </c>
      <c r="H38" s="6">
        <v>14335.474673365354</v>
      </c>
      <c r="I38" s="6">
        <v>12309.022548481465</v>
      </c>
      <c r="J38" s="6">
        <f t="shared" si="0"/>
        <v>125674.61395517123</v>
      </c>
      <c r="L38" s="12">
        <v>0.72916666666666663</v>
      </c>
      <c r="M38" s="9">
        <v>28628.286400569727</v>
      </c>
      <c r="N38" s="9">
        <v>11853.325962258776</v>
      </c>
      <c r="O38" s="9">
        <v>17795.654749984311</v>
      </c>
      <c r="P38" s="9">
        <v>29818.117523377296</v>
      </c>
      <c r="Q38" s="9">
        <v>2568.2101778910783</v>
      </c>
      <c r="R38" s="9">
        <v>2791.5540592712191</v>
      </c>
      <c r="S38" s="9">
        <v>16314.78413003453</v>
      </c>
      <c r="T38" s="9">
        <v>11776.627157955254</v>
      </c>
      <c r="U38">
        <f t="shared" si="1"/>
        <v>121546.56016134219</v>
      </c>
    </row>
    <row r="39" spans="1:21" x14ac:dyDescent="0.25">
      <c r="A39" s="12">
        <v>0.75</v>
      </c>
      <c r="B39" s="6">
        <v>42107.193995077003</v>
      </c>
      <c r="C39" s="6">
        <v>12268.070796394453</v>
      </c>
      <c r="D39" s="6">
        <v>12185.138012760739</v>
      </c>
      <c r="E39" s="6">
        <v>30498.130321855264</v>
      </c>
      <c r="F39" s="6">
        <v>2887.5606294083923</v>
      </c>
      <c r="G39" s="6">
        <v>1130.6864709849056</v>
      </c>
      <c r="H39" s="6">
        <v>17233.697665012001</v>
      </c>
      <c r="I39" s="6">
        <v>11948.643463572384</v>
      </c>
      <c r="J39" s="6">
        <f t="shared" si="0"/>
        <v>130259.12135506514</v>
      </c>
      <c r="L39" s="12">
        <v>0.75</v>
      </c>
      <c r="M39" s="9">
        <v>33277.550884710778</v>
      </c>
      <c r="N39" s="9">
        <v>12084.200063077298</v>
      </c>
      <c r="O39" s="9">
        <v>16853.315770748064</v>
      </c>
      <c r="P39" s="9">
        <v>28713.808483880504</v>
      </c>
      <c r="Q39" s="9">
        <v>2754.0197899551868</v>
      </c>
      <c r="R39" s="9">
        <v>3027.1064687179787</v>
      </c>
      <c r="S39" s="9">
        <v>16919.77085689333</v>
      </c>
      <c r="T39" s="9">
        <v>11519.837561128281</v>
      </c>
      <c r="U39">
        <f t="shared" si="1"/>
        <v>125149.60987911142</v>
      </c>
    </row>
    <row r="40" spans="1:21" x14ac:dyDescent="0.25">
      <c r="A40" s="12">
        <v>0.77083333333333337</v>
      </c>
      <c r="B40" s="6">
        <v>46382.972163628954</v>
      </c>
      <c r="C40" s="6">
        <v>12113.71338388482</v>
      </c>
      <c r="D40" s="6">
        <v>11737.342398286484</v>
      </c>
      <c r="E40" s="6">
        <v>29207.404011497645</v>
      </c>
      <c r="F40" s="6">
        <v>3137.403941890786</v>
      </c>
      <c r="G40" s="6">
        <v>1183.6076015360618</v>
      </c>
      <c r="H40" s="6">
        <v>20063.728986868977</v>
      </c>
      <c r="I40" s="6">
        <v>11460.083505708815</v>
      </c>
      <c r="J40" s="6">
        <f t="shared" si="0"/>
        <v>135286.25599330253</v>
      </c>
      <c r="L40" s="12">
        <v>0.77083333333333337</v>
      </c>
      <c r="M40" s="9">
        <v>37848.582729296417</v>
      </c>
      <c r="N40" s="9">
        <v>12320.371639251392</v>
      </c>
      <c r="O40" s="9">
        <v>16038.907592821302</v>
      </c>
      <c r="P40" s="9">
        <v>27648.791415280975</v>
      </c>
      <c r="Q40" s="9">
        <v>2945.9969193422658</v>
      </c>
      <c r="R40" s="9">
        <v>3241.4378892804975</v>
      </c>
      <c r="S40" s="9">
        <v>17387.012339509922</v>
      </c>
      <c r="T40" s="9">
        <v>11310.067187952875</v>
      </c>
      <c r="U40">
        <f t="shared" si="1"/>
        <v>128741.16771273565</v>
      </c>
    </row>
    <row r="41" spans="1:21" x14ac:dyDescent="0.25">
      <c r="A41" s="12">
        <v>0.79166666666666663</v>
      </c>
      <c r="B41" s="6">
        <v>49305.307339344152</v>
      </c>
      <c r="C41" s="6">
        <v>11926.847136344868</v>
      </c>
      <c r="D41" s="6">
        <v>11503.181124531027</v>
      </c>
      <c r="E41" s="6">
        <v>27823.659445959143</v>
      </c>
      <c r="F41" s="6">
        <v>3375.974049303918</v>
      </c>
      <c r="G41" s="6">
        <v>1321.8840319789347</v>
      </c>
      <c r="H41" s="6">
        <v>21836.591433235284</v>
      </c>
      <c r="I41" s="6">
        <v>10581.025663110377</v>
      </c>
      <c r="J41" s="6">
        <f t="shared" si="0"/>
        <v>137674.4702238077</v>
      </c>
      <c r="L41" s="12">
        <v>0.79166666666666663</v>
      </c>
      <c r="M41" s="9">
        <v>41501.933514890727</v>
      </c>
      <c r="N41" s="9">
        <v>12370.568683447589</v>
      </c>
      <c r="O41" s="9">
        <v>15134.008919030286</v>
      </c>
      <c r="P41" s="9">
        <v>26318.876935347573</v>
      </c>
      <c r="Q41" s="9">
        <v>3103.5307853212962</v>
      </c>
      <c r="R41" s="9">
        <v>3380.2748567306253</v>
      </c>
      <c r="S41" s="9">
        <v>17488.468502544391</v>
      </c>
      <c r="T41" s="9">
        <v>10999.946628819111</v>
      </c>
      <c r="U41">
        <f t="shared" si="1"/>
        <v>130297.60882613162</v>
      </c>
    </row>
    <row r="42" spans="1:21" x14ac:dyDescent="0.25">
      <c r="A42" s="12">
        <v>0.8125</v>
      </c>
      <c r="B42" s="6">
        <v>50091.038461378936</v>
      </c>
      <c r="C42" s="6">
        <v>11455.451720870155</v>
      </c>
      <c r="D42" s="6">
        <v>11229.559500502044</v>
      </c>
      <c r="E42" s="6">
        <v>26064.737528548627</v>
      </c>
      <c r="F42" s="6">
        <v>3478.2497003372077</v>
      </c>
      <c r="G42" s="6">
        <v>1551.8462203785411</v>
      </c>
      <c r="H42" s="6">
        <v>21718.338517748474</v>
      </c>
      <c r="I42" s="6">
        <v>9176.1356598132861</v>
      </c>
      <c r="J42" s="6">
        <f t="shared" si="0"/>
        <v>134765.35730957729</v>
      </c>
      <c r="L42" s="12">
        <v>0.8125</v>
      </c>
      <c r="M42" s="9">
        <v>43402.633264110504</v>
      </c>
      <c r="N42" s="9">
        <v>12054.219699185023</v>
      </c>
      <c r="O42" s="9">
        <v>13930.410839214592</v>
      </c>
      <c r="P42" s="9">
        <v>24444.362450816952</v>
      </c>
      <c r="Q42" s="9">
        <v>3177.1544246104331</v>
      </c>
      <c r="R42" s="9">
        <v>3389.8434113782432</v>
      </c>
      <c r="S42" s="9">
        <v>16997.669873452407</v>
      </c>
      <c r="T42" s="9">
        <v>10435.935626281969</v>
      </c>
      <c r="U42">
        <f t="shared" si="1"/>
        <v>127832.22958905011</v>
      </c>
    </row>
    <row r="43" spans="1:21" x14ac:dyDescent="0.25">
      <c r="A43" s="12">
        <v>0.83333333333333337</v>
      </c>
      <c r="B43" s="6">
        <v>48233.817955421793</v>
      </c>
      <c r="C43" s="6">
        <v>10611.024292922217</v>
      </c>
      <c r="D43" s="6">
        <v>10669.225421731835</v>
      </c>
      <c r="E43" s="6">
        <v>23826.575379759845</v>
      </c>
      <c r="F43" s="6">
        <v>3370.0968914032619</v>
      </c>
      <c r="G43" s="6">
        <v>1817.1618686110035</v>
      </c>
      <c r="H43" s="6">
        <v>19510.470891568781</v>
      </c>
      <c r="I43" s="6">
        <v>7358.2081909662493</v>
      </c>
      <c r="J43" s="6">
        <f t="shared" si="0"/>
        <v>125396.58089238498</v>
      </c>
      <c r="L43" s="12">
        <v>0.83333333333333337</v>
      </c>
      <c r="M43" s="9">
        <v>43049.044333669561</v>
      </c>
      <c r="N43" s="9">
        <v>11284.601988625178</v>
      </c>
      <c r="O43" s="9">
        <v>12341.04966171548</v>
      </c>
      <c r="P43" s="9">
        <v>21922.133649442861</v>
      </c>
      <c r="Q43" s="9">
        <v>3131.1718085455714</v>
      </c>
      <c r="R43" s="9">
        <v>3242.5695563598542</v>
      </c>
      <c r="S43" s="9">
        <v>15814.177654230994</v>
      </c>
      <c r="T43" s="9">
        <v>9538.931207063144</v>
      </c>
      <c r="U43">
        <f t="shared" si="1"/>
        <v>120323.67985965264</v>
      </c>
    </row>
    <row r="44" spans="1:21" x14ac:dyDescent="0.25">
      <c r="A44" s="12">
        <v>0.85416666666666663</v>
      </c>
      <c r="B44" s="6">
        <v>43683.70699822178</v>
      </c>
      <c r="C44" s="6">
        <v>9466.0602290915431</v>
      </c>
      <c r="D44" s="6">
        <v>9653.5729628816262</v>
      </c>
      <c r="E44" s="6">
        <v>21167.952950741732</v>
      </c>
      <c r="F44" s="6">
        <v>3055.7339719855454</v>
      </c>
      <c r="G44" s="6">
        <v>2001.7845654876951</v>
      </c>
      <c r="H44" s="6">
        <v>15777.022932721855</v>
      </c>
      <c r="I44" s="6">
        <v>5434.1796743829254</v>
      </c>
      <c r="J44" s="6">
        <f t="shared" si="0"/>
        <v>110240.01428551471</v>
      </c>
      <c r="L44" s="12">
        <v>0.85416666666666663</v>
      </c>
      <c r="M44" s="9">
        <v>40489.627277892316</v>
      </c>
      <c r="N44" s="9">
        <v>10113.164625096453</v>
      </c>
      <c r="O44" s="9">
        <v>10450.263202705</v>
      </c>
      <c r="P44" s="9">
        <v>18893.89009201431</v>
      </c>
      <c r="Q44" s="9">
        <v>2961.5908142490202</v>
      </c>
      <c r="R44" s="9">
        <v>2953.1142566572039</v>
      </c>
      <c r="S44" s="9">
        <v>14036.56160120723</v>
      </c>
      <c r="T44" s="9">
        <v>8353.3312472360012</v>
      </c>
      <c r="U44">
        <f t="shared" si="1"/>
        <v>108251.54311705753</v>
      </c>
    </row>
    <row r="45" spans="1:21" x14ac:dyDescent="0.25">
      <c r="A45" s="12">
        <v>0.875</v>
      </c>
      <c r="B45" s="6">
        <v>36974.130077609494</v>
      </c>
      <c r="C45" s="6">
        <v>8179.6313374455376</v>
      </c>
      <c r="D45" s="6">
        <v>8174.6431543721628</v>
      </c>
      <c r="E45" s="6">
        <v>18199.602879019279</v>
      </c>
      <c r="F45" s="6">
        <v>2605.6532973693265</v>
      </c>
      <c r="G45" s="6">
        <v>1992.6360812843814</v>
      </c>
      <c r="H45" s="6">
        <v>11520.989925185444</v>
      </c>
      <c r="I45" s="6">
        <v>3725.7400739226341</v>
      </c>
      <c r="J45" s="6">
        <f t="shared" si="0"/>
        <v>91373.026826208239</v>
      </c>
      <c r="L45" s="12">
        <v>0.875</v>
      </c>
      <c r="M45" s="9">
        <v>36283.614284251671</v>
      </c>
      <c r="N45" s="9">
        <v>8703.9254242763018</v>
      </c>
      <c r="O45" s="9">
        <v>8469.3150995105025</v>
      </c>
      <c r="P45" s="9">
        <v>15680.243954620411</v>
      </c>
      <c r="Q45" s="9">
        <v>2696.5837517596851</v>
      </c>
      <c r="R45" s="9">
        <v>2573.0182746840524</v>
      </c>
      <c r="S45" s="9">
        <v>11927.885289010108</v>
      </c>
      <c r="T45" s="9">
        <v>7027.0299348871222</v>
      </c>
      <c r="U45">
        <f t="shared" si="1"/>
        <v>93361.616012999861</v>
      </c>
    </row>
    <row r="46" spans="1:21" x14ac:dyDescent="0.25">
      <c r="A46" s="12">
        <v>0.89583333333333337</v>
      </c>
      <c r="B46" s="6">
        <v>29165.898961070212</v>
      </c>
      <c r="C46" s="6">
        <v>6901.5605146490288</v>
      </c>
      <c r="D46" s="6">
        <v>6404.2136885069212</v>
      </c>
      <c r="E46" s="6">
        <v>15002.088836286965</v>
      </c>
      <c r="F46" s="6">
        <v>2113.0716231737224</v>
      </c>
      <c r="G46" s="6">
        <v>1755.050206303481</v>
      </c>
      <c r="H46" s="6">
        <v>7666.6523729412556</v>
      </c>
      <c r="I46" s="6">
        <v>2412.3086910269262</v>
      </c>
      <c r="J46" s="6">
        <f t="shared" si="0"/>
        <v>71420.844893958507</v>
      </c>
      <c r="L46" s="12">
        <v>0.89583333333333337</v>
      </c>
      <c r="M46" s="9">
        <v>31211.988498084673</v>
      </c>
      <c r="N46" s="9">
        <v>7248.7147238812613</v>
      </c>
      <c r="O46" s="9">
        <v>6623.6106381661721</v>
      </c>
      <c r="P46" s="9">
        <v>12618.699222146581</v>
      </c>
      <c r="Q46" s="9">
        <v>2378.4124063673926</v>
      </c>
      <c r="R46" s="9">
        <v>2165.2523539760559</v>
      </c>
      <c r="S46" s="9">
        <v>9788.8693289302864</v>
      </c>
      <c r="T46" s="9">
        <v>5730.9153090642694</v>
      </c>
      <c r="U46">
        <f t="shared" si="1"/>
        <v>77766.462480616698</v>
      </c>
    </row>
    <row r="47" spans="1:21" x14ac:dyDescent="0.25">
      <c r="A47" s="12">
        <v>0.91666666666666663</v>
      </c>
      <c r="B47" s="6">
        <v>21505.559506274654</v>
      </c>
      <c r="C47" s="6">
        <v>5708.4038035281283</v>
      </c>
      <c r="D47" s="6">
        <v>4615.0530259352854</v>
      </c>
      <c r="E47" s="6">
        <v>11665.611825241791</v>
      </c>
      <c r="F47" s="6">
        <v>1648.7542123061085</v>
      </c>
      <c r="G47" s="6">
        <v>1355.2252582940187</v>
      </c>
      <c r="H47" s="6">
        <v>4712.1782451483014</v>
      </c>
      <c r="I47" s="6">
        <v>1500.3951578631402</v>
      </c>
      <c r="J47" s="6">
        <f t="shared" si="0"/>
        <v>52711.181034591427</v>
      </c>
      <c r="L47" s="12">
        <v>0.91666666666666663</v>
      </c>
      <c r="M47" s="9">
        <v>25924.758902757068</v>
      </c>
      <c r="N47" s="9">
        <v>5878.9398952825304</v>
      </c>
      <c r="O47" s="9">
        <v>5048.5918731593729</v>
      </c>
      <c r="P47" s="9">
        <v>9914.5241622582726</v>
      </c>
      <c r="Q47" s="9">
        <v>2039.9124350518832</v>
      </c>
      <c r="R47" s="9">
        <v>1775.0563538681045</v>
      </c>
      <c r="S47" s="9">
        <v>7824.5988397666206</v>
      </c>
      <c r="T47" s="9">
        <v>4574.0298031197808</v>
      </c>
      <c r="U47">
        <f t="shared" si="1"/>
        <v>62980.412265263636</v>
      </c>
    </row>
    <row r="48" spans="1:21" x14ac:dyDescent="0.25">
      <c r="A48" s="12">
        <v>0.9375</v>
      </c>
      <c r="B48" s="6">
        <v>14951.366366612154</v>
      </c>
      <c r="C48" s="6">
        <v>4598.8678891240861</v>
      </c>
      <c r="D48" s="6">
        <v>3055.0305264332446</v>
      </c>
      <c r="E48" s="6">
        <v>8387.3519068561363</v>
      </c>
      <c r="F48" s="6">
        <v>1242.1707006958277</v>
      </c>
      <c r="G48" s="6">
        <v>914.10802877385049</v>
      </c>
      <c r="H48" s="6">
        <v>2711.2483676693441</v>
      </c>
      <c r="I48" s="6">
        <v>899.22487604713444</v>
      </c>
      <c r="J48" s="6">
        <f t="shared" si="0"/>
        <v>36759.368662211775</v>
      </c>
      <c r="L48" s="12">
        <v>0.9375</v>
      </c>
      <c r="M48" s="9">
        <v>20762.985815330765</v>
      </c>
      <c r="N48" s="9">
        <v>4634.3750277506806</v>
      </c>
      <c r="O48" s="9">
        <v>3761.4691416941673</v>
      </c>
      <c r="P48" s="9">
        <v>7600.7221295397903</v>
      </c>
      <c r="Q48" s="9">
        <v>1693.3930596672965</v>
      </c>
      <c r="R48" s="9">
        <v>1417.2807179337922</v>
      </c>
      <c r="S48" s="9">
        <v>6095.5463496865468</v>
      </c>
      <c r="T48" s="9">
        <v>3574.1205286784493</v>
      </c>
      <c r="U48">
        <f t="shared" si="1"/>
        <v>49539.892770281484</v>
      </c>
    </row>
    <row r="49" spans="1:21" x14ac:dyDescent="0.25">
      <c r="A49" s="12">
        <v>0.95833333333333337</v>
      </c>
      <c r="B49" s="6">
        <v>9896.5729597860882</v>
      </c>
      <c r="C49" s="6">
        <v>3541.2144859268342</v>
      </c>
      <c r="D49" s="6">
        <v>1859.6207926199654</v>
      </c>
      <c r="E49" s="6">
        <v>5472.4803083200968</v>
      </c>
      <c r="F49" s="6">
        <v>893.85470489079376</v>
      </c>
      <c r="G49" s="6">
        <v>537.34527617189599</v>
      </c>
      <c r="H49" s="6">
        <v>1468.8191981108189</v>
      </c>
      <c r="I49" s="6">
        <v>509.92970970773695</v>
      </c>
      <c r="J49" s="6">
        <f t="shared" si="0"/>
        <v>24179.837435534224</v>
      </c>
      <c r="L49" s="12">
        <v>0.95833333333333337</v>
      </c>
      <c r="M49" s="9">
        <v>15846.336203098128</v>
      </c>
      <c r="N49" s="9">
        <v>3501.7596152761926</v>
      </c>
      <c r="O49" s="9">
        <v>2710.8439838602644</v>
      </c>
      <c r="P49" s="9">
        <v>5613.7736520802755</v>
      </c>
      <c r="Q49" s="9">
        <v>1339.5502864787773</v>
      </c>
      <c r="R49" s="9">
        <v>1087.1525417093637</v>
      </c>
      <c r="S49" s="9">
        <v>4571.8203634709698</v>
      </c>
      <c r="T49" s="9">
        <v>2695.7549195085262</v>
      </c>
      <c r="U49">
        <f t="shared" si="1"/>
        <v>37366.991565482494</v>
      </c>
    </row>
    <row r="50" spans="1:21" x14ac:dyDescent="0.25">
      <c r="A50" s="12">
        <v>0.97916666666666663</v>
      </c>
      <c r="B50" s="6">
        <v>6251.3277554563647</v>
      </c>
      <c r="C50" s="6">
        <v>2534.9830238317654</v>
      </c>
      <c r="D50" s="6">
        <v>1042.1513420036006</v>
      </c>
      <c r="E50" s="6">
        <v>3197.2138998519881</v>
      </c>
      <c r="F50" s="6">
        <v>599.87876868012427</v>
      </c>
      <c r="G50" s="6">
        <v>274.23756482018354</v>
      </c>
      <c r="H50" s="6">
        <v>743.24455983781809</v>
      </c>
      <c r="I50" s="6">
        <v>264.8476111963987</v>
      </c>
      <c r="J50" s="6">
        <f t="shared" si="0"/>
        <v>14907.884525678244</v>
      </c>
      <c r="L50" s="12">
        <v>0.97916666666666663</v>
      </c>
      <c r="M50" s="9">
        <v>11290.457089969701</v>
      </c>
      <c r="N50" s="9">
        <v>2477.8988062868243</v>
      </c>
      <c r="O50" s="9">
        <v>1847.3538869361155</v>
      </c>
      <c r="P50" s="9">
        <v>3903.8654786457278</v>
      </c>
      <c r="Q50" s="9">
        <v>986.29911963606764</v>
      </c>
      <c r="R50" s="9">
        <v>781.78422377537845</v>
      </c>
      <c r="S50" s="9">
        <v>3226.3544511131458</v>
      </c>
      <c r="T50" s="9">
        <v>1912.7817959831082</v>
      </c>
      <c r="U50">
        <f t="shared" si="1"/>
        <v>26426.794852346065</v>
      </c>
    </row>
    <row r="51" spans="1:21" x14ac:dyDescent="0.25">
      <c r="A51" s="12">
        <v>1</v>
      </c>
      <c r="B51" s="6">
        <v>3724.5291025365686</v>
      </c>
      <c r="C51" s="6">
        <v>1636.6366043741828</v>
      </c>
      <c r="D51" s="6">
        <v>537.47372576815235</v>
      </c>
      <c r="E51" s="6">
        <v>1661.8308237906444</v>
      </c>
      <c r="F51" s="6">
        <v>364.64042411877767</v>
      </c>
      <c r="G51" s="6">
        <v>120.58047850286627</v>
      </c>
      <c r="H51" s="6">
        <v>344.01226429641247</v>
      </c>
      <c r="I51" s="6">
        <v>121.68607252192497</v>
      </c>
      <c r="J51" s="6">
        <f t="shared" si="0"/>
        <v>8511.3894959095287</v>
      </c>
      <c r="L51" s="12">
        <v>1</v>
      </c>
      <c r="M51" s="9">
        <v>7326.8426804239007</v>
      </c>
      <c r="N51" s="9">
        <v>1598.7792410971829</v>
      </c>
      <c r="O51" s="9">
        <v>1157.4002032090202</v>
      </c>
      <c r="P51" s="9">
        <v>2486.9458500320761</v>
      </c>
      <c r="Q51" s="9">
        <v>658.483457646646</v>
      </c>
      <c r="R51" s="9">
        <v>512.28020413494119</v>
      </c>
      <c r="S51" s="9">
        <v>2084.197748831547</v>
      </c>
      <c r="T51" s="9">
        <v>1239.6658290933776</v>
      </c>
      <c r="U51">
        <f t="shared" si="1"/>
        <v>17064.595214468693</v>
      </c>
    </row>
    <row r="52" spans="1:21" x14ac:dyDescent="0.25">
      <c r="A52" s="12">
        <v>1.0208333333333333</v>
      </c>
      <c r="B52" s="6">
        <v>2042.0906451711191</v>
      </c>
      <c r="C52" s="6">
        <v>926.21779299474895</v>
      </c>
      <c r="D52" s="6">
        <v>254.23705484150938</v>
      </c>
      <c r="E52" s="6">
        <v>768.38470336838327</v>
      </c>
      <c r="F52" s="6">
        <v>195.20573993049942</v>
      </c>
      <c r="G52" s="6">
        <v>45.060016955928859</v>
      </c>
      <c r="H52" s="6">
        <v>141.82523327100276</v>
      </c>
      <c r="I52" s="6">
        <v>47.954711225271225</v>
      </c>
      <c r="J52" s="6">
        <f t="shared" si="0"/>
        <v>4420.9758977584634</v>
      </c>
      <c r="L52" s="12">
        <v>1.0208333333333333</v>
      </c>
      <c r="M52" s="9">
        <v>4223.7004410607206</v>
      </c>
      <c r="N52" s="9">
        <v>916.53269834973798</v>
      </c>
      <c r="O52" s="9">
        <v>648.44300116903787</v>
      </c>
      <c r="P52" s="9">
        <v>1412.5676569285565</v>
      </c>
      <c r="Q52" s="9">
        <v>388.69636784319715</v>
      </c>
      <c r="R52" s="9">
        <v>297.65624280262898</v>
      </c>
      <c r="S52" s="9">
        <v>1199.5692161265906</v>
      </c>
      <c r="T52" s="9">
        <v>713.70558797407443</v>
      </c>
      <c r="U52">
        <f t="shared" si="1"/>
        <v>9800.8712122545458</v>
      </c>
    </row>
    <row r="53" spans="1:21" x14ac:dyDescent="0.25">
      <c r="A53" s="12">
        <v>4.1666666666666664E-2</v>
      </c>
      <c r="B53" s="6">
        <v>998.88224222228803</v>
      </c>
      <c r="C53" s="6">
        <v>447.8492607182626</v>
      </c>
      <c r="D53" s="6">
        <v>109.47654102073091</v>
      </c>
      <c r="E53" s="6">
        <v>316.9607748101119</v>
      </c>
      <c r="F53" s="6">
        <v>89.797148740286062</v>
      </c>
      <c r="G53" s="6">
        <v>14.008931676857483</v>
      </c>
      <c r="H53" s="6">
        <v>50.80385481727123</v>
      </c>
      <c r="I53" s="6">
        <v>15.758797005295756</v>
      </c>
      <c r="J53" s="6">
        <f t="shared" si="0"/>
        <v>2043.5375510111037</v>
      </c>
      <c r="L53" s="12">
        <v>4.1666666666666664E-2</v>
      </c>
      <c r="M53" s="9">
        <v>2111.6878272304962</v>
      </c>
      <c r="N53" s="9">
        <v>455.69864169691368</v>
      </c>
      <c r="O53" s="9">
        <v>316.68920781589753</v>
      </c>
      <c r="P53" s="9">
        <v>697.52639418285821</v>
      </c>
      <c r="Q53" s="9">
        <v>198.14474155382558</v>
      </c>
      <c r="R53" s="9">
        <v>149.5958639839487</v>
      </c>
      <c r="S53" s="9">
        <v>599.86608657119154</v>
      </c>
      <c r="T53" s="9">
        <v>356.01352957125164</v>
      </c>
      <c r="U53">
        <f t="shared" si="1"/>
        <v>4885.2222926063832</v>
      </c>
    </row>
    <row r="54" spans="1:21" x14ac:dyDescent="0.25">
      <c r="A54" s="12">
        <v>6.25E-2</v>
      </c>
      <c r="B54" s="6">
        <v>422.19622128412425</v>
      </c>
      <c r="C54" s="6">
        <v>180.5919343759885</v>
      </c>
      <c r="D54" s="6">
        <v>42.365905434551351</v>
      </c>
      <c r="E54" s="6">
        <v>116.56268554069401</v>
      </c>
      <c r="F54" s="6">
        <v>34.711972346583998</v>
      </c>
      <c r="G54" s="6">
        <v>3.5120376988139919</v>
      </c>
      <c r="H54" s="6">
        <v>15.516236245393753</v>
      </c>
      <c r="I54" s="6">
        <v>4.1886559275388731</v>
      </c>
      <c r="J54" s="6">
        <f t="shared" si="0"/>
        <v>819.64564885368884</v>
      </c>
      <c r="L54" s="12">
        <v>6.25E-2</v>
      </c>
      <c r="M54" s="9">
        <v>894.1258893768595</v>
      </c>
      <c r="N54" s="9">
        <v>191.91641760812982</v>
      </c>
      <c r="O54" s="9">
        <v>131.55562075908068</v>
      </c>
      <c r="P54" s="9">
        <v>292.21098423290687</v>
      </c>
      <c r="Q54" s="9">
        <v>85.237030304030867</v>
      </c>
      <c r="R54" s="9">
        <v>63.501353919313878</v>
      </c>
      <c r="S54" s="9">
        <v>254.35529135534563</v>
      </c>
      <c r="T54" s="9">
        <v>150.25559286592906</v>
      </c>
      <c r="U54">
        <f t="shared" si="1"/>
        <v>2063.1581804215966</v>
      </c>
    </row>
    <row r="55" spans="1:21" x14ac:dyDescent="0.25">
      <c r="A55" s="12">
        <v>8.3333333333333329E-2</v>
      </c>
      <c r="B55" s="6">
        <v>149.35334806306622</v>
      </c>
      <c r="C55" s="6">
        <v>59.197278716561314</v>
      </c>
      <c r="D55" s="6">
        <v>14.450919958059689</v>
      </c>
      <c r="E55" s="6">
        <v>37.745633255948533</v>
      </c>
      <c r="F55" s="6">
        <v>11.022352570658775</v>
      </c>
      <c r="G55" s="6">
        <v>0.67855029321654237</v>
      </c>
      <c r="H55" s="6">
        <v>3.992462234616279</v>
      </c>
      <c r="I55" s="6">
        <v>0.86490687608718897</v>
      </c>
      <c r="J55" s="6">
        <f t="shared" si="0"/>
        <v>277.30545196821447</v>
      </c>
      <c r="L55" s="12">
        <v>8.3333333333333329E-2</v>
      </c>
      <c r="M55" s="9">
        <v>312.46682138136379</v>
      </c>
      <c r="N55" s="9">
        <v>66.732253255690722</v>
      </c>
      <c r="O55" s="9">
        <v>45.280855955522675</v>
      </c>
      <c r="P55" s="9">
        <v>101.17350935242158</v>
      </c>
      <c r="Q55" s="9">
        <v>30.175660962644692</v>
      </c>
      <c r="R55" s="9">
        <v>22.195310756090802</v>
      </c>
      <c r="S55" s="9">
        <v>89.094355990439169</v>
      </c>
      <c r="T55" s="9">
        <v>52.310443183259565</v>
      </c>
      <c r="U55">
        <f t="shared" si="1"/>
        <v>719.42921083743295</v>
      </c>
    </row>
    <row r="56" spans="1:21" x14ac:dyDescent="0.25">
      <c r="A56" s="12">
        <v>0.10416666666666667</v>
      </c>
      <c r="B56" s="6">
        <v>42.705295873330144</v>
      </c>
      <c r="C56" s="6">
        <v>15.292783422225174</v>
      </c>
      <c r="D56" s="6">
        <v>4.2274484206190142</v>
      </c>
      <c r="E56" s="6">
        <v>10.452574442187434</v>
      </c>
      <c r="F56" s="6">
        <v>2.7993761807272941</v>
      </c>
      <c r="G56" s="6">
        <v>9.4242934107780479E-2</v>
      </c>
      <c r="H56" s="6">
        <v>0.85897513520717617</v>
      </c>
      <c r="I56" s="6">
        <v>0.1302623763084412</v>
      </c>
      <c r="J56" s="6">
        <f t="shared" si="0"/>
        <v>76.56095878471244</v>
      </c>
      <c r="L56" s="12">
        <v>0.10416666666666667</v>
      </c>
      <c r="M56" s="9">
        <v>87.341295332768624</v>
      </c>
      <c r="N56" s="9">
        <v>18.568549556769206</v>
      </c>
      <c r="O56" s="9">
        <v>12.510182035566853</v>
      </c>
      <c r="P56" s="9">
        <v>28.051764351494715</v>
      </c>
      <c r="Q56" s="9">
        <v>8.5253909019772305</v>
      </c>
      <c r="R56" s="9">
        <v>6.1933520692260275</v>
      </c>
      <c r="S56" s="9">
        <v>24.978364568008793</v>
      </c>
      <c r="T56" s="9">
        <v>14.564679402980456</v>
      </c>
      <c r="U56">
        <f t="shared" si="1"/>
        <v>200.73357821879191</v>
      </c>
    </row>
    <row r="57" spans="1:21" x14ac:dyDescent="0.25">
      <c r="A57" s="12">
        <v>0.125</v>
      </c>
      <c r="B57" s="6">
        <v>9.2987244456774754</v>
      </c>
      <c r="C57" s="6">
        <v>2.9497144359124503</v>
      </c>
      <c r="D57" s="6">
        <v>0.99795248482210974</v>
      </c>
      <c r="E57" s="6">
        <v>2.3177421067967625</v>
      </c>
      <c r="F57" s="6">
        <v>0.54168792501060359</v>
      </c>
      <c r="G57" s="6">
        <v>8.3206672668457039E-3</v>
      </c>
      <c r="H57" s="6">
        <v>0.15038446485996246</v>
      </c>
      <c r="I57" s="6">
        <v>1.2736297130584721E-2</v>
      </c>
      <c r="J57" s="6">
        <f t="shared" si="0"/>
        <v>16.277262827476793</v>
      </c>
      <c r="L57" s="12">
        <v>0.125</v>
      </c>
      <c r="M57" s="9">
        <v>18.441784392765978</v>
      </c>
      <c r="N57" s="9">
        <v>3.9053383668152923</v>
      </c>
      <c r="O57" s="9">
        <v>2.6194037107255395</v>
      </c>
      <c r="P57" s="9">
        <v>5.8822987803176501</v>
      </c>
      <c r="Q57" s="9">
        <v>1.8159230977577252</v>
      </c>
      <c r="R57" s="9">
        <v>1.3037058047468584</v>
      </c>
      <c r="S57" s="9">
        <v>5.2919487471880391</v>
      </c>
      <c r="T57" s="9">
        <v>3.06413600807049</v>
      </c>
      <c r="U57">
        <f t="shared" si="1"/>
        <v>42.324538908387574</v>
      </c>
    </row>
    <row r="58" spans="1:21" ht="15.75" thickBot="1" x14ac:dyDescent="0.3">
      <c r="A58" s="13" t="s">
        <v>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f t="shared" si="0"/>
        <v>0</v>
      </c>
      <c r="L58" s="13" t="s">
        <v>6</v>
      </c>
      <c r="M58" s="10">
        <v>0</v>
      </c>
      <c r="N58" s="10">
        <v>0</v>
      </c>
      <c r="O58" s="10">
        <v>0</v>
      </c>
      <c r="P58" s="10">
        <v>0</v>
      </c>
      <c r="Q58" s="10">
        <v>0</v>
      </c>
      <c r="R58" s="10">
        <v>0</v>
      </c>
      <c r="S58" s="10">
        <v>0</v>
      </c>
      <c r="T58" s="10">
        <v>0</v>
      </c>
      <c r="U58" s="1">
        <f t="shared" si="1"/>
        <v>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width="12.7109375" customWidth="1" collapsed="1"/>
    <col min="2" max="10" width="10.7109375" customWidth="1" collapsed="1"/>
    <col min="11" max="11" width="6.42578125" customWidth="1" collapsed="1"/>
    <col min="12" max="12" width="12.7109375" customWidth="1" collapsed="1"/>
    <col min="13" max="21" width="10.7109375" customWidth="1" collapsed="1"/>
  </cols>
  <sheetData>
    <row r="1" spans="1:26" x14ac:dyDescent="0.25">
      <c r="A1" t="s">
        <v>44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r="6" spans="1:26" ht="15.75" thickBot="1" x14ac:dyDescent="0.3">
      <c r="A6" s="3" t="s">
        <v>58</v>
      </c>
      <c r="B6" s="1"/>
      <c r="C6" s="1"/>
      <c r="D6" s="1"/>
      <c r="E6" s="1"/>
      <c r="F6" s="1"/>
      <c r="G6" s="1"/>
      <c r="H6" s="1"/>
      <c r="I6" s="1"/>
      <c r="J6" s="1"/>
      <c r="L6" s="3" t="s">
        <v>45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>
        <v>0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f>SUM(B8:I8)</f>
        <v>0</v>
      </c>
      <c r="L8" t="s">
        <v>5</v>
      </c>
      <c r="M8" s="9">
        <v>8.9950354318109103</v>
      </c>
      <c r="N8" s="9">
        <v>48.486980041241637</v>
      </c>
      <c r="O8" s="9">
        <v>0</v>
      </c>
      <c r="P8" s="9">
        <v>0</v>
      </c>
      <c r="Q8" s="9">
        <v>27.9866639794087</v>
      </c>
      <c r="R8" s="9">
        <v>2</v>
      </c>
      <c r="S8" s="9">
        <v>0</v>
      </c>
      <c r="T8" s="9">
        <v>0</v>
      </c>
      <c r="U8">
        <f>SUM(M8:T8)</f>
        <v>87.468679452461245</v>
      </c>
      <c r="W8" s="5"/>
      <c r="X8" s="16"/>
      <c r="Y8" s="16"/>
      <c r="Z8" s="5"/>
    </row>
    <row r="9" spans="1:26" x14ac:dyDescent="0.25">
      <c r="A9" s="12">
        <v>0.125</v>
      </c>
      <c r="B9" s="6">
        <v>0.3093536923081639</v>
      </c>
      <c r="C9" s="6">
        <v>3.0338476004047421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f t="shared" ref="J9:J58" si="0">SUM(B9:I9)</f>
        <v>3.343201292712906</v>
      </c>
      <c r="L9" s="12">
        <v>0.125</v>
      </c>
      <c r="M9" s="9">
        <v>69.323686859700103</v>
      </c>
      <c r="N9" s="9">
        <v>41.967231963088963</v>
      </c>
      <c r="O9" s="9">
        <v>0</v>
      </c>
      <c r="P9" s="9">
        <v>0</v>
      </c>
      <c r="Q9" s="9">
        <v>26.061902979626563</v>
      </c>
      <c r="R9" s="9">
        <v>1.3272523880004883</v>
      </c>
      <c r="S9" s="9">
        <v>0</v>
      </c>
      <c r="T9" s="9">
        <v>0</v>
      </c>
      <c r="U9">
        <f t="shared" ref="U9:U58" si="1">SUM(M9:T9)</f>
        <v>138.68007419041612</v>
      </c>
      <c r="W9" s="5"/>
      <c r="X9" s="16"/>
      <c r="Y9" s="16"/>
      <c r="Z9" s="5"/>
    </row>
    <row r="10" spans="1:26" x14ac:dyDescent="0.25">
      <c r="A10" s="12">
        <v>0.14583333333333334</v>
      </c>
      <c r="B10" s="6">
        <v>1.4483939005265405</v>
      </c>
      <c r="C10" s="6">
        <v>7.0053729664230051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f t="shared" si="0"/>
        <v>8.4537668669495449</v>
      </c>
      <c r="L10" s="12">
        <v>0.14583333333333334</v>
      </c>
      <c r="M10" s="9">
        <v>109.98004692374919</v>
      </c>
      <c r="N10" s="9">
        <v>37.727341492879916</v>
      </c>
      <c r="O10" s="9">
        <v>0</v>
      </c>
      <c r="P10" s="9">
        <v>0</v>
      </c>
      <c r="Q10" s="9">
        <v>22.99491430722016</v>
      </c>
      <c r="R10" s="9">
        <v>0.76671981811523438</v>
      </c>
      <c r="S10" s="9">
        <v>0</v>
      </c>
      <c r="T10" s="9">
        <v>0</v>
      </c>
      <c r="U10">
        <f t="shared" si="1"/>
        <v>171.46902254196451</v>
      </c>
      <c r="W10" s="5"/>
      <c r="X10" s="16"/>
      <c r="Y10" s="16"/>
      <c r="Z10" s="5"/>
    </row>
    <row r="11" spans="1:26" x14ac:dyDescent="0.25">
      <c r="A11" s="12">
        <v>0.16666666666666666</v>
      </c>
      <c r="B11" s="6">
        <v>5.2521195331815509</v>
      </c>
      <c r="C11" s="6">
        <v>12.258269132064173</v>
      </c>
      <c r="D11" s="6">
        <v>0</v>
      </c>
      <c r="E11" s="6">
        <v>0</v>
      </c>
      <c r="F11" s="6">
        <v>1.1211168662452698E-4</v>
      </c>
      <c r="G11" s="6">
        <v>0</v>
      </c>
      <c r="H11" s="6">
        <v>0</v>
      </c>
      <c r="I11" s="6">
        <v>0</v>
      </c>
      <c r="J11" s="6">
        <f t="shared" si="0"/>
        <v>17.51050077693235</v>
      </c>
      <c r="L11" s="12">
        <v>0.16666666666666666</v>
      </c>
      <c r="M11" s="9">
        <v>129.3543130010199</v>
      </c>
      <c r="N11" s="9">
        <v>38.747137022554305</v>
      </c>
      <c r="O11" s="9">
        <v>0</v>
      </c>
      <c r="P11" s="9">
        <v>0</v>
      </c>
      <c r="Q11" s="9">
        <v>19.150947763516861</v>
      </c>
      <c r="R11" s="9">
        <v>0.37947702407836914</v>
      </c>
      <c r="S11" s="9">
        <v>0</v>
      </c>
      <c r="T11" s="9">
        <v>0</v>
      </c>
      <c r="U11">
        <f t="shared" si="1"/>
        <v>187.63187481116944</v>
      </c>
      <c r="W11" s="5"/>
      <c r="X11" s="16"/>
      <c r="Y11" s="16"/>
      <c r="Z11" s="5"/>
    </row>
    <row r="12" spans="1:26" x14ac:dyDescent="0.25">
      <c r="A12" s="12">
        <v>0.1875</v>
      </c>
      <c r="B12" s="6">
        <v>15.791101723814442</v>
      </c>
      <c r="C12" s="6">
        <v>18.586568723908215</v>
      </c>
      <c r="D12" s="6">
        <v>0</v>
      </c>
      <c r="E12" s="6">
        <v>0</v>
      </c>
      <c r="F12" s="6">
        <v>2.2422337324905397E-3</v>
      </c>
      <c r="G12" s="6">
        <v>0</v>
      </c>
      <c r="H12" s="6">
        <v>0</v>
      </c>
      <c r="I12" s="6">
        <v>0</v>
      </c>
      <c r="J12" s="6">
        <f t="shared" si="0"/>
        <v>34.379912681455146</v>
      </c>
      <c r="L12" s="12">
        <v>0.1875</v>
      </c>
      <c r="M12" s="9">
        <v>144.0442472202277</v>
      </c>
      <c r="N12" s="9">
        <v>48.003530512157326</v>
      </c>
      <c r="O12" s="9">
        <v>0</v>
      </c>
      <c r="P12" s="9">
        <v>0</v>
      </c>
      <c r="Q12" s="9">
        <v>16.410223318829622</v>
      </c>
      <c r="R12" s="9">
        <v>0.16288304328918457</v>
      </c>
      <c r="S12" s="9">
        <v>0</v>
      </c>
      <c r="T12" s="9">
        <v>0</v>
      </c>
      <c r="U12">
        <f t="shared" si="1"/>
        <v>208.62088409450385</v>
      </c>
      <c r="W12" s="5"/>
      <c r="X12" s="5"/>
      <c r="Y12" s="5"/>
      <c r="Z12" s="5"/>
    </row>
    <row r="13" spans="1:26" x14ac:dyDescent="0.25">
      <c r="A13" s="12">
        <v>0.20833333333333334</v>
      </c>
      <c r="B13" s="6">
        <v>40.922884361483689</v>
      </c>
      <c r="C13" s="6">
        <v>25.862954530135056</v>
      </c>
      <c r="D13" s="6">
        <v>0</v>
      </c>
      <c r="E13" s="6">
        <v>0</v>
      </c>
      <c r="F13" s="6">
        <v>2.1301220458660123E-2</v>
      </c>
      <c r="G13" s="6">
        <v>0</v>
      </c>
      <c r="H13" s="6">
        <v>0</v>
      </c>
      <c r="I13" s="6">
        <v>0</v>
      </c>
      <c r="J13" s="6">
        <f t="shared" si="0"/>
        <v>66.807140112077391</v>
      </c>
      <c r="L13" s="12">
        <v>0.20833333333333334</v>
      </c>
      <c r="M13" s="9">
        <v>173.71137282846502</v>
      </c>
      <c r="N13" s="9">
        <v>66.972797647778648</v>
      </c>
      <c r="O13" s="9">
        <v>0</v>
      </c>
      <c r="P13" s="9">
        <v>0</v>
      </c>
      <c r="Q13" s="9">
        <v>16.907112417645777</v>
      </c>
      <c r="R13" s="9">
        <v>8.0857273448597305E-2</v>
      </c>
      <c r="S13" s="9">
        <v>0</v>
      </c>
      <c r="T13" s="9">
        <v>0</v>
      </c>
      <c r="U13">
        <f t="shared" si="1"/>
        <v>257.67214016733806</v>
      </c>
    </row>
    <row r="14" spans="1:26" x14ac:dyDescent="0.25">
      <c r="A14" s="12">
        <v>0.22916666666666666</v>
      </c>
      <c r="B14" s="6">
        <v>93.918775922701315</v>
      </c>
      <c r="C14" s="6">
        <v>34.331710072051202</v>
      </c>
      <c r="D14" s="6">
        <v>0</v>
      </c>
      <c r="E14" s="6">
        <v>0</v>
      </c>
      <c r="F14" s="6">
        <v>0.12787920073346451</v>
      </c>
      <c r="G14" s="6">
        <v>0</v>
      </c>
      <c r="H14" s="6">
        <v>0</v>
      </c>
      <c r="I14" s="6">
        <v>0</v>
      </c>
      <c r="J14" s="6">
        <f t="shared" si="0"/>
        <v>128.378365195486</v>
      </c>
      <c r="L14" s="12">
        <v>0.22916666666666666</v>
      </c>
      <c r="M14" s="9">
        <v>228.68367934119718</v>
      </c>
      <c r="N14" s="9">
        <v>95.545086532783074</v>
      </c>
      <c r="O14" s="9">
        <v>0</v>
      </c>
      <c r="P14" s="9">
        <v>0</v>
      </c>
      <c r="Q14" s="9">
        <v>21.994994145418374</v>
      </c>
      <c r="R14" s="9">
        <v>0.10846536376259544</v>
      </c>
      <c r="S14" s="9">
        <v>0</v>
      </c>
      <c r="T14" s="9">
        <v>0</v>
      </c>
      <c r="U14">
        <f t="shared" si="1"/>
        <v>346.33222538316124</v>
      </c>
    </row>
    <row r="15" spans="1:26" x14ac:dyDescent="0.25">
      <c r="A15" s="12">
        <v>0.25</v>
      </c>
      <c r="B15" s="6">
        <v>194.20765414929494</v>
      </c>
      <c r="C15" s="6">
        <v>43.843546385520341</v>
      </c>
      <c r="D15" s="6">
        <v>0</v>
      </c>
      <c r="E15" s="6">
        <v>0</v>
      </c>
      <c r="F15" s="6">
        <v>0.54461868132590863</v>
      </c>
      <c r="G15" s="6">
        <v>0</v>
      </c>
      <c r="H15" s="6">
        <v>0</v>
      </c>
      <c r="I15" s="6">
        <v>0</v>
      </c>
      <c r="J15" s="6">
        <f t="shared" si="0"/>
        <v>238.59581921614119</v>
      </c>
      <c r="L15" s="12">
        <v>0.25</v>
      </c>
      <c r="M15" s="9">
        <v>312.23190921678355</v>
      </c>
      <c r="N15" s="9">
        <v>134.64540881385909</v>
      </c>
      <c r="O15" s="9">
        <v>0</v>
      </c>
      <c r="P15" s="9">
        <v>0</v>
      </c>
      <c r="Q15" s="9">
        <v>32.428779746272433</v>
      </c>
      <c r="R15" s="9">
        <v>0.25667509627093638</v>
      </c>
      <c r="S15" s="9">
        <v>0</v>
      </c>
      <c r="T15" s="9">
        <v>0</v>
      </c>
      <c r="U15">
        <f t="shared" si="1"/>
        <v>479.56277287318602</v>
      </c>
    </row>
    <row r="16" spans="1:26" x14ac:dyDescent="0.25">
      <c r="A16" s="12">
        <v>0.27083333333333331</v>
      </c>
      <c r="B16" s="6">
        <v>365.89864028497135</v>
      </c>
      <c r="C16" s="6">
        <v>52.895110595373865</v>
      </c>
      <c r="D16" s="6">
        <v>0</v>
      </c>
      <c r="E16" s="6">
        <v>0</v>
      </c>
      <c r="F16" s="6">
        <v>1.7538940062501731</v>
      </c>
      <c r="G16" s="6">
        <v>0</v>
      </c>
      <c r="H16" s="6">
        <v>0</v>
      </c>
      <c r="I16" s="6">
        <v>0</v>
      </c>
      <c r="J16" s="6">
        <f t="shared" si="0"/>
        <v>420.54764488659538</v>
      </c>
      <c r="L16" s="12">
        <v>0.27083333333333331</v>
      </c>
      <c r="M16" s="9">
        <v>432.58202350366651</v>
      </c>
      <c r="N16" s="9">
        <v>190.05723026702339</v>
      </c>
      <c r="O16" s="9">
        <v>0</v>
      </c>
      <c r="P16" s="9">
        <v>0</v>
      </c>
      <c r="Q16" s="9">
        <v>49.456300782321662</v>
      </c>
      <c r="R16" s="9">
        <v>0.5610216617905619</v>
      </c>
      <c r="S16" s="9">
        <v>0</v>
      </c>
      <c r="T16" s="9">
        <v>0</v>
      </c>
      <c r="U16">
        <f t="shared" si="1"/>
        <v>672.65657621480216</v>
      </c>
    </row>
    <row r="17" spans="1:21" x14ac:dyDescent="0.25">
      <c r="A17" s="12">
        <v>0.29166666666666669</v>
      </c>
      <c r="B17" s="6">
        <v>634.3213920591752</v>
      </c>
      <c r="C17" s="6">
        <v>59.270073827384316</v>
      </c>
      <c r="D17" s="6">
        <v>0</v>
      </c>
      <c r="E17" s="6">
        <v>0</v>
      </c>
      <c r="F17" s="6">
        <v>4.4706398672166925</v>
      </c>
      <c r="G17" s="6">
        <v>0</v>
      </c>
      <c r="H17" s="6">
        <v>0</v>
      </c>
      <c r="I17" s="6">
        <v>0</v>
      </c>
      <c r="J17" s="6">
        <f t="shared" si="0"/>
        <v>698.06210575377622</v>
      </c>
      <c r="L17" s="12">
        <v>0.29166666666666669</v>
      </c>
      <c r="M17" s="9">
        <v>611.74409190093331</v>
      </c>
      <c r="N17" s="9">
        <v>274.32675191141948</v>
      </c>
      <c r="O17" s="9">
        <v>0</v>
      </c>
      <c r="P17" s="9">
        <v>0</v>
      </c>
      <c r="Q17" s="9">
        <v>75.890330496206673</v>
      </c>
      <c r="R17" s="9">
        <v>1.0475170435842367</v>
      </c>
      <c r="S17" s="9">
        <v>0</v>
      </c>
      <c r="T17" s="9">
        <v>0</v>
      </c>
      <c r="U17">
        <f t="shared" si="1"/>
        <v>963.00869135214373</v>
      </c>
    </row>
    <row r="18" spans="1:21" x14ac:dyDescent="0.25">
      <c r="A18" s="12">
        <v>0.3125</v>
      </c>
      <c r="B18" s="6">
        <v>1023.8408932666766</v>
      </c>
      <c r="C18" s="6">
        <v>62.43593372291965</v>
      </c>
      <c r="D18" s="6">
        <v>0</v>
      </c>
      <c r="E18" s="6">
        <v>0</v>
      </c>
      <c r="F18" s="6">
        <v>9.4726742967474404</v>
      </c>
      <c r="G18" s="6">
        <v>0</v>
      </c>
      <c r="H18" s="6">
        <v>0</v>
      </c>
      <c r="I18" s="6">
        <v>0</v>
      </c>
      <c r="J18" s="6">
        <f t="shared" si="0"/>
        <v>1095.7495012863437</v>
      </c>
      <c r="L18" s="12">
        <v>0.3125</v>
      </c>
      <c r="M18" s="9">
        <v>884.89116764678045</v>
      </c>
      <c r="N18" s="9">
        <v>405.36015460820602</v>
      </c>
      <c r="O18" s="9">
        <v>0</v>
      </c>
      <c r="P18" s="9">
        <v>0</v>
      </c>
      <c r="Q18" s="9">
        <v>116.59404649585582</v>
      </c>
      <c r="R18" s="9">
        <v>1.715935060230267</v>
      </c>
      <c r="S18" s="9">
        <v>0</v>
      </c>
      <c r="T18" s="9">
        <v>0</v>
      </c>
      <c r="U18">
        <f t="shared" si="1"/>
        <v>1408.5613038110725</v>
      </c>
    </row>
    <row r="19" spans="1:21" x14ac:dyDescent="0.25">
      <c r="A19" s="12">
        <v>0.33333333333333331</v>
      </c>
      <c r="B19" s="6">
        <v>1560.8306256608782</v>
      </c>
      <c r="C19" s="6">
        <v>65.376007172216731</v>
      </c>
      <c r="D19" s="6">
        <v>0</v>
      </c>
      <c r="E19" s="6">
        <v>0</v>
      </c>
      <c r="F19" s="6">
        <v>17.993943894196047</v>
      </c>
      <c r="G19" s="6">
        <v>0</v>
      </c>
      <c r="H19" s="6">
        <v>0</v>
      </c>
      <c r="I19" s="6">
        <v>0</v>
      </c>
      <c r="J19" s="6">
        <f t="shared" si="0"/>
        <v>1644.200576727291</v>
      </c>
      <c r="L19" s="12">
        <v>0.33333333333333331</v>
      </c>
      <c r="M19" s="9">
        <v>1294.3528644319667</v>
      </c>
      <c r="N19" s="9">
        <v>603.17289517595646</v>
      </c>
      <c r="O19" s="9">
        <v>0</v>
      </c>
      <c r="P19" s="9">
        <v>0</v>
      </c>
      <c r="Q19" s="9">
        <v>178.31522898391313</v>
      </c>
      <c r="R19" s="9">
        <v>2.5737291134195814</v>
      </c>
      <c r="S19" s="9">
        <v>0</v>
      </c>
      <c r="T19" s="9">
        <v>0</v>
      </c>
      <c r="U19">
        <f t="shared" si="1"/>
        <v>2078.414717705256</v>
      </c>
    </row>
    <row r="20" spans="1:21" x14ac:dyDescent="0.25">
      <c r="A20" s="12">
        <v>0.35416666666666669</v>
      </c>
      <c r="B20" s="6">
        <v>2283.0608505330256</v>
      </c>
      <c r="C20" s="6">
        <v>73.787954522357253</v>
      </c>
      <c r="D20" s="6">
        <v>0</v>
      </c>
      <c r="E20" s="6">
        <v>0</v>
      </c>
      <c r="F20" s="6">
        <v>34.09728192969601</v>
      </c>
      <c r="G20" s="6">
        <v>0</v>
      </c>
      <c r="H20" s="6">
        <v>0</v>
      </c>
      <c r="I20" s="6">
        <v>0</v>
      </c>
      <c r="J20" s="6">
        <f t="shared" si="0"/>
        <v>2390.9460869850791</v>
      </c>
      <c r="L20" s="12">
        <v>0.35416666666666669</v>
      </c>
      <c r="M20" s="9">
        <v>1882.8478091774414</v>
      </c>
      <c r="N20" s="9">
        <v>885.85098464795306</v>
      </c>
      <c r="O20" s="9">
        <v>0</v>
      </c>
      <c r="P20" s="9">
        <v>0</v>
      </c>
      <c r="Q20" s="9">
        <v>268.6148233243112</v>
      </c>
      <c r="R20" s="9">
        <v>3.698326452553939</v>
      </c>
      <c r="S20" s="9">
        <v>0</v>
      </c>
      <c r="T20" s="9">
        <v>0</v>
      </c>
      <c r="U20">
        <f t="shared" si="1"/>
        <v>3041.0119436022592</v>
      </c>
    </row>
    <row r="21" spans="1:21" x14ac:dyDescent="0.25">
      <c r="A21" s="12">
        <v>0.375</v>
      </c>
      <c r="B21" s="6">
        <v>3255.3606219695052</v>
      </c>
      <c r="C21" s="6">
        <v>93.57195588099853</v>
      </c>
      <c r="D21" s="6">
        <v>0</v>
      </c>
      <c r="E21" s="6">
        <v>0</v>
      </c>
      <c r="F21" s="6">
        <v>69.079557707770661</v>
      </c>
      <c r="G21" s="6">
        <v>0</v>
      </c>
      <c r="H21" s="6">
        <v>0</v>
      </c>
      <c r="I21" s="6">
        <v>0</v>
      </c>
      <c r="J21" s="6">
        <f t="shared" si="0"/>
        <v>3418.0121355582742</v>
      </c>
      <c r="L21" s="12">
        <v>0.375</v>
      </c>
      <c r="M21" s="9">
        <v>2682.6142275405718</v>
      </c>
      <c r="N21" s="9">
        <v>1263.0681545564964</v>
      </c>
      <c r="O21" s="9">
        <v>0</v>
      </c>
      <c r="P21" s="9">
        <v>0</v>
      </c>
      <c r="Q21" s="9">
        <v>393.27874002217158</v>
      </c>
      <c r="R21" s="9">
        <v>5.2557116941872088</v>
      </c>
      <c r="S21" s="9">
        <v>0</v>
      </c>
      <c r="T21" s="9">
        <v>0</v>
      </c>
      <c r="U21">
        <f t="shared" si="1"/>
        <v>4344.216833813427</v>
      </c>
    </row>
    <row r="22" spans="1:21" x14ac:dyDescent="0.25">
      <c r="A22" s="12">
        <v>0.39583333333333331</v>
      </c>
      <c r="B22" s="6">
        <v>4587.6777955640782</v>
      </c>
      <c r="C22" s="6">
        <v>129.33450889674873</v>
      </c>
      <c r="D22" s="6">
        <v>0</v>
      </c>
      <c r="E22" s="6">
        <v>0</v>
      </c>
      <c r="F22" s="6">
        <v>143.2993059324516</v>
      </c>
      <c r="G22" s="6">
        <v>0</v>
      </c>
      <c r="H22" s="6">
        <v>0</v>
      </c>
      <c r="I22" s="6">
        <v>0</v>
      </c>
      <c r="J22" s="6">
        <f t="shared" si="0"/>
        <v>4860.3116103932789</v>
      </c>
      <c r="L22" s="12">
        <v>0.39583333333333331</v>
      </c>
      <c r="M22" s="9">
        <v>3695.982887555238</v>
      </c>
      <c r="N22" s="9">
        <v>1726.8494689009785</v>
      </c>
      <c r="O22" s="9">
        <v>0</v>
      </c>
      <c r="P22" s="9">
        <v>0</v>
      </c>
      <c r="Q22" s="9">
        <v>552.57620712773178</v>
      </c>
      <c r="R22" s="9">
        <v>7.4353614618448027</v>
      </c>
      <c r="S22" s="9">
        <v>0</v>
      </c>
      <c r="T22" s="9">
        <v>0</v>
      </c>
      <c r="U22">
        <f t="shared" si="1"/>
        <v>5982.8439250457923</v>
      </c>
    </row>
    <row r="23" spans="1:21" x14ac:dyDescent="0.25">
      <c r="A23" s="12">
        <v>0.41666666666666669</v>
      </c>
      <c r="B23" s="6">
        <v>6431.240471317411</v>
      </c>
      <c r="C23" s="6">
        <v>184.78284392405959</v>
      </c>
      <c r="D23" s="6">
        <v>0</v>
      </c>
      <c r="E23" s="6">
        <v>0</v>
      </c>
      <c r="F23" s="6">
        <v>277.21362685829808</v>
      </c>
      <c r="G23" s="6">
        <v>0</v>
      </c>
      <c r="H23" s="6">
        <v>0</v>
      </c>
      <c r="I23" s="6">
        <v>0</v>
      </c>
      <c r="J23" s="6">
        <f t="shared" si="0"/>
        <v>6893.2369420997684</v>
      </c>
      <c r="L23" s="12">
        <v>0.41666666666666669</v>
      </c>
      <c r="M23" s="9">
        <v>4874.52886420086</v>
      </c>
      <c r="N23" s="9">
        <v>2245.3300853529963</v>
      </c>
      <c r="O23" s="9">
        <v>0</v>
      </c>
      <c r="P23" s="9">
        <v>0</v>
      </c>
      <c r="Q23" s="9">
        <v>738.66928018704755</v>
      </c>
      <c r="R23" s="9">
        <v>10.348145878507536</v>
      </c>
      <c r="S23" s="9">
        <v>0</v>
      </c>
      <c r="T23" s="9">
        <v>0</v>
      </c>
      <c r="U23">
        <f t="shared" si="1"/>
        <v>7868.8763756194112</v>
      </c>
    </row>
    <row r="24" spans="1:21" x14ac:dyDescent="0.25">
      <c r="A24" s="12">
        <v>0.4375</v>
      </c>
      <c r="B24" s="6">
        <v>8903.5549285395555</v>
      </c>
      <c r="C24" s="6">
        <v>262.69843977715044</v>
      </c>
      <c r="D24" s="6">
        <v>0</v>
      </c>
      <c r="E24" s="6">
        <v>0</v>
      </c>
      <c r="F24" s="6">
        <v>469.84733912409536</v>
      </c>
      <c r="G24" s="6">
        <v>0</v>
      </c>
      <c r="H24" s="6">
        <v>0</v>
      </c>
      <c r="I24" s="6">
        <v>0</v>
      </c>
      <c r="J24" s="6">
        <f t="shared" si="0"/>
        <v>9636.1007074408008</v>
      </c>
      <c r="L24" s="12">
        <v>0.4375</v>
      </c>
      <c r="M24" s="9">
        <v>6112.0837422879358</v>
      </c>
      <c r="N24" s="9">
        <v>2766.7154159554061</v>
      </c>
      <c r="O24" s="9">
        <v>0</v>
      </c>
      <c r="P24" s="9">
        <v>0</v>
      </c>
      <c r="Q24" s="9">
        <v>936.43339938535405</v>
      </c>
      <c r="R24" s="9">
        <v>13.953812429379985</v>
      </c>
      <c r="S24" s="9">
        <v>0</v>
      </c>
      <c r="T24" s="9">
        <v>0</v>
      </c>
      <c r="U24">
        <f t="shared" si="1"/>
        <v>9829.1863700580761</v>
      </c>
    </row>
    <row r="25" spans="1:21" x14ac:dyDescent="0.25">
      <c r="A25" s="12">
        <v>0.45833333333333331</v>
      </c>
      <c r="B25" s="6">
        <v>11923.557608114023</v>
      </c>
      <c r="C25" s="6">
        <v>361.9192139481155</v>
      </c>
      <c r="D25" s="6">
        <v>0</v>
      </c>
      <c r="E25" s="6">
        <v>0</v>
      </c>
      <c r="F25" s="6">
        <v>679.93959260812574</v>
      </c>
      <c r="G25" s="6">
        <v>0</v>
      </c>
      <c r="H25" s="6">
        <v>0</v>
      </c>
      <c r="I25" s="6">
        <v>0</v>
      </c>
      <c r="J25" s="6">
        <f t="shared" si="0"/>
        <v>12965.416414670262</v>
      </c>
      <c r="L25" s="12">
        <v>0.45833333333333331</v>
      </c>
      <c r="M25" s="9">
        <v>7258.2815880891594</v>
      </c>
      <c r="N25" s="9">
        <v>3232.4779254654668</v>
      </c>
      <c r="O25" s="9">
        <v>0</v>
      </c>
      <c r="P25" s="9">
        <v>0</v>
      </c>
      <c r="Q25" s="9">
        <v>1126.9720695826081</v>
      </c>
      <c r="R25" s="9">
        <v>18.015446376441012</v>
      </c>
      <c r="S25" s="9">
        <v>0</v>
      </c>
      <c r="T25" s="9">
        <v>0</v>
      </c>
      <c r="U25">
        <f t="shared" si="1"/>
        <v>11635.747029513674</v>
      </c>
    </row>
    <row r="26" spans="1:21" x14ac:dyDescent="0.25">
      <c r="A26" s="12">
        <v>0.47916666666666669</v>
      </c>
      <c r="B26" s="6">
        <v>15052.382330493832</v>
      </c>
      <c r="C26" s="6">
        <v>472.49583456976518</v>
      </c>
      <c r="D26" s="6">
        <v>0</v>
      </c>
      <c r="E26" s="6">
        <v>0</v>
      </c>
      <c r="F26" s="6">
        <v>834.1137267493317</v>
      </c>
      <c r="G26" s="6">
        <v>0</v>
      </c>
      <c r="H26" s="6">
        <v>0</v>
      </c>
      <c r="I26" s="6">
        <v>0</v>
      </c>
      <c r="J26" s="6">
        <f t="shared" si="0"/>
        <v>16358.99189181293</v>
      </c>
      <c r="L26" s="12">
        <v>0.47916666666666669</v>
      </c>
      <c r="M26" s="9">
        <v>8146.758817640477</v>
      </c>
      <c r="N26" s="9">
        <v>3590.8669160469562</v>
      </c>
      <c r="O26" s="9">
        <v>0</v>
      </c>
      <c r="P26" s="9">
        <v>0</v>
      </c>
      <c r="Q26" s="9">
        <v>1291.0923986971752</v>
      </c>
      <c r="R26" s="9">
        <v>22.06155890789665</v>
      </c>
      <c r="S26" s="9">
        <v>0</v>
      </c>
      <c r="T26" s="9">
        <v>0</v>
      </c>
      <c r="U26">
        <f t="shared" si="1"/>
        <v>13050.779691292506</v>
      </c>
    </row>
    <row r="27" spans="1:21" x14ac:dyDescent="0.25">
      <c r="A27" s="12">
        <v>0.5</v>
      </c>
      <c r="B27" s="6">
        <v>17525.115450322752</v>
      </c>
      <c r="C27" s="6">
        <v>573.96298021184202</v>
      </c>
      <c r="D27" s="6">
        <v>0</v>
      </c>
      <c r="E27" s="6">
        <v>0</v>
      </c>
      <c r="F27" s="6">
        <v>867.49454532117954</v>
      </c>
      <c r="G27" s="6">
        <v>0</v>
      </c>
      <c r="H27" s="6">
        <v>0</v>
      </c>
      <c r="I27" s="6">
        <v>0</v>
      </c>
      <c r="J27" s="6">
        <f t="shared" si="0"/>
        <v>18966.572975855775</v>
      </c>
      <c r="L27" s="12">
        <v>0.5</v>
      </c>
      <c r="M27" s="9">
        <v>8631.8596725482566</v>
      </c>
      <c r="N27" s="9">
        <v>3804.6806147592397</v>
      </c>
      <c r="O27" s="9">
        <v>0</v>
      </c>
      <c r="P27" s="9">
        <v>0</v>
      </c>
      <c r="Q27" s="9">
        <v>1411.864734085309</v>
      </c>
      <c r="R27" s="9">
        <v>25.436410653894892</v>
      </c>
      <c r="S27" s="9">
        <v>0</v>
      </c>
      <c r="T27" s="9">
        <v>0</v>
      </c>
      <c r="U27">
        <f t="shared" si="1"/>
        <v>13873.8414320467</v>
      </c>
    </row>
    <row r="28" spans="1:21" x14ac:dyDescent="0.25">
      <c r="A28" s="12">
        <v>0.52083333333333337</v>
      </c>
      <c r="B28" s="6">
        <v>18562.201219793344</v>
      </c>
      <c r="C28" s="6">
        <v>640.63185105216473</v>
      </c>
      <c r="D28" s="6">
        <v>0</v>
      </c>
      <c r="E28" s="6">
        <v>0</v>
      </c>
      <c r="F28" s="6">
        <v>767.46189709804128</v>
      </c>
      <c r="G28" s="6">
        <v>0</v>
      </c>
      <c r="H28" s="6">
        <v>0</v>
      </c>
      <c r="I28" s="6">
        <v>0</v>
      </c>
      <c r="J28" s="6">
        <f t="shared" si="0"/>
        <v>19970.294967943548</v>
      </c>
      <c r="L28" s="12">
        <v>0.52083333333333337</v>
      </c>
      <c r="M28" s="9">
        <v>8629.5250192384519</v>
      </c>
      <c r="N28" s="9">
        <v>3855.2023570574693</v>
      </c>
      <c r="O28" s="9">
        <v>0</v>
      </c>
      <c r="P28" s="9">
        <v>0</v>
      </c>
      <c r="Q28" s="9">
        <v>1477.5024736931309</v>
      </c>
      <c r="R28" s="9">
        <v>27.544714633989173</v>
      </c>
      <c r="S28" s="9">
        <v>0</v>
      </c>
      <c r="T28" s="9">
        <v>0</v>
      </c>
      <c r="U28">
        <f t="shared" si="1"/>
        <v>13989.774564623041</v>
      </c>
    </row>
    <row r="29" spans="1:21" x14ac:dyDescent="0.25">
      <c r="A29" s="12">
        <v>0.54166666666666663</v>
      </c>
      <c r="B29" s="6">
        <v>17792.852756793349</v>
      </c>
      <c r="C29" s="6">
        <v>652.40975396737281</v>
      </c>
      <c r="D29" s="6">
        <v>0</v>
      </c>
      <c r="E29" s="6">
        <v>0</v>
      </c>
      <c r="F29" s="6">
        <v>581.62761636146229</v>
      </c>
      <c r="G29" s="6">
        <v>0</v>
      </c>
      <c r="H29" s="6">
        <v>0</v>
      </c>
      <c r="I29" s="6">
        <v>0</v>
      </c>
      <c r="J29" s="6">
        <f t="shared" si="0"/>
        <v>19026.890127122184</v>
      </c>
      <c r="L29" s="12">
        <v>0.54166666666666663</v>
      </c>
      <c r="M29" s="9">
        <v>8147.3436551224422</v>
      </c>
      <c r="N29" s="9">
        <v>3744.9312044360113</v>
      </c>
      <c r="O29" s="9">
        <v>0</v>
      </c>
      <c r="P29" s="9">
        <v>0</v>
      </c>
      <c r="Q29" s="9">
        <v>1484.102955679632</v>
      </c>
      <c r="R29" s="9">
        <v>28.184331572866547</v>
      </c>
      <c r="S29" s="9">
        <v>0</v>
      </c>
      <c r="T29" s="9">
        <v>0</v>
      </c>
      <c r="U29">
        <f t="shared" si="1"/>
        <v>13404.562146810951</v>
      </c>
    </row>
    <row r="30" spans="1:21" x14ac:dyDescent="0.25">
      <c r="A30" s="12">
        <v>0.5625</v>
      </c>
      <c r="B30" s="6">
        <v>15473.171208689204</v>
      </c>
      <c r="C30" s="6">
        <v>605.21101260968078</v>
      </c>
      <c r="D30" s="6">
        <v>0</v>
      </c>
      <c r="E30" s="6">
        <v>0</v>
      </c>
      <c r="F30" s="6">
        <v>383.62715508325994</v>
      </c>
      <c r="G30" s="6">
        <v>0</v>
      </c>
      <c r="H30" s="6">
        <v>0</v>
      </c>
      <c r="I30" s="6">
        <v>0</v>
      </c>
      <c r="J30" s="6">
        <f t="shared" si="0"/>
        <v>16462.009376382146</v>
      </c>
      <c r="L30" s="12">
        <v>0.5625</v>
      </c>
      <c r="M30" s="9">
        <v>7281.9395792683654</v>
      </c>
      <c r="N30" s="9">
        <v>3496.7989901154479</v>
      </c>
      <c r="O30" s="9">
        <v>0</v>
      </c>
      <c r="P30" s="9">
        <v>0</v>
      </c>
      <c r="Q30" s="9">
        <v>1435.7281476153187</v>
      </c>
      <c r="R30" s="9">
        <v>27.642339145487981</v>
      </c>
      <c r="S30" s="9">
        <v>0</v>
      </c>
      <c r="T30" s="9">
        <v>0</v>
      </c>
      <c r="U30">
        <f t="shared" si="1"/>
        <v>12242.10905614462</v>
      </c>
    </row>
    <row r="31" spans="1:21" x14ac:dyDescent="0.25">
      <c r="A31" s="12">
        <v>0.58333333333333337</v>
      </c>
      <c r="B31" s="6">
        <v>12332.745602782623</v>
      </c>
      <c r="C31" s="6">
        <v>514.71539534306464</v>
      </c>
      <c r="D31" s="6">
        <v>0</v>
      </c>
      <c r="E31" s="6">
        <v>0</v>
      </c>
      <c r="F31" s="6">
        <v>229.04427502169221</v>
      </c>
      <c r="G31" s="6">
        <v>0</v>
      </c>
      <c r="H31" s="6">
        <v>0</v>
      </c>
      <c r="I31" s="6">
        <v>0</v>
      </c>
      <c r="J31" s="6">
        <f t="shared" si="0"/>
        <v>13076.505273147379</v>
      </c>
      <c r="L31" s="12">
        <v>0.58333333333333337</v>
      </c>
      <c r="M31" s="9">
        <v>6181.690530238373</v>
      </c>
      <c r="N31" s="9">
        <v>3147.8710493060739</v>
      </c>
      <c r="O31" s="9">
        <v>0</v>
      </c>
      <c r="P31" s="9">
        <v>0</v>
      </c>
      <c r="Q31" s="9">
        <v>1341.7985851653505</v>
      </c>
      <c r="R31" s="9">
        <v>26.393199033037924</v>
      </c>
      <c r="S31" s="9">
        <v>0</v>
      </c>
      <c r="T31" s="9">
        <v>0</v>
      </c>
      <c r="U31">
        <f t="shared" si="1"/>
        <v>10697.753363742835</v>
      </c>
    </row>
    <row r="32" spans="1:21" x14ac:dyDescent="0.25">
      <c r="A32" s="12">
        <v>0.60416666666666663</v>
      </c>
      <c r="B32" s="6">
        <v>9186.2750150970332</v>
      </c>
      <c r="C32" s="6">
        <v>409.9810438786933</v>
      </c>
      <c r="D32" s="6">
        <v>0</v>
      </c>
      <c r="E32" s="6">
        <v>0</v>
      </c>
      <c r="F32" s="6">
        <v>135.543793349917</v>
      </c>
      <c r="G32" s="6">
        <v>0</v>
      </c>
      <c r="H32" s="6">
        <v>0</v>
      </c>
      <c r="I32" s="6">
        <v>0</v>
      </c>
      <c r="J32" s="6">
        <f t="shared" si="0"/>
        <v>9731.7998523256429</v>
      </c>
      <c r="L32" s="12">
        <v>0.60416666666666663</v>
      </c>
      <c r="M32" s="9">
        <v>5000.9799870138195</v>
      </c>
      <c r="N32" s="9">
        <v>2741.1175105412517</v>
      </c>
      <c r="O32" s="9">
        <v>0</v>
      </c>
      <c r="P32" s="9">
        <v>0</v>
      </c>
      <c r="Q32" s="9">
        <v>1215.168916782927</v>
      </c>
      <c r="R32" s="9">
        <v>24.694770327179782</v>
      </c>
      <c r="S32" s="9">
        <v>0</v>
      </c>
      <c r="T32" s="9">
        <v>0</v>
      </c>
      <c r="U32">
        <f t="shared" si="1"/>
        <v>8981.9611846651769</v>
      </c>
    </row>
    <row r="33" spans="1:21" x14ac:dyDescent="0.25">
      <c r="A33" s="12">
        <v>0.625</v>
      </c>
      <c r="B33" s="6">
        <v>6591.2943751308721</v>
      </c>
      <c r="C33" s="6">
        <v>318.72302208628651</v>
      </c>
      <c r="D33" s="6">
        <v>0</v>
      </c>
      <c r="E33" s="6">
        <v>0</v>
      </c>
      <c r="F33" s="6">
        <v>91.435074638678927</v>
      </c>
      <c r="G33" s="6">
        <v>0</v>
      </c>
      <c r="H33" s="6">
        <v>0</v>
      </c>
      <c r="I33" s="6">
        <v>0</v>
      </c>
      <c r="J33" s="6">
        <f t="shared" si="0"/>
        <v>7001.4524718558378</v>
      </c>
      <c r="L33" s="12">
        <v>0.625</v>
      </c>
      <c r="M33" s="9">
        <v>3871.3802651987471</v>
      </c>
      <c r="N33" s="9">
        <v>2319.7025165771884</v>
      </c>
      <c r="O33" s="9">
        <v>0</v>
      </c>
      <c r="P33" s="9">
        <v>0</v>
      </c>
      <c r="Q33" s="9">
        <v>1072.1755362619742</v>
      </c>
      <c r="R33" s="9">
        <v>22.546858501071519</v>
      </c>
      <c r="S33" s="9">
        <v>0</v>
      </c>
      <c r="T33" s="9">
        <v>0</v>
      </c>
      <c r="U33">
        <f t="shared" si="1"/>
        <v>7285.805176538981</v>
      </c>
    </row>
    <row r="34" spans="1:21" x14ac:dyDescent="0.25">
      <c r="A34" s="12">
        <v>0.64583333333333337</v>
      </c>
      <c r="B34" s="6">
        <v>4726.5888723910175</v>
      </c>
      <c r="C34" s="6">
        <v>253.10969393956827</v>
      </c>
      <c r="D34" s="6">
        <v>0</v>
      </c>
      <c r="E34" s="6">
        <v>0</v>
      </c>
      <c r="F34" s="6">
        <v>74.469177147080416</v>
      </c>
      <c r="G34" s="6">
        <v>0</v>
      </c>
      <c r="H34" s="6">
        <v>0</v>
      </c>
      <c r="I34" s="6">
        <v>0</v>
      </c>
      <c r="J34" s="6">
        <f t="shared" si="0"/>
        <v>5054.1677434776666</v>
      </c>
      <c r="L34" s="12">
        <v>0.64583333333333337</v>
      </c>
      <c r="M34" s="9">
        <v>2889.5417828652562</v>
      </c>
      <c r="N34" s="9">
        <v>1923.0312189026874</v>
      </c>
      <c r="O34" s="9">
        <v>0</v>
      </c>
      <c r="P34" s="9">
        <v>0</v>
      </c>
      <c r="Q34" s="9">
        <v>931.49091492810658</v>
      </c>
      <c r="R34" s="9">
        <v>20.062152037776947</v>
      </c>
      <c r="S34" s="9">
        <v>0</v>
      </c>
      <c r="T34" s="9">
        <v>0</v>
      </c>
      <c r="U34">
        <f t="shared" si="1"/>
        <v>5764.1260687338272</v>
      </c>
    </row>
    <row r="35" spans="1:21" x14ac:dyDescent="0.25">
      <c r="A35" s="12">
        <v>0.66666666666666663</v>
      </c>
      <c r="B35" s="6">
        <v>3477.9691577244048</v>
      </c>
      <c r="C35" s="6">
        <v>207.00634815016099</v>
      </c>
      <c r="D35" s="6">
        <v>0</v>
      </c>
      <c r="E35" s="6">
        <v>0</v>
      </c>
      <c r="F35" s="6">
        <v>65.536641085494693</v>
      </c>
      <c r="G35" s="6">
        <v>0</v>
      </c>
      <c r="H35" s="6">
        <v>0</v>
      </c>
      <c r="I35" s="6">
        <v>0</v>
      </c>
      <c r="J35" s="6">
        <f t="shared" si="0"/>
        <v>3750.5121469600608</v>
      </c>
      <c r="L35" s="12">
        <v>0.66666666666666663</v>
      </c>
      <c r="M35" s="9">
        <v>2109.4720791579721</v>
      </c>
      <c r="N35" s="9">
        <v>1581.4890221618064</v>
      </c>
      <c r="O35" s="9">
        <v>0</v>
      </c>
      <c r="P35" s="9">
        <v>0</v>
      </c>
      <c r="Q35" s="9">
        <v>809.45873220919702</v>
      </c>
      <c r="R35" s="9">
        <v>17.775795751774929</v>
      </c>
      <c r="S35" s="9">
        <v>0</v>
      </c>
      <c r="T35" s="9">
        <v>0</v>
      </c>
      <c r="U35">
        <f t="shared" si="1"/>
        <v>4518.1956292807499</v>
      </c>
    </row>
    <row r="36" spans="1:21" x14ac:dyDescent="0.25">
      <c r="A36" s="12">
        <v>0.6875</v>
      </c>
      <c r="B36" s="6">
        <v>2615.7086955115828</v>
      </c>
      <c r="C36" s="6">
        <v>166.63027721844333</v>
      </c>
      <c r="D36" s="6">
        <v>0</v>
      </c>
      <c r="E36" s="6">
        <v>0</v>
      </c>
      <c r="F36" s="6">
        <v>54.311250709907398</v>
      </c>
      <c r="G36" s="6">
        <v>0</v>
      </c>
      <c r="H36" s="6">
        <v>0</v>
      </c>
      <c r="I36" s="6">
        <v>0</v>
      </c>
      <c r="J36" s="6">
        <f t="shared" si="0"/>
        <v>2836.6502234399336</v>
      </c>
      <c r="L36" s="12">
        <v>0.6875</v>
      </c>
      <c r="M36" s="9">
        <v>1538.5367245854541</v>
      </c>
      <c r="N36" s="9">
        <v>1310.3945804350019</v>
      </c>
      <c r="O36" s="9">
        <v>0</v>
      </c>
      <c r="P36" s="9">
        <v>0</v>
      </c>
      <c r="Q36" s="9">
        <v>714.43155308218752</v>
      </c>
      <c r="R36" s="9">
        <v>16.453660312905789</v>
      </c>
      <c r="S36" s="9">
        <v>0</v>
      </c>
      <c r="T36" s="9">
        <v>0</v>
      </c>
      <c r="U36">
        <f t="shared" si="1"/>
        <v>3579.8165184155491</v>
      </c>
    </row>
    <row r="37" spans="1:21" x14ac:dyDescent="0.25">
      <c r="A37" s="12">
        <v>0.70833333333333337</v>
      </c>
      <c r="B37" s="6">
        <v>1947.7985482891597</v>
      </c>
      <c r="C37" s="6">
        <v>124.06421985417266</v>
      </c>
      <c r="D37" s="6">
        <v>0</v>
      </c>
      <c r="E37" s="6">
        <v>0</v>
      </c>
      <c r="F37" s="6">
        <v>39.213450740938569</v>
      </c>
      <c r="G37" s="6">
        <v>0</v>
      </c>
      <c r="H37" s="6">
        <v>0</v>
      </c>
      <c r="I37" s="6">
        <v>0</v>
      </c>
      <c r="J37" s="6">
        <f t="shared" si="0"/>
        <v>2111.0762188842709</v>
      </c>
      <c r="L37" s="12">
        <v>0.70833333333333337</v>
      </c>
      <c r="M37" s="9">
        <v>1145.1560351791297</v>
      </c>
      <c r="N37" s="9">
        <v>1106.862678315016</v>
      </c>
      <c r="O37" s="9">
        <v>0</v>
      </c>
      <c r="P37" s="9">
        <v>0</v>
      </c>
      <c r="Q37" s="9">
        <v>644.13500199728128</v>
      </c>
      <c r="R37" s="9">
        <v>16.530377750079229</v>
      </c>
      <c r="S37" s="9">
        <v>0</v>
      </c>
      <c r="T37" s="9">
        <v>0</v>
      </c>
      <c r="U37">
        <f t="shared" si="1"/>
        <v>2912.6840932415062</v>
      </c>
    </row>
    <row r="38" spans="1:21" x14ac:dyDescent="0.25">
      <c r="A38" s="12">
        <v>0.72916666666666663</v>
      </c>
      <c r="B38" s="6">
        <v>1384.6571089726867</v>
      </c>
      <c r="C38" s="6">
        <v>81.726059160890571</v>
      </c>
      <c r="D38" s="6">
        <v>0</v>
      </c>
      <c r="E38" s="6">
        <v>0</v>
      </c>
      <c r="F38" s="6">
        <v>23.760035557874197</v>
      </c>
      <c r="G38" s="6">
        <v>0</v>
      </c>
      <c r="H38" s="6">
        <v>0</v>
      </c>
      <c r="I38" s="6">
        <v>0</v>
      </c>
      <c r="J38" s="6">
        <f t="shared" si="0"/>
        <v>1490.1432036914516</v>
      </c>
      <c r="L38" s="12">
        <v>0.72916666666666663</v>
      </c>
      <c r="M38" s="9">
        <v>878.01873835078982</v>
      </c>
      <c r="N38" s="9">
        <v>952.55562256804842</v>
      </c>
      <c r="O38" s="9">
        <v>0</v>
      </c>
      <c r="P38" s="9">
        <v>0</v>
      </c>
      <c r="Q38" s="9">
        <v>587.58968175597545</v>
      </c>
      <c r="R38" s="9">
        <v>17.737736258086461</v>
      </c>
      <c r="S38" s="9">
        <v>0</v>
      </c>
      <c r="T38" s="9">
        <v>0</v>
      </c>
      <c r="U38">
        <f t="shared" si="1"/>
        <v>2435.9017789329</v>
      </c>
    </row>
    <row r="39" spans="1:21" x14ac:dyDescent="0.25">
      <c r="A39" s="12">
        <v>0.75</v>
      </c>
      <c r="B39" s="6">
        <v>918.01509387336</v>
      </c>
      <c r="C39" s="6">
        <v>46.891448705480926</v>
      </c>
      <c r="D39" s="6">
        <v>0</v>
      </c>
      <c r="E39" s="6">
        <v>0</v>
      </c>
      <c r="F39" s="6">
        <v>11.808236057150502</v>
      </c>
      <c r="G39" s="6">
        <v>0</v>
      </c>
      <c r="H39" s="6">
        <v>0</v>
      </c>
      <c r="I39" s="6">
        <v>0</v>
      </c>
      <c r="J39" s="6">
        <f t="shared" si="0"/>
        <v>976.71477863599137</v>
      </c>
      <c r="L39" s="12">
        <v>0.75</v>
      </c>
      <c r="M39" s="9">
        <v>687.20780620397704</v>
      </c>
      <c r="N39" s="9">
        <v>822.95548899416485</v>
      </c>
      <c r="O39" s="9">
        <v>0</v>
      </c>
      <c r="P39" s="9">
        <v>0</v>
      </c>
      <c r="Q39" s="9">
        <v>531.29607655247128</v>
      </c>
      <c r="R39" s="9">
        <v>19.295089204282696</v>
      </c>
      <c r="S39" s="9">
        <v>0</v>
      </c>
      <c r="T39" s="9">
        <v>0</v>
      </c>
      <c r="U39">
        <f t="shared" si="1"/>
        <v>2060.7544609548959</v>
      </c>
    </row>
    <row r="40" spans="1:21" x14ac:dyDescent="0.25">
      <c r="A40" s="12">
        <v>0.77083333333333337</v>
      </c>
      <c r="B40" s="6">
        <v>565.6730255437559</v>
      </c>
      <c r="C40" s="6">
        <v>24.541386359709946</v>
      </c>
      <c r="D40" s="6">
        <v>0</v>
      </c>
      <c r="E40" s="6">
        <v>0</v>
      </c>
      <c r="F40" s="6">
        <v>4.7131730795949522</v>
      </c>
      <c r="G40" s="6">
        <v>0</v>
      </c>
      <c r="H40" s="6">
        <v>0</v>
      </c>
      <c r="I40" s="6">
        <v>0</v>
      </c>
      <c r="J40" s="6">
        <f t="shared" si="0"/>
        <v>594.9275849830608</v>
      </c>
      <c r="L40" s="12">
        <v>0.77083333333333337</v>
      </c>
      <c r="M40" s="9">
        <v>538.83229425437457</v>
      </c>
      <c r="N40" s="9">
        <v>700.47042445765692</v>
      </c>
      <c r="O40" s="9">
        <v>0</v>
      </c>
      <c r="P40" s="9">
        <v>0</v>
      </c>
      <c r="Q40" s="9">
        <v>468.05906330767732</v>
      </c>
      <c r="R40" s="9">
        <v>20.482301511438386</v>
      </c>
      <c r="S40" s="9">
        <v>0</v>
      </c>
      <c r="T40" s="9">
        <v>0</v>
      </c>
      <c r="U40">
        <f t="shared" si="1"/>
        <v>1727.8440835311471</v>
      </c>
    </row>
    <row r="41" spans="1:21" x14ac:dyDescent="0.25">
      <c r="A41" s="12">
        <v>0.79166666666666663</v>
      </c>
      <c r="B41" s="6">
        <v>333.9943702985268</v>
      </c>
      <c r="C41" s="6">
        <v>14.895975554765039</v>
      </c>
      <c r="D41" s="6">
        <v>0</v>
      </c>
      <c r="E41" s="6">
        <v>0</v>
      </c>
      <c r="F41" s="6">
        <v>1.4719491980536183</v>
      </c>
      <c r="G41" s="6">
        <v>0</v>
      </c>
      <c r="H41" s="6">
        <v>0</v>
      </c>
      <c r="I41" s="6">
        <v>0</v>
      </c>
      <c r="J41" s="6">
        <f t="shared" si="0"/>
        <v>350.36229505134543</v>
      </c>
      <c r="L41" s="12">
        <v>0.79166666666666663</v>
      </c>
      <c r="M41" s="9">
        <v>419.85797353438869</v>
      </c>
      <c r="N41" s="9">
        <v>584.16115402694652</v>
      </c>
      <c r="O41" s="9">
        <v>0</v>
      </c>
      <c r="P41" s="9">
        <v>0</v>
      </c>
      <c r="Q41" s="9">
        <v>403.3726498386136</v>
      </c>
      <c r="R41" s="9">
        <v>21.091492816586353</v>
      </c>
      <c r="S41" s="9">
        <v>0</v>
      </c>
      <c r="T41" s="9">
        <v>0</v>
      </c>
      <c r="U41">
        <f t="shared" si="1"/>
        <v>1428.4832702165352</v>
      </c>
    </row>
    <row r="42" spans="1:21" x14ac:dyDescent="0.25">
      <c r="A42" s="12">
        <v>0.8125</v>
      </c>
      <c r="B42" s="6">
        <v>211.51601761737214</v>
      </c>
      <c r="C42" s="6">
        <v>14.912207667613963</v>
      </c>
      <c r="D42" s="6">
        <v>0</v>
      </c>
      <c r="E42" s="6">
        <v>0</v>
      </c>
      <c r="F42" s="6">
        <v>0.34630102942995067</v>
      </c>
      <c r="G42" s="6">
        <v>0</v>
      </c>
      <c r="H42" s="6">
        <v>0</v>
      </c>
      <c r="I42" s="6">
        <v>0</v>
      </c>
      <c r="J42" s="6">
        <f t="shared" si="0"/>
        <v>226.77452631441605</v>
      </c>
      <c r="L42" s="12">
        <v>0.8125</v>
      </c>
      <c r="M42" s="9">
        <v>332.51492498656665</v>
      </c>
      <c r="N42" s="9">
        <v>487.89118745422434</v>
      </c>
      <c r="O42" s="9">
        <v>0</v>
      </c>
      <c r="P42" s="9">
        <v>0</v>
      </c>
      <c r="Q42" s="9">
        <v>352.59795682190622</v>
      </c>
      <c r="R42" s="9">
        <v>21.398477651302507</v>
      </c>
      <c r="S42" s="9">
        <v>0</v>
      </c>
      <c r="T42" s="9">
        <v>0</v>
      </c>
      <c r="U42">
        <f t="shared" si="1"/>
        <v>1194.4025469139997</v>
      </c>
    </row>
    <row r="43" spans="1:21" x14ac:dyDescent="0.25">
      <c r="A43" s="12">
        <v>0.83333333333333337</v>
      </c>
      <c r="B43" s="6">
        <v>175.30406584389434</v>
      </c>
      <c r="C43" s="6">
        <v>20.190026886345017</v>
      </c>
      <c r="D43" s="6">
        <v>0</v>
      </c>
      <c r="E43" s="6">
        <v>0</v>
      </c>
      <c r="F43" s="6">
        <v>5.7716838238325102E-2</v>
      </c>
      <c r="G43" s="6">
        <v>0</v>
      </c>
      <c r="H43" s="6">
        <v>0</v>
      </c>
      <c r="I43" s="6">
        <v>0</v>
      </c>
      <c r="J43" s="6">
        <f t="shared" si="0"/>
        <v>195.55180956847767</v>
      </c>
      <c r="L43" s="12">
        <v>0.83333333333333337</v>
      </c>
      <c r="M43" s="9">
        <v>281.25414461292962</v>
      </c>
      <c r="N43" s="9">
        <v>426.25609564332149</v>
      </c>
      <c r="O43" s="9">
        <v>0</v>
      </c>
      <c r="P43" s="9">
        <v>0</v>
      </c>
      <c r="Q43" s="9">
        <v>328.33363487320355</v>
      </c>
      <c r="R43" s="9">
        <v>21.698821516154958</v>
      </c>
      <c r="S43" s="9">
        <v>0</v>
      </c>
      <c r="T43" s="9">
        <v>0</v>
      </c>
      <c r="U43">
        <f t="shared" si="1"/>
        <v>1057.5426966456098</v>
      </c>
    </row>
    <row r="44" spans="1:21" x14ac:dyDescent="0.25">
      <c r="A44" s="12">
        <v>0.85416666666666663</v>
      </c>
      <c r="B44" s="6">
        <v>193.60821227306604</v>
      </c>
      <c r="C44" s="6">
        <v>26.01106181647674</v>
      </c>
      <c r="D44" s="6">
        <v>0</v>
      </c>
      <c r="E44" s="6">
        <v>0</v>
      </c>
      <c r="F44" s="6">
        <v>6.0754566566658015E-3</v>
      </c>
      <c r="G44" s="6">
        <v>0</v>
      </c>
      <c r="H44" s="6">
        <v>0</v>
      </c>
      <c r="I44" s="6">
        <v>0</v>
      </c>
      <c r="J44" s="6">
        <f t="shared" si="0"/>
        <v>219.62534954619946</v>
      </c>
      <c r="L44" s="12">
        <v>0.85416666666666663</v>
      </c>
      <c r="M44" s="9">
        <v>260.65911102366198</v>
      </c>
      <c r="N44" s="9">
        <v>398.94284289827124</v>
      </c>
      <c r="O44" s="9">
        <v>0</v>
      </c>
      <c r="P44" s="9">
        <v>0</v>
      </c>
      <c r="Q44" s="9">
        <v>327.66492228382106</v>
      </c>
      <c r="R44" s="9">
        <v>21.813222301476891</v>
      </c>
      <c r="S44" s="9">
        <v>0</v>
      </c>
      <c r="T44" s="9">
        <v>0</v>
      </c>
      <c r="U44">
        <f t="shared" si="1"/>
        <v>1009.0800985072312</v>
      </c>
    </row>
    <row r="45" spans="1:21" x14ac:dyDescent="0.25">
      <c r="A45" s="12">
        <v>0.875</v>
      </c>
      <c r="B45" s="6">
        <v>227.54910077526856</v>
      </c>
      <c r="C45" s="6">
        <v>28.449222688434148</v>
      </c>
      <c r="D45" s="6">
        <v>0</v>
      </c>
      <c r="E45" s="6">
        <v>0</v>
      </c>
      <c r="F45" s="6">
        <v>3.0377283283329008E-4</v>
      </c>
      <c r="G45" s="6">
        <v>0</v>
      </c>
      <c r="H45" s="6">
        <v>0</v>
      </c>
      <c r="I45" s="6">
        <v>0</v>
      </c>
      <c r="J45" s="6">
        <f t="shared" si="0"/>
        <v>255.99862723653555</v>
      </c>
      <c r="L45" s="12">
        <v>0.875</v>
      </c>
      <c r="M45" s="9">
        <v>253.37314260547504</v>
      </c>
      <c r="N45" s="9">
        <v>387.17076705843664</v>
      </c>
      <c r="O45" s="9">
        <v>0</v>
      </c>
      <c r="P45" s="9">
        <v>0</v>
      </c>
      <c r="Q45" s="9">
        <v>331.42720644643009</v>
      </c>
      <c r="R45" s="9">
        <v>21.048876392795734</v>
      </c>
      <c r="S45" s="9">
        <v>0</v>
      </c>
      <c r="T45" s="9">
        <v>0</v>
      </c>
      <c r="U45">
        <f t="shared" si="1"/>
        <v>993.01999250313747</v>
      </c>
    </row>
    <row r="46" spans="1:21" x14ac:dyDescent="0.25">
      <c r="A46" s="12">
        <v>0.89583333333333337</v>
      </c>
      <c r="B46" s="6">
        <v>241.14119248779227</v>
      </c>
      <c r="C46" s="6">
        <v>25.841086534646088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f t="shared" si="0"/>
        <v>266.98227902243838</v>
      </c>
      <c r="L46" s="12">
        <v>0.89583333333333337</v>
      </c>
      <c r="M46" s="9">
        <v>239.27390949395001</v>
      </c>
      <c r="N46" s="9">
        <v>365.60899714971254</v>
      </c>
      <c r="O46" s="9">
        <v>0</v>
      </c>
      <c r="P46" s="9">
        <v>0</v>
      </c>
      <c r="Q46" s="9">
        <v>317.29478194852902</v>
      </c>
      <c r="R46" s="9">
        <v>18.747862682048357</v>
      </c>
      <c r="S46" s="9">
        <v>0</v>
      </c>
      <c r="T46" s="9">
        <v>0</v>
      </c>
      <c r="U46">
        <f t="shared" si="1"/>
        <v>940.92555127423987</v>
      </c>
    </row>
    <row r="47" spans="1:21" x14ac:dyDescent="0.25">
      <c r="A47" s="12">
        <v>0.91666666666666663</v>
      </c>
      <c r="B47" s="6">
        <v>216.78801727090024</v>
      </c>
      <c r="C47" s="6">
        <v>19.378873808955575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f t="shared" si="0"/>
        <v>236.16689107985582</v>
      </c>
      <c r="L47" s="12">
        <v>0.91666666666666663</v>
      </c>
      <c r="M47" s="9">
        <v>207.41831612030236</v>
      </c>
      <c r="N47" s="9">
        <v>319.20958512833022</v>
      </c>
      <c r="O47" s="9">
        <v>0</v>
      </c>
      <c r="P47" s="9">
        <v>0</v>
      </c>
      <c r="Q47" s="9">
        <v>275.36896545530203</v>
      </c>
      <c r="R47" s="9">
        <v>14.953413180185178</v>
      </c>
      <c r="S47" s="9">
        <v>0</v>
      </c>
      <c r="T47" s="9">
        <v>0</v>
      </c>
      <c r="U47">
        <f t="shared" si="1"/>
        <v>816.95027988411982</v>
      </c>
    </row>
    <row r="48" spans="1:21" x14ac:dyDescent="0.25">
      <c r="A48" s="12">
        <v>0.9375</v>
      </c>
      <c r="B48" s="6">
        <v>162.01170981989682</v>
      </c>
      <c r="C48" s="6">
        <v>11.925375482784574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f t="shared" si="0"/>
        <v>173.9370853026814</v>
      </c>
      <c r="L48" s="12">
        <v>0.9375</v>
      </c>
      <c r="M48" s="9">
        <v>160.60628931848441</v>
      </c>
      <c r="N48" s="9">
        <v>250.90779304586425</v>
      </c>
      <c r="O48" s="9">
        <v>0</v>
      </c>
      <c r="P48" s="9">
        <v>0</v>
      </c>
      <c r="Q48" s="9">
        <v>213.05665998097402</v>
      </c>
      <c r="R48" s="9">
        <v>10.521217140968556</v>
      </c>
      <c r="S48" s="9">
        <v>0</v>
      </c>
      <c r="T48" s="9">
        <v>0</v>
      </c>
      <c r="U48">
        <f t="shared" si="1"/>
        <v>635.09195948629133</v>
      </c>
    </row>
    <row r="49" spans="1:21" x14ac:dyDescent="0.25">
      <c r="A49" s="12">
        <v>0.95833333333333337</v>
      </c>
      <c r="B49" s="6">
        <v>99.571405757931757</v>
      </c>
      <c r="C49" s="6">
        <v>5.9626877413922879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f t="shared" si="0"/>
        <v>105.53409349932404</v>
      </c>
      <c r="L49" s="12">
        <v>0.95833333333333337</v>
      </c>
      <c r="M49" s="9">
        <v>110.1557673599569</v>
      </c>
      <c r="N49" s="9">
        <v>175.88931716236675</v>
      </c>
      <c r="O49" s="9">
        <v>0</v>
      </c>
      <c r="P49" s="9">
        <v>0</v>
      </c>
      <c r="Q49" s="9">
        <v>147.02403954472268</v>
      </c>
      <c r="R49" s="9">
        <v>6.5474108684294805</v>
      </c>
      <c r="S49" s="9">
        <v>0</v>
      </c>
      <c r="T49" s="9">
        <v>0</v>
      </c>
      <c r="U49">
        <f t="shared" si="1"/>
        <v>439.61653493547584</v>
      </c>
    </row>
    <row r="50" spans="1:21" x14ac:dyDescent="0.25">
      <c r="A50" s="12">
        <v>0.97916666666666663</v>
      </c>
      <c r="B50" s="6">
        <v>49.759081227305515</v>
      </c>
      <c r="C50" s="6">
        <v>2.385075096556915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f t="shared" si="0"/>
        <v>52.144156323862433</v>
      </c>
      <c r="L50" s="12">
        <v>0.97916666666666663</v>
      </c>
      <c r="M50" s="9">
        <v>66.995524226402395</v>
      </c>
      <c r="N50" s="9">
        <v>109.88021168828416</v>
      </c>
      <c r="O50" s="9">
        <v>0</v>
      </c>
      <c r="P50" s="9">
        <v>0</v>
      </c>
      <c r="Q50" s="9">
        <v>91.387547275430734</v>
      </c>
      <c r="R50" s="9">
        <v>3.6862561407635228</v>
      </c>
      <c r="S50" s="9">
        <v>0</v>
      </c>
      <c r="T50" s="9">
        <v>0</v>
      </c>
      <c r="U50">
        <f t="shared" si="1"/>
        <v>271.94953933088084</v>
      </c>
    </row>
    <row r="51" spans="1:21" x14ac:dyDescent="0.25">
      <c r="A51" s="12">
        <v>1</v>
      </c>
      <c r="B51" s="6">
        <v>19.898736299920614</v>
      </c>
      <c r="C51" s="6">
        <v>0.74533596767403587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f t="shared" si="0"/>
        <v>20.644072267594652</v>
      </c>
      <c r="L51" s="12">
        <v>1</v>
      </c>
      <c r="M51" s="9">
        <v>36.287003988441484</v>
      </c>
      <c r="N51" s="9">
        <v>61.273801185381302</v>
      </c>
      <c r="O51" s="9">
        <v>0</v>
      </c>
      <c r="P51" s="9">
        <v>0</v>
      </c>
      <c r="Q51" s="9">
        <v>51.782735884237155</v>
      </c>
      <c r="R51" s="9">
        <v>1.9511777548863183</v>
      </c>
      <c r="S51" s="9">
        <v>0</v>
      </c>
      <c r="T51" s="9">
        <v>0</v>
      </c>
      <c r="U51">
        <f t="shared" si="1"/>
        <v>151.29471881294626</v>
      </c>
    </row>
    <row r="52" spans="1:21" x14ac:dyDescent="0.25">
      <c r="A52" s="12">
        <v>1.0208333333333333</v>
      </c>
      <c r="B52" s="6">
        <v>6.2176528723893751</v>
      </c>
      <c r="C52" s="6">
        <v>0.17537316886447904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f t="shared" si="0"/>
        <v>6.3930260412538544</v>
      </c>
      <c r="L52" s="12">
        <v>1.0208333333333333</v>
      </c>
      <c r="M52" s="9">
        <v>17.546574584207782</v>
      </c>
      <c r="N52" s="9">
        <v>30.475309534488833</v>
      </c>
      <c r="O52" s="9">
        <v>0</v>
      </c>
      <c r="P52" s="9">
        <v>0</v>
      </c>
      <c r="Q52" s="9">
        <v>26.87692995958766</v>
      </c>
      <c r="R52" s="9">
        <v>1.0003175035845149</v>
      </c>
      <c r="S52" s="9">
        <v>0</v>
      </c>
      <c r="T52" s="9">
        <v>0</v>
      </c>
      <c r="U52">
        <f t="shared" si="1"/>
        <v>75.899131581868787</v>
      </c>
    </row>
    <row r="53" spans="1:21" x14ac:dyDescent="0.25">
      <c r="A53" s="12">
        <v>4.1666666666666664E-2</v>
      </c>
      <c r="B53" s="6">
        <v>1.4629110550247173</v>
      </c>
      <c r="C53" s="6">
        <v>2.9228861477413173E-2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f t="shared" si="0"/>
        <v>1.4921399165021305</v>
      </c>
      <c r="L53" s="12">
        <v>4.1666666666666664E-2</v>
      </c>
      <c r="M53" s="9">
        <v>7.5433145711300282</v>
      </c>
      <c r="N53" s="9">
        <v>13.421200966849641</v>
      </c>
      <c r="O53" s="9">
        <v>0</v>
      </c>
      <c r="P53" s="9">
        <v>0</v>
      </c>
      <c r="Q53" s="9">
        <v>12.648799900378751</v>
      </c>
      <c r="R53" s="9">
        <v>0.4907681173682536</v>
      </c>
      <c r="S53" s="9">
        <v>0</v>
      </c>
      <c r="T53" s="9">
        <v>0</v>
      </c>
      <c r="U53">
        <f t="shared" si="1"/>
        <v>34.104083555726675</v>
      </c>
    </row>
    <row r="54" spans="1:21" x14ac:dyDescent="0.25">
      <c r="A54" s="12">
        <v>6.25E-2</v>
      </c>
      <c r="B54" s="6">
        <v>0.24381553680534362</v>
      </c>
      <c r="C54" s="6">
        <v>3.0767222607803349E-3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f t="shared" si="0"/>
        <v>0.24689225906612397</v>
      </c>
      <c r="L54" s="12">
        <v>6.25E-2</v>
      </c>
      <c r="M54" s="9">
        <v>2.8425734117333086</v>
      </c>
      <c r="N54" s="9">
        <v>5.1504254673462242</v>
      </c>
      <c r="O54" s="9">
        <v>0</v>
      </c>
      <c r="P54" s="9">
        <v>0</v>
      </c>
      <c r="Q54" s="9">
        <v>5.2578977032194452</v>
      </c>
      <c r="R54" s="9">
        <v>0.21843963666687805</v>
      </c>
      <c r="S54" s="9">
        <v>0</v>
      </c>
      <c r="T54" s="9">
        <v>0</v>
      </c>
      <c r="U54">
        <f t="shared" si="1"/>
        <v>13.469336218965855</v>
      </c>
    </row>
    <row r="55" spans="1:21" x14ac:dyDescent="0.25">
      <c r="A55" s="12">
        <v>8.3333333333333329E-2</v>
      </c>
      <c r="B55" s="6">
        <v>2.5664793347930911E-2</v>
      </c>
      <c r="C55" s="6">
        <v>1.5383611303901673E-4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f t="shared" si="0"/>
        <v>2.5818629460969928E-2</v>
      </c>
      <c r="L55" s="12">
        <v>8.3333333333333329E-2</v>
      </c>
      <c r="M55" s="9">
        <v>0.91560979360818862</v>
      </c>
      <c r="N55" s="9">
        <v>1.6789927350825089</v>
      </c>
      <c r="O55" s="9">
        <v>0</v>
      </c>
      <c r="P55" s="9">
        <v>0</v>
      </c>
      <c r="Q55" s="9">
        <v>1.8602193122117039</v>
      </c>
      <c r="R55" s="9">
        <v>8.2747307650618204E-2</v>
      </c>
      <c r="S55" s="9">
        <v>0</v>
      </c>
      <c r="T55" s="9">
        <v>0</v>
      </c>
      <c r="U55">
        <f t="shared" si="1"/>
        <v>4.5375691485530192</v>
      </c>
    </row>
    <row r="56" spans="1:21" x14ac:dyDescent="0.25">
      <c r="A56" s="12">
        <v>0.10416666666666667</v>
      </c>
      <c r="B56" s="6">
        <v>1.2832396673965454E-3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f t="shared" si="0"/>
        <v>1.2832396673965454E-3</v>
      </c>
      <c r="L56" s="12">
        <v>0.10416666666666667</v>
      </c>
      <c r="M56" s="9">
        <v>0.24312493093660723</v>
      </c>
      <c r="N56" s="9">
        <v>0.44877530176551861</v>
      </c>
      <c r="O56" s="9">
        <v>0</v>
      </c>
      <c r="P56" s="9">
        <v>0</v>
      </c>
      <c r="Q56" s="9">
        <v>0.53617013005552128</v>
      </c>
      <c r="R56" s="9">
        <v>2.5203435792847971E-2</v>
      </c>
      <c r="S56" s="9">
        <v>0</v>
      </c>
      <c r="T56" s="9">
        <v>0</v>
      </c>
      <c r="U56">
        <f t="shared" si="1"/>
        <v>1.2532737985504951</v>
      </c>
    </row>
    <row r="57" spans="1:21" x14ac:dyDescent="0.25">
      <c r="A57" s="12">
        <v>0.125</v>
      </c>
      <c r="B57" s="6">
        <v>0</v>
      </c>
      <c r="C57" s="6">
        <v>0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f t="shared" si="0"/>
        <v>0</v>
      </c>
      <c r="L57" s="12">
        <v>0.125</v>
      </c>
      <c r="M57" s="9">
        <v>4.9932618537664751E-2</v>
      </c>
      <c r="N57" s="9">
        <v>9.238709145893266E-2</v>
      </c>
      <c r="O57" s="9">
        <v>0</v>
      </c>
      <c r="P57" s="9">
        <v>0</v>
      </c>
      <c r="Q57" s="9">
        <v>0.1176302567428263</v>
      </c>
      <c r="R57" s="9">
        <v>5.7497024536132813E-3</v>
      </c>
      <c r="S57" s="9">
        <v>0</v>
      </c>
      <c r="T57" s="9">
        <v>0</v>
      </c>
      <c r="U57">
        <f t="shared" si="1"/>
        <v>0.265699669193037</v>
      </c>
    </row>
    <row r="58" spans="1:21" ht="15.75" thickBot="1" x14ac:dyDescent="0.3">
      <c r="A58" s="13" t="s">
        <v>6</v>
      </c>
      <c r="B58" s="7">
        <v>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f t="shared" si="0"/>
        <v>0</v>
      </c>
      <c r="L58" s="13" t="s">
        <v>6</v>
      </c>
      <c r="M58" s="10">
        <v>0</v>
      </c>
      <c r="N58" s="10">
        <v>0</v>
      </c>
      <c r="O58" s="10">
        <v>0</v>
      </c>
      <c r="P58" s="10">
        <v>0</v>
      </c>
      <c r="Q58" s="10">
        <v>0</v>
      </c>
      <c r="R58" s="10">
        <v>0</v>
      </c>
      <c r="S58" s="10">
        <v>0</v>
      </c>
      <c r="T58" s="10">
        <v>0</v>
      </c>
      <c r="U58" s="1">
        <f t="shared" si="1"/>
        <v>0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B22"/>
  <sheetViews>
    <sheetView workbookViewId="0"/>
  </sheetViews>
  <sheetFormatPr defaultRowHeight="15" x14ac:dyDescent="0.25"/>
  <sheetData>
    <row r="2" spans="1:2" x14ac:dyDescent="0.25">
      <c r="A2" s="8" t="s">
        <v>33</v>
      </c>
    </row>
    <row r="3" spans="1:2" x14ac:dyDescent="0.25">
      <c r="B3" t="s">
        <v>36</v>
      </c>
    </row>
    <row r="4" spans="1:2" x14ac:dyDescent="0.25">
      <c r="B4" t="s">
        <v>37</v>
      </c>
    </row>
    <row r="22" spans="1:1" x14ac:dyDescent="0.25">
      <c r="A22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29</vt:i4>
      </vt:variant>
    </vt:vector>
  </HeadingPairs>
  <TitlesOfParts>
    <vt:vector size="41" baseType="lpstr">
      <vt:lpstr>Arrival_Time</vt:lpstr>
      <vt:lpstr>Departure_Time</vt:lpstr>
      <vt:lpstr>Duration</vt:lpstr>
      <vt:lpstr>Arrival_Time_Work</vt:lpstr>
      <vt:lpstr>Arrival_Time_School</vt:lpstr>
      <vt:lpstr>Arrival_Time_Other</vt:lpstr>
      <vt:lpstr>Arrival_Time_Workbased</vt:lpstr>
      <vt:lpstr>Depart_Time_Work</vt:lpstr>
      <vt:lpstr>Depart_Time_School</vt:lpstr>
      <vt:lpstr>Depart_Time_Other</vt:lpstr>
      <vt:lpstr>Depart_Time_Workbased</vt:lpstr>
      <vt:lpstr>Documentation</vt:lpstr>
      <vt:lpstr>DURDEST</vt:lpstr>
      <vt:lpstr>Other_Arrival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out3</vt:lpstr>
      <vt:lpstr>out4</vt:lpstr>
      <vt:lpstr>out5</vt:lpstr>
      <vt:lpstr>out6</vt:lpstr>
      <vt:lpstr>out7</vt:lpstr>
      <vt:lpstr>out8</vt:lpstr>
      <vt:lpstr>out9</vt:lpstr>
      <vt:lpstr>School_Arrival</vt:lpstr>
      <vt:lpstr>TIMARRPD</vt:lpstr>
      <vt:lpstr>TIMDEPPD</vt:lpstr>
      <vt:lpstr>Work_Arrival</vt:lpstr>
      <vt:lpstr>Workbased_Arrival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Nagendra Dhakar</cp:lastModifiedBy>
  <dcterms:created xsi:type="dcterms:W3CDTF">2011-01-31T15:16:09Z</dcterms:created>
  <dcterms:modified xsi:type="dcterms:W3CDTF">2017-06-23T19:10:13Z</dcterms:modified>
</cp:coreProperties>
</file>