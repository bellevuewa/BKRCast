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activeTab="4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OtherTourDestination" r:id="rId5" sheetId="7"/>
    <sheet name="Calibration" r:id="rId6" sheetId="6"/>
  </sheets>
  <definedNames>
    <definedName name="AVGD">TLFD!$L$11:$L$13</definedName>
    <definedName name="AVGT">TDFD!$L$11:$L$13</definedName>
    <definedName name="flow">County_Flow!$M$7:$P$14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45621"/>
</workbook>
</file>

<file path=xl/calcChain.xml><?xml version="1.0" encoding="utf-8"?>
<calcChain xmlns="http://schemas.openxmlformats.org/spreadsheetml/2006/main">
  <c i="6" l="1" r="J4"/>
  <c i="6" r="J5"/>
  <c i="6" r="J6"/>
  <c i="6" r="J7"/>
  <c i="6" r="J8"/>
  <c i="6" r="J9"/>
  <c i="6" r="J10"/>
  <c i="6" r="J11"/>
  <c i="6" r="J12"/>
  <c i="6" r="J13"/>
  <c i="6" r="J14"/>
  <c i="6" r="J15"/>
  <c i="6" r="J16"/>
  <c i="6" r="J17"/>
  <c i="6" r="J18"/>
  <c i="6" r="J19"/>
  <c i="6" r="J20"/>
  <c i="6" r="J21"/>
  <c i="6" r="J22"/>
  <c i="6" r="J23"/>
  <c i="6" r="J24"/>
  <c i="6" r="J25"/>
  <c i="6" r="J26"/>
  <c i="6" r="J27"/>
  <c i="6" r="J28"/>
  <c i="6" r="J29"/>
  <c i="6" r="J30"/>
  <c i="6" r="J31"/>
  <c i="6" r="J32"/>
  <c i="6" r="J33"/>
  <c i="6" r="J34"/>
  <c i="6" r="J35"/>
  <c i="6" r="J36"/>
  <c i="6" r="J37"/>
  <c i="6" r="J38"/>
  <c i="6" r="J39"/>
  <c i="6" r="J40"/>
  <c i="6" r="J41"/>
  <c i="6" r="J42"/>
  <c i="6" r="J43"/>
  <c i="6" r="J44"/>
  <c i="6" r="J45"/>
  <c i="6" r="J46"/>
  <c i="6" r="J47"/>
  <c i="6" r="J48"/>
  <c i="6" r="J49"/>
  <c i="6" r="J50"/>
  <c i="6" r="J51"/>
  <c i="6" r="J52"/>
  <c i="6" r="J53"/>
  <c i="6" r="J54"/>
  <c i="6" r="J55"/>
  <c i="6" r="J56"/>
  <c i="6" r="J57"/>
  <c i="6" r="J58"/>
  <c i="6" r="J59"/>
  <c i="6" r="J60"/>
  <c i="6" r="J61"/>
  <c i="6" r="J62"/>
  <c i="6" r="J63"/>
  <c i="6" r="J64"/>
  <c i="6" r="J65"/>
  <c i="6" r="J66"/>
  <c i="6" r="J67"/>
  <c i="6" r="J68"/>
  <c i="6" r="J69"/>
  <c i="6" r="J70"/>
  <c i="6" r="J71"/>
  <c i="6" r="J72"/>
  <c i="6" r="J73"/>
  <c i="6" r="J74"/>
  <c i="6" r="J75"/>
  <c i="6" r="J76"/>
  <c i="6" r="J77"/>
  <c i="6" r="J78"/>
  <c i="6" r="J79"/>
  <c i="6" r="J80"/>
  <c i="6" r="J81"/>
  <c i="6" r="J82"/>
  <c i="6" r="J83"/>
  <c i="6" r="J84"/>
  <c i="6" r="J85"/>
  <c i="6" r="J86"/>
  <c i="6" r="J87"/>
  <c i="6" r="J88"/>
  <c i="6" r="J89"/>
  <c i="6" r="J90"/>
  <c i="6" r="J91"/>
  <c i="6" r="J92"/>
  <c i="6" r="J93"/>
  <c i="6" r="J94"/>
  <c i="6" r="J95"/>
  <c i="6" r="J96"/>
  <c i="6" r="J97"/>
  <c i="6" r="J98"/>
  <c i="6" r="J99"/>
  <c i="6" r="J100"/>
  <c i="6" r="J101"/>
  <c i="6" r="J102"/>
  <c i="6" r="J103"/>
  <c i="6" r="J3"/>
  <c i="6" l="1" r="B26"/>
  <c i="6" r="B25"/>
  <c i="6" r="B24"/>
  <c i="6" r="B23"/>
  <c i="6" r="K51"/>
  <c i="6" r="K50"/>
  <c i="6" r="K49"/>
  <c i="6" r="K48"/>
  <c i="6" r="K47"/>
  <c i="6" r="K46"/>
  <c i="6" r="B5"/>
  <c i="6" r="E7"/>
  <c i="6" r="B7"/>
  <c i="6" r="E6"/>
  <c i="6" r="B6"/>
  <c i="6" r="E5"/>
  <c i="6" r="E4"/>
  <c i="6" r="B4"/>
  <c i="6" r="K103"/>
  <c i="6" r="K102"/>
  <c i="6" r="K101"/>
  <c i="6" r="K100"/>
  <c i="6" r="K99"/>
  <c i="6" r="K98"/>
  <c i="6" r="K97"/>
  <c i="6" r="K96"/>
  <c i="6" r="K95"/>
  <c i="6" r="K94"/>
  <c i="6" r="K93"/>
  <c i="6" r="K92"/>
  <c i="6" r="K91"/>
  <c i="6" r="K90"/>
  <c i="6" r="K89"/>
  <c i="6" r="K88"/>
  <c i="6" r="K87"/>
  <c i="6" r="K86"/>
  <c i="6" r="K85"/>
  <c i="6" r="K84"/>
  <c i="6" r="K83"/>
  <c i="6" r="K82"/>
  <c i="6" r="K81"/>
  <c i="6" r="K80"/>
  <c i="6" r="K79"/>
  <c i="6" r="K78"/>
  <c i="6" r="K77"/>
  <c i="6" r="K76"/>
  <c i="6" r="K75"/>
  <c i="6" r="K74"/>
  <c i="6" r="K73"/>
  <c i="6" r="K72"/>
  <c i="6" r="K71"/>
  <c i="6" r="K70"/>
  <c i="6" r="K69"/>
  <c i="6" r="K68"/>
  <c i="6" r="K67"/>
  <c i="6" r="K66"/>
  <c i="6" r="K65"/>
  <c i="6" r="K64"/>
  <c i="6" r="K63"/>
  <c i="6" r="K62"/>
  <c i="6" r="K61"/>
  <c i="6" r="K60"/>
  <c i="6" r="K59"/>
  <c i="6" r="K58"/>
  <c i="6" r="K57"/>
  <c i="6" r="K56"/>
  <c i="6" r="K55"/>
  <c i="6" r="K54"/>
  <c i="6" r="K53"/>
  <c i="6" r="K52"/>
  <c i="6" r="K45"/>
  <c i="6" r="K44"/>
  <c i="6" r="K43"/>
  <c i="6" r="K42"/>
  <c i="6" r="K41"/>
  <c i="6" r="K40"/>
  <c i="6" r="K39"/>
  <c i="6" r="K38"/>
  <c i="6" r="K37"/>
  <c i="6" r="K36"/>
  <c i="6" r="K35"/>
  <c i="6" r="K34"/>
  <c i="6" r="K33"/>
  <c i="6" r="K28"/>
  <c i="6" r="K27"/>
  <c i="6" r="K26"/>
  <c i="6" r="K25"/>
  <c i="6" r="K24"/>
  <c i="6" r="K23"/>
  <c i="6" r="K22"/>
  <c i="6" r="K21"/>
  <c i="6" r="K20"/>
  <c i="6" r="K19"/>
  <c i="6" r="K18"/>
  <c i="6" r="K17"/>
  <c i="6" r="K16"/>
  <c i="6" r="K15"/>
  <c i="6" r="K14"/>
  <c i="6" r="K13"/>
  <c i="6" r="K12"/>
  <c i="6" r="K11"/>
  <c i="6" r="K10"/>
  <c i="6" r="K9"/>
  <c i="6" r="K8"/>
  <c i="6" r="K7"/>
  <c i="6" r="K6"/>
  <c i="6" r="K5"/>
  <c i="6" r="K4"/>
  <c i="6" r="K3"/>
  <c i="6" l="1" r="E8"/>
  <c i="6" r="E16"/>
  <c i="6" r="E12"/>
  <c i="6" r="E15"/>
  <c i="6" r="E14"/>
  <c i="6" r="B8"/>
  <c i="6" r="E13"/>
  <c i="1" r="H15"/>
  <c i="1" r="J13"/>
  <c i="6" l="1" r="B13"/>
  <c i="6" r="B16"/>
  <c i="6" r="B12"/>
  <c i="6" r="B33" s="1"/>
  <c i="6" r="B43" s="1"/>
  <c i="6" r="K29" s="1"/>
  <c i="6" r="B15"/>
  <c i="6" r="B14"/>
  <c i="6" r="B35" s="1"/>
  <c i="6" r="B45" s="1"/>
  <c i="6" r="K31" s="1"/>
  <c i="1" r="S15"/>
  <c i="1" r="U13"/>
  <c i="6" l="1" r="B36"/>
  <c i="6" r="B46" s="1"/>
  <c i="6" r="K32" s="1"/>
  <c i="6" r="B34"/>
  <c i="6" r="B44" s="1"/>
  <c i="6" r="K30" s="1"/>
  <c i="1" r="S28"/>
  <c i="1" r="U26"/>
  <c i="1" r="N26"/>
  <c i="1" r="O26"/>
  <c i="1" r="P26"/>
  <c i="1" r="Q26"/>
  <c i="1" r="R26"/>
  <c i="1" r="S26"/>
  <c i="1" r="M26"/>
  <c i="1" r="S21"/>
  <c i="1" r="S22"/>
  <c i="1" r="S23"/>
  <c i="1" r="S24"/>
  <c i="1" r="S25"/>
  <c i="1" r="S20"/>
  <c i="1" r="H26"/>
  <c i="1" r="C26"/>
  <c i="1" r="D26"/>
  <c i="1" r="E26"/>
  <c i="1" r="F26"/>
  <c i="1" r="G26"/>
  <c i="1" r="B26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1" l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5"/>
  <c i="1" r="H23"/>
  <c i="1" r="H24"/>
  <c i="1" r="O21"/>
  <c i="1" r="P21"/>
  <c i="1" r="Q21"/>
  <c i="1" r="R21"/>
  <c i="1" r="O22"/>
  <c i="1" r="P22"/>
  <c i="1" r="Q22"/>
  <c i="1" r="R22"/>
  <c i="1" r="O23"/>
  <c i="1" r="P23"/>
  <c i="1" r="Q23"/>
  <c i="1" r="R23"/>
  <c i="1" r="O24"/>
  <c i="1" r="P24"/>
  <c i="1" r="Q24"/>
  <c i="1" r="R24"/>
  <c i="1" r="O25"/>
  <c i="1" r="P25"/>
  <c i="1" r="Q25"/>
  <c i="1" r="R25"/>
  <c i="1" r="Q20"/>
  <c i="1" r="R20"/>
  <c i="1" r="E23"/>
  <c i="1" r="F23"/>
  <c i="1" r="G23"/>
  <c i="1" r="E24"/>
  <c i="1" r="F24"/>
  <c i="1" r="G24"/>
  <c i="1" r="E25"/>
  <c i="1" r="F25"/>
  <c i="1" r="G25"/>
  <c i="1" l="1" r="U23"/>
  <c i="1" r="U24"/>
  <c i="1" r="U25"/>
  <c i="1" r="M23"/>
  <c i="1" r="N23"/>
  <c i="1" r="M24"/>
  <c i="1" r="N24"/>
  <c i="1" r="M25"/>
  <c i="1" r="N25"/>
  <c i="1" r="B23"/>
  <c i="1" r="C23"/>
  <c i="1" r="D23"/>
  <c i="1" r="B24"/>
  <c i="1" r="C24"/>
  <c i="1" r="D24"/>
  <c i="1" r="B25"/>
  <c i="1" r="C25"/>
  <c i="1" r="D25"/>
  <c i="1" r="U7"/>
  <c i="1" r="M15"/>
  <c i="1" r="C15"/>
  <c i="1" r="D15"/>
  <c i="1" r="E15"/>
  <c i="1" r="I15"/>
  <c i="1" r="B15"/>
  <c i="1" r="J8"/>
  <c i="1" r="J9"/>
  <c i="1" r="J14"/>
  <c i="1" r="J7"/>
  <c i="1" l="1" r="J23"/>
  <c i="1" r="J24"/>
  <c i="1" r="H20"/>
  <c i="1" r="J25"/>
  <c i="1" r="F20"/>
  <c i="1" r="G20"/>
  <c i="1" r="J15"/>
  <c i="1" r="N15"/>
  <c i="1" r="N28" s="1"/>
  <c i="1" r="O15"/>
  <c i="1" r="O28" s="1"/>
  <c i="1" r="P15"/>
  <c i="1" r="T15"/>
  <c i="1" r="M28"/>
  <c i="1" r="U8"/>
  <c i="1" r="H21" s="1"/>
  <c i="1" r="U9"/>
  <c i="1" r="H22" s="1"/>
  <c i="1" r="U14"/>
  <c i="1" r="D20"/>
  <c i="1" r="P28"/>
  <c i="1" r="N22"/>
  <c i="1" r="M22"/>
  <c i="1" r="N21"/>
  <c i="1" r="M21"/>
  <c i="1" r="P20"/>
  <c i="1" r="O20"/>
  <c i="1" r="N20"/>
  <c i="1" r="M20"/>
  <c i="1" r="I28"/>
  <c i="1" r="J27"/>
  <c i="4" r="F102"/>
  <c i="4" r="G101" s="1"/>
  <c i="4" r="B102"/>
  <c i="4" r="C102" s="1"/>
  <c i="3" r="F102"/>
  <c i="3" r="G101" s="1"/>
  <c i="3" r="B102"/>
  <c i="3" r="C13" s="1"/>
  <c i="1" l="1" r="H28"/>
  <c i="1" r="U22"/>
  <c i="1" r="F22"/>
  <c i="1" r="G22"/>
  <c i="1" r="E22"/>
  <c i="1" r="C21"/>
  <c i="1" r="E21"/>
  <c i="1" r="F21"/>
  <c i="1" r="F28" s="1"/>
  <c i="1" r="G21"/>
  <c i="1" r="G28" s="1"/>
  <c i="4" r="C11"/>
  <c i="4" r="C25"/>
  <c i="4" r="C49"/>
  <c i="4" r="C81"/>
  <c i="4" r="C41"/>
  <c i="4" r="C17"/>
  <c i="4" r="C97"/>
  <c i="4" r="C19"/>
  <c i="4" r="C73"/>
  <c i="4" r="C33"/>
  <c i="4" r="C65"/>
  <c i="4" r="C15"/>
  <c i="4" r="C27"/>
  <c i="4" r="C57"/>
  <c i="4" r="C89"/>
  <c i="1" r="B22"/>
  <c i="1" r="B21"/>
  <c i="1" r="U21"/>
  <c i="4" r="G30"/>
  <c i="1" r="C20"/>
  <c i="4" r="G46"/>
  <c i="4" r="G62"/>
  <c i="4" r="C35"/>
  <c i="4" r="C43"/>
  <c i="4" r="C51"/>
  <c i="4" r="C59"/>
  <c i="4" r="C67"/>
  <c i="4" r="C75"/>
  <c i="4" r="C83"/>
  <c i="4" r="C91"/>
  <c i="4" r="C101"/>
  <c i="1" r="U15"/>
  <c i="1" r="U28" s="1"/>
  <c i="4" r="C31"/>
  <c i="4" r="C47"/>
  <c i="4" r="C63"/>
  <c i="4" r="C79"/>
  <c i="4" r="C87"/>
  <c i="4" r="C95"/>
  <c i="4" r="G94"/>
  <c i="4" r="C23"/>
  <c i="4" r="C39"/>
  <c i="4" r="C55"/>
  <c i="4" r="C71"/>
  <c i="4" r="C13"/>
  <c i="4" r="C21"/>
  <c i="4" r="C29"/>
  <c i="4" r="C37"/>
  <c i="4" r="C45"/>
  <c i="4" r="C53"/>
  <c i="4" r="C61"/>
  <c i="4" r="C69"/>
  <c i="4" r="C77"/>
  <c i="4" r="C85"/>
  <c i="4" r="C93"/>
  <c i="4" r="G14"/>
  <c i="4" r="G78"/>
  <c i="1" r="D21"/>
  <c i="1" r="D22"/>
  <c i="1" r="C22"/>
  <c i="1" r="B20"/>
  <c i="1" r="U20"/>
  <c i="1" r="E20"/>
  <c i="4" r="C99"/>
  <c i="4" r="G22"/>
  <c i="4" r="G38"/>
  <c i="4" r="G54"/>
  <c i="4" r="G70"/>
  <c i="4" r="G86"/>
  <c i="4" r="G102"/>
  <c i="4" r="G18"/>
  <c i="4" r="G34"/>
  <c i="4" r="G50"/>
  <c i="4" r="G66"/>
  <c i="4" r="G82"/>
  <c i="4" r="G98"/>
  <c i="4" r="G26"/>
  <c i="4" r="G42"/>
  <c i="4" r="G58"/>
  <c i="4" r="G74"/>
  <c i="4" r="G90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88"/>
  <c i="4" r="G92"/>
  <c i="4" r="G96"/>
  <c i="4" r="G100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02"/>
  <c i="3" r="C98"/>
  <c i="3" r="C92"/>
  <c i="3" r="C82"/>
  <c i="3" r="C28"/>
  <c i="3" r="C11"/>
  <c i="3" r="C100"/>
  <c i="3" r="C96"/>
  <c i="3" r="C94"/>
  <c i="3" r="C90"/>
  <c i="3" r="C88"/>
  <c i="3" r="C86"/>
  <c i="3" r="C84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P41"/>
  <c i="1" r="O39"/>
  <c i="1" r="S37"/>
  <c i="1" r="N39"/>
  <c i="1" r="S34"/>
  <c i="1" r="S33"/>
  <c i="1" r="P39"/>
  <c i="1" r="S35"/>
  <c i="1" r="M39"/>
  <c i="1" r="R39"/>
  <c i="1" r="S39"/>
  <c i="1" r="S38"/>
  <c i="1" r="Q39"/>
  <c i="1" r="S36"/>
  <c i="1" r="U39"/>
  <c i="1" r="S41"/>
  <c i="1" r="R41"/>
  <c i="1" r="Q41"/>
  <c i="1" r="R38"/>
  <c i="1" r="Q38"/>
  <c i="1" r="Q33"/>
  <c i="1" r="R33"/>
  <c i="1" r="P36"/>
  <c i="1" r="O34"/>
  <c i="1" r="O37"/>
  <c i="1" r="R34"/>
  <c i="1" r="Q36"/>
  <c i="1" r="O36"/>
  <c i="1" r="P37"/>
  <c i="1" r="R35"/>
  <c i="1" r="Q37"/>
  <c i="1" r="Q34"/>
  <c i="1" r="P35"/>
  <c i="1" r="O35"/>
  <c i="1" r="Q35"/>
  <c i="1" r="P38"/>
  <c i="1" r="R37"/>
  <c i="1" r="O38"/>
  <c i="1" r="P34"/>
  <c i="1" r="R36"/>
  <c i="1" r="P33"/>
  <c i="1" r="U41"/>
  <c i="1" r="U36"/>
  <c i="1" r="U37"/>
  <c i="1" r="U38"/>
  <c i="1" r="M36"/>
  <c i="1" r="N36"/>
  <c i="1" r="M37"/>
  <c i="1" r="N37"/>
  <c i="1" r="M38"/>
  <c i="1" r="N38"/>
  <c i="1" r="U35"/>
  <c i="1" r="M41"/>
  <c i="1" r="O41"/>
  <c i="1" r="U33"/>
  <c i="1" r="J22"/>
  <c i="1" r="B28"/>
  <c i="1" r="T41"/>
  <c i="1" r="N34"/>
  <c i="1" r="N41"/>
  <c i="1" r="M34"/>
  <c i="1" r="C28"/>
  <c i="1" r="J21"/>
  <c i="1" r="E28"/>
  <c i="1" r="U34"/>
  <c i="1" r="N33"/>
  <c i="1" r="M33"/>
  <c i="1" r="N35"/>
  <c i="1" r="M35"/>
  <c i="1" r="O33"/>
  <c i="1" r="D28"/>
  <c i="1" r="J20"/>
  <c i="1" l="1" r="J28"/>
  <c i="1" l="1" r="J39"/>
  <c i="1" r="AF39" s="1"/>
  <c i="1" r="H41"/>
  <c i="1" r="AD41" s="1"/>
  <c i="1" r="B39"/>
  <c i="1" r="X39" s="1"/>
  <c i="1" r="H34"/>
  <c i="1" r="AD34" s="1"/>
  <c i="1" r="H35"/>
  <c i="1" r="AD35" s="1"/>
  <c i="1" r="H33"/>
  <c i="1" r="AD33" s="1"/>
  <c i="1" r="F39"/>
  <c i="1" r="AB39" s="1"/>
  <c i="1" r="H36"/>
  <c i="1" r="AD36" s="1"/>
  <c i="1" r="H37"/>
  <c i="1" r="AD37" s="1"/>
  <c i="1" r="H38"/>
  <c i="1" r="AD38" s="1"/>
  <c i="1" r="C39"/>
  <c i="1" r="Y39" s="1"/>
  <c i="1" r="D39"/>
  <c i="1" r="Z39" s="1"/>
  <c i="1" r="E39"/>
  <c i="1" r="AA39" s="1"/>
  <c i="1" r="H39"/>
  <c i="1" r="AD39" s="1"/>
  <c i="1" r="G39"/>
  <c i="1" r="AC39" s="1"/>
  <c i="1" r="F41"/>
  <c i="1" r="AB41" s="1"/>
  <c i="1" r="G41"/>
  <c i="1" r="AC41" s="1"/>
  <c i="1" r="E37"/>
  <c i="1" r="AA37" s="1"/>
  <c i="1" r="G36"/>
  <c i="1" r="AC36" s="1"/>
  <c i="1" r="F36"/>
  <c i="1" r="AB36" s="1"/>
  <c i="1" r="G37"/>
  <c i="1" r="AC37" s="1"/>
  <c i="1" r="F38"/>
  <c i="1" r="AB38" s="1"/>
  <c i="1" r="F37"/>
  <c i="1" r="AB37" s="1"/>
  <c i="1" r="E36"/>
  <c i="1" r="AA36" s="1"/>
  <c i="1" r="E38"/>
  <c i="1" r="AA38" s="1"/>
  <c i="1" r="G38"/>
  <c i="1" r="AC38" s="1"/>
  <c i="1" r="G33"/>
  <c i="1" r="AC33" s="1"/>
  <c i="1" r="F33"/>
  <c i="1" r="AB33" s="1"/>
  <c i="1" r="F34"/>
  <c i="1" r="AB34" s="1"/>
  <c i="1" r="E35"/>
  <c i="1" r="AA35" s="1"/>
  <c i="1" r="E34"/>
  <c i="1" r="AA34" s="1"/>
  <c i="1" r="F35"/>
  <c i="1" r="AB35" s="1"/>
  <c i="1" r="G35"/>
  <c i="1" r="AC35" s="1"/>
  <c i="1" r="G34"/>
  <c i="1" r="AC34" s="1"/>
  <c i="1" r="J33"/>
  <c i="1" r="AF33" s="1"/>
  <c i="1" r="J37"/>
  <c i="1" r="AF37" s="1"/>
  <c i="1" r="C37"/>
  <c i="1" r="Y37" s="1"/>
  <c i="1" r="D38"/>
  <c i="1" r="Z38" s="1"/>
  <c i="1" r="C36"/>
  <c i="1" r="Y36" s="1"/>
  <c i="1" r="D37"/>
  <c i="1" r="Z37" s="1"/>
  <c i="1" r="C38"/>
  <c i="1" r="Y38" s="1"/>
  <c i="1" r="B38"/>
  <c i="1" r="X38" s="1"/>
  <c i="1" r="B36"/>
  <c i="1" r="X36" s="1"/>
  <c i="1" r="D36"/>
  <c i="1" r="Z36" s="1"/>
  <c i="1" r="B37"/>
  <c i="1" r="X37" s="1"/>
  <c i="1" r="J38"/>
  <c i="1" r="AF38" s="1"/>
  <c i="1" r="J36"/>
  <c i="1" r="AF36" s="1"/>
  <c i="1" r="J41"/>
  <c i="1" r="AF41" s="1"/>
  <c i="1" r="C33"/>
  <c i="1" r="Y33" s="1"/>
  <c i="1" r="C41"/>
  <c i="1" r="Y41" s="1"/>
  <c i="1" r="B34"/>
  <c i="1" r="X34" s="1"/>
  <c i="1" r="E41"/>
  <c i="1" r="AA41" s="1"/>
  <c i="1" r="E33"/>
  <c i="1" r="AA33" s="1"/>
  <c i="1" r="D41"/>
  <c i="1" r="Z41" s="1"/>
  <c i="1" r="D34"/>
  <c i="1" r="Z34" s="1"/>
  <c i="1" r="I41"/>
  <c i="1" r="AE41" s="1"/>
  <c i="1" r="J35"/>
  <c i="1" r="AF35" s="1"/>
  <c i="1" r="D33"/>
  <c i="1" r="Z33" s="1"/>
  <c i="1" r="J34"/>
  <c i="1" r="AF34" s="1"/>
  <c i="1" r="B35"/>
  <c i="1" r="X35" s="1"/>
  <c i="1" r="D35"/>
  <c i="1" r="Z35" s="1"/>
  <c i="1" r="B33"/>
  <c i="1" r="X33" s="1"/>
  <c i="1" r="C34"/>
  <c i="1" r="Y34" s="1"/>
  <c i="1" r="C35"/>
  <c i="1" r="Y35" s="1"/>
  <c i="1" r="B41"/>
  <c i="1" r="X41" s="1"/>
</calcChain>
</file>

<file path=xl/sharedStrings.xml><?xml version="1.0" encoding="utf-8"?>
<sst xmlns="http://schemas.openxmlformats.org/spreadsheetml/2006/main" count="669" uniqueCount="267">
  <si>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</si>
  <si>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</si>
  <si>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</si>
  <si>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</si>
  <si>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</si>
  <si>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</si>
  <si>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</si>
  <si>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</si>
  <si>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</si>
  <si>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</si>
  <si>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</si>
  <si>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</si>
  <si>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</si>
  <si>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</si>
  <si>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</si>
  <si>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</si>
  <si>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</si>
  <si>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</si>
  <si>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</si>
  <si>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</si>
  <si>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</si>
  <si>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</si>
  <si>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</si>
  <si>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</si>
  <si>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</si>
  <si>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</si>
  <si>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</si>
  <si>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</si>
  <si>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</si>
  <si>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</si>
  <si>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</si>
  <si>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</si>
  <si>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</si>
  <si>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</si>
  <si>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</si>
  <si>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</si>
  <si>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</si>
  <si>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</si>
  <si>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</si>
  <si>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</si>
  <si>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</si>
  <si>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</si>
  <si>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</si>
  <si>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</si>
  <si>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</si>
  <si>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</si>
  <si>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</si>
  <si>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</si>
  <si>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</si>
  <si>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</si>
  <si>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</si>
  <si>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</si>
  <si>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</si>
  <si>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</si>
  <si>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Observed</t>
  </si>
  <si>
    <t>Estimated</t>
  </si>
  <si>
    <t>OtherTourDestinationCoefficients_SACOG-v1.8.F12</t>
  </si>
  <si>
    <t>Count</t>
  </si>
  <si>
    <t>Current</t>
  </si>
  <si>
    <t>Next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</si>
  <si>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</si>
  <si>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</si>
  <si>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</si>
  <si>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</si>
  <si>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</si>
  <si>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</si>
  <si>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</si>
  <si>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</si>
  <si>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</si>
  <si>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</si>
  <si>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</si>
  <si>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</si>
  <si>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</si>
  <si>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</si>
  <si>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</si>
  <si>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</si>
  <si>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</si>
  <si>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</si>
  <si>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</si>
  <si>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</si>
  <si>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</si>
  <si>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</si>
  <si>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</si>
  <si>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</si>
  <si>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</si>
  <si>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</si>
  <si>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</si>
  <si>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</si>
  <si>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</si>
  <si>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</si>
  <si>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</si>
  <si>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</si>
  <si>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</si>
  <si>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</si>
  <si>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</si>
  <si>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</si>
  <si>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</si>
  <si>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</si>
  <si>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</si>
  <si>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</si>
  <si>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</si>
  <si>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</si>
  <si>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</si>
  <si>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</si>
  <si>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</si>
  <si>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</si>
  <si>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</si>
  <si>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</si>
  <si>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</si>
  <si>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</si>
  <si>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</si>
  <si>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</si>
  <si>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</si>
  <si>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</si>
  <si>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</si>
  <si>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</si>
  <si>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</si>
  <si>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</si>
  <si>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</si>
  <si>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</si>
  <si>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</si>
  <si>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</si>
  <si>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</si>
  <si>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</si>
  <si>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</si>
  <si>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</si>
  <si>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</si>
  <si>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</si>
  <si>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</si>
  <si>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</si>
  <si>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</si>
  <si>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</si>
  <si>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</si>
  <si>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</si>
  <si>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</si>
  <si>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</si>
  <si>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</si>
  <si>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</si>
  <si>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</si>
  <si>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</si>
  <si>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</si>
  <si>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</si>
  <si>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</si>
  <si>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</si>
  <si>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</si>
  <si>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</si>
  <si>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</si>
  <si>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</si>
  <si>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</si>
  <si>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</si>
  <si>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</si>
  <si>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</si>
  <si>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</si>
  <si>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</si>
  <si>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</si>
  <si>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</si>
  <si>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</si>
  <si>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</si>
  <si>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</si>
  <si>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</si>
  <si>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</si>
  <si>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</si>
  <si>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</si>
  <si>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</si>
  <si>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</si>
  <si>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</si>
  <si>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</si>
  <si>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</si>
  <si>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</si>
  <si>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</si>
  <si>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</si>
  <si>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</si>
  <si>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</si>
  <si>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</si>
  <si>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</si>
  <si>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</si>
  <si>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</si>
  <si>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</si>
  <si>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</si>
  <si>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</si>
  <si>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</si>
  <si>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</si>
  <si>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</si>
  <si>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</si>
  <si>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</si>
  <si>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</si>
  <si>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</si>
  <si>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</si>
  <si>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</si>
  <si>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</si>
  <si>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</si>
  <si>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</si>
  <si>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</si>
  <si>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</si>
  <si>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</si>
  <si>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</si>
  <si>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</si>
  <si>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</si>
  <si>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</si>
  <si>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</si>
  <si>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</si>
  <si>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</si>
  <si>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</si>
  <si>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</si>
  <si>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</si>
  <si>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</si>
  <si>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</si>
  <si>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</si>
  <si>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</si>
  <si>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</si>
  <si>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</si>
  <si>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</si>
  <si>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</si>
  <si>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</si>
  <si>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</si>
  <si>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</si>
  <si>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</si>
  <si>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</si>
  <si>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</si>
  <si>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</si>
  <si>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</si>
  <si>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</si>
  <si>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</si>
  <si>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</si>
  <si>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</si>
  <si>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</si>
  <si>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</si>
  <si>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</si>
  <si>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</si>
  <si>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</si>
  <si>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</si>
  <si>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</si>
  <si>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</si>
  <si>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</si>
  <si>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</si>
  <si>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</si>
  <si>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</si>
  <si>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</si>
  <si>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</si>
  <si>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</si>
  <si>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</si>
  <si>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</si>
  <si>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</si>
  <si>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</si>
  <si>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</si>
  <si>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Open "IndividualPersonDayPatternCoefficients_nashville-v1.8.F12" in Notepad+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</si>
  <si>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</si>
  <si>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</si>
  <si>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</si>
  <si>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</si>
  <si>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</si>
  <si>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</si>
  <si>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svn</t>
  </si>
  <si>
    <t>v1799,</t>
  </si>
  <si>
    <t>alo</t>
  </si>
  <si>
    <t>v0601)</t>
  </si>
  <si>
    <t>Created</t>
  </si>
  <si>
    <t>by</t>
  </si>
  <si>
    <t>ALOGIT</t>
  </si>
  <si>
    <t>version</t>
  </si>
  <si>
    <t>on</t>
  </si>
  <si>
    <t>May</t>
  </si>
  <si>
    <t>END</t>
  </si>
  <si>
    <t>T</t>
  </si>
  <si>
    <t>F</t>
  </si>
  <si>
    <t>Beta00924</t>
  </si>
  <si>
    <t>011:39:57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</si>
</sst>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</cellStyleXfs>
  <cellXfs count="448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Font="1" borderId="0" fillId="0" fontId="1" numFmtId="0" xfId="0">
      <alignment horizontal="right"/>
    </xf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Font="1" applyNumberFormat="1" borderId="0" fillId="0" fontId="0" numFmtId="11" xfId="0"/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ill="1" applyFont="1" applyNumberFormat="1" borderId="0" fillId="0" fontId="0" numFmtId="11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9.0066997110488531E-2</c:v>
                </c:pt>
                <c:pt idx="1">
                  <c:v>0.14477751247514595</c:v>
                </c:pt>
                <c:pt idx="2">
                  <c:v>0.12311634478019864</c:v>
                </c:pt>
                <c:pt idx="3">
                  <c:v>0.11599121048657041</c:v>
                </c:pt>
                <c:pt idx="4">
                  <c:v>0.10407364547070003</c:v>
                </c:pt>
                <c:pt idx="5">
                  <c:v>6.4277163440001284E-2</c:v>
                </c:pt>
                <c:pt idx="6">
                  <c:v>6.4745915661869824E-2</c:v>
                </c:pt>
                <c:pt idx="7">
                  <c:v>2.6298283227779672E-2</c:v>
                </c:pt>
                <c:pt idx="8">
                  <c:v>4.2019738398241718E-2</c:v>
                </c:pt>
                <c:pt idx="9">
                  <c:v>2.7348007466003108E-2</c:v>
                </c:pt>
                <c:pt idx="10">
                  <c:v>2.007434302977975E-2</c:v>
                </c:pt>
                <c:pt idx="11">
                  <c:v>1.7704242238772185E-2</c:v>
                </c:pt>
                <c:pt idx="12">
                  <c:v>2.1319101308709804E-2</c:v>
                </c:pt>
                <c:pt idx="13">
                  <c:v>1.3389706173846034E-2</c:v>
                </c:pt>
                <c:pt idx="14">
                  <c:v>5.9603881654732693E-3</c:v>
                </c:pt>
                <c:pt idx="15">
                  <c:v>1.854827983046186E-2</c:v>
                </c:pt>
                <c:pt idx="16">
                  <c:v>1.4509717300698569E-2</c:v>
                </c:pt>
                <c:pt idx="17">
                  <c:v>6.3258568357652941E-3</c:v>
                </c:pt>
                <c:pt idx="18">
                  <c:v>8.2501811145080494E-3</c:v>
                </c:pt>
                <c:pt idx="19">
                  <c:v>9.0097485430791855E-3</c:v>
                </c:pt>
                <c:pt idx="20">
                  <c:v>7.1185898812274311E-3</c:v>
                </c:pt>
                <c:pt idx="21">
                  <c:v>6.7153202176171729E-3</c:v>
                </c:pt>
                <c:pt idx="22">
                  <c:v>1.1304113811877331E-3</c:v>
                </c:pt>
                <c:pt idx="23">
                  <c:v>8.8695474323123417E-4</c:v>
                </c:pt>
                <c:pt idx="24">
                  <c:v>1.6019079997785619E-3</c:v>
                </c:pt>
                <c:pt idx="25">
                  <c:v>2.9189199931598884E-3</c:v>
                </c:pt>
                <c:pt idx="26">
                  <c:v>5.0883853117018422E-3</c:v>
                </c:pt>
                <c:pt idx="27">
                  <c:v>8.7070019659223827E-3</c:v>
                </c:pt>
                <c:pt idx="28">
                  <c:v>5.4553484052897658E-4</c:v>
                </c:pt>
                <c:pt idx="29">
                  <c:v>1.8179912552460113E-3</c:v>
                </c:pt>
                <c:pt idx="30">
                  <c:v>2.5300678360793728E-3</c:v>
                </c:pt>
                <c:pt idx="31">
                  <c:v>4.9423444664117733E-3</c:v>
                </c:pt>
                <c:pt idx="32">
                  <c:v>0</c:v>
                </c:pt>
                <c:pt idx="33">
                  <c:v>3.1164552000254205E-3</c:v>
                </c:pt>
                <c:pt idx="34">
                  <c:v>5.7520397348983553E-3</c:v>
                </c:pt>
                <c:pt idx="35">
                  <c:v>9.8735119578127143E-4</c:v>
                </c:pt>
                <c:pt idx="36">
                  <c:v>1.3232292571205085E-3</c:v>
                </c:pt>
                <c:pt idx="37">
                  <c:v>2.68513732040256E-4</c:v>
                </c:pt>
                <c:pt idx="38">
                  <c:v>2.7519939558437586E-4</c:v>
                </c:pt>
                <c:pt idx="39">
                  <c:v>0</c:v>
                </c:pt>
                <c:pt idx="40">
                  <c:v>1.3032949826641742E-3</c:v>
                </c:pt>
                <c:pt idx="41">
                  <c:v>0</c:v>
                </c:pt>
                <c:pt idx="42">
                  <c:v>2.8345304343612202E-4</c:v>
                </c:pt>
                <c:pt idx="43">
                  <c:v>1.9597685039834719E-3</c:v>
                </c:pt>
                <c:pt idx="44">
                  <c:v>1.0154468164265252E-4</c:v>
                </c:pt>
                <c:pt idx="45">
                  <c:v>1.8683202567946213E-3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6.6784892884338574E-4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2.8316813699995206E-4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8.5126628604889468E-2</c:v>
                </c:pt>
                <c:pt idx="1">
                  <c:v>0.13877909530083443</c:v>
                </c:pt>
                <c:pt idx="2">
                  <c:v>0.13304543014687942</c:v>
                </c:pt>
                <c:pt idx="3">
                  <c:v>0.11926023520226418</c:v>
                </c:pt>
                <c:pt idx="4">
                  <c:v>9.5666813058117403E-2</c:v>
                </c:pt>
                <c:pt idx="5">
                  <c:v>7.7489874591323865E-2</c:v>
                </c:pt>
                <c:pt idx="6">
                  <c:v>5.7361050114673302E-2</c:v>
                </c:pt>
                <c:pt idx="7">
                  <c:v>4.2063143512418875E-2</c:v>
                </c:pt>
                <c:pt idx="8">
                  <c:v>3.2010930561655201E-2</c:v>
                </c:pt>
                <c:pt idx="9">
                  <c:v>2.3300639242668227E-2</c:v>
                </c:pt>
                <c:pt idx="10">
                  <c:v>1.8884497145366712E-2</c:v>
                </c:pt>
                <c:pt idx="11">
                  <c:v>2.0055628751280925E-2</c:v>
                </c:pt>
                <c:pt idx="12">
                  <c:v>1.7835358415068558E-2</c:v>
                </c:pt>
                <c:pt idx="13">
                  <c:v>1.6908212560386472E-2</c:v>
                </c:pt>
                <c:pt idx="14">
                  <c:v>1.3541209193383107E-2</c:v>
                </c:pt>
                <c:pt idx="15">
                  <c:v>1.3297223442150978E-2</c:v>
                </c:pt>
                <c:pt idx="16">
                  <c:v>1.0954960230322549E-2</c:v>
                </c:pt>
                <c:pt idx="17">
                  <c:v>9.7594300492851224E-3</c:v>
                </c:pt>
                <c:pt idx="18">
                  <c:v>8.563899868247694E-3</c:v>
                </c:pt>
                <c:pt idx="19">
                  <c:v>8.0271312155370134E-3</c:v>
                </c:pt>
                <c:pt idx="20">
                  <c:v>7.7587468891816714E-3</c:v>
                </c:pt>
                <c:pt idx="21">
                  <c:v>6.4656224076513934E-3</c:v>
                </c:pt>
                <c:pt idx="22">
                  <c:v>5.7336651539550091E-3</c:v>
                </c:pt>
                <c:pt idx="23">
                  <c:v>5.4652808275996679E-3</c:v>
                </c:pt>
                <c:pt idx="24">
                  <c:v>4.0013663202069002E-3</c:v>
                </c:pt>
                <c:pt idx="25">
                  <c:v>4.1233591958229638E-3</c:v>
                </c:pt>
                <c:pt idx="26">
                  <c:v>3.5865905431122823E-3</c:v>
                </c:pt>
                <c:pt idx="27">
                  <c:v>2.732640413799834E-3</c:v>
                </c:pt>
                <c:pt idx="28">
                  <c:v>2.1958717610891525E-3</c:v>
                </c:pt>
                <c:pt idx="29">
                  <c:v>1.9030888596105987E-3</c:v>
                </c:pt>
                <c:pt idx="30">
                  <c:v>2.0250817352266627E-3</c:v>
                </c:pt>
                <c:pt idx="31">
                  <c:v>1.756697408871322E-3</c:v>
                </c:pt>
                <c:pt idx="32">
                  <c:v>1.3907187820231298E-3</c:v>
                </c:pt>
                <c:pt idx="33">
                  <c:v>1.4395159322695555E-3</c:v>
                </c:pt>
                <c:pt idx="34">
                  <c:v>1.2687259064070658E-3</c:v>
                </c:pt>
                <c:pt idx="35">
                  <c:v>8.7834870443566099E-4</c:v>
                </c:pt>
                <c:pt idx="36">
                  <c:v>8.0515297906602254E-4</c:v>
                </c:pt>
                <c:pt idx="37">
                  <c:v>7.5635582881959694E-4</c:v>
                </c:pt>
                <c:pt idx="38">
                  <c:v>6.0996437808032015E-4</c:v>
                </c:pt>
                <c:pt idx="39">
                  <c:v>6.0996437808032015E-4</c:v>
                </c:pt>
                <c:pt idx="40">
                  <c:v>3.4158005172497925E-4</c:v>
                </c:pt>
                <c:pt idx="41">
                  <c:v>3.9037720197140484E-4</c:v>
                </c:pt>
                <c:pt idx="42">
                  <c:v>3.9037720197140484E-4</c:v>
                </c:pt>
                <c:pt idx="43">
                  <c:v>1.4639145073927682E-4</c:v>
                </c:pt>
                <c:pt idx="44">
                  <c:v>2.1958717610891525E-4</c:v>
                </c:pt>
                <c:pt idx="45">
                  <c:v>7.3195725369638412E-5</c:v>
                </c:pt>
                <c:pt idx="46">
                  <c:v>1.4639145073927682E-4</c:v>
                </c:pt>
                <c:pt idx="47">
                  <c:v>1.4639145073927682E-4</c:v>
                </c:pt>
                <c:pt idx="48">
                  <c:v>1.2199287561606402E-4</c:v>
                </c:pt>
                <c:pt idx="49">
                  <c:v>2.4398575123212805E-4</c:v>
                </c:pt>
                <c:pt idx="50">
                  <c:v>9.7594300492851211E-5</c:v>
                </c:pt>
                <c:pt idx="51">
                  <c:v>2.4398575123212803E-5</c:v>
                </c:pt>
                <c:pt idx="52">
                  <c:v>7.3195725369638412E-5</c:v>
                </c:pt>
                <c:pt idx="53">
                  <c:v>2.4398575123212803E-5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2.4398575123212803E-5</c:v>
                </c:pt>
                <c:pt idx="59">
                  <c:v>0</c:v>
                </c:pt>
                <c:pt idx="60">
                  <c:v>2.4398575123212803E-5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570496"/>
        <c:axId val="162011904"/>
      </c:lineChart>
      <c:catAx>
        <c:axId val="1585704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62011904"/>
        <c:crosses val="autoZero"/>
        <c:auto val="1"/>
        <c:lblAlgn val="ctr"/>
        <c:lblOffset val="100"/>
        <c:tickLblSkip val="10"/>
        <c:noMultiLvlLbl val="0"/>
      </c:catAx>
      <c:valAx>
        <c:axId val="162011904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85704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3.1619919469851945E-3</c:v>
                </c:pt>
                <c:pt idx="3">
                  <c:v>6.2440281652916999E-2</c:v>
                </c:pt>
                <c:pt idx="4">
                  <c:v>6.2304438670068858E-2</c:v>
                </c:pt>
                <c:pt idx="5">
                  <c:v>9.2261218039298085E-2</c:v>
                </c:pt>
                <c:pt idx="6">
                  <c:v>7.4277939642766425E-2</c:v>
                </c:pt>
                <c:pt idx="7">
                  <c:v>6.9737715721755841E-2</c:v>
                </c:pt>
                <c:pt idx="8">
                  <c:v>7.0955867683743193E-2</c:v>
                </c:pt>
                <c:pt idx="9">
                  <c:v>5.1458732391801792E-2</c:v>
                </c:pt>
                <c:pt idx="10">
                  <c:v>7.4256727566888656E-2</c:v>
                </c:pt>
                <c:pt idx="11">
                  <c:v>5.0733571183895099E-2</c:v>
                </c:pt>
                <c:pt idx="12">
                  <c:v>4.2870293259258445E-2</c:v>
                </c:pt>
                <c:pt idx="13">
                  <c:v>2.6871115534105788E-2</c:v>
                </c:pt>
                <c:pt idx="14">
                  <c:v>4.363193394906037E-2</c:v>
                </c:pt>
                <c:pt idx="15">
                  <c:v>2.4612162699053482E-2</c:v>
                </c:pt>
                <c:pt idx="16">
                  <c:v>2.3624257495760633E-2</c:v>
                </c:pt>
                <c:pt idx="17">
                  <c:v>1.8273262629639866E-2</c:v>
                </c:pt>
                <c:pt idx="18">
                  <c:v>1.9876352270062729E-2</c:v>
                </c:pt>
                <c:pt idx="19">
                  <c:v>1.1539270555483457E-2</c:v>
                </c:pt>
                <c:pt idx="20">
                  <c:v>9.1858315369213565E-3</c:v>
                </c:pt>
                <c:pt idx="21">
                  <c:v>6.7758713455892032E-3</c:v>
                </c:pt>
                <c:pt idx="22">
                  <c:v>1.2492487665110236E-2</c:v>
                </c:pt>
                <c:pt idx="23">
                  <c:v>1.6950928542180992E-2</c:v>
                </c:pt>
                <c:pt idx="24">
                  <c:v>1.4939570322658064E-2</c:v>
                </c:pt>
                <c:pt idx="25">
                  <c:v>4.5244294449180494E-3</c:v>
                </c:pt>
                <c:pt idx="26">
                  <c:v>1.4875175745956402E-3</c:v>
                </c:pt>
                <c:pt idx="27">
                  <c:v>1.1220426414089105E-2</c:v>
                </c:pt>
                <c:pt idx="28">
                  <c:v>1.2112441332994625E-2</c:v>
                </c:pt>
                <c:pt idx="29">
                  <c:v>8.4354810317051835E-3</c:v>
                </c:pt>
                <c:pt idx="30">
                  <c:v>6.1247639513099632E-3</c:v>
                </c:pt>
                <c:pt idx="31">
                  <c:v>5.6187947430335044E-3</c:v>
                </c:pt>
                <c:pt idx="32">
                  <c:v>1.3067834129127478E-3</c:v>
                </c:pt>
                <c:pt idx="33">
                  <c:v>2.7721518380018966E-3</c:v>
                </c:pt>
                <c:pt idx="34">
                  <c:v>9.6034856275249349E-3</c:v>
                </c:pt>
                <c:pt idx="35">
                  <c:v>5.57393093703716E-3</c:v>
                </c:pt>
                <c:pt idx="36">
                  <c:v>3.9243880572319293E-3</c:v>
                </c:pt>
                <c:pt idx="37">
                  <c:v>4.9851428542219654E-3</c:v>
                </c:pt>
                <c:pt idx="38">
                  <c:v>7.4009352647955639E-4</c:v>
                </c:pt>
                <c:pt idx="39">
                  <c:v>1.7683842172208991E-3</c:v>
                </c:pt>
                <c:pt idx="40">
                  <c:v>8.9869191911213912E-4</c:v>
                </c:pt>
                <c:pt idx="41">
                  <c:v>3.4829923594987522E-3</c:v>
                </c:pt>
                <c:pt idx="42">
                  <c:v>1.2667628116281838E-3</c:v>
                </c:pt>
                <c:pt idx="43">
                  <c:v>2.4670880749268821E-3</c:v>
                </c:pt>
                <c:pt idx="44">
                  <c:v>1.3023541459360323E-3</c:v>
                </c:pt>
                <c:pt idx="45">
                  <c:v>1.4962624125262143E-3</c:v>
                </c:pt>
                <c:pt idx="46">
                  <c:v>7.7248838955096125E-4</c:v>
                </c:pt>
                <c:pt idx="47">
                  <c:v>1.5891592063292073E-3</c:v>
                </c:pt>
                <c:pt idx="48">
                  <c:v>1.8522841569988545E-3</c:v>
                </c:pt>
                <c:pt idx="49">
                  <c:v>1.8216234132441965E-3</c:v>
                </c:pt>
                <c:pt idx="50">
                  <c:v>1.7844518540642952E-3</c:v>
                </c:pt>
                <c:pt idx="51">
                  <c:v>2.8426906990408033E-3</c:v>
                </c:pt>
                <c:pt idx="52">
                  <c:v>0</c:v>
                </c:pt>
                <c:pt idx="53">
                  <c:v>1.4516641873187856E-3</c:v>
                </c:pt>
                <c:pt idx="54">
                  <c:v>0</c:v>
                </c:pt>
                <c:pt idx="55">
                  <c:v>5.1142837128306893E-4</c:v>
                </c:pt>
                <c:pt idx="56">
                  <c:v>5.2565649885405611E-3</c:v>
                </c:pt>
                <c:pt idx="57">
                  <c:v>0</c:v>
                </c:pt>
                <c:pt idx="58">
                  <c:v>2.6241664517555595E-4</c:v>
                </c:pt>
                <c:pt idx="59">
                  <c:v>7.4058618205482879E-4</c:v>
                </c:pt>
                <c:pt idx="60">
                  <c:v>5.8264307506567968E-4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3.3182062167569416E-3</c:v>
                </c:pt>
                <c:pt idx="1">
                  <c:v>1.4321963597325916E-2</c:v>
                </c:pt>
                <c:pt idx="2">
                  <c:v>1.7127799736495388E-2</c:v>
                </c:pt>
                <c:pt idx="3">
                  <c:v>3.0254233152783878E-2</c:v>
                </c:pt>
                <c:pt idx="4">
                  <c:v>4.7845605816620312E-2</c:v>
                </c:pt>
                <c:pt idx="5">
                  <c:v>6.9316351925047578E-2</c:v>
                </c:pt>
                <c:pt idx="6">
                  <c:v>8.0490899331479043E-2</c:v>
                </c:pt>
                <c:pt idx="7">
                  <c:v>7.739228029083102E-2</c:v>
                </c:pt>
                <c:pt idx="8">
                  <c:v>7.4171668374566929E-2</c:v>
                </c:pt>
                <c:pt idx="9">
                  <c:v>6.9145561899185082E-2</c:v>
                </c:pt>
                <c:pt idx="10">
                  <c:v>5.9312936124530327E-2</c:v>
                </c:pt>
                <c:pt idx="11">
                  <c:v>5.0627043380666571E-2</c:v>
                </c:pt>
                <c:pt idx="12">
                  <c:v>4.4600595325233007E-2</c:v>
                </c:pt>
                <c:pt idx="13">
                  <c:v>3.8866930171278E-2</c:v>
                </c:pt>
                <c:pt idx="14">
                  <c:v>3.4060410872005072E-2</c:v>
                </c:pt>
                <c:pt idx="15">
                  <c:v>2.7472795588737619E-2</c:v>
                </c:pt>
                <c:pt idx="16">
                  <c:v>2.3422632118284291E-2</c:v>
                </c:pt>
                <c:pt idx="17">
                  <c:v>2.0031230176157714E-2</c:v>
                </c:pt>
                <c:pt idx="18">
                  <c:v>1.7298589762357878E-2</c:v>
                </c:pt>
                <c:pt idx="19">
                  <c:v>1.5688283804225833E-2</c:v>
                </c:pt>
                <c:pt idx="20">
                  <c:v>1.417557214658664E-2</c:v>
                </c:pt>
                <c:pt idx="21">
                  <c:v>1.322402771678134E-2</c:v>
                </c:pt>
                <c:pt idx="22">
                  <c:v>1.1735714634265359E-2</c:v>
                </c:pt>
                <c:pt idx="23">
                  <c:v>1.1369736007417168E-2</c:v>
                </c:pt>
                <c:pt idx="24">
                  <c:v>9.8082271995315468E-3</c:v>
                </c:pt>
                <c:pt idx="25">
                  <c:v>9.7106328990386962E-3</c:v>
                </c:pt>
                <c:pt idx="26">
                  <c:v>8.3687112672619912E-3</c:v>
                </c:pt>
                <c:pt idx="27">
                  <c:v>8.3443126921387799E-3</c:v>
                </c:pt>
                <c:pt idx="28">
                  <c:v>7.7831454643048845E-3</c:v>
                </c:pt>
                <c:pt idx="29">
                  <c:v>7.1975796613477777E-3</c:v>
                </c:pt>
                <c:pt idx="30">
                  <c:v>7.3195725369638413E-3</c:v>
                </c:pt>
                <c:pt idx="31">
                  <c:v>6.3924266822817551E-3</c:v>
                </c:pt>
                <c:pt idx="32">
                  <c:v>5.5384765529693063E-3</c:v>
                </c:pt>
                <c:pt idx="33">
                  <c:v>5.709266578831796E-3</c:v>
                </c:pt>
                <c:pt idx="34">
                  <c:v>5.2212950763675398E-3</c:v>
                </c:pt>
                <c:pt idx="35">
                  <c:v>4.4161420973015172E-3</c:v>
                </c:pt>
                <c:pt idx="36">
                  <c:v>4.4161420973015172E-3</c:v>
                </c:pt>
                <c:pt idx="37">
                  <c:v>4.5381349729175817E-3</c:v>
                </c:pt>
                <c:pt idx="38">
                  <c:v>3.1962133411408775E-3</c:v>
                </c:pt>
                <c:pt idx="39">
                  <c:v>4.0013663202069002E-3</c:v>
                </c:pt>
                <c:pt idx="40">
                  <c:v>3.1474161908944518E-3</c:v>
                </c:pt>
                <c:pt idx="41">
                  <c:v>2.7814375640462597E-3</c:v>
                </c:pt>
                <c:pt idx="42">
                  <c:v>2.5130532376909189E-3</c:v>
                </c:pt>
                <c:pt idx="43">
                  <c:v>2.8058361391694723E-3</c:v>
                </c:pt>
                <c:pt idx="44">
                  <c:v>2.0738788854730884E-3</c:v>
                </c:pt>
                <c:pt idx="45">
                  <c:v>2.0006831601034501E-3</c:v>
                </c:pt>
                <c:pt idx="46">
                  <c:v>1.756697408871322E-3</c:v>
                </c:pt>
                <c:pt idx="47">
                  <c:v>1.8054945591177475E-3</c:v>
                </c:pt>
                <c:pt idx="48">
                  <c:v>1.5127116576391939E-3</c:v>
                </c:pt>
                <c:pt idx="49">
                  <c:v>1.5859073830088322E-3</c:v>
                </c:pt>
                <c:pt idx="50">
                  <c:v>1.2931244815302786E-3</c:v>
                </c:pt>
                <c:pt idx="51">
                  <c:v>1.0979358805445762E-3</c:v>
                </c:pt>
                <c:pt idx="52">
                  <c:v>1.2199287561606403E-3</c:v>
                </c:pt>
                <c:pt idx="53">
                  <c:v>7.3195725369638409E-4</c:v>
                </c:pt>
                <c:pt idx="54">
                  <c:v>5.1237007758746884E-4</c:v>
                </c:pt>
                <c:pt idx="55">
                  <c:v>8.5395012931244814E-4</c:v>
                </c:pt>
                <c:pt idx="56">
                  <c:v>5.3676865271068169E-4</c:v>
                </c:pt>
                <c:pt idx="57">
                  <c:v>5.6116722783389455E-4</c:v>
                </c:pt>
                <c:pt idx="58">
                  <c:v>4.147757770946177E-4</c:v>
                </c:pt>
                <c:pt idx="59">
                  <c:v>6.0996437808032015E-4</c:v>
                </c:pt>
                <c:pt idx="60">
                  <c:v>2.4398575123212805E-4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260608"/>
        <c:axId val="162514048"/>
      </c:lineChart>
      <c:catAx>
        <c:axId val="1602606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62514048"/>
        <c:crosses val="autoZero"/>
        <c:auto val="1"/>
        <c:lblAlgn val="ctr"/>
        <c:lblOffset val="100"/>
        <c:tickLblSkip val="10"/>
        <c:noMultiLvlLbl val="0"/>
      </c:catAx>
      <c:valAx>
        <c:axId val="162514048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602606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46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ht="15.75" r="9" spans="1:12" thickBot="1" x14ac:dyDescent="0.3">
      <c r="A9" s="4" t="s">
        <v>47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48</v>
      </c>
      <c r="C10" s="5" t="s">
        <v>48</v>
      </c>
      <c r="E10" s="2" t="s">
        <v>3</v>
      </c>
      <c r="F10" s="5" t="s">
        <v>20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78646.4749</v>
      </c>
      <c r="C11" s="11">
        <f>B11/B$102</f>
        <v>9.0066997110488531E-2</v>
      </c>
      <c r="E11" s="20">
        <v>0</v>
      </c>
      <c r="F11" s="110" t="n">
        <v>64596.0</v>
      </c>
      <c r="G11" s="11">
        <f>F11/F$102</f>
        <v>8.5126628604889468E-2</v>
      </c>
      <c r="K11" s="8" t="n">
        <v>6.437192333537317</v>
      </c>
      <c r="L11" s="8" t="n">
        <v>7.993605390477455</v>
      </c>
    </row>
    <row r="12" spans="1:12" x14ac:dyDescent="0.25">
      <c r="A12">
        <v>1</v>
      </c>
      <c r="B12" s="8" t="n">
        <v>80383.5741</v>
      </c>
      <c r="C12" s="11">
        <f>B12/B$102</f>
        <v>0.14477751247514595</v>
      </c>
      <c r="E12" s="21">
        <v>1</v>
      </c>
      <c r="F12" s="111" t="n">
        <v>45554.0</v>
      </c>
      <c r="G12" s="11">
        <f>F12/F$102</f>
        <v>0.13877909530083443</v>
      </c>
      <c r="K12" s="8"/>
      <c r="L12" s="380"/>
    </row>
    <row r="13" spans="1:12" x14ac:dyDescent="0.25">
      <c r="A13">
        <v>2</v>
      </c>
      <c r="B13" s="8" t="n">
        <v>68859.56509999999</v>
      </c>
      <c r="C13" s="11">
        <f ref="C13:C76" si="0" t="shared">B13/B$102</f>
        <v>0.12311634478019864</v>
      </c>
      <c r="E13" s="22">
        <v>2</v>
      </c>
      <c r="F13" s="112" t="n">
        <v>29224.0</v>
      </c>
      <c r="G13" s="11">
        <f ref="G13:G76" si="1" t="shared">F13/F$102</f>
        <v>0.13304543014687942</v>
      </c>
    </row>
    <row r="14" spans="1:12" x14ac:dyDescent="0.25">
      <c r="A14">
        <v>3</v>
      </c>
      <c r="B14" s="8" t="n">
        <v>62675.316699999996</v>
      </c>
      <c r="C14" s="11">
        <f si="0" t="shared"/>
        <v>0.11599121048657041</v>
      </c>
      <c r="E14" s="23">
        <v>3</v>
      </c>
      <c r="F14" s="113" t="n">
        <v>18882.0</v>
      </c>
      <c r="G14" s="11">
        <f si="1" t="shared"/>
        <v>0.11926023520226418</v>
      </c>
    </row>
    <row r="15" spans="1:12" x14ac:dyDescent="0.25">
      <c r="A15">
        <v>4</v>
      </c>
      <c r="B15" s="8" t="n">
        <v>28044.9011</v>
      </c>
      <c r="C15" s="11">
        <f si="0" t="shared"/>
        <v>0.10407364547070003</v>
      </c>
      <c r="E15" s="24">
        <v>4</v>
      </c>
      <c r="F15" s="114" t="n">
        <v>73481.0</v>
      </c>
      <c r="G15" s="11">
        <f si="1" t="shared"/>
        <v>9.5666813058117403E-2</v>
      </c>
    </row>
    <row r="16" spans="1:12" x14ac:dyDescent="0.25">
      <c r="A16">
        <v>5</v>
      </c>
      <c r="B16" s="8" t="n">
        <v>27632.0718</v>
      </c>
      <c r="C16" s="11">
        <f si="0" t="shared"/>
        <v>6.4277163440001284E-2</v>
      </c>
      <c r="E16" s="25">
        <v>5</v>
      </c>
      <c r="F16" s="115" t="n">
        <v>47995.0</v>
      </c>
      <c r="G16" s="11">
        <f si="1" t="shared"/>
        <v>7.7489874591323865E-2</v>
      </c>
    </row>
    <row r="17" spans="1:7" x14ac:dyDescent="0.25">
      <c r="A17">
        <v>6</v>
      </c>
      <c r="B17" s="8" t="n">
        <v>19480.2844</v>
      </c>
      <c r="C17" s="11">
        <f si="0" t="shared"/>
        <v>6.4745915661869824E-2</v>
      </c>
      <c r="E17" s="26">
        <v>6</v>
      </c>
      <c r="F17" s="116" t="n">
        <v>39704.0</v>
      </c>
      <c r="G17" s="11">
        <f si="1" t="shared"/>
        <v>5.7361050114673302E-2</v>
      </c>
    </row>
    <row r="18" spans="1:7" x14ac:dyDescent="0.25">
      <c r="A18">
        <v>7</v>
      </c>
      <c r="B18" s="8" t="n">
        <v>15620.4359</v>
      </c>
      <c r="C18" s="11">
        <f si="0" t="shared"/>
        <v>2.6298283227779672E-2</v>
      </c>
      <c r="E18" s="27">
        <v>7</v>
      </c>
      <c r="F18" s="117" t="n">
        <v>29502.0</v>
      </c>
      <c r="G18" s="11">
        <f si="1" t="shared"/>
        <v>4.2063143512418875E-2</v>
      </c>
    </row>
    <row r="19" spans="1:7" x14ac:dyDescent="0.25">
      <c r="A19">
        <v>8</v>
      </c>
      <c r="B19" s="8" t="n">
        <v>19694.5983</v>
      </c>
      <c r="C19" s="11">
        <f si="0" t="shared"/>
        <v>4.2019738398241718E-2</v>
      </c>
      <c r="E19" s="28">
        <v>8</v>
      </c>
      <c r="F19" s="118" t="n">
        <v>21027.0</v>
      </c>
      <c r="G19" s="11">
        <f si="1" t="shared"/>
        <v>3.2010930561655201E-2</v>
      </c>
    </row>
    <row r="20" spans="1:7" x14ac:dyDescent="0.25">
      <c r="A20">
        <v>9</v>
      </c>
      <c r="B20" s="8" t="n">
        <v>14122.2422</v>
      </c>
      <c r="C20" s="11">
        <f si="0" t="shared"/>
        <v>2.7348007466003108E-2</v>
      </c>
      <c r="E20" s="29">
        <v>9</v>
      </c>
      <c r="F20" s="119" t="n">
        <v>20756.0</v>
      </c>
      <c r="G20" s="11">
        <f si="1" t="shared"/>
        <v>2.3300639242668227E-2</v>
      </c>
    </row>
    <row r="21" spans="1:7" x14ac:dyDescent="0.25">
      <c r="A21">
        <v>10</v>
      </c>
      <c r="B21" s="8" t="n">
        <v>17664.6809</v>
      </c>
      <c r="C21" s="11">
        <f si="0" t="shared"/>
        <v>2.007434302977975E-2</v>
      </c>
      <c r="E21" s="30">
        <v>10</v>
      </c>
      <c r="F21" s="120" t="n">
        <v>10467.0</v>
      </c>
      <c r="G21" s="11">
        <f si="1" t="shared"/>
        <v>1.8884497145366712E-2</v>
      </c>
    </row>
    <row r="22" spans="1:7" x14ac:dyDescent="0.25">
      <c r="A22">
        <v>11</v>
      </c>
      <c r="B22" s="8" t="n">
        <v>8329.4893</v>
      </c>
      <c r="C22" s="11">
        <f si="0" t="shared"/>
        <v>1.7704242238772185E-2</v>
      </c>
      <c r="E22" s="31">
        <v>11</v>
      </c>
      <c r="F22" s="121" t="n">
        <v>13560.0</v>
      </c>
      <c r="G22" s="11">
        <f si="1" t="shared"/>
        <v>2.0055628751280925E-2</v>
      </c>
    </row>
    <row r="23" spans="1:7" x14ac:dyDescent="0.25">
      <c r="A23">
        <v>12</v>
      </c>
      <c r="B23" s="8" t="n">
        <v>7912.2163</v>
      </c>
      <c r="C23" s="11">
        <f si="0" t="shared"/>
        <v>2.1319101308709804E-2</v>
      </c>
      <c r="E23" s="32">
        <v>12</v>
      </c>
      <c r="F23" s="122" t="n">
        <v>8892.0</v>
      </c>
      <c r="G23" s="11">
        <f si="1" t="shared"/>
        <v>1.7835358415068558E-2</v>
      </c>
    </row>
    <row r="24" spans="1:7" x14ac:dyDescent="0.25">
      <c r="A24">
        <v>13</v>
      </c>
      <c r="B24" s="8" t="n">
        <v>7297.5279</v>
      </c>
      <c r="C24" s="11">
        <f si="0" t="shared"/>
        <v>1.3389706173846034E-2</v>
      </c>
      <c r="E24" s="33">
        <v>13</v>
      </c>
      <c r="F24" s="123" t="n">
        <v>14147.0</v>
      </c>
      <c r="G24" s="11">
        <f si="1" t="shared"/>
        <v>1.6908212560386472E-2</v>
      </c>
    </row>
    <row r="25" spans="1:7" x14ac:dyDescent="0.25">
      <c r="A25">
        <v>14</v>
      </c>
      <c r="B25" s="8" t="n">
        <v>4966.1386</v>
      </c>
      <c r="C25" s="11">
        <f si="0" t="shared"/>
        <v>5.9603881654732693E-3</v>
      </c>
      <c r="E25" s="34">
        <v>14</v>
      </c>
      <c r="F25" s="124" t="n">
        <v>8764.0</v>
      </c>
      <c r="G25" s="11">
        <f si="1" t="shared"/>
        <v>1.3541209193383107E-2</v>
      </c>
    </row>
    <row r="26" spans="1:7" x14ac:dyDescent="0.25">
      <c r="A26">
        <v>15</v>
      </c>
      <c r="B26" s="8" t="n">
        <v>4562.9077</v>
      </c>
      <c r="C26" s="11">
        <f si="0" t="shared"/>
        <v>1.854827983046186E-2</v>
      </c>
      <c r="E26" s="35">
        <v>15</v>
      </c>
      <c r="F26" s="125" t="n">
        <v>13332.0</v>
      </c>
      <c r="G26" s="11">
        <f si="1" t="shared"/>
        <v>1.3297223442150978E-2</v>
      </c>
    </row>
    <row r="27" spans="1:7" x14ac:dyDescent="0.25">
      <c r="A27">
        <v>16</v>
      </c>
      <c r="B27" s="8" t="n">
        <v>4089.2463</v>
      </c>
      <c r="C27" s="11">
        <f si="0" t="shared"/>
        <v>1.4509717300698569E-2</v>
      </c>
      <c r="E27" s="36">
        <v>16</v>
      </c>
      <c r="F27" s="126" t="n">
        <v>9020.0</v>
      </c>
      <c r="G27" s="11">
        <f si="1" t="shared"/>
        <v>1.0954960230322549E-2</v>
      </c>
    </row>
    <row r="28" spans="1:7" x14ac:dyDescent="0.25">
      <c r="A28">
        <v>17</v>
      </c>
      <c r="B28" s="8" t="n">
        <v>6619.538</v>
      </c>
      <c r="C28" s="11">
        <f si="0" t="shared"/>
        <v>6.3258568357652941E-3</v>
      </c>
      <c r="E28" s="37">
        <v>17</v>
      </c>
      <c r="F28" s="127" t="n">
        <v>6028.0</v>
      </c>
      <c r="G28" s="11">
        <f si="1" t="shared"/>
        <v>9.7594300492851224E-3</v>
      </c>
    </row>
    <row r="29" spans="1:7" x14ac:dyDescent="0.25">
      <c r="A29">
        <v>18</v>
      </c>
      <c r="B29" s="8" t="n">
        <v>3791.2763</v>
      </c>
      <c r="C29" s="11">
        <f si="0" t="shared"/>
        <v>8.2501811145080494E-3</v>
      </c>
      <c r="E29" s="38">
        <v>18</v>
      </c>
      <c r="F29" s="128" t="n">
        <v>6711.0</v>
      </c>
      <c r="G29" s="11">
        <f si="1" t="shared"/>
        <v>8.563899868247694E-3</v>
      </c>
    </row>
    <row r="30" spans="1:7" x14ac:dyDescent="0.25">
      <c r="A30">
        <v>19</v>
      </c>
      <c r="B30" s="8" t="n">
        <v>3064.48</v>
      </c>
      <c r="C30" s="11">
        <f si="0" t="shared"/>
        <v>9.0097485430791855E-3</v>
      </c>
      <c r="E30" s="39">
        <v>19</v>
      </c>
      <c r="F30" s="129" t="n">
        <v>5421.0</v>
      </c>
      <c r="G30" s="11">
        <f si="1" t="shared"/>
        <v>8.0271312155370134E-3</v>
      </c>
    </row>
    <row r="31" spans="1:7" x14ac:dyDescent="0.25">
      <c r="A31">
        <v>20</v>
      </c>
      <c r="B31" s="8" t="n">
        <v>721.0188</v>
      </c>
      <c r="C31" s="11">
        <f si="0" t="shared"/>
        <v>7.1185898812274311E-3</v>
      </c>
      <c r="E31" s="40">
        <v>20</v>
      </c>
      <c r="F31" s="130" t="n">
        <v>4820.0</v>
      </c>
      <c r="G31" s="11">
        <f si="1" t="shared"/>
        <v>7.7587468891816714E-3</v>
      </c>
    </row>
    <row r="32" spans="1:7" x14ac:dyDescent="0.25">
      <c r="A32">
        <v>21</v>
      </c>
      <c r="B32" s="8" t="n">
        <v>2553.5053</v>
      </c>
      <c r="C32" s="11">
        <f si="0" t="shared"/>
        <v>6.7153202176171729E-3</v>
      </c>
      <c r="E32" s="41">
        <v>21</v>
      </c>
      <c r="F32" s="131" t="n">
        <v>4747.0</v>
      </c>
      <c r="G32" s="11">
        <f si="1" t="shared"/>
        <v>6.4656224076513934E-3</v>
      </c>
    </row>
    <row r="33" spans="1:7" x14ac:dyDescent="0.25">
      <c r="A33">
        <v>22</v>
      </c>
      <c r="B33" s="8" t="n">
        <v>3908.4674</v>
      </c>
      <c r="C33" s="11">
        <f si="0" t="shared"/>
        <v>1.1304113811877331E-3</v>
      </c>
      <c r="E33" s="42">
        <v>22</v>
      </c>
      <c r="F33" s="132" t="n">
        <v>3327.0</v>
      </c>
      <c r="G33" s="11">
        <f si="1" t="shared"/>
        <v>5.7336651539550091E-3</v>
      </c>
    </row>
    <row r="34" spans="1:7" x14ac:dyDescent="0.25">
      <c r="A34">
        <v>23</v>
      </c>
      <c r="B34" s="8" t="n">
        <v>3947.6059</v>
      </c>
      <c r="C34" s="11">
        <f si="0" t="shared"/>
        <v>8.8695474323123417E-4</v>
      </c>
      <c r="E34" s="43">
        <v>23</v>
      </c>
      <c r="F34" s="133" t="n">
        <v>3973.0</v>
      </c>
      <c r="G34" s="11">
        <f si="1" t="shared"/>
        <v>5.4652808275996679E-3</v>
      </c>
    </row>
    <row r="35" spans="1:7" x14ac:dyDescent="0.25">
      <c r="A35">
        <v>24</v>
      </c>
      <c r="B35" s="8" t="n">
        <v>939.5337</v>
      </c>
      <c r="C35" s="11">
        <f si="0" t="shared"/>
        <v>1.6019079997785619E-3</v>
      </c>
      <c r="E35" s="44">
        <v>24</v>
      </c>
      <c r="F35" s="134" t="n">
        <v>3279.0</v>
      </c>
      <c r="G35" s="11">
        <f si="1" t="shared"/>
        <v>4.0013663202069002E-3</v>
      </c>
    </row>
    <row r="36" spans="1:7" x14ac:dyDescent="0.25">
      <c r="A36">
        <v>25</v>
      </c>
      <c r="B36" s="8" t="n">
        <v>5037.071</v>
      </c>
      <c r="C36" s="11">
        <f si="0" t="shared"/>
        <v>2.9189199931598884E-3</v>
      </c>
      <c r="E36" s="45">
        <v>25</v>
      </c>
      <c r="F36" s="135" t="n">
        <v>2782.0</v>
      </c>
      <c r="G36" s="11">
        <f si="1" t="shared"/>
        <v>4.1233591958229638E-3</v>
      </c>
    </row>
    <row r="37" spans="1:7" x14ac:dyDescent="0.25">
      <c r="A37">
        <v>26</v>
      </c>
      <c r="B37" s="8" t="n">
        <v>1215.7332</v>
      </c>
      <c r="C37" s="11">
        <f si="0" t="shared"/>
        <v>5.0883853117018422E-3</v>
      </c>
      <c r="E37" s="46">
        <v>26</v>
      </c>
      <c r="F37" s="136" t="n">
        <v>2021.0</v>
      </c>
      <c r="G37" s="11">
        <f si="1" t="shared"/>
        <v>3.5865905431122823E-3</v>
      </c>
    </row>
    <row r="38" spans="1:7" x14ac:dyDescent="0.25">
      <c r="A38">
        <v>27</v>
      </c>
      <c r="B38" s="8" t="n">
        <v>397.2416</v>
      </c>
      <c r="C38" s="11">
        <f si="0" t="shared"/>
        <v>8.7070019659223827E-3</v>
      </c>
      <c r="E38" s="47">
        <v>27</v>
      </c>
      <c r="F38" s="137" t="n">
        <v>3591.0</v>
      </c>
      <c r="G38" s="11">
        <f si="1" t="shared"/>
        <v>2.732640413799834E-3</v>
      </c>
    </row>
    <row r="39" spans="1:7" x14ac:dyDescent="0.25">
      <c r="A39">
        <v>28</v>
      </c>
      <c r="B39" s="8" t="n">
        <v>533.5947</v>
      </c>
      <c r="C39" s="11">
        <f si="0" t="shared"/>
        <v>5.4553484052897658E-4</v>
      </c>
      <c r="E39" s="48">
        <v>28</v>
      </c>
      <c r="F39" s="138" t="n">
        <v>1784.0</v>
      </c>
      <c r="G39" s="11">
        <f si="1" t="shared"/>
        <v>2.1958717610891525E-3</v>
      </c>
    </row>
    <row r="40" spans="1:7" x14ac:dyDescent="0.25">
      <c r="A40">
        <v>29</v>
      </c>
      <c r="B40" s="8" t="n">
        <v>1136.1798999999999</v>
      </c>
      <c r="C40" s="11">
        <f si="0" t="shared"/>
        <v>1.8179912552460113E-3</v>
      </c>
      <c r="E40" s="49">
        <v>29</v>
      </c>
      <c r="F40" s="139" t="n">
        <v>1536.0</v>
      </c>
      <c r="G40" s="11">
        <f si="1" t="shared"/>
        <v>1.9030888596105987E-3</v>
      </c>
    </row>
    <row r="41" spans="1:7" x14ac:dyDescent="0.25">
      <c r="A41">
        <v>30</v>
      </c>
      <c r="B41" s="8" t="n">
        <v>1380.4324</v>
      </c>
      <c r="C41" s="11">
        <f si="0" t="shared"/>
        <v>2.5300678360793728E-3</v>
      </c>
      <c r="E41" s="50">
        <v>30</v>
      </c>
      <c r="F41" s="140" t="n">
        <v>1808.0</v>
      </c>
      <c r="G41" s="11">
        <f si="1" t="shared"/>
        <v>2.0250817352266627E-3</v>
      </c>
    </row>
    <row r="42" spans="1:7" x14ac:dyDescent="0.25">
      <c r="A42">
        <v>31</v>
      </c>
      <c r="B42" s="8" t="n">
        <v>0.0</v>
      </c>
      <c r="C42" s="11">
        <f si="0" t="shared"/>
        <v>4.9423444664117733E-3</v>
      </c>
      <c r="E42" s="51">
        <v>31</v>
      </c>
      <c r="F42" s="141" t="n">
        <v>1205.0</v>
      </c>
      <c r="G42" s="11">
        <f si="1" t="shared"/>
        <v>1.756697408871322E-3</v>
      </c>
    </row>
    <row r="43" spans="1:7" x14ac:dyDescent="0.25">
      <c r="A43">
        <v>32</v>
      </c>
      <c r="B43" s="8" t="n">
        <v>581.159</v>
      </c>
      <c r="C43" s="11">
        <f si="0" t="shared"/>
        <v>0</v>
      </c>
      <c r="E43" s="52">
        <v>32</v>
      </c>
      <c r="F43" s="142" t="n">
        <v>1137.0</v>
      </c>
      <c r="G43" s="11">
        <f si="1" t="shared"/>
        <v>1.3907187820231298E-3</v>
      </c>
    </row>
    <row r="44" spans="1:7" x14ac:dyDescent="0.25">
      <c r="A44">
        <v>33</v>
      </c>
      <c r="B44" s="8" t="n">
        <v>1520.9793</v>
      </c>
      <c r="C44" s="11">
        <f si="0" t="shared"/>
        <v>3.1164552000254205E-3</v>
      </c>
      <c r="E44" s="53">
        <v>33</v>
      </c>
      <c r="F44" s="143" t="n">
        <v>767.0</v>
      </c>
      <c r="G44" s="11">
        <f si="1" t="shared"/>
        <v>1.4395159322695555E-3</v>
      </c>
    </row>
    <row r="45" spans="1:7" x14ac:dyDescent="0.25">
      <c r="A45">
        <v>34</v>
      </c>
      <c r="B45" s="8" t="n">
        <v>1229.7205</v>
      </c>
      <c r="C45" s="11">
        <f si="0" t="shared"/>
        <v>5.7520397348983553E-3</v>
      </c>
      <c r="E45" s="54">
        <v>34</v>
      </c>
      <c r="F45" s="144" t="n">
        <v>837.0</v>
      </c>
      <c r="G45" s="11">
        <f si="1" t="shared"/>
        <v>1.2687259064070658E-3</v>
      </c>
    </row>
    <row r="46" spans="1:7" x14ac:dyDescent="0.25">
      <c r="A46">
        <v>35</v>
      </c>
      <c r="B46" s="8" t="n">
        <v>227.9556</v>
      </c>
      <c r="C46" s="11">
        <f si="0" t="shared"/>
        <v>9.8735119578127143E-4</v>
      </c>
      <c r="E46" s="55">
        <v>35</v>
      </c>
      <c r="F46" s="145" t="n">
        <v>715.0</v>
      </c>
      <c r="G46" s="11">
        <f si="1" t="shared"/>
        <v>8.7834870443566099E-4</v>
      </c>
    </row>
    <row r="47" spans="1:7" x14ac:dyDescent="0.25">
      <c r="A47">
        <v>36</v>
      </c>
      <c r="B47" s="8" t="n">
        <v>1464.8863</v>
      </c>
      <c r="C47" s="11">
        <f si="0" t="shared"/>
        <v>1.3232292571205085E-3</v>
      </c>
      <c r="E47" s="56">
        <v>36</v>
      </c>
      <c r="F47" s="146" t="n">
        <v>828.0</v>
      </c>
      <c r="G47" s="11">
        <f si="1" t="shared"/>
        <v>8.0515297906602254E-4</v>
      </c>
    </row>
    <row r="48" spans="1:7" x14ac:dyDescent="0.25">
      <c r="A48">
        <v>37</v>
      </c>
      <c r="B48" s="8" t="n">
        <v>491.9691</v>
      </c>
      <c r="C48" s="11">
        <f si="0" t="shared"/>
        <v>2.68513732040256E-4</v>
      </c>
      <c r="E48" s="57">
        <v>37</v>
      </c>
      <c r="F48" s="147" t="n">
        <v>644.0</v>
      </c>
      <c r="G48" s="11">
        <f si="1" t="shared"/>
        <v>7.5635582881959694E-4</v>
      </c>
    </row>
    <row r="49" spans="1:7" x14ac:dyDescent="0.25">
      <c r="A49">
        <v>38</v>
      </c>
      <c r="B49" s="8" t="n">
        <v>61.3635</v>
      </c>
      <c r="C49" s="11">
        <f si="0" t="shared"/>
        <v>2.7519939558437586E-4</v>
      </c>
      <c r="E49" s="58">
        <v>38</v>
      </c>
      <c r="F49" s="148" t="n">
        <v>459.0</v>
      </c>
      <c r="G49" s="11">
        <f si="1" t="shared"/>
        <v>6.0996437808032015E-4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59">
        <v>39</v>
      </c>
      <c r="F50" s="149" t="n">
        <v>452.0</v>
      </c>
      <c r="G50" s="11">
        <f si="1" t="shared"/>
        <v>6.0996437808032015E-4</v>
      </c>
    </row>
    <row r="51" spans="1:7" x14ac:dyDescent="0.25">
      <c r="A51">
        <v>40</v>
      </c>
      <c r="B51" s="8" t="n">
        <v>3808.7226</v>
      </c>
      <c r="C51" s="11">
        <f si="0" t="shared"/>
        <v>1.3032949826641742E-3</v>
      </c>
      <c r="E51" s="60">
        <v>40</v>
      </c>
      <c r="F51" s="150" t="n">
        <v>430.0</v>
      </c>
      <c r="G51" s="11">
        <f si="1" t="shared"/>
        <v>3.4158005172497925E-4</v>
      </c>
    </row>
    <row r="52" spans="1:7" x14ac:dyDescent="0.25">
      <c r="A52">
        <v>41</v>
      </c>
      <c r="B52" s="8" t="n">
        <v>945.8856</v>
      </c>
      <c r="C52" s="11">
        <f si="0" t="shared"/>
        <v>0</v>
      </c>
      <c r="E52" s="61">
        <v>41</v>
      </c>
      <c r="F52" s="151" t="n">
        <v>304.0</v>
      </c>
      <c r="G52" s="11">
        <f si="1" t="shared"/>
        <v>3.9037720197140484E-4</v>
      </c>
    </row>
    <row r="53" spans="1:7" x14ac:dyDescent="0.25">
      <c r="A53">
        <v>42</v>
      </c>
      <c r="B53" s="8" t="n">
        <v>0.0</v>
      </c>
      <c r="C53" s="11">
        <f si="0" t="shared"/>
        <v>2.8345304343612202E-4</v>
      </c>
      <c r="E53" s="62">
        <v>42</v>
      </c>
      <c r="F53" s="152" t="n">
        <v>276.0</v>
      </c>
      <c r="G53" s="11">
        <f si="1" t="shared"/>
        <v>3.9037720197140484E-4</v>
      </c>
    </row>
    <row r="54" spans="1:7" x14ac:dyDescent="0.25">
      <c r="A54">
        <v>43</v>
      </c>
      <c r="B54" s="8" t="n">
        <v>328.0755</v>
      </c>
      <c r="C54" s="11">
        <f si="0" t="shared"/>
        <v>1.9597685039834719E-3</v>
      </c>
      <c r="E54" s="63">
        <v>43</v>
      </c>
      <c r="F54" s="153" t="n">
        <v>192.0</v>
      </c>
      <c r="G54" s="11">
        <f si="1" t="shared"/>
        <v>1.4639145073927682E-4</v>
      </c>
    </row>
    <row r="55" spans="1:7" x14ac:dyDescent="0.25">
      <c r="A55">
        <v>44</v>
      </c>
      <c r="B55" s="8" t="n">
        <v>371.4912</v>
      </c>
      <c r="C55" s="11">
        <f si="0" t="shared"/>
        <v>1.0154468164265252E-4</v>
      </c>
      <c r="E55" s="64">
        <v>44</v>
      </c>
      <c r="F55" s="154" t="n">
        <v>188.0</v>
      </c>
      <c r="G55" s="11">
        <f si="1" t="shared"/>
        <v>2.1958717610891525E-4</v>
      </c>
    </row>
    <row r="56" spans="1:7" x14ac:dyDescent="0.25">
      <c r="A56">
        <v>45</v>
      </c>
      <c r="B56" s="8" t="n">
        <v>0.0</v>
      </c>
      <c r="C56" s="11">
        <f si="0" t="shared"/>
        <v>1.8683202567946213E-3</v>
      </c>
      <c r="E56" s="65">
        <v>45</v>
      </c>
      <c r="F56" s="155" t="n">
        <v>207.0</v>
      </c>
      <c r="G56" s="11">
        <f si="1" t="shared"/>
        <v>7.3195725369638412E-5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66">
        <v>46</v>
      </c>
      <c r="F57" s="156" t="n">
        <v>154.0</v>
      </c>
      <c r="G57" s="11">
        <f si="1" t="shared"/>
        <v>1.4639145073927682E-4</v>
      </c>
    </row>
    <row r="58" spans="1:7" x14ac:dyDescent="0.25">
      <c r="A58">
        <v>47</v>
      </c>
      <c r="B58" s="8" t="n">
        <v>466.90999999999997</v>
      </c>
      <c r="C58" s="11">
        <f si="0" t="shared"/>
        <v>0</v>
      </c>
      <c r="E58" s="67">
        <v>47</v>
      </c>
      <c r="F58" s="157" t="n">
        <v>165.0</v>
      </c>
      <c r="G58" s="11">
        <f si="1" t="shared"/>
        <v>1.4639145073927682E-4</v>
      </c>
    </row>
    <row r="59" spans="1:7" x14ac:dyDescent="0.25">
      <c r="A59">
        <v>48</v>
      </c>
      <c r="B59" s="8" t="n">
        <v>176.6034</v>
      </c>
      <c r="C59" s="11">
        <f si="0" t="shared"/>
        <v>0</v>
      </c>
      <c r="E59" s="68">
        <v>48</v>
      </c>
      <c r="F59" s="158" t="n">
        <v>81.0</v>
      </c>
      <c r="G59" s="11">
        <f si="1" t="shared"/>
        <v>1.2199287561606402E-4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9">
        <v>49</v>
      </c>
      <c r="F60" s="159" t="n">
        <v>113.0</v>
      </c>
      <c r="G60" s="11">
        <f si="1" t="shared"/>
        <v>2.4398575123212805E-4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70">
        <v>50</v>
      </c>
      <c r="F61" s="160" t="n">
        <v>37.0</v>
      </c>
      <c r="G61" s="11">
        <f si="1" t="shared"/>
        <v>9.7594300492851211E-5</v>
      </c>
    </row>
    <row r="62" spans="1:7" x14ac:dyDescent="0.25">
      <c r="A62">
        <v>51</v>
      </c>
      <c r="B62" s="8" t="n">
        <v>0.0</v>
      </c>
      <c r="C62" s="11">
        <f si="0" t="shared"/>
        <v>6.6784892884338574E-4</v>
      </c>
      <c r="E62" s="71">
        <v>51</v>
      </c>
      <c r="F62" s="161" t="n">
        <v>89.0</v>
      </c>
      <c r="G62" s="11">
        <f si="1" t="shared"/>
        <v>2.4398575123212803E-5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2">
        <v>52</v>
      </c>
      <c r="F63" s="162" t="n">
        <v>56.0</v>
      </c>
      <c r="G63" s="11">
        <f si="1" t="shared"/>
        <v>7.3195725369638412E-5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73">
        <v>53</v>
      </c>
      <c r="F64" s="163" t="n">
        <v>36.0</v>
      </c>
      <c r="G64" s="11">
        <f si="1" t="shared"/>
        <v>2.4398575123212803E-5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4">
        <v>54</v>
      </c>
      <c r="F65" s="164" t="n">
        <v>43.0</v>
      </c>
      <c r="G65" s="11">
        <f si="1" t="shared"/>
        <v>0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5">
        <v>55</v>
      </c>
      <c r="F66" s="165" t="n">
        <v>43.0</v>
      </c>
      <c r="G66" s="11">
        <f si="1" t="shared"/>
        <v>0</v>
      </c>
    </row>
    <row r="67" spans="1:7" x14ac:dyDescent="0.25">
      <c r="A67">
        <v>56</v>
      </c>
      <c r="B67" s="8" t="n">
        <v>0.0</v>
      </c>
      <c r="C67" s="11">
        <f si="0" t="shared"/>
        <v>2.8316813699995206E-4</v>
      </c>
      <c r="E67" s="76">
        <v>56</v>
      </c>
      <c r="F67" s="166" t="n">
        <v>17.0</v>
      </c>
      <c r="G67" s="11">
        <f si="1" t="shared"/>
        <v>0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77">
        <v>57</v>
      </c>
      <c r="F68" s="167" t="n">
        <v>16.0</v>
      </c>
      <c r="G68" s="11">
        <f si="1" t="shared"/>
        <v>0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78">
        <v>58</v>
      </c>
      <c r="F69" s="168" t="n">
        <v>12.0</v>
      </c>
      <c r="G69" s="11">
        <f si="1" t="shared"/>
        <v>2.4398575123212803E-5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9">
        <v>59</v>
      </c>
      <c r="F70" s="169" t="n">
        <v>21.0</v>
      </c>
      <c r="G70" s="11">
        <f si="1" t="shared"/>
        <v>0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80">
        <v>60</v>
      </c>
      <c r="F71" s="170" t="n">
        <v>17.0</v>
      </c>
      <c r="G71" s="11">
        <f si="1" t="shared"/>
        <v>2.4398575123212803E-5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1">
        <v>61</v>
      </c>
      <c r="F72" s="171" t="n">
        <v>4.0</v>
      </c>
      <c r="G72" s="11">
        <f si="1" t="shared"/>
        <v>0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2">
        <v>62</v>
      </c>
      <c r="F73" s="172" t="n">
        <v>12.0</v>
      </c>
      <c r="G73" s="11">
        <f si="1" t="shared"/>
        <v>2.4398575123212803E-5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3">
        <v>63</v>
      </c>
      <c r="F74" s="173" t="n">
        <v>3.0</v>
      </c>
      <c r="G74" s="11">
        <f si="1" t="shared"/>
        <v>0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84">
        <v>64</v>
      </c>
      <c r="F75" s="174" t="n">
        <v>5.0</v>
      </c>
      <c r="G75" s="11">
        <f si="1" t="shared"/>
        <v>0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5">
        <v>65</v>
      </c>
      <c r="F76" s="175" t="n">
        <v>3.0</v>
      </c>
      <c r="G76" s="11">
        <f si="1" t="shared"/>
        <v>0</v>
      </c>
    </row>
    <row r="77" spans="1:7" x14ac:dyDescent="0.25">
      <c r="A77">
        <v>66</v>
      </c>
      <c r="B77" s="8" t="n">
        <v>157.8241</v>
      </c>
      <c r="C77" s="11">
        <f ref="C77:C102" si="2" t="shared">B77/B$102</f>
        <v>0</v>
      </c>
      <c r="E77" s="86">
        <v>66</v>
      </c>
      <c r="F77" s="176" t="n">
        <v>2.0</v>
      </c>
      <c r="G77" s="11">
        <f ref="G77:G102" si="3" t="shared">F77/F$102</f>
        <v>2.4398575123212803E-5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7">
        <v>67</v>
      </c>
      <c r="F78" s="177" t="n">
        <v>0.0</v>
      </c>
      <c r="G78" s="11">
        <f si="3" t="shared"/>
        <v>0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88">
        <v>68</v>
      </c>
      <c r="F79" s="178" t="n">
        <v>1.0</v>
      </c>
      <c r="G79" s="11">
        <f si="3" t="shared"/>
        <v>2.4398575123212803E-5</v>
      </c>
    </row>
    <row r="80" spans="1:7" x14ac:dyDescent="0.25">
      <c r="A80">
        <v>69</v>
      </c>
      <c r="B80" s="8" t="n">
        <v>192.5601</v>
      </c>
      <c r="C80" s="11">
        <f si="2" t="shared"/>
        <v>0</v>
      </c>
      <c r="E80" s="89">
        <v>69</v>
      </c>
      <c r="F80" s="179" t="n">
        <v>0.0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90">
        <v>70</v>
      </c>
      <c r="F81" s="180" t="n">
        <v>4.0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1">
        <v>71</v>
      </c>
      <c r="F82" s="181" t="n">
        <v>1.0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2">
        <v>72</v>
      </c>
      <c r="F83" s="182" t="n">
        <v>1.0</v>
      </c>
      <c r="G83" s="11">
        <f si="3" t="shared"/>
        <v>0</v>
      </c>
    </row>
    <row r="84" spans="1:7" x14ac:dyDescent="0.25">
      <c r="A84">
        <v>73</v>
      </c>
      <c r="B84" s="8" t="n">
        <v>264.2893</v>
      </c>
      <c r="C84" s="11">
        <f si="2" t="shared"/>
        <v>0</v>
      </c>
      <c r="E84" s="93">
        <v>73</v>
      </c>
      <c r="F84" s="183" t="n">
        <v>0.0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4">
        <v>74</v>
      </c>
      <c r="F85" s="184" t="n">
        <v>5.0</v>
      </c>
      <c r="G85" s="11">
        <f si="3" t="shared"/>
        <v>0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5">
        <v>75</v>
      </c>
      <c r="F86" s="185" t="n">
        <v>1.0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96">
        <v>76</v>
      </c>
      <c r="F87" s="186" t="n">
        <v>1.0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7">
        <v>77</v>
      </c>
      <c r="F88" s="187" t="n">
        <v>3.0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8">
        <v>78</v>
      </c>
      <c r="F89" s="188" t="n">
        <v>0.0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99">
        <v>79</v>
      </c>
      <c r="F90" s="189" t="n">
        <v>1.0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00">
        <v>80</v>
      </c>
      <c r="F91" s="190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1">
        <v>81</v>
      </c>
      <c r="F92" s="191" t="n">
        <v>0.0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2">
        <v>82</v>
      </c>
      <c r="F93" s="192" t="n">
        <v>0.0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3">
        <v>83</v>
      </c>
      <c r="F94" s="193" t="n">
        <v>1.0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4">
        <v>84</v>
      </c>
      <c r="F95" s="194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5">
        <v>85</v>
      </c>
      <c r="F96" s="195" t="n">
        <v>0.0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6">
        <v>86</v>
      </c>
      <c r="F97" s="196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7">
        <v>87</v>
      </c>
      <c r="F98" s="197" t="n">
        <v>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8">
        <v>88</v>
      </c>
      <c r="F99" s="198" t="n">
        <v>1.0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9">
        <v>89</v>
      </c>
      <c r="F100" s="199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97">
        <v>90</v>
      </c>
      <c r="F101" s="397" t="n">
        <v>0.0</v>
      </c>
      <c r="G101" s="11">
        <f si="3" t="shared"/>
        <v>0</v>
      </c>
    </row>
    <row r="102" spans="1:7" x14ac:dyDescent="0.25">
      <c r="B102" s="8">
        <f>SUM(B11:B101)</f>
        <v>201324.40918945288</v>
      </c>
      <c r="C102" s="11">
        <f si="2" t="shared"/>
        <v>1</v>
      </c>
      <c r="F102" s="8">
        <f>SUM(F11:F101)</f>
        <v>204930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49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ht="15.75" r="9" spans="1:12" thickBot="1" x14ac:dyDescent="0.3">
      <c r="A9" s="4" t="s">
        <v>50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48</v>
      </c>
      <c r="E10" s="2" t="s">
        <v>19</v>
      </c>
      <c r="F10" s="5" t="s">
        <v>4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2488.177</v>
      </c>
      <c r="C11" s="11">
        <f>B11/B$102</f>
        <v>0</v>
      </c>
      <c r="E11" s="200">
        <v>0</v>
      </c>
      <c r="F11" s="290" t="n">
        <v>11583.0</v>
      </c>
      <c r="G11" s="11">
        <f>F11/F$102</f>
        <v>3.3182062167569416E-3</v>
      </c>
      <c r="K11" s="8" t="n">
        <v>16.45826166688692</v>
      </c>
      <c r="L11" s="8" t="n">
        <v>21.64354325992206</v>
      </c>
    </row>
    <row r="12" spans="1:12" x14ac:dyDescent="0.25">
      <c r="A12">
        <v>1</v>
      </c>
      <c r="B12" s="8" t="n">
        <v>6008.7006</v>
      </c>
      <c r="C12" s="11">
        <f>B12/B$102</f>
        <v>0</v>
      </c>
      <c r="E12" s="201">
        <v>1</v>
      </c>
      <c r="F12" s="291" t="n">
        <v>12728.0</v>
      </c>
      <c r="G12" s="11">
        <f>F12/F$102</f>
        <v>1.4321963597325916E-2</v>
      </c>
      <c r="K12" s="8"/>
      <c r="L12" s="381"/>
    </row>
    <row r="13" spans="1:12" x14ac:dyDescent="0.25">
      <c r="A13">
        <v>2</v>
      </c>
      <c r="B13" s="8" t="n">
        <v>4993.1314999999995</v>
      </c>
      <c r="C13" s="11">
        <f ref="C13:C76" si="0" t="shared">B13/B$102</f>
        <v>3.1619919469851945E-3</v>
      </c>
      <c r="E13" s="202">
        <v>2</v>
      </c>
      <c r="F13" s="292" t="n">
        <v>15016.0</v>
      </c>
      <c r="G13" s="11">
        <f ref="G13:G76" si="1" t="shared">F13/F$102</f>
        <v>1.7127799736495388E-2</v>
      </c>
    </row>
    <row r="14" spans="1:12" x14ac:dyDescent="0.25">
      <c r="A14">
        <v>3</v>
      </c>
      <c r="B14" s="8" t="n">
        <v>13745.545399999999</v>
      </c>
      <c r="C14" s="11">
        <f si="0" t="shared"/>
        <v>6.2440281652916999E-2</v>
      </c>
      <c r="E14" s="203">
        <v>3</v>
      </c>
      <c r="F14" s="293" t="n">
        <v>15072.0</v>
      </c>
      <c r="G14" s="11">
        <f si="1" t="shared"/>
        <v>3.0254233152783878E-2</v>
      </c>
    </row>
    <row r="15" spans="1:12" x14ac:dyDescent="0.25">
      <c r="A15">
        <v>4</v>
      </c>
      <c r="B15" s="8" t="n">
        <v>15785.0675</v>
      </c>
      <c r="C15" s="11">
        <f si="0" t="shared"/>
        <v>6.2304438670068858E-2</v>
      </c>
      <c r="E15" s="204">
        <v>4</v>
      </c>
      <c r="F15" s="294" t="n">
        <v>14225.0</v>
      </c>
      <c r="G15" s="11">
        <f si="1" t="shared"/>
        <v>4.7845605816620312E-2</v>
      </c>
    </row>
    <row r="16" spans="1:12" x14ac:dyDescent="0.25">
      <c r="A16">
        <v>5</v>
      </c>
      <c r="B16" s="8" t="n">
        <v>21966.5936</v>
      </c>
      <c r="C16" s="11">
        <f si="0" t="shared"/>
        <v>9.2261218039298085E-2</v>
      </c>
      <c r="E16" s="205">
        <v>5</v>
      </c>
      <c r="F16" s="295" t="n">
        <v>13420.0</v>
      </c>
      <c r="G16" s="11">
        <f si="1" t="shared"/>
        <v>6.9316351925047578E-2</v>
      </c>
    </row>
    <row r="17" spans="1:7" x14ac:dyDescent="0.25">
      <c r="A17">
        <v>6</v>
      </c>
      <c r="B17" s="8" t="n">
        <v>37203.8762</v>
      </c>
      <c r="C17" s="11">
        <f si="0" t="shared"/>
        <v>7.4277939642766425E-2</v>
      </c>
      <c r="E17" s="206">
        <v>6</v>
      </c>
      <c r="F17" s="296" t="n">
        <v>12552.0</v>
      </c>
      <c r="G17" s="11">
        <f si="1" t="shared"/>
        <v>8.0490899331479043E-2</v>
      </c>
    </row>
    <row r="18" spans="1:7" x14ac:dyDescent="0.25">
      <c r="A18">
        <v>7</v>
      </c>
      <c r="B18" s="8" t="n">
        <v>23721.0975</v>
      </c>
      <c r="C18" s="11">
        <f si="0" t="shared"/>
        <v>6.9737715721755841E-2</v>
      </c>
      <c r="E18" s="207">
        <v>7</v>
      </c>
      <c r="F18" s="297" t="n">
        <v>11686.0</v>
      </c>
      <c r="G18" s="11">
        <f si="1" t="shared"/>
        <v>7.739228029083102E-2</v>
      </c>
    </row>
    <row r="19" spans="1:7" x14ac:dyDescent="0.25">
      <c r="A19">
        <v>8</v>
      </c>
      <c r="B19" s="8" t="n">
        <v>30111.6949</v>
      </c>
      <c r="C19" s="11">
        <f si="0" t="shared"/>
        <v>7.0955867683743193E-2</v>
      </c>
      <c r="E19" s="208">
        <v>8</v>
      </c>
      <c r="F19" s="298" t="n">
        <v>10462.0</v>
      </c>
      <c r="G19" s="11">
        <f si="1" t="shared"/>
        <v>7.4171668374566929E-2</v>
      </c>
    </row>
    <row r="20" spans="1:7" x14ac:dyDescent="0.25">
      <c r="A20">
        <v>9</v>
      </c>
      <c r="B20" s="8" t="n">
        <v>33732.8479</v>
      </c>
      <c r="C20" s="11">
        <f si="0" t="shared"/>
        <v>5.1458732391801792E-2</v>
      </c>
      <c r="E20" s="209">
        <v>9</v>
      </c>
      <c r="F20" s="299" t="n">
        <v>9452.0</v>
      </c>
      <c r="G20" s="11">
        <f si="1" t="shared"/>
        <v>6.9145561899185082E-2</v>
      </c>
    </row>
    <row r="21" spans="1:7" x14ac:dyDescent="0.25">
      <c r="A21">
        <v>10</v>
      </c>
      <c r="B21" s="8" t="n">
        <v>42436.7659</v>
      </c>
      <c r="C21" s="11">
        <f si="0" t="shared"/>
        <v>7.4256727566888656E-2</v>
      </c>
      <c r="E21" s="210">
        <v>10</v>
      </c>
      <c r="F21" s="300" t="n">
        <v>8490.0</v>
      </c>
      <c r="G21" s="11">
        <f si="1" t="shared"/>
        <v>5.9312936124530327E-2</v>
      </c>
    </row>
    <row r="22" spans="1:7" x14ac:dyDescent="0.25">
      <c r="A22">
        <v>11</v>
      </c>
      <c r="B22" s="8" t="n">
        <v>27953.7166</v>
      </c>
      <c r="C22" s="11">
        <f si="0" t="shared"/>
        <v>5.0733571183895099E-2</v>
      </c>
      <c r="E22" s="211">
        <v>11</v>
      </c>
      <c r="F22" s="301" t="n">
        <v>7518.0</v>
      </c>
      <c r="G22" s="11">
        <f si="1" t="shared"/>
        <v>5.0627043380666571E-2</v>
      </c>
    </row>
    <row r="23" spans="1:7" x14ac:dyDescent="0.25">
      <c r="A23">
        <v>12</v>
      </c>
      <c r="B23" s="8" t="n">
        <v>15673.1346</v>
      </c>
      <c r="C23" s="11">
        <f si="0" t="shared"/>
        <v>4.2870293259258445E-2</v>
      </c>
      <c r="E23" s="212">
        <v>12</v>
      </c>
      <c r="F23" s="302" t="n">
        <v>7022.0</v>
      </c>
      <c r="G23" s="11">
        <f si="1" t="shared"/>
        <v>4.4600595325233007E-2</v>
      </c>
    </row>
    <row r="24" spans="1:7" x14ac:dyDescent="0.25">
      <c r="A24">
        <v>13</v>
      </c>
      <c r="B24" s="8" t="n">
        <v>20295.2765</v>
      </c>
      <c r="C24" s="11">
        <f si="0" t="shared"/>
        <v>2.6871115534105788E-2</v>
      </c>
      <c r="E24" s="213">
        <v>13</v>
      </c>
      <c r="F24" s="303" t="n">
        <v>6071.0</v>
      </c>
      <c r="G24" s="11">
        <f si="1" t="shared"/>
        <v>3.8866930171278E-2</v>
      </c>
    </row>
    <row r="25" spans="1:7" x14ac:dyDescent="0.25">
      <c r="A25">
        <v>14</v>
      </c>
      <c r="B25" s="8" t="n">
        <v>14686.814</v>
      </c>
      <c r="C25" s="11">
        <f si="0" t="shared"/>
        <v>4.363193394906037E-2</v>
      </c>
      <c r="E25" s="214">
        <v>14</v>
      </c>
      <c r="F25" s="304" t="n">
        <v>5490.0</v>
      </c>
      <c r="G25" s="11">
        <f si="1" t="shared"/>
        <v>3.4060410872005072E-2</v>
      </c>
    </row>
    <row r="26" spans="1:7" x14ac:dyDescent="0.25">
      <c r="A26">
        <v>15</v>
      </c>
      <c r="B26" s="8" t="n">
        <v>16963.9364</v>
      </c>
      <c r="C26" s="11">
        <f si="0" t="shared"/>
        <v>2.4612162699053482E-2</v>
      </c>
      <c r="E26" s="215">
        <v>15</v>
      </c>
      <c r="F26" s="305" t="n">
        <v>5099.0</v>
      </c>
      <c r="G26" s="11">
        <f si="1" t="shared"/>
        <v>2.7472795588737619E-2</v>
      </c>
    </row>
    <row r="27" spans="1:7" x14ac:dyDescent="0.25">
      <c r="A27">
        <v>16</v>
      </c>
      <c r="B27" s="8" t="n">
        <v>13482.8631</v>
      </c>
      <c r="C27" s="11">
        <f si="0" t="shared"/>
        <v>2.3624257495760633E-2</v>
      </c>
      <c r="E27" s="216">
        <v>16</v>
      </c>
      <c r="F27" s="306" t="n">
        <v>4832.0</v>
      </c>
      <c r="G27" s="11">
        <f si="1" t="shared"/>
        <v>2.3422632118284291E-2</v>
      </c>
    </row>
    <row r="28" spans="1:7" x14ac:dyDescent="0.25">
      <c r="A28">
        <v>17</v>
      </c>
      <c r="B28" s="8" t="n">
        <v>15771.033</v>
      </c>
      <c r="C28" s="11">
        <f si="0" t="shared"/>
        <v>1.8273262629639866E-2</v>
      </c>
      <c r="E28" s="217">
        <v>17</v>
      </c>
      <c r="F28" s="307" t="n">
        <v>4132.0</v>
      </c>
      <c r="G28" s="11">
        <f si="1" t="shared"/>
        <v>2.0031230176157714E-2</v>
      </c>
    </row>
    <row r="29" spans="1:7" x14ac:dyDescent="0.25">
      <c r="A29">
        <v>18</v>
      </c>
      <c r="B29" s="8" t="n">
        <v>9171.6569</v>
      </c>
      <c r="C29" s="11">
        <f si="0" t="shared"/>
        <v>1.9876352270062729E-2</v>
      </c>
      <c r="E29" s="218">
        <v>18</v>
      </c>
      <c r="F29" s="308" t="n">
        <v>49112.0</v>
      </c>
      <c r="G29" s="11">
        <f si="1" t="shared"/>
        <v>1.7298589762357878E-2</v>
      </c>
    </row>
    <row r="30" spans="1:7" x14ac:dyDescent="0.25">
      <c r="A30">
        <v>19</v>
      </c>
      <c r="B30" s="8" t="n">
        <v>18028.9895</v>
      </c>
      <c r="C30" s="11">
        <f si="0" t="shared"/>
        <v>1.1539270555483457E-2</v>
      </c>
      <c r="E30" s="219">
        <v>19</v>
      </c>
      <c r="F30" s="309" t="n">
        <v>15960.0</v>
      </c>
      <c r="G30" s="11">
        <f si="1" t="shared"/>
        <v>1.5688283804225833E-2</v>
      </c>
    </row>
    <row r="31" spans="1:7" x14ac:dyDescent="0.25">
      <c r="A31">
        <v>20</v>
      </c>
      <c r="B31" s="8" t="n">
        <v>11145.0996</v>
      </c>
      <c r="C31" s="11">
        <f si="0" t="shared"/>
        <v>9.1858315369213565E-3</v>
      </c>
      <c r="E31" s="220">
        <v>20</v>
      </c>
      <c r="F31" s="310" t="n">
        <v>18745.0</v>
      </c>
      <c r="G31" s="11">
        <f si="1" t="shared"/>
        <v>1.417557214658664E-2</v>
      </c>
    </row>
    <row r="32" spans="1:7" x14ac:dyDescent="0.25">
      <c r="A32">
        <v>21</v>
      </c>
      <c r="B32" s="8" t="n">
        <v>12908.9932</v>
      </c>
      <c r="C32" s="11">
        <f si="0" t="shared"/>
        <v>6.7758713455892032E-3</v>
      </c>
      <c r="E32" s="221">
        <v>21</v>
      </c>
      <c r="F32" s="311" t="n">
        <v>25470.0</v>
      </c>
      <c r="G32" s="11">
        <f si="1" t="shared"/>
        <v>1.322402771678134E-2</v>
      </c>
    </row>
    <row r="33" spans="1:7" x14ac:dyDescent="0.25">
      <c r="A33">
        <v>22</v>
      </c>
      <c r="B33" s="8" t="n">
        <v>8054.4825</v>
      </c>
      <c r="C33" s="11">
        <f si="0" t="shared"/>
        <v>1.2492487665110236E-2</v>
      </c>
      <c r="E33" s="222">
        <v>22</v>
      </c>
      <c r="F33" s="312" t="n">
        <v>19470.0</v>
      </c>
      <c r="G33" s="11">
        <f si="1" t="shared"/>
        <v>1.1735714634265359E-2</v>
      </c>
    </row>
    <row r="34" spans="1:7" x14ac:dyDescent="0.25">
      <c r="A34">
        <v>23</v>
      </c>
      <c r="B34" s="8" t="n">
        <v>4550.6599</v>
      </c>
      <c r="C34" s="11">
        <f si="0" t="shared"/>
        <v>1.6950928542180992E-2</v>
      </c>
      <c r="E34" s="223">
        <v>23</v>
      </c>
      <c r="F34" s="313" t="n">
        <v>19113.0</v>
      </c>
      <c r="G34" s="11">
        <f si="1" t="shared"/>
        <v>1.1369736007417168E-2</v>
      </c>
    </row>
    <row r="35" spans="1:7" x14ac:dyDescent="0.25">
      <c r="A35">
        <v>24</v>
      </c>
      <c r="B35" s="8" t="n">
        <v>10906.4886</v>
      </c>
      <c r="C35" s="11">
        <f si="0" t="shared"/>
        <v>1.4939570322658064E-2</v>
      </c>
      <c r="E35" s="224">
        <v>24</v>
      </c>
      <c r="F35" s="314" t="n">
        <v>14367.0</v>
      </c>
      <c r="G35" s="11">
        <f si="1" t="shared"/>
        <v>9.8082271995315468E-3</v>
      </c>
    </row>
    <row r="36" spans="1:7" x14ac:dyDescent="0.25">
      <c r="A36">
        <v>25</v>
      </c>
      <c r="B36" s="8" t="n">
        <v>3023.5772</v>
      </c>
      <c r="C36" s="11">
        <f si="0" t="shared"/>
        <v>4.5244294449180494E-3</v>
      </c>
      <c r="E36" s="225">
        <v>25</v>
      </c>
      <c r="F36" s="315" t="n">
        <v>17269.0</v>
      </c>
      <c r="G36" s="11">
        <f si="1" t="shared"/>
        <v>9.7106328990386962E-3</v>
      </c>
    </row>
    <row r="37" spans="1:7" x14ac:dyDescent="0.25">
      <c r="A37">
        <v>26</v>
      </c>
      <c r="B37" s="8" t="n">
        <v>6033.225</v>
      </c>
      <c r="C37" s="11">
        <f si="0" t="shared"/>
        <v>1.4875175745956402E-3</v>
      </c>
      <c r="E37" s="226">
        <v>26</v>
      </c>
      <c r="F37" s="316" t="n">
        <v>12106.0</v>
      </c>
      <c r="G37" s="11">
        <f si="1" t="shared"/>
        <v>8.3687112672619912E-3</v>
      </c>
    </row>
    <row r="38" spans="1:7" x14ac:dyDescent="0.25">
      <c r="A38">
        <v>27</v>
      </c>
      <c r="B38" s="8" t="n">
        <v>5115.2426</v>
      </c>
      <c r="C38" s="11">
        <f si="0" t="shared"/>
        <v>1.1220426414089105E-2</v>
      </c>
      <c r="E38" s="227">
        <v>27</v>
      </c>
      <c r="F38" s="317" t="n">
        <v>12208.0</v>
      </c>
      <c r="G38" s="11">
        <f si="1" t="shared"/>
        <v>8.3443126921387799E-3</v>
      </c>
    </row>
    <row r="39" spans="1:7" x14ac:dyDescent="0.25">
      <c r="A39">
        <v>28</v>
      </c>
      <c r="B39" s="8" t="n">
        <v>7562.858</v>
      </c>
      <c r="C39" s="11">
        <f si="0" t="shared"/>
        <v>1.2112441332994625E-2</v>
      </c>
      <c r="E39" s="228">
        <v>28</v>
      </c>
      <c r="F39" s="318" t="n">
        <v>11684.0</v>
      </c>
      <c r="G39" s="11">
        <f si="1" t="shared"/>
        <v>7.7831454643048845E-3</v>
      </c>
    </row>
    <row r="40" spans="1:7" x14ac:dyDescent="0.25">
      <c r="A40">
        <v>29</v>
      </c>
      <c r="B40" s="8" t="n">
        <v>3990.653</v>
      </c>
      <c r="C40" s="11">
        <f si="0" t="shared"/>
        <v>8.4354810317051835E-3</v>
      </c>
      <c r="E40" s="229">
        <v>29</v>
      </c>
      <c r="F40" s="319" t="n">
        <v>13073.0</v>
      </c>
      <c r="G40" s="11">
        <f si="1" t="shared"/>
        <v>7.1975796613477777E-3</v>
      </c>
    </row>
    <row r="41" spans="1:7" x14ac:dyDescent="0.25">
      <c r="A41">
        <v>30</v>
      </c>
      <c r="B41" s="8" t="n">
        <v>3381.2691</v>
      </c>
      <c r="C41" s="11">
        <f si="0" t="shared"/>
        <v>6.1247639513099632E-3</v>
      </c>
      <c r="E41" s="230">
        <v>30</v>
      </c>
      <c r="F41" s="320" t="n">
        <v>11056.0</v>
      </c>
      <c r="G41" s="11">
        <f si="1" t="shared"/>
        <v>7.3195725369638413E-3</v>
      </c>
    </row>
    <row r="42" spans="1:7" x14ac:dyDescent="0.25">
      <c r="A42">
        <v>31</v>
      </c>
      <c r="B42" s="8" t="n">
        <v>4379.5412</v>
      </c>
      <c r="C42" s="11">
        <f si="0" t="shared"/>
        <v>5.6187947430335044E-3</v>
      </c>
      <c r="E42" s="231">
        <v>31</v>
      </c>
      <c r="F42" s="321" t="n">
        <v>10895.0</v>
      </c>
      <c r="G42" s="11">
        <f si="1" t="shared"/>
        <v>6.3924266822817551E-3</v>
      </c>
    </row>
    <row r="43" spans="1:7" x14ac:dyDescent="0.25">
      <c r="A43">
        <v>32</v>
      </c>
      <c r="B43" s="8" t="n">
        <v>4436.6447</v>
      </c>
      <c r="C43" s="11">
        <f si="0" t="shared"/>
        <v>1.3067834129127478E-3</v>
      </c>
      <c r="E43" s="232">
        <v>32</v>
      </c>
      <c r="F43" s="322" t="n">
        <v>9227.0</v>
      </c>
      <c r="G43" s="11">
        <f si="1" t="shared"/>
        <v>5.5384765529693063E-3</v>
      </c>
    </row>
    <row r="44" spans="1:7" x14ac:dyDescent="0.25">
      <c r="A44">
        <v>33</v>
      </c>
      <c r="B44" s="8" t="n">
        <v>527.9156</v>
      </c>
      <c r="C44" s="11">
        <f si="0" t="shared"/>
        <v>2.7721518380018966E-3</v>
      </c>
      <c r="E44" s="233">
        <v>33</v>
      </c>
      <c r="F44" s="323" t="n">
        <v>10028.0</v>
      </c>
      <c r="G44" s="11">
        <f si="1" t="shared"/>
        <v>5.709266578831796E-3</v>
      </c>
    </row>
    <row r="45" spans="1:7" x14ac:dyDescent="0.25">
      <c r="A45">
        <v>34</v>
      </c>
      <c r="B45" s="8" t="n">
        <v>2621.9613</v>
      </c>
      <c r="C45" s="11">
        <f si="0" t="shared"/>
        <v>9.6034856275249349E-3</v>
      </c>
      <c r="E45" s="234">
        <v>34</v>
      </c>
      <c r="F45" s="324" t="n">
        <v>6776.0</v>
      </c>
      <c r="G45" s="11">
        <f si="1" t="shared"/>
        <v>5.2212950763675398E-3</v>
      </c>
    </row>
    <row r="46" spans="1:7" x14ac:dyDescent="0.25">
      <c r="A46">
        <v>35</v>
      </c>
      <c r="B46" s="8" t="n">
        <v>2852.454</v>
      </c>
      <c r="C46" s="11">
        <f si="0" t="shared"/>
        <v>5.57393093703716E-3</v>
      </c>
      <c r="E46" s="235">
        <v>35</v>
      </c>
      <c r="F46" s="325" t="n">
        <v>6471.0</v>
      </c>
      <c r="G46" s="11">
        <f si="1" t="shared"/>
        <v>4.4161420973015172E-3</v>
      </c>
    </row>
    <row r="47" spans="1:7" x14ac:dyDescent="0.25">
      <c r="A47">
        <v>36</v>
      </c>
      <c r="B47" s="8" t="n">
        <v>3432.179</v>
      </c>
      <c r="C47" s="11">
        <f si="0" t="shared"/>
        <v>3.9243880572319293E-3</v>
      </c>
      <c r="E47" s="236">
        <v>36</v>
      </c>
      <c r="F47" s="326" t="n">
        <v>9188.0</v>
      </c>
      <c r="G47" s="11">
        <f si="1" t="shared"/>
        <v>4.4161420973015172E-3</v>
      </c>
    </row>
    <row r="48" spans="1:7" x14ac:dyDescent="0.25">
      <c r="A48">
        <v>37</v>
      </c>
      <c r="B48" s="8" t="n">
        <v>3160.888</v>
      </c>
      <c r="C48" s="11">
        <f si="0" t="shared"/>
        <v>4.9851428542219654E-3</v>
      </c>
      <c r="E48" s="237">
        <v>37</v>
      </c>
      <c r="F48" s="327" t="n">
        <v>5996.0</v>
      </c>
      <c r="G48" s="11">
        <f si="1" t="shared"/>
        <v>4.5381349729175817E-3</v>
      </c>
    </row>
    <row r="49" spans="1:7" x14ac:dyDescent="0.25">
      <c r="A49">
        <v>38</v>
      </c>
      <c r="B49" s="8" t="n">
        <v>4526.2942</v>
      </c>
      <c r="C49" s="11">
        <f si="0" t="shared"/>
        <v>7.4009352647955639E-4</v>
      </c>
      <c r="E49" s="238">
        <v>38</v>
      </c>
      <c r="F49" s="328" t="n">
        <v>5045.0</v>
      </c>
      <c r="G49" s="11">
        <f si="1" t="shared"/>
        <v>3.1962133411408775E-3</v>
      </c>
    </row>
    <row r="50" spans="1:7" x14ac:dyDescent="0.25">
      <c r="A50">
        <v>39</v>
      </c>
      <c r="B50" s="8" t="n">
        <v>605.7773</v>
      </c>
      <c r="C50" s="11">
        <f si="0" t="shared"/>
        <v>1.7683842172208991E-3</v>
      </c>
      <c r="E50" s="239">
        <v>39</v>
      </c>
      <c r="F50" s="329" t="n">
        <v>5385.0</v>
      </c>
      <c r="G50" s="11">
        <f si="1" t="shared"/>
        <v>4.0013663202069002E-3</v>
      </c>
    </row>
    <row r="51" spans="1:7" x14ac:dyDescent="0.25">
      <c r="A51">
        <v>40</v>
      </c>
      <c r="B51" s="8" t="n">
        <v>2025.0537</v>
      </c>
      <c r="C51" s="11">
        <f si="0" t="shared"/>
        <v>8.9869191911213912E-4</v>
      </c>
      <c r="E51" s="240">
        <v>40</v>
      </c>
      <c r="F51" s="330" t="n">
        <v>4590.0</v>
      </c>
      <c r="G51" s="11">
        <f si="1" t="shared"/>
        <v>3.1474161908944518E-3</v>
      </c>
    </row>
    <row r="52" spans="1:7" x14ac:dyDescent="0.25">
      <c r="A52">
        <v>41</v>
      </c>
      <c r="B52" s="8" t="n">
        <v>2435.7826</v>
      </c>
      <c r="C52" s="11">
        <f si="0" t="shared"/>
        <v>3.4829923594987522E-3</v>
      </c>
      <c r="E52" s="241">
        <v>41</v>
      </c>
      <c r="F52" s="331" t="n">
        <v>4028.0</v>
      </c>
      <c r="G52" s="11">
        <f si="1" t="shared"/>
        <v>2.7814375640462597E-3</v>
      </c>
    </row>
    <row r="53" spans="1:7" x14ac:dyDescent="0.25">
      <c r="A53">
        <v>42</v>
      </c>
      <c r="B53" s="8" t="n">
        <v>638.6518</v>
      </c>
      <c r="C53" s="11">
        <f si="0" t="shared"/>
        <v>1.2667628116281838E-3</v>
      </c>
      <c r="E53" s="242">
        <v>42</v>
      </c>
      <c r="F53" s="332" t="n">
        <v>3834.0</v>
      </c>
      <c r="G53" s="11">
        <f si="1" t="shared"/>
        <v>2.5130532376909189E-3</v>
      </c>
    </row>
    <row r="54" spans="1:7" x14ac:dyDescent="0.25">
      <c r="A54">
        <v>43</v>
      </c>
      <c r="B54" s="8" t="n">
        <v>261.6288</v>
      </c>
      <c r="C54" s="11">
        <f si="0" t="shared"/>
        <v>2.4670880749268821E-3</v>
      </c>
      <c r="E54" s="243">
        <v>43</v>
      </c>
      <c r="F54" s="333" t="n">
        <v>3723.0</v>
      </c>
      <c r="G54" s="11">
        <f si="1" t="shared"/>
        <v>2.8058361391694723E-3</v>
      </c>
    </row>
    <row r="55" spans="1:7" x14ac:dyDescent="0.25">
      <c r="A55">
        <v>44</v>
      </c>
      <c r="B55" s="8" t="n">
        <v>1182.9207</v>
      </c>
      <c r="C55" s="11">
        <f si="0" t="shared"/>
        <v>1.3023541459360323E-3</v>
      </c>
      <c r="E55" s="244">
        <v>44</v>
      </c>
      <c r="F55" s="334" t="n">
        <v>2940.0</v>
      </c>
      <c r="G55" s="11">
        <f si="1" t="shared"/>
        <v>2.0738788854730884E-3</v>
      </c>
    </row>
    <row r="56" spans="1:7" x14ac:dyDescent="0.25">
      <c r="A56">
        <v>45</v>
      </c>
      <c r="B56" s="8" t="n">
        <v>1200.4873</v>
      </c>
      <c r="C56" s="11">
        <f si="0" t="shared"/>
        <v>1.4962624125262143E-3</v>
      </c>
      <c r="E56" s="245">
        <v>45</v>
      </c>
      <c r="F56" s="335" t="n">
        <v>2750.0</v>
      </c>
      <c r="G56" s="11">
        <f si="1" t="shared"/>
        <v>2.0006831601034501E-3</v>
      </c>
    </row>
    <row r="57" spans="1:7" x14ac:dyDescent="0.25">
      <c r="A57">
        <v>46</v>
      </c>
      <c r="B57" s="8" t="n">
        <v>1130.4445</v>
      </c>
      <c r="C57" s="11">
        <f si="0" t="shared"/>
        <v>7.7248838955096125E-4</v>
      </c>
      <c r="E57" s="246">
        <v>46</v>
      </c>
      <c r="F57" s="336" t="n">
        <v>3127.0</v>
      </c>
      <c r="G57" s="11">
        <f si="1" t="shared"/>
        <v>1.756697408871322E-3</v>
      </c>
    </row>
    <row r="58" spans="1:7" x14ac:dyDescent="0.25">
      <c r="A58">
        <v>47</v>
      </c>
      <c r="B58" s="8" t="n">
        <v>454.9339</v>
      </c>
      <c r="C58" s="11">
        <f si="0" t="shared"/>
        <v>1.5891592063292073E-3</v>
      </c>
      <c r="E58" s="247">
        <v>47</v>
      </c>
      <c r="F58" s="337" t="n">
        <v>1812.0</v>
      </c>
      <c r="G58" s="11">
        <f si="1" t="shared"/>
        <v>1.8054945591177475E-3</v>
      </c>
    </row>
    <row r="59" spans="1:7" x14ac:dyDescent="0.25">
      <c r="A59">
        <v>48</v>
      </c>
      <c r="B59" s="8" t="n">
        <v>1214.9387</v>
      </c>
      <c r="C59" s="11">
        <f si="0" t="shared"/>
        <v>1.8522841569988545E-3</v>
      </c>
      <c r="E59" s="248">
        <v>48</v>
      </c>
      <c r="F59" s="338" t="n">
        <v>2361.0</v>
      </c>
      <c r="G59" s="11">
        <f si="1" t="shared"/>
        <v>1.5127116576391939E-3</v>
      </c>
    </row>
    <row r="60" spans="1:7" x14ac:dyDescent="0.25">
      <c r="A60">
        <v>49</v>
      </c>
      <c r="B60" s="8" t="n">
        <v>735.426</v>
      </c>
      <c r="C60" s="11">
        <f si="0" t="shared"/>
        <v>1.8216234132441965E-3</v>
      </c>
      <c r="E60" s="249">
        <v>49</v>
      </c>
      <c r="F60" s="339" t="n">
        <v>1937.0</v>
      </c>
      <c r="G60" s="11">
        <f si="1" t="shared"/>
        <v>1.5859073830088322E-3</v>
      </c>
    </row>
    <row r="61" spans="1:7" x14ac:dyDescent="0.25">
      <c r="A61">
        <v>50</v>
      </c>
      <c r="B61" s="8" t="n">
        <v>1852.7094</v>
      </c>
      <c r="C61" s="11">
        <f si="0" t="shared"/>
        <v>1.7844518540642952E-3</v>
      </c>
      <c r="E61" s="250">
        <v>50</v>
      </c>
      <c r="F61" s="340" t="n">
        <v>1541.0</v>
      </c>
      <c r="G61" s="11">
        <f si="1" t="shared"/>
        <v>1.2931244815302786E-3</v>
      </c>
    </row>
    <row r="62" spans="1:7" x14ac:dyDescent="0.25">
      <c r="A62">
        <v>51</v>
      </c>
      <c r="B62" s="8" t="n">
        <v>2345.0208</v>
      </c>
      <c r="C62" s="11">
        <f si="0" t="shared"/>
        <v>2.8426906990408033E-3</v>
      </c>
      <c r="E62" s="251">
        <v>51</v>
      </c>
      <c r="F62" s="341" t="n">
        <v>1670.0</v>
      </c>
      <c r="G62" s="11">
        <f si="1" t="shared"/>
        <v>1.0979358805445762E-3</v>
      </c>
    </row>
    <row r="63" spans="1:7" x14ac:dyDescent="0.25">
      <c r="A63">
        <v>52</v>
      </c>
      <c r="B63" s="8" t="n">
        <v>1826.8915000000002</v>
      </c>
      <c r="C63" s="11">
        <f si="0" t="shared"/>
        <v>0</v>
      </c>
      <c r="E63" s="252">
        <v>52</v>
      </c>
      <c r="F63" s="342" t="n">
        <v>1482.0</v>
      </c>
      <c r="G63" s="11">
        <f si="1" t="shared"/>
        <v>1.2199287561606403E-3</v>
      </c>
    </row>
    <row r="64" spans="1:7" x14ac:dyDescent="0.25">
      <c r="A64">
        <v>53</v>
      </c>
      <c r="B64" s="8" t="n">
        <v>745.8433</v>
      </c>
      <c r="C64" s="11">
        <f si="0" t="shared"/>
        <v>1.4516641873187856E-3</v>
      </c>
      <c r="E64" s="253">
        <v>53</v>
      </c>
      <c r="F64" s="343" t="n">
        <v>1243.0</v>
      </c>
      <c r="G64" s="11">
        <f si="1" t="shared"/>
        <v>7.3195725369638409E-4</v>
      </c>
    </row>
    <row r="65" spans="1:7" x14ac:dyDescent="0.25">
      <c r="A65">
        <v>54</v>
      </c>
      <c r="B65" s="8" t="n">
        <v>1992.8591999999999</v>
      </c>
      <c r="C65" s="11">
        <f si="0" t="shared"/>
        <v>0</v>
      </c>
      <c r="E65" s="254">
        <v>54</v>
      </c>
      <c r="F65" s="344" t="n">
        <v>1059.0</v>
      </c>
      <c r="G65" s="11">
        <f si="1" t="shared"/>
        <v>5.1237007758746884E-4</v>
      </c>
    </row>
    <row r="66" spans="1:7" x14ac:dyDescent="0.25">
      <c r="A66">
        <v>55</v>
      </c>
      <c r="B66" s="8" t="n">
        <v>3.675</v>
      </c>
      <c r="C66" s="11">
        <f si="0" t="shared"/>
        <v>5.1142837128306893E-4</v>
      </c>
      <c r="E66" s="255">
        <v>55</v>
      </c>
      <c r="F66" s="345" t="n">
        <v>899.0</v>
      </c>
      <c r="G66" s="11">
        <f si="1" t="shared"/>
        <v>8.5395012931244814E-4</v>
      </c>
    </row>
    <row r="67" spans="1:7" x14ac:dyDescent="0.25">
      <c r="A67">
        <v>56</v>
      </c>
      <c r="B67" s="8" t="n">
        <v>0.0</v>
      </c>
      <c r="C67" s="11">
        <f si="0" t="shared"/>
        <v>5.2565649885405611E-3</v>
      </c>
      <c r="E67" s="256">
        <v>56</v>
      </c>
      <c r="F67" s="346" t="n">
        <v>962.0</v>
      </c>
      <c r="G67" s="11">
        <f si="1" t="shared"/>
        <v>5.3676865271068169E-4</v>
      </c>
    </row>
    <row r="68" spans="1:7" x14ac:dyDescent="0.25">
      <c r="A68">
        <v>57</v>
      </c>
      <c r="B68" s="8" t="n">
        <v>61.3635</v>
      </c>
      <c r="C68" s="11">
        <f si="0" t="shared"/>
        <v>0</v>
      </c>
      <c r="E68" s="257">
        <v>57</v>
      </c>
      <c r="F68" s="347" t="n">
        <v>877.0</v>
      </c>
      <c r="G68" s="11">
        <f si="1" t="shared"/>
        <v>5.6116722783389455E-4</v>
      </c>
    </row>
    <row r="69" spans="1:7" x14ac:dyDescent="0.25">
      <c r="A69">
        <v>58</v>
      </c>
      <c r="B69" s="8" t="n">
        <v>617.2937</v>
      </c>
      <c r="C69" s="11">
        <f si="0" t="shared"/>
        <v>2.6241664517555595E-4</v>
      </c>
      <c r="E69" s="258">
        <v>58</v>
      </c>
      <c r="F69" s="348" t="n">
        <v>728.0</v>
      </c>
      <c r="G69" s="11">
        <f si="1" t="shared"/>
        <v>4.147757770946177E-4</v>
      </c>
    </row>
    <row r="70" spans="1:7" x14ac:dyDescent="0.25">
      <c r="A70">
        <v>59</v>
      </c>
      <c r="B70" s="8" t="n">
        <v>581.159</v>
      </c>
      <c r="C70" s="11">
        <f si="0" t="shared"/>
        <v>7.4058618205482879E-4</v>
      </c>
      <c r="E70" s="259">
        <v>59</v>
      </c>
      <c r="F70" s="349" t="n">
        <v>582.0</v>
      </c>
      <c r="G70" s="11">
        <f si="1" t="shared"/>
        <v>6.0996437808032015E-4</v>
      </c>
    </row>
    <row r="71" spans="1:7" x14ac:dyDescent="0.25">
      <c r="A71">
        <v>60</v>
      </c>
      <c r="B71" s="8" t="n">
        <v>0.0</v>
      </c>
      <c r="C71" s="11">
        <f si="0" t="shared"/>
        <v>5.8264307506567968E-4</v>
      </c>
      <c r="E71" s="260">
        <v>60</v>
      </c>
      <c r="F71" s="350" t="n">
        <v>513.0</v>
      </c>
      <c r="G71" s="11">
        <f si="1" t="shared"/>
        <v>2.4398575123212805E-4</v>
      </c>
    </row>
    <row r="72" spans="1:7" x14ac:dyDescent="0.25">
      <c r="A72">
        <v>61</v>
      </c>
      <c r="B72" s="8" t="n">
        <v>89.1936</v>
      </c>
      <c r="C72" s="11">
        <f si="0" t="shared"/>
        <v>0</v>
      </c>
      <c r="E72" s="261">
        <v>61</v>
      </c>
      <c r="F72" s="351" t="n">
        <v>504.0</v>
      </c>
      <c r="G72" s="11">
        <f si="1" t="shared"/>
        <v>2.9278290147855365E-4</v>
      </c>
    </row>
    <row r="73" spans="1:7" x14ac:dyDescent="0.25">
      <c r="A73">
        <v>62</v>
      </c>
      <c r="B73" s="8" t="n">
        <v>0.0</v>
      </c>
      <c r="C73" s="11">
        <f si="0" t="shared"/>
        <v>7.0873376984541281E-4</v>
      </c>
      <c r="E73" s="262">
        <v>62</v>
      </c>
      <c r="F73" s="352" t="n">
        <v>459.0</v>
      </c>
      <c r="G73" s="11">
        <f si="1" t="shared"/>
        <v>3.6597862684819204E-4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263">
        <v>63</v>
      </c>
      <c r="F74" s="353" t="n">
        <v>380.0</v>
      </c>
      <c r="G74" s="11">
        <f si="1" t="shared"/>
        <v>2.4398575123212805E-4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264">
        <v>64</v>
      </c>
      <c r="F75" s="354" t="n">
        <v>319.0</v>
      </c>
      <c r="G75" s="11">
        <f si="1" t="shared"/>
        <v>1.7079002586248962E-4</v>
      </c>
    </row>
    <row r="76" spans="1:7" x14ac:dyDescent="0.25">
      <c r="A76">
        <v>65</v>
      </c>
      <c r="B76" s="8" t="n">
        <v>176.9258</v>
      </c>
      <c r="C76" s="11">
        <f si="0" t="shared"/>
        <v>0</v>
      </c>
      <c r="E76" s="265">
        <v>65</v>
      </c>
      <c r="F76" s="355" t="n">
        <v>302.0</v>
      </c>
      <c r="G76" s="11">
        <f si="1" t="shared"/>
        <v>2.9278290147855365E-4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1.1856185638349105E-4</v>
      </c>
      <c r="E77" s="266">
        <v>66</v>
      </c>
      <c r="F77" s="356" t="n">
        <v>288.0</v>
      </c>
      <c r="G77" s="11">
        <f ref="G77:G102" si="3" t="shared">F77/F$102</f>
        <v>2.6838432635534085E-4</v>
      </c>
    </row>
    <row r="78" spans="1:7" x14ac:dyDescent="0.25">
      <c r="A78">
        <v>67</v>
      </c>
      <c r="B78" s="8" t="n">
        <v>0.0</v>
      </c>
      <c r="C78" s="11">
        <f si="2" t="shared"/>
        <v>8.1572294115517838E-4</v>
      </c>
      <c r="E78" s="267">
        <v>67</v>
      </c>
      <c r="F78" s="357" t="n">
        <v>207.0</v>
      </c>
      <c r="G78" s="11">
        <f si="3" t="shared"/>
        <v>2.6838432635534085E-4</v>
      </c>
    </row>
    <row r="79" spans="1:7" x14ac:dyDescent="0.25">
      <c r="A79">
        <v>68</v>
      </c>
      <c r="B79" s="8" t="n">
        <v>0.0</v>
      </c>
      <c r="C79" s="11">
        <f si="2" t="shared"/>
        <v>1.5262341297224348E-3</v>
      </c>
      <c r="E79" s="268">
        <v>68</v>
      </c>
      <c r="F79" s="358" t="n">
        <v>290.0</v>
      </c>
      <c r="G79" s="11">
        <f si="3" t="shared"/>
        <v>1.9518860098570242E-4</v>
      </c>
    </row>
    <row r="80" spans="1:7" x14ac:dyDescent="0.25">
      <c r="A80">
        <v>69</v>
      </c>
      <c r="B80" s="8" t="n">
        <v>716.2497</v>
      </c>
      <c r="C80" s="11">
        <f si="2" t="shared"/>
        <v>2.735389005316695E-3</v>
      </c>
      <c r="E80" s="269">
        <v>69</v>
      </c>
      <c r="F80" s="359" t="n">
        <v>156.0</v>
      </c>
      <c r="G80" s="11">
        <f si="3" t="shared"/>
        <v>9.7594300492851211E-5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270">
        <v>70</v>
      </c>
      <c r="F81" s="360" t="n">
        <v>157.0</v>
      </c>
      <c r="G81" s="11">
        <f si="3" t="shared"/>
        <v>2.4398575123212803E-5</v>
      </c>
    </row>
    <row r="82" spans="1:7" x14ac:dyDescent="0.25">
      <c r="A82">
        <v>71</v>
      </c>
      <c r="B82" s="8" t="n">
        <v>504.6789</v>
      </c>
      <c r="C82" s="11">
        <f si="2" t="shared"/>
        <v>0</v>
      </c>
      <c r="E82" s="271">
        <v>71</v>
      </c>
      <c r="F82" s="361" t="n">
        <v>138.0</v>
      </c>
      <c r="G82" s="11">
        <f si="3" t="shared"/>
        <v>7.3195725369638412E-5</v>
      </c>
    </row>
    <row r="83" spans="1:7" x14ac:dyDescent="0.25">
      <c r="A83">
        <v>72</v>
      </c>
      <c r="B83" s="8" t="n">
        <v>433.3841</v>
      </c>
      <c r="C83" s="11">
        <f si="2" t="shared"/>
        <v>0</v>
      </c>
      <c r="E83" s="272">
        <v>72</v>
      </c>
      <c r="F83" s="362" t="n">
        <v>142.0</v>
      </c>
      <c r="G83" s="11">
        <f si="3" t="shared"/>
        <v>4.8797150246425606E-5</v>
      </c>
    </row>
    <row r="84" spans="1:7" x14ac:dyDescent="0.25">
      <c r="A84">
        <v>73</v>
      </c>
      <c r="B84" s="8" t="n">
        <v>447.7843</v>
      </c>
      <c r="C84" s="11">
        <f si="2" t="shared"/>
        <v>0</v>
      </c>
      <c r="E84" s="273">
        <v>73</v>
      </c>
      <c r="F84" s="363" t="n">
        <v>119.0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274">
        <v>74</v>
      </c>
      <c r="F85" s="364" t="n">
        <v>113.0</v>
      </c>
      <c r="G85" s="11">
        <f si="3" t="shared"/>
        <v>2.4398575123212803E-5</v>
      </c>
    </row>
    <row r="86" spans="1:7" x14ac:dyDescent="0.25">
      <c r="A86">
        <v>75</v>
      </c>
      <c r="B86" s="8" t="n">
        <v>4110.3551</v>
      </c>
      <c r="C86" s="11">
        <f si="2" t="shared"/>
        <v>0</v>
      </c>
      <c r="E86" s="275">
        <v>75</v>
      </c>
      <c r="F86" s="365" t="n">
        <v>84.0</v>
      </c>
      <c r="G86" s="11">
        <f si="3" t="shared"/>
        <v>7.3195725369638412E-5</v>
      </c>
    </row>
    <row r="87" spans="1:7" x14ac:dyDescent="0.25">
      <c r="A87">
        <v>76</v>
      </c>
      <c r="B87" s="8" t="n">
        <v>1336.5025</v>
      </c>
      <c r="C87" s="11">
        <f si="2" t="shared"/>
        <v>0</v>
      </c>
      <c r="E87" s="276">
        <v>76</v>
      </c>
      <c r="F87" s="366" t="n">
        <v>54.0</v>
      </c>
      <c r="G87" s="11">
        <f si="3" t="shared"/>
        <v>2.4398575123212803E-5</v>
      </c>
    </row>
    <row r="88" spans="1:7" x14ac:dyDescent="0.25">
      <c r="A88">
        <v>77</v>
      </c>
      <c r="B88" s="8" t="n">
        <v>77.25</v>
      </c>
      <c r="C88" s="11">
        <f si="2" t="shared"/>
        <v>0</v>
      </c>
      <c r="E88" s="277">
        <v>77</v>
      </c>
      <c r="F88" s="367" t="n">
        <v>55.0</v>
      </c>
      <c r="G88" s="11">
        <f si="3" t="shared"/>
        <v>4.8797150246425606E-5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278">
        <v>78</v>
      </c>
      <c r="F89" s="368" t="n">
        <v>47.0</v>
      </c>
      <c r="G89" s="11">
        <f si="3" t="shared"/>
        <v>2.4398575123212803E-5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279">
        <v>79</v>
      </c>
      <c r="F90" s="369" t="n">
        <v>43.0</v>
      </c>
      <c r="G90" s="11">
        <f si="3" t="shared"/>
        <v>2.4398575123212803E-5</v>
      </c>
    </row>
    <row r="91" spans="1:7" x14ac:dyDescent="0.25">
      <c r="A91">
        <v>80</v>
      </c>
      <c r="B91" s="8" t="n">
        <v>0.0</v>
      </c>
      <c r="C91" s="11">
        <f si="2" t="shared"/>
        <v>2.8316813699995206E-4</v>
      </c>
      <c r="E91" s="280">
        <v>80</v>
      </c>
      <c r="F91" s="370" t="n">
        <v>34.0</v>
      </c>
      <c r="G91" s="11">
        <f si="3" t="shared"/>
        <v>2.4398575123212803E-5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281">
        <v>81</v>
      </c>
      <c r="F92" s="371" t="n">
        <v>27.0</v>
      </c>
      <c r="G92" s="11">
        <f si="3" t="shared"/>
        <v>4.8797150246425606E-5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282">
        <v>82</v>
      </c>
      <c r="F93" s="372" t="n">
        <v>39.0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283">
        <v>83</v>
      </c>
      <c r="F94" s="373" t="n">
        <v>41.0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284">
        <v>84</v>
      </c>
      <c r="F95" s="374" t="n">
        <v>16.0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5">
        <v>85</v>
      </c>
      <c r="F96" s="375" t="n">
        <v>27.0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6">
        <v>86</v>
      </c>
      <c r="F97" s="376" t="n">
        <v>29.0</v>
      </c>
      <c r="G97" s="11">
        <f si="3" t="shared"/>
        <v>2.4398575123212803E-5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7">
        <v>87</v>
      </c>
      <c r="F98" s="377" t="n">
        <v>22.0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288">
        <v>88</v>
      </c>
      <c r="F99" s="378" t="n">
        <v>8.0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289">
        <v>89</v>
      </c>
      <c r="F100" s="379" t="n">
        <v>10.0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881.2148</v>
      </c>
      <c r="C101" s="11">
        <f si="2" t="shared"/>
        <v>0</v>
      </c>
      <c r="E101" s="397">
        <v>90</v>
      </c>
      <c r="F101" s="397" t="n">
        <v>59.0</v>
      </c>
      <c r="G101" s="11">
        <f si="3" t="shared"/>
        <v>4.8797150246425606E-5</v>
      </c>
    </row>
    <row r="102" spans="1:7" x14ac:dyDescent="0.25">
      <c r="B102" s="8">
        <f>SUM(B11:B101)</f>
        <v>201324.40918945288</v>
      </c>
      <c r="C102" s="11">
        <f si="2" t="shared"/>
        <v>1</v>
      </c>
      <c r="F102" s="8">
        <f>SUM(F11:F101)</f>
        <v>204930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A4" workbookViewId="0">
      <selection activeCell="A4" sqref="A4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51</v>
      </c>
    </row>
    <row r="3" spans="1:21" x14ac:dyDescent="0.25">
      <c r="A3" t="s">
        <v>18</v>
      </c>
    </row>
    <row ht="15.75" r="5" spans="1:21" thickBot="1" x14ac:dyDescent="0.3">
      <c r="A5" s="4" t="s">
        <v>52</v>
      </c>
      <c r="B5" s="1"/>
      <c r="C5" s="1"/>
      <c r="D5" s="1"/>
      <c r="E5" s="1"/>
      <c r="F5" s="1"/>
      <c r="G5" s="1"/>
      <c r="H5" s="1"/>
      <c r="I5" s="1"/>
      <c r="J5" s="1"/>
      <c r="L5" s="4" t="s">
        <v>23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98" t="s">
        <v>39</v>
      </c>
      <c r="B7" s="12" t="n">
        <v>48647.0828</v>
      </c>
      <c r="C7" s="12" t="n">
        <v>4951.3725</v>
      </c>
      <c r="D7" s="12" t="n">
        <v>2079.213</v>
      </c>
      <c r="E7" s="12" t="n">
        <v>0.0</v>
      </c>
      <c r="F7" s="12" t="n">
        <v>0.0</v>
      </c>
      <c r="G7" s="12" t="n">
        <v>7292.634899999999</v>
      </c>
      <c r="H7" s="12" t="n">
        <v>0.0</v>
      </c>
      <c r="I7" s="12"/>
      <c r="J7" s="12">
        <f>SUM(B7:I7)</f>
        <v>19898.544648582862</v>
      </c>
      <c r="K7" s="12"/>
      <c r="L7" t="str">
        <f>$A$7</f>
        <v>Williamson</v>
      </c>
      <c r="M7" s="382" t="n">
        <v>36800.0</v>
      </c>
      <c r="N7" s="385" t="n">
        <v>14976.0</v>
      </c>
      <c r="O7" s="388" t="n">
        <v>4161.0</v>
      </c>
      <c r="P7" s="391" t="n">
        <v>1621.0</v>
      </c>
      <c r="Q7" s="396" t="n">
        <v>506.0</v>
      </c>
      <c r="R7" s="396" t="n">
        <v>7241.0</v>
      </c>
      <c r="S7" s="396" t="n">
        <v>263.0</v>
      </c>
      <c r="T7" s="394"/>
      <c r="U7" s="12">
        <f>SUM(M7:T7)</f>
        <v>25235</v>
      </c>
    </row>
    <row r="8" spans="1:21" x14ac:dyDescent="0.25">
      <c r="A8" t="s">
        <v>40</v>
      </c>
      <c r="B8" s="12" t="n">
        <v>5027.3149</v>
      </c>
      <c r="C8" s="12" t="n">
        <v>24757.0097</v>
      </c>
      <c r="D8" s="12" t="n">
        <v>2522.6178</v>
      </c>
      <c r="E8" s="12" t="n">
        <v>714.8279</v>
      </c>
      <c r="F8" s="12" t="n">
        <v>0.0</v>
      </c>
      <c r="G8" s="12" t="n">
        <v>2284.0316</v>
      </c>
      <c r="H8" s="12" t="n">
        <v>0.0</v>
      </c>
      <c r="I8" s="12"/>
      <c r="J8" s="12">
        <f ref="J8:J14" si="0" t="shared">SUM(B8:I8)</f>
        <v>34364.068966833926</v>
      </c>
      <c r="K8" s="12"/>
      <c r="L8" t="str">
        <f>$A$8</f>
        <v>Rutherford</v>
      </c>
      <c r="M8" s="383" t="n">
        <v>4860.0</v>
      </c>
      <c r="N8" s="386" t="n">
        <v>25624.0</v>
      </c>
      <c r="O8" s="389" t="n">
        <v>3355.0</v>
      </c>
      <c r="P8" s="392" t="n">
        <v>1239.0</v>
      </c>
      <c r="Q8" s="396" t="n">
        <v>416.0</v>
      </c>
      <c r="R8" s="396" t="n">
        <v>1938.0</v>
      </c>
      <c r="S8" s="396" t="n">
        <v>147.0</v>
      </c>
      <c r="T8" s="395"/>
      <c r="U8" s="12">
        <f ref="U8:U14" si="1" t="shared">SUM(M8:T8)</f>
        <v>33545</v>
      </c>
    </row>
    <row r="9" spans="1:21" x14ac:dyDescent="0.25">
      <c r="A9" t="s">
        <v>41</v>
      </c>
      <c r="B9" s="12" t="n">
        <v>1481.7199</v>
      </c>
      <c r="C9" s="12" t="n">
        <v>650.747</v>
      </c>
      <c r="D9" s="12" t="n">
        <v>36687.3343</v>
      </c>
      <c r="E9" s="12" t="n">
        <v>3864.1968</v>
      </c>
      <c r="F9" s="12" t="n">
        <v>837.9197</v>
      </c>
      <c r="G9" s="12" t="n">
        <v>1522.2717</v>
      </c>
      <c r="H9" s="12" t="n">
        <v>68.9509</v>
      </c>
      <c r="I9" s="12"/>
      <c r="J9" s="12">
        <f si="0" t="shared"/>
        <v>21105.734081175127</v>
      </c>
      <c r="K9" s="13"/>
      <c r="L9" t="str">
        <f>$A$9</f>
        <v>Sumner</v>
      </c>
      <c r="M9" s="384" t="n">
        <v>1153.0</v>
      </c>
      <c r="N9" s="387" t="n">
        <v>2394.0</v>
      </c>
      <c r="O9" s="390" t="n">
        <v>28671.0</v>
      </c>
      <c r="P9" s="393" t="n">
        <v>6040.0</v>
      </c>
      <c r="Q9" s="396" t="n">
        <v>1444.0</v>
      </c>
      <c r="R9" s="396" t="n">
        <v>2925.0</v>
      </c>
      <c r="S9" s="396" t="n">
        <v>581.0</v>
      </c>
      <c r="T9" s="396"/>
      <c r="U9" s="12">
        <f si="1" t="shared"/>
        <v>22330</v>
      </c>
    </row>
    <row r="10" spans="1:21" x14ac:dyDescent="0.25">
      <c r="A10" t="s">
        <v>42</v>
      </c>
      <c r="B10" s="12" t="n">
        <v>0.0</v>
      </c>
      <c r="C10" s="12" t="n">
        <v>95.1533</v>
      </c>
      <c r="D10" s="12" t="n">
        <v>3480.966</v>
      </c>
      <c r="E10" s="12" t="n">
        <v>17044.5378</v>
      </c>
      <c r="F10" s="12" t="n">
        <v>1664.0029</v>
      </c>
      <c r="G10" s="12" t="n">
        <v>296.7063</v>
      </c>
      <c r="H10" s="12" t="n">
        <v>499.26930000000004</v>
      </c>
      <c r="I10" s="12"/>
      <c r="J10" s="12">
        <f si="0" t="shared"/>
        <v>11020.644539830799</v>
      </c>
      <c r="K10" s="13"/>
      <c r="L10" t="str">
        <f>$A$10</f>
        <v>Roberston</v>
      </c>
      <c r="M10" s="396" t="n">
        <v>127.0</v>
      </c>
      <c r="N10" s="396" t="n">
        <v>255.0</v>
      </c>
      <c r="O10" s="396" t="n">
        <v>3672.0</v>
      </c>
      <c r="P10" s="396" t="n">
        <v>18467.0</v>
      </c>
      <c r="Q10" s="396" t="n">
        <v>1720.0</v>
      </c>
      <c r="R10" s="396" t="n">
        <v>1203.0</v>
      </c>
      <c r="S10" s="396" t="n">
        <v>474.0</v>
      </c>
      <c r="T10" s="396"/>
      <c r="U10" s="12">
        <f si="1" t="shared"/>
        <v>9250</v>
      </c>
    </row>
    <row r="11" spans="1:21" x14ac:dyDescent="0.25">
      <c r="A11" t="s">
        <v>43</v>
      </c>
      <c r="B11" s="12" t="n">
        <v>0.0</v>
      </c>
      <c r="C11" s="12" t="n">
        <v>0.0</v>
      </c>
      <c r="D11" s="12" t="n">
        <v>1570.1651000000002</v>
      </c>
      <c r="E11" s="12" t="n">
        <v>4584.7807</v>
      </c>
      <c r="F11" s="12" t="n">
        <v>29020.5433</v>
      </c>
      <c r="G11" s="12" t="n">
        <v>45.9269</v>
      </c>
      <c r="H11" s="12" t="n">
        <v>4519.773099999999</v>
      </c>
      <c r="I11" s="12"/>
      <c r="J11" s="12">
        <f si="0" t="shared"/>
        <v>83365.713449191491</v>
      </c>
      <c r="K11" s="13"/>
      <c r="L11" t="str">
        <f>$A$11</f>
        <v>Davidson</v>
      </c>
      <c r="M11" s="396" t="n">
        <v>125.0</v>
      </c>
      <c r="N11" s="396" t="n">
        <v>283.0</v>
      </c>
      <c r="O11" s="396" t="n">
        <v>2319.0</v>
      </c>
      <c r="P11" s="396" t="n">
        <v>5472.0</v>
      </c>
      <c r="Q11" s="396" t="n">
        <v>20322.0</v>
      </c>
      <c r="R11" s="396" t="n">
        <v>2023.0</v>
      </c>
      <c r="S11" s="396" t="n">
        <v>4830.0</v>
      </c>
      <c r="T11" s="396"/>
      <c r="U11" s="12">
        <f si="1" t="shared"/>
        <v>86900</v>
      </c>
    </row>
    <row r="12" spans="1:21" x14ac:dyDescent="0.25">
      <c r="A12" t="s">
        <v>44</v>
      </c>
      <c r="B12" s="12" t="n">
        <v>1206.2078</v>
      </c>
      <c r="C12" s="12" t="n">
        <v>2862.5932000000003</v>
      </c>
      <c r="D12" s="12" t="n">
        <v>3380.2874</v>
      </c>
      <c r="E12" s="12" t="n">
        <v>2366.5993</v>
      </c>
      <c r="F12" s="12" t="n">
        <v>1152.7218</v>
      </c>
      <c r="G12" s="12" t="n">
        <v>70348.4742</v>
      </c>
      <c r="H12" s="12" t="n">
        <v>3638.3589</v>
      </c>
      <c r="I12" s="12"/>
      <c r="J12" s="12">
        <f si="0" t="shared"/>
        <v>11194.769854609665</v>
      </c>
      <c r="K12" s="13"/>
      <c r="L12" t="str">
        <f>$A$12</f>
        <v>Maury</v>
      </c>
      <c r="M12" s="396" t="n">
        <v>2672.0</v>
      </c>
      <c r="N12" s="396" t="n">
        <v>2012.0</v>
      </c>
      <c r="O12" s="396" t="n">
        <v>5420.0</v>
      </c>
      <c r="P12" s="396" t="n">
        <v>5934.0</v>
      </c>
      <c r="Q12" s="396" t="n">
        <v>3119.0</v>
      </c>
      <c r="R12" s="396" t="n">
        <v>59435.0</v>
      </c>
      <c r="S12" s="396" t="n">
        <v>5544.0</v>
      </c>
      <c r="T12" s="396"/>
      <c r="U12" s="12">
        <f si="1" t="shared"/>
        <v>11250</v>
      </c>
    </row>
    <row r="13" spans="1:21" x14ac:dyDescent="0.25">
      <c r="A13" t="s">
        <v>45</v>
      </c>
      <c r="B13" s="12" t="n">
        <v>390.6169</v>
      </c>
      <c r="C13" s="12" t="n">
        <v>3808.7226</v>
      </c>
      <c r="D13" s="12" t="n">
        <v>355.7786</v>
      </c>
      <c r="E13" s="12" t="n">
        <v>4859.7565</v>
      </c>
      <c r="F13" s="12" t="n">
        <v>1831.8642</v>
      </c>
      <c r="G13" s="12" t="n">
        <v>2499.8038</v>
      </c>
      <c r="H13" s="12" t="n">
        <v>40561.8412</v>
      </c>
      <c r="I13" s="12"/>
      <c r="J13" s="12">
        <f si="0" t="shared"/>
        <v>20374.933649229039</v>
      </c>
      <c r="K13" s="13"/>
      <c r="L13" t="str">
        <f>$A$13</f>
        <v>Wilson</v>
      </c>
      <c r="M13" s="396" t="n">
        <v>220.0</v>
      </c>
      <c r="N13" s="396" t="n">
        <v>273.0</v>
      </c>
      <c r="O13" s="396" t="n">
        <v>1692.0</v>
      </c>
      <c r="P13" s="396" t="n">
        <v>3358.0</v>
      </c>
      <c r="Q13" s="396" t="n">
        <v>7195.0</v>
      </c>
      <c r="R13" s="396" t="n">
        <v>5591.0</v>
      </c>
      <c r="S13" s="396" t="n">
        <v>53412.0</v>
      </c>
      <c r="T13" s="396"/>
      <c r="U13" s="12">
        <f si="1" t="shared"/>
        <v>16420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15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19467.936436168613</v>
      </c>
      <c r="C15" s="16">
        <f si="2" t="shared"/>
        <v>32416.559031276374</v>
      </c>
      <c r="D15" s="16">
        <f si="2" t="shared"/>
        <v>20115.243595477034</v>
      </c>
      <c r="E15" s="16">
        <f si="2" t="shared"/>
        <v>10057.441587661811</v>
      </c>
      <c r="F15" s="16">
        <f si="2" t="shared"/>
        <v>92212.293881632577</v>
      </c>
      <c r="G15" s="16">
        <f si="2" t="shared"/>
        <v>8953.2856578418578</v>
      </c>
      <c r="H15" s="16">
        <f si="2" t="shared"/>
        <v>18101.648999394634</v>
      </c>
      <c r="I15" s="16">
        <f si="2" t="shared"/>
        <v>0</v>
      </c>
      <c r="J15" s="16">
        <f si="2" t="shared"/>
        <v>201324.40918945291</v>
      </c>
      <c r="K15" s="12"/>
      <c r="L15" s="16" t="s">
        <v>4</v>
      </c>
      <c r="M15" s="16">
        <f ref="M15:U15" si="3" t="shared">SUM(M7:M14)</f>
        <v>22675</v>
      </c>
      <c r="N15" s="16">
        <f si="3" t="shared"/>
        <v>31925</v>
      </c>
      <c r="O15" s="16">
        <f si="3" t="shared"/>
        <v>18985</v>
      </c>
      <c r="P15" s="16">
        <f si="3" t="shared"/>
        <v>7310</v>
      </c>
      <c r="Q15" s="16">
        <f si="3" t="shared"/>
        <v>100985</v>
      </c>
      <c r="R15" s="16">
        <f si="3" t="shared"/>
        <v>10795</v>
      </c>
      <c r="S15" s="16">
        <f si="3" t="shared"/>
        <v>12255</v>
      </c>
      <c r="T15" s="16">
        <f si="3" t="shared"/>
        <v>0</v>
      </c>
      <c r="U15" s="16">
        <f si="3" t="shared"/>
        <v>204930</v>
      </c>
    </row>
    <row ht="15.75" r="18" spans="1:32" thickBot="1" x14ac:dyDescent="0.3">
      <c r="A18" s="4" t="s">
        <v>53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23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ref="B20:H20" si="4" t="shared">($U7/$J7)*B7</f>
        <v>18110.347965768749</v>
      </c>
      <c r="C20" s="12">
        <f si="4" t="shared"/>
        <v>801.09056395938069</v>
      </c>
      <c r="D20" s="12">
        <f si="4" t="shared"/>
        <v>0</v>
      </c>
      <c r="E20" s="12">
        <f si="4" t="shared"/>
        <v>0</v>
      </c>
      <c r="F20" s="12">
        <f si="4" t="shared"/>
        <v>6058.3406433058781</v>
      </c>
      <c r="G20" s="12">
        <f si="4" t="shared"/>
        <v>265.22082696599108</v>
      </c>
      <c r="H20" s="12">
        <f si="4" t="shared"/>
        <v>0</v>
      </c>
      <c r="I20" s="12"/>
      <c r="J20" s="12">
        <f>SUM(B20:I20)</f>
        <v>25234.999999999996</v>
      </c>
      <c r="K20" s="12"/>
      <c r="L20" t="str">
        <f>$A$7</f>
        <v>Williamson</v>
      </c>
      <c r="M20" s="12">
        <f>M7</f>
        <v>17915</v>
      </c>
      <c r="N20" s="12">
        <f ref="N20:U20" si="5" t="shared">N7</f>
        <v>505</v>
      </c>
      <c r="O20" s="12">
        <f si="5" t="shared"/>
        <v>20</v>
      </c>
      <c r="P20" s="12">
        <f si="5" t="shared"/>
        <v>0</v>
      </c>
      <c r="Q20" s="12">
        <f si="5" t="shared"/>
        <v>6010</v>
      </c>
      <c r="R20" s="12">
        <f si="5" t="shared"/>
        <v>765</v>
      </c>
      <c r="S20" s="12">
        <f si="5" t="shared"/>
        <v>20</v>
      </c>
      <c r="T20" s="12"/>
      <c r="U20" s="12">
        <f si="5" t="shared"/>
        <v>25235</v>
      </c>
    </row>
    <row r="21" spans="1:32" x14ac:dyDescent="0.25">
      <c r="A21" t="str">
        <f>$A$8</f>
        <v>Rutherford</v>
      </c>
      <c r="B21" s="12">
        <f ref="B21:G25" si="6" t="shared">($U8/$J8)*B8</f>
        <v>400.52783677239688</v>
      </c>
      <c r="C21" s="12">
        <f si="6" t="shared"/>
        <v>28801.346741986414</v>
      </c>
      <c r="D21" s="12">
        <f si="6" t="shared"/>
        <v>355.59428913629904</v>
      </c>
      <c r="E21" s="12">
        <f si="6" t="shared"/>
        <v>0</v>
      </c>
      <c r="F21" s="12">
        <f si="6" t="shared"/>
        <v>2422.5440906617182</v>
      </c>
      <c r="G21" s="12">
        <f si="6" t="shared"/>
        <v>0</v>
      </c>
      <c r="H21" s="12">
        <f ref="H21:H26" si="7" t="shared">($U8/$J8)*H8</f>
        <v>1564.9870414431732</v>
      </c>
      <c r="I21" s="12"/>
      <c r="J21" s="12">
        <f ref="J21:J27" si="8" t="shared">SUM(B21:I21)</f>
        <v>33545</v>
      </c>
      <c r="K21" s="12"/>
      <c r="L21" t="str">
        <f>$A$8</f>
        <v>Rutherford</v>
      </c>
      <c r="M21" s="12">
        <f ref="M21:U21" si="9" t="shared">M8</f>
        <v>745</v>
      </c>
      <c r="N21" s="12">
        <f si="9" t="shared"/>
        <v>29415</v>
      </c>
      <c r="O21" s="12">
        <f si="9" t="shared"/>
        <v>55</v>
      </c>
      <c r="P21" s="12">
        <f si="9" t="shared"/>
        <v>5</v>
      </c>
      <c r="Q21" s="12">
        <f si="9" t="shared"/>
        <v>2915</v>
      </c>
      <c r="R21" s="12">
        <f si="9" t="shared"/>
        <v>25</v>
      </c>
      <c r="S21" s="12">
        <f si="9" t="shared"/>
        <v>385</v>
      </c>
      <c r="T21" s="12"/>
      <c r="U21" s="12">
        <f si="9" t="shared"/>
        <v>33545</v>
      </c>
    </row>
    <row r="22" spans="1:32" x14ac:dyDescent="0.25">
      <c r="A22" t="str">
        <f>$A$9</f>
        <v>Sumner</v>
      </c>
      <c r="B22" s="12">
        <f si="6" t="shared"/>
        <v>17.324214769148174</v>
      </c>
      <c r="C22" s="12">
        <f si="6" t="shared"/>
        <v>0</v>
      </c>
      <c r="D22" s="12">
        <f si="6" t="shared"/>
        <v>18232.610182943503</v>
      </c>
      <c r="E22" s="12">
        <f si="6" t="shared"/>
        <v>521.40235686279743</v>
      </c>
      <c r="F22" s="12">
        <f si="6" t="shared"/>
        <v>3558.6632454245523</v>
      </c>
      <c r="G22" s="12">
        <f si="6" t="shared"/>
        <v>0</v>
      </c>
      <c r="H22" s="12">
        <f si="7" t="shared"/>
        <v>0</v>
      </c>
      <c r="I22" s="12"/>
      <c r="J22" s="12">
        <f si="8" t="shared"/>
        <v>22330</v>
      </c>
      <c r="K22" s="13"/>
      <c r="L22" t="str">
        <f>$A$9</f>
        <v>Sumner</v>
      </c>
      <c r="M22" s="12">
        <f ref="M22:U22" si="10" t="shared">M9</f>
        <v>65</v>
      </c>
      <c r="N22" s="12">
        <f si="10" t="shared"/>
        <v>10</v>
      </c>
      <c r="O22" s="12">
        <f si="10" t="shared"/>
        <v>16730</v>
      </c>
      <c r="P22" s="12">
        <f si="10" t="shared"/>
        <v>840</v>
      </c>
      <c r="Q22" s="12">
        <f si="10" t="shared"/>
        <v>4260</v>
      </c>
      <c r="R22" s="12">
        <f si="10" t="shared"/>
        <v>0</v>
      </c>
      <c r="S22" s="12">
        <f si="10" t="shared"/>
        <v>425</v>
      </c>
      <c r="T22" s="12"/>
      <c r="U22" s="12">
        <f si="10" t="shared"/>
        <v>22330</v>
      </c>
    </row>
    <row r="23" spans="1:32" x14ac:dyDescent="0.25">
      <c r="A23" t="str">
        <f>$A$10</f>
        <v>Roberston</v>
      </c>
      <c r="B23" s="12">
        <f si="6" t="shared"/>
        <v>0</v>
      </c>
      <c r="C23" s="12">
        <f si="6" t="shared"/>
        <v>0</v>
      </c>
      <c r="D23" s="12">
        <f si="6" t="shared"/>
        <v>1195.4855601396282</v>
      </c>
      <c r="E23" s="12">
        <f si="6" t="shared"/>
        <v>7472.0012491953112</v>
      </c>
      <c r="F23" s="12">
        <f si="6" t="shared"/>
        <v>582.51319066505937</v>
      </c>
      <c r="G23" s="12">
        <f si="6" t="shared"/>
        <v>0</v>
      </c>
      <c r="H23" s="12">
        <f si="7" t="shared"/>
        <v>0</v>
      </c>
      <c r="I23" s="12"/>
      <c r="J23" s="12">
        <f>SUM(B23:I23)</f>
        <v>9249.9999999999982</v>
      </c>
      <c r="K23" s="13"/>
      <c r="L23" t="str">
        <f>$A$10</f>
        <v>Roberston</v>
      </c>
      <c r="M23" s="12">
        <f ref="M23:S23" si="11" t="shared">M10</f>
        <v>45</v>
      </c>
      <c r="N23" s="12">
        <f si="11" t="shared"/>
        <v>15</v>
      </c>
      <c r="O23" s="12">
        <f si="11" t="shared"/>
        <v>920</v>
      </c>
      <c r="P23" s="12">
        <f si="11" t="shared"/>
        <v>6240</v>
      </c>
      <c r="Q23" s="12">
        <f si="11" t="shared"/>
        <v>1990</v>
      </c>
      <c r="R23" s="12">
        <f si="11" t="shared"/>
        <v>0</v>
      </c>
      <c r="S23" s="12">
        <f si="11" t="shared"/>
        <v>40</v>
      </c>
      <c r="T23" s="12"/>
      <c r="U23" s="12">
        <f ref="U23" si="12" t="shared">U10</f>
        <v>9250</v>
      </c>
    </row>
    <row r="24" spans="1:32" x14ac:dyDescent="0.25">
      <c r="A24" t="str">
        <f>$A$11</f>
        <v>Davidson</v>
      </c>
      <c r="B24" s="12">
        <f si="6" t="shared"/>
        <v>3733.8785317850406</v>
      </c>
      <c r="C24" s="12">
        <f si="6" t="shared"/>
        <v>1073.4214603886137</v>
      </c>
      <c r="D24" s="12">
        <f si="6" t="shared"/>
        <v>1140.0174537963924</v>
      </c>
      <c r="E24" s="12">
        <f si="6" t="shared"/>
        <v>690.4055310891838</v>
      </c>
      <c r="F24" s="12">
        <f si="6" t="shared"/>
        <v>79775.68055968055</v>
      </c>
      <c r="G24" s="12">
        <f si="6" t="shared"/>
        <v>0</v>
      </c>
      <c r="H24" s="12">
        <f si="7" t="shared"/>
        <v>486.59646326021431</v>
      </c>
      <c r="I24" s="12"/>
      <c r="J24" s="12">
        <f si="8" t="shared"/>
        <v>86899.999999999985</v>
      </c>
      <c r="K24" s="13"/>
      <c r="L24" t="str">
        <f>$A$11</f>
        <v>Davidson</v>
      </c>
      <c r="M24" s="12">
        <f ref="M24:S24" si="13" t="shared">M11</f>
        <v>2820</v>
      </c>
      <c r="N24" s="12">
        <f si="13" t="shared"/>
        <v>1065</v>
      </c>
      <c r="O24" s="12">
        <f si="13" t="shared"/>
        <v>680</v>
      </c>
      <c r="P24" s="12">
        <f si="13" t="shared"/>
        <v>190</v>
      </c>
      <c r="Q24" s="12">
        <f si="13" t="shared"/>
        <v>81295</v>
      </c>
      <c r="R24" s="12">
        <f si="13" t="shared"/>
        <v>5</v>
      </c>
      <c r="S24" s="12">
        <f si="13" t="shared"/>
        <v>845</v>
      </c>
      <c r="T24" s="12"/>
      <c r="U24" s="12">
        <f ref="U24" si="14" t="shared">U11</f>
        <v>86900</v>
      </c>
    </row>
    <row r="25" spans="1:32" x14ac:dyDescent="0.25">
      <c r="A25" t="str">
        <f>$A$12</f>
        <v>Maury</v>
      </c>
      <c r="B25" s="12">
        <f si="6" t="shared"/>
        <v>1066.6261338612824</v>
      </c>
      <c r="C25" s="12">
        <f si="6" t="shared"/>
        <v>135.11763025956208</v>
      </c>
      <c r="D25" s="12">
        <f si="6" t="shared"/>
        <v>0</v>
      </c>
      <c r="E25" s="12">
        <f si="6" t="shared"/>
        <v>0</v>
      </c>
      <c r="F25" s="12">
        <f si="6" t="shared"/>
        <v>1260.9651982967021</v>
      </c>
      <c r="G25" s="12">
        <f si="6" t="shared"/>
        <v>8787.2910375824522</v>
      </c>
      <c r="H25" s="12">
        <f si="7" t="shared"/>
        <v>0</v>
      </c>
      <c r="I25" s="12"/>
      <c r="J25" s="12">
        <f si="8" t="shared"/>
        <v>11249.999999999998</v>
      </c>
      <c r="K25" s="13"/>
      <c r="L25" t="str">
        <f>$A$12</f>
        <v>Maury</v>
      </c>
      <c r="M25" s="12">
        <f ref="M25:S26" si="15" t="shared">M12</f>
        <v>965</v>
      </c>
      <c r="N25" s="12">
        <f si="15" t="shared"/>
        <v>55</v>
      </c>
      <c r="O25" s="12">
        <f si="15" t="shared"/>
        <v>5</v>
      </c>
      <c r="P25" s="12">
        <f si="15" t="shared"/>
        <v>0</v>
      </c>
      <c r="Q25" s="12">
        <f si="15" t="shared"/>
        <v>220</v>
      </c>
      <c r="R25" s="12">
        <f si="15" t="shared"/>
        <v>10000</v>
      </c>
      <c r="S25" s="12">
        <f si="15" t="shared"/>
        <v>5</v>
      </c>
      <c r="T25" s="12"/>
      <c r="U25" s="12">
        <f ref="U25:U26" si="16" t="shared">U12</f>
        <v>11250</v>
      </c>
    </row>
    <row r="26" spans="1:32" x14ac:dyDescent="0.25">
      <c r="A26" t="str">
        <f>$A$13</f>
        <v>Wilson</v>
      </c>
      <c r="B26" s="12">
        <f>($U13/$J13)*B13</f>
        <v>94.531374356998327</v>
      </c>
      <c r="C26" s="12">
        <f ref="C26:G26" si="17" t="shared">($U13/$J13)*C13</f>
        <v>899.42940999403197</v>
      </c>
      <c r="D26" s="12">
        <f si="17" t="shared"/>
        <v>0</v>
      </c>
      <c r="E26" s="12">
        <f si="17" t="shared"/>
        <v>0</v>
      </c>
      <c r="F26" s="12">
        <f si="17" t="shared"/>
        <v>2506.262921850298</v>
      </c>
      <c r="G26" s="12">
        <f si="17" t="shared"/>
        <v>0</v>
      </c>
      <c r="H26" s="12">
        <f si="7" t="shared"/>
        <v>12919.77629379867</v>
      </c>
      <c r="I26" s="12"/>
      <c r="J26" s="12">
        <f si="8" t="shared"/>
        <v>16420</v>
      </c>
      <c r="K26" s="13"/>
      <c r="L26" t="str">
        <f>$A$13</f>
        <v>Wilson</v>
      </c>
      <c r="M26" s="12">
        <f si="15" t="shared"/>
        <v>120</v>
      </c>
      <c r="N26" s="12">
        <f si="15" t="shared"/>
        <v>860</v>
      </c>
      <c r="O26" s="12">
        <f si="15" t="shared"/>
        <v>575</v>
      </c>
      <c r="P26" s="12">
        <f si="15" t="shared"/>
        <v>35</v>
      </c>
      <c r="Q26" s="12">
        <f si="15" t="shared"/>
        <v>4295</v>
      </c>
      <c r="R26" s="12">
        <f si="15" t="shared"/>
        <v>0</v>
      </c>
      <c r="S26" s="12">
        <f si="15" t="shared"/>
        <v>10535</v>
      </c>
      <c r="T26" s="12"/>
      <c r="U26" s="12">
        <f si="16" t="shared"/>
        <v>16420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4"/>
      <c r="I27" s="14"/>
      <c r="J27" s="14">
        <f si="8" t="shared"/>
        <v>0</v>
      </c>
      <c r="K27" s="12"/>
      <c r="L27" s="15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6">
        <f ref="B28:J28" si="18" t="shared">SUM(B20:B27)</f>
        <v>23423.236057313617</v>
      </c>
      <c r="C28" s="16">
        <f si="18" t="shared"/>
        <v>31710.405806588002</v>
      </c>
      <c r="D28" s="16">
        <f si="18" t="shared"/>
        <v>20923.707486015821</v>
      </c>
      <c r="E28" s="16">
        <f si="18" t="shared"/>
        <v>8683.8091371472929</v>
      </c>
      <c r="F28" s="16">
        <f si="18" t="shared"/>
        <v>96164.969849884757</v>
      </c>
      <c r="G28" s="16">
        <f si="18" t="shared"/>
        <v>9052.5118645484436</v>
      </c>
      <c r="H28" s="16">
        <f si="18" t="shared"/>
        <v>14971.359798502057</v>
      </c>
      <c r="I28" s="16">
        <f si="18" t="shared"/>
        <v>0</v>
      </c>
      <c r="J28" s="16">
        <f si="18" t="shared"/>
        <v>204930</v>
      </c>
      <c r="K28" s="12"/>
      <c r="L28" s="16" t="s">
        <v>4</v>
      </c>
      <c r="M28" s="16">
        <f ref="M28:U28" si="19" t="shared">M15</f>
        <v>22675</v>
      </c>
      <c r="N28" s="16">
        <f si="19" t="shared"/>
        <v>31925</v>
      </c>
      <c r="O28" s="16">
        <f si="19" t="shared"/>
        <v>18985</v>
      </c>
      <c r="P28" s="16">
        <f si="19" t="shared"/>
        <v>7310</v>
      </c>
      <c r="Q28" s="16">
        <f si="19" t="shared"/>
        <v>100985</v>
      </c>
      <c r="R28" s="16">
        <f si="19" t="shared"/>
        <v>10795</v>
      </c>
      <c r="S28" s="16">
        <f si="19" t="shared"/>
        <v>12255</v>
      </c>
      <c r="T28" s="16"/>
      <c r="U28" s="16">
        <f si="19" t="shared"/>
        <v>204930</v>
      </c>
    </row>
    <row ht="15.75" r="31" spans="1:32" thickBot="1" x14ac:dyDescent="0.3">
      <c r="A31" s="4" t="s">
        <v>53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23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7">
        <f ref="B33:H33" si="20" t="shared">B20/$J$28</f>
        <v>8.8373337070066602E-2</v>
      </c>
      <c r="C33" s="17">
        <f si="20" t="shared"/>
        <v>3.9090936610519725E-3</v>
      </c>
      <c r="D33" s="17">
        <f si="20" t="shared"/>
        <v>0</v>
      </c>
      <c r="E33" s="17">
        <f si="20" t="shared"/>
        <v>0</v>
      </c>
      <c r="F33" s="17">
        <f si="20" t="shared"/>
        <v>2.956297586154237E-2</v>
      </c>
      <c r="G33" s="17">
        <f si="20" t="shared"/>
        <v>1.2942020541940715E-3</v>
      </c>
      <c r="H33" s="17">
        <f si="20" t="shared"/>
        <v>0</v>
      </c>
      <c r="I33" s="12"/>
      <c r="J33" s="17">
        <f ref="J33:J39" si="21" t="shared">J20/$J$28</f>
        <v>0.12313960864685501</v>
      </c>
      <c r="K33" s="12"/>
      <c r="L33" t="str">
        <f>$A$7</f>
        <v>Williamson</v>
      </c>
      <c r="M33" s="17">
        <f ref="M33:S33" si="22" t="shared">M20/$U$28</f>
        <v>8.7420094666471479E-2</v>
      </c>
      <c r="N33" s="17">
        <f si="22" t="shared"/>
        <v>2.4642560874444932E-3</v>
      </c>
      <c r="O33" s="17">
        <f si="22" t="shared"/>
        <v>9.7594300492851211E-5</v>
      </c>
      <c r="P33" s="17">
        <f si="22" t="shared"/>
        <v>0</v>
      </c>
      <c r="Q33" s="17">
        <f si="22" t="shared"/>
        <v>2.9327087298101791E-2</v>
      </c>
      <c r="R33" s="17">
        <f si="22" t="shared"/>
        <v>3.732981993851559E-3</v>
      </c>
      <c r="S33" s="17">
        <f si="22" t="shared"/>
        <v>9.7594300492851211E-5</v>
      </c>
      <c r="T33" s="17"/>
      <c r="U33" s="17">
        <f>U20/$U$28</f>
        <v>0.12313960864685503</v>
      </c>
      <c r="W33" t="str">
        <f>$A$7</f>
        <v>Williamson</v>
      </c>
      <c r="X33" s="17">
        <f>M33-B33</f>
        <v>-9.5324240359512258E-4</v>
      </c>
      <c r="Y33" s="17">
        <f ref="Y33:Y35" si="23" t="shared">N33-C33</f>
        <v>-1.4448375736074793E-3</v>
      </c>
      <c r="Z33" s="17">
        <f ref="Z33:Z35" si="24" t="shared">O33-D33</f>
        <v>9.7594300492851211E-5</v>
      </c>
      <c r="AA33" s="17">
        <f ref="AA33" si="25" t="shared">P33-E33</f>
        <v>0</v>
      </c>
      <c r="AB33" s="17">
        <f ref="AB33" si="26" t="shared">Q33-F33</f>
        <v>-2.3588856344057899E-4</v>
      </c>
      <c r="AC33" s="17">
        <f ref="AC33:AD39" si="27" t="shared">R33-G33</f>
        <v>2.4387799396574875E-3</v>
      </c>
      <c r="AD33" s="17">
        <f si="27" t="shared"/>
        <v>9.7594300492851211E-5</v>
      </c>
      <c r="AE33" s="17"/>
      <c r="AF33" s="17">
        <f ref="AF33:AF39" si="28" t="shared">U33-J33</f>
        <v>0</v>
      </c>
    </row>
    <row r="34" spans="1:32" x14ac:dyDescent="0.25">
      <c r="A34" t="str">
        <f>$A$8</f>
        <v>Rutherford</v>
      </c>
      <c r="B34" s="17">
        <f ref="B34:G38" si="29" t="shared">B21/$J$28</f>
        <v>1.9544617028858483E-3</v>
      </c>
      <c r="C34" s="17">
        <f si="29" t="shared"/>
        <v>0.14054236442681117</v>
      </c>
      <c r="D34" s="17">
        <f si="29" t="shared"/>
        <v>1.7351987953754893E-3</v>
      </c>
      <c r="E34" s="17">
        <f si="29" t="shared"/>
        <v>0</v>
      </c>
      <c r="F34" s="17">
        <f si="29" t="shared"/>
        <v>1.1821324797061036E-2</v>
      </c>
      <c r="G34" s="17">
        <f si="29" t="shared"/>
        <v>0</v>
      </c>
      <c r="H34" s="17">
        <f ref="H34:H39" si="30" t="shared">H21/$J$28</f>
        <v>7.6366907795011622E-3</v>
      </c>
      <c r="I34" s="12"/>
      <c r="J34" s="17">
        <f si="21" t="shared"/>
        <v>0.16369004050163471</v>
      </c>
      <c r="K34" s="12"/>
      <c r="L34" t="str">
        <f>$A$8</f>
        <v>Rutherford</v>
      </c>
      <c r="M34" s="17">
        <f ref="M34:R36" si="31" t="shared">M21/$U$28</f>
        <v>3.635387693358708E-3</v>
      </c>
      <c r="N34" s="17">
        <f si="31" t="shared"/>
        <v>0.14353681744986094</v>
      </c>
      <c r="O34" s="17">
        <f si="31" t="shared"/>
        <v>2.6838432635534085E-4</v>
      </c>
      <c r="P34" s="17">
        <f si="31" t="shared"/>
        <v>2.4398575123212803E-5</v>
      </c>
      <c r="Q34" s="17">
        <f si="31" t="shared"/>
        <v>1.4224369296833066E-2</v>
      </c>
      <c r="R34" s="17">
        <f si="31" t="shared"/>
        <v>1.2199287561606402E-4</v>
      </c>
      <c r="S34" s="17">
        <f ref="S34:S39" si="32" t="shared">S21/$U$28</f>
        <v>1.878690284487386E-3</v>
      </c>
      <c r="T34" s="17"/>
      <c r="U34" s="17">
        <f>U21/$U$28</f>
        <v>0.16369004050163471</v>
      </c>
      <c r="W34" t="str">
        <f>$A$8</f>
        <v>Rutherford</v>
      </c>
      <c r="X34" s="17">
        <f ref="X34:X35" si="33" t="shared">M34-B34</f>
        <v>1.6809259904728598E-3</v>
      </c>
      <c r="Y34" s="17">
        <f si="23" t="shared"/>
        <v>2.9944530230497646E-3</v>
      </c>
      <c r="Z34" s="17">
        <f si="24" t="shared"/>
        <v>-1.4668144690201486E-3</v>
      </c>
      <c r="AA34" s="17">
        <f ref="AA34:AA39" si="34" t="shared">P34-E34</f>
        <v>2.4398575123212803E-5</v>
      </c>
      <c r="AB34" s="17">
        <f ref="AB34:AB39" si="35" t="shared">Q34-F34</f>
        <v>2.4030444997720293E-3</v>
      </c>
      <c r="AC34" s="17">
        <f ref="AC34:AC39" si="36" t="shared">R34-G34</f>
        <v>1.2199287561606402E-4</v>
      </c>
      <c r="AD34" s="17">
        <f si="27" t="shared"/>
        <v>-5.7580004950137757E-3</v>
      </c>
      <c r="AE34" s="17"/>
      <c r="AF34" s="17">
        <f si="28" t="shared"/>
        <v>0</v>
      </c>
    </row>
    <row r="35" spans="1:32" x14ac:dyDescent="0.25">
      <c r="A35" t="str">
        <f>$A$9</f>
        <v>Sumner</v>
      </c>
      <c r="B35" s="17">
        <f si="29" t="shared"/>
        <v>8.4537231099146893E-5</v>
      </c>
      <c r="C35" s="17">
        <f si="29" t="shared"/>
        <v>0</v>
      </c>
      <c r="D35" s="17">
        <f si="29" t="shared"/>
        <v>8.8969941848160358E-2</v>
      </c>
      <c r="E35" s="17">
        <f si="29" t="shared"/>
        <v>2.544294914667435E-3</v>
      </c>
      <c r="F35" s="17">
        <f si="29" t="shared"/>
        <v>1.7365262506341444E-2</v>
      </c>
      <c r="G35" s="17">
        <f si="29" t="shared"/>
        <v>0</v>
      </c>
      <c r="H35" s="17">
        <f si="30" t="shared"/>
        <v>0</v>
      </c>
      <c r="I35" s="12"/>
      <c r="J35" s="17">
        <f si="21" t="shared"/>
        <v>0.10896403650026838</v>
      </c>
      <c r="K35" s="13"/>
      <c r="L35" t="str">
        <f>$A$9</f>
        <v>Sumner</v>
      </c>
      <c r="M35" s="17">
        <f si="31" t="shared"/>
        <v>3.1718147660176645E-4</v>
      </c>
      <c r="N35" s="17">
        <f si="31" t="shared"/>
        <v>4.8797150246425606E-5</v>
      </c>
      <c r="O35" s="17">
        <f si="31" t="shared"/>
        <v>8.1637632362270049E-2</v>
      </c>
      <c r="P35" s="17">
        <f si="31" t="shared"/>
        <v>4.0989606206997507E-3</v>
      </c>
      <c r="Q35" s="17">
        <f si="31" t="shared"/>
        <v>2.078758600497731E-2</v>
      </c>
      <c r="R35" s="17">
        <f si="31" t="shared"/>
        <v>0</v>
      </c>
      <c r="S35" s="17">
        <f si="32" t="shared"/>
        <v>2.0738788854730884E-3</v>
      </c>
      <c r="T35" s="17"/>
      <c r="U35" s="17">
        <f>U22/$U$28</f>
        <v>0.10896403650026838</v>
      </c>
      <c r="W35" t="str">
        <f>$A$9</f>
        <v>Sumner</v>
      </c>
      <c r="X35" s="17">
        <f si="33" t="shared"/>
        <v>2.3264424550261954E-4</v>
      </c>
      <c r="Y35" s="17">
        <f si="23" t="shared"/>
        <v>4.8797150246425606E-5</v>
      </c>
      <c r="Z35" s="17">
        <f si="24" t="shared"/>
        <v>-7.3323094858903093E-3</v>
      </c>
      <c r="AA35" s="17">
        <f si="34" t="shared"/>
        <v>1.5546657060323157E-3</v>
      </c>
      <c r="AB35" s="17">
        <f si="35" t="shared"/>
        <v>3.4223234986358667E-3</v>
      </c>
      <c r="AC35" s="17">
        <f si="36" t="shared"/>
        <v>0</v>
      </c>
      <c r="AD35" s="17">
        <f si="27" t="shared"/>
        <v>2.0738788854730884E-3</v>
      </c>
      <c r="AE35" s="17"/>
      <c r="AF35" s="17">
        <f si="28" t="shared"/>
        <v>0</v>
      </c>
    </row>
    <row r="36" spans="1:32" x14ac:dyDescent="0.25">
      <c r="A36" t="str">
        <f>$A$10</f>
        <v>Roberston</v>
      </c>
      <c r="B36" s="17">
        <f si="29" t="shared"/>
        <v>0</v>
      </c>
      <c r="C36" s="17">
        <f si="29" t="shared"/>
        <v>0</v>
      </c>
      <c r="D36" s="17">
        <f si="29" t="shared"/>
        <v>5.8336288495565713E-3</v>
      </c>
      <c r="E36" s="17">
        <f si="29" t="shared"/>
        <v>3.6461236759846347E-2</v>
      </c>
      <c r="F36" s="17">
        <f si="29" t="shared"/>
        <v>2.8424983685407671E-3</v>
      </c>
      <c r="G36" s="17">
        <f si="29" t="shared"/>
        <v>0</v>
      </c>
      <c r="H36" s="17">
        <f si="30" t="shared"/>
        <v>0</v>
      </c>
      <c r="I36" s="12"/>
      <c r="J36" s="17">
        <f si="21" t="shared"/>
        <v>4.5137363977943677E-2</v>
      </c>
      <c r="K36" s="13"/>
      <c r="L36" t="str">
        <f>$A$10</f>
        <v>Roberston</v>
      </c>
      <c r="M36" s="17">
        <f si="31" t="shared"/>
        <v>2.1958717610891525E-4</v>
      </c>
      <c r="N36" s="17">
        <f si="31" t="shared"/>
        <v>7.3195725369638412E-5</v>
      </c>
      <c r="O36" s="17">
        <f si="31" t="shared"/>
        <v>4.4893378226711564E-3</v>
      </c>
      <c r="P36" s="17">
        <f si="31" t="shared"/>
        <v>3.0449421753769579E-2</v>
      </c>
      <c r="Q36" s="17">
        <f si="31" t="shared"/>
        <v>9.7106328990386962E-3</v>
      </c>
      <c r="R36" s="17">
        <f si="31" t="shared"/>
        <v>0</v>
      </c>
      <c r="S36" s="17">
        <f si="32" t="shared"/>
        <v>1.9518860098570242E-4</v>
      </c>
      <c r="T36" s="17"/>
      <c r="U36" s="17">
        <f ref="U36" si="37" t="shared">U23/$U$28</f>
        <v>4.5137363977943691E-2</v>
      </c>
      <c r="W36" t="str">
        <f>$A$10</f>
        <v>Roberston</v>
      </c>
      <c r="X36" s="17">
        <f ref="X36:X39" si="38" t="shared">M36-B36</f>
        <v>2.1958717610891525E-4</v>
      </c>
      <c r="Y36" s="17">
        <f ref="Y36:Y39" si="39" t="shared">N36-C36</f>
        <v>7.3195725369638412E-5</v>
      </c>
      <c r="Z36" s="17">
        <f ref="Z36:Z39" si="40" t="shared">O36-D36</f>
        <v>-1.344291026885415E-3</v>
      </c>
      <c r="AA36" s="17">
        <f si="34" t="shared"/>
        <v>-6.0118150060767678E-3</v>
      </c>
      <c r="AB36" s="17">
        <f si="35" t="shared"/>
        <v>6.8681345304979291E-3</v>
      </c>
      <c r="AC36" s="17">
        <f si="36" t="shared"/>
        <v>0</v>
      </c>
      <c r="AD36" s="17">
        <f si="27" t="shared"/>
        <v>1.9518860098570242E-4</v>
      </c>
      <c r="AE36" s="17"/>
      <c r="AF36" s="17">
        <f si="28" t="shared"/>
        <v>0</v>
      </c>
    </row>
    <row r="37" spans="1:32" x14ac:dyDescent="0.25">
      <c r="A37" t="str">
        <f>$A$11</f>
        <v>Davidson</v>
      </c>
      <c r="B37" s="17">
        <f si="29" t="shared"/>
        <v>1.8220263171741767E-2</v>
      </c>
      <c r="C37" s="17">
        <f si="29" t="shared"/>
        <v>5.2379908280320775E-3</v>
      </c>
      <c r="D37" s="17">
        <f si="29" t="shared"/>
        <v>5.5629602976450124E-3</v>
      </c>
      <c r="E37" s="17">
        <f si="29" t="shared"/>
        <v>3.3689822431522166E-3</v>
      </c>
      <c r="F37" s="17">
        <f si="29" t="shared"/>
        <v>0.38928258702815866</v>
      </c>
      <c r="G37" s="17">
        <f si="29" t="shared"/>
        <v>0</v>
      </c>
      <c r="H37" s="17">
        <f si="30" t="shared"/>
        <v>2.3744520727087995E-3</v>
      </c>
      <c r="I37" s="12"/>
      <c r="J37" s="17">
        <f si="21" t="shared"/>
        <v>0.42404723564143848</v>
      </c>
      <c r="K37" s="13"/>
      <c r="L37" t="str">
        <f>$A$11</f>
        <v>Davidson</v>
      </c>
      <c r="M37" s="17">
        <f>M24/$U$28</f>
        <v>1.3760796369492021E-2</v>
      </c>
      <c r="N37" s="17">
        <f>N24/$U$28</f>
        <v>5.1968965012443276E-3</v>
      </c>
      <c r="O37" s="17">
        <f ref="O37:R37" si="41" t="shared">O24/$U$28</f>
        <v>3.3182062167569416E-3</v>
      </c>
      <c r="P37" s="17">
        <f si="41" t="shared"/>
        <v>9.2714585468208659E-4</v>
      </c>
      <c r="Q37" s="17">
        <f si="41" t="shared"/>
        <v>0.39669643292831697</v>
      </c>
      <c r="R37" s="17">
        <f si="41" t="shared"/>
        <v>2.4398575123212803E-5</v>
      </c>
      <c r="S37" s="17">
        <f si="32" t="shared"/>
        <v>4.1233591958229638E-3</v>
      </c>
      <c r="T37" s="17"/>
      <c r="U37" s="17">
        <f ref="U37" si="42" t="shared">U24/$U$28</f>
        <v>0.42404723564143854</v>
      </c>
      <c r="W37" t="str">
        <f>$A$11</f>
        <v>Davidson</v>
      </c>
      <c r="X37" s="17">
        <f si="38" t="shared"/>
        <v>-4.4594668022497463E-3</v>
      </c>
      <c r="Y37" s="17">
        <f si="39" t="shared"/>
        <v>-4.1094326787749838E-5</v>
      </c>
      <c r="Z37" s="17">
        <f si="40" t="shared"/>
        <v>-2.2447540808880708E-3</v>
      </c>
      <c r="AA37" s="17">
        <f si="34" t="shared"/>
        <v>-2.4418363884701299E-3</v>
      </c>
      <c r="AB37" s="17">
        <f si="35" t="shared"/>
        <v>7.4138459001583112E-3</v>
      </c>
      <c r="AC37" s="17">
        <f si="36" t="shared"/>
        <v>2.4398575123212803E-5</v>
      </c>
      <c r="AD37" s="17">
        <f si="27" t="shared"/>
        <v>1.7489071231141643E-3</v>
      </c>
      <c r="AE37" s="17"/>
      <c r="AF37" s="17">
        <f si="28" t="shared"/>
        <v>0</v>
      </c>
    </row>
    <row r="38" spans="1:32" x14ac:dyDescent="0.25">
      <c r="A38" t="str">
        <f>$A$12</f>
        <v>Maury</v>
      </c>
      <c r="B38" s="17">
        <f si="29" t="shared"/>
        <v>5.2048315710793071E-3</v>
      </c>
      <c r="C38" s="17">
        <f si="29" t="shared"/>
        <v>6.5933553047168344E-4</v>
      </c>
      <c r="D38" s="17">
        <f si="29" t="shared"/>
        <v>0</v>
      </c>
      <c r="E38" s="17">
        <f si="29" t="shared"/>
        <v>0</v>
      </c>
      <c r="F38" s="17">
        <f si="29" t="shared"/>
        <v>6.1531508236798028E-3</v>
      </c>
      <c r="G38" s="17">
        <f si="29" t="shared"/>
        <v>4.2879476101998007E-2</v>
      </c>
      <c r="H38" s="17">
        <f si="30" t="shared"/>
        <v>0</v>
      </c>
      <c r="I38" s="12"/>
      <c r="J38" s="17">
        <f si="21" t="shared"/>
        <v>5.4896794027228801E-2</v>
      </c>
      <c r="K38" s="13"/>
      <c r="L38" t="str">
        <f>$A$12</f>
        <v>Maury</v>
      </c>
      <c r="M38" s="17">
        <f>M25/$U$28</f>
        <v>4.7089249987800714E-3</v>
      </c>
      <c r="N38" s="17">
        <f>N25/$U$28</f>
        <v>2.6838432635534085E-4</v>
      </c>
      <c r="O38" s="17">
        <f ref="O38:R38" si="43" t="shared">O25/$U$28</f>
        <v>2.4398575123212803E-5</v>
      </c>
      <c r="P38" s="17">
        <f si="43" t="shared"/>
        <v>0</v>
      </c>
      <c r="Q38" s="17">
        <f si="43" t="shared"/>
        <v>1.0735373054213634E-3</v>
      </c>
      <c r="R38" s="17">
        <f si="43" t="shared"/>
        <v>4.8797150246425607E-2</v>
      </c>
      <c r="S38" s="17">
        <f si="32" t="shared"/>
        <v>2.4398575123212803E-5</v>
      </c>
      <c r="T38" s="17"/>
      <c r="U38" s="17">
        <f ref="U38:U39" si="44" t="shared">U25/$U$28</f>
        <v>5.4896794027228808E-2</v>
      </c>
      <c r="W38" t="str">
        <f>$A$12</f>
        <v>Maury</v>
      </c>
      <c r="X38" s="17">
        <f si="38" t="shared"/>
        <v>-4.9590657229923573E-4</v>
      </c>
      <c r="Y38" s="17">
        <f si="39" t="shared"/>
        <v>-3.9095120411634259E-4</v>
      </c>
      <c r="Z38" s="17">
        <f si="40" t="shared"/>
        <v>2.4398575123212803E-5</v>
      </c>
      <c r="AA38" s="17">
        <f si="34" t="shared"/>
        <v>0</v>
      </c>
      <c r="AB38" s="17">
        <f si="35" t="shared"/>
        <v>-5.0796135182584398E-3</v>
      </c>
      <c r="AC38" s="17">
        <f si="36" t="shared"/>
        <v>5.9176741444275996E-3</v>
      </c>
      <c r="AD38" s="17">
        <f si="27" t="shared"/>
        <v>2.4398575123212803E-5</v>
      </c>
      <c r="AE38" s="17"/>
      <c r="AF38" s="17">
        <f si="28" t="shared"/>
        <v>0</v>
      </c>
    </row>
    <row r="39" spans="1:32" x14ac:dyDescent="0.25">
      <c r="A39" t="str">
        <f>$A$13</f>
        <v>Wilson</v>
      </c>
      <c r="B39" s="17">
        <f>B26/$J$28</f>
        <v>4.6128616774995524E-4</v>
      </c>
      <c r="C39" s="17">
        <f ref="C39:G39" si="45" t="shared">C26/$J$28</f>
        <v>4.3889592055532719E-3</v>
      </c>
      <c r="D39" s="17">
        <f si="45" t="shared"/>
        <v>0</v>
      </c>
      <c r="E39" s="17">
        <f si="45" t="shared"/>
        <v>0</v>
      </c>
      <c r="F39" s="17">
        <f si="45" t="shared"/>
        <v>1.2229848835457463E-2</v>
      </c>
      <c r="G39" s="17">
        <f si="45" t="shared"/>
        <v>0</v>
      </c>
      <c r="H39" s="17">
        <f si="30" t="shared"/>
        <v>6.3044826495870149E-2</v>
      </c>
      <c r="I39" s="12"/>
      <c r="J39" s="17">
        <f si="21" t="shared"/>
        <v>8.0124920704630856E-2</v>
      </c>
      <c r="K39" s="13"/>
      <c r="L39" t="str">
        <f>$A$13</f>
        <v>Wilson</v>
      </c>
      <c r="M39" s="17">
        <f>M26/$U$28</f>
        <v>5.8556580295710729E-4</v>
      </c>
      <c r="N39" s="17">
        <f ref="N39:R39" si="46" t="shared">N26/$U$28</f>
        <v>4.1965549211926021E-3</v>
      </c>
      <c r="O39" s="17">
        <f si="46" t="shared"/>
        <v>2.8058361391694723E-3</v>
      </c>
      <c r="P39" s="17">
        <f si="46" t="shared"/>
        <v>1.7079002586248962E-4</v>
      </c>
      <c r="Q39" s="17">
        <f si="46" t="shared"/>
        <v>2.09583760308398E-2</v>
      </c>
      <c r="R39" s="17">
        <f si="46" t="shared"/>
        <v>0</v>
      </c>
      <c r="S39" s="17">
        <f si="32" t="shared"/>
        <v>5.1407797784609376E-2</v>
      </c>
      <c r="T39" s="17"/>
      <c r="U39" s="17">
        <f si="44" t="shared"/>
        <v>8.0124920704630856E-2</v>
      </c>
      <c r="W39" t="str">
        <f>$A$13</f>
        <v>Wilson</v>
      </c>
      <c r="X39" s="17">
        <f si="38" t="shared"/>
        <v>1.2427963520715205E-4</v>
      </c>
      <c r="Y39" s="17">
        <f si="39" t="shared"/>
        <v>-1.9240428436066975E-4</v>
      </c>
      <c r="Z39" s="17">
        <f si="40" t="shared"/>
        <v>2.8058361391694723E-3</v>
      </c>
      <c r="AA39" s="17">
        <f si="34" t="shared"/>
        <v>1.7079002586248962E-4</v>
      </c>
      <c r="AB39" s="17">
        <f si="35" t="shared"/>
        <v>8.7285271953823369E-3</v>
      </c>
      <c r="AC39" s="17">
        <f si="36" t="shared"/>
        <v>0</v>
      </c>
      <c r="AD39" s="17">
        <f si="27" t="shared"/>
        <v>-1.1637028711260773E-2</v>
      </c>
      <c r="AE39" s="17"/>
      <c r="AF39" s="17">
        <f si="28" t="shared"/>
        <v>0</v>
      </c>
    </row>
    <row r="40" spans="1:32" x14ac:dyDescent="0.25">
      <c r="A40" s="7" t="s">
        <v>17</v>
      </c>
      <c r="B40" s="14"/>
      <c r="C40" s="14"/>
      <c r="D40" s="14"/>
      <c r="E40" s="14"/>
      <c r="F40" s="14"/>
      <c r="G40" s="14"/>
      <c r="H40" s="14"/>
      <c r="I40" s="14"/>
      <c r="J40" s="18"/>
      <c r="K40" s="12"/>
      <c r="L40" s="15" t="s">
        <v>17</v>
      </c>
      <c r="M40" s="18"/>
      <c r="N40" s="18"/>
      <c r="O40" s="18"/>
      <c r="P40" s="18"/>
      <c r="Q40" s="18"/>
      <c r="R40" s="18"/>
      <c r="S40" s="18"/>
      <c r="T40" s="18"/>
      <c r="U40" s="18"/>
      <c r="W40" s="15" t="s">
        <v>17</v>
      </c>
      <c r="X40" s="18"/>
      <c r="Y40" s="18"/>
      <c r="Z40" s="18"/>
      <c r="AA40" s="18"/>
      <c r="AB40" s="18"/>
      <c r="AC40" s="18"/>
      <c r="AD40" s="18"/>
      <c r="AE40" s="18"/>
      <c r="AF40" s="18"/>
    </row>
    <row ht="15.75" r="41" spans="1:32" thickBot="1" x14ac:dyDescent="0.3">
      <c r="A41" s="1" t="s">
        <v>4</v>
      </c>
      <c r="B41" s="19">
        <f ref="B41:H41" si="47" t="shared">B28/$J$28</f>
        <v>0.11429871691462264</v>
      </c>
      <c r="C41" s="19">
        <f si="47" t="shared"/>
        <v>0.15473774365192017</v>
      </c>
      <c r="D41" s="19">
        <f si="47" t="shared"/>
        <v>0.10210172979073742</v>
      </c>
      <c r="E41" s="19">
        <f si="47" t="shared"/>
        <v>4.2374513917665994E-2</v>
      </c>
      <c r="F41" s="19">
        <f si="47" t="shared"/>
        <v>0.46925764822078153</v>
      </c>
      <c r="G41" s="19">
        <f si="47" t="shared"/>
        <v>4.4173678156192081E-2</v>
      </c>
      <c r="H41" s="19">
        <f si="47" t="shared"/>
        <v>7.3055969348080105E-2</v>
      </c>
      <c r="I41" s="19">
        <f>I28/$J$28</f>
        <v>0</v>
      </c>
      <c r="J41" s="19">
        <f>J28/$J$28</f>
        <v>1</v>
      </c>
      <c r="K41" s="12"/>
      <c r="L41" s="16" t="s">
        <v>4</v>
      </c>
      <c r="M41" s="19">
        <f>M28/$U$28</f>
        <v>0.11064753818377007</v>
      </c>
      <c r="N41" s="19">
        <f>N28/$U$28</f>
        <v>0.15578490216171376</v>
      </c>
      <c r="O41" s="19">
        <f>O28/$U$28</f>
        <v>9.2641389742839017E-2</v>
      </c>
      <c r="P41" s="19">
        <f>P28/$U$28</f>
        <v>3.5670716830137117E-2</v>
      </c>
      <c r="Q41" s="19">
        <f ref="Q41:S41" si="48" t="shared">Q28/$U$28</f>
        <v>0.49277802176352903</v>
      </c>
      <c r="R41" s="19">
        <f si="48" t="shared"/>
        <v>5.2676523691016441E-2</v>
      </c>
      <c r="S41" s="19">
        <f si="48" t="shared"/>
        <v>5.9800907626994582E-2</v>
      </c>
      <c r="T41" s="19">
        <f>T28/$U$28</f>
        <v>0</v>
      </c>
      <c r="U41" s="19">
        <f>U28/$U$28</f>
        <v>1</v>
      </c>
      <c r="W41" s="16" t="s">
        <v>4</v>
      </c>
      <c r="X41" s="19">
        <f ref="X41:AF41" si="49" t="shared">M41-B41</f>
        <v>-3.6511787308525639E-3</v>
      </c>
      <c r="Y41" s="19">
        <f si="49" t="shared"/>
        <v>1.0471585097935887E-3</v>
      </c>
      <c r="Z41" s="19">
        <f si="49" t="shared"/>
        <v>-9.4603400478984051E-3</v>
      </c>
      <c r="AA41" s="19">
        <f si="49" t="shared"/>
        <v>-6.7037970875288774E-3</v>
      </c>
      <c r="AB41" s="19">
        <f si="49" t="shared"/>
        <v>2.3520373542747497E-2</v>
      </c>
      <c r="AC41" s="19">
        <f si="49" t="shared"/>
        <v>8.5028455348243603E-3</v>
      </c>
      <c r="AD41" s="19">
        <f si="49" t="shared"/>
        <v>-1.3255061721085523E-2</v>
      </c>
      <c r="AE41" s="19">
        <f si="49" t="shared"/>
        <v>0</v>
      </c>
      <c r="AF41" s="19">
        <f si="49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24</v>
      </c>
    </row>
    <row r="2" spans="1:3" x14ac:dyDescent="0.25">
      <c r="A2">
        <v>1</v>
      </c>
      <c r="B2" t="s">
        <v>25</v>
      </c>
    </row>
    <row r="3" spans="1:3" x14ac:dyDescent="0.25">
      <c r="B3" t="s">
        <v>26</v>
      </c>
      <c r="C3" t="s">
        <v>27</v>
      </c>
    </row>
    <row r="4" spans="1:3" x14ac:dyDescent="0.25">
      <c r="B4" t="s">
        <v>28</v>
      </c>
      <c r="C4" t="s">
        <v>29</v>
      </c>
    </row>
    <row r="5" spans="1:3" x14ac:dyDescent="0.25">
      <c r="B5" t="s">
        <v>30</v>
      </c>
      <c r="C5" t="s">
        <v>31</v>
      </c>
    </row>
    <row r="6" spans="1:3" x14ac:dyDescent="0.25">
      <c r="B6" t="s">
        <v>32</v>
      </c>
      <c r="C6" t="s">
        <v>33</v>
      </c>
    </row>
    <row r="8" spans="1:3" x14ac:dyDescent="0.25">
      <c r="A8">
        <v>2</v>
      </c>
      <c r="B8" t="s">
        <v>34</v>
      </c>
    </row>
    <row r="10" spans="1:3" x14ac:dyDescent="0.25">
      <c r="A10">
        <v>3</v>
      </c>
      <c r="B10" t="s">
        <v>35</v>
      </c>
    </row>
    <row r="12" spans="1:3" x14ac:dyDescent="0.25">
      <c r="A12">
        <v>4</v>
      </c>
      <c r="B12" t="s">
        <v>36</v>
      </c>
    </row>
    <row r="14" spans="1:3" x14ac:dyDescent="0.25">
      <c r="A14">
        <v>5</v>
      </c>
      <c r="B14" t="s">
        <v>37</v>
      </c>
    </row>
    <row r="15" spans="1:3" x14ac:dyDescent="0.25">
      <c r="B15" t="s">
        <v>38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tabSelected="1" workbookViewId="0">
      <selection activeCell="I32" sqref="I32"/>
    </sheetView>
  </sheetViews>
  <sheetFormatPr defaultRowHeight="15" x14ac:dyDescent="0.25"/>
  <sheetData>
    <row r="1" spans="1:11" x14ac:dyDescent="0.25">
      <c r="A1" s="401" t="s">
        <v>243</v>
      </c>
      <c r="B1" s="426"/>
      <c r="C1" s="426"/>
      <c r="D1" s="426"/>
      <c r="E1" s="426"/>
      <c r="F1" s="426"/>
      <c r="G1" s="426"/>
      <c r="H1" s="426" t="s">
        <v>244</v>
      </c>
      <c r="I1" s="426"/>
      <c r="J1" s="426"/>
      <c r="K1" s="426"/>
    </row>
    <row r="2" spans="1:11" x14ac:dyDescent="0.25">
      <c r="A2" s="426">
        <v>1</v>
      </c>
      <c r="B2" s="426" t="s">
        <v>245</v>
      </c>
      <c r="C2" s="426"/>
      <c r="D2" s="426"/>
      <c r="E2" s="426"/>
      <c r="F2" s="426"/>
      <c r="G2" s="426"/>
      <c r="H2" s="426"/>
      <c r="I2" s="426"/>
      <c r="J2" s="426"/>
      <c r="K2" s="426"/>
    </row>
    <row r="3" spans="1:11" x14ac:dyDescent="0.25">
      <c r="A3" s="426">
        <v>2</v>
      </c>
      <c r="B3" s="426" t="s">
        <v>246</v>
      </c>
      <c r="C3" s="426"/>
      <c r="D3" s="426"/>
      <c r="E3" s="426"/>
      <c r="F3" s="426"/>
      <c r="G3" s="426"/>
      <c r="H3" s="426"/>
      <c r="I3" s="426"/>
      <c r="J3" s="426"/>
      <c r="K3" s="426"/>
    </row>
    <row r="4" spans="1:11" x14ac:dyDescent="0.25">
      <c r="A4" s="426">
        <v>3</v>
      </c>
      <c r="B4" s="426" t="s">
        <v>247</v>
      </c>
      <c r="C4" s="426"/>
      <c r="D4" s="426"/>
      <c r="E4" s="426"/>
      <c r="F4" s="426"/>
      <c r="G4" s="426"/>
      <c r="H4" s="426"/>
      <c r="I4" s="426"/>
      <c r="J4" s="426"/>
      <c r="K4" s="426"/>
    </row>
    <row r="5" spans="1:11" x14ac:dyDescent="0.25">
      <c r="A5" s="426">
        <v>4</v>
      </c>
      <c r="B5" s="426" t="s">
        <v>248</v>
      </c>
      <c r="C5" s="426"/>
      <c r="D5" s="426"/>
      <c r="E5" s="426"/>
      <c r="F5" s="426"/>
      <c r="G5" s="426"/>
      <c r="H5" s="426"/>
      <c r="I5" s="426"/>
      <c r="J5" s="426"/>
      <c r="K5" s="426"/>
    </row>
    <row r="8" spans="1:11" x14ac:dyDescent="0.25">
      <c r="B8" t="s">
        <v>249</v>
      </c>
      <c r="C8" t="s">
        <v>250</v>
      </c>
      <c r="D8" t="s">
        <v>251</v>
      </c>
      <c r="E8" t="s">
        <v>252</v>
      </c>
      <c r="F8" t="s">
        <v>253</v>
      </c>
      <c r="G8" t="s">
        <v>254</v>
      </c>
      <c r="H8" t="s">
        <v>255</v>
      </c>
    </row>
    <row r="9" spans="1:11" x14ac:dyDescent="0.25">
      <c r="A9" t="s">
        <v>256</v>
      </c>
      <c r="B9" t="s">
        <v>257</v>
      </c>
      <c r="C9" t="s">
        <v>258</v>
      </c>
      <c r="D9" t="s">
        <v>259</v>
      </c>
      <c r="E9">
        <v>4</v>
      </c>
      <c r="F9" s="442">
        <v>0.48607638888888888</v>
      </c>
      <c r="G9" t="s">
        <v>260</v>
      </c>
      <c r="H9">
        <v>24</v>
      </c>
      <c r="I9" t="s">
        <v>261</v>
      </c>
      <c r="J9">
        <v>12</v>
      </c>
    </row>
    <row r="10" spans="1:11" x14ac:dyDescent="0.25">
      <c r="A10" t="s">
        <v>262</v>
      </c>
    </row>
    <row r="11" spans="1:11" x14ac:dyDescent="0.25">
      <c r="B11">
        <v>1</v>
      </c>
      <c r="C11" t="s">
        <v>61</v>
      </c>
      <c r="D11" t="s">
        <v>263</v>
      </c>
      <c r="E11">
        <v>1</v>
      </c>
      <c r="F11">
        <v>0</v>
      </c>
    </row>
    <row r="12" spans="1:11" x14ac:dyDescent="0.25">
      <c r="B12">
        <v>2</v>
      </c>
      <c r="C12" t="s">
        <v>64</v>
      </c>
      <c r="D12" t="s">
        <v>264</v>
      </c>
      <c r="E12">
        <v>13.7073027249</v>
      </c>
      <c r="F12">
        <v>2.1567378721499999</v>
      </c>
    </row>
    <row r="13" spans="1:11" x14ac:dyDescent="0.25">
      <c r="B13">
        <v>3</v>
      </c>
      <c r="C13" t="s">
        <v>67</v>
      </c>
      <c r="D13" t="s">
        <v>264</v>
      </c>
      <c r="E13" s="443">
        <v>7.0220312730799997E-2</v>
      </c>
      <c r="F13">
        <v>0.25869937796300002</v>
      </c>
    </row>
    <row r="14" spans="1:11" x14ac:dyDescent="0.25">
      <c r="B14">
        <v>4</v>
      </c>
      <c r="C14" t="s">
        <v>70</v>
      </c>
      <c r="D14" t="s">
        <v>264</v>
      </c>
      <c r="E14" s="443">
        <v>-3.3904088920700001E-2</v>
      </c>
      <c r="F14">
        <v>0.29717527652300002</v>
      </c>
    </row>
    <row r="15" spans="1:11" x14ac:dyDescent="0.25">
      <c r="B15">
        <v>5</v>
      </c>
      <c r="C15" t="s">
        <v>73</v>
      </c>
      <c r="D15" t="s">
        <v>264</v>
      </c>
      <c r="E15">
        <v>0.14394271350499999</v>
      </c>
      <c r="F15">
        <v>0.308923683517</v>
      </c>
    </row>
    <row r="16" spans="1:11" x14ac:dyDescent="0.25">
      <c r="B16">
        <v>6</v>
      </c>
      <c r="C16" t="s">
        <v>75</v>
      </c>
      <c r="D16" t="s">
        <v>264</v>
      </c>
      <c r="E16">
        <v>0.36721258210199997</v>
      </c>
      <c r="F16">
        <v>0.14251816133299999</v>
      </c>
    </row>
    <row r="17" spans="2:6" x14ac:dyDescent="0.25">
      <c r="B17">
        <v>7</v>
      </c>
      <c r="C17" t="s">
        <v>77</v>
      </c>
      <c r="D17" t="s">
        <v>264</v>
      </c>
      <c r="E17">
        <v>-1.7918460355300001</v>
      </c>
      <c r="F17">
        <v>0.28790085567700002</v>
      </c>
    </row>
    <row r="18" spans="2:6" x14ac:dyDescent="0.25">
      <c r="B18">
        <v>8</v>
      </c>
      <c r="C18" t="s">
        <v>80</v>
      </c>
      <c r="D18" t="s">
        <v>264</v>
      </c>
      <c r="E18">
        <v>1.39963442933</v>
      </c>
      <c r="F18">
        <v>0.219287303381</v>
      </c>
    </row>
    <row r="19" spans="2:6" x14ac:dyDescent="0.25">
      <c r="B19">
        <v>9</v>
      </c>
      <c r="C19" t="s">
        <v>82</v>
      </c>
      <c r="D19" t="s">
        <v>264</v>
      </c>
      <c r="E19">
        <v>0.66317866364400002</v>
      </c>
      <c r="F19">
        <v>0.26858783017999999</v>
      </c>
    </row>
    <row r="20" spans="2:6" x14ac:dyDescent="0.25">
      <c r="B20">
        <v>10</v>
      </c>
      <c r="C20" t="s">
        <v>84</v>
      </c>
      <c r="D20" t="s">
        <v>264</v>
      </c>
      <c r="E20">
        <v>-0.38108886824999999</v>
      </c>
      <c r="F20">
        <v>0.13838340923600001</v>
      </c>
    </row>
    <row r="21" spans="2:6" x14ac:dyDescent="0.25">
      <c r="B21">
        <v>11</v>
      </c>
      <c r="C21" t="s">
        <v>86</v>
      </c>
      <c r="D21" t="s">
        <v>264</v>
      </c>
      <c r="E21">
        <v>-0.73323034645999996</v>
      </c>
      <c r="F21">
        <v>0.271567970843</v>
      </c>
    </row>
    <row r="22" spans="2:6" x14ac:dyDescent="0.25">
      <c r="B22">
        <v>12</v>
      </c>
      <c r="C22" t="s">
        <v>88</v>
      </c>
      <c r="D22" t="s">
        <v>264</v>
      </c>
      <c r="E22">
        <v>-0.913115187153</v>
      </c>
      <c r="F22">
        <v>0.28732544144</v>
      </c>
    </row>
    <row r="23" spans="2:6" x14ac:dyDescent="0.25">
      <c r="B23">
        <v>13</v>
      </c>
      <c r="C23" t="s">
        <v>90</v>
      </c>
      <c r="D23" t="s">
        <v>264</v>
      </c>
      <c r="E23">
        <v>-0.56168035354400003</v>
      </c>
      <c r="F23">
        <v>0.191760887996</v>
      </c>
    </row>
    <row r="24" spans="2:6" x14ac:dyDescent="0.25">
      <c r="B24">
        <v>14</v>
      </c>
      <c r="C24" t="s">
        <v>92</v>
      </c>
      <c r="D24" t="s">
        <v>264</v>
      </c>
      <c r="E24">
        <v>-0.30132725845199998</v>
      </c>
      <c r="F24">
        <v>0.111544246559</v>
      </c>
    </row>
    <row r="25" spans="2:6" x14ac:dyDescent="0.25">
      <c r="B25">
        <v>15</v>
      </c>
      <c r="C25" t="s">
        <v>94</v>
      </c>
      <c r="D25" t="s">
        <v>264</v>
      </c>
      <c r="E25">
        <v>1.97893419319</v>
      </c>
      <c r="F25">
        <v>0.37327755020499997</v>
      </c>
    </row>
    <row r="26" spans="2:6" x14ac:dyDescent="0.25">
      <c r="B26">
        <v>16</v>
      </c>
      <c r="C26" t="s">
        <v>96</v>
      </c>
      <c r="D26" t="s">
        <v>264</v>
      </c>
      <c r="E26">
        <v>0.89286126056000004</v>
      </c>
      <c r="F26">
        <v>0.29358414395600002</v>
      </c>
    </row>
    <row r="27" spans="2:6" x14ac:dyDescent="0.25">
      <c r="B27">
        <v>17</v>
      </c>
      <c r="C27" t="s">
        <v>99</v>
      </c>
      <c r="D27" t="s">
        <v>263</v>
      </c>
      <c r="E27">
        <v>0</v>
      </c>
      <c r="F27">
        <v>0</v>
      </c>
    </row>
    <row r="28" spans="2:6" x14ac:dyDescent="0.25">
      <c r="B28">
        <v>18</v>
      </c>
      <c r="C28" t="s">
        <v>102</v>
      </c>
      <c r="D28" t="s">
        <v>263</v>
      </c>
      <c r="E28">
        <v>0</v>
      </c>
      <c r="F28">
        <v>0</v>
      </c>
    </row>
    <row r="29" spans="2:6" x14ac:dyDescent="0.25">
      <c r="B29">
        <v>19</v>
      </c>
      <c r="C29" t="s">
        <v>105</v>
      </c>
      <c r="D29" t="s">
        <v>263</v>
      </c>
      <c r="E29">
        <v>0</v>
      </c>
      <c r="F29">
        <v>0</v>
      </c>
    </row>
    <row r="30" spans="2:6" x14ac:dyDescent="0.25">
      <c r="B30">
        <v>20</v>
      </c>
      <c r="C30" t="s">
        <v>108</v>
      </c>
      <c r="D30" t="s">
        <v>264</v>
      </c>
      <c r="E30">
        <v>0.55927220197000005</v>
      </c>
      <c r="F30" s="443">
        <v>6.3070773371999997E-2</v>
      </c>
    </row>
    <row r="31" spans="2:6" x14ac:dyDescent="0.25">
      <c r="B31">
        <v>21</v>
      </c>
      <c r="C31" t="s">
        <v>110</v>
      </c>
      <c r="D31" t="s">
        <v>264</v>
      </c>
      <c r="E31">
        <v>-14.073533462</v>
      </c>
      <c r="F31">
        <v>2.1635731872099999</v>
      </c>
    </row>
    <row r="32" spans="2:6" x14ac:dyDescent="0.25">
      <c r="B32">
        <v>22</v>
      </c>
      <c r="C32" t="s">
        <v>112</v>
      </c>
      <c r="D32" t="s">
        <v>264</v>
      </c>
      <c r="E32">
        <v>4.23561831E-2</v>
      </c>
      <c r="F32">
        <v>0.48285243031500003</v>
      </c>
    </row>
    <row r="33" spans="2:6" x14ac:dyDescent="0.25">
      <c r="B33">
        <v>23</v>
      </c>
      <c r="C33" t="s">
        <v>114</v>
      </c>
      <c r="D33" t="s">
        <v>264</v>
      </c>
      <c r="E33">
        <v>-2.9413698566000002</v>
      </c>
      <c r="F33">
        <v>0.28097869320699997</v>
      </c>
    </row>
    <row r="34" spans="2:6" x14ac:dyDescent="0.25">
      <c r="B34">
        <v>924</v>
      </c>
      <c r="C34" t="s">
        <v>265</v>
      </c>
      <c r="D34" t="s">
        <v>264</v>
      </c>
      <c r="E34">
        <v>-1.4293629385</v>
      </c>
      <c r="F34">
        <v>0</v>
      </c>
    </row>
    <row r="35" spans="2:6" x14ac:dyDescent="0.25">
      <c r="B35">
        <v>24</v>
      </c>
      <c r="C35" t="s">
        <v>116</v>
      </c>
      <c r="D35" t="s">
        <v>264</v>
      </c>
      <c r="E35">
        <v>0.21220129380800001</v>
      </c>
      <c r="F35" s="443">
        <v>2.3591368768600001E-2</v>
      </c>
    </row>
    <row r="36" spans="2:6" x14ac:dyDescent="0.25">
      <c r="B36">
        <v>25</v>
      </c>
      <c r="C36" t="s">
        <v>119</v>
      </c>
      <c r="D36" t="s">
        <v>264</v>
      </c>
      <c r="E36">
        <v>-0.156772126135</v>
      </c>
      <c r="F36" s="443">
        <v>2.5404206972699999E-2</v>
      </c>
    </row>
    <row r="37" spans="2:6" x14ac:dyDescent="0.25">
      <c r="B37">
        <v>26</v>
      </c>
      <c r="C37" t="s">
        <v>121</v>
      </c>
      <c r="D37" t="s">
        <v>264</v>
      </c>
      <c r="E37">
        <v>0.78053827557199995</v>
      </c>
      <c r="F37">
        <v>0.13801392691299999</v>
      </c>
    </row>
    <row r="38" spans="2:6" x14ac:dyDescent="0.25">
      <c r="B38">
        <v>27</v>
      </c>
      <c r="C38" t="s">
        <v>122</v>
      </c>
      <c r="D38" t="s">
        <v>264</v>
      </c>
      <c r="E38">
        <v>-12.632321361500001</v>
      </c>
      <c r="F38">
        <v>2.1635010799400001</v>
      </c>
    </row>
    <row r="39" spans="2:6" x14ac:dyDescent="0.25">
      <c r="B39">
        <v>28</v>
      </c>
      <c r="C39" t="s">
        <v>124</v>
      </c>
      <c r="D39" t="s">
        <v>264</v>
      </c>
      <c r="E39">
        <v>-4.7373800512499997</v>
      </c>
      <c r="F39">
        <v>0.49109078483500002</v>
      </c>
    </row>
    <row r="40" spans="2:6" x14ac:dyDescent="0.25">
      <c r="B40">
        <v>29</v>
      </c>
      <c r="C40" t="s">
        <v>125</v>
      </c>
      <c r="D40" t="s">
        <v>264</v>
      </c>
      <c r="E40">
        <v>-3.8495864337499999</v>
      </c>
      <c r="F40">
        <v>0.23114662533300001</v>
      </c>
    </row>
    <row r="41" spans="2:6" x14ac:dyDescent="0.25">
      <c r="B41">
        <v>30</v>
      </c>
      <c r="C41" t="s">
        <v>126</v>
      </c>
      <c r="D41" t="s">
        <v>264</v>
      </c>
      <c r="E41">
        <v>-0.55196399758000003</v>
      </c>
      <c r="F41">
        <v>0.15445284496</v>
      </c>
    </row>
    <row r="42" spans="2:6" x14ac:dyDescent="0.25">
      <c r="B42">
        <v>31</v>
      </c>
      <c r="C42" t="s">
        <v>128</v>
      </c>
      <c r="D42" t="s">
        <v>264</v>
      </c>
      <c r="E42">
        <v>0.161916660248</v>
      </c>
      <c r="F42" s="443">
        <v>2.4598246513100001E-2</v>
      </c>
    </row>
    <row r="43" spans="2:6" x14ac:dyDescent="0.25">
      <c r="B43">
        <v>32</v>
      </c>
      <c r="C43" t="s">
        <v>130</v>
      </c>
      <c r="D43" t="s">
        <v>264</v>
      </c>
      <c r="E43">
        <v>-0.164548260329</v>
      </c>
      <c r="F43" s="443">
        <v>3.0497321424399999E-2</v>
      </c>
    </row>
    <row r="44" spans="2:6" x14ac:dyDescent="0.25">
      <c r="B44">
        <v>33</v>
      </c>
      <c r="C44" t="s">
        <v>132</v>
      </c>
      <c r="D44" t="s">
        <v>264</v>
      </c>
      <c r="E44">
        <v>0.20498917376299999</v>
      </c>
      <c r="F44" s="443">
        <v>2.26070286041E-2</v>
      </c>
    </row>
    <row r="45" spans="2:6" x14ac:dyDescent="0.25">
      <c r="B45">
        <v>34</v>
      </c>
      <c r="C45" t="s">
        <v>134</v>
      </c>
      <c r="D45" t="s">
        <v>264</v>
      </c>
      <c r="E45">
        <v>-0.128001396233</v>
      </c>
      <c r="F45" s="443">
        <v>2.71057179313E-2</v>
      </c>
    </row>
    <row r="46" spans="2:6" x14ac:dyDescent="0.25">
      <c r="B46">
        <v>35</v>
      </c>
      <c r="C46" t="s">
        <v>137</v>
      </c>
      <c r="D46" t="s">
        <v>264</v>
      </c>
      <c r="E46" s="443">
        <v>6.1170505754699997E-2</v>
      </c>
      <c r="F46" s="443">
        <v>1.6417141522400001E-2</v>
      </c>
    </row>
    <row r="47" spans="2:6" x14ac:dyDescent="0.25">
      <c r="B47">
        <v>36</v>
      </c>
      <c r="C47" t="s">
        <v>139</v>
      </c>
      <c r="D47" t="s">
        <v>264</v>
      </c>
      <c r="E47">
        <v>1.3253567635600001</v>
      </c>
      <c r="F47">
        <v>0.18997438038600001</v>
      </c>
    </row>
    <row r="48" spans="2:6" x14ac:dyDescent="0.25">
      <c r="B48">
        <v>37</v>
      </c>
      <c r="C48" t="s">
        <v>140</v>
      </c>
      <c r="D48" t="s">
        <v>264</v>
      </c>
      <c r="E48">
        <v>-9.2010945905200003</v>
      </c>
      <c r="F48">
        <v>2.2590324693200001</v>
      </c>
    </row>
    <row r="49" spans="2:6" x14ac:dyDescent="0.25">
      <c r="B49">
        <v>38</v>
      </c>
      <c r="C49" t="s">
        <v>142</v>
      </c>
      <c r="D49" t="s">
        <v>264</v>
      </c>
      <c r="E49">
        <v>-2.1424454967800002</v>
      </c>
      <c r="F49">
        <v>0.534114739916</v>
      </c>
    </row>
    <row r="50" spans="2:6" x14ac:dyDescent="0.25">
      <c r="B50">
        <v>39</v>
      </c>
      <c r="C50" t="s">
        <v>143</v>
      </c>
      <c r="D50" t="s">
        <v>264</v>
      </c>
      <c r="E50">
        <v>-3.2698397693199999</v>
      </c>
      <c r="F50">
        <v>0.29434692441299998</v>
      </c>
    </row>
    <row r="51" spans="2:6" x14ac:dyDescent="0.25">
      <c r="B51">
        <v>40</v>
      </c>
      <c r="C51" t="s">
        <v>144</v>
      </c>
      <c r="D51" t="s">
        <v>264</v>
      </c>
      <c r="E51">
        <v>-1.5387148017900001</v>
      </c>
      <c r="F51">
        <v>0.21098361657199999</v>
      </c>
    </row>
    <row r="52" spans="2:6" x14ac:dyDescent="0.25">
      <c r="B52">
        <v>41</v>
      </c>
      <c r="C52" t="s">
        <v>145</v>
      </c>
      <c r="D52" t="s">
        <v>264</v>
      </c>
      <c r="E52">
        <v>-0.149205194047</v>
      </c>
      <c r="F52" s="443">
        <v>2.2183697722899999E-2</v>
      </c>
    </row>
    <row r="53" spans="2:6" x14ac:dyDescent="0.25">
      <c r="B53">
        <v>42</v>
      </c>
      <c r="C53" t="s">
        <v>147</v>
      </c>
      <c r="D53" t="s">
        <v>264</v>
      </c>
      <c r="E53">
        <v>0.517393579278</v>
      </c>
      <c r="F53" s="443">
        <v>3.32158540558E-2</v>
      </c>
    </row>
    <row r="54" spans="2:6" x14ac:dyDescent="0.25">
      <c r="B54">
        <v>43</v>
      </c>
      <c r="C54" t="s">
        <v>149</v>
      </c>
      <c r="D54" t="s">
        <v>264</v>
      </c>
      <c r="E54">
        <v>0.84374741070500003</v>
      </c>
      <c r="F54">
        <v>0.178687822675</v>
      </c>
    </row>
    <row r="55" spans="2:6" x14ac:dyDescent="0.25">
      <c r="B55">
        <v>44</v>
      </c>
      <c r="C55" t="s">
        <v>150</v>
      </c>
      <c r="D55" t="s">
        <v>264</v>
      </c>
      <c r="E55">
        <v>-16.440174024099999</v>
      </c>
      <c r="F55">
        <v>2.7220288019000001</v>
      </c>
    </row>
    <row r="56" spans="2:6" x14ac:dyDescent="0.25">
      <c r="B56">
        <v>45</v>
      </c>
      <c r="C56" t="s">
        <v>152</v>
      </c>
      <c r="D56" t="s">
        <v>264</v>
      </c>
      <c r="E56">
        <v>0.38560809579999999</v>
      </c>
      <c r="F56">
        <v>0.678544989012</v>
      </c>
    </row>
    <row r="57" spans="2:6" x14ac:dyDescent="0.25">
      <c r="B57">
        <v>46</v>
      </c>
      <c r="C57" t="s">
        <v>154</v>
      </c>
      <c r="D57" t="s">
        <v>264</v>
      </c>
      <c r="E57">
        <v>-2.4592819233999998</v>
      </c>
      <c r="F57">
        <v>0.316542075087</v>
      </c>
    </row>
    <row r="58" spans="2:6" x14ac:dyDescent="0.25">
      <c r="B58">
        <v>47</v>
      </c>
      <c r="C58" t="s">
        <v>156</v>
      </c>
      <c r="D58" t="s">
        <v>264</v>
      </c>
      <c r="E58">
        <v>-2.8909492550999998</v>
      </c>
      <c r="F58">
        <v>0.198666198524</v>
      </c>
    </row>
    <row r="59" spans="2:6" x14ac:dyDescent="0.25">
      <c r="B59">
        <v>48</v>
      </c>
      <c r="C59" t="s">
        <v>159</v>
      </c>
      <c r="D59" t="s">
        <v>264</v>
      </c>
      <c r="E59">
        <v>0.16683062839400001</v>
      </c>
      <c r="F59" s="443">
        <v>3.6092162993199998E-2</v>
      </c>
    </row>
    <row r="60" spans="2:6" x14ac:dyDescent="0.25">
      <c r="B60">
        <v>49</v>
      </c>
      <c r="C60" t="s">
        <v>161</v>
      </c>
      <c r="D60" t="s">
        <v>264</v>
      </c>
      <c r="E60">
        <v>0.80686039286800004</v>
      </c>
      <c r="F60">
        <v>0.18430849226599999</v>
      </c>
    </row>
    <row r="61" spans="2:6" x14ac:dyDescent="0.25">
      <c r="B61">
        <v>50</v>
      </c>
      <c r="C61" t="s">
        <v>162</v>
      </c>
      <c r="D61" t="s">
        <v>264</v>
      </c>
      <c r="E61">
        <v>-10.275631588</v>
      </c>
      <c r="F61">
        <v>2.32184701625</v>
      </c>
    </row>
    <row r="62" spans="2:6" x14ac:dyDescent="0.25">
      <c r="B62">
        <v>51</v>
      </c>
      <c r="C62" t="s">
        <v>163</v>
      </c>
      <c r="D62" t="s">
        <v>264</v>
      </c>
      <c r="E62">
        <v>-3.6378931021600001</v>
      </c>
      <c r="F62">
        <v>0.59301229503800001</v>
      </c>
    </row>
    <row r="63" spans="2:6" x14ac:dyDescent="0.25">
      <c r="B63">
        <v>52</v>
      </c>
      <c r="C63" t="s">
        <v>164</v>
      </c>
      <c r="D63" t="s">
        <v>264</v>
      </c>
      <c r="E63">
        <v>-4.0172263670700001</v>
      </c>
      <c r="F63">
        <v>0.29029353811199998</v>
      </c>
    </row>
    <row r="64" spans="2:6" x14ac:dyDescent="0.25">
      <c r="B64">
        <v>53</v>
      </c>
      <c r="C64" t="s">
        <v>165</v>
      </c>
      <c r="D64" t="s">
        <v>264</v>
      </c>
      <c r="E64">
        <v>-0.54205465260999997</v>
      </c>
      <c r="F64">
        <v>0.18935293258499999</v>
      </c>
    </row>
    <row r="65" spans="2:6" x14ac:dyDescent="0.25">
      <c r="B65">
        <v>54</v>
      </c>
      <c r="C65" t="s">
        <v>166</v>
      </c>
      <c r="D65" t="s">
        <v>264</v>
      </c>
      <c r="E65">
        <v>0.21306405683599999</v>
      </c>
      <c r="F65" s="443">
        <v>4.0484886653700002E-2</v>
      </c>
    </row>
    <row r="66" spans="2:6" x14ac:dyDescent="0.25">
      <c r="B66">
        <v>55</v>
      </c>
      <c r="C66" t="s">
        <v>168</v>
      </c>
      <c r="D66" t="s">
        <v>264</v>
      </c>
      <c r="E66">
        <v>0.49322187999099998</v>
      </c>
      <c r="F66" s="443">
        <v>4.4144582285800003E-2</v>
      </c>
    </row>
    <row r="67" spans="2:6" x14ac:dyDescent="0.25">
      <c r="B67">
        <v>56</v>
      </c>
      <c r="C67" t="s">
        <v>169</v>
      </c>
      <c r="D67" t="s">
        <v>264</v>
      </c>
      <c r="E67">
        <v>-0.81297460986500003</v>
      </c>
      <c r="F67" s="443">
        <v>4.4146608637300001E-2</v>
      </c>
    </row>
    <row r="68" spans="2:6" x14ac:dyDescent="0.25">
      <c r="B68">
        <v>57</v>
      </c>
      <c r="C68" t="s">
        <v>170</v>
      </c>
      <c r="D68" t="s">
        <v>264</v>
      </c>
      <c r="E68" s="443">
        <v>8.0759501397E-2</v>
      </c>
      <c r="F68" s="443">
        <v>2.06933444566E-2</v>
      </c>
    </row>
    <row r="69" spans="2:6" x14ac:dyDescent="0.25">
      <c r="B69">
        <v>70</v>
      </c>
      <c r="C69" t="s">
        <v>171</v>
      </c>
      <c r="D69" t="s">
        <v>264</v>
      </c>
      <c r="E69">
        <v>0.29053029913700001</v>
      </c>
      <c r="F69" s="443">
        <v>1.13080873111E-2</v>
      </c>
    </row>
    <row r="70" spans="2:6" x14ac:dyDescent="0.25">
      <c r="B70">
        <v>71</v>
      </c>
      <c r="C70" t="s">
        <v>172</v>
      </c>
      <c r="D70" t="s">
        <v>263</v>
      </c>
      <c r="E70">
        <v>0</v>
      </c>
      <c r="F70">
        <v>0</v>
      </c>
    </row>
    <row r="71" spans="2:6" x14ac:dyDescent="0.25">
      <c r="B71">
        <v>72</v>
      </c>
      <c r="C71" t="s">
        <v>174</v>
      </c>
      <c r="D71" t="s">
        <v>264</v>
      </c>
      <c r="E71">
        <v>-3.51218611463</v>
      </c>
      <c r="F71">
        <v>1.10016104602</v>
      </c>
    </row>
    <row r="72" spans="2:6" x14ac:dyDescent="0.25">
      <c r="B72">
        <v>73</v>
      </c>
      <c r="C72" t="s">
        <v>176</v>
      </c>
      <c r="D72" t="s">
        <v>264</v>
      </c>
      <c r="E72">
        <v>-1.9512398226400001</v>
      </c>
      <c r="F72">
        <v>1.3061635869799999</v>
      </c>
    </row>
    <row r="73" spans="2:6" x14ac:dyDescent="0.25">
      <c r="B73">
        <v>74</v>
      </c>
      <c r="C73" t="s">
        <v>178</v>
      </c>
      <c r="D73" t="s">
        <v>264</v>
      </c>
      <c r="E73">
        <v>-2.2875988415099999</v>
      </c>
      <c r="F73">
        <v>0.68287455172</v>
      </c>
    </row>
    <row r="74" spans="2:6" x14ac:dyDescent="0.25">
      <c r="B74">
        <v>75</v>
      </c>
      <c r="C74" t="s">
        <v>180</v>
      </c>
      <c r="D74" t="s">
        <v>264</v>
      </c>
      <c r="E74">
        <v>-2.97270473739</v>
      </c>
      <c r="F74">
        <v>0.801285272145</v>
      </c>
    </row>
    <row r="75" spans="2:6" x14ac:dyDescent="0.25">
      <c r="B75">
        <v>76</v>
      </c>
      <c r="C75" t="s">
        <v>182</v>
      </c>
      <c r="D75" t="s">
        <v>264</v>
      </c>
      <c r="E75">
        <v>-2.2065775626700002</v>
      </c>
      <c r="F75">
        <v>0.71288966547400001</v>
      </c>
    </row>
    <row r="76" spans="2:6" x14ac:dyDescent="0.25">
      <c r="B76">
        <v>77</v>
      </c>
      <c r="C76" t="s">
        <v>184</v>
      </c>
      <c r="D76" t="s">
        <v>264</v>
      </c>
      <c r="E76">
        <v>-1.91608314575</v>
      </c>
      <c r="F76">
        <v>0.89189817863900001</v>
      </c>
    </row>
    <row r="77" spans="2:6" x14ac:dyDescent="0.25">
      <c r="B77">
        <v>78</v>
      </c>
      <c r="C77" t="s">
        <v>186</v>
      </c>
      <c r="D77" t="s">
        <v>264</v>
      </c>
      <c r="E77">
        <v>-2.9941803696</v>
      </c>
      <c r="F77">
        <v>0.73230805856600001</v>
      </c>
    </row>
    <row r="78" spans="2:6" x14ac:dyDescent="0.25">
      <c r="B78">
        <v>79</v>
      </c>
      <c r="C78" t="s">
        <v>188</v>
      </c>
      <c r="D78" t="s">
        <v>264</v>
      </c>
      <c r="E78">
        <v>-20.893048808300001</v>
      </c>
      <c r="F78">
        <v>1.3318572224</v>
      </c>
    </row>
    <row r="79" spans="2:6" x14ac:dyDescent="0.25">
      <c r="B79">
        <v>80</v>
      </c>
      <c r="C79" t="s">
        <v>190</v>
      </c>
      <c r="D79" t="s">
        <v>264</v>
      </c>
      <c r="E79">
        <v>-0.340851234339</v>
      </c>
      <c r="F79">
        <v>0.73993441747499999</v>
      </c>
    </row>
    <row r="80" spans="2:6" x14ac:dyDescent="0.25">
      <c r="B80">
        <v>81</v>
      </c>
      <c r="C80" t="s">
        <v>192</v>
      </c>
      <c r="D80" t="s">
        <v>264</v>
      </c>
      <c r="E80">
        <v>-3.5548804977600001</v>
      </c>
      <c r="F80">
        <v>1.7924879455</v>
      </c>
    </row>
    <row r="81" spans="2:6" x14ac:dyDescent="0.25">
      <c r="B81">
        <v>82</v>
      </c>
      <c r="C81" t="s">
        <v>194</v>
      </c>
      <c r="D81" t="s">
        <v>264</v>
      </c>
      <c r="E81">
        <v>-2.04042829643</v>
      </c>
      <c r="F81">
        <v>0.57123076706499998</v>
      </c>
    </row>
    <row r="82" spans="2:6" x14ac:dyDescent="0.25">
      <c r="B82">
        <v>83</v>
      </c>
      <c r="C82" t="s">
        <v>195</v>
      </c>
      <c r="D82" t="s">
        <v>264</v>
      </c>
      <c r="E82">
        <v>-3.1291070048599998</v>
      </c>
      <c r="F82">
        <v>0.70960900603900001</v>
      </c>
    </row>
    <row r="83" spans="2:6" x14ac:dyDescent="0.25">
      <c r="B83">
        <v>84</v>
      </c>
      <c r="C83" t="s">
        <v>197</v>
      </c>
      <c r="D83" t="s">
        <v>264</v>
      </c>
      <c r="E83">
        <v>-1.36058822067</v>
      </c>
      <c r="F83">
        <v>0.54117102218500002</v>
      </c>
    </row>
    <row r="84" spans="2:6" x14ac:dyDescent="0.25">
      <c r="B84">
        <v>85</v>
      </c>
      <c r="C84" t="s">
        <v>199</v>
      </c>
      <c r="D84" t="s">
        <v>264</v>
      </c>
      <c r="E84">
        <v>-3.7593502074299998</v>
      </c>
      <c r="F84">
        <v>0.90517580077699999</v>
      </c>
    </row>
    <row r="85" spans="2:6" x14ac:dyDescent="0.25">
      <c r="B85">
        <v>86</v>
      </c>
      <c r="C85" t="s">
        <v>201</v>
      </c>
      <c r="D85" t="s">
        <v>264</v>
      </c>
      <c r="E85">
        <v>-2.6162258391100002</v>
      </c>
      <c r="F85">
        <v>0.60159109194399996</v>
      </c>
    </row>
    <row r="86" spans="2:6" x14ac:dyDescent="0.25">
      <c r="B86">
        <v>87</v>
      </c>
      <c r="C86" t="s">
        <v>203</v>
      </c>
      <c r="D86" t="s">
        <v>264</v>
      </c>
      <c r="E86">
        <v>-18.920608679800001</v>
      </c>
      <c r="F86">
        <v>1.15389556702</v>
      </c>
    </row>
    <row r="87" spans="2:6" x14ac:dyDescent="0.25">
      <c r="B87">
        <v>88</v>
      </c>
      <c r="C87" t="s">
        <v>205</v>
      </c>
      <c r="D87" t="s">
        <v>263</v>
      </c>
      <c r="E87">
        <v>0</v>
      </c>
      <c r="F87">
        <v>0</v>
      </c>
    </row>
    <row r="88" spans="2:6" x14ac:dyDescent="0.25">
      <c r="B88">
        <v>89</v>
      </c>
      <c r="C88" t="s">
        <v>207</v>
      </c>
      <c r="D88" t="s">
        <v>264</v>
      </c>
      <c r="E88">
        <v>-6.14284833482</v>
      </c>
      <c r="F88">
        <v>0.878821332959</v>
      </c>
    </row>
    <row r="89" spans="2:6" x14ac:dyDescent="0.25">
      <c r="B89">
        <v>90</v>
      </c>
      <c r="C89" t="s">
        <v>209</v>
      </c>
      <c r="D89" t="s">
        <v>264</v>
      </c>
      <c r="E89">
        <v>-16.4745846271</v>
      </c>
      <c r="F89">
        <v>3.4758476738100001</v>
      </c>
    </row>
    <row r="90" spans="2:6" x14ac:dyDescent="0.25">
      <c r="B90">
        <v>91</v>
      </c>
      <c r="C90" t="s">
        <v>211</v>
      </c>
      <c r="D90" t="s">
        <v>264</v>
      </c>
      <c r="E90">
        <v>-9.3272520902899991</v>
      </c>
      <c r="F90">
        <v>0.81194250572399995</v>
      </c>
    </row>
    <row r="91" spans="2:6" x14ac:dyDescent="0.25">
      <c r="B91">
        <v>92</v>
      </c>
      <c r="C91" t="s">
        <v>213</v>
      </c>
      <c r="D91" t="s">
        <v>264</v>
      </c>
      <c r="E91">
        <v>-0.748114378523</v>
      </c>
      <c r="F91">
        <v>0.37548664507700003</v>
      </c>
    </row>
    <row r="92" spans="2:6" x14ac:dyDescent="0.25">
      <c r="B92">
        <v>93</v>
      </c>
      <c r="C92" t="s">
        <v>215</v>
      </c>
      <c r="D92" t="s">
        <v>264</v>
      </c>
      <c r="E92">
        <v>-0.29100107664500002</v>
      </c>
      <c r="F92">
        <v>0.38141528568499999</v>
      </c>
    </row>
    <row r="93" spans="2:6" x14ac:dyDescent="0.25">
      <c r="B93">
        <v>94</v>
      </c>
      <c r="C93" t="s">
        <v>217</v>
      </c>
      <c r="D93" t="s">
        <v>263</v>
      </c>
      <c r="E93">
        <v>0</v>
      </c>
      <c r="F93">
        <v>0</v>
      </c>
    </row>
    <row r="94" spans="2:6" x14ac:dyDescent="0.25">
      <c r="B94">
        <v>95</v>
      </c>
      <c r="C94" t="s">
        <v>219</v>
      </c>
      <c r="D94" t="s">
        <v>264</v>
      </c>
      <c r="E94">
        <v>-10.3298280696</v>
      </c>
      <c r="F94">
        <v>0.93444956582399996</v>
      </c>
    </row>
    <row r="95" spans="2:6" x14ac:dyDescent="0.25">
      <c r="B95">
        <v>96</v>
      </c>
      <c r="C95" t="s">
        <v>221</v>
      </c>
      <c r="D95" t="s">
        <v>264</v>
      </c>
      <c r="E95">
        <v>-16.742935323400001</v>
      </c>
      <c r="F95">
        <v>0.87728587361400001</v>
      </c>
    </row>
    <row r="96" spans="2:6" x14ac:dyDescent="0.25">
      <c r="B96">
        <v>97</v>
      </c>
      <c r="C96" t="s">
        <v>223</v>
      </c>
      <c r="D96" t="s">
        <v>264</v>
      </c>
      <c r="E96">
        <v>-6.97234539975</v>
      </c>
      <c r="F96">
        <v>0.84429798985799998</v>
      </c>
    </row>
    <row r="97" spans="2:6" x14ac:dyDescent="0.25">
      <c r="B97">
        <v>98</v>
      </c>
      <c r="C97" t="s">
        <v>225</v>
      </c>
      <c r="D97" t="s">
        <v>264</v>
      </c>
      <c r="E97">
        <v>-10.7755348742</v>
      </c>
      <c r="F97">
        <v>1.10642531916</v>
      </c>
    </row>
    <row r="98" spans="2:6" x14ac:dyDescent="0.25">
      <c r="B98">
        <v>99</v>
      </c>
      <c r="C98" t="s">
        <v>226</v>
      </c>
      <c r="D98" t="s">
        <v>264</v>
      </c>
      <c r="E98">
        <v>-11.547846395100001</v>
      </c>
      <c r="F98">
        <v>0.74733147077399997</v>
      </c>
    </row>
    <row r="99" spans="2:6" x14ac:dyDescent="0.25">
      <c r="B99">
        <v>100</v>
      </c>
      <c r="C99" t="s">
        <v>227</v>
      </c>
      <c r="D99" t="s">
        <v>263</v>
      </c>
      <c r="E99">
        <v>0</v>
      </c>
      <c r="F99">
        <v>0</v>
      </c>
    </row>
    <row r="100" spans="2:6" x14ac:dyDescent="0.25">
      <c r="B100">
        <v>101</v>
      </c>
      <c r="C100" t="s">
        <v>228</v>
      </c>
      <c r="D100" t="s">
        <v>264</v>
      </c>
      <c r="E100">
        <v>-11.0962758301</v>
      </c>
      <c r="F100">
        <v>0.74556172273099997</v>
      </c>
    </row>
    <row r="101" spans="2:6" x14ac:dyDescent="0.25">
      <c r="B101">
        <v>102</v>
      </c>
      <c r="C101" t="s">
        <v>229</v>
      </c>
      <c r="D101" t="s">
        <v>263</v>
      </c>
      <c r="E101">
        <v>0</v>
      </c>
      <c r="F101">
        <v>0</v>
      </c>
    </row>
    <row r="102" spans="2:6" x14ac:dyDescent="0.25">
      <c r="B102">
        <v>103</v>
      </c>
      <c r="C102" t="s">
        <v>230</v>
      </c>
      <c r="D102" t="s">
        <v>264</v>
      </c>
      <c r="E102">
        <v>-12.7257909892</v>
      </c>
      <c r="F102">
        <v>1.5440284820600001</v>
      </c>
    </row>
    <row r="103" spans="2:6" x14ac:dyDescent="0.25">
      <c r="B103">
        <v>104</v>
      </c>
      <c r="C103" t="s">
        <v>231</v>
      </c>
      <c r="D103" t="s">
        <v>264</v>
      </c>
      <c r="E103">
        <v>-12.5271034041</v>
      </c>
      <c r="F103">
        <v>0.667513404915</v>
      </c>
    </row>
    <row r="104" spans="2:6" x14ac:dyDescent="0.25">
      <c r="B104">
        <v>105</v>
      </c>
      <c r="C104" t="s">
        <v>232</v>
      </c>
      <c r="D104" t="s">
        <v>264</v>
      </c>
      <c r="E104">
        <v>-21.008822510800002</v>
      </c>
      <c r="F104">
        <v>2.1748440765799999</v>
      </c>
    </row>
    <row r="105" spans="2:6" x14ac:dyDescent="0.25">
      <c r="B105">
        <v>106</v>
      </c>
      <c r="C105" t="s">
        <v>233</v>
      </c>
      <c r="D105" t="s">
        <v>264</v>
      </c>
      <c r="E105">
        <v>-1.63176275226</v>
      </c>
      <c r="F105">
        <v>0.967651109555</v>
      </c>
    </row>
    <row r="106" spans="2:6" x14ac:dyDescent="0.25">
      <c r="B106">
        <v>107</v>
      </c>
      <c r="C106" t="s">
        <v>234</v>
      </c>
      <c r="D106" t="s">
        <v>264</v>
      </c>
      <c r="E106">
        <v>-4.6653914733199997</v>
      </c>
      <c r="F106">
        <v>2.61248252668</v>
      </c>
    </row>
    <row r="107" spans="2:6" x14ac:dyDescent="0.25">
      <c r="B107">
        <v>108</v>
      </c>
      <c r="C107" t="s">
        <v>236</v>
      </c>
      <c r="D107" t="s">
        <v>264</v>
      </c>
      <c r="E107">
        <v>-7.5050624753099999</v>
      </c>
      <c r="F107">
        <v>1.3833200651199999</v>
      </c>
    </row>
    <row r="108" spans="2:6" x14ac:dyDescent="0.25">
      <c r="B108">
        <v>109</v>
      </c>
      <c r="C108" t="s">
        <v>237</v>
      </c>
      <c r="D108" t="s">
        <v>264</v>
      </c>
      <c r="E108">
        <v>-7.2217481188799999</v>
      </c>
      <c r="F108">
        <v>1.5428659018799999</v>
      </c>
    </row>
    <row r="109" spans="2:6" x14ac:dyDescent="0.25">
      <c r="B109">
        <v>110</v>
      </c>
      <c r="C109" t="s">
        <v>238</v>
      </c>
      <c r="D109" t="s">
        <v>264</v>
      </c>
      <c r="E109">
        <v>-3.4793464222399999</v>
      </c>
      <c r="F109">
        <v>0.74775521117900001</v>
      </c>
    </row>
    <row r="110" spans="2:6" x14ac:dyDescent="0.25">
      <c r="B110">
        <v>111</v>
      </c>
      <c r="C110" t="s">
        <v>239</v>
      </c>
      <c r="D110" t="s">
        <v>263</v>
      </c>
      <c r="E110">
        <v>0</v>
      </c>
      <c r="F110">
        <v>0</v>
      </c>
    </row>
    <row r="111" spans="2:6" x14ac:dyDescent="0.25">
      <c r="B111">
        <v>112</v>
      </c>
      <c r="C111" t="s">
        <v>240</v>
      </c>
      <c r="D111" t="s">
        <v>263</v>
      </c>
      <c r="E111">
        <v>0</v>
      </c>
      <c r="F111">
        <v>0</v>
      </c>
    </row>
    <row r="112" spans="2:6" x14ac:dyDescent="0.25">
      <c r="B112">
        <v>113</v>
      </c>
      <c r="C112" t="s">
        <v>242</v>
      </c>
      <c r="D112" t="s">
        <v>264</v>
      </c>
      <c r="E112">
        <v>-2.23577200178</v>
      </c>
      <c r="F112">
        <v>2.4396907415000002</v>
      </c>
    </row>
    <row r="113" spans="1:11" x14ac:dyDescent="0.25">
      <c r="A113">
        <v>-1</v>
      </c>
    </row>
    <row r="114" spans="1:11" x14ac:dyDescent="0.25">
      <c r="B114">
        <v>6224</v>
      </c>
      <c r="C114" s="443">
        <v>-7713.1262757699997</v>
      </c>
      <c r="D114" s="443">
        <v>-24166.840237699998</v>
      </c>
      <c r="E114" s="443">
        <v>-15453.864181499999</v>
      </c>
    </row>
    <row r="115" spans="1:11" x14ac:dyDescent="0.25">
      <c r="B115">
        <v>5</v>
      </c>
      <c r="C115" t="s">
        <v>266</v>
      </c>
      <c r="D115" t="s">
        <v>260</v>
      </c>
      <c r="E115">
        <v>24</v>
      </c>
      <c r="F115" t="s">
        <v>261</v>
      </c>
      <c r="G115">
        <v>12</v>
      </c>
    </row>
    <row r="116" spans="1:11" x14ac:dyDescent="0.25">
      <c r="B116">
        <v>0</v>
      </c>
      <c r="C116">
        <v>0</v>
      </c>
      <c r="D116">
        <v>50095</v>
      </c>
      <c r="E116">
        <v>0</v>
      </c>
      <c r="F116">
        <v>37648</v>
      </c>
      <c r="G116">
        <v>21541</v>
      </c>
      <c r="H116">
        <v>0</v>
      </c>
      <c r="I116">
        <v>36518</v>
      </c>
      <c r="J116">
        <v>39322</v>
      </c>
      <c r="K116">
        <v>-31713</v>
      </c>
    </row>
    <row r="117" spans="1:11" x14ac:dyDescent="0.25">
      <c r="B117">
        <v>0</v>
      </c>
      <c r="C117">
        <v>51829</v>
      </c>
      <c r="D117">
        <v>24246</v>
      </c>
      <c r="E117">
        <v>26401</v>
      </c>
      <c r="F117">
        <v>-18599</v>
      </c>
      <c r="G117">
        <v>0</v>
      </c>
      <c r="H117">
        <v>-31358</v>
      </c>
      <c r="I117">
        <v>2745</v>
      </c>
      <c r="J117">
        <v>-4649</v>
      </c>
      <c r="K117">
        <v>-3404</v>
      </c>
    </row>
    <row r="118" spans="1:11" x14ac:dyDescent="0.25">
      <c r="B118">
        <v>-16445</v>
      </c>
      <c r="C118">
        <v>0</v>
      </c>
      <c r="D118">
        <v>-6300</v>
      </c>
      <c r="E118">
        <v>-1444</v>
      </c>
      <c r="F118">
        <v>-3498</v>
      </c>
      <c r="G118">
        <v>-2333</v>
      </c>
      <c r="H118">
        <v>-3219</v>
      </c>
      <c r="I118">
        <v>4510</v>
      </c>
      <c r="J118">
        <v>0</v>
      </c>
      <c r="K118">
        <v>-737</v>
      </c>
    </row>
    <row r="119" spans="1:11" x14ac:dyDescent="0.25">
      <c r="B119">
        <v>-440</v>
      </c>
      <c r="C119">
        <v>-20</v>
      </c>
      <c r="D119">
        <v>-498</v>
      </c>
      <c r="E119">
        <v>340</v>
      </c>
      <c r="F119">
        <v>-286</v>
      </c>
      <c r="G119">
        <v>7114</v>
      </c>
      <c r="H119">
        <v>0</v>
      </c>
      <c r="I119">
        <v>-7920</v>
      </c>
      <c r="J119">
        <v>19236</v>
      </c>
      <c r="K119">
        <v>-6067</v>
      </c>
    </row>
    <row r="120" spans="1:11" x14ac:dyDescent="0.25">
      <c r="B120">
        <v>2987</v>
      </c>
      <c r="C120">
        <v>-5727</v>
      </c>
      <c r="D120">
        <v>15260</v>
      </c>
      <c r="E120">
        <v>2907</v>
      </c>
      <c r="F120">
        <v>-9592</v>
      </c>
      <c r="G120">
        <v>0</v>
      </c>
      <c r="H120">
        <v>-811</v>
      </c>
      <c r="I120">
        <v>-4969</v>
      </c>
      <c r="J120">
        <v>3346</v>
      </c>
      <c r="K120">
        <v>-312</v>
      </c>
    </row>
    <row r="121" spans="1:11" x14ac:dyDescent="0.25">
      <c r="B121">
        <v>1270</v>
      </c>
      <c r="C121">
        <v>338</v>
      </c>
      <c r="D121">
        <v>2178</v>
      </c>
      <c r="E121">
        <v>-131</v>
      </c>
      <c r="F121">
        <v>6977</v>
      </c>
      <c r="G121">
        <v>0</v>
      </c>
      <c r="H121">
        <v>-5366</v>
      </c>
      <c r="I121">
        <v>7781</v>
      </c>
      <c r="J121">
        <v>-2368</v>
      </c>
      <c r="K121">
        <v>-258</v>
      </c>
    </row>
    <row r="122" spans="1:11" x14ac:dyDescent="0.25">
      <c r="B122">
        <v>-3889</v>
      </c>
      <c r="C122">
        <v>5632</v>
      </c>
      <c r="D122">
        <v>-3037</v>
      </c>
      <c r="E122">
        <v>-71</v>
      </c>
      <c r="F122">
        <v>14660</v>
      </c>
      <c r="G122">
        <v>10088</v>
      </c>
      <c r="H122">
        <v>0</v>
      </c>
      <c r="I122">
        <v>471</v>
      </c>
      <c r="J122">
        <v>-8782</v>
      </c>
      <c r="K122">
        <v>193</v>
      </c>
    </row>
    <row r="123" spans="1:11" x14ac:dyDescent="0.25">
      <c r="B123">
        <v>-415</v>
      </c>
      <c r="C123">
        <v>458</v>
      </c>
      <c r="D123">
        <v>2837</v>
      </c>
      <c r="E123">
        <v>-5459</v>
      </c>
      <c r="F123">
        <v>-1718</v>
      </c>
      <c r="G123">
        <v>5132</v>
      </c>
      <c r="H123">
        <v>-51084</v>
      </c>
      <c r="I123">
        <v>-5971</v>
      </c>
      <c r="J123">
        <v>0</v>
      </c>
      <c r="K123">
        <v>2800</v>
      </c>
    </row>
    <row r="124" spans="1:11" x14ac:dyDescent="0.25">
      <c r="B124">
        <v>-3021</v>
      </c>
      <c r="C124">
        <v>736</v>
      </c>
      <c r="D124">
        <v>112</v>
      </c>
      <c r="E124">
        <v>2528</v>
      </c>
      <c r="F124">
        <v>-32505</v>
      </c>
      <c r="G124">
        <v>-649</v>
      </c>
      <c r="H124">
        <v>-515</v>
      </c>
      <c r="I124">
        <v>15845</v>
      </c>
      <c r="J124">
        <v>11200</v>
      </c>
      <c r="K124">
        <v>8047</v>
      </c>
    </row>
    <row r="125" spans="1:11" x14ac:dyDescent="0.25">
      <c r="B125">
        <v>-2995</v>
      </c>
      <c r="C125">
        <v>0</v>
      </c>
      <c r="D125">
        <v>184</v>
      </c>
      <c r="E125">
        <v>244</v>
      </c>
      <c r="F125">
        <v>-52</v>
      </c>
      <c r="G125">
        <v>-125</v>
      </c>
      <c r="H125">
        <v>380</v>
      </c>
      <c r="I125">
        <v>145</v>
      </c>
      <c r="J125">
        <v>780</v>
      </c>
      <c r="K125">
        <v>-754</v>
      </c>
    </row>
    <row r="126" spans="1:11" x14ac:dyDescent="0.25">
      <c r="B126">
        <v>-302</v>
      </c>
      <c r="C126">
        <v>267</v>
      </c>
      <c r="D126">
        <v>122</v>
      </c>
      <c r="E126">
        <v>-329</v>
      </c>
      <c r="F126">
        <v>171</v>
      </c>
      <c r="G126">
        <v>0</v>
      </c>
      <c r="H126">
        <v>-236</v>
      </c>
      <c r="I126">
        <v>-418</v>
      </c>
      <c r="J126">
        <v>-23</v>
      </c>
      <c r="K126">
        <v>-182</v>
      </c>
    </row>
    <row r="127" spans="1:11" x14ac:dyDescent="0.25">
      <c r="B127">
        <v>38</v>
      </c>
      <c r="C127">
        <v>843</v>
      </c>
      <c r="D127">
        <v>367</v>
      </c>
      <c r="E127">
        <v>-44</v>
      </c>
      <c r="F127">
        <v>21</v>
      </c>
      <c r="G127">
        <v>165</v>
      </c>
      <c r="H127">
        <v>-67</v>
      </c>
      <c r="I127">
        <v>-203</v>
      </c>
      <c r="J127">
        <v>331</v>
      </c>
      <c r="K127">
        <v>1106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-39516</v>
      </c>
      <c r="E133">
        <v>-20630</v>
      </c>
      <c r="F133">
        <v>-15401</v>
      </c>
      <c r="G133">
        <v>-21737</v>
      </c>
      <c r="H133">
        <v>-4342</v>
      </c>
      <c r="I133">
        <v>8825</v>
      </c>
      <c r="J133">
        <v>17967</v>
      </c>
      <c r="K133">
        <v>3076</v>
      </c>
    </row>
    <row r="134" spans="2:11" x14ac:dyDescent="0.25">
      <c r="B134">
        <v>7793</v>
      </c>
      <c r="C134">
        <v>2275</v>
      </c>
      <c r="D134">
        <v>5019</v>
      </c>
      <c r="E134">
        <v>-660</v>
      </c>
      <c r="F134">
        <v>6015</v>
      </c>
      <c r="G134">
        <v>40</v>
      </c>
      <c r="H134">
        <v>244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-1165</v>
      </c>
      <c r="D135">
        <v>-1939</v>
      </c>
      <c r="E135">
        <v>482</v>
      </c>
      <c r="F135">
        <v>-3544</v>
      </c>
      <c r="G135">
        <v>3897</v>
      </c>
      <c r="H135">
        <v>-906</v>
      </c>
      <c r="I135">
        <v>4013</v>
      </c>
      <c r="J135">
        <v>392</v>
      </c>
      <c r="K135">
        <v>1210</v>
      </c>
    </row>
    <row r="136" spans="2:11" x14ac:dyDescent="0.25">
      <c r="B136">
        <v>-706</v>
      </c>
      <c r="C136">
        <v>-1574</v>
      </c>
      <c r="D136">
        <v>1104</v>
      </c>
      <c r="E136">
        <v>2081</v>
      </c>
      <c r="F136">
        <v>-16</v>
      </c>
      <c r="G136">
        <v>115</v>
      </c>
      <c r="H136">
        <v>0</v>
      </c>
      <c r="I136">
        <v>0</v>
      </c>
      <c r="J136">
        <v>0</v>
      </c>
      <c r="K136">
        <v>23746</v>
      </c>
    </row>
    <row r="137" spans="2:11" x14ac:dyDescent="0.25">
      <c r="B137">
        <v>0</v>
      </c>
      <c r="C137">
        <v>6734</v>
      </c>
      <c r="D137">
        <v>5183</v>
      </c>
      <c r="E137">
        <v>-15946</v>
      </c>
      <c r="F137">
        <v>12561</v>
      </c>
      <c r="G137">
        <v>5863</v>
      </c>
      <c r="H137">
        <v>-4009</v>
      </c>
      <c r="I137">
        <v>-14</v>
      </c>
      <c r="J137">
        <v>221</v>
      </c>
      <c r="K137">
        <v>-2240</v>
      </c>
    </row>
    <row r="138" spans="2:11" x14ac:dyDescent="0.25">
      <c r="B138">
        <v>-2835</v>
      </c>
      <c r="C138">
        <v>-3514</v>
      </c>
      <c r="D138">
        <v>-746</v>
      </c>
      <c r="E138">
        <v>-1597</v>
      </c>
      <c r="F138">
        <v>-281</v>
      </c>
      <c r="G138">
        <v>-74</v>
      </c>
      <c r="H138">
        <v>0</v>
      </c>
      <c r="I138">
        <v>0</v>
      </c>
      <c r="J138">
        <v>0</v>
      </c>
      <c r="K138">
        <v>12307</v>
      </c>
    </row>
    <row r="139" spans="2:11" x14ac:dyDescent="0.25">
      <c r="B139">
        <v>-45226</v>
      </c>
      <c r="C139">
        <v>0</v>
      </c>
      <c r="D139">
        <v>-5097</v>
      </c>
      <c r="E139">
        <v>-23128</v>
      </c>
      <c r="F139">
        <v>2054</v>
      </c>
      <c r="G139">
        <v>-23646</v>
      </c>
      <c r="H139">
        <v>10173</v>
      </c>
      <c r="I139">
        <v>-6955</v>
      </c>
      <c r="J139">
        <v>5675</v>
      </c>
      <c r="K139">
        <v>-249</v>
      </c>
    </row>
    <row r="140" spans="2:11" x14ac:dyDescent="0.25">
      <c r="B140">
        <v>-9386</v>
      </c>
      <c r="C140">
        <v>-530</v>
      </c>
      <c r="D140">
        <v>-5108</v>
      </c>
      <c r="E140">
        <v>-698</v>
      </c>
      <c r="F140">
        <v>-2477</v>
      </c>
      <c r="G140">
        <v>95</v>
      </c>
      <c r="H140">
        <v>133</v>
      </c>
      <c r="I140">
        <v>0</v>
      </c>
      <c r="J140">
        <v>0</v>
      </c>
      <c r="K140">
        <v>0</v>
      </c>
    </row>
    <row r="141" spans="2:11" x14ac:dyDescent="0.25">
      <c r="B141">
        <v>68354</v>
      </c>
      <c r="C141">
        <v>26976</v>
      </c>
      <c r="D141">
        <v>-22180</v>
      </c>
      <c r="E141">
        <v>0</v>
      </c>
      <c r="F141">
        <v>838</v>
      </c>
      <c r="G141">
        <v>603</v>
      </c>
      <c r="H141">
        <v>1608</v>
      </c>
      <c r="I141">
        <v>132</v>
      </c>
      <c r="J141">
        <v>-94</v>
      </c>
      <c r="K141">
        <v>-144</v>
      </c>
    </row>
    <row r="142" spans="2:11" x14ac:dyDescent="0.25">
      <c r="B142">
        <v>779</v>
      </c>
      <c r="C142">
        <v>543</v>
      </c>
      <c r="D142">
        <v>-273</v>
      </c>
      <c r="E142">
        <v>516</v>
      </c>
      <c r="F142">
        <v>-628</v>
      </c>
      <c r="G142">
        <v>630</v>
      </c>
      <c r="H142">
        <v>8</v>
      </c>
      <c r="I142">
        <v>648</v>
      </c>
      <c r="J142">
        <v>416</v>
      </c>
      <c r="K142">
        <v>0</v>
      </c>
    </row>
    <row r="143" spans="2:11" x14ac:dyDescent="0.25">
      <c r="B143">
        <v>0</v>
      </c>
      <c r="C143">
        <v>0</v>
      </c>
      <c r="D143">
        <v>2384</v>
      </c>
      <c r="E143">
        <v>1745</v>
      </c>
      <c r="F143">
        <v>4996</v>
      </c>
      <c r="G143">
        <v>532</v>
      </c>
      <c r="H143">
        <v>0</v>
      </c>
      <c r="I143">
        <v>-987</v>
      </c>
      <c r="J143">
        <v>-755</v>
      </c>
      <c r="K143">
        <v>-1369</v>
      </c>
    </row>
    <row r="144" spans="2:11" x14ac:dyDescent="0.25">
      <c r="B144">
        <v>412</v>
      </c>
      <c r="C144">
        <v>-1791</v>
      </c>
      <c r="D144">
        <v>-377</v>
      </c>
      <c r="E144">
        <v>983</v>
      </c>
      <c r="F144">
        <v>398</v>
      </c>
      <c r="G144">
        <v>1891</v>
      </c>
      <c r="H144">
        <v>-1138</v>
      </c>
      <c r="I144">
        <v>-452</v>
      </c>
      <c r="J144">
        <v>1825</v>
      </c>
      <c r="K144">
        <v>4052</v>
      </c>
    </row>
    <row r="145" spans="2:11" x14ac:dyDescent="0.25">
      <c r="B145">
        <v>-1143</v>
      </c>
      <c r="C145">
        <v>-870</v>
      </c>
      <c r="D145">
        <v>0</v>
      </c>
      <c r="E145">
        <v>0</v>
      </c>
      <c r="F145">
        <v>0</v>
      </c>
      <c r="G145">
        <v>3024</v>
      </c>
      <c r="H145">
        <v>-3993</v>
      </c>
      <c r="I145">
        <v>999</v>
      </c>
      <c r="J145">
        <v>661</v>
      </c>
      <c r="K145">
        <v>-19148</v>
      </c>
    </row>
    <row r="146" spans="2:11" x14ac:dyDescent="0.25">
      <c r="B146">
        <v>0</v>
      </c>
      <c r="C146">
        <v>-6177</v>
      </c>
      <c r="D146">
        <v>-5108</v>
      </c>
      <c r="E146">
        <v>-4090</v>
      </c>
      <c r="F146">
        <v>-3073</v>
      </c>
      <c r="G146">
        <v>-4557</v>
      </c>
      <c r="H146">
        <v>-564</v>
      </c>
      <c r="I146">
        <v>17695</v>
      </c>
      <c r="J146">
        <v>2270</v>
      </c>
      <c r="K146">
        <v>6684</v>
      </c>
    </row>
    <row r="147" spans="2:11" x14ac:dyDescent="0.25">
      <c r="B147">
        <v>-7152</v>
      </c>
      <c r="C147">
        <v>-4316</v>
      </c>
      <c r="D147">
        <v>488</v>
      </c>
      <c r="E147">
        <v>69</v>
      </c>
      <c r="F147">
        <v>602</v>
      </c>
      <c r="G147">
        <v>2127</v>
      </c>
      <c r="H147">
        <v>0</v>
      </c>
      <c r="I147">
        <v>0</v>
      </c>
      <c r="J147">
        <v>0</v>
      </c>
      <c r="K147">
        <v>5107</v>
      </c>
    </row>
    <row r="148" spans="2:11" x14ac:dyDescent="0.25">
      <c r="B148">
        <v>966</v>
      </c>
      <c r="C148">
        <v>-46</v>
      </c>
      <c r="D148">
        <v>2037</v>
      </c>
      <c r="E148">
        <v>-2</v>
      </c>
      <c r="F148">
        <v>477</v>
      </c>
      <c r="G148">
        <v>0</v>
      </c>
      <c r="H148">
        <v>5768</v>
      </c>
      <c r="I148">
        <v>1305</v>
      </c>
      <c r="J148">
        <v>2306</v>
      </c>
      <c r="K148">
        <v>413</v>
      </c>
    </row>
    <row r="149" spans="2:11" x14ac:dyDescent="0.25">
      <c r="B149">
        <v>2989</v>
      </c>
      <c r="C149">
        <v>-6243</v>
      </c>
      <c r="D149">
        <v>2928</v>
      </c>
      <c r="E149">
        <v>-51</v>
      </c>
      <c r="F149">
        <v>-57</v>
      </c>
      <c r="G149">
        <v>-3901</v>
      </c>
      <c r="H149">
        <v>-1802</v>
      </c>
      <c r="I149">
        <v>869</v>
      </c>
      <c r="J149">
        <v>-350</v>
      </c>
      <c r="K149">
        <v>847</v>
      </c>
    </row>
    <row r="150" spans="2:11" x14ac:dyDescent="0.25">
      <c r="B150">
        <v>940</v>
      </c>
      <c r="C150">
        <v>0</v>
      </c>
      <c r="D150">
        <v>0</v>
      </c>
      <c r="E150">
        <v>0</v>
      </c>
      <c r="F150">
        <v>-1695</v>
      </c>
      <c r="G150">
        <v>185</v>
      </c>
      <c r="H150">
        <v>415</v>
      </c>
      <c r="I150">
        <v>836</v>
      </c>
      <c r="J150">
        <v>175</v>
      </c>
      <c r="K150">
        <v>-339</v>
      </c>
    </row>
    <row r="151" spans="2:11" x14ac:dyDescent="0.25">
      <c r="B151">
        <v>24569</v>
      </c>
      <c r="C151">
        <v>0</v>
      </c>
      <c r="D151">
        <v>16644</v>
      </c>
      <c r="E151">
        <v>7130</v>
      </c>
      <c r="F151">
        <v>-13002</v>
      </c>
      <c r="G151">
        <v>17312</v>
      </c>
      <c r="H151">
        <v>5964</v>
      </c>
      <c r="I151">
        <v>-10469</v>
      </c>
      <c r="J151">
        <v>2876</v>
      </c>
      <c r="K151">
        <v>-586</v>
      </c>
    </row>
    <row r="152" spans="2:11" x14ac:dyDescent="0.25">
      <c r="B152">
        <v>-7383</v>
      </c>
      <c r="C152">
        <v>-5986</v>
      </c>
      <c r="D152">
        <v>-4485</v>
      </c>
      <c r="E152">
        <v>-138</v>
      </c>
      <c r="F152">
        <v>-2653</v>
      </c>
      <c r="G152">
        <v>-426</v>
      </c>
      <c r="H152">
        <v>752</v>
      </c>
      <c r="I152">
        <v>0</v>
      </c>
      <c r="J152">
        <v>0</v>
      </c>
      <c r="K152">
        <v>0</v>
      </c>
    </row>
    <row r="153" spans="2:11" x14ac:dyDescent="0.25">
      <c r="B153">
        <v>-6594</v>
      </c>
      <c r="C153">
        <v>-355</v>
      </c>
      <c r="D153">
        <v>5682</v>
      </c>
      <c r="E153">
        <v>-1029</v>
      </c>
      <c r="F153">
        <v>-122</v>
      </c>
      <c r="G153">
        <v>-88</v>
      </c>
      <c r="H153">
        <v>32012</v>
      </c>
      <c r="I153">
        <v>-32900</v>
      </c>
      <c r="J153">
        <v>0</v>
      </c>
      <c r="K153">
        <v>10764</v>
      </c>
    </row>
    <row r="154" spans="2:11" x14ac:dyDescent="0.25">
      <c r="B154">
        <v>-17727</v>
      </c>
      <c r="C154">
        <v>9114</v>
      </c>
      <c r="D154">
        <v>-18906</v>
      </c>
      <c r="E154">
        <v>12416</v>
      </c>
      <c r="F154">
        <v>-13823</v>
      </c>
      <c r="G154">
        <v>4345</v>
      </c>
      <c r="H154">
        <v>-80</v>
      </c>
      <c r="I154">
        <v>-17401</v>
      </c>
      <c r="J154">
        <v>-6714</v>
      </c>
      <c r="K154">
        <v>-10504</v>
      </c>
    </row>
    <row r="155" spans="2:11" x14ac:dyDescent="0.25">
      <c r="B155">
        <v>-1379</v>
      </c>
      <c r="C155">
        <v>-5409</v>
      </c>
      <c r="D155">
        <v>732</v>
      </c>
      <c r="E155">
        <v>1016</v>
      </c>
      <c r="F155">
        <v>0</v>
      </c>
      <c r="G155">
        <v>0</v>
      </c>
      <c r="H155">
        <v>0</v>
      </c>
      <c r="I155">
        <v>-2844</v>
      </c>
      <c r="J155">
        <v>865</v>
      </c>
      <c r="K155">
        <v>-356</v>
      </c>
    </row>
    <row r="156" spans="2:11" x14ac:dyDescent="0.25">
      <c r="B156">
        <v>10588</v>
      </c>
      <c r="C156">
        <v>67</v>
      </c>
      <c r="D156">
        <v>-599</v>
      </c>
      <c r="E156">
        <v>56363</v>
      </c>
      <c r="F156">
        <v>24733</v>
      </c>
      <c r="G156">
        <v>-15402</v>
      </c>
      <c r="H156">
        <v>0</v>
      </c>
      <c r="I156">
        <v>24445</v>
      </c>
      <c r="J156">
        <v>9436</v>
      </c>
      <c r="K156">
        <v>8196</v>
      </c>
    </row>
    <row r="157" spans="2:11" x14ac:dyDescent="0.25">
      <c r="B157">
        <v>13013</v>
      </c>
      <c r="C157">
        <v>105</v>
      </c>
      <c r="D157">
        <v>-10300</v>
      </c>
      <c r="E157">
        <v>9017</v>
      </c>
      <c r="F157">
        <v>-768</v>
      </c>
      <c r="G157">
        <v>-6472</v>
      </c>
      <c r="H157">
        <v>-8509</v>
      </c>
      <c r="I157">
        <v>-6960</v>
      </c>
      <c r="J157">
        <v>-1199</v>
      </c>
      <c r="K157">
        <v>-4235</v>
      </c>
    </row>
    <row r="158" spans="2:11" x14ac:dyDescent="0.25">
      <c r="B158">
        <v>303</v>
      </c>
      <c r="C158">
        <v>1564</v>
      </c>
      <c r="D158">
        <v>0</v>
      </c>
      <c r="E158">
        <v>0</v>
      </c>
      <c r="F158">
        <v>0</v>
      </c>
      <c r="G158">
        <v>-11341</v>
      </c>
      <c r="H158">
        <v>-573</v>
      </c>
      <c r="I158">
        <v>1613</v>
      </c>
      <c r="J158">
        <v>-973</v>
      </c>
      <c r="K158">
        <v>259</v>
      </c>
    </row>
    <row r="159" spans="2:11" x14ac:dyDescent="0.25">
      <c r="B159">
        <v>18</v>
      </c>
      <c r="C159">
        <v>73071</v>
      </c>
      <c r="D159">
        <v>17996</v>
      </c>
      <c r="E159">
        <v>35379</v>
      </c>
      <c r="F159">
        <v>26808</v>
      </c>
      <c r="G159">
        <v>0</v>
      </c>
      <c r="H159">
        <v>1460</v>
      </c>
      <c r="I159">
        <v>749</v>
      </c>
      <c r="J159">
        <v>629</v>
      </c>
      <c r="K159">
        <v>231</v>
      </c>
    </row>
    <row r="160" spans="2:11" x14ac:dyDescent="0.25">
      <c r="B160">
        <v>575</v>
      </c>
      <c r="C160">
        <v>-509</v>
      </c>
      <c r="D160">
        <v>-635</v>
      </c>
      <c r="E160">
        <v>-871</v>
      </c>
      <c r="F160">
        <v>-581</v>
      </c>
      <c r="G160">
        <v>-1652</v>
      </c>
      <c r="H160">
        <v>317</v>
      </c>
      <c r="I160">
        <v>1576</v>
      </c>
      <c r="J160">
        <v>51</v>
      </c>
      <c r="K160">
        <v>378</v>
      </c>
    </row>
    <row r="161" spans="2:11" x14ac:dyDescent="0.25">
      <c r="B161">
        <v>-610</v>
      </c>
      <c r="C161">
        <v>0</v>
      </c>
      <c r="D161">
        <v>0</v>
      </c>
      <c r="E161">
        <v>0</v>
      </c>
      <c r="F161">
        <v>-734</v>
      </c>
      <c r="G161">
        <v>-43</v>
      </c>
      <c r="H161">
        <v>53</v>
      </c>
      <c r="I161">
        <v>-68</v>
      </c>
      <c r="J161">
        <v>126</v>
      </c>
      <c r="K161">
        <v>-294</v>
      </c>
    </row>
    <row r="162" spans="2:11" x14ac:dyDescent="0.25">
      <c r="B162">
        <v>610</v>
      </c>
      <c r="C162">
        <v>-449</v>
      </c>
      <c r="D162">
        <v>3459</v>
      </c>
      <c r="E162">
        <v>17</v>
      </c>
      <c r="F162">
        <v>914</v>
      </c>
      <c r="G162">
        <v>0</v>
      </c>
      <c r="H162">
        <v>-917</v>
      </c>
      <c r="I162">
        <v>-565</v>
      </c>
      <c r="J162">
        <v>-820</v>
      </c>
      <c r="K162">
        <v>191</v>
      </c>
    </row>
    <row r="163" spans="2:11" x14ac:dyDescent="0.25">
      <c r="B163">
        <v>-279</v>
      </c>
      <c r="C163">
        <v>1875</v>
      </c>
      <c r="D163">
        <v>229</v>
      </c>
      <c r="E163">
        <v>60</v>
      </c>
      <c r="F163">
        <v>955</v>
      </c>
      <c r="G163">
        <v>530</v>
      </c>
      <c r="H163">
        <v>89</v>
      </c>
      <c r="I163">
        <v>-244</v>
      </c>
      <c r="J163">
        <v>2121</v>
      </c>
      <c r="K163">
        <v>-4367</v>
      </c>
    </row>
    <row r="164" spans="2:11" x14ac:dyDescent="0.25">
      <c r="B164">
        <v>-4193</v>
      </c>
      <c r="C164">
        <v>0</v>
      </c>
      <c r="D164">
        <v>0</v>
      </c>
      <c r="E164">
        <v>0</v>
      </c>
      <c r="F164">
        <v>583</v>
      </c>
      <c r="G164">
        <v>75</v>
      </c>
      <c r="H164">
        <v>92</v>
      </c>
      <c r="I164">
        <v>-180</v>
      </c>
      <c r="J164">
        <v>-870</v>
      </c>
      <c r="K164">
        <v>2243</v>
      </c>
    </row>
    <row r="165" spans="2:11" x14ac:dyDescent="0.25">
      <c r="B165">
        <v>-3862</v>
      </c>
      <c r="C165">
        <v>-1670</v>
      </c>
      <c r="D165">
        <v>-4694</v>
      </c>
      <c r="E165">
        <v>-3420</v>
      </c>
      <c r="F165">
        <v>-3887</v>
      </c>
      <c r="G165">
        <v>-28039</v>
      </c>
      <c r="H165">
        <v>0</v>
      </c>
      <c r="I165">
        <v>20</v>
      </c>
      <c r="J165">
        <v>29</v>
      </c>
      <c r="K165">
        <v>43</v>
      </c>
    </row>
    <row r="166" spans="2:11" x14ac:dyDescent="0.25">
      <c r="B166">
        <v>-343</v>
      </c>
      <c r="C166">
        <v>-436</v>
      </c>
      <c r="D166">
        <v>-1144</v>
      </c>
      <c r="E166">
        <v>995</v>
      </c>
      <c r="F166">
        <v>519</v>
      </c>
      <c r="G166">
        <v>572</v>
      </c>
      <c r="H166">
        <v>-1080</v>
      </c>
      <c r="I166">
        <v>-857</v>
      </c>
      <c r="J166">
        <v>478</v>
      </c>
      <c r="K166">
        <v>1278</v>
      </c>
    </row>
    <row r="167" spans="2:11" x14ac:dyDescent="0.25">
      <c r="B167">
        <v>1588</v>
      </c>
      <c r="C167">
        <v>2040</v>
      </c>
      <c r="D167">
        <v>0</v>
      </c>
      <c r="E167">
        <v>0</v>
      </c>
      <c r="F167">
        <v>0</v>
      </c>
      <c r="G167">
        <v>167</v>
      </c>
      <c r="H167">
        <v>91</v>
      </c>
      <c r="I167">
        <v>29</v>
      </c>
      <c r="J167">
        <v>76</v>
      </c>
      <c r="K167">
        <v>-434</v>
      </c>
    </row>
    <row r="168" spans="2:11" x14ac:dyDescent="0.25">
      <c r="B168">
        <v>1236</v>
      </c>
      <c r="C168">
        <v>3092</v>
      </c>
      <c r="D168">
        <v>-1547</v>
      </c>
      <c r="E168">
        <v>988</v>
      </c>
      <c r="F168">
        <v>1924</v>
      </c>
      <c r="G168">
        <v>3332</v>
      </c>
      <c r="H168">
        <v>-14221</v>
      </c>
      <c r="I168">
        <v>-45264</v>
      </c>
      <c r="J168">
        <v>0</v>
      </c>
      <c r="K168">
        <v>-271</v>
      </c>
    </row>
    <row r="169" spans="2:11" x14ac:dyDescent="0.25">
      <c r="B169">
        <v>352</v>
      </c>
      <c r="C169">
        <v>-329</v>
      </c>
      <c r="D169">
        <v>410</v>
      </c>
      <c r="E169">
        <v>118</v>
      </c>
      <c r="F169">
        <v>-1282</v>
      </c>
      <c r="G169">
        <v>1881</v>
      </c>
      <c r="H169">
        <v>593</v>
      </c>
      <c r="I169">
        <v>1748</v>
      </c>
      <c r="J169">
        <v>-586</v>
      </c>
      <c r="K169">
        <v>-80</v>
      </c>
    </row>
    <row r="170" spans="2:11" x14ac:dyDescent="0.25">
      <c r="B170">
        <v>-55</v>
      </c>
      <c r="C170">
        <v>1385</v>
      </c>
      <c r="D170">
        <v>-1101</v>
      </c>
      <c r="E170">
        <v>-586</v>
      </c>
      <c r="F170">
        <v>0</v>
      </c>
      <c r="G170">
        <v>0</v>
      </c>
      <c r="H170">
        <v>0</v>
      </c>
      <c r="I170">
        <v>607</v>
      </c>
      <c r="J170">
        <v>132</v>
      </c>
      <c r="K170">
        <v>-41</v>
      </c>
    </row>
    <row r="171" spans="2:11" x14ac:dyDescent="0.25">
      <c r="B171">
        <v>-57</v>
      </c>
      <c r="C171">
        <v>907</v>
      </c>
      <c r="D171">
        <v>-2200</v>
      </c>
      <c r="E171">
        <v>3826</v>
      </c>
      <c r="F171">
        <v>4201</v>
      </c>
      <c r="G171">
        <v>3713</v>
      </c>
      <c r="H171">
        <v>5164</v>
      </c>
      <c r="I171">
        <v>-1709</v>
      </c>
      <c r="J171">
        <v>-34470</v>
      </c>
      <c r="K171">
        <v>-6049</v>
      </c>
    </row>
    <row r="172" spans="2:11" x14ac:dyDescent="0.25">
      <c r="B172">
        <v>-17859</v>
      </c>
      <c r="C172">
        <v>0</v>
      </c>
      <c r="D172">
        <v>-1062</v>
      </c>
      <c r="E172">
        <v>-914</v>
      </c>
      <c r="F172">
        <v>-912</v>
      </c>
      <c r="G172">
        <v>-568</v>
      </c>
      <c r="H172">
        <v>-464</v>
      </c>
      <c r="I172">
        <v>1138</v>
      </c>
      <c r="J172">
        <v>3057</v>
      </c>
      <c r="K172">
        <v>312</v>
      </c>
    </row>
    <row r="173" spans="2:11" x14ac:dyDescent="0.25">
      <c r="B173">
        <v>1331</v>
      </c>
      <c r="C173">
        <v>-362</v>
      </c>
      <c r="D173">
        <v>-892</v>
      </c>
      <c r="E173">
        <v>-997</v>
      </c>
      <c r="F173">
        <v>1082</v>
      </c>
      <c r="G173">
        <v>-4214</v>
      </c>
      <c r="H173">
        <v>-2784</v>
      </c>
      <c r="I173">
        <v>0</v>
      </c>
      <c r="J173">
        <v>0</v>
      </c>
      <c r="K173">
        <v>0</v>
      </c>
    </row>
    <row r="174" spans="2:11" x14ac:dyDescent="0.25">
      <c r="B174">
        <v>975</v>
      </c>
      <c r="C174">
        <v>186</v>
      </c>
      <c r="D174">
        <v>45</v>
      </c>
      <c r="E174">
        <v>317</v>
      </c>
      <c r="F174">
        <v>-140</v>
      </c>
      <c r="G174">
        <v>412</v>
      </c>
      <c r="H174">
        <v>10248</v>
      </c>
      <c r="I174">
        <v>3501</v>
      </c>
      <c r="J174">
        <v>2700</v>
      </c>
      <c r="K174">
        <v>2117</v>
      </c>
    </row>
    <row r="175" spans="2:11" x14ac:dyDescent="0.25">
      <c r="B175">
        <v>6050</v>
      </c>
      <c r="C175">
        <v>-20100</v>
      </c>
      <c r="D175">
        <v>-846</v>
      </c>
      <c r="E175">
        <v>-8781</v>
      </c>
      <c r="F175">
        <v>2841</v>
      </c>
      <c r="G175">
        <v>0</v>
      </c>
      <c r="H175">
        <v>-4854</v>
      </c>
      <c r="I175">
        <v>-3651</v>
      </c>
      <c r="J175">
        <v>-3246</v>
      </c>
      <c r="K175">
        <v>-1197</v>
      </c>
    </row>
    <row r="176" spans="2:11" x14ac:dyDescent="0.25">
      <c r="B176">
        <v>-3680</v>
      </c>
      <c r="C176">
        <v>1190</v>
      </c>
      <c r="D176">
        <v>10706</v>
      </c>
      <c r="E176">
        <v>3647</v>
      </c>
      <c r="F176">
        <v>3507</v>
      </c>
      <c r="G176">
        <v>-3955</v>
      </c>
      <c r="H176">
        <v>-5795</v>
      </c>
      <c r="I176">
        <v>-575</v>
      </c>
      <c r="J176">
        <v>-567</v>
      </c>
      <c r="K176">
        <v>897</v>
      </c>
    </row>
    <row r="177" spans="2:11" x14ac:dyDescent="0.25">
      <c r="B177">
        <v>1589</v>
      </c>
      <c r="C177">
        <v>0</v>
      </c>
      <c r="D177">
        <v>0</v>
      </c>
      <c r="E177">
        <v>0</v>
      </c>
      <c r="F177">
        <v>3317</v>
      </c>
      <c r="G177">
        <v>586</v>
      </c>
      <c r="H177">
        <v>95</v>
      </c>
      <c r="I177">
        <v>1117</v>
      </c>
      <c r="J177">
        <v>-53</v>
      </c>
      <c r="K177">
        <v>473</v>
      </c>
    </row>
    <row r="178" spans="2:11" x14ac:dyDescent="0.25">
      <c r="B178">
        <v>3264</v>
      </c>
      <c r="C178">
        <v>437</v>
      </c>
      <c r="D178">
        <v>89</v>
      </c>
      <c r="E178">
        <v>805</v>
      </c>
      <c r="F178">
        <v>821</v>
      </c>
      <c r="G178">
        <v>-185</v>
      </c>
      <c r="H178">
        <v>66</v>
      </c>
      <c r="I178">
        <v>343</v>
      </c>
      <c r="J178">
        <v>216</v>
      </c>
      <c r="K178">
        <v>480</v>
      </c>
    </row>
    <row r="179" spans="2:11" x14ac:dyDescent="0.25">
      <c r="B179">
        <v>0</v>
      </c>
      <c r="C179">
        <v>6163</v>
      </c>
      <c r="D179">
        <v>1270</v>
      </c>
      <c r="E179">
        <v>2765</v>
      </c>
      <c r="F179">
        <v>938</v>
      </c>
      <c r="G179">
        <v>2908</v>
      </c>
      <c r="H179">
        <v>-4564</v>
      </c>
      <c r="I179">
        <v>1845</v>
      </c>
      <c r="J179">
        <v>227</v>
      </c>
      <c r="K179">
        <v>-1296</v>
      </c>
    </row>
    <row r="180" spans="2:11" x14ac:dyDescent="0.25">
      <c r="B180">
        <v>-2101</v>
      </c>
      <c r="C180">
        <v>-3853</v>
      </c>
      <c r="D180">
        <v>-170</v>
      </c>
      <c r="E180">
        <v>-1117</v>
      </c>
      <c r="F180">
        <v>646</v>
      </c>
      <c r="G180">
        <v>615</v>
      </c>
      <c r="H180">
        <v>0</v>
      </c>
      <c r="I180">
        <v>0</v>
      </c>
      <c r="J180">
        <v>0</v>
      </c>
      <c r="K180">
        <v>-2272</v>
      </c>
    </row>
    <row r="181" spans="2:11" x14ac:dyDescent="0.25">
      <c r="B181">
        <v>89</v>
      </c>
      <c r="C181">
        <v>415</v>
      </c>
      <c r="D181">
        <v>700</v>
      </c>
      <c r="E181">
        <v>167</v>
      </c>
      <c r="F181">
        <v>-314</v>
      </c>
      <c r="G181">
        <v>525</v>
      </c>
      <c r="H181">
        <v>792</v>
      </c>
      <c r="I181">
        <v>1377</v>
      </c>
      <c r="J181">
        <v>2169</v>
      </c>
      <c r="K181">
        <v>2412</v>
      </c>
    </row>
    <row r="182" spans="2:11" x14ac:dyDescent="0.25">
      <c r="B182">
        <v>95</v>
      </c>
      <c r="C182">
        <v>-320</v>
      </c>
      <c r="D182">
        <v>54</v>
      </c>
      <c r="E182">
        <v>173</v>
      </c>
      <c r="F182">
        <v>-32</v>
      </c>
      <c r="G182">
        <v>34286</v>
      </c>
      <c r="H182">
        <v>0</v>
      </c>
      <c r="I182">
        <v>16259</v>
      </c>
      <c r="J182">
        <v>7697</v>
      </c>
      <c r="K182">
        <v>-14089</v>
      </c>
    </row>
    <row r="183" spans="2:11" x14ac:dyDescent="0.25">
      <c r="B183">
        <v>18532</v>
      </c>
      <c r="C183">
        <v>5350</v>
      </c>
      <c r="D183">
        <v>-8725</v>
      </c>
      <c r="E183">
        <v>1004</v>
      </c>
      <c r="F183">
        <v>520</v>
      </c>
      <c r="G183">
        <v>-6171</v>
      </c>
      <c r="H183">
        <v>-4538</v>
      </c>
      <c r="I183">
        <v>-5931</v>
      </c>
      <c r="J183">
        <v>-919</v>
      </c>
      <c r="K183">
        <v>-2432</v>
      </c>
    </row>
    <row r="184" spans="2:11" x14ac:dyDescent="0.25">
      <c r="B184">
        <v>364</v>
      </c>
      <c r="C184">
        <v>1074</v>
      </c>
      <c r="D184">
        <v>0</v>
      </c>
      <c r="E184">
        <v>0</v>
      </c>
      <c r="F184">
        <v>0</v>
      </c>
      <c r="G184">
        <v>-6825</v>
      </c>
      <c r="H184">
        <v>-457</v>
      </c>
      <c r="I184">
        <v>5855</v>
      </c>
      <c r="J184">
        <v>-1619</v>
      </c>
      <c r="K184">
        <v>-93</v>
      </c>
    </row>
    <row r="185" spans="2:11" x14ac:dyDescent="0.25">
      <c r="B185">
        <v>-150</v>
      </c>
      <c r="C185">
        <v>-72</v>
      </c>
      <c r="D185">
        <v>1227</v>
      </c>
      <c r="E185">
        <v>8180</v>
      </c>
      <c r="F185">
        <v>1580</v>
      </c>
      <c r="G185">
        <v>5551</v>
      </c>
      <c r="H185">
        <v>229</v>
      </c>
      <c r="I185">
        <v>-283</v>
      </c>
      <c r="J185">
        <v>49</v>
      </c>
      <c r="K185">
        <v>60</v>
      </c>
    </row>
    <row r="186" spans="2:11" x14ac:dyDescent="0.25">
      <c r="B186">
        <v>-91</v>
      </c>
      <c r="C186">
        <v>38942</v>
      </c>
      <c r="D186">
        <v>-20783</v>
      </c>
      <c r="E186">
        <v>0</v>
      </c>
      <c r="F186">
        <v>7921</v>
      </c>
      <c r="G186">
        <v>-15801</v>
      </c>
      <c r="H186">
        <v>7041</v>
      </c>
      <c r="I186">
        <v>-16705</v>
      </c>
      <c r="J186">
        <v>10507</v>
      </c>
      <c r="K186">
        <v>-9701</v>
      </c>
    </row>
    <row r="187" spans="2:11" x14ac:dyDescent="0.25">
      <c r="B187">
        <v>2287</v>
      </c>
      <c r="C187">
        <v>-168</v>
      </c>
      <c r="D187">
        <v>-12833</v>
      </c>
      <c r="E187">
        <v>-3799</v>
      </c>
      <c r="F187">
        <v>-9613</v>
      </c>
      <c r="G187">
        <v>-1058</v>
      </c>
      <c r="H187">
        <v>-3843</v>
      </c>
      <c r="I187">
        <v>647</v>
      </c>
      <c r="J187">
        <v>758</v>
      </c>
      <c r="K187">
        <v>0</v>
      </c>
    </row>
    <row r="188" spans="2:11" x14ac:dyDescent="0.25">
      <c r="B188">
        <v>0</v>
      </c>
      <c r="C188">
        <v>0</v>
      </c>
      <c r="D188">
        <v>-1970</v>
      </c>
      <c r="E188">
        <v>755</v>
      </c>
      <c r="F188">
        <v>-396</v>
      </c>
      <c r="G188">
        <v>8906</v>
      </c>
      <c r="H188">
        <v>-32</v>
      </c>
      <c r="I188">
        <v>-262</v>
      </c>
      <c r="J188">
        <v>1130</v>
      </c>
      <c r="K188">
        <v>1584</v>
      </c>
    </row>
    <row r="189" spans="2:11" x14ac:dyDescent="0.25">
      <c r="B189">
        <v>1482</v>
      </c>
      <c r="C189">
        <v>12083</v>
      </c>
      <c r="D189">
        <v>3610</v>
      </c>
      <c r="E189">
        <v>166</v>
      </c>
      <c r="F189">
        <v>-337</v>
      </c>
      <c r="G189">
        <v>182</v>
      </c>
      <c r="H189">
        <v>-281</v>
      </c>
      <c r="I189">
        <v>112</v>
      </c>
      <c r="J189">
        <v>59823</v>
      </c>
      <c r="K189">
        <v>30658</v>
      </c>
    </row>
    <row r="190" spans="2:11" x14ac:dyDescent="0.25">
      <c r="B190">
        <v>-11348</v>
      </c>
      <c r="C190">
        <v>0</v>
      </c>
      <c r="D190">
        <v>18137</v>
      </c>
      <c r="E190">
        <v>7593</v>
      </c>
      <c r="F190">
        <v>5965</v>
      </c>
      <c r="G190">
        <v>11397</v>
      </c>
      <c r="H190">
        <v>-1161</v>
      </c>
      <c r="I190">
        <v>-5536</v>
      </c>
      <c r="J190">
        <v>4807</v>
      </c>
      <c r="K190">
        <v>-1213</v>
      </c>
    </row>
    <row r="191" spans="2:11" x14ac:dyDescent="0.25">
      <c r="B191">
        <v>-5617</v>
      </c>
      <c r="C191">
        <v>-4837</v>
      </c>
      <c r="D191">
        <v>-8073</v>
      </c>
      <c r="E191">
        <v>-1781</v>
      </c>
      <c r="F191">
        <v>-4359</v>
      </c>
      <c r="G191">
        <v>809</v>
      </c>
      <c r="H191">
        <v>1077</v>
      </c>
      <c r="I191">
        <v>0</v>
      </c>
      <c r="J191">
        <v>0</v>
      </c>
      <c r="K191">
        <v>0</v>
      </c>
    </row>
    <row r="192" spans="2:11" x14ac:dyDescent="0.25">
      <c r="B192">
        <v>-9234</v>
      </c>
      <c r="C192">
        <v>-615</v>
      </c>
      <c r="D192">
        <v>1283</v>
      </c>
      <c r="E192">
        <v>-1339</v>
      </c>
      <c r="F192">
        <v>211</v>
      </c>
      <c r="G192">
        <v>-34</v>
      </c>
      <c r="H192">
        <v>672</v>
      </c>
      <c r="I192">
        <v>1581</v>
      </c>
      <c r="J192">
        <v>4418</v>
      </c>
      <c r="K192">
        <v>3390</v>
      </c>
    </row>
    <row r="193" spans="2:11" x14ac:dyDescent="0.25">
      <c r="B193">
        <v>8145</v>
      </c>
      <c r="C193">
        <v>267</v>
      </c>
      <c r="D193">
        <v>-333</v>
      </c>
      <c r="E193">
        <v>216</v>
      </c>
      <c r="F193">
        <v>-104</v>
      </c>
      <c r="G193">
        <v>-22</v>
      </c>
      <c r="H193">
        <v>75265</v>
      </c>
      <c r="I193">
        <v>25950</v>
      </c>
      <c r="J193">
        <v>40956</v>
      </c>
      <c r="K193">
        <v>27694</v>
      </c>
    </row>
    <row r="194" spans="2:11" x14ac:dyDescent="0.25">
      <c r="B194">
        <v>0</v>
      </c>
      <c r="C194">
        <v>862</v>
      </c>
      <c r="D194">
        <v>398</v>
      </c>
      <c r="E194">
        <v>-703</v>
      </c>
      <c r="F194">
        <v>1046</v>
      </c>
      <c r="G194">
        <v>252</v>
      </c>
      <c r="H194">
        <v>5</v>
      </c>
      <c r="I194">
        <v>1100</v>
      </c>
      <c r="J194">
        <v>420</v>
      </c>
      <c r="K194">
        <v>417</v>
      </c>
    </row>
    <row r="195" spans="2:11" x14ac:dyDescent="0.25">
      <c r="B195">
        <v>-1372</v>
      </c>
      <c r="C195">
        <v>-254</v>
      </c>
      <c r="D195">
        <v>2308</v>
      </c>
      <c r="E195">
        <v>1342</v>
      </c>
      <c r="F195">
        <v>-2167</v>
      </c>
      <c r="G195">
        <v>-2326</v>
      </c>
      <c r="H195">
        <v>0</v>
      </c>
      <c r="I195">
        <v>0</v>
      </c>
      <c r="J195">
        <v>0</v>
      </c>
      <c r="K195">
        <v>-156</v>
      </c>
    </row>
    <row r="196" spans="2:11" x14ac:dyDescent="0.25">
      <c r="B196">
        <v>43</v>
      </c>
      <c r="C196">
        <v>90</v>
      </c>
      <c r="D196">
        <v>-182</v>
      </c>
      <c r="E196">
        <v>1353</v>
      </c>
      <c r="F196">
        <v>-3254</v>
      </c>
      <c r="G196">
        <v>127</v>
      </c>
      <c r="H196">
        <v>274</v>
      </c>
      <c r="I196">
        <v>361</v>
      </c>
      <c r="J196">
        <v>-75</v>
      </c>
      <c r="K196">
        <v>135</v>
      </c>
    </row>
    <row r="197" spans="2:11" x14ac:dyDescent="0.25">
      <c r="B197">
        <v>282</v>
      </c>
      <c r="C197">
        <v>-1338</v>
      </c>
      <c r="D197">
        <v>-944</v>
      </c>
      <c r="E197">
        <v>1858</v>
      </c>
      <c r="F197">
        <v>23</v>
      </c>
      <c r="G197">
        <v>4698</v>
      </c>
      <c r="H197">
        <v>5723</v>
      </c>
      <c r="I197">
        <v>4765</v>
      </c>
      <c r="J197">
        <v>5381</v>
      </c>
      <c r="K197">
        <v>2118</v>
      </c>
    </row>
    <row r="198" spans="2:11" x14ac:dyDescent="0.25">
      <c r="B198">
        <v>0</v>
      </c>
      <c r="C198">
        <v>1130</v>
      </c>
      <c r="D198">
        <v>623</v>
      </c>
      <c r="E198">
        <v>322</v>
      </c>
      <c r="F198">
        <v>482</v>
      </c>
      <c r="G198">
        <v>325</v>
      </c>
      <c r="H198">
        <v>-49</v>
      </c>
      <c r="I198">
        <v>-319</v>
      </c>
      <c r="J198">
        <v>-409</v>
      </c>
      <c r="K198">
        <v>-979</v>
      </c>
    </row>
    <row r="199" spans="2:11" x14ac:dyDescent="0.25">
      <c r="B199">
        <v>-184</v>
      </c>
      <c r="C199">
        <v>-205</v>
      </c>
      <c r="D199">
        <v>392</v>
      </c>
      <c r="E199">
        <v>915</v>
      </c>
      <c r="F199">
        <v>-108</v>
      </c>
      <c r="G199">
        <v>-448</v>
      </c>
      <c r="H199">
        <v>0</v>
      </c>
      <c r="I199">
        <v>0</v>
      </c>
      <c r="J199">
        <v>0</v>
      </c>
      <c r="K199">
        <v>-456</v>
      </c>
    </row>
    <row r="200" spans="2:11" x14ac:dyDescent="0.25">
      <c r="B200">
        <v>14</v>
      </c>
      <c r="C200">
        <v>363</v>
      </c>
      <c r="D200">
        <v>-182</v>
      </c>
      <c r="E200">
        <v>-2333</v>
      </c>
      <c r="F200">
        <v>5950</v>
      </c>
      <c r="G200">
        <v>-176</v>
      </c>
      <c r="H200">
        <v>-421</v>
      </c>
      <c r="I200">
        <v>188</v>
      </c>
      <c r="J200">
        <v>-92</v>
      </c>
      <c r="K200">
        <v>419</v>
      </c>
    </row>
    <row r="201" spans="2:11" x14ac:dyDescent="0.25">
      <c r="B201">
        <v>-366</v>
      </c>
      <c r="C201">
        <v>2761</v>
      </c>
      <c r="D201">
        <v>1553</v>
      </c>
      <c r="E201">
        <v>-3101</v>
      </c>
      <c r="F201">
        <v>303</v>
      </c>
      <c r="G201">
        <v>-5675</v>
      </c>
      <c r="H201">
        <v>-9677</v>
      </c>
      <c r="I201">
        <v>-6094</v>
      </c>
      <c r="J201">
        <v>-5461</v>
      </c>
      <c r="K201">
        <v>-6687</v>
      </c>
    </row>
    <row r="202" spans="2:11" x14ac:dyDescent="0.25">
      <c r="B202">
        <v>-31916</v>
      </c>
      <c r="C202">
        <v>0</v>
      </c>
      <c r="D202">
        <v>-2658</v>
      </c>
      <c r="E202">
        <v>-1567</v>
      </c>
      <c r="F202">
        <v>-2934</v>
      </c>
      <c r="G202">
        <v>-66</v>
      </c>
      <c r="H202">
        <v>-227</v>
      </c>
      <c r="I202">
        <v>3887</v>
      </c>
      <c r="J202">
        <v>10416</v>
      </c>
      <c r="K202">
        <v>770</v>
      </c>
    </row>
    <row r="203" spans="2:11" x14ac:dyDescent="0.25">
      <c r="B203">
        <v>4727</v>
      </c>
      <c r="C203">
        <v>-169</v>
      </c>
      <c r="D203">
        <v>-996</v>
      </c>
      <c r="E203">
        <v>-1222</v>
      </c>
      <c r="F203">
        <v>884</v>
      </c>
      <c r="G203">
        <v>860</v>
      </c>
      <c r="H203">
        <v>3698</v>
      </c>
      <c r="I203">
        <v>0</v>
      </c>
      <c r="J203">
        <v>0</v>
      </c>
      <c r="K203">
        <v>0</v>
      </c>
    </row>
    <row r="204" spans="2:11" x14ac:dyDescent="0.25">
      <c r="B204">
        <v>3076</v>
      </c>
      <c r="C204">
        <v>578</v>
      </c>
      <c r="D204">
        <v>240</v>
      </c>
      <c r="E204">
        <v>573</v>
      </c>
      <c r="F204">
        <v>-120</v>
      </c>
      <c r="G204">
        <v>538</v>
      </c>
      <c r="H204">
        <v>2440</v>
      </c>
      <c r="I204">
        <v>144</v>
      </c>
      <c r="J204">
        <v>42</v>
      </c>
      <c r="K204">
        <v>-183</v>
      </c>
    </row>
    <row r="205" spans="2:11" x14ac:dyDescent="0.25">
      <c r="B205">
        <v>220</v>
      </c>
      <c r="C205">
        <v>-183</v>
      </c>
      <c r="D205">
        <v>169</v>
      </c>
      <c r="E205">
        <v>287</v>
      </c>
      <c r="F205">
        <v>56</v>
      </c>
      <c r="G205">
        <v>385</v>
      </c>
      <c r="H205">
        <v>1614</v>
      </c>
      <c r="I205">
        <v>36</v>
      </c>
      <c r="J205">
        <v>7</v>
      </c>
      <c r="K205">
        <v>-111</v>
      </c>
    </row>
    <row r="206" spans="2:11" x14ac:dyDescent="0.25">
      <c r="B206">
        <v>2</v>
      </c>
      <c r="C206">
        <v>-221</v>
      </c>
      <c r="D206">
        <v>359</v>
      </c>
      <c r="E206">
        <v>0</v>
      </c>
      <c r="F206">
        <v>4017</v>
      </c>
      <c r="G206">
        <v>-253</v>
      </c>
      <c r="H206">
        <v>2227</v>
      </c>
      <c r="I206">
        <v>-493</v>
      </c>
      <c r="J206">
        <v>2744</v>
      </c>
      <c r="K206">
        <v>-8939</v>
      </c>
    </row>
    <row r="207" spans="2:11" x14ac:dyDescent="0.25">
      <c r="B207">
        <v>3069</v>
      </c>
      <c r="C207">
        <v>-624</v>
      </c>
      <c r="D207">
        <v>-844</v>
      </c>
      <c r="E207">
        <v>-362</v>
      </c>
      <c r="F207">
        <v>-1420</v>
      </c>
      <c r="G207">
        <v>-133</v>
      </c>
      <c r="H207">
        <v>-168</v>
      </c>
      <c r="I207">
        <v>-635</v>
      </c>
      <c r="J207">
        <v>2894</v>
      </c>
      <c r="K207">
        <v>0</v>
      </c>
    </row>
    <row r="208" spans="2:11" x14ac:dyDescent="0.25">
      <c r="B208">
        <v>0</v>
      </c>
      <c r="C208">
        <v>0</v>
      </c>
      <c r="D208">
        <v>-764</v>
      </c>
      <c r="E208">
        <v>241</v>
      </c>
      <c r="F208">
        <v>211</v>
      </c>
      <c r="G208">
        <v>1234</v>
      </c>
      <c r="H208">
        <v>37</v>
      </c>
      <c r="I208">
        <v>-22</v>
      </c>
      <c r="J208">
        <v>788</v>
      </c>
      <c r="K208">
        <v>877</v>
      </c>
    </row>
    <row r="209" spans="2:11" x14ac:dyDescent="0.25">
      <c r="B209">
        <v>1074</v>
      </c>
      <c r="C209">
        <v>2121</v>
      </c>
      <c r="D209">
        <v>1760</v>
      </c>
      <c r="E209">
        <v>16</v>
      </c>
      <c r="F209">
        <v>-320</v>
      </c>
      <c r="G209">
        <v>182</v>
      </c>
      <c r="H209">
        <v>109</v>
      </c>
      <c r="I209">
        <v>-86</v>
      </c>
      <c r="J209">
        <v>321</v>
      </c>
      <c r="K209">
        <v>686</v>
      </c>
    </row>
    <row r="210" spans="2:11" x14ac:dyDescent="0.25">
      <c r="B210">
        <v>807</v>
      </c>
      <c r="C210">
        <v>1536</v>
      </c>
      <c r="D210">
        <v>1049</v>
      </c>
      <c r="E210">
        <v>-130</v>
      </c>
      <c r="F210">
        <v>51</v>
      </c>
      <c r="G210">
        <v>36353</v>
      </c>
      <c r="H210">
        <v>0</v>
      </c>
      <c r="I210">
        <v>13905</v>
      </c>
      <c r="J210">
        <v>7272</v>
      </c>
      <c r="K210">
        <v>-9382</v>
      </c>
    </row>
    <row r="211" spans="2:11" x14ac:dyDescent="0.25">
      <c r="B211">
        <v>14491</v>
      </c>
      <c r="C211">
        <v>4956</v>
      </c>
      <c r="D211">
        <v>-14163</v>
      </c>
      <c r="E211">
        <v>-744</v>
      </c>
      <c r="F211">
        <v>-980</v>
      </c>
      <c r="G211">
        <v>-4782</v>
      </c>
      <c r="H211">
        <v>-2297</v>
      </c>
      <c r="I211">
        <v>-2482</v>
      </c>
      <c r="J211">
        <v>-965</v>
      </c>
      <c r="K211">
        <v>-1787</v>
      </c>
    </row>
    <row r="212" spans="2:11" x14ac:dyDescent="0.25">
      <c r="B212">
        <v>1073</v>
      </c>
      <c r="C212">
        <v>1401</v>
      </c>
      <c r="D212">
        <v>0</v>
      </c>
      <c r="E212">
        <v>0</v>
      </c>
      <c r="F212">
        <v>0</v>
      </c>
      <c r="G212">
        <v>-5767</v>
      </c>
      <c r="H212">
        <v>-409</v>
      </c>
      <c r="I212">
        <v>4449</v>
      </c>
      <c r="J212">
        <v>-1268</v>
      </c>
      <c r="K212">
        <v>-96</v>
      </c>
    </row>
    <row r="213" spans="2:11" x14ac:dyDescent="0.25">
      <c r="B213">
        <v>-138</v>
      </c>
      <c r="C213">
        <v>-397</v>
      </c>
      <c r="D213">
        <v>1303</v>
      </c>
      <c r="E213">
        <v>6521</v>
      </c>
      <c r="F213">
        <v>1349</v>
      </c>
      <c r="G213">
        <v>4492</v>
      </c>
      <c r="H213">
        <v>196</v>
      </c>
      <c r="I213">
        <v>-464</v>
      </c>
      <c r="J213">
        <v>111</v>
      </c>
      <c r="K213">
        <v>41</v>
      </c>
    </row>
    <row r="214" spans="2:11" x14ac:dyDescent="0.25">
      <c r="B214">
        <v>-342</v>
      </c>
      <c r="C214">
        <v>-384</v>
      </c>
      <c r="D214">
        <v>1166</v>
      </c>
      <c r="E214">
        <v>6433</v>
      </c>
      <c r="F214">
        <v>688</v>
      </c>
      <c r="G214">
        <v>3286</v>
      </c>
      <c r="H214">
        <v>70</v>
      </c>
      <c r="I214">
        <v>176</v>
      </c>
      <c r="J214">
        <v>23630</v>
      </c>
      <c r="K214">
        <v>-33681</v>
      </c>
    </row>
    <row r="215" spans="2:11" x14ac:dyDescent="0.25">
      <c r="B215">
        <v>0</v>
      </c>
      <c r="C215">
        <v>8629</v>
      </c>
      <c r="D215">
        <v>-16852</v>
      </c>
      <c r="E215">
        <v>6295</v>
      </c>
      <c r="F215">
        <v>-17284</v>
      </c>
      <c r="G215">
        <v>12611</v>
      </c>
      <c r="H215">
        <v>-17722</v>
      </c>
      <c r="I215">
        <v>803</v>
      </c>
      <c r="J215">
        <v>-729</v>
      </c>
      <c r="K215">
        <v>-13118</v>
      </c>
    </row>
    <row r="216" spans="2:11" x14ac:dyDescent="0.25">
      <c r="B216">
        <v>-1955</v>
      </c>
      <c r="C216">
        <v>-6576</v>
      </c>
      <c r="D216">
        <v>-520</v>
      </c>
      <c r="E216">
        <v>-3129</v>
      </c>
      <c r="F216">
        <v>-309</v>
      </c>
      <c r="G216">
        <v>827</v>
      </c>
      <c r="H216">
        <v>0</v>
      </c>
      <c r="I216">
        <v>0</v>
      </c>
      <c r="J216">
        <v>0</v>
      </c>
      <c r="K216">
        <v>-1702</v>
      </c>
    </row>
    <row r="217" spans="2:11" x14ac:dyDescent="0.25">
      <c r="B217">
        <v>822</v>
      </c>
      <c r="C217">
        <v>-122</v>
      </c>
      <c r="D217">
        <v>9614</v>
      </c>
      <c r="E217">
        <v>-93</v>
      </c>
      <c r="F217">
        <v>-281</v>
      </c>
      <c r="G217">
        <v>780</v>
      </c>
      <c r="H217">
        <v>1885</v>
      </c>
      <c r="I217">
        <v>1916</v>
      </c>
      <c r="J217">
        <v>12605</v>
      </c>
      <c r="K217">
        <v>3272</v>
      </c>
    </row>
    <row r="218" spans="2:11" x14ac:dyDescent="0.25">
      <c r="B218">
        <v>171</v>
      </c>
      <c r="C218">
        <v>-478</v>
      </c>
      <c r="D218">
        <v>189</v>
      </c>
      <c r="E218">
        <v>-236</v>
      </c>
      <c r="F218">
        <v>-63</v>
      </c>
      <c r="G218">
        <v>156</v>
      </c>
      <c r="H218">
        <v>1744</v>
      </c>
      <c r="I218">
        <v>1208</v>
      </c>
      <c r="J218">
        <v>10282</v>
      </c>
      <c r="K218">
        <v>1833</v>
      </c>
    </row>
    <row r="219" spans="2:11" x14ac:dyDescent="0.25">
      <c r="B219">
        <v>-320</v>
      </c>
      <c r="C219">
        <v>213</v>
      </c>
      <c r="D219">
        <v>42394</v>
      </c>
      <c r="E219">
        <v>28094</v>
      </c>
      <c r="F219">
        <v>-30450</v>
      </c>
      <c r="G219">
        <v>0</v>
      </c>
      <c r="H219">
        <v>22203</v>
      </c>
      <c r="I219">
        <v>9692</v>
      </c>
      <c r="J219">
        <v>6680</v>
      </c>
      <c r="K219">
        <v>14170</v>
      </c>
    </row>
    <row r="220" spans="2:11" x14ac:dyDescent="0.25">
      <c r="B220">
        <v>1117</v>
      </c>
      <c r="C220">
        <v>-6657</v>
      </c>
      <c r="D220">
        <v>2871</v>
      </c>
      <c r="E220">
        <v>-1312</v>
      </c>
      <c r="F220">
        <v>-7234</v>
      </c>
      <c r="G220">
        <v>-935</v>
      </c>
      <c r="H220">
        <v>-3078</v>
      </c>
      <c r="I220">
        <v>-3161</v>
      </c>
      <c r="J220">
        <v>-2977</v>
      </c>
      <c r="K220">
        <v>908</v>
      </c>
    </row>
    <row r="221" spans="2:11" x14ac:dyDescent="0.25">
      <c r="B221">
        <v>2155</v>
      </c>
      <c r="C221">
        <v>0</v>
      </c>
      <c r="D221">
        <v>0</v>
      </c>
      <c r="E221">
        <v>0</v>
      </c>
      <c r="F221">
        <v>-10875</v>
      </c>
      <c r="G221">
        <v>-847</v>
      </c>
      <c r="H221">
        <v>1572</v>
      </c>
      <c r="I221">
        <v>-2016</v>
      </c>
      <c r="J221">
        <v>197</v>
      </c>
      <c r="K221">
        <v>-81</v>
      </c>
    </row>
    <row r="222" spans="2:11" x14ac:dyDescent="0.25">
      <c r="B222">
        <v>-544</v>
      </c>
      <c r="C222">
        <v>1475</v>
      </c>
      <c r="D222">
        <v>4975</v>
      </c>
      <c r="E222">
        <v>2932</v>
      </c>
      <c r="F222">
        <v>8358</v>
      </c>
      <c r="G222">
        <v>299</v>
      </c>
      <c r="H222">
        <v>-345</v>
      </c>
      <c r="I222">
        <v>142</v>
      </c>
      <c r="J222">
        <v>-247</v>
      </c>
      <c r="K222">
        <v>-232</v>
      </c>
    </row>
    <row r="223" spans="2:11" x14ac:dyDescent="0.25">
      <c r="B223">
        <v>-431</v>
      </c>
      <c r="C223">
        <v>1664</v>
      </c>
      <c r="D223">
        <v>4819</v>
      </c>
      <c r="E223">
        <v>1941</v>
      </c>
      <c r="F223">
        <v>6431</v>
      </c>
      <c r="G223">
        <v>-57</v>
      </c>
      <c r="H223">
        <v>525</v>
      </c>
      <c r="I223">
        <v>66459</v>
      </c>
      <c r="J223">
        <v>24097</v>
      </c>
      <c r="K223">
        <v>27746</v>
      </c>
    </row>
    <row r="224" spans="2:11" x14ac:dyDescent="0.25">
      <c r="B224">
        <v>3114</v>
      </c>
      <c r="C224">
        <v>0</v>
      </c>
      <c r="D224">
        <v>-238</v>
      </c>
      <c r="E224">
        <v>-216</v>
      </c>
      <c r="F224">
        <v>-963</v>
      </c>
      <c r="G224">
        <v>120</v>
      </c>
      <c r="H224">
        <v>-104</v>
      </c>
      <c r="I224">
        <v>1470</v>
      </c>
      <c r="J224">
        <v>2455</v>
      </c>
      <c r="K224">
        <v>1611</v>
      </c>
    </row>
    <row r="225" spans="2:11" x14ac:dyDescent="0.25">
      <c r="B225">
        <v>374</v>
      </c>
      <c r="C225">
        <v>-750</v>
      </c>
      <c r="D225">
        <v>142</v>
      </c>
      <c r="E225">
        <v>371</v>
      </c>
      <c r="F225">
        <v>1770</v>
      </c>
      <c r="G225">
        <v>-2106</v>
      </c>
      <c r="H225">
        <v>-3776</v>
      </c>
      <c r="I225">
        <v>0</v>
      </c>
      <c r="J225">
        <v>0</v>
      </c>
      <c r="K225">
        <v>0</v>
      </c>
    </row>
    <row r="226" spans="2:11" x14ac:dyDescent="0.25">
      <c r="B226">
        <v>629</v>
      </c>
      <c r="C226">
        <v>150</v>
      </c>
      <c r="D226">
        <v>243</v>
      </c>
      <c r="E226">
        <v>3</v>
      </c>
      <c r="F226">
        <v>-991</v>
      </c>
      <c r="G226">
        <v>2640</v>
      </c>
      <c r="H226">
        <v>425</v>
      </c>
      <c r="I226">
        <v>-244</v>
      </c>
      <c r="J226">
        <v>77</v>
      </c>
      <c r="K226">
        <v>-191</v>
      </c>
    </row>
    <row r="227" spans="2:11" x14ac:dyDescent="0.25">
      <c r="B227">
        <v>95</v>
      </c>
      <c r="C227">
        <v>-162</v>
      </c>
      <c r="D227">
        <v>1477</v>
      </c>
      <c r="E227">
        <v>581</v>
      </c>
      <c r="F227">
        <v>-1169</v>
      </c>
      <c r="G227">
        <v>462</v>
      </c>
      <c r="H227">
        <v>377</v>
      </c>
      <c r="I227">
        <v>-200</v>
      </c>
      <c r="J227">
        <v>14</v>
      </c>
      <c r="K227">
        <v>-37</v>
      </c>
    </row>
    <row r="228" spans="2:11" x14ac:dyDescent="0.25">
      <c r="B228">
        <v>13</v>
      </c>
      <c r="C228">
        <v>-1649</v>
      </c>
      <c r="D228">
        <v>3290</v>
      </c>
      <c r="E228">
        <v>8096</v>
      </c>
      <c r="F228">
        <v>4364</v>
      </c>
      <c r="G228">
        <v>-1295</v>
      </c>
      <c r="H228">
        <v>3616</v>
      </c>
      <c r="I228">
        <v>3460</v>
      </c>
      <c r="J228">
        <v>0</v>
      </c>
      <c r="K228">
        <v>-7222</v>
      </c>
    </row>
    <row r="229" spans="2:11" x14ac:dyDescent="0.25">
      <c r="B229">
        <v>-3813</v>
      </c>
      <c r="C229">
        <v>-1231</v>
      </c>
      <c r="D229">
        <v>-3000</v>
      </c>
      <c r="E229">
        <v>-2608</v>
      </c>
      <c r="F229">
        <v>1357</v>
      </c>
      <c r="G229">
        <v>18215</v>
      </c>
      <c r="H229">
        <v>4637</v>
      </c>
      <c r="I229">
        <v>4101</v>
      </c>
      <c r="J229">
        <v>-10485</v>
      </c>
      <c r="K229">
        <v>-9863</v>
      </c>
    </row>
    <row r="230" spans="2:11" x14ac:dyDescent="0.25">
      <c r="B230">
        <v>255</v>
      </c>
      <c r="C230">
        <v>-1346</v>
      </c>
      <c r="D230">
        <v>-11</v>
      </c>
      <c r="E230">
        <v>53</v>
      </c>
      <c r="F230">
        <v>0</v>
      </c>
      <c r="G230">
        <v>0</v>
      </c>
      <c r="H230">
        <v>0</v>
      </c>
      <c r="I230">
        <v>5729</v>
      </c>
      <c r="J230">
        <v>1167</v>
      </c>
      <c r="K230">
        <v>-231</v>
      </c>
    </row>
    <row r="231" spans="2:11" x14ac:dyDescent="0.25">
      <c r="B231">
        <v>1918</v>
      </c>
      <c r="C231">
        <v>149</v>
      </c>
      <c r="D231">
        <v>126</v>
      </c>
      <c r="E231">
        <v>5375</v>
      </c>
      <c r="F231">
        <v>933</v>
      </c>
      <c r="G231">
        <v>-201</v>
      </c>
      <c r="H231">
        <v>1542</v>
      </c>
      <c r="I231">
        <v>1404</v>
      </c>
      <c r="J231">
        <v>-181</v>
      </c>
      <c r="K231">
        <v>-55</v>
      </c>
    </row>
    <row r="232" spans="2:11" x14ac:dyDescent="0.25">
      <c r="B232">
        <v>344</v>
      </c>
      <c r="C232">
        <v>746</v>
      </c>
      <c r="D232">
        <v>858</v>
      </c>
      <c r="E232">
        <v>3660</v>
      </c>
      <c r="F232">
        <v>639</v>
      </c>
      <c r="G232">
        <v>-452</v>
      </c>
      <c r="H232">
        <v>1014</v>
      </c>
      <c r="I232">
        <v>718</v>
      </c>
      <c r="J232">
        <v>392</v>
      </c>
      <c r="K232">
        <v>-571</v>
      </c>
    </row>
    <row r="233" spans="2:11" x14ac:dyDescent="0.25">
      <c r="B233">
        <v>2448</v>
      </c>
      <c r="C233">
        <v>621</v>
      </c>
      <c r="D233">
        <v>-940</v>
      </c>
      <c r="E233">
        <v>275</v>
      </c>
      <c r="F233">
        <v>-912</v>
      </c>
      <c r="G233">
        <v>377</v>
      </c>
      <c r="H233">
        <v>0</v>
      </c>
      <c r="I233">
        <v>6400</v>
      </c>
      <c r="J233">
        <v>1048</v>
      </c>
      <c r="K233">
        <v>3957</v>
      </c>
    </row>
    <row r="234" spans="2:11" x14ac:dyDescent="0.25">
      <c r="B234">
        <v>198</v>
      </c>
      <c r="C234">
        <v>4143</v>
      </c>
      <c r="D234">
        <v>-3867</v>
      </c>
      <c r="E234">
        <v>6654</v>
      </c>
      <c r="F234">
        <v>2258</v>
      </c>
      <c r="G234">
        <v>-1348</v>
      </c>
      <c r="H234">
        <v>-7478</v>
      </c>
      <c r="I234">
        <v>-6238</v>
      </c>
      <c r="J234">
        <v>1033</v>
      </c>
      <c r="K234">
        <v>-1061</v>
      </c>
    </row>
    <row r="235" spans="2:11" x14ac:dyDescent="0.25">
      <c r="B235">
        <v>23</v>
      </c>
      <c r="C235">
        <v>19</v>
      </c>
      <c r="D235">
        <v>0</v>
      </c>
      <c r="E235">
        <v>0</v>
      </c>
      <c r="F235">
        <v>0</v>
      </c>
      <c r="G235">
        <v>-1436</v>
      </c>
      <c r="H235">
        <v>448</v>
      </c>
      <c r="I235">
        <v>426</v>
      </c>
      <c r="J235">
        <v>1307</v>
      </c>
      <c r="K235">
        <v>64</v>
      </c>
    </row>
    <row r="236" spans="2:11" x14ac:dyDescent="0.25">
      <c r="B236">
        <v>103</v>
      </c>
      <c r="C236">
        <v>1909</v>
      </c>
      <c r="D236">
        <v>1154</v>
      </c>
      <c r="E236">
        <v>1603</v>
      </c>
      <c r="F236">
        <v>3104</v>
      </c>
      <c r="G236">
        <v>3348</v>
      </c>
      <c r="H236">
        <v>97</v>
      </c>
      <c r="I236">
        <v>-101</v>
      </c>
      <c r="J236">
        <v>233</v>
      </c>
      <c r="K236">
        <v>186</v>
      </c>
    </row>
    <row r="237" spans="2:11" x14ac:dyDescent="0.25">
      <c r="B237">
        <v>266</v>
      </c>
      <c r="C237">
        <v>1239</v>
      </c>
      <c r="D237">
        <v>1041</v>
      </c>
      <c r="E237">
        <v>1368</v>
      </c>
      <c r="F237">
        <v>2308</v>
      </c>
      <c r="G237">
        <v>2296</v>
      </c>
      <c r="H237">
        <v>106</v>
      </c>
      <c r="I237">
        <v>90</v>
      </c>
      <c r="J237">
        <v>675</v>
      </c>
      <c r="K237">
        <v>823</v>
      </c>
    </row>
    <row r="238" spans="2:11" x14ac:dyDescent="0.25">
      <c r="B238">
        <v>959</v>
      </c>
      <c r="C238">
        <v>2092</v>
      </c>
      <c r="D238">
        <v>1819</v>
      </c>
      <c r="E238">
        <v>206</v>
      </c>
      <c r="F238">
        <v>47471</v>
      </c>
      <c r="G238">
        <v>0</v>
      </c>
      <c r="H238">
        <v>16524</v>
      </c>
      <c r="I238">
        <v>11398</v>
      </c>
      <c r="J238">
        <v>-15081</v>
      </c>
      <c r="K238">
        <v>20839</v>
      </c>
    </row>
    <row r="239" spans="2:11" x14ac:dyDescent="0.25">
      <c r="B239">
        <v>6084</v>
      </c>
      <c r="C239">
        <v>-7164</v>
      </c>
      <c r="D239">
        <v>4622</v>
      </c>
      <c r="E239">
        <v>1388</v>
      </c>
      <c r="F239">
        <v>-3330</v>
      </c>
      <c r="G239">
        <v>-10196</v>
      </c>
      <c r="H239">
        <v>-8572</v>
      </c>
      <c r="I239">
        <v>-1395</v>
      </c>
      <c r="J239">
        <v>-3382</v>
      </c>
      <c r="K239">
        <v>54</v>
      </c>
    </row>
    <row r="240" spans="2:11" x14ac:dyDescent="0.25">
      <c r="B240">
        <v>-89</v>
      </c>
      <c r="C240">
        <v>0</v>
      </c>
      <c r="D240">
        <v>0</v>
      </c>
      <c r="E240">
        <v>0</v>
      </c>
      <c r="F240">
        <v>-6310</v>
      </c>
      <c r="G240">
        <v>-252</v>
      </c>
      <c r="H240">
        <v>6481</v>
      </c>
      <c r="I240">
        <v>-2370</v>
      </c>
      <c r="J240">
        <v>-148</v>
      </c>
      <c r="K240">
        <v>-20</v>
      </c>
    </row>
    <row r="241" spans="2:11" x14ac:dyDescent="0.25">
      <c r="B241">
        <v>1231</v>
      </c>
      <c r="C241">
        <v>1540</v>
      </c>
      <c r="D241">
        <v>8829</v>
      </c>
      <c r="E241">
        <v>1010</v>
      </c>
      <c r="F241">
        <v>6382</v>
      </c>
      <c r="G241">
        <v>229</v>
      </c>
      <c r="H241">
        <v>-177</v>
      </c>
      <c r="I241">
        <v>140</v>
      </c>
      <c r="J241">
        <v>248</v>
      </c>
      <c r="K241">
        <v>188</v>
      </c>
    </row>
    <row r="242" spans="2:11" x14ac:dyDescent="0.25">
      <c r="B242">
        <v>950</v>
      </c>
      <c r="C242">
        <v>1493</v>
      </c>
      <c r="D242">
        <v>8915</v>
      </c>
      <c r="E242">
        <v>367</v>
      </c>
      <c r="F242">
        <v>4845</v>
      </c>
      <c r="G242">
        <v>475</v>
      </c>
      <c r="H242">
        <v>91</v>
      </c>
      <c r="I242">
        <v>623</v>
      </c>
      <c r="J242">
        <v>797</v>
      </c>
      <c r="K242">
        <v>6684</v>
      </c>
    </row>
    <row r="243" spans="2:11" x14ac:dyDescent="0.25">
      <c r="B243">
        <v>234</v>
      </c>
      <c r="C243">
        <v>4943</v>
      </c>
      <c r="D243">
        <v>236</v>
      </c>
      <c r="E243">
        <v>35463</v>
      </c>
      <c r="F243">
        <v>-22517</v>
      </c>
      <c r="G243">
        <v>0</v>
      </c>
      <c r="H243">
        <v>4933</v>
      </c>
      <c r="I243">
        <v>-25567</v>
      </c>
      <c r="J243">
        <v>9281</v>
      </c>
      <c r="K243">
        <v>-25982</v>
      </c>
    </row>
    <row r="244" spans="2:11" x14ac:dyDescent="0.25">
      <c r="B244">
        <v>12654</v>
      </c>
      <c r="C244">
        <v>-10744</v>
      </c>
      <c r="D244">
        <v>7159</v>
      </c>
      <c r="E244">
        <v>632</v>
      </c>
      <c r="F244">
        <v>-15327</v>
      </c>
      <c r="G244">
        <v>-10868</v>
      </c>
      <c r="H244">
        <v>-14021</v>
      </c>
      <c r="I244">
        <v>635</v>
      </c>
      <c r="J244">
        <v>-4477</v>
      </c>
      <c r="K244">
        <v>48</v>
      </c>
    </row>
    <row r="245" spans="2:11" x14ac:dyDescent="0.25">
      <c r="B245">
        <v>105</v>
      </c>
      <c r="C245">
        <v>0</v>
      </c>
      <c r="D245">
        <v>0</v>
      </c>
      <c r="E245">
        <v>0</v>
      </c>
      <c r="F245">
        <v>572</v>
      </c>
      <c r="G245">
        <v>1477</v>
      </c>
      <c r="H245">
        <v>-1225</v>
      </c>
      <c r="I245">
        <v>13080</v>
      </c>
      <c r="J245">
        <v>-17</v>
      </c>
      <c r="K245">
        <v>-338</v>
      </c>
    </row>
    <row r="246" spans="2:11" x14ac:dyDescent="0.25">
      <c r="B246">
        <v>3206</v>
      </c>
      <c r="C246">
        <v>2203</v>
      </c>
      <c r="D246">
        <v>888</v>
      </c>
      <c r="E246">
        <v>16623</v>
      </c>
      <c r="F246">
        <v>4110</v>
      </c>
      <c r="G246">
        <v>193</v>
      </c>
      <c r="H246">
        <v>-370</v>
      </c>
      <c r="I246">
        <v>278</v>
      </c>
      <c r="J246">
        <v>-74</v>
      </c>
      <c r="K246">
        <v>489</v>
      </c>
    </row>
    <row r="247" spans="2:11" x14ac:dyDescent="0.25">
      <c r="B247">
        <v>1913</v>
      </c>
      <c r="C247">
        <v>2116</v>
      </c>
      <c r="D247">
        <v>59</v>
      </c>
      <c r="E247">
        <v>13667</v>
      </c>
      <c r="F247">
        <v>2403</v>
      </c>
      <c r="G247">
        <v>-28</v>
      </c>
      <c r="H247">
        <v>-128</v>
      </c>
      <c r="I247">
        <v>556</v>
      </c>
      <c r="J247">
        <v>1967</v>
      </c>
      <c r="K247">
        <v>-352</v>
      </c>
    </row>
    <row r="248" spans="2:11" x14ac:dyDescent="0.25">
      <c r="B248">
        <v>13805</v>
      </c>
      <c r="C248">
        <v>1224</v>
      </c>
      <c r="D248">
        <v>83</v>
      </c>
      <c r="E248">
        <v>58133</v>
      </c>
      <c r="F248">
        <v>38700</v>
      </c>
      <c r="G248">
        <v>-14191</v>
      </c>
      <c r="H248">
        <v>0</v>
      </c>
      <c r="I248">
        <v>22067</v>
      </c>
      <c r="J248">
        <v>10486</v>
      </c>
      <c r="K248">
        <v>9780</v>
      </c>
    </row>
    <row r="249" spans="2:11" x14ac:dyDescent="0.25">
      <c r="B249">
        <v>14100</v>
      </c>
      <c r="C249">
        <v>-2281</v>
      </c>
      <c r="D249">
        <v>-8229</v>
      </c>
      <c r="E249">
        <v>8682</v>
      </c>
      <c r="F249">
        <v>794</v>
      </c>
      <c r="G249">
        <v>-5269</v>
      </c>
      <c r="H249">
        <v>-10295</v>
      </c>
      <c r="I249">
        <v>-12454</v>
      </c>
      <c r="J249">
        <v>-4219</v>
      </c>
      <c r="K249">
        <v>-6384</v>
      </c>
    </row>
    <row r="250" spans="2:11" x14ac:dyDescent="0.25">
      <c r="B250">
        <v>-28</v>
      </c>
      <c r="C250">
        <v>-94</v>
      </c>
      <c r="D250">
        <v>0</v>
      </c>
      <c r="E250">
        <v>0</v>
      </c>
      <c r="F250">
        <v>0</v>
      </c>
      <c r="G250">
        <v>-11047</v>
      </c>
      <c r="H250">
        <v>-608</v>
      </c>
      <c r="I250">
        <v>1247</v>
      </c>
      <c r="J250">
        <v>-1669</v>
      </c>
      <c r="K250">
        <v>426</v>
      </c>
    </row>
    <row r="251" spans="2:11" x14ac:dyDescent="0.25">
      <c r="B251">
        <v>-419</v>
      </c>
      <c r="C251">
        <v>2091</v>
      </c>
      <c r="D251">
        <v>2417</v>
      </c>
      <c r="E251">
        <v>5325</v>
      </c>
      <c r="F251">
        <v>4580</v>
      </c>
      <c r="G251">
        <v>11048</v>
      </c>
      <c r="H251">
        <v>320</v>
      </c>
      <c r="I251">
        <v>-573</v>
      </c>
      <c r="J251">
        <v>244</v>
      </c>
      <c r="K251">
        <v>301</v>
      </c>
    </row>
    <row r="252" spans="2:11" x14ac:dyDescent="0.25">
      <c r="B252">
        <v>197</v>
      </c>
      <c r="C252">
        <v>1439</v>
      </c>
      <c r="D252">
        <v>2512</v>
      </c>
      <c r="E252">
        <v>5068</v>
      </c>
      <c r="F252">
        <v>3036</v>
      </c>
      <c r="G252">
        <v>8425</v>
      </c>
      <c r="H252">
        <v>374</v>
      </c>
      <c r="I252">
        <v>-193</v>
      </c>
      <c r="J252">
        <v>294</v>
      </c>
      <c r="K252">
        <v>1586</v>
      </c>
    </row>
    <row r="253" spans="2:11" x14ac:dyDescent="0.25">
      <c r="B253">
        <v>3934</v>
      </c>
      <c r="C253">
        <v>2274</v>
      </c>
      <c r="D253">
        <v>8101</v>
      </c>
      <c r="E253">
        <v>-107</v>
      </c>
      <c r="F253">
        <v>74034</v>
      </c>
      <c r="G253">
        <v>36651</v>
      </c>
      <c r="H253">
        <v>37315</v>
      </c>
      <c r="I253">
        <v>26565</v>
      </c>
      <c r="J253">
        <v>0</v>
      </c>
      <c r="K253">
        <v>971</v>
      </c>
    </row>
    <row r="254" spans="2:11" x14ac:dyDescent="0.25">
      <c r="B254">
        <v>246</v>
      </c>
      <c r="C254">
        <v>918</v>
      </c>
      <c r="D254">
        <v>-315</v>
      </c>
      <c r="E254">
        <v>570</v>
      </c>
      <c r="F254">
        <v>-438</v>
      </c>
      <c r="G254">
        <v>226</v>
      </c>
      <c r="H254">
        <v>-180</v>
      </c>
      <c r="I254">
        <v>-266</v>
      </c>
      <c r="J254">
        <v>-235</v>
      </c>
      <c r="K254">
        <v>-428</v>
      </c>
    </row>
    <row r="255" spans="2:11" x14ac:dyDescent="0.25">
      <c r="B255">
        <v>37</v>
      </c>
      <c r="C255">
        <v>1220</v>
      </c>
      <c r="D255">
        <v>89</v>
      </c>
      <c r="E255">
        <v>55</v>
      </c>
      <c r="F255">
        <v>0</v>
      </c>
      <c r="G255">
        <v>0</v>
      </c>
      <c r="H255">
        <v>0</v>
      </c>
      <c r="I255">
        <v>-284</v>
      </c>
      <c r="J255">
        <v>44</v>
      </c>
      <c r="K255">
        <v>-44</v>
      </c>
    </row>
    <row r="256" spans="2:11" x14ac:dyDescent="0.25">
      <c r="B256">
        <v>91</v>
      </c>
      <c r="C256">
        <v>-200</v>
      </c>
      <c r="D256">
        <v>589</v>
      </c>
      <c r="E256">
        <v>17</v>
      </c>
      <c r="F256">
        <v>32</v>
      </c>
      <c r="G256">
        <v>39</v>
      </c>
      <c r="H256">
        <v>276</v>
      </c>
      <c r="I256">
        <v>288</v>
      </c>
      <c r="J256">
        <v>-15</v>
      </c>
      <c r="K256">
        <v>266</v>
      </c>
    </row>
    <row r="257" spans="2:11" x14ac:dyDescent="0.25">
      <c r="B257">
        <v>172</v>
      </c>
      <c r="C257">
        <v>-280</v>
      </c>
      <c r="D257">
        <v>44</v>
      </c>
      <c r="E257">
        <v>21</v>
      </c>
      <c r="F257">
        <v>45</v>
      </c>
      <c r="G257">
        <v>15</v>
      </c>
      <c r="H257">
        <v>250</v>
      </c>
      <c r="I257">
        <v>204</v>
      </c>
      <c r="J257">
        <v>-400</v>
      </c>
      <c r="K257">
        <v>759</v>
      </c>
    </row>
    <row r="258" spans="2:11" x14ac:dyDescent="0.25">
      <c r="B258">
        <v>52</v>
      </c>
      <c r="C258">
        <v>42</v>
      </c>
      <c r="D258">
        <v>-4</v>
      </c>
      <c r="E258">
        <v>212</v>
      </c>
      <c r="F258">
        <v>225</v>
      </c>
      <c r="G258">
        <v>329</v>
      </c>
      <c r="H258">
        <v>-388</v>
      </c>
      <c r="I258">
        <v>-1535</v>
      </c>
      <c r="J258">
        <v>427</v>
      </c>
      <c r="K258">
        <v>-38</v>
      </c>
    </row>
    <row r="259" spans="2:11" x14ac:dyDescent="0.25">
      <c r="B259">
        <v>-32</v>
      </c>
      <c r="C259">
        <v>0</v>
      </c>
      <c r="D259">
        <v>50</v>
      </c>
      <c r="E259">
        <v>479</v>
      </c>
      <c r="F259">
        <v>-475</v>
      </c>
      <c r="G259">
        <v>286</v>
      </c>
      <c r="H259">
        <v>225</v>
      </c>
      <c r="I259">
        <v>-75</v>
      </c>
      <c r="J259">
        <v>577</v>
      </c>
      <c r="K259">
        <v>855</v>
      </c>
    </row>
    <row r="260" spans="2:11" x14ac:dyDescent="0.25">
      <c r="B260">
        <v>640</v>
      </c>
      <c r="C260">
        <v>-902</v>
      </c>
      <c r="D260">
        <v>750</v>
      </c>
      <c r="E260">
        <v>272</v>
      </c>
      <c r="F260">
        <v>355</v>
      </c>
      <c r="G260">
        <v>64</v>
      </c>
      <c r="H260">
        <v>63</v>
      </c>
      <c r="I260">
        <v>0</v>
      </c>
      <c r="J260">
        <v>0</v>
      </c>
      <c r="K260">
        <v>0</v>
      </c>
    </row>
    <row r="261" spans="2:11" x14ac:dyDescent="0.25">
      <c r="B261">
        <v>209</v>
      </c>
      <c r="C261">
        <v>43</v>
      </c>
      <c r="D261">
        <v>140</v>
      </c>
      <c r="E261">
        <v>-113</v>
      </c>
      <c r="F261">
        <v>-194</v>
      </c>
      <c r="G261">
        <v>497</v>
      </c>
      <c r="H261">
        <v>199</v>
      </c>
      <c r="I261">
        <v>19</v>
      </c>
      <c r="J261">
        <v>115</v>
      </c>
      <c r="K261">
        <v>-163</v>
      </c>
    </row>
    <row r="262" spans="2:11" x14ac:dyDescent="0.25">
      <c r="B262">
        <v>45</v>
      </c>
      <c r="C262">
        <v>-27</v>
      </c>
      <c r="D262">
        <v>216</v>
      </c>
      <c r="E262">
        <v>145</v>
      </c>
      <c r="F262">
        <v>-200</v>
      </c>
      <c r="G262">
        <v>48</v>
      </c>
      <c r="H262">
        <v>127</v>
      </c>
      <c r="I262">
        <v>-24</v>
      </c>
      <c r="J262">
        <v>93</v>
      </c>
      <c r="K262">
        <v>-141</v>
      </c>
    </row>
    <row r="263" spans="2:11" x14ac:dyDescent="0.25">
      <c r="B263">
        <v>-29</v>
      </c>
      <c r="C263">
        <v>-329</v>
      </c>
      <c r="D263">
        <v>607</v>
      </c>
      <c r="E263">
        <v>137</v>
      </c>
      <c r="F263">
        <v>15</v>
      </c>
      <c r="G263">
        <v>75</v>
      </c>
      <c r="H263">
        <v>-129</v>
      </c>
      <c r="I263">
        <v>-28</v>
      </c>
      <c r="J263">
        <v>296</v>
      </c>
      <c r="K263">
        <v>46</v>
      </c>
    </row>
    <row r="264" spans="2:11" x14ac:dyDescent="0.25">
      <c r="B264">
        <v>-982</v>
      </c>
      <c r="C264">
        <v>-3067</v>
      </c>
      <c r="D264">
        <v>-868</v>
      </c>
      <c r="E264">
        <v>633</v>
      </c>
      <c r="F264">
        <v>-72974</v>
      </c>
      <c r="G264">
        <v>0</v>
      </c>
      <c r="H264">
        <v>-1471</v>
      </c>
      <c r="I264">
        <v>-856</v>
      </c>
      <c r="J264">
        <v>-1687</v>
      </c>
      <c r="K264">
        <v>786</v>
      </c>
    </row>
    <row r="265" spans="2:11" x14ac:dyDescent="0.25">
      <c r="B265">
        <v>-1856</v>
      </c>
      <c r="C265">
        <v>892</v>
      </c>
      <c r="D265">
        <v>429</v>
      </c>
      <c r="E265">
        <v>1343</v>
      </c>
      <c r="F265">
        <v>923</v>
      </c>
      <c r="G265">
        <v>-1192</v>
      </c>
      <c r="H265">
        <v>-412</v>
      </c>
      <c r="I265">
        <v>2697</v>
      </c>
      <c r="J265">
        <v>1150</v>
      </c>
      <c r="K265">
        <v>-41</v>
      </c>
    </row>
    <row r="266" spans="2:11" x14ac:dyDescent="0.25">
      <c r="B266">
        <v>-30</v>
      </c>
      <c r="C266">
        <v>0</v>
      </c>
      <c r="D266">
        <v>0</v>
      </c>
      <c r="E266">
        <v>0</v>
      </c>
      <c r="F266">
        <v>517</v>
      </c>
      <c r="G266">
        <v>23</v>
      </c>
      <c r="H266">
        <v>46</v>
      </c>
      <c r="I266">
        <v>-321</v>
      </c>
      <c r="J266">
        <v>67</v>
      </c>
      <c r="K266">
        <v>29</v>
      </c>
    </row>
    <row r="267" spans="2:11" x14ac:dyDescent="0.25">
      <c r="B267">
        <v>253</v>
      </c>
      <c r="C267">
        <v>-92</v>
      </c>
      <c r="D267">
        <v>-71</v>
      </c>
      <c r="E267">
        <v>-590</v>
      </c>
      <c r="F267">
        <v>-287</v>
      </c>
      <c r="G267">
        <v>11</v>
      </c>
      <c r="H267">
        <v>3</v>
      </c>
      <c r="I267">
        <v>4</v>
      </c>
      <c r="J267">
        <v>108</v>
      </c>
      <c r="K267">
        <v>37</v>
      </c>
    </row>
    <row r="268" spans="2:11" x14ac:dyDescent="0.25">
      <c r="B268">
        <v>202</v>
      </c>
      <c r="C268">
        <v>-113</v>
      </c>
      <c r="D268">
        <v>-21</v>
      </c>
      <c r="E268">
        <v>-455</v>
      </c>
      <c r="F268">
        <v>-215</v>
      </c>
      <c r="G268">
        <v>213</v>
      </c>
      <c r="H268">
        <v>-184</v>
      </c>
      <c r="I268">
        <v>119</v>
      </c>
      <c r="J268">
        <v>-160</v>
      </c>
      <c r="K268">
        <v>-164</v>
      </c>
    </row>
    <row r="269" spans="2:11" x14ac:dyDescent="0.25">
      <c r="B269">
        <v>-559</v>
      </c>
      <c r="C269">
        <v>-321</v>
      </c>
      <c r="D269">
        <v>20</v>
      </c>
      <c r="E269">
        <v>-1446</v>
      </c>
      <c r="F269">
        <v>1553</v>
      </c>
      <c r="G269">
        <v>5391</v>
      </c>
      <c r="H269">
        <v>2556</v>
      </c>
      <c r="I269">
        <v>-6143</v>
      </c>
      <c r="J269">
        <v>-20957</v>
      </c>
      <c r="K269">
        <v>-15740</v>
      </c>
    </row>
    <row r="270" spans="2:11" x14ac:dyDescent="0.25">
      <c r="B270">
        <v>0</v>
      </c>
      <c r="C270">
        <v>-1494</v>
      </c>
      <c r="D270">
        <v>-1397</v>
      </c>
      <c r="E270">
        <v>-1004</v>
      </c>
      <c r="F270">
        <v>-168</v>
      </c>
      <c r="G270">
        <v>-523</v>
      </c>
      <c r="H270">
        <v>403</v>
      </c>
      <c r="I270">
        <v>2135</v>
      </c>
      <c r="J270">
        <v>824</v>
      </c>
      <c r="K270">
        <v>465</v>
      </c>
    </row>
    <row r="271" spans="2:11" x14ac:dyDescent="0.25">
      <c r="B271">
        <v>-1245</v>
      </c>
      <c r="C271">
        <v>-1539</v>
      </c>
      <c r="D271">
        <v>899</v>
      </c>
      <c r="E271">
        <v>1773</v>
      </c>
      <c r="F271">
        <v>103</v>
      </c>
      <c r="G271">
        <v>104</v>
      </c>
      <c r="H271">
        <v>0</v>
      </c>
      <c r="I271">
        <v>0</v>
      </c>
      <c r="J271">
        <v>0</v>
      </c>
      <c r="K271">
        <v>1075</v>
      </c>
    </row>
    <row r="272" spans="2:11" x14ac:dyDescent="0.25">
      <c r="B272">
        <v>206</v>
      </c>
      <c r="C272">
        <v>61</v>
      </c>
      <c r="D272">
        <v>233</v>
      </c>
      <c r="E272">
        <v>-268</v>
      </c>
      <c r="F272">
        <v>840</v>
      </c>
      <c r="G272">
        <v>655</v>
      </c>
      <c r="H272">
        <v>-32</v>
      </c>
      <c r="I272">
        <v>-76</v>
      </c>
      <c r="J272">
        <v>-17</v>
      </c>
      <c r="K272">
        <v>-113</v>
      </c>
    </row>
    <row r="273" spans="2:11" x14ac:dyDescent="0.25">
      <c r="B273">
        <v>-74</v>
      </c>
      <c r="C273">
        <v>390</v>
      </c>
      <c r="D273">
        <v>251</v>
      </c>
      <c r="E273">
        <v>-273</v>
      </c>
      <c r="F273">
        <v>166</v>
      </c>
      <c r="G273">
        <v>503</v>
      </c>
      <c r="H273">
        <v>-44</v>
      </c>
      <c r="I273">
        <v>-85</v>
      </c>
      <c r="J273">
        <v>33</v>
      </c>
      <c r="K273">
        <v>-113</v>
      </c>
    </row>
    <row r="274" spans="2:11" x14ac:dyDescent="0.25">
      <c r="B274">
        <v>-454</v>
      </c>
      <c r="C274">
        <v>908</v>
      </c>
      <c r="D274">
        <v>414</v>
      </c>
      <c r="E274">
        <v>-20</v>
      </c>
      <c r="F274">
        <v>-221</v>
      </c>
      <c r="G274">
        <v>-101</v>
      </c>
      <c r="H274">
        <v>-297</v>
      </c>
      <c r="I274">
        <v>500</v>
      </c>
      <c r="J274">
        <v>10555</v>
      </c>
      <c r="K274">
        <v>4278</v>
      </c>
    </row>
    <row r="275" spans="2:11" x14ac:dyDescent="0.25">
      <c r="B275">
        <v>4796</v>
      </c>
      <c r="C275">
        <v>4222</v>
      </c>
      <c r="D275">
        <v>5783</v>
      </c>
      <c r="E275">
        <v>-4959</v>
      </c>
      <c r="F275">
        <v>-3604</v>
      </c>
      <c r="G275">
        <v>-10718</v>
      </c>
      <c r="H275">
        <v>0</v>
      </c>
      <c r="I275">
        <v>-1071</v>
      </c>
      <c r="J275">
        <v>-118</v>
      </c>
      <c r="K275">
        <v>252</v>
      </c>
    </row>
    <row r="276" spans="2:11" x14ac:dyDescent="0.25">
      <c r="B276">
        <v>-756</v>
      </c>
      <c r="C276">
        <v>315</v>
      </c>
      <c r="D276">
        <v>838</v>
      </c>
      <c r="E276">
        <v>-518</v>
      </c>
      <c r="F276">
        <v>305</v>
      </c>
      <c r="G276">
        <v>-51</v>
      </c>
      <c r="H276">
        <v>505</v>
      </c>
      <c r="I276">
        <v>-88</v>
      </c>
      <c r="J276">
        <v>598</v>
      </c>
      <c r="K276">
        <v>-956</v>
      </c>
    </row>
    <row r="277" spans="2:11" x14ac:dyDescent="0.25">
      <c r="B277">
        <v>-3060</v>
      </c>
      <c r="C277">
        <v>-2463</v>
      </c>
      <c r="D277">
        <v>0</v>
      </c>
      <c r="E277">
        <v>0</v>
      </c>
      <c r="F277">
        <v>0</v>
      </c>
      <c r="G277">
        <v>86</v>
      </c>
      <c r="H277">
        <v>-163</v>
      </c>
      <c r="I277">
        <v>-1127</v>
      </c>
      <c r="J277">
        <v>153</v>
      </c>
      <c r="K277">
        <v>8315</v>
      </c>
    </row>
    <row r="278" spans="2:11" x14ac:dyDescent="0.25">
      <c r="B278">
        <v>-21045</v>
      </c>
      <c r="C278">
        <v>-413</v>
      </c>
      <c r="D278">
        <v>1304</v>
      </c>
      <c r="E278">
        <v>-295</v>
      </c>
      <c r="F278">
        <v>288</v>
      </c>
      <c r="G278">
        <v>-1193</v>
      </c>
      <c r="H278">
        <v>1426</v>
      </c>
      <c r="I278">
        <v>-9440</v>
      </c>
      <c r="J278">
        <v>-5686</v>
      </c>
      <c r="K278">
        <v>10966</v>
      </c>
    </row>
    <row r="279" spans="2:11" x14ac:dyDescent="0.25">
      <c r="B279">
        <v>-918</v>
      </c>
      <c r="C279">
        <v>-1096</v>
      </c>
      <c r="D279">
        <v>969</v>
      </c>
      <c r="E279">
        <v>61</v>
      </c>
      <c r="F279">
        <v>-633</v>
      </c>
      <c r="G279">
        <v>-932</v>
      </c>
      <c r="H279">
        <v>16348</v>
      </c>
      <c r="I279">
        <v>-28047</v>
      </c>
      <c r="J279">
        <v>-1812</v>
      </c>
      <c r="K279">
        <v>-506</v>
      </c>
    </row>
    <row r="280" spans="2:11" x14ac:dyDescent="0.25">
      <c r="B280">
        <v>-577</v>
      </c>
      <c r="C280">
        <v>-942</v>
      </c>
      <c r="D280">
        <v>-1349</v>
      </c>
      <c r="E280">
        <v>-11430</v>
      </c>
      <c r="F280">
        <v>1124</v>
      </c>
      <c r="G280">
        <v>-439</v>
      </c>
      <c r="H280">
        <v>-120</v>
      </c>
      <c r="I280">
        <v>171</v>
      </c>
      <c r="J280">
        <v>799</v>
      </c>
      <c r="K280">
        <v>-2623</v>
      </c>
    </row>
    <row r="281" spans="2:11" x14ac:dyDescent="0.25">
      <c r="B281">
        <v>-2206</v>
      </c>
      <c r="C281">
        <v>682</v>
      </c>
      <c r="D281">
        <v>-3267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-592</v>
      </c>
      <c r="E287">
        <v>-23</v>
      </c>
      <c r="F287">
        <v>459</v>
      </c>
      <c r="G287">
        <v>-893</v>
      </c>
      <c r="H287">
        <v>31</v>
      </c>
      <c r="I287">
        <v>179</v>
      </c>
      <c r="J287">
        <v>183</v>
      </c>
      <c r="K287">
        <v>-463</v>
      </c>
    </row>
    <row r="288" spans="2:11" x14ac:dyDescent="0.25">
      <c r="B288">
        <v>-334</v>
      </c>
      <c r="C288">
        <v>-212</v>
      </c>
      <c r="D288">
        <v>-53</v>
      </c>
      <c r="E288">
        <v>475</v>
      </c>
      <c r="F288">
        <v>-419</v>
      </c>
      <c r="G288">
        <v>-321</v>
      </c>
      <c r="H288">
        <v>-105</v>
      </c>
      <c r="I288">
        <v>0</v>
      </c>
      <c r="J288">
        <v>0</v>
      </c>
      <c r="K288">
        <v>0</v>
      </c>
    </row>
    <row r="289" spans="2:11" x14ac:dyDescent="0.25">
      <c r="B289">
        <v>-247</v>
      </c>
      <c r="C289">
        <v>1331</v>
      </c>
      <c r="D289">
        <v>-528</v>
      </c>
      <c r="E289">
        <v>-287</v>
      </c>
      <c r="F289">
        <v>2857</v>
      </c>
      <c r="G289">
        <v>-11339</v>
      </c>
      <c r="H289">
        <v>-31</v>
      </c>
      <c r="I289">
        <v>226</v>
      </c>
      <c r="J289">
        <v>-195</v>
      </c>
      <c r="K289">
        <v>144</v>
      </c>
    </row>
    <row r="290" spans="2:11" x14ac:dyDescent="0.25">
      <c r="B290">
        <v>-265</v>
      </c>
      <c r="C290">
        <v>250</v>
      </c>
      <c r="D290">
        <v>-1633</v>
      </c>
      <c r="E290">
        <v>-949</v>
      </c>
      <c r="F290">
        <v>1843</v>
      </c>
      <c r="G290">
        <v>-178</v>
      </c>
      <c r="H290">
        <v>-180</v>
      </c>
      <c r="I290">
        <v>156</v>
      </c>
      <c r="J290">
        <v>-163</v>
      </c>
      <c r="K290">
        <v>-40</v>
      </c>
    </row>
    <row r="291" spans="2:11" x14ac:dyDescent="0.25">
      <c r="B291">
        <v>-216</v>
      </c>
      <c r="C291">
        <v>2746</v>
      </c>
      <c r="D291">
        <v>-4741</v>
      </c>
      <c r="E291">
        <v>-307</v>
      </c>
      <c r="F291">
        <v>-60</v>
      </c>
      <c r="G291">
        <v>-206</v>
      </c>
      <c r="H291">
        <v>-86</v>
      </c>
      <c r="I291">
        <v>-318</v>
      </c>
      <c r="J291">
        <v>-1960</v>
      </c>
      <c r="K291">
        <v>238</v>
      </c>
    </row>
    <row r="292" spans="2:11" x14ac:dyDescent="0.25">
      <c r="B292">
        <v>-74</v>
      </c>
      <c r="C292">
        <v>-207</v>
      </c>
      <c r="D292">
        <v>146</v>
      </c>
      <c r="E292">
        <v>55</v>
      </c>
      <c r="F292">
        <v>-442</v>
      </c>
      <c r="G292">
        <v>-379</v>
      </c>
      <c r="H292">
        <v>107</v>
      </c>
      <c r="I292">
        <v>-554</v>
      </c>
      <c r="J292">
        <v>16900</v>
      </c>
      <c r="K292">
        <v>0</v>
      </c>
    </row>
    <row r="293" spans="2:11" x14ac:dyDescent="0.25">
      <c r="B293">
        <v>0</v>
      </c>
      <c r="C293">
        <v>-485</v>
      </c>
      <c r="D293">
        <v>-90</v>
      </c>
      <c r="E293">
        <v>444</v>
      </c>
      <c r="F293">
        <v>-597</v>
      </c>
      <c r="G293">
        <v>364</v>
      </c>
      <c r="H293">
        <v>430</v>
      </c>
      <c r="I293">
        <v>572</v>
      </c>
      <c r="J293">
        <v>213</v>
      </c>
      <c r="K293">
        <v>-294</v>
      </c>
    </row>
    <row r="294" spans="2:11" x14ac:dyDescent="0.25">
      <c r="B294">
        <v>-147</v>
      </c>
      <c r="C294">
        <v>14</v>
      </c>
      <c r="D294">
        <v>347</v>
      </c>
      <c r="E294">
        <v>-671</v>
      </c>
      <c r="F294">
        <v>-177</v>
      </c>
      <c r="G294">
        <v>-497</v>
      </c>
      <c r="H294">
        <v>0</v>
      </c>
      <c r="I294">
        <v>0</v>
      </c>
      <c r="J294">
        <v>0</v>
      </c>
      <c r="K294">
        <v>321</v>
      </c>
    </row>
    <row r="295" spans="2:11" x14ac:dyDescent="0.25">
      <c r="B295">
        <v>1642</v>
      </c>
      <c r="C295">
        <v>-1189</v>
      </c>
      <c r="D295">
        <v>379</v>
      </c>
      <c r="E295">
        <v>1873</v>
      </c>
      <c r="F295">
        <v>-9470</v>
      </c>
      <c r="G295">
        <v>50</v>
      </c>
      <c r="H295">
        <v>32</v>
      </c>
      <c r="I295">
        <v>-179</v>
      </c>
      <c r="J295">
        <v>42</v>
      </c>
      <c r="K295">
        <v>-184</v>
      </c>
    </row>
    <row r="296" spans="2:11" x14ac:dyDescent="0.25">
      <c r="B296">
        <v>48</v>
      </c>
      <c r="C296">
        <v>-334</v>
      </c>
      <c r="D296">
        <v>-222</v>
      </c>
      <c r="E296">
        <v>403</v>
      </c>
      <c r="F296">
        <v>-17</v>
      </c>
      <c r="G296">
        <v>1</v>
      </c>
      <c r="H296">
        <v>16</v>
      </c>
      <c r="I296">
        <v>-191</v>
      </c>
      <c r="J296">
        <v>-6</v>
      </c>
      <c r="K296">
        <v>-153</v>
      </c>
    </row>
    <row r="297" spans="2:11" x14ac:dyDescent="0.25">
      <c r="B297">
        <v>598</v>
      </c>
      <c r="C297">
        <v>-1026</v>
      </c>
      <c r="D297">
        <v>-37</v>
      </c>
      <c r="E297">
        <v>-24</v>
      </c>
      <c r="F297">
        <v>-176</v>
      </c>
      <c r="G297">
        <v>-22</v>
      </c>
      <c r="H297">
        <v>-202</v>
      </c>
      <c r="I297">
        <v>-397</v>
      </c>
      <c r="J297">
        <v>182</v>
      </c>
      <c r="K297">
        <v>12</v>
      </c>
    </row>
    <row r="298" spans="2:11" x14ac:dyDescent="0.25">
      <c r="B298">
        <v>-174</v>
      </c>
      <c r="C298">
        <v>96</v>
      </c>
      <c r="D298">
        <v>-88</v>
      </c>
      <c r="E298">
        <v>-102</v>
      </c>
      <c r="F298">
        <v>-79</v>
      </c>
      <c r="G298">
        <v>21</v>
      </c>
      <c r="H298">
        <v>-111</v>
      </c>
      <c r="I298">
        <v>3658</v>
      </c>
      <c r="J298">
        <v>0</v>
      </c>
      <c r="K298">
        <v>22263</v>
      </c>
    </row>
    <row r="299" spans="2:11" x14ac:dyDescent="0.25">
      <c r="B299">
        <v>0</v>
      </c>
      <c r="C299">
        <v>-432</v>
      </c>
      <c r="D299">
        <v>729</v>
      </c>
      <c r="E299">
        <v>232</v>
      </c>
      <c r="F299">
        <v>-297</v>
      </c>
      <c r="G299">
        <v>124</v>
      </c>
      <c r="H299">
        <v>401</v>
      </c>
      <c r="I299">
        <v>873</v>
      </c>
      <c r="J299">
        <v>97</v>
      </c>
      <c r="K299">
        <v>437</v>
      </c>
    </row>
    <row r="300" spans="2:11" x14ac:dyDescent="0.25">
      <c r="B300">
        <v>142</v>
      </c>
      <c r="C300">
        <v>102</v>
      </c>
      <c r="D300">
        <v>-70</v>
      </c>
      <c r="E300">
        <v>-517</v>
      </c>
      <c r="F300">
        <v>-606</v>
      </c>
      <c r="G300">
        <v>-448</v>
      </c>
      <c r="H300">
        <v>0</v>
      </c>
      <c r="I300">
        <v>0</v>
      </c>
      <c r="J300">
        <v>0</v>
      </c>
      <c r="K300">
        <v>173</v>
      </c>
    </row>
    <row r="301" spans="2:11" x14ac:dyDescent="0.25">
      <c r="B301">
        <v>700</v>
      </c>
      <c r="C301">
        <v>97</v>
      </c>
      <c r="D301">
        <v>-708</v>
      </c>
      <c r="E301">
        <v>2473</v>
      </c>
      <c r="F301">
        <v>-7413</v>
      </c>
      <c r="G301">
        <v>75</v>
      </c>
      <c r="H301">
        <v>331</v>
      </c>
      <c r="I301">
        <v>-126</v>
      </c>
      <c r="J301">
        <v>-97</v>
      </c>
      <c r="K301">
        <v>-268</v>
      </c>
    </row>
    <row r="302" spans="2:11" x14ac:dyDescent="0.25">
      <c r="B302">
        <v>328</v>
      </c>
      <c r="C302">
        <v>-2258</v>
      </c>
      <c r="D302">
        <v>-1335</v>
      </c>
      <c r="E302">
        <v>2624</v>
      </c>
      <c r="F302">
        <v>-203</v>
      </c>
      <c r="G302">
        <v>-159</v>
      </c>
      <c r="H302">
        <v>232</v>
      </c>
      <c r="I302">
        <v>-56</v>
      </c>
      <c r="J302">
        <v>-305</v>
      </c>
      <c r="K302">
        <v>-228</v>
      </c>
    </row>
    <row r="303" spans="2:11" x14ac:dyDescent="0.25">
      <c r="B303">
        <v>3871</v>
      </c>
      <c r="C303">
        <v>-6663</v>
      </c>
      <c r="D303">
        <v>-326</v>
      </c>
      <c r="E303">
        <v>-92</v>
      </c>
      <c r="F303">
        <v>-177</v>
      </c>
      <c r="G303">
        <v>-391</v>
      </c>
      <c r="H303">
        <v>-357</v>
      </c>
      <c r="I303">
        <v>-2707</v>
      </c>
      <c r="J303">
        <v>462</v>
      </c>
      <c r="K303">
        <v>-62</v>
      </c>
    </row>
    <row r="304" spans="2:11" x14ac:dyDescent="0.25">
      <c r="B304">
        <v>-28</v>
      </c>
      <c r="C304">
        <v>-137</v>
      </c>
      <c r="D304">
        <v>232</v>
      </c>
      <c r="E304">
        <v>-626</v>
      </c>
      <c r="F304">
        <v>-513</v>
      </c>
      <c r="G304">
        <v>155</v>
      </c>
      <c r="H304">
        <v>-768</v>
      </c>
      <c r="I304">
        <v>23711</v>
      </c>
      <c r="J304">
        <v>0</v>
      </c>
      <c r="K304">
        <v>44494</v>
      </c>
    </row>
    <row r="305" spans="2:11" x14ac:dyDescent="0.25">
      <c r="B305">
        <v>33239</v>
      </c>
      <c r="C305">
        <v>0</v>
      </c>
      <c r="D305">
        <v>-778</v>
      </c>
      <c r="E305">
        <v>48</v>
      </c>
      <c r="F305">
        <v>-70</v>
      </c>
      <c r="G305">
        <v>-240</v>
      </c>
      <c r="H305">
        <v>-312</v>
      </c>
      <c r="I305">
        <v>793</v>
      </c>
      <c r="J305">
        <v>-36</v>
      </c>
      <c r="K305">
        <v>75</v>
      </c>
    </row>
    <row r="306" spans="2:11" x14ac:dyDescent="0.25">
      <c r="B306">
        <v>100</v>
      </c>
      <c r="C306">
        <v>237</v>
      </c>
      <c r="D306">
        <v>87</v>
      </c>
      <c r="E306">
        <v>-164</v>
      </c>
      <c r="F306">
        <v>-663</v>
      </c>
      <c r="G306">
        <v>-557</v>
      </c>
      <c r="H306">
        <v>-241</v>
      </c>
      <c r="I306">
        <v>0</v>
      </c>
      <c r="J306">
        <v>0</v>
      </c>
      <c r="K306">
        <v>0</v>
      </c>
    </row>
    <row r="307" spans="2:11" x14ac:dyDescent="0.25">
      <c r="B307">
        <v>-338</v>
      </c>
      <c r="C307">
        <v>776</v>
      </c>
      <c r="D307">
        <v>98</v>
      </c>
      <c r="E307">
        <v>-1099</v>
      </c>
      <c r="F307">
        <v>2709</v>
      </c>
      <c r="G307">
        <v>-9427</v>
      </c>
      <c r="H307">
        <v>-66</v>
      </c>
      <c r="I307">
        <v>228</v>
      </c>
      <c r="J307">
        <v>-175</v>
      </c>
      <c r="K307">
        <v>-94</v>
      </c>
    </row>
    <row r="308" spans="2:11" x14ac:dyDescent="0.25">
      <c r="B308">
        <v>-371</v>
      </c>
      <c r="C308">
        <v>288</v>
      </c>
      <c r="D308">
        <v>-2015</v>
      </c>
      <c r="E308">
        <v>-1208</v>
      </c>
      <c r="F308">
        <v>2317</v>
      </c>
      <c r="G308">
        <v>-201</v>
      </c>
      <c r="H308">
        <v>-205</v>
      </c>
      <c r="I308">
        <v>163</v>
      </c>
      <c r="J308">
        <v>-87</v>
      </c>
      <c r="K308">
        <v>-258</v>
      </c>
    </row>
    <row r="309" spans="2:11" x14ac:dyDescent="0.25">
      <c r="B309">
        <v>-269</v>
      </c>
      <c r="C309">
        <v>3442</v>
      </c>
      <c r="D309">
        <v>-5958</v>
      </c>
      <c r="E309">
        <v>-352</v>
      </c>
      <c r="F309">
        <v>-151</v>
      </c>
      <c r="G309">
        <v>-221</v>
      </c>
      <c r="H309">
        <v>-361</v>
      </c>
      <c r="I309">
        <v>-374</v>
      </c>
      <c r="J309">
        <v>-2439</v>
      </c>
      <c r="K309">
        <v>272</v>
      </c>
    </row>
    <row r="310" spans="2:11" x14ac:dyDescent="0.25">
      <c r="B310">
        <v>-144</v>
      </c>
      <c r="C310">
        <v>-113</v>
      </c>
      <c r="D310">
        <v>-117</v>
      </c>
      <c r="E310">
        <v>87</v>
      </c>
      <c r="F310">
        <v>-567</v>
      </c>
      <c r="G310">
        <v>-469</v>
      </c>
      <c r="H310">
        <v>142</v>
      </c>
      <c r="I310">
        <v>-697</v>
      </c>
      <c r="J310">
        <v>21204</v>
      </c>
      <c r="K310">
        <v>0</v>
      </c>
    </row>
    <row r="311" spans="2:11" x14ac:dyDescent="0.25">
      <c r="B311">
        <v>42443</v>
      </c>
      <c r="C311">
        <v>29732</v>
      </c>
      <c r="D311">
        <v>59001</v>
      </c>
      <c r="E311">
        <v>0</v>
      </c>
      <c r="F311">
        <v>-557</v>
      </c>
      <c r="G311">
        <v>236</v>
      </c>
      <c r="H311">
        <v>441</v>
      </c>
      <c r="I311">
        <v>-378</v>
      </c>
      <c r="J311">
        <v>272</v>
      </c>
      <c r="K311">
        <v>996</v>
      </c>
    </row>
    <row r="312" spans="2:11" x14ac:dyDescent="0.25">
      <c r="B312">
        <v>443</v>
      </c>
      <c r="C312">
        <v>520</v>
      </c>
      <c r="D312">
        <v>-15</v>
      </c>
      <c r="E312">
        <v>360</v>
      </c>
      <c r="F312">
        <v>191</v>
      </c>
      <c r="G312">
        <v>-187</v>
      </c>
      <c r="H312">
        <v>-1048</v>
      </c>
      <c r="I312">
        <v>-786</v>
      </c>
      <c r="J312">
        <v>-508</v>
      </c>
      <c r="K312">
        <v>0</v>
      </c>
    </row>
    <row r="313" spans="2:11" x14ac:dyDescent="0.25">
      <c r="B313">
        <v>0</v>
      </c>
      <c r="C313">
        <v>0</v>
      </c>
      <c r="D313">
        <v>-651</v>
      </c>
      <c r="E313">
        <v>-190</v>
      </c>
      <c r="F313">
        <v>469</v>
      </c>
      <c r="G313">
        <v>-2315</v>
      </c>
      <c r="H313">
        <v>2347</v>
      </c>
      <c r="I313">
        <v>-7258</v>
      </c>
      <c r="J313">
        <v>-43</v>
      </c>
      <c r="K313">
        <v>255</v>
      </c>
    </row>
    <row r="314" spans="2:11" x14ac:dyDescent="0.25">
      <c r="B314">
        <v>-224</v>
      </c>
      <c r="C314">
        <v>-47</v>
      </c>
      <c r="D314">
        <v>-371</v>
      </c>
      <c r="E314">
        <v>300</v>
      </c>
      <c r="F314">
        <v>-2113</v>
      </c>
      <c r="G314">
        <v>-1288</v>
      </c>
      <c r="H314">
        <v>2454</v>
      </c>
      <c r="I314">
        <v>-194</v>
      </c>
      <c r="J314">
        <v>-199</v>
      </c>
      <c r="K314">
        <v>189</v>
      </c>
    </row>
    <row r="315" spans="2:11" x14ac:dyDescent="0.25">
      <c r="B315">
        <v>-145</v>
      </c>
      <c r="C315">
        <v>-238</v>
      </c>
      <c r="D315">
        <v>-283</v>
      </c>
      <c r="E315">
        <v>3641</v>
      </c>
      <c r="F315">
        <v>-6289</v>
      </c>
      <c r="G315">
        <v>-341</v>
      </c>
      <c r="H315">
        <v>-143</v>
      </c>
      <c r="I315">
        <v>-280</v>
      </c>
      <c r="J315">
        <v>-346</v>
      </c>
      <c r="K315">
        <v>-385</v>
      </c>
    </row>
    <row r="316" spans="2:11" x14ac:dyDescent="0.25">
      <c r="B316">
        <v>-2552</v>
      </c>
      <c r="C316">
        <v>363</v>
      </c>
      <c r="D316">
        <v>-97</v>
      </c>
      <c r="E316">
        <v>-151</v>
      </c>
      <c r="F316">
        <v>-58</v>
      </c>
      <c r="G316">
        <v>122</v>
      </c>
      <c r="H316">
        <v>-599</v>
      </c>
      <c r="I316">
        <v>-491</v>
      </c>
      <c r="J316">
        <v>139</v>
      </c>
      <c r="K316">
        <v>-735</v>
      </c>
    </row>
    <row r="317" spans="2:11" x14ac:dyDescent="0.25">
      <c r="B317">
        <v>22390</v>
      </c>
      <c r="C317">
        <v>0</v>
      </c>
      <c r="D317">
        <v>39372</v>
      </c>
      <c r="E317">
        <v>32286</v>
      </c>
      <c r="F317">
        <v>68075</v>
      </c>
      <c r="G317">
        <v>60658</v>
      </c>
      <c r="H317">
        <v>0</v>
      </c>
      <c r="I317">
        <v>-362</v>
      </c>
      <c r="J317">
        <v>359</v>
      </c>
      <c r="K317">
        <v>166</v>
      </c>
    </row>
    <row r="318" spans="2:11" x14ac:dyDescent="0.25">
      <c r="B318">
        <v>-325</v>
      </c>
      <c r="C318">
        <v>51</v>
      </c>
      <c r="D318">
        <v>458</v>
      </c>
      <c r="E318">
        <v>-14</v>
      </c>
      <c r="F318">
        <v>-149</v>
      </c>
      <c r="G318">
        <v>309</v>
      </c>
      <c r="H318">
        <v>101</v>
      </c>
      <c r="I318">
        <v>70</v>
      </c>
      <c r="J318">
        <v>-92</v>
      </c>
      <c r="K318">
        <v>-740</v>
      </c>
    </row>
    <row r="319" spans="2:11" x14ac:dyDescent="0.25">
      <c r="B319">
        <v>-1191</v>
      </c>
      <c r="C319">
        <v>-965</v>
      </c>
      <c r="D319">
        <v>0</v>
      </c>
      <c r="E319">
        <v>0</v>
      </c>
      <c r="F319">
        <v>0</v>
      </c>
      <c r="G319">
        <v>-1001</v>
      </c>
      <c r="H319">
        <v>125</v>
      </c>
      <c r="I319">
        <v>161</v>
      </c>
      <c r="J319">
        <v>-1228</v>
      </c>
      <c r="K319">
        <v>2501</v>
      </c>
    </row>
    <row r="320" spans="2:11" x14ac:dyDescent="0.25">
      <c r="B320">
        <v>-10406</v>
      </c>
      <c r="C320">
        <v>-57</v>
      </c>
      <c r="D320">
        <v>153</v>
      </c>
      <c r="E320">
        <v>-128</v>
      </c>
      <c r="F320">
        <v>-68</v>
      </c>
      <c r="G320">
        <v>-238</v>
      </c>
      <c r="H320">
        <v>189</v>
      </c>
      <c r="I320">
        <v>-1232</v>
      </c>
      <c r="J320">
        <v>-803</v>
      </c>
      <c r="K320">
        <v>1496</v>
      </c>
    </row>
    <row r="321" spans="2:11" x14ac:dyDescent="0.25">
      <c r="B321">
        <v>-77</v>
      </c>
      <c r="C321">
        <v>-158</v>
      </c>
      <c r="D321">
        <v>109</v>
      </c>
      <c r="E321">
        <v>-88</v>
      </c>
      <c r="F321">
        <v>-175</v>
      </c>
      <c r="G321">
        <v>-183</v>
      </c>
      <c r="H321">
        <v>2230</v>
      </c>
      <c r="I321">
        <v>-3808</v>
      </c>
      <c r="J321">
        <v>-266</v>
      </c>
      <c r="K321">
        <v>-90</v>
      </c>
    </row>
    <row r="322" spans="2:11" x14ac:dyDescent="0.25">
      <c r="B322">
        <v>-152</v>
      </c>
      <c r="C322">
        <v>-217</v>
      </c>
      <c r="D322">
        <v>-267</v>
      </c>
      <c r="E322">
        <v>-1525</v>
      </c>
      <c r="F322">
        <v>180</v>
      </c>
      <c r="G322">
        <v>-79</v>
      </c>
      <c r="H322">
        <v>-78</v>
      </c>
      <c r="I322">
        <v>-81</v>
      </c>
      <c r="J322">
        <v>75</v>
      </c>
      <c r="K322">
        <v>-366</v>
      </c>
    </row>
    <row r="323" spans="2:11" x14ac:dyDescent="0.25">
      <c r="B323">
        <v>-301</v>
      </c>
      <c r="C323">
        <v>78</v>
      </c>
      <c r="D323">
        <v>-459</v>
      </c>
      <c r="E323">
        <v>13601</v>
      </c>
      <c r="F323">
        <v>0</v>
      </c>
      <c r="G323">
        <v>33575</v>
      </c>
      <c r="H323">
        <v>29954</v>
      </c>
      <c r="I323">
        <v>54595</v>
      </c>
      <c r="J323">
        <v>47979</v>
      </c>
      <c r="K323">
        <v>53478</v>
      </c>
    </row>
    <row r="324" spans="2:11" x14ac:dyDescent="0.25">
      <c r="B324">
        <v>0</v>
      </c>
      <c r="C324">
        <v>-406</v>
      </c>
      <c r="D324">
        <v>724</v>
      </c>
      <c r="E324">
        <v>445</v>
      </c>
      <c r="F324">
        <v>-268</v>
      </c>
      <c r="G324">
        <v>100</v>
      </c>
      <c r="H324">
        <v>406</v>
      </c>
      <c r="I324">
        <v>735</v>
      </c>
      <c r="J324">
        <v>-6</v>
      </c>
      <c r="K324">
        <v>-276</v>
      </c>
    </row>
    <row r="325" spans="2:11" x14ac:dyDescent="0.25">
      <c r="B325">
        <v>272</v>
      </c>
      <c r="C325">
        <v>236</v>
      </c>
      <c r="D325">
        <v>-153</v>
      </c>
      <c r="E325">
        <v>103</v>
      </c>
      <c r="F325">
        <v>-703</v>
      </c>
      <c r="G325">
        <v>-340</v>
      </c>
      <c r="H325">
        <v>0</v>
      </c>
      <c r="I325">
        <v>0</v>
      </c>
      <c r="J325">
        <v>0</v>
      </c>
      <c r="K325">
        <v>-129</v>
      </c>
    </row>
    <row r="326" spans="2:11" x14ac:dyDescent="0.25">
      <c r="B326">
        <v>785</v>
      </c>
      <c r="C326">
        <v>-697</v>
      </c>
      <c r="D326">
        <v>-1581</v>
      </c>
      <c r="E326">
        <v>1514</v>
      </c>
      <c r="F326">
        <v>-2416</v>
      </c>
      <c r="G326">
        <v>-40</v>
      </c>
      <c r="H326">
        <v>296</v>
      </c>
      <c r="I326">
        <v>-155</v>
      </c>
      <c r="J326">
        <v>-111</v>
      </c>
      <c r="K326">
        <v>-297</v>
      </c>
    </row>
    <row r="327" spans="2:11" x14ac:dyDescent="0.25">
      <c r="B327">
        <v>337</v>
      </c>
      <c r="C327">
        <v>-2265</v>
      </c>
      <c r="D327">
        <v>-1351</v>
      </c>
      <c r="E327">
        <v>2637</v>
      </c>
      <c r="F327">
        <v>-212</v>
      </c>
      <c r="G327">
        <v>-235</v>
      </c>
      <c r="H327">
        <v>208</v>
      </c>
      <c r="I327">
        <v>-88</v>
      </c>
      <c r="J327">
        <v>-323</v>
      </c>
      <c r="K327">
        <v>-242</v>
      </c>
    </row>
    <row r="328" spans="2:11" x14ac:dyDescent="0.25">
      <c r="B328">
        <v>3913</v>
      </c>
      <c r="C328">
        <v>-6709</v>
      </c>
      <c r="D328">
        <v>-371</v>
      </c>
      <c r="E328">
        <v>-126</v>
      </c>
      <c r="F328">
        <v>-219</v>
      </c>
      <c r="G328">
        <v>-427</v>
      </c>
      <c r="H328">
        <v>-331</v>
      </c>
      <c r="I328">
        <v>-2726</v>
      </c>
      <c r="J328">
        <v>361</v>
      </c>
      <c r="K328">
        <v>-103</v>
      </c>
    </row>
    <row r="329" spans="2:11" x14ac:dyDescent="0.25">
      <c r="B329">
        <v>-102</v>
      </c>
      <c r="C329">
        <v>-179</v>
      </c>
      <c r="D329">
        <v>179</v>
      </c>
      <c r="E329">
        <v>-620</v>
      </c>
      <c r="F329">
        <v>-524</v>
      </c>
      <c r="G329">
        <v>156</v>
      </c>
      <c r="H329">
        <v>-772</v>
      </c>
      <c r="I329">
        <v>23942</v>
      </c>
      <c r="J329">
        <v>0</v>
      </c>
      <c r="K329">
        <v>39839</v>
      </c>
    </row>
    <row r="330" spans="2:11" x14ac:dyDescent="0.25">
      <c r="B330">
        <v>26656</v>
      </c>
      <c r="C330">
        <v>64401</v>
      </c>
      <c r="D330">
        <v>56285</v>
      </c>
      <c r="E330">
        <v>64738</v>
      </c>
      <c r="F330">
        <v>48626</v>
      </c>
      <c r="G330">
        <v>0</v>
      </c>
      <c r="H330">
        <v>-873</v>
      </c>
      <c r="I330">
        <v>151</v>
      </c>
      <c r="J330">
        <v>243</v>
      </c>
      <c r="K330">
        <v>-640</v>
      </c>
    </row>
    <row r="331" spans="2:11" x14ac:dyDescent="0.25">
      <c r="B331">
        <v>114</v>
      </c>
      <c r="C331">
        <v>787</v>
      </c>
      <c r="D331">
        <v>-193</v>
      </c>
      <c r="E331">
        <v>98</v>
      </c>
      <c r="F331">
        <v>884</v>
      </c>
      <c r="G331">
        <v>164</v>
      </c>
      <c r="H331">
        <v>-324</v>
      </c>
      <c r="I331">
        <v>567</v>
      </c>
      <c r="J331">
        <v>-595</v>
      </c>
      <c r="K331">
        <v>-2296</v>
      </c>
    </row>
    <row r="332" spans="2:11" x14ac:dyDescent="0.25">
      <c r="B332">
        <v>-1711</v>
      </c>
      <c r="C332">
        <v>0</v>
      </c>
      <c r="D332">
        <v>0</v>
      </c>
      <c r="E332">
        <v>0</v>
      </c>
      <c r="F332">
        <v>-356</v>
      </c>
      <c r="G332">
        <v>1765</v>
      </c>
      <c r="H332">
        <v>-408</v>
      </c>
      <c r="I332">
        <v>-477</v>
      </c>
      <c r="J332">
        <v>4642</v>
      </c>
      <c r="K332">
        <v>-7445</v>
      </c>
    </row>
    <row r="333" spans="2:11" x14ac:dyDescent="0.25">
      <c r="B333">
        <v>-172</v>
      </c>
      <c r="C333">
        <v>938</v>
      </c>
      <c r="D333">
        <v>-287</v>
      </c>
      <c r="E333">
        <v>91</v>
      </c>
      <c r="F333">
        <v>-856</v>
      </c>
      <c r="G333">
        <v>1006</v>
      </c>
      <c r="H333">
        <v>-6674</v>
      </c>
      <c r="I333">
        <v>-4015</v>
      </c>
      <c r="J333">
        <v>7787</v>
      </c>
      <c r="K333">
        <v>-624</v>
      </c>
    </row>
    <row r="334" spans="2:11" x14ac:dyDescent="0.25">
      <c r="B334">
        <v>-698</v>
      </c>
      <c r="C334">
        <v>691</v>
      </c>
      <c r="D334">
        <v>-25</v>
      </c>
      <c r="E334">
        <v>-529</v>
      </c>
      <c r="F334">
        <v>-670</v>
      </c>
      <c r="G334">
        <v>11586</v>
      </c>
      <c r="H334">
        <v>-19871</v>
      </c>
      <c r="I334">
        <v>-1223</v>
      </c>
      <c r="J334">
        <v>-359</v>
      </c>
      <c r="K334">
        <v>-476</v>
      </c>
    </row>
    <row r="335" spans="2:11" x14ac:dyDescent="0.25">
      <c r="B335">
        <v>-775</v>
      </c>
      <c r="C335">
        <v>-1017</v>
      </c>
      <c r="D335">
        <v>-8086</v>
      </c>
      <c r="E335">
        <v>924</v>
      </c>
      <c r="F335">
        <v>-278</v>
      </c>
      <c r="G335">
        <v>-99</v>
      </c>
      <c r="H335">
        <v>56</v>
      </c>
      <c r="I335">
        <v>596</v>
      </c>
      <c r="J335">
        <v>-1857</v>
      </c>
      <c r="K335">
        <v>-1557</v>
      </c>
    </row>
    <row r="336" spans="2:11" x14ac:dyDescent="0.25">
      <c r="B336">
        <v>494</v>
      </c>
      <c r="C336">
        <v>-2300</v>
      </c>
      <c r="D336">
        <v>70820</v>
      </c>
      <c r="E336">
        <v>0</v>
      </c>
      <c r="F336">
        <v>31449</v>
      </c>
      <c r="G336">
        <v>18525</v>
      </c>
      <c r="H336">
        <v>49118</v>
      </c>
      <c r="I336">
        <v>42274</v>
      </c>
      <c r="J336">
        <v>47638</v>
      </c>
      <c r="K336">
        <v>34680</v>
      </c>
    </row>
    <row r="337" spans="2:11" x14ac:dyDescent="0.25">
      <c r="B337">
        <v>47433</v>
      </c>
      <c r="C337">
        <v>0</v>
      </c>
      <c r="D337">
        <v>-55</v>
      </c>
      <c r="E337">
        <v>-411</v>
      </c>
      <c r="F337">
        <v>1240</v>
      </c>
      <c r="G337">
        <v>-822</v>
      </c>
      <c r="H337">
        <v>581</v>
      </c>
      <c r="I337">
        <v>106</v>
      </c>
      <c r="J337">
        <v>-74</v>
      </c>
      <c r="K337">
        <v>-106</v>
      </c>
    </row>
    <row r="338" spans="2:11" x14ac:dyDescent="0.25">
      <c r="B338">
        <v>-634</v>
      </c>
      <c r="C338">
        <v>-186</v>
      </c>
      <c r="D338">
        <v>-30</v>
      </c>
      <c r="E338">
        <v>598</v>
      </c>
      <c r="F338">
        <v>-909</v>
      </c>
      <c r="G338">
        <v>-512</v>
      </c>
      <c r="H338">
        <v>-413</v>
      </c>
      <c r="I338">
        <v>0</v>
      </c>
      <c r="J338">
        <v>0</v>
      </c>
      <c r="K338">
        <v>0</v>
      </c>
    </row>
    <row r="339" spans="2:11" x14ac:dyDescent="0.25">
      <c r="B339">
        <v>-1015</v>
      </c>
      <c r="C339">
        <v>2140</v>
      </c>
      <c r="D339">
        <v>12</v>
      </c>
      <c r="E339">
        <v>-1459</v>
      </c>
      <c r="F339">
        <v>24695</v>
      </c>
      <c r="G339">
        <v>-20691</v>
      </c>
      <c r="H339">
        <v>-130</v>
      </c>
      <c r="I339">
        <v>405</v>
      </c>
      <c r="J339">
        <v>-219</v>
      </c>
      <c r="K339">
        <v>405</v>
      </c>
    </row>
    <row r="340" spans="2:11" x14ac:dyDescent="0.25">
      <c r="B340">
        <v>-237</v>
      </c>
      <c r="C340">
        <v>399</v>
      </c>
      <c r="D340">
        <v>-2607</v>
      </c>
      <c r="E340">
        <v>-1537</v>
      </c>
      <c r="F340">
        <v>2948</v>
      </c>
      <c r="G340">
        <v>-291</v>
      </c>
      <c r="H340">
        <v>-324</v>
      </c>
      <c r="I340">
        <v>310</v>
      </c>
      <c r="J340">
        <v>-161</v>
      </c>
      <c r="K340">
        <v>80</v>
      </c>
    </row>
    <row r="341" spans="2:11" x14ac:dyDescent="0.25">
      <c r="B341">
        <v>-202</v>
      </c>
      <c r="C341">
        <v>4396</v>
      </c>
      <c r="D341">
        <v>-7591</v>
      </c>
      <c r="E341">
        <v>-522</v>
      </c>
      <c r="F341">
        <v>-69</v>
      </c>
      <c r="G341">
        <v>-253</v>
      </c>
      <c r="H341">
        <v>20</v>
      </c>
      <c r="I341">
        <v>-315</v>
      </c>
      <c r="J341">
        <v>-3135</v>
      </c>
      <c r="K341">
        <v>330</v>
      </c>
    </row>
    <row r="342" spans="2:11" x14ac:dyDescent="0.25">
      <c r="B342">
        <v>-44</v>
      </c>
      <c r="C342">
        <v>-242</v>
      </c>
      <c r="D342">
        <v>413</v>
      </c>
      <c r="E342">
        <v>298</v>
      </c>
      <c r="F342">
        <v>-707</v>
      </c>
      <c r="G342">
        <v>-606</v>
      </c>
      <c r="H342">
        <v>158</v>
      </c>
      <c r="I342">
        <v>-897</v>
      </c>
      <c r="J342">
        <v>27044</v>
      </c>
      <c r="K342">
        <v>0</v>
      </c>
    </row>
    <row r="343" spans="2:11" x14ac:dyDescent="0.25">
      <c r="B343">
        <v>5835</v>
      </c>
      <c r="C343">
        <v>2378</v>
      </c>
      <c r="D343">
        <v>6828</v>
      </c>
      <c r="E343">
        <v>6556</v>
      </c>
      <c r="F343">
        <v>6513</v>
      </c>
      <c r="G343">
        <v>4886</v>
      </c>
      <c r="H343">
        <v>6117</v>
      </c>
      <c r="I343">
        <v>18061</v>
      </c>
      <c r="J343">
        <v>0</v>
      </c>
      <c r="K343">
        <v>-138</v>
      </c>
    </row>
    <row r="344" spans="2:11" x14ac:dyDescent="0.25">
      <c r="B344">
        <v>520</v>
      </c>
      <c r="C344">
        <v>433</v>
      </c>
      <c r="D344">
        <v>-186</v>
      </c>
      <c r="E344">
        <v>37</v>
      </c>
      <c r="F344">
        <v>250</v>
      </c>
      <c r="G344">
        <v>-230</v>
      </c>
      <c r="H344">
        <v>-91</v>
      </c>
      <c r="I344">
        <v>-171</v>
      </c>
      <c r="J344">
        <v>-244</v>
      </c>
      <c r="K344">
        <v>200</v>
      </c>
    </row>
    <row r="345" spans="2:11" x14ac:dyDescent="0.25">
      <c r="B345">
        <v>53</v>
      </c>
      <c r="C345">
        <v>-429</v>
      </c>
      <c r="D345">
        <v>966</v>
      </c>
      <c r="E345">
        <v>-246</v>
      </c>
      <c r="F345">
        <v>0</v>
      </c>
      <c r="G345">
        <v>0</v>
      </c>
      <c r="H345">
        <v>0</v>
      </c>
      <c r="I345">
        <v>27</v>
      </c>
      <c r="J345">
        <v>3118</v>
      </c>
      <c r="K345">
        <v>-808</v>
      </c>
    </row>
    <row r="346" spans="2:11" x14ac:dyDescent="0.25">
      <c r="B346">
        <v>196</v>
      </c>
      <c r="C346">
        <v>11608</v>
      </c>
      <c r="D346">
        <v>-13749</v>
      </c>
      <c r="E346">
        <v>-101</v>
      </c>
      <c r="F346">
        <v>190</v>
      </c>
      <c r="G346">
        <v>-105</v>
      </c>
      <c r="H346">
        <v>-26</v>
      </c>
      <c r="I346">
        <v>-149</v>
      </c>
      <c r="J346">
        <v>211</v>
      </c>
      <c r="K346">
        <v>-1384</v>
      </c>
    </row>
    <row r="347" spans="2:11" x14ac:dyDescent="0.25">
      <c r="B347">
        <v>-767</v>
      </c>
      <c r="C347">
        <v>1495</v>
      </c>
      <c r="D347">
        <v>-204</v>
      </c>
      <c r="E347">
        <v>-181</v>
      </c>
      <c r="F347">
        <v>136</v>
      </c>
      <c r="G347">
        <v>-55</v>
      </c>
      <c r="H347">
        <v>-159</v>
      </c>
      <c r="I347">
        <v>-109</v>
      </c>
      <c r="J347">
        <v>2220</v>
      </c>
      <c r="K347">
        <v>-3882</v>
      </c>
    </row>
    <row r="348" spans="2:11" x14ac:dyDescent="0.25">
      <c r="B348">
        <v>-281</v>
      </c>
      <c r="C348">
        <v>-87</v>
      </c>
      <c r="D348">
        <v>-98</v>
      </c>
      <c r="E348">
        <v>-223</v>
      </c>
      <c r="F348">
        <v>-164</v>
      </c>
      <c r="G348">
        <v>-1629</v>
      </c>
      <c r="H348">
        <v>131</v>
      </c>
      <c r="I348">
        <v>-66</v>
      </c>
      <c r="J348">
        <v>-65</v>
      </c>
      <c r="K348">
        <v>-88</v>
      </c>
    </row>
    <row r="349" spans="2:11" x14ac:dyDescent="0.25">
      <c r="B349">
        <v>143</v>
      </c>
      <c r="C349">
        <v>-363</v>
      </c>
      <c r="D349">
        <v>-304</v>
      </c>
      <c r="E349">
        <v>80</v>
      </c>
      <c r="F349">
        <v>-468</v>
      </c>
      <c r="G349">
        <v>13800</v>
      </c>
      <c r="H349">
        <v>0</v>
      </c>
      <c r="I349">
        <v>3256</v>
      </c>
      <c r="J349">
        <v>1520</v>
      </c>
      <c r="K349">
        <v>3576</v>
      </c>
    </row>
    <row r="350" spans="2:11" x14ac:dyDescent="0.25">
      <c r="B350">
        <v>3518</v>
      </c>
      <c r="C350">
        <v>3374</v>
      </c>
      <c r="D350">
        <v>2730</v>
      </c>
      <c r="E350">
        <v>3034</v>
      </c>
      <c r="F350">
        <v>9017</v>
      </c>
      <c r="G350">
        <v>17701</v>
      </c>
      <c r="H350">
        <v>0</v>
      </c>
      <c r="I350">
        <v>-171</v>
      </c>
      <c r="J350">
        <v>-165</v>
      </c>
      <c r="K350">
        <v>1458</v>
      </c>
    </row>
    <row r="351" spans="2:11" x14ac:dyDescent="0.25">
      <c r="B351">
        <v>-915</v>
      </c>
      <c r="C351">
        <v>380</v>
      </c>
      <c r="D351">
        <v>353</v>
      </c>
      <c r="E351">
        <v>-352</v>
      </c>
      <c r="F351">
        <v>358</v>
      </c>
      <c r="G351">
        <v>-362</v>
      </c>
      <c r="H351">
        <v>111</v>
      </c>
      <c r="I351">
        <v>344</v>
      </c>
      <c r="J351">
        <v>795</v>
      </c>
      <c r="K351">
        <v>-704</v>
      </c>
    </row>
    <row r="352" spans="2:11" x14ac:dyDescent="0.25">
      <c r="B352">
        <v>-1347</v>
      </c>
      <c r="C352">
        <v>-1033</v>
      </c>
      <c r="D352">
        <v>0</v>
      </c>
      <c r="E352">
        <v>0</v>
      </c>
      <c r="F352">
        <v>0</v>
      </c>
      <c r="G352">
        <v>-271</v>
      </c>
      <c r="H352">
        <v>-659</v>
      </c>
      <c r="I352">
        <v>522</v>
      </c>
      <c r="J352">
        <v>-917</v>
      </c>
      <c r="K352">
        <v>36831</v>
      </c>
    </row>
    <row r="353" spans="2:11" x14ac:dyDescent="0.25">
      <c r="B353">
        <v>-25870</v>
      </c>
      <c r="C353">
        <v>-281</v>
      </c>
      <c r="D353">
        <v>722</v>
      </c>
      <c r="E353">
        <v>-346</v>
      </c>
      <c r="F353">
        <v>343</v>
      </c>
      <c r="G353">
        <v>-530</v>
      </c>
      <c r="H353">
        <v>766</v>
      </c>
      <c r="I353">
        <v>-5016</v>
      </c>
      <c r="J353">
        <v>-2990</v>
      </c>
      <c r="K353">
        <v>5762</v>
      </c>
    </row>
    <row r="354" spans="2:11" x14ac:dyDescent="0.25">
      <c r="B354">
        <v>-528</v>
      </c>
      <c r="C354">
        <v>-638</v>
      </c>
      <c r="D354">
        <v>539</v>
      </c>
      <c r="E354">
        <v>-187</v>
      </c>
      <c r="F354">
        <v>-191</v>
      </c>
      <c r="G354">
        <v>-437</v>
      </c>
      <c r="H354">
        <v>8597</v>
      </c>
      <c r="I354">
        <v>-14776</v>
      </c>
      <c r="J354">
        <v>-1005</v>
      </c>
      <c r="K354">
        <v>-226</v>
      </c>
    </row>
    <row r="355" spans="2:11" x14ac:dyDescent="0.25">
      <c r="B355">
        <v>-438</v>
      </c>
      <c r="C355">
        <v>-339</v>
      </c>
      <c r="D355">
        <v>-628</v>
      </c>
      <c r="E355">
        <v>-6052</v>
      </c>
      <c r="F355">
        <v>534</v>
      </c>
      <c r="G355">
        <v>-194</v>
      </c>
      <c r="H355">
        <v>-335</v>
      </c>
      <c r="I355">
        <v>285</v>
      </c>
      <c r="J355">
        <v>492</v>
      </c>
      <c r="K355">
        <v>-1374</v>
      </c>
    </row>
    <row r="356" spans="2:11" x14ac:dyDescent="0.25">
      <c r="B356">
        <v>-1166</v>
      </c>
      <c r="C356">
        <v>347</v>
      </c>
      <c r="D356">
        <v>-1738</v>
      </c>
      <c r="E356">
        <v>52679</v>
      </c>
      <c r="F356">
        <v>0</v>
      </c>
      <c r="G356">
        <v>10105</v>
      </c>
      <c r="H356">
        <v>3263</v>
      </c>
      <c r="I356">
        <v>12873</v>
      </c>
      <c r="J356">
        <v>11944</v>
      </c>
      <c r="K356">
        <v>12231</v>
      </c>
    </row>
    <row r="357" spans="2:11" x14ac:dyDescent="0.25">
      <c r="B357">
        <v>8336</v>
      </c>
      <c r="C357">
        <v>12228</v>
      </c>
      <c r="D357">
        <v>36124</v>
      </c>
      <c r="E357">
        <v>55226</v>
      </c>
      <c r="F357">
        <v>17605</v>
      </c>
      <c r="G357">
        <v>0</v>
      </c>
      <c r="H357">
        <v>25</v>
      </c>
      <c r="I357">
        <v>-151</v>
      </c>
      <c r="J357">
        <v>562</v>
      </c>
      <c r="K357">
        <v>-456</v>
      </c>
    </row>
    <row r="358" spans="2:11" x14ac:dyDescent="0.25">
      <c r="B358">
        <v>319</v>
      </c>
      <c r="C358">
        <v>49</v>
      </c>
      <c r="D358">
        <v>-770</v>
      </c>
      <c r="E358">
        <v>-488</v>
      </c>
      <c r="F358">
        <v>-425</v>
      </c>
      <c r="G358">
        <v>216</v>
      </c>
      <c r="H358">
        <v>231</v>
      </c>
      <c r="I358">
        <v>725</v>
      </c>
      <c r="J358">
        <v>-429</v>
      </c>
      <c r="K358">
        <v>-1039</v>
      </c>
    </row>
    <row r="359" spans="2:11" x14ac:dyDescent="0.25">
      <c r="B359">
        <v>-876</v>
      </c>
      <c r="C359">
        <v>0</v>
      </c>
      <c r="D359">
        <v>0</v>
      </c>
      <c r="E359">
        <v>0</v>
      </c>
      <c r="F359">
        <v>-236</v>
      </c>
      <c r="G359">
        <v>1537</v>
      </c>
      <c r="H359">
        <v>877</v>
      </c>
      <c r="I359">
        <v>-153</v>
      </c>
      <c r="J359">
        <v>30737</v>
      </c>
      <c r="K359">
        <v>-23219</v>
      </c>
    </row>
    <row r="360" spans="2:11" x14ac:dyDescent="0.25">
      <c r="B360">
        <v>-349</v>
      </c>
      <c r="C360">
        <v>627</v>
      </c>
      <c r="D360">
        <v>-111</v>
      </c>
      <c r="E360">
        <v>300</v>
      </c>
      <c r="F360">
        <v>-455</v>
      </c>
      <c r="G360">
        <v>685</v>
      </c>
      <c r="H360">
        <v>-4412</v>
      </c>
      <c r="I360">
        <v>-2631</v>
      </c>
      <c r="J360">
        <v>5046</v>
      </c>
      <c r="K360">
        <v>-484</v>
      </c>
    </row>
    <row r="361" spans="2:11" x14ac:dyDescent="0.25">
      <c r="B361">
        <v>-638</v>
      </c>
      <c r="C361">
        <v>470</v>
      </c>
      <c r="D361">
        <v>37</v>
      </c>
      <c r="E361">
        <v>-160</v>
      </c>
      <c r="F361">
        <v>-360</v>
      </c>
      <c r="G361">
        <v>7554</v>
      </c>
      <c r="H361">
        <v>-12971</v>
      </c>
      <c r="I361">
        <v>-930</v>
      </c>
      <c r="J361">
        <v>-203</v>
      </c>
      <c r="K361">
        <v>-216</v>
      </c>
    </row>
    <row r="362" spans="2:11" x14ac:dyDescent="0.25">
      <c r="B362">
        <v>-265</v>
      </c>
      <c r="C362">
        <v>-499</v>
      </c>
      <c r="D362">
        <v>-5335</v>
      </c>
      <c r="E362">
        <v>302</v>
      </c>
      <c r="F362">
        <v>-233</v>
      </c>
      <c r="G362">
        <v>-130</v>
      </c>
      <c r="H362">
        <v>191</v>
      </c>
      <c r="I362">
        <v>387</v>
      </c>
      <c r="J362">
        <v>-1207</v>
      </c>
      <c r="K362">
        <v>-1032</v>
      </c>
    </row>
    <row r="363" spans="2:11" x14ac:dyDescent="0.25">
      <c r="B363">
        <v>302</v>
      </c>
      <c r="C363">
        <v>-1541</v>
      </c>
      <c r="D363">
        <v>46271</v>
      </c>
      <c r="E363">
        <v>0</v>
      </c>
      <c r="F363">
        <v>8947</v>
      </c>
      <c r="G363">
        <v>2915</v>
      </c>
      <c r="H363">
        <v>11328</v>
      </c>
      <c r="I363">
        <v>10533</v>
      </c>
      <c r="J363">
        <v>10715</v>
      </c>
      <c r="K363">
        <v>7365</v>
      </c>
    </row>
    <row r="364" spans="2:11" x14ac:dyDescent="0.25">
      <c r="B364">
        <v>10706</v>
      </c>
      <c r="C364">
        <v>31793</v>
      </c>
      <c r="D364">
        <v>44970</v>
      </c>
      <c r="E364">
        <v>17805</v>
      </c>
      <c r="F364">
        <v>56970</v>
      </c>
      <c r="G364">
        <v>0</v>
      </c>
      <c r="H364">
        <v>-129</v>
      </c>
      <c r="I364">
        <v>-92</v>
      </c>
      <c r="J364">
        <v>826</v>
      </c>
      <c r="K364">
        <v>-253</v>
      </c>
    </row>
    <row r="365" spans="2:11" x14ac:dyDescent="0.25">
      <c r="B365">
        <v>318</v>
      </c>
      <c r="C365">
        <v>377</v>
      </c>
      <c r="D365">
        <v>-120</v>
      </c>
      <c r="E365">
        <v>-162</v>
      </c>
      <c r="F365">
        <v>-357</v>
      </c>
      <c r="G365">
        <v>306</v>
      </c>
      <c r="H365">
        <v>-427</v>
      </c>
      <c r="I365">
        <v>729</v>
      </c>
      <c r="J365">
        <v>-509</v>
      </c>
      <c r="K365">
        <v>-1351</v>
      </c>
    </row>
    <row r="366" spans="2:11" x14ac:dyDescent="0.25">
      <c r="B366">
        <v>-953</v>
      </c>
      <c r="C366">
        <v>0</v>
      </c>
      <c r="D366">
        <v>0</v>
      </c>
      <c r="E366">
        <v>0</v>
      </c>
      <c r="F366">
        <v>262</v>
      </c>
      <c r="G366">
        <v>63</v>
      </c>
      <c r="H366">
        <v>-54</v>
      </c>
      <c r="I366">
        <v>85</v>
      </c>
      <c r="J366">
        <v>37034</v>
      </c>
      <c r="K366">
        <v>-30231</v>
      </c>
    </row>
    <row r="367" spans="2:11" x14ac:dyDescent="0.25">
      <c r="B367">
        <v>-237</v>
      </c>
      <c r="C367">
        <v>662</v>
      </c>
      <c r="D367">
        <v>-176</v>
      </c>
      <c r="E367">
        <v>224</v>
      </c>
      <c r="F367">
        <v>-463</v>
      </c>
      <c r="G367">
        <v>709</v>
      </c>
      <c r="H367">
        <v>-4658</v>
      </c>
      <c r="I367">
        <v>-2788</v>
      </c>
      <c r="J367">
        <v>5375</v>
      </c>
      <c r="K367">
        <v>-475</v>
      </c>
    </row>
    <row r="368" spans="2:11" x14ac:dyDescent="0.25">
      <c r="B368">
        <v>-559</v>
      </c>
      <c r="C368">
        <v>510</v>
      </c>
      <c r="D368">
        <v>-10</v>
      </c>
      <c r="E368">
        <v>-246</v>
      </c>
      <c r="F368">
        <v>-349</v>
      </c>
      <c r="G368">
        <v>8026</v>
      </c>
      <c r="H368">
        <v>-13764</v>
      </c>
      <c r="I368">
        <v>-896</v>
      </c>
      <c r="J368">
        <v>-216</v>
      </c>
      <c r="K368">
        <v>-307</v>
      </c>
    </row>
    <row r="369" spans="2:11" x14ac:dyDescent="0.25">
      <c r="B369">
        <v>-408</v>
      </c>
      <c r="C369">
        <v>-543</v>
      </c>
      <c r="D369">
        <v>-5634</v>
      </c>
      <c r="E369">
        <v>544</v>
      </c>
      <c r="F369">
        <v>-175</v>
      </c>
      <c r="G369">
        <v>-126</v>
      </c>
      <c r="H369">
        <v>159</v>
      </c>
      <c r="I369">
        <v>512</v>
      </c>
      <c r="J369">
        <v>-1280</v>
      </c>
      <c r="K369">
        <v>-1094</v>
      </c>
    </row>
    <row r="370" spans="2:11" x14ac:dyDescent="0.25">
      <c r="B370">
        <v>332</v>
      </c>
      <c r="C370">
        <v>-1603</v>
      </c>
      <c r="D370">
        <v>49096</v>
      </c>
      <c r="E370">
        <v>0</v>
      </c>
      <c r="F370">
        <v>9911</v>
      </c>
      <c r="G370">
        <v>3604</v>
      </c>
      <c r="H370">
        <v>12143</v>
      </c>
      <c r="I370">
        <v>11435</v>
      </c>
      <c r="J370">
        <v>11528</v>
      </c>
      <c r="K370">
        <v>8239</v>
      </c>
    </row>
    <row r="371" spans="2:11" x14ac:dyDescent="0.25">
      <c r="B371">
        <v>11213</v>
      </c>
      <c r="C371">
        <v>33177</v>
      </c>
      <c r="D371">
        <v>57140</v>
      </c>
      <c r="E371">
        <v>20277</v>
      </c>
      <c r="F371">
        <v>70349</v>
      </c>
      <c r="G371">
        <v>59665</v>
      </c>
      <c r="H371">
        <v>0</v>
      </c>
      <c r="I371">
        <v>252</v>
      </c>
      <c r="J371">
        <v>428</v>
      </c>
      <c r="K371">
        <v>801</v>
      </c>
    </row>
    <row r="372" spans="2:11" x14ac:dyDescent="0.25">
      <c r="B372">
        <v>-142</v>
      </c>
      <c r="C372">
        <v>951</v>
      </c>
      <c r="D372">
        <v>141</v>
      </c>
      <c r="E372">
        <v>-878</v>
      </c>
      <c r="F372">
        <v>-182</v>
      </c>
      <c r="G372">
        <v>-111</v>
      </c>
      <c r="H372">
        <v>-70</v>
      </c>
      <c r="I372">
        <v>131</v>
      </c>
      <c r="J372">
        <v>655</v>
      </c>
      <c r="K372">
        <v>-226</v>
      </c>
    </row>
    <row r="373" spans="2:11" x14ac:dyDescent="0.25">
      <c r="B373">
        <v>-1000</v>
      </c>
      <c r="C373">
        <v>-748</v>
      </c>
      <c r="D373">
        <v>0</v>
      </c>
      <c r="E373">
        <v>0</v>
      </c>
      <c r="F373">
        <v>0</v>
      </c>
      <c r="G373">
        <v>-741</v>
      </c>
      <c r="H373">
        <v>-1401</v>
      </c>
      <c r="I373">
        <v>-506</v>
      </c>
      <c r="J373">
        <v>-545</v>
      </c>
      <c r="K373">
        <v>21041</v>
      </c>
    </row>
    <row r="374" spans="2:11" x14ac:dyDescent="0.25">
      <c r="B374">
        <v>-21448</v>
      </c>
      <c r="C374">
        <v>-332</v>
      </c>
      <c r="D374">
        <v>459</v>
      </c>
      <c r="E374">
        <v>-127</v>
      </c>
      <c r="F374">
        <v>60</v>
      </c>
      <c r="G374">
        <v>-434</v>
      </c>
      <c r="H374">
        <v>511</v>
      </c>
      <c r="I374">
        <v>-3263</v>
      </c>
      <c r="J374">
        <v>-1967</v>
      </c>
      <c r="K374">
        <v>3765</v>
      </c>
    </row>
    <row r="375" spans="2:11" x14ac:dyDescent="0.25">
      <c r="B375">
        <v>-359</v>
      </c>
      <c r="C375">
        <v>-513</v>
      </c>
      <c r="D375">
        <v>343</v>
      </c>
      <c r="E375">
        <v>-8</v>
      </c>
      <c r="F375">
        <v>-253</v>
      </c>
      <c r="G375">
        <v>-337</v>
      </c>
      <c r="H375">
        <v>5627</v>
      </c>
      <c r="I375">
        <v>-9648</v>
      </c>
      <c r="J375">
        <v>-711</v>
      </c>
      <c r="K375">
        <v>-167</v>
      </c>
    </row>
    <row r="376" spans="2:11" x14ac:dyDescent="0.25">
      <c r="B376">
        <v>-185</v>
      </c>
      <c r="C376">
        <v>-332</v>
      </c>
      <c r="D376">
        <v>-435</v>
      </c>
      <c r="E376">
        <v>-3964</v>
      </c>
      <c r="F376">
        <v>230</v>
      </c>
      <c r="G376">
        <v>-156</v>
      </c>
      <c r="H376">
        <v>-86</v>
      </c>
      <c r="I376">
        <v>-20</v>
      </c>
      <c r="J376">
        <v>235</v>
      </c>
      <c r="K376">
        <v>-897</v>
      </c>
    </row>
    <row r="377" spans="2:11" x14ac:dyDescent="0.25">
      <c r="B377">
        <v>-762</v>
      </c>
      <c r="C377">
        <v>220</v>
      </c>
      <c r="D377">
        <v>-1145</v>
      </c>
      <c r="E377">
        <v>34435</v>
      </c>
      <c r="F377">
        <v>0</v>
      </c>
      <c r="G377">
        <v>6950</v>
      </c>
      <c r="H377">
        <v>2538</v>
      </c>
      <c r="I377">
        <v>8503</v>
      </c>
      <c r="J377">
        <v>8014</v>
      </c>
      <c r="K377">
        <v>8094</v>
      </c>
    </row>
    <row r="378" spans="2:11" x14ac:dyDescent="0.25">
      <c r="B378">
        <v>5799</v>
      </c>
      <c r="C378">
        <v>7851</v>
      </c>
      <c r="D378">
        <v>23197</v>
      </c>
      <c r="E378">
        <v>35676</v>
      </c>
      <c r="F378">
        <v>15475</v>
      </c>
      <c r="G378">
        <v>45074</v>
      </c>
      <c r="H378">
        <v>37472</v>
      </c>
      <c r="I378">
        <v>47137</v>
      </c>
      <c r="J378">
        <v>0</v>
      </c>
      <c r="K378">
        <v>192</v>
      </c>
    </row>
    <row r="379" spans="2:11" x14ac:dyDescent="0.25">
      <c r="B379">
        <v>653</v>
      </c>
      <c r="C379">
        <v>1227</v>
      </c>
      <c r="D379">
        <v>-160</v>
      </c>
      <c r="E379">
        <v>600</v>
      </c>
      <c r="F379">
        <v>92</v>
      </c>
      <c r="G379">
        <v>-946</v>
      </c>
      <c r="H379">
        <v>-161</v>
      </c>
      <c r="I379">
        <v>-287</v>
      </c>
      <c r="J379">
        <v>279</v>
      </c>
      <c r="K379">
        <v>263</v>
      </c>
    </row>
    <row r="380" spans="2:11" x14ac:dyDescent="0.25">
      <c r="B380">
        <v>791</v>
      </c>
      <c r="C380">
        <v>-334</v>
      </c>
      <c r="D380">
        <v>-1280</v>
      </c>
      <c r="E380">
        <v>-1061</v>
      </c>
      <c r="F380">
        <v>0</v>
      </c>
      <c r="G380">
        <v>0</v>
      </c>
      <c r="H380">
        <v>0</v>
      </c>
      <c r="I380">
        <v>-28</v>
      </c>
      <c r="J380">
        <v>621</v>
      </c>
      <c r="K380">
        <v>-98</v>
      </c>
    </row>
    <row r="381" spans="2:11" x14ac:dyDescent="0.25">
      <c r="B381">
        <v>380</v>
      </c>
      <c r="C381">
        <v>37143</v>
      </c>
      <c r="D381">
        <v>-20598</v>
      </c>
      <c r="E381">
        <v>-456</v>
      </c>
      <c r="F381">
        <v>705</v>
      </c>
      <c r="G381">
        <v>-224</v>
      </c>
      <c r="H381">
        <v>54</v>
      </c>
      <c r="I381">
        <v>-566</v>
      </c>
      <c r="J381">
        <v>780</v>
      </c>
      <c r="K381">
        <v>-5046</v>
      </c>
    </row>
    <row r="382" spans="2:11" x14ac:dyDescent="0.25">
      <c r="B382">
        <v>-3014</v>
      </c>
      <c r="C382">
        <v>5792</v>
      </c>
      <c r="D382">
        <v>-561</v>
      </c>
      <c r="E382">
        <v>-753</v>
      </c>
      <c r="F382">
        <v>528</v>
      </c>
      <c r="G382">
        <v>-43</v>
      </c>
      <c r="H382">
        <v>-431</v>
      </c>
      <c r="I382">
        <v>-437</v>
      </c>
      <c r="J382">
        <v>8651</v>
      </c>
      <c r="K382">
        <v>-14851</v>
      </c>
    </row>
    <row r="383" spans="2:11" x14ac:dyDescent="0.25">
      <c r="B383">
        <v>-1083</v>
      </c>
      <c r="C383">
        <v>-242</v>
      </c>
      <c r="D383">
        <v>-291</v>
      </c>
      <c r="E383">
        <v>-556</v>
      </c>
      <c r="F383">
        <v>-588</v>
      </c>
      <c r="G383">
        <v>-6108</v>
      </c>
      <c r="H383">
        <v>366</v>
      </c>
      <c r="I383">
        <v>-264</v>
      </c>
      <c r="J383">
        <v>-193</v>
      </c>
      <c r="K383">
        <v>-115</v>
      </c>
    </row>
    <row r="384" spans="2:11" x14ac:dyDescent="0.25">
      <c r="B384">
        <v>458</v>
      </c>
      <c r="C384">
        <v>-1382</v>
      </c>
      <c r="D384">
        <v>-1176</v>
      </c>
      <c r="E384">
        <v>345</v>
      </c>
      <c r="F384">
        <v>-1764</v>
      </c>
      <c r="G384">
        <v>52991</v>
      </c>
      <c r="H384">
        <v>0</v>
      </c>
      <c r="I384">
        <v>9734</v>
      </c>
      <c r="J384">
        <v>2796</v>
      </c>
      <c r="K384">
        <v>12804</v>
      </c>
    </row>
    <row r="385" spans="2:11" x14ac:dyDescent="0.25">
      <c r="B385">
        <v>11723</v>
      </c>
      <c r="C385">
        <v>12095</v>
      </c>
      <c r="D385">
        <v>7946</v>
      </c>
      <c r="E385">
        <v>12416</v>
      </c>
      <c r="F385">
        <v>36814</v>
      </c>
      <c r="G385">
        <v>52274</v>
      </c>
      <c r="H385">
        <v>18244</v>
      </c>
      <c r="I385">
        <v>65858</v>
      </c>
      <c r="J385">
        <v>56577</v>
      </c>
      <c r="K385">
        <v>68572</v>
      </c>
    </row>
    <row r="386" spans="2:11" x14ac:dyDescent="0.25">
      <c r="B386">
        <v>43650</v>
      </c>
      <c r="C386">
        <v>0</v>
      </c>
      <c r="D386">
        <v>-1163</v>
      </c>
      <c r="E386">
        <v>-120</v>
      </c>
      <c r="F386">
        <v>402</v>
      </c>
      <c r="G386">
        <v>-655</v>
      </c>
      <c r="H386">
        <v>-6</v>
      </c>
      <c r="I386">
        <v>808</v>
      </c>
      <c r="J386">
        <v>-542</v>
      </c>
      <c r="K386">
        <v>233</v>
      </c>
    </row>
    <row r="387" spans="2:11" x14ac:dyDescent="0.25">
      <c r="B387">
        <v>-120</v>
      </c>
      <c r="C387">
        <v>528</v>
      </c>
      <c r="D387">
        <v>403</v>
      </c>
      <c r="E387">
        <v>893</v>
      </c>
      <c r="F387">
        <v>-859</v>
      </c>
      <c r="G387">
        <v>-2585</v>
      </c>
      <c r="H387">
        <v>-2099</v>
      </c>
      <c r="I387">
        <v>0</v>
      </c>
      <c r="J387">
        <v>0</v>
      </c>
      <c r="K387">
        <v>0</v>
      </c>
    </row>
    <row r="388" spans="2:11" x14ac:dyDescent="0.25">
      <c r="B388">
        <v>329</v>
      </c>
      <c r="C388">
        <v>2886</v>
      </c>
      <c r="D388">
        <v>-386</v>
      </c>
      <c r="E388">
        <v>221</v>
      </c>
      <c r="F388">
        <v>21871</v>
      </c>
      <c r="G388">
        <v>-17734</v>
      </c>
      <c r="H388">
        <v>-424</v>
      </c>
      <c r="I388">
        <v>1106</v>
      </c>
      <c r="J388">
        <v>-369</v>
      </c>
      <c r="K388">
        <v>115</v>
      </c>
    </row>
    <row r="389" spans="2:11" x14ac:dyDescent="0.25">
      <c r="B389">
        <v>-1132</v>
      </c>
      <c r="C389">
        <v>1248</v>
      </c>
      <c r="D389">
        <v>-8245</v>
      </c>
      <c r="E389">
        <v>-4965</v>
      </c>
      <c r="F389">
        <v>9559</v>
      </c>
      <c r="G389">
        <v>-825</v>
      </c>
      <c r="H389">
        <v>-1010</v>
      </c>
      <c r="I389">
        <v>806</v>
      </c>
      <c r="J389">
        <v>-67</v>
      </c>
      <c r="K389">
        <v>-670</v>
      </c>
    </row>
    <row r="390" spans="2:11" x14ac:dyDescent="0.25">
      <c r="B390">
        <v>-886</v>
      </c>
      <c r="C390">
        <v>14259</v>
      </c>
      <c r="D390">
        <v>-24468</v>
      </c>
      <c r="E390">
        <v>-1614</v>
      </c>
      <c r="F390">
        <v>-455</v>
      </c>
      <c r="G390">
        <v>-571</v>
      </c>
      <c r="H390">
        <v>-918</v>
      </c>
      <c r="I390">
        <v>-1225</v>
      </c>
      <c r="J390">
        <v>-9983</v>
      </c>
      <c r="K390">
        <v>896</v>
      </c>
    </row>
    <row r="391" spans="2:11" x14ac:dyDescent="0.25">
      <c r="B391">
        <v>-451</v>
      </c>
      <c r="C391">
        <v>-268</v>
      </c>
      <c r="D391">
        <v>-19</v>
      </c>
      <c r="E391">
        <v>575</v>
      </c>
      <c r="F391">
        <v>-2293</v>
      </c>
      <c r="G391">
        <v>-1926</v>
      </c>
      <c r="H391">
        <v>603</v>
      </c>
      <c r="I391">
        <v>-2859</v>
      </c>
      <c r="J391">
        <v>87243</v>
      </c>
      <c r="K391">
        <v>0</v>
      </c>
    </row>
    <row r="392" spans="2:11" x14ac:dyDescent="0.25">
      <c r="B392">
        <v>14746</v>
      </c>
      <c r="C392">
        <v>3161</v>
      </c>
      <c r="D392">
        <v>20707</v>
      </c>
      <c r="E392">
        <v>18510</v>
      </c>
      <c r="F392">
        <v>19515</v>
      </c>
      <c r="G392">
        <v>11833</v>
      </c>
      <c r="H392">
        <v>20917</v>
      </c>
      <c r="I392">
        <v>61979</v>
      </c>
      <c r="J392">
        <v>42079</v>
      </c>
      <c r="K392">
        <v>18254</v>
      </c>
    </row>
    <row r="393" spans="2:11" x14ac:dyDescent="0.25">
      <c r="B393">
        <v>65420</v>
      </c>
      <c r="C393">
        <v>56261</v>
      </c>
      <c r="D393">
        <v>63228</v>
      </c>
      <c r="E393">
        <v>41782</v>
      </c>
      <c r="F393">
        <v>65130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-5</v>
      </c>
      <c r="D401">
        <v>143</v>
      </c>
      <c r="E401">
        <v>613</v>
      </c>
      <c r="F401">
        <v>-150</v>
      </c>
      <c r="G401">
        <v>21</v>
      </c>
      <c r="H401">
        <v>-134</v>
      </c>
      <c r="I401">
        <v>-239</v>
      </c>
      <c r="J401">
        <v>152</v>
      </c>
      <c r="K401">
        <v>-241</v>
      </c>
    </row>
    <row r="402" spans="2:11" x14ac:dyDescent="0.25">
      <c r="B402">
        <v>113</v>
      </c>
      <c r="C402">
        <v>-487</v>
      </c>
      <c r="D402">
        <v>247</v>
      </c>
      <c r="E402">
        <v>166</v>
      </c>
      <c r="F402">
        <v>1191</v>
      </c>
      <c r="G402">
        <v>1217</v>
      </c>
      <c r="H402">
        <v>0</v>
      </c>
      <c r="I402">
        <v>0</v>
      </c>
      <c r="J402">
        <v>0</v>
      </c>
      <c r="K402">
        <v>-140</v>
      </c>
    </row>
    <row r="403" spans="2:11" x14ac:dyDescent="0.25">
      <c r="B403">
        <v>-43</v>
      </c>
      <c r="C403">
        <v>-363</v>
      </c>
      <c r="D403">
        <v>-11</v>
      </c>
      <c r="E403">
        <v>2129</v>
      </c>
      <c r="F403">
        <v>-5322</v>
      </c>
      <c r="G403">
        <v>-228</v>
      </c>
      <c r="H403">
        <v>1726</v>
      </c>
      <c r="I403">
        <v>-120</v>
      </c>
      <c r="J403">
        <v>-112</v>
      </c>
      <c r="K403">
        <v>150</v>
      </c>
    </row>
    <row r="404" spans="2:11" x14ac:dyDescent="0.25">
      <c r="B404">
        <v>-16862</v>
      </c>
      <c r="C404">
        <v>-1459</v>
      </c>
      <c r="D404">
        <v>17207</v>
      </c>
      <c r="E404">
        <v>5837</v>
      </c>
      <c r="F404">
        <v>-720</v>
      </c>
      <c r="G404">
        <v>-242</v>
      </c>
      <c r="H404">
        <v>296</v>
      </c>
      <c r="I404">
        <v>10</v>
      </c>
      <c r="J404">
        <v>-115</v>
      </c>
      <c r="K404">
        <v>-115</v>
      </c>
    </row>
    <row r="405" spans="2:11" x14ac:dyDescent="0.25">
      <c r="B405">
        <v>4034</v>
      </c>
      <c r="C405">
        <v>-7060</v>
      </c>
      <c r="D405">
        <v>-414</v>
      </c>
      <c r="E405">
        <v>-63</v>
      </c>
      <c r="F405">
        <v>-107</v>
      </c>
      <c r="G405">
        <v>-214</v>
      </c>
      <c r="H405">
        <v>-206</v>
      </c>
      <c r="I405">
        <v>-2991</v>
      </c>
      <c r="J405">
        <v>284</v>
      </c>
      <c r="K405">
        <v>-74</v>
      </c>
    </row>
    <row r="406" spans="2:11" x14ac:dyDescent="0.25">
      <c r="B406">
        <v>-70</v>
      </c>
      <c r="C406">
        <v>58</v>
      </c>
      <c r="D406">
        <v>323</v>
      </c>
      <c r="E406">
        <v>-646</v>
      </c>
      <c r="F406">
        <v>-559</v>
      </c>
      <c r="G406">
        <v>173</v>
      </c>
      <c r="H406">
        <v>-813</v>
      </c>
      <c r="I406">
        <v>25062</v>
      </c>
      <c r="J406">
        <v>0</v>
      </c>
      <c r="K406">
        <v>4246</v>
      </c>
    </row>
    <row r="407" spans="2:11" x14ac:dyDescent="0.25">
      <c r="B407">
        <v>906</v>
      </c>
      <c r="C407">
        <v>5946</v>
      </c>
      <c r="D407">
        <v>5318</v>
      </c>
      <c r="E407">
        <v>5606</v>
      </c>
      <c r="F407">
        <v>3379</v>
      </c>
      <c r="G407">
        <v>6009</v>
      </c>
      <c r="H407">
        <v>17747</v>
      </c>
      <c r="I407">
        <v>6792</v>
      </c>
      <c r="J407">
        <v>3489</v>
      </c>
      <c r="K407">
        <v>13218</v>
      </c>
    </row>
    <row r="408" spans="2:11" x14ac:dyDescent="0.25">
      <c r="B408">
        <v>11611</v>
      </c>
      <c r="C408">
        <v>12318</v>
      </c>
      <c r="D408">
        <v>8637</v>
      </c>
      <c r="E408">
        <v>13300</v>
      </c>
      <c r="F408">
        <v>21868</v>
      </c>
      <c r="G408">
        <v>0</v>
      </c>
      <c r="H408">
        <v>0</v>
      </c>
      <c r="I408">
        <v>-161</v>
      </c>
      <c r="J408">
        <v>120</v>
      </c>
      <c r="K408">
        <v>189</v>
      </c>
    </row>
    <row r="409" spans="2:11" x14ac:dyDescent="0.25">
      <c r="B409">
        <v>-174</v>
      </c>
      <c r="C409">
        <v>72</v>
      </c>
      <c r="D409">
        <v>185</v>
      </c>
      <c r="E409">
        <v>-33</v>
      </c>
      <c r="F409">
        <v>42</v>
      </c>
      <c r="G409">
        <v>87</v>
      </c>
      <c r="H409">
        <v>215</v>
      </c>
      <c r="I409">
        <v>-30</v>
      </c>
      <c r="J409">
        <v>126</v>
      </c>
      <c r="K409">
        <v>-152</v>
      </c>
    </row>
    <row r="410" spans="2:11" x14ac:dyDescent="0.25">
      <c r="B410">
        <v>122</v>
      </c>
      <c r="C410">
        <v>-16</v>
      </c>
      <c r="D410">
        <v>0</v>
      </c>
      <c r="E410">
        <v>0</v>
      </c>
      <c r="F410">
        <v>0</v>
      </c>
      <c r="G410">
        <v>5</v>
      </c>
      <c r="H410">
        <v>-31</v>
      </c>
      <c r="I410">
        <v>-251</v>
      </c>
      <c r="J410">
        <v>0</v>
      </c>
      <c r="K410">
        <v>1659</v>
      </c>
    </row>
    <row r="411" spans="2:11" x14ac:dyDescent="0.25">
      <c r="B411">
        <v>-4180</v>
      </c>
      <c r="C411">
        <v>231</v>
      </c>
      <c r="D411">
        <v>179</v>
      </c>
      <c r="E411">
        <v>-51</v>
      </c>
      <c r="F411">
        <v>342</v>
      </c>
      <c r="G411">
        <v>108</v>
      </c>
      <c r="H411">
        <v>-122</v>
      </c>
      <c r="I411">
        <v>-4749</v>
      </c>
      <c r="J411">
        <v>3354</v>
      </c>
      <c r="K411">
        <v>1600</v>
      </c>
    </row>
    <row r="412" spans="2:11" x14ac:dyDescent="0.25">
      <c r="B412">
        <v>-473</v>
      </c>
      <c r="C412">
        <v>-206</v>
      </c>
      <c r="D412">
        <v>200</v>
      </c>
      <c r="E412">
        <v>-7</v>
      </c>
      <c r="F412">
        <v>-145</v>
      </c>
      <c r="G412">
        <v>-170</v>
      </c>
      <c r="H412">
        <v>3213</v>
      </c>
      <c r="I412">
        <v>-5559</v>
      </c>
      <c r="J412">
        <v>-333</v>
      </c>
      <c r="K412">
        <v>-89</v>
      </c>
    </row>
    <row r="413" spans="2:11" x14ac:dyDescent="0.25">
      <c r="B413">
        <v>-117</v>
      </c>
      <c r="C413">
        <v>-214</v>
      </c>
      <c r="D413">
        <v>-245</v>
      </c>
      <c r="E413">
        <v>-2298</v>
      </c>
      <c r="F413">
        <v>219</v>
      </c>
      <c r="G413">
        <v>-90</v>
      </c>
      <c r="H413">
        <v>-53</v>
      </c>
      <c r="I413">
        <v>-11</v>
      </c>
      <c r="J413">
        <v>161</v>
      </c>
      <c r="K413">
        <v>-518</v>
      </c>
    </row>
    <row r="414" spans="2:11" x14ac:dyDescent="0.25">
      <c r="B414">
        <v>-437</v>
      </c>
      <c r="C414">
        <v>134</v>
      </c>
      <c r="D414">
        <v>-648</v>
      </c>
      <c r="E414">
        <v>19779</v>
      </c>
      <c r="F414">
        <v>0</v>
      </c>
      <c r="G414">
        <v>3346</v>
      </c>
      <c r="H414">
        <v>722</v>
      </c>
      <c r="I414">
        <v>4694</v>
      </c>
      <c r="J414">
        <v>4196</v>
      </c>
      <c r="K414">
        <v>4429</v>
      </c>
    </row>
    <row r="415" spans="2:11" x14ac:dyDescent="0.25">
      <c r="B415">
        <v>2683</v>
      </c>
      <c r="C415">
        <v>4739</v>
      </c>
      <c r="D415">
        <v>14008</v>
      </c>
      <c r="E415">
        <v>5352</v>
      </c>
      <c r="F415">
        <v>2741</v>
      </c>
      <c r="G415">
        <v>10423</v>
      </c>
      <c r="H415">
        <v>9156</v>
      </c>
      <c r="I415">
        <v>9714</v>
      </c>
      <c r="J415">
        <v>6812</v>
      </c>
      <c r="K415">
        <v>10486</v>
      </c>
    </row>
    <row r="416" spans="2:11" x14ac:dyDescent="0.25">
      <c r="B416">
        <v>17257</v>
      </c>
      <c r="C416">
        <v>0</v>
      </c>
      <c r="D416">
        <v>7641</v>
      </c>
      <c r="E416">
        <v>0</v>
      </c>
      <c r="F416">
        <v>-562</v>
      </c>
      <c r="G416">
        <v>-349</v>
      </c>
      <c r="H416">
        <v>-169</v>
      </c>
      <c r="I416">
        <v>-373</v>
      </c>
      <c r="J416">
        <v>25</v>
      </c>
      <c r="K416">
        <v>529</v>
      </c>
    </row>
    <row r="417" spans="2:11" x14ac:dyDescent="0.25">
      <c r="B417">
        <v>-199</v>
      </c>
      <c r="C417">
        <v>746</v>
      </c>
      <c r="D417">
        <v>199</v>
      </c>
      <c r="E417">
        <v>36</v>
      </c>
      <c r="F417">
        <v>-363</v>
      </c>
      <c r="G417">
        <v>542</v>
      </c>
      <c r="H417">
        <v>243</v>
      </c>
      <c r="I417">
        <v>696</v>
      </c>
      <c r="J417">
        <v>257</v>
      </c>
      <c r="K417">
        <v>0</v>
      </c>
    </row>
    <row r="418" spans="2:11" x14ac:dyDescent="0.25">
      <c r="B418">
        <v>0</v>
      </c>
      <c r="C418">
        <v>0</v>
      </c>
      <c r="D418">
        <v>71</v>
      </c>
      <c r="E418">
        <v>-67</v>
      </c>
      <c r="F418">
        <v>-587</v>
      </c>
      <c r="G418">
        <v>105</v>
      </c>
      <c r="H418">
        <v>4587</v>
      </c>
      <c r="I418">
        <v>-11540</v>
      </c>
      <c r="J418">
        <v>831</v>
      </c>
      <c r="K418">
        <v>2662</v>
      </c>
    </row>
    <row r="419" spans="2:11" x14ac:dyDescent="0.25">
      <c r="B419">
        <v>51</v>
      </c>
      <c r="C419">
        <v>526</v>
      </c>
      <c r="D419">
        <v>368</v>
      </c>
      <c r="E419">
        <v>-145</v>
      </c>
      <c r="F419">
        <v>-10768</v>
      </c>
      <c r="G419">
        <v>15270</v>
      </c>
      <c r="H419">
        <v>2592</v>
      </c>
      <c r="I419">
        <v>-2813</v>
      </c>
      <c r="J419">
        <v>-482</v>
      </c>
      <c r="K419">
        <v>562</v>
      </c>
    </row>
    <row r="420" spans="2:11" x14ac:dyDescent="0.25">
      <c r="B420">
        <v>119</v>
      </c>
      <c r="C420">
        <v>-277</v>
      </c>
      <c r="D420">
        <v>-457</v>
      </c>
      <c r="E420">
        <v>8915</v>
      </c>
      <c r="F420">
        <v>-15402</v>
      </c>
      <c r="G420">
        <v>-867</v>
      </c>
      <c r="H420">
        <v>-280</v>
      </c>
      <c r="I420">
        <v>-288</v>
      </c>
      <c r="J420">
        <v>-518</v>
      </c>
      <c r="K420">
        <v>-690</v>
      </c>
    </row>
    <row r="421" spans="2:11" x14ac:dyDescent="0.25">
      <c r="B421">
        <v>-6344</v>
      </c>
      <c r="C421">
        <v>700</v>
      </c>
      <c r="D421">
        <v>-197</v>
      </c>
      <c r="E421">
        <v>15</v>
      </c>
      <c r="F421">
        <v>192</v>
      </c>
      <c r="G421">
        <v>466</v>
      </c>
      <c r="H421">
        <v>-1426</v>
      </c>
      <c r="I421">
        <v>-1200</v>
      </c>
      <c r="J421">
        <v>408</v>
      </c>
      <c r="K421">
        <v>-1755</v>
      </c>
    </row>
    <row r="422" spans="2:11" x14ac:dyDescent="0.25">
      <c r="B422">
        <v>54783</v>
      </c>
      <c r="C422">
        <v>0</v>
      </c>
      <c r="D422">
        <v>9259</v>
      </c>
      <c r="E422">
        <v>1988</v>
      </c>
      <c r="F422">
        <v>12988</v>
      </c>
      <c r="G422">
        <v>11618</v>
      </c>
      <c r="H422">
        <v>12256</v>
      </c>
      <c r="I422">
        <v>7415</v>
      </c>
      <c r="J422">
        <v>13116</v>
      </c>
      <c r="K422">
        <v>38798</v>
      </c>
    </row>
    <row r="423" spans="2:11" x14ac:dyDescent="0.25">
      <c r="B423">
        <v>14816</v>
      </c>
      <c r="C423">
        <v>7588</v>
      </c>
      <c r="D423">
        <v>28865</v>
      </c>
      <c r="E423">
        <v>25357</v>
      </c>
      <c r="F423">
        <v>26901</v>
      </c>
      <c r="G423">
        <v>18862</v>
      </c>
      <c r="H423">
        <v>29033</v>
      </c>
      <c r="I423">
        <v>47793</v>
      </c>
      <c r="J423">
        <v>0</v>
      </c>
      <c r="K423">
        <v>22283</v>
      </c>
    </row>
    <row r="424" spans="2:11" x14ac:dyDescent="0.25">
      <c r="B424">
        <v>13730</v>
      </c>
      <c r="C424">
        <v>0</v>
      </c>
      <c r="D424">
        <v>-20</v>
      </c>
      <c r="E424">
        <v>-12</v>
      </c>
      <c r="F424">
        <v>591</v>
      </c>
      <c r="G424">
        <v>-87</v>
      </c>
      <c r="H424">
        <v>-323</v>
      </c>
      <c r="I424">
        <v>-517</v>
      </c>
      <c r="J424">
        <v>-117</v>
      </c>
      <c r="K424">
        <v>103</v>
      </c>
    </row>
    <row r="425" spans="2:11" x14ac:dyDescent="0.25">
      <c r="B425">
        <v>203</v>
      </c>
      <c r="C425">
        <v>-144</v>
      </c>
      <c r="D425">
        <v>-456</v>
      </c>
      <c r="E425">
        <v>53</v>
      </c>
      <c r="F425">
        <v>787</v>
      </c>
      <c r="G425">
        <v>4909</v>
      </c>
      <c r="H425">
        <v>3400</v>
      </c>
      <c r="I425">
        <v>0</v>
      </c>
      <c r="J425">
        <v>0</v>
      </c>
      <c r="K425">
        <v>0</v>
      </c>
    </row>
    <row r="426" spans="2:11" x14ac:dyDescent="0.25">
      <c r="B426">
        <v>-109</v>
      </c>
      <c r="C426">
        <v>-24</v>
      </c>
      <c r="D426">
        <v>-351</v>
      </c>
      <c r="E426">
        <v>-21</v>
      </c>
      <c r="F426">
        <v>1704</v>
      </c>
      <c r="G426">
        <v>-4203</v>
      </c>
      <c r="H426">
        <v>1666</v>
      </c>
      <c r="I426">
        <v>528</v>
      </c>
      <c r="J426">
        <v>483</v>
      </c>
      <c r="K426">
        <v>1280</v>
      </c>
    </row>
    <row r="427" spans="2:11" x14ac:dyDescent="0.25">
      <c r="B427">
        <v>1404</v>
      </c>
      <c r="C427">
        <v>-1831</v>
      </c>
      <c r="D427">
        <v>-26039</v>
      </c>
      <c r="E427">
        <v>42498</v>
      </c>
      <c r="F427">
        <v>314</v>
      </c>
      <c r="G427">
        <v>-3780</v>
      </c>
      <c r="H427">
        <v>-58</v>
      </c>
      <c r="I427">
        <v>295</v>
      </c>
      <c r="J427">
        <v>19</v>
      </c>
      <c r="K427">
        <v>-42</v>
      </c>
    </row>
    <row r="428" spans="2:11" x14ac:dyDescent="0.25">
      <c r="B428">
        <v>16</v>
      </c>
      <c r="C428">
        <v>3027</v>
      </c>
      <c r="D428">
        <v>-5553</v>
      </c>
      <c r="E428">
        <v>-183</v>
      </c>
      <c r="F428">
        <v>25</v>
      </c>
      <c r="G428">
        <v>-16</v>
      </c>
      <c r="H428">
        <v>-152</v>
      </c>
      <c r="I428">
        <v>-52</v>
      </c>
      <c r="J428">
        <v>-2512</v>
      </c>
      <c r="K428">
        <v>319</v>
      </c>
    </row>
    <row r="429" spans="2:11" x14ac:dyDescent="0.25">
      <c r="B429">
        <v>-8</v>
      </c>
      <c r="C429">
        <v>-55</v>
      </c>
      <c r="D429">
        <v>98</v>
      </c>
      <c r="E429">
        <v>364</v>
      </c>
      <c r="F429">
        <v>-494</v>
      </c>
      <c r="G429">
        <v>-429</v>
      </c>
      <c r="H429">
        <v>141</v>
      </c>
      <c r="I429">
        <v>-614</v>
      </c>
      <c r="J429">
        <v>19459</v>
      </c>
      <c r="K429">
        <v>0</v>
      </c>
    </row>
    <row r="430" spans="2:11" x14ac:dyDescent="0.25">
      <c r="B430">
        <v>3309</v>
      </c>
      <c r="C430">
        <v>684</v>
      </c>
      <c r="D430">
        <v>4623</v>
      </c>
      <c r="E430">
        <v>4136</v>
      </c>
      <c r="F430">
        <v>4342</v>
      </c>
      <c r="G430">
        <v>2574</v>
      </c>
      <c r="H430">
        <v>4671</v>
      </c>
      <c r="I430">
        <v>13780</v>
      </c>
      <c r="J430">
        <v>5288</v>
      </c>
      <c r="K430">
        <v>2764</v>
      </c>
    </row>
    <row r="431" spans="2:11" x14ac:dyDescent="0.25">
      <c r="B431">
        <v>10279</v>
      </c>
      <c r="C431">
        <v>9034</v>
      </c>
      <c r="D431">
        <v>9575</v>
      </c>
      <c r="E431">
        <v>6708</v>
      </c>
      <c r="F431">
        <v>10344</v>
      </c>
      <c r="G431">
        <v>16981</v>
      </c>
      <c r="H431">
        <v>0</v>
      </c>
      <c r="I431">
        <v>30681</v>
      </c>
      <c r="J431">
        <v>10556</v>
      </c>
      <c r="K431">
        <v>39060</v>
      </c>
    </row>
    <row r="432" spans="2:11" x14ac:dyDescent="0.25">
      <c r="B432">
        <v>0</v>
      </c>
      <c r="C432">
        <v>217</v>
      </c>
      <c r="D432">
        <v>45</v>
      </c>
      <c r="E432">
        <v>407</v>
      </c>
      <c r="F432">
        <v>-174</v>
      </c>
      <c r="G432">
        <v>-403</v>
      </c>
      <c r="H432">
        <v>-1068</v>
      </c>
      <c r="I432">
        <v>85</v>
      </c>
      <c r="J432">
        <v>86</v>
      </c>
      <c r="K432">
        <v>-307</v>
      </c>
    </row>
    <row r="433" spans="2:11" x14ac:dyDescent="0.25">
      <c r="B433">
        <v>-724</v>
      </c>
      <c r="C433">
        <v>-381</v>
      </c>
      <c r="D433">
        <v>239</v>
      </c>
      <c r="E433">
        <v>250</v>
      </c>
      <c r="F433">
        <v>4716</v>
      </c>
      <c r="G433">
        <v>2954</v>
      </c>
      <c r="H433">
        <v>0</v>
      </c>
      <c r="I433">
        <v>0</v>
      </c>
      <c r="J433">
        <v>0</v>
      </c>
      <c r="K433">
        <v>-244</v>
      </c>
    </row>
    <row r="434" spans="2:11" x14ac:dyDescent="0.25">
      <c r="B434">
        <v>-39</v>
      </c>
      <c r="C434">
        <v>-263</v>
      </c>
      <c r="D434">
        <v>81</v>
      </c>
      <c r="E434">
        <v>1649</v>
      </c>
      <c r="F434">
        <v>-4090</v>
      </c>
      <c r="G434">
        <v>1095</v>
      </c>
      <c r="H434">
        <v>1136</v>
      </c>
      <c r="I434">
        <v>-389</v>
      </c>
      <c r="J434">
        <v>1257</v>
      </c>
      <c r="K434">
        <v>1291</v>
      </c>
    </row>
    <row r="435" spans="2:11" x14ac:dyDescent="0.25">
      <c r="B435">
        <v>-2519</v>
      </c>
      <c r="C435">
        <v>-33721</v>
      </c>
      <c r="D435">
        <v>49915</v>
      </c>
      <c r="E435">
        <v>-574</v>
      </c>
      <c r="F435">
        <v>-1863</v>
      </c>
      <c r="G435">
        <v>-45</v>
      </c>
      <c r="H435">
        <v>337</v>
      </c>
      <c r="I435">
        <v>168</v>
      </c>
      <c r="J435">
        <v>124</v>
      </c>
      <c r="K435">
        <v>147</v>
      </c>
    </row>
    <row r="436" spans="2:11" x14ac:dyDescent="0.25">
      <c r="B436">
        <v>2945</v>
      </c>
      <c r="C436">
        <v>-5384</v>
      </c>
      <c r="D436">
        <v>-220</v>
      </c>
      <c r="E436">
        <v>87</v>
      </c>
      <c r="F436">
        <v>143</v>
      </c>
      <c r="G436">
        <v>62</v>
      </c>
      <c r="H436">
        <v>66</v>
      </c>
      <c r="I436">
        <v>-2433</v>
      </c>
      <c r="J436">
        <v>343</v>
      </c>
      <c r="K436">
        <v>62</v>
      </c>
    </row>
    <row r="437" spans="2:11" x14ac:dyDescent="0.25">
      <c r="B437">
        <v>110</v>
      </c>
      <c r="C437">
        <v>309</v>
      </c>
      <c r="D437">
        <v>540</v>
      </c>
      <c r="E437">
        <v>-481</v>
      </c>
      <c r="F437">
        <v>-412</v>
      </c>
      <c r="G437">
        <v>128</v>
      </c>
      <c r="H437">
        <v>-609</v>
      </c>
      <c r="I437">
        <v>18873</v>
      </c>
      <c r="J437">
        <v>0</v>
      </c>
      <c r="K437">
        <v>3214</v>
      </c>
    </row>
    <row r="438" spans="2:11" x14ac:dyDescent="0.25">
      <c r="B438">
        <v>665</v>
      </c>
      <c r="C438">
        <v>4485</v>
      </c>
      <c r="D438">
        <v>4009</v>
      </c>
      <c r="E438">
        <v>4208</v>
      </c>
      <c r="F438">
        <v>2500</v>
      </c>
      <c r="G438">
        <v>4528</v>
      </c>
      <c r="H438">
        <v>13362</v>
      </c>
      <c r="I438">
        <v>5132</v>
      </c>
      <c r="J438">
        <v>2683</v>
      </c>
      <c r="K438">
        <v>9970</v>
      </c>
    </row>
    <row r="439" spans="2:11" x14ac:dyDescent="0.25">
      <c r="B439">
        <v>8765</v>
      </c>
      <c r="C439">
        <v>9283</v>
      </c>
      <c r="D439">
        <v>6502</v>
      </c>
      <c r="E439">
        <v>10030</v>
      </c>
      <c r="F439">
        <v>16469</v>
      </c>
      <c r="G439">
        <v>0</v>
      </c>
      <c r="H439">
        <v>31861</v>
      </c>
      <c r="I439">
        <v>11084</v>
      </c>
      <c r="J439">
        <v>41006</v>
      </c>
      <c r="K439">
        <v>73349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-536</v>
      </c>
      <c r="E448">
        <v>83</v>
      </c>
      <c r="F448">
        <v>159</v>
      </c>
      <c r="G448">
        <v>-372</v>
      </c>
      <c r="H448">
        <v>11</v>
      </c>
      <c r="I448">
        <v>342</v>
      </c>
      <c r="J448">
        <v>79</v>
      </c>
      <c r="K448">
        <v>385</v>
      </c>
    </row>
    <row r="449" spans="2:11" x14ac:dyDescent="0.25">
      <c r="B449">
        <v>329</v>
      </c>
      <c r="C449">
        <v>-483</v>
      </c>
      <c r="D449">
        <v>-314</v>
      </c>
      <c r="E449">
        <v>409</v>
      </c>
      <c r="F449">
        <v>-72</v>
      </c>
      <c r="G449">
        <v>201</v>
      </c>
      <c r="H449">
        <v>-41</v>
      </c>
      <c r="I449">
        <v>0</v>
      </c>
      <c r="J449">
        <v>0</v>
      </c>
      <c r="K449">
        <v>0</v>
      </c>
    </row>
    <row r="450" spans="2:11" x14ac:dyDescent="0.25">
      <c r="B450">
        <v>94</v>
      </c>
      <c r="C450">
        <v>-53</v>
      </c>
      <c r="D450">
        <v>-564</v>
      </c>
      <c r="E450">
        <v>48</v>
      </c>
      <c r="F450">
        <v>4119</v>
      </c>
      <c r="G450">
        <v>-10379</v>
      </c>
      <c r="H450">
        <v>1284</v>
      </c>
      <c r="I450">
        <v>3206</v>
      </c>
      <c r="J450">
        <v>32</v>
      </c>
      <c r="K450">
        <v>1197</v>
      </c>
    </row>
    <row r="451" spans="2:11" x14ac:dyDescent="0.25">
      <c r="B451">
        <v>306</v>
      </c>
      <c r="C451">
        <v>-1490</v>
      </c>
      <c r="D451">
        <v>-9684</v>
      </c>
      <c r="E451">
        <v>15717</v>
      </c>
      <c r="F451">
        <v>7825</v>
      </c>
      <c r="G451">
        <v>-1988</v>
      </c>
      <c r="H451">
        <v>-396</v>
      </c>
      <c r="I451">
        <v>526</v>
      </c>
      <c r="J451">
        <v>63</v>
      </c>
      <c r="K451">
        <v>-292</v>
      </c>
    </row>
    <row r="452" spans="2:11" x14ac:dyDescent="0.25">
      <c r="B452">
        <v>-368</v>
      </c>
      <c r="C452">
        <v>8021</v>
      </c>
      <c r="D452">
        <v>-13850</v>
      </c>
      <c r="E452">
        <v>-776</v>
      </c>
      <c r="F452">
        <v>-217</v>
      </c>
      <c r="G452">
        <v>-264</v>
      </c>
      <c r="H452">
        <v>-499</v>
      </c>
      <c r="I452">
        <v>-615</v>
      </c>
      <c r="J452">
        <v>-5695</v>
      </c>
      <c r="K452">
        <v>760</v>
      </c>
    </row>
    <row r="453" spans="2:11" x14ac:dyDescent="0.25">
      <c r="B453">
        <v>-113</v>
      </c>
      <c r="C453">
        <v>38</v>
      </c>
      <c r="D453">
        <v>164</v>
      </c>
      <c r="E453">
        <v>552</v>
      </c>
      <c r="F453">
        <v>-1284</v>
      </c>
      <c r="G453">
        <v>-1074</v>
      </c>
      <c r="H453">
        <v>352</v>
      </c>
      <c r="I453">
        <v>-1579</v>
      </c>
      <c r="J453">
        <v>49260</v>
      </c>
      <c r="K453">
        <v>0</v>
      </c>
    </row>
    <row r="454" spans="2:11" x14ac:dyDescent="0.25">
      <c r="B454">
        <v>8331</v>
      </c>
      <c r="C454">
        <v>1794</v>
      </c>
      <c r="D454">
        <v>11688</v>
      </c>
      <c r="E454">
        <v>10448</v>
      </c>
      <c r="F454">
        <v>11025</v>
      </c>
      <c r="G454">
        <v>6678</v>
      </c>
      <c r="H454">
        <v>11799</v>
      </c>
      <c r="I454">
        <v>34891</v>
      </c>
      <c r="J454">
        <v>13326</v>
      </c>
      <c r="K454">
        <v>6823</v>
      </c>
    </row>
    <row r="455" spans="2:11" x14ac:dyDescent="0.25">
      <c r="B455">
        <v>25955</v>
      </c>
      <c r="C455">
        <v>22796</v>
      </c>
      <c r="D455">
        <v>24188</v>
      </c>
      <c r="E455">
        <v>16962</v>
      </c>
      <c r="F455">
        <v>26107</v>
      </c>
      <c r="G455">
        <v>42974</v>
      </c>
      <c r="H455">
        <v>0</v>
      </c>
      <c r="I455">
        <v>23267</v>
      </c>
      <c r="J455">
        <v>12365</v>
      </c>
      <c r="K455">
        <v>39714</v>
      </c>
    </row>
    <row r="456" spans="2:11" x14ac:dyDescent="0.25">
      <c r="B456">
        <v>35612</v>
      </c>
      <c r="C456">
        <v>37446</v>
      </c>
      <c r="D456">
        <v>0</v>
      </c>
      <c r="E456">
        <v>0</v>
      </c>
      <c r="F456">
        <v>-973</v>
      </c>
      <c r="G456">
        <v>-209</v>
      </c>
      <c r="H456">
        <v>395</v>
      </c>
      <c r="I456">
        <v>-745</v>
      </c>
      <c r="J456">
        <v>33</v>
      </c>
      <c r="K456">
        <v>381</v>
      </c>
    </row>
    <row r="457" spans="2:11" x14ac:dyDescent="0.25">
      <c r="B457">
        <v>-321</v>
      </c>
      <c r="C457">
        <v>291</v>
      </c>
      <c r="D457">
        <v>158</v>
      </c>
      <c r="E457">
        <v>388</v>
      </c>
      <c r="F457">
        <v>-302</v>
      </c>
      <c r="G457">
        <v>511</v>
      </c>
      <c r="H457">
        <v>-271</v>
      </c>
      <c r="I457">
        <v>-1158</v>
      </c>
      <c r="J457">
        <v>-1166</v>
      </c>
      <c r="K457">
        <v>0</v>
      </c>
    </row>
    <row r="458" spans="2:11" x14ac:dyDescent="0.25">
      <c r="B458">
        <v>0</v>
      </c>
      <c r="C458">
        <v>0</v>
      </c>
      <c r="D458">
        <v>97</v>
      </c>
      <c r="E458">
        <v>-128</v>
      </c>
      <c r="F458">
        <v>-1055</v>
      </c>
      <c r="G458">
        <v>142</v>
      </c>
      <c r="H458">
        <v>7328</v>
      </c>
      <c r="I458">
        <v>-18494</v>
      </c>
      <c r="J458">
        <v>474</v>
      </c>
      <c r="K458">
        <v>2848</v>
      </c>
    </row>
    <row r="459" spans="2:11" x14ac:dyDescent="0.25">
      <c r="B459">
        <v>28</v>
      </c>
      <c r="C459">
        <v>882</v>
      </c>
      <c r="D459">
        <v>-169</v>
      </c>
      <c r="E459">
        <v>-1086</v>
      </c>
      <c r="F459">
        <v>-6781</v>
      </c>
      <c r="G459">
        <v>14246</v>
      </c>
      <c r="H459">
        <v>2699</v>
      </c>
      <c r="I459">
        <v>-1423</v>
      </c>
      <c r="J459">
        <v>-888</v>
      </c>
      <c r="K459">
        <v>885</v>
      </c>
    </row>
    <row r="460" spans="2:11" x14ac:dyDescent="0.25">
      <c r="B460">
        <v>25</v>
      </c>
      <c r="C460">
        <v>-521</v>
      </c>
      <c r="D460">
        <v>-765</v>
      </c>
      <c r="E460">
        <v>14320</v>
      </c>
      <c r="F460">
        <v>-24658</v>
      </c>
      <c r="G460">
        <v>-1528</v>
      </c>
      <c r="H460">
        <v>-399</v>
      </c>
      <c r="I460">
        <v>-501</v>
      </c>
      <c r="J460">
        <v>-804</v>
      </c>
      <c r="K460">
        <v>-1143</v>
      </c>
    </row>
    <row r="461" spans="2:11" x14ac:dyDescent="0.25">
      <c r="B461">
        <v>-10109</v>
      </c>
      <c r="C461">
        <v>1063</v>
      </c>
      <c r="D461">
        <v>-350</v>
      </c>
      <c r="E461">
        <v>-141</v>
      </c>
      <c r="F461">
        <v>202</v>
      </c>
      <c r="G461">
        <v>770</v>
      </c>
      <c r="H461">
        <v>-2295</v>
      </c>
      <c r="I461">
        <v>-1936</v>
      </c>
      <c r="J461">
        <v>607</v>
      </c>
      <c r="K461">
        <v>-2852</v>
      </c>
    </row>
    <row r="462" spans="2:11" x14ac:dyDescent="0.25">
      <c r="B462">
        <v>87819</v>
      </c>
      <c r="C462">
        <v>0</v>
      </c>
      <c r="D462">
        <v>14847</v>
      </c>
      <c r="E462">
        <v>3204</v>
      </c>
      <c r="F462">
        <v>20826</v>
      </c>
      <c r="G462">
        <v>18623</v>
      </c>
      <c r="H462">
        <v>19656</v>
      </c>
      <c r="I462">
        <v>11923</v>
      </c>
      <c r="J462">
        <v>21030</v>
      </c>
      <c r="K462">
        <v>62196</v>
      </c>
    </row>
    <row r="463" spans="2:11" x14ac:dyDescent="0.25">
      <c r="B463">
        <v>23755</v>
      </c>
      <c r="C463">
        <v>12140</v>
      </c>
      <c r="D463">
        <v>46270</v>
      </c>
      <c r="E463">
        <v>40642</v>
      </c>
      <c r="F463">
        <v>43122</v>
      </c>
      <c r="G463">
        <v>30240</v>
      </c>
      <c r="H463">
        <v>46543</v>
      </c>
      <c r="I463">
        <v>76617</v>
      </c>
      <c r="J463">
        <v>0</v>
      </c>
      <c r="K463">
        <v>33969</v>
      </c>
    </row>
    <row r="464" spans="2:11" x14ac:dyDescent="0.25">
      <c r="B464">
        <v>20127</v>
      </c>
      <c r="C464">
        <v>60768</v>
      </c>
      <c r="D464">
        <v>43878</v>
      </c>
      <c r="E464">
        <v>45288</v>
      </c>
      <c r="F464">
        <v>0</v>
      </c>
      <c r="G464">
        <v>54948</v>
      </c>
      <c r="H464">
        <v>0</v>
      </c>
      <c r="I464">
        <v>-558</v>
      </c>
      <c r="J464">
        <v>-285</v>
      </c>
      <c r="K464">
        <v>-71</v>
      </c>
    </row>
    <row r="465" spans="2:11" x14ac:dyDescent="0.25">
      <c r="B465">
        <v>-205</v>
      </c>
      <c r="C465">
        <v>-399</v>
      </c>
      <c r="D465">
        <v>295</v>
      </c>
      <c r="E465">
        <v>307</v>
      </c>
      <c r="F465">
        <v>53</v>
      </c>
      <c r="G465">
        <v>274</v>
      </c>
      <c r="H465">
        <v>-110</v>
      </c>
      <c r="I465">
        <v>276</v>
      </c>
      <c r="J465">
        <v>104</v>
      </c>
      <c r="K465">
        <v>677</v>
      </c>
    </row>
    <row r="466" spans="2:11" x14ac:dyDescent="0.25">
      <c r="B466">
        <v>768</v>
      </c>
      <c r="C466">
        <v>483</v>
      </c>
      <c r="D466">
        <v>0</v>
      </c>
      <c r="E466">
        <v>0</v>
      </c>
      <c r="F466">
        <v>0</v>
      </c>
      <c r="G466">
        <v>223</v>
      </c>
      <c r="H466">
        <v>-6</v>
      </c>
      <c r="I466">
        <v>-268</v>
      </c>
      <c r="J466">
        <v>8</v>
      </c>
      <c r="K466">
        <v>1429</v>
      </c>
    </row>
    <row r="467" spans="2:11" x14ac:dyDescent="0.25">
      <c r="B467">
        <v>-3566</v>
      </c>
      <c r="C467">
        <v>884</v>
      </c>
      <c r="D467">
        <v>2513</v>
      </c>
      <c r="E467">
        <v>-524</v>
      </c>
      <c r="F467">
        <v>1192</v>
      </c>
      <c r="G467">
        <v>400</v>
      </c>
      <c r="H467">
        <v>-14884</v>
      </c>
      <c r="I467">
        <v>4885</v>
      </c>
      <c r="J467">
        <v>20183</v>
      </c>
      <c r="K467">
        <v>441</v>
      </c>
    </row>
    <row r="468" spans="2:11" x14ac:dyDescent="0.25">
      <c r="B468">
        <v>2916</v>
      </c>
      <c r="C468">
        <v>-95</v>
      </c>
      <c r="D468">
        <v>149</v>
      </c>
      <c r="E468">
        <v>-68</v>
      </c>
      <c r="F468">
        <v>-157</v>
      </c>
      <c r="G468">
        <v>-185</v>
      </c>
      <c r="H468">
        <v>2761</v>
      </c>
      <c r="I468">
        <v>-4792</v>
      </c>
      <c r="J468">
        <v>-197</v>
      </c>
      <c r="K468">
        <v>-102</v>
      </c>
    </row>
    <row r="469" spans="2:11" x14ac:dyDescent="0.25">
      <c r="B469">
        <v>-183</v>
      </c>
      <c r="C469">
        <v>-260</v>
      </c>
      <c r="D469">
        <v>-261</v>
      </c>
      <c r="E469">
        <v>-1977</v>
      </c>
      <c r="F469">
        <v>295</v>
      </c>
      <c r="G469">
        <v>-70</v>
      </c>
      <c r="H469">
        <v>-93</v>
      </c>
      <c r="I469">
        <v>10</v>
      </c>
      <c r="J469">
        <v>95</v>
      </c>
      <c r="K469">
        <v>-437</v>
      </c>
    </row>
    <row r="470" spans="2:11" x14ac:dyDescent="0.25">
      <c r="B470">
        <v>-367</v>
      </c>
      <c r="C470">
        <v>139</v>
      </c>
      <c r="D470">
        <v>-524</v>
      </c>
      <c r="E470">
        <v>17006</v>
      </c>
      <c r="F470">
        <v>0</v>
      </c>
      <c r="G470">
        <v>2878</v>
      </c>
      <c r="H470">
        <v>614</v>
      </c>
      <c r="I470">
        <v>4036</v>
      </c>
      <c r="J470">
        <v>3609</v>
      </c>
      <c r="K470">
        <v>3802</v>
      </c>
    </row>
    <row r="471" spans="2:11" x14ac:dyDescent="0.25">
      <c r="B471">
        <v>2293</v>
      </c>
      <c r="C471">
        <v>4080</v>
      </c>
      <c r="D471">
        <v>12046</v>
      </c>
      <c r="E471">
        <v>4599</v>
      </c>
      <c r="F471">
        <v>2363</v>
      </c>
      <c r="G471">
        <v>8963</v>
      </c>
      <c r="H471">
        <v>7873</v>
      </c>
      <c r="I471">
        <v>8351</v>
      </c>
      <c r="J471">
        <v>5852</v>
      </c>
      <c r="K471">
        <v>9013</v>
      </c>
    </row>
    <row r="472" spans="2:11" x14ac:dyDescent="0.25">
      <c r="B472">
        <v>14839</v>
      </c>
      <c r="C472">
        <v>0</v>
      </c>
      <c r="D472">
        <v>10370</v>
      </c>
      <c r="E472">
        <v>6193</v>
      </c>
      <c r="F472">
        <v>21468</v>
      </c>
      <c r="G472">
        <v>31266</v>
      </c>
      <c r="H472">
        <v>32368</v>
      </c>
      <c r="I472">
        <v>0</v>
      </c>
      <c r="J472">
        <v>20960</v>
      </c>
      <c r="K472">
        <v>29384</v>
      </c>
    </row>
    <row r="473" spans="2:11" x14ac:dyDescent="0.25">
      <c r="B473">
        <v>0</v>
      </c>
      <c r="C473">
        <v>-834</v>
      </c>
      <c r="D473">
        <v>-390</v>
      </c>
      <c r="E473">
        <v>-143</v>
      </c>
      <c r="F473">
        <v>-438</v>
      </c>
      <c r="G473">
        <v>-272</v>
      </c>
      <c r="H473">
        <v>526</v>
      </c>
      <c r="I473">
        <v>-496</v>
      </c>
      <c r="J473">
        <v>-116</v>
      </c>
      <c r="K473">
        <v>20</v>
      </c>
    </row>
    <row r="474" spans="2:11" x14ac:dyDescent="0.25">
      <c r="B474">
        <v>-26</v>
      </c>
      <c r="C474">
        <v>21</v>
      </c>
      <c r="D474">
        <v>153</v>
      </c>
      <c r="E474">
        <v>-330</v>
      </c>
      <c r="F474">
        <v>-1131</v>
      </c>
      <c r="G474">
        <v>-919</v>
      </c>
      <c r="H474">
        <v>0</v>
      </c>
      <c r="I474">
        <v>0</v>
      </c>
      <c r="J474">
        <v>0</v>
      </c>
      <c r="K474">
        <v>114</v>
      </c>
    </row>
    <row r="475" spans="2:11" x14ac:dyDescent="0.25">
      <c r="B475">
        <v>-76</v>
      </c>
      <c r="C475">
        <v>-446</v>
      </c>
      <c r="D475">
        <v>83</v>
      </c>
      <c r="E475">
        <v>3080</v>
      </c>
      <c r="F475">
        <v>-7818</v>
      </c>
      <c r="G475">
        <v>-153</v>
      </c>
      <c r="H475">
        <v>458</v>
      </c>
      <c r="I475">
        <v>-170</v>
      </c>
      <c r="J475">
        <v>101</v>
      </c>
      <c r="K475">
        <v>-525</v>
      </c>
    </row>
    <row r="476" spans="2:11" x14ac:dyDescent="0.25">
      <c r="B476">
        <v>530</v>
      </c>
      <c r="C476">
        <v>-3502</v>
      </c>
      <c r="D476">
        <v>-2115</v>
      </c>
      <c r="E476">
        <v>4071</v>
      </c>
      <c r="F476">
        <v>-338</v>
      </c>
      <c r="G476">
        <v>-806</v>
      </c>
      <c r="H476">
        <v>968</v>
      </c>
      <c r="I476">
        <v>-926</v>
      </c>
      <c r="J476">
        <v>-485</v>
      </c>
      <c r="K476">
        <v>-678</v>
      </c>
    </row>
    <row r="477" spans="2:11" x14ac:dyDescent="0.25">
      <c r="B477">
        <v>4787</v>
      </c>
      <c r="C477">
        <v>-10843</v>
      </c>
      <c r="D477">
        <v>-685</v>
      </c>
      <c r="E477">
        <v>-225</v>
      </c>
      <c r="F477">
        <v>-276</v>
      </c>
      <c r="G477">
        <v>-368</v>
      </c>
      <c r="H477">
        <v>-578</v>
      </c>
      <c r="I477">
        <v>-4252</v>
      </c>
      <c r="J477">
        <v>412</v>
      </c>
      <c r="K477">
        <v>-197</v>
      </c>
    </row>
    <row r="478" spans="2:11" x14ac:dyDescent="0.25">
      <c r="B478">
        <v>-101</v>
      </c>
      <c r="C478">
        <v>94</v>
      </c>
      <c r="D478">
        <v>231</v>
      </c>
      <c r="E478">
        <v>-978</v>
      </c>
      <c r="F478">
        <v>-822</v>
      </c>
      <c r="G478">
        <v>258</v>
      </c>
      <c r="H478">
        <v>-1212</v>
      </c>
      <c r="I478">
        <v>37181</v>
      </c>
      <c r="J478">
        <v>0</v>
      </c>
      <c r="K478">
        <v>6284</v>
      </c>
    </row>
    <row r="479" spans="2:11" x14ac:dyDescent="0.25">
      <c r="B479">
        <v>1357</v>
      </c>
      <c r="C479">
        <v>8812</v>
      </c>
      <c r="D479">
        <v>7886</v>
      </c>
      <c r="E479">
        <v>8322</v>
      </c>
      <c r="F479">
        <v>5057</v>
      </c>
      <c r="G479">
        <v>8898</v>
      </c>
      <c r="H479">
        <v>26332</v>
      </c>
      <c r="I479">
        <v>10053</v>
      </c>
      <c r="J479">
        <v>5132</v>
      </c>
      <c r="K479">
        <v>19584</v>
      </c>
    </row>
    <row r="480" spans="2:11" x14ac:dyDescent="0.25">
      <c r="B480">
        <v>17204</v>
      </c>
      <c r="C480">
        <v>18251</v>
      </c>
      <c r="D480">
        <v>12801</v>
      </c>
      <c r="E480">
        <v>19698</v>
      </c>
      <c r="F480">
        <v>32438</v>
      </c>
      <c r="G480">
        <v>0</v>
      </c>
      <c r="H480">
        <v>9317</v>
      </c>
      <c r="I480">
        <v>7353</v>
      </c>
      <c r="J480">
        <v>20370</v>
      </c>
      <c r="K480">
        <v>7236</v>
      </c>
    </row>
    <row r="481" spans="2:11" x14ac:dyDescent="0.25">
      <c r="B481">
        <v>7018</v>
      </c>
      <c r="C481">
        <v>0</v>
      </c>
      <c r="D481">
        <v>18317</v>
      </c>
      <c r="E481">
        <v>32653</v>
      </c>
      <c r="F481">
        <v>6327</v>
      </c>
      <c r="G481">
        <v>0</v>
      </c>
      <c r="H481">
        <v>-517</v>
      </c>
      <c r="I481">
        <v>1</v>
      </c>
      <c r="J481">
        <v>104</v>
      </c>
      <c r="K481">
        <v>-513</v>
      </c>
    </row>
    <row r="482" spans="2:11" x14ac:dyDescent="0.25">
      <c r="B482">
        <v>130</v>
      </c>
      <c r="C482">
        <v>617</v>
      </c>
      <c r="D482">
        <v>-283</v>
      </c>
      <c r="E482">
        <v>273</v>
      </c>
      <c r="F482">
        <v>425</v>
      </c>
      <c r="G482">
        <v>166</v>
      </c>
      <c r="H482">
        <v>65</v>
      </c>
      <c r="I482">
        <v>427</v>
      </c>
      <c r="J482">
        <v>-439</v>
      </c>
      <c r="K482">
        <v>-1881</v>
      </c>
    </row>
    <row r="483" spans="2:11" x14ac:dyDescent="0.25">
      <c r="B483">
        <v>-1367</v>
      </c>
      <c r="C483">
        <v>0</v>
      </c>
      <c r="D483">
        <v>0</v>
      </c>
      <c r="E483">
        <v>0</v>
      </c>
      <c r="F483">
        <v>12</v>
      </c>
      <c r="G483">
        <v>-94</v>
      </c>
      <c r="H483">
        <v>-661</v>
      </c>
      <c r="I483">
        <v>73</v>
      </c>
      <c r="J483">
        <v>4856</v>
      </c>
      <c r="K483">
        <v>-12279</v>
      </c>
    </row>
    <row r="484" spans="2:11" x14ac:dyDescent="0.25">
      <c r="B484">
        <v>-195</v>
      </c>
      <c r="C484">
        <v>774</v>
      </c>
      <c r="D484">
        <v>-172</v>
      </c>
      <c r="E484">
        <v>164</v>
      </c>
      <c r="F484">
        <v>-661</v>
      </c>
      <c r="G484">
        <v>835</v>
      </c>
      <c r="H484">
        <v>-5507</v>
      </c>
      <c r="I484">
        <v>-3316</v>
      </c>
      <c r="J484">
        <v>6413</v>
      </c>
      <c r="K484">
        <v>-523</v>
      </c>
    </row>
    <row r="485" spans="2:11" x14ac:dyDescent="0.25">
      <c r="B485">
        <v>-781</v>
      </c>
      <c r="C485">
        <v>-703</v>
      </c>
      <c r="D485">
        <v>-14</v>
      </c>
      <c r="E485">
        <v>-582</v>
      </c>
      <c r="F485">
        <v>-463</v>
      </c>
      <c r="G485">
        <v>5655</v>
      </c>
      <c r="H485">
        <v>-8188</v>
      </c>
      <c r="I485">
        <v>-1031</v>
      </c>
      <c r="J485">
        <v>-304</v>
      </c>
      <c r="K485">
        <v>-354</v>
      </c>
    </row>
    <row r="486" spans="2:11" x14ac:dyDescent="0.25">
      <c r="B486">
        <v>-565</v>
      </c>
      <c r="C486">
        <v>-778</v>
      </c>
      <c r="D486">
        <v>-6667</v>
      </c>
      <c r="E486">
        <v>675</v>
      </c>
      <c r="F486">
        <v>-242</v>
      </c>
      <c r="G486">
        <v>-51</v>
      </c>
      <c r="H486">
        <v>114</v>
      </c>
      <c r="I486">
        <v>493</v>
      </c>
      <c r="J486">
        <v>-1530</v>
      </c>
      <c r="K486">
        <v>-1283</v>
      </c>
    </row>
    <row r="487" spans="2:11" x14ac:dyDescent="0.25">
      <c r="B487">
        <v>407</v>
      </c>
      <c r="C487">
        <v>-1906</v>
      </c>
      <c r="D487">
        <v>58422</v>
      </c>
      <c r="E487">
        <v>0</v>
      </c>
      <c r="F487">
        <v>9871</v>
      </c>
      <c r="G487">
        <v>2133</v>
      </c>
      <c r="H487">
        <v>13853</v>
      </c>
      <c r="I487">
        <v>12387</v>
      </c>
      <c r="J487">
        <v>13079</v>
      </c>
      <c r="K487">
        <v>7946</v>
      </c>
    </row>
    <row r="488" spans="2:11" x14ac:dyDescent="0.25">
      <c r="B488">
        <v>13985</v>
      </c>
      <c r="C488">
        <v>41379</v>
      </c>
      <c r="D488">
        <v>15795</v>
      </c>
      <c r="E488">
        <v>8060</v>
      </c>
      <c r="F488">
        <v>30775</v>
      </c>
      <c r="G488">
        <v>27031</v>
      </c>
      <c r="H488">
        <v>28680</v>
      </c>
      <c r="I488">
        <v>20115</v>
      </c>
      <c r="J488">
        <v>30954</v>
      </c>
      <c r="K488">
        <v>50967</v>
      </c>
    </row>
    <row r="489" spans="2:11" x14ac:dyDescent="0.25">
      <c r="B489">
        <v>0</v>
      </c>
      <c r="C489">
        <v>14640</v>
      </c>
      <c r="D489">
        <v>11555</v>
      </c>
      <c r="E489">
        <v>32009</v>
      </c>
      <c r="F489">
        <v>11367</v>
      </c>
      <c r="G489">
        <v>11025</v>
      </c>
      <c r="H489">
        <v>0</v>
      </c>
      <c r="I489">
        <v>28782</v>
      </c>
      <c r="J489">
        <v>51306</v>
      </c>
      <c r="K489">
        <v>9938</v>
      </c>
    </row>
    <row r="490" spans="2:11" x14ac:dyDescent="0.25">
      <c r="B490">
        <v>25151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-389</v>
      </c>
    </row>
    <row r="499" spans="2:11" x14ac:dyDescent="0.25">
      <c r="B499">
        <v>-87</v>
      </c>
      <c r="C499">
        <v>242</v>
      </c>
      <c r="D499">
        <v>-433</v>
      </c>
      <c r="E499">
        <v>186</v>
      </c>
      <c r="F499">
        <v>494</v>
      </c>
      <c r="G499">
        <v>86</v>
      </c>
      <c r="H499">
        <v>145</v>
      </c>
      <c r="I499">
        <v>-30</v>
      </c>
      <c r="J499">
        <v>386</v>
      </c>
      <c r="K499">
        <v>-77</v>
      </c>
    </row>
    <row r="500" spans="2:11" x14ac:dyDescent="0.25">
      <c r="B500">
        <v>398</v>
      </c>
      <c r="C500">
        <v>-707</v>
      </c>
      <c r="D500">
        <v>-2039</v>
      </c>
      <c r="E500">
        <v>-1405</v>
      </c>
      <c r="F500">
        <v>0</v>
      </c>
      <c r="G500">
        <v>0</v>
      </c>
      <c r="H500">
        <v>0</v>
      </c>
      <c r="I500">
        <v>-14</v>
      </c>
      <c r="J500">
        <v>-88</v>
      </c>
      <c r="K500">
        <v>-652</v>
      </c>
    </row>
    <row r="501" spans="2:11" x14ac:dyDescent="0.25">
      <c r="B501">
        <v>132</v>
      </c>
      <c r="C501">
        <v>4798</v>
      </c>
      <c r="D501">
        <v>-12128</v>
      </c>
      <c r="E501">
        <v>-187</v>
      </c>
      <c r="F501">
        <v>774</v>
      </c>
      <c r="G501">
        <v>-125</v>
      </c>
      <c r="H501">
        <v>253</v>
      </c>
      <c r="I501">
        <v>-572</v>
      </c>
      <c r="J501">
        <v>823</v>
      </c>
      <c r="K501">
        <v>-5434</v>
      </c>
    </row>
    <row r="502" spans="2:11" x14ac:dyDescent="0.25">
      <c r="B502">
        <v>-3280</v>
      </c>
      <c r="C502">
        <v>6324</v>
      </c>
      <c r="D502">
        <v>-510</v>
      </c>
      <c r="E502">
        <v>302</v>
      </c>
      <c r="F502">
        <v>567</v>
      </c>
      <c r="G502">
        <v>-669</v>
      </c>
      <c r="H502">
        <v>422</v>
      </c>
      <c r="I502">
        <v>70</v>
      </c>
      <c r="J502">
        <v>7477</v>
      </c>
      <c r="K502">
        <v>-9391</v>
      </c>
    </row>
    <row r="503" spans="2:11" x14ac:dyDescent="0.25">
      <c r="B503">
        <v>-1014</v>
      </c>
      <c r="C503">
        <v>-267</v>
      </c>
      <c r="D503">
        <v>-315</v>
      </c>
      <c r="E503">
        <v>-478</v>
      </c>
      <c r="F503">
        <v>-695</v>
      </c>
      <c r="G503">
        <v>-6576</v>
      </c>
      <c r="H503">
        <v>681</v>
      </c>
      <c r="I503">
        <v>-218</v>
      </c>
      <c r="J503">
        <v>-38</v>
      </c>
      <c r="K503">
        <v>186</v>
      </c>
    </row>
    <row r="504" spans="2:11" x14ac:dyDescent="0.25">
      <c r="B504">
        <v>558</v>
      </c>
      <c r="C504">
        <v>-1510</v>
      </c>
      <c r="D504">
        <v>-1272</v>
      </c>
      <c r="E504">
        <v>392</v>
      </c>
      <c r="F504">
        <v>-1883</v>
      </c>
      <c r="G504">
        <v>57640</v>
      </c>
      <c r="H504">
        <v>0</v>
      </c>
      <c r="I504">
        <v>9741</v>
      </c>
      <c r="J504">
        <v>2110</v>
      </c>
      <c r="K504">
        <v>13669</v>
      </c>
    </row>
    <row r="505" spans="2:11" x14ac:dyDescent="0.25">
      <c r="B505">
        <v>12221</v>
      </c>
      <c r="C505">
        <v>12907</v>
      </c>
      <c r="D505">
        <v>7842</v>
      </c>
      <c r="E505">
        <v>13801</v>
      </c>
      <c r="F505">
        <v>40821</v>
      </c>
      <c r="G505">
        <v>15590</v>
      </c>
      <c r="H505">
        <v>7949</v>
      </c>
      <c r="I505">
        <v>30366</v>
      </c>
      <c r="J505">
        <v>26671</v>
      </c>
      <c r="K505">
        <v>28301</v>
      </c>
    </row>
    <row r="506" spans="2:11" x14ac:dyDescent="0.25">
      <c r="B506">
        <v>19845</v>
      </c>
      <c r="C506">
        <v>30541</v>
      </c>
      <c r="D506">
        <v>50286</v>
      </c>
      <c r="E506">
        <v>0</v>
      </c>
      <c r="F506">
        <v>14440</v>
      </c>
      <c r="G506">
        <v>11399</v>
      </c>
      <c r="H506">
        <v>31570</v>
      </c>
      <c r="I506">
        <v>11200</v>
      </c>
      <c r="J506">
        <v>10865</v>
      </c>
      <c r="K506">
        <v>0</v>
      </c>
    </row>
    <row r="507" spans="2:11" x14ac:dyDescent="0.25">
      <c r="B507">
        <v>28388</v>
      </c>
      <c r="C507">
        <v>50614</v>
      </c>
      <c r="D507">
        <v>9799</v>
      </c>
      <c r="E507">
        <v>24109</v>
      </c>
      <c r="F507">
        <v>40288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-398</v>
      </c>
      <c r="I516">
        <v>44</v>
      </c>
      <c r="J516">
        <v>-222</v>
      </c>
      <c r="K516">
        <v>-424</v>
      </c>
    </row>
    <row r="517" spans="2:11" x14ac:dyDescent="0.25">
      <c r="B517">
        <v>395</v>
      </c>
      <c r="C517">
        <v>-354</v>
      </c>
      <c r="D517">
        <v>50</v>
      </c>
      <c r="E517">
        <v>353</v>
      </c>
      <c r="F517">
        <v>574</v>
      </c>
      <c r="G517">
        <v>653</v>
      </c>
      <c r="H517">
        <v>168</v>
      </c>
      <c r="I517">
        <v>183</v>
      </c>
      <c r="J517">
        <v>-50</v>
      </c>
      <c r="K517">
        <v>-885</v>
      </c>
    </row>
    <row r="518" spans="2:11" x14ac:dyDescent="0.25">
      <c r="B518">
        <v>-424</v>
      </c>
      <c r="C518">
        <v>0</v>
      </c>
      <c r="D518">
        <v>0</v>
      </c>
      <c r="E518">
        <v>0</v>
      </c>
      <c r="F518">
        <v>227</v>
      </c>
      <c r="G518">
        <v>-13</v>
      </c>
      <c r="H518">
        <v>-302</v>
      </c>
      <c r="I518">
        <v>93</v>
      </c>
      <c r="J518">
        <v>2593</v>
      </c>
      <c r="K518">
        <v>-6555</v>
      </c>
    </row>
    <row r="519" spans="2:11" x14ac:dyDescent="0.25">
      <c r="B519">
        <v>-71</v>
      </c>
      <c r="C519">
        <v>431</v>
      </c>
      <c r="D519">
        <v>-83</v>
      </c>
      <c r="E519">
        <v>33</v>
      </c>
      <c r="F519">
        <v>-485</v>
      </c>
      <c r="G519">
        <v>431</v>
      </c>
      <c r="H519">
        <v>-2968</v>
      </c>
      <c r="I519">
        <v>-1756</v>
      </c>
      <c r="J519">
        <v>3438</v>
      </c>
      <c r="K519">
        <v>-298</v>
      </c>
    </row>
    <row r="520" spans="2:11" x14ac:dyDescent="0.25">
      <c r="B520">
        <v>-318</v>
      </c>
      <c r="C520">
        <v>303</v>
      </c>
      <c r="D520">
        <v>29</v>
      </c>
      <c r="E520">
        <v>-237</v>
      </c>
      <c r="F520">
        <v>-405</v>
      </c>
      <c r="G520">
        <v>5088</v>
      </c>
      <c r="H520">
        <v>-8756</v>
      </c>
      <c r="I520">
        <v>166</v>
      </c>
      <c r="J520">
        <v>1040</v>
      </c>
      <c r="K520">
        <v>-167</v>
      </c>
    </row>
    <row r="521" spans="2:11" x14ac:dyDescent="0.25">
      <c r="B521">
        <v>599</v>
      </c>
      <c r="C521">
        <v>-195</v>
      </c>
      <c r="D521">
        <v>3200</v>
      </c>
      <c r="E521">
        <v>351</v>
      </c>
      <c r="F521">
        <v>-164</v>
      </c>
      <c r="G521">
        <v>-49</v>
      </c>
      <c r="H521">
        <v>-26</v>
      </c>
      <c r="I521">
        <v>90</v>
      </c>
      <c r="J521">
        <v>-823</v>
      </c>
      <c r="K521">
        <v>-681</v>
      </c>
    </row>
    <row r="522" spans="2:11" x14ac:dyDescent="0.25">
      <c r="B522">
        <v>215</v>
      </c>
      <c r="C522">
        <v>-1019</v>
      </c>
      <c r="D522">
        <v>31164</v>
      </c>
      <c r="E522">
        <v>0</v>
      </c>
      <c r="F522">
        <v>5266</v>
      </c>
      <c r="G522">
        <v>1139</v>
      </c>
      <c r="H522">
        <v>7396</v>
      </c>
      <c r="I522">
        <v>6607</v>
      </c>
      <c r="J522">
        <v>6977</v>
      </c>
      <c r="K522">
        <v>4237</v>
      </c>
    </row>
    <row r="523" spans="2:11" x14ac:dyDescent="0.25">
      <c r="B523">
        <v>7462</v>
      </c>
      <c r="C523">
        <v>22074</v>
      </c>
      <c r="D523">
        <v>8423</v>
      </c>
      <c r="E523">
        <v>4298</v>
      </c>
      <c r="F523">
        <v>16413</v>
      </c>
      <c r="G523">
        <v>14418</v>
      </c>
      <c r="H523">
        <v>15296</v>
      </c>
      <c r="I523">
        <v>10729</v>
      </c>
      <c r="J523">
        <v>16512</v>
      </c>
      <c r="K523">
        <v>27189</v>
      </c>
    </row>
    <row r="524" spans="2:11" x14ac:dyDescent="0.25">
      <c r="B524">
        <v>0</v>
      </c>
      <c r="C524">
        <v>7816</v>
      </c>
      <c r="D524">
        <v>6167</v>
      </c>
      <c r="E524">
        <v>17080</v>
      </c>
      <c r="F524">
        <v>6080</v>
      </c>
      <c r="G524">
        <v>5896</v>
      </c>
      <c r="H524">
        <v>0</v>
      </c>
      <c r="I524">
        <v>15355</v>
      </c>
      <c r="J524">
        <v>27374</v>
      </c>
      <c r="K524">
        <v>5302</v>
      </c>
    </row>
    <row r="525" spans="2:11" x14ac:dyDescent="0.25">
      <c r="B525">
        <v>11583</v>
      </c>
      <c r="C525">
        <v>18208</v>
      </c>
      <c r="D525">
        <v>0</v>
      </c>
      <c r="E525">
        <v>17963</v>
      </c>
      <c r="F525">
        <v>0</v>
      </c>
      <c r="G525">
        <v>0</v>
      </c>
      <c r="H525">
        <v>-1055</v>
      </c>
      <c r="I525">
        <v>-114</v>
      </c>
      <c r="J525">
        <v>136</v>
      </c>
      <c r="K525">
        <v>-723</v>
      </c>
    </row>
    <row r="526" spans="2:11" x14ac:dyDescent="0.25">
      <c r="B526">
        <v>131</v>
      </c>
      <c r="C526">
        <v>1102</v>
      </c>
      <c r="D526">
        <v>322</v>
      </c>
      <c r="E526">
        <v>308</v>
      </c>
      <c r="F526">
        <v>83</v>
      </c>
      <c r="G526">
        <v>78</v>
      </c>
      <c r="H526">
        <v>-136</v>
      </c>
      <c r="I526">
        <v>434</v>
      </c>
      <c r="J526">
        <v>-560</v>
      </c>
      <c r="K526">
        <v>-2499</v>
      </c>
    </row>
    <row r="527" spans="2:11" x14ac:dyDescent="0.25">
      <c r="B527">
        <v>-1339</v>
      </c>
      <c r="C527">
        <v>0</v>
      </c>
      <c r="D527">
        <v>0</v>
      </c>
      <c r="E527">
        <v>0</v>
      </c>
      <c r="F527">
        <v>297</v>
      </c>
      <c r="G527">
        <v>-74</v>
      </c>
      <c r="H527">
        <v>-804</v>
      </c>
      <c r="I527">
        <v>133</v>
      </c>
      <c r="J527">
        <v>5698</v>
      </c>
      <c r="K527">
        <v>-14401</v>
      </c>
    </row>
    <row r="528" spans="2:11" x14ac:dyDescent="0.25">
      <c r="B528">
        <v>-130</v>
      </c>
      <c r="C528">
        <v>885</v>
      </c>
      <c r="D528">
        <v>-257</v>
      </c>
      <c r="E528">
        <v>178</v>
      </c>
      <c r="F528">
        <v>-830</v>
      </c>
      <c r="G528">
        <v>969</v>
      </c>
      <c r="H528">
        <v>-6448</v>
      </c>
      <c r="I528">
        <v>-3888</v>
      </c>
      <c r="J528">
        <v>7530</v>
      </c>
      <c r="K528">
        <v>-586</v>
      </c>
    </row>
    <row r="529" spans="2:11" x14ac:dyDescent="0.25">
      <c r="B529">
        <v>-649</v>
      </c>
      <c r="C529">
        <v>651</v>
      </c>
      <c r="D529">
        <v>-20</v>
      </c>
      <c r="E529">
        <v>-451</v>
      </c>
      <c r="F529">
        <v>-659</v>
      </c>
      <c r="G529">
        <v>11216</v>
      </c>
      <c r="H529">
        <v>-19223</v>
      </c>
      <c r="I529">
        <v>390</v>
      </c>
      <c r="J529">
        <v>3647</v>
      </c>
      <c r="K529">
        <v>-1111</v>
      </c>
    </row>
    <row r="530" spans="2:11" x14ac:dyDescent="0.25">
      <c r="B530">
        <v>207</v>
      </c>
      <c r="C530">
        <v>-754</v>
      </c>
      <c r="D530">
        <v>16205</v>
      </c>
      <c r="E530">
        <v>951</v>
      </c>
      <c r="F530">
        <v>-255</v>
      </c>
      <c r="G530">
        <v>-95</v>
      </c>
      <c r="H530">
        <v>165</v>
      </c>
      <c r="I530">
        <v>551</v>
      </c>
      <c r="J530">
        <v>-1794</v>
      </c>
      <c r="K530">
        <v>-1505</v>
      </c>
    </row>
    <row r="531" spans="2:11" x14ac:dyDescent="0.25">
      <c r="B531">
        <v>480</v>
      </c>
      <c r="C531">
        <v>-2211</v>
      </c>
      <c r="D531">
        <v>68534</v>
      </c>
      <c r="E531">
        <v>0</v>
      </c>
      <c r="F531">
        <v>11585</v>
      </c>
      <c r="G531">
        <v>2512</v>
      </c>
      <c r="H531">
        <v>16258</v>
      </c>
      <c r="I531">
        <v>14535</v>
      </c>
      <c r="J531">
        <v>15351</v>
      </c>
      <c r="K531">
        <v>9323</v>
      </c>
    </row>
    <row r="532" spans="2:11" x14ac:dyDescent="0.25">
      <c r="B532">
        <v>16417</v>
      </c>
      <c r="C532">
        <v>48540</v>
      </c>
      <c r="D532">
        <v>18533</v>
      </c>
      <c r="E532">
        <v>9453</v>
      </c>
      <c r="F532">
        <v>36101</v>
      </c>
      <c r="G532">
        <v>31704</v>
      </c>
      <c r="H532">
        <v>33647</v>
      </c>
      <c r="I532">
        <v>23594</v>
      </c>
      <c r="J532">
        <v>36308</v>
      </c>
      <c r="K532">
        <v>59789</v>
      </c>
    </row>
    <row r="533" spans="2:11" x14ac:dyDescent="0.25">
      <c r="B533">
        <v>0</v>
      </c>
      <c r="C533">
        <v>17173</v>
      </c>
      <c r="D533">
        <v>13554</v>
      </c>
      <c r="E533">
        <v>37545</v>
      </c>
      <c r="F533">
        <v>13327</v>
      </c>
      <c r="G533">
        <v>12922</v>
      </c>
      <c r="H533">
        <v>0</v>
      </c>
      <c r="I533">
        <v>33763</v>
      </c>
      <c r="J533">
        <v>60184</v>
      </c>
      <c r="K533">
        <v>11660</v>
      </c>
    </row>
    <row r="534" spans="2:11" x14ac:dyDescent="0.25">
      <c r="B534">
        <v>25482</v>
      </c>
      <c r="C534">
        <v>40041</v>
      </c>
      <c r="D534">
        <v>0</v>
      </c>
      <c r="E534">
        <v>39505</v>
      </c>
      <c r="F534">
        <v>0</v>
      </c>
      <c r="G534">
        <v>-158</v>
      </c>
      <c r="H534">
        <v>0</v>
      </c>
      <c r="I534">
        <v>-388</v>
      </c>
      <c r="J534">
        <v>29</v>
      </c>
      <c r="K534">
        <v>124</v>
      </c>
    </row>
    <row r="535" spans="2:11" x14ac:dyDescent="0.25">
      <c r="B535">
        <v>-339</v>
      </c>
      <c r="C535">
        <v>96</v>
      </c>
      <c r="D535">
        <v>389</v>
      </c>
      <c r="E535">
        <v>126</v>
      </c>
      <c r="F535">
        <v>234</v>
      </c>
      <c r="G535">
        <v>46</v>
      </c>
      <c r="H535">
        <v>105</v>
      </c>
      <c r="I535">
        <v>-115</v>
      </c>
      <c r="J535">
        <v>264</v>
      </c>
      <c r="K535">
        <v>-406</v>
      </c>
    </row>
    <row r="536" spans="2:11" x14ac:dyDescent="0.25">
      <c r="B536">
        <v>-1174</v>
      </c>
      <c r="C536">
        <v>-449</v>
      </c>
      <c r="D536">
        <v>0</v>
      </c>
      <c r="E536">
        <v>0</v>
      </c>
      <c r="F536">
        <v>0</v>
      </c>
      <c r="G536">
        <v>65</v>
      </c>
      <c r="H536">
        <v>-49</v>
      </c>
      <c r="I536">
        <v>-430</v>
      </c>
      <c r="J536">
        <v>68</v>
      </c>
      <c r="K536">
        <v>3155</v>
      </c>
    </row>
    <row r="537" spans="2:11" x14ac:dyDescent="0.25">
      <c r="B537">
        <v>-7969</v>
      </c>
      <c r="C537">
        <v>-78</v>
      </c>
      <c r="D537">
        <v>513</v>
      </c>
      <c r="E537">
        <v>-100</v>
      </c>
      <c r="F537">
        <v>135</v>
      </c>
      <c r="G537">
        <v>-395</v>
      </c>
      <c r="H537">
        <v>536</v>
      </c>
      <c r="I537">
        <v>-3595</v>
      </c>
      <c r="J537">
        <v>-2138</v>
      </c>
      <c r="K537">
        <v>4157</v>
      </c>
    </row>
    <row r="538" spans="2:11" x14ac:dyDescent="0.25">
      <c r="B538">
        <v>-349</v>
      </c>
      <c r="C538">
        <v>-363</v>
      </c>
      <c r="D538">
        <v>381</v>
      </c>
      <c r="E538">
        <v>33</v>
      </c>
      <c r="F538">
        <v>-223</v>
      </c>
      <c r="G538">
        <v>-316</v>
      </c>
      <c r="H538">
        <v>6186</v>
      </c>
      <c r="I538">
        <v>-10626</v>
      </c>
      <c r="J538">
        <v>919</v>
      </c>
      <c r="K538">
        <v>1606</v>
      </c>
    </row>
    <row r="539" spans="2:11" x14ac:dyDescent="0.25">
      <c r="B539">
        <v>-429</v>
      </c>
      <c r="C539">
        <v>583</v>
      </c>
      <c r="D539">
        <v>335</v>
      </c>
      <c r="E539">
        <v>2755</v>
      </c>
      <c r="F539">
        <v>500</v>
      </c>
      <c r="G539">
        <v>-133</v>
      </c>
      <c r="H539">
        <v>-21</v>
      </c>
      <c r="I539">
        <v>99</v>
      </c>
      <c r="J539">
        <v>357</v>
      </c>
      <c r="K539">
        <v>-992</v>
      </c>
    </row>
    <row r="540" spans="2:11" x14ac:dyDescent="0.25">
      <c r="B540">
        <v>-832</v>
      </c>
      <c r="C540">
        <v>262</v>
      </c>
      <c r="D540">
        <v>-1229</v>
      </c>
      <c r="E540">
        <v>37861</v>
      </c>
      <c r="F540">
        <v>0</v>
      </c>
      <c r="G540">
        <v>6401</v>
      </c>
      <c r="H540">
        <v>1385</v>
      </c>
      <c r="I540">
        <v>8982</v>
      </c>
      <c r="J540">
        <v>8030</v>
      </c>
      <c r="K540">
        <v>8479</v>
      </c>
    </row>
    <row r="541" spans="2:11" x14ac:dyDescent="0.25">
      <c r="B541">
        <v>5147</v>
      </c>
      <c r="C541">
        <v>9069</v>
      </c>
      <c r="D541">
        <v>26816</v>
      </c>
      <c r="E541">
        <v>10240</v>
      </c>
      <c r="F541">
        <v>5225</v>
      </c>
      <c r="G541">
        <v>19946</v>
      </c>
      <c r="H541">
        <v>17518</v>
      </c>
      <c r="I541">
        <v>18590</v>
      </c>
      <c r="J541">
        <v>13035</v>
      </c>
      <c r="K541">
        <v>20061</v>
      </c>
    </row>
    <row r="542" spans="2:11" x14ac:dyDescent="0.25">
      <c r="B542">
        <v>33031</v>
      </c>
      <c r="C542">
        <v>0</v>
      </c>
      <c r="D542">
        <v>9497</v>
      </c>
      <c r="E542">
        <v>7491</v>
      </c>
      <c r="F542">
        <v>20750</v>
      </c>
      <c r="G542">
        <v>7385</v>
      </c>
      <c r="H542">
        <v>7163</v>
      </c>
      <c r="I542">
        <v>0</v>
      </c>
      <c r="J542">
        <v>18658</v>
      </c>
      <c r="K542">
        <v>33255</v>
      </c>
    </row>
    <row r="543" spans="2:11" x14ac:dyDescent="0.25">
      <c r="B543">
        <v>6444</v>
      </c>
      <c r="C543">
        <v>14076</v>
      </c>
      <c r="D543">
        <v>22121</v>
      </c>
      <c r="E543">
        <v>0</v>
      </c>
      <c r="F543">
        <v>21825</v>
      </c>
      <c r="G543">
        <v>0</v>
      </c>
      <c r="H543">
        <v>12710</v>
      </c>
      <c r="I543">
        <v>29254</v>
      </c>
      <c r="J543">
        <v>0</v>
      </c>
      <c r="K543">
        <v>-783</v>
      </c>
    </row>
    <row r="544" spans="2:11" x14ac:dyDescent="0.25">
      <c r="B544">
        <v>-496</v>
      </c>
      <c r="C544">
        <v>-491</v>
      </c>
      <c r="D544">
        <v>-289</v>
      </c>
      <c r="E544">
        <v>-81</v>
      </c>
      <c r="F544">
        <v>397</v>
      </c>
      <c r="G544">
        <v>-286</v>
      </c>
      <c r="H544">
        <v>1153</v>
      </c>
      <c r="I544">
        <v>-115</v>
      </c>
      <c r="J544">
        <v>1043</v>
      </c>
      <c r="K544">
        <v>951</v>
      </c>
    </row>
    <row r="545" spans="2:11" x14ac:dyDescent="0.25">
      <c r="B545">
        <v>-588</v>
      </c>
      <c r="C545">
        <v>25</v>
      </c>
      <c r="D545">
        <v>77</v>
      </c>
      <c r="E545">
        <v>29</v>
      </c>
      <c r="F545">
        <v>0</v>
      </c>
      <c r="G545">
        <v>0</v>
      </c>
      <c r="H545">
        <v>0</v>
      </c>
      <c r="I545">
        <v>385</v>
      </c>
      <c r="J545">
        <v>-6</v>
      </c>
      <c r="K545">
        <v>-6</v>
      </c>
    </row>
    <row r="546" spans="2:11" x14ac:dyDescent="0.25">
      <c r="B546">
        <v>35</v>
      </c>
      <c r="C546">
        <v>-242</v>
      </c>
      <c r="D546">
        <v>569</v>
      </c>
      <c r="E546">
        <v>-117</v>
      </c>
      <c r="F546">
        <v>-158</v>
      </c>
      <c r="G546">
        <v>-182</v>
      </c>
      <c r="H546">
        <v>-207</v>
      </c>
      <c r="I546">
        <v>-393</v>
      </c>
      <c r="J546">
        <v>-73</v>
      </c>
      <c r="K546">
        <v>281</v>
      </c>
    </row>
    <row r="547" spans="2:11" x14ac:dyDescent="0.25">
      <c r="B547">
        <v>134</v>
      </c>
      <c r="C547">
        <v>-317</v>
      </c>
      <c r="D547">
        <v>15</v>
      </c>
      <c r="E547">
        <v>-31</v>
      </c>
      <c r="F547">
        <v>-138</v>
      </c>
      <c r="G547">
        <v>-165</v>
      </c>
      <c r="H547">
        <v>-122</v>
      </c>
      <c r="I547">
        <v>-298</v>
      </c>
      <c r="J547">
        <v>-477</v>
      </c>
      <c r="K547">
        <v>768</v>
      </c>
    </row>
    <row r="548" spans="2:11" x14ac:dyDescent="0.25">
      <c r="B548">
        <v>32</v>
      </c>
      <c r="C548">
        <v>-67</v>
      </c>
      <c r="D548">
        <v>-121</v>
      </c>
      <c r="E548">
        <v>-79</v>
      </c>
      <c r="F548">
        <v>-224</v>
      </c>
      <c r="G548">
        <v>328</v>
      </c>
      <c r="H548">
        <v>-1874</v>
      </c>
      <c r="I548">
        <v>-3154</v>
      </c>
      <c r="J548">
        <v>-776</v>
      </c>
      <c r="K548">
        <v>-807</v>
      </c>
    </row>
    <row r="549" spans="2:11" x14ac:dyDescent="0.25">
      <c r="B549">
        <v>-2485</v>
      </c>
      <c r="C549">
        <v>-5211</v>
      </c>
      <c r="D549">
        <v>-7085</v>
      </c>
      <c r="E549">
        <v>12097</v>
      </c>
      <c r="F549">
        <v>-2219</v>
      </c>
      <c r="G549">
        <v>-2767</v>
      </c>
      <c r="H549">
        <v>0</v>
      </c>
      <c r="I549">
        <v>-476</v>
      </c>
      <c r="J549">
        <v>-97</v>
      </c>
      <c r="K549">
        <v>-659</v>
      </c>
    </row>
    <row r="550" spans="2:11" x14ac:dyDescent="0.25">
      <c r="B550">
        <v>-580</v>
      </c>
      <c r="C550">
        <v>-608</v>
      </c>
      <c r="D550">
        <v>-376</v>
      </c>
      <c r="E550">
        <v>-663</v>
      </c>
      <c r="F550">
        <v>-1968</v>
      </c>
      <c r="G550">
        <v>-755</v>
      </c>
      <c r="H550">
        <v>-385</v>
      </c>
      <c r="I550">
        <v>-1459</v>
      </c>
      <c r="J550">
        <v>-1288</v>
      </c>
      <c r="K550">
        <v>-1369</v>
      </c>
    </row>
    <row r="551" spans="2:11" x14ac:dyDescent="0.25">
      <c r="B551">
        <v>-958</v>
      </c>
      <c r="C551">
        <v>-1473</v>
      </c>
      <c r="D551">
        <v>-2409</v>
      </c>
      <c r="E551">
        <v>0</v>
      </c>
      <c r="F551">
        <v>-702</v>
      </c>
      <c r="G551">
        <v>-548</v>
      </c>
      <c r="H551">
        <v>-1515</v>
      </c>
      <c r="I551">
        <v>-553</v>
      </c>
      <c r="J551">
        <v>-545</v>
      </c>
      <c r="K551">
        <v>0</v>
      </c>
    </row>
    <row r="552" spans="2:11" x14ac:dyDescent="0.25">
      <c r="B552">
        <v>-1374</v>
      </c>
      <c r="C552">
        <v>-2436</v>
      </c>
      <c r="D552">
        <v>-471</v>
      </c>
      <c r="E552">
        <v>-1029</v>
      </c>
      <c r="F552">
        <v>-1618</v>
      </c>
      <c r="G552">
        <v>0</v>
      </c>
      <c r="H552">
        <v>-1598</v>
      </c>
      <c r="I552">
        <v>0</v>
      </c>
      <c r="J552">
        <v>-854</v>
      </c>
      <c r="K552">
        <v>-1898</v>
      </c>
    </row>
    <row r="553" spans="2:11" x14ac:dyDescent="0.25">
      <c r="B553">
        <v>-1050</v>
      </c>
      <c r="C553">
        <v>0</v>
      </c>
      <c r="D553">
        <v>-1404</v>
      </c>
      <c r="E553">
        <v>-1600</v>
      </c>
      <c r="F553">
        <v>-1217</v>
      </c>
      <c r="G553">
        <v>-456</v>
      </c>
      <c r="H553">
        <v>-615</v>
      </c>
      <c r="I553">
        <v>725</v>
      </c>
      <c r="J553">
        <v>344</v>
      </c>
      <c r="K553">
        <v>-836</v>
      </c>
    </row>
    <row r="554" spans="2:11" x14ac:dyDescent="0.25">
      <c r="B554">
        <v>516</v>
      </c>
      <c r="C554">
        <v>928</v>
      </c>
      <c r="D554">
        <v>-2138</v>
      </c>
      <c r="E554">
        <v>779</v>
      </c>
      <c r="F554">
        <v>-463</v>
      </c>
      <c r="G554">
        <v>-9</v>
      </c>
      <c r="H554">
        <v>-251</v>
      </c>
      <c r="I554">
        <v>0</v>
      </c>
      <c r="J554">
        <v>0</v>
      </c>
      <c r="K554">
        <v>0</v>
      </c>
    </row>
    <row r="555" spans="2:11" x14ac:dyDescent="0.25">
      <c r="B555">
        <v>557</v>
      </c>
      <c r="C555">
        <v>68</v>
      </c>
      <c r="D555">
        <v>47</v>
      </c>
      <c r="E555">
        <v>294</v>
      </c>
      <c r="F555">
        <v>22</v>
      </c>
      <c r="G555">
        <v>-15</v>
      </c>
      <c r="H555">
        <v>149</v>
      </c>
      <c r="I555">
        <v>-95</v>
      </c>
      <c r="J555">
        <v>-126</v>
      </c>
      <c r="K555">
        <v>20</v>
      </c>
    </row>
    <row r="556" spans="2:11" x14ac:dyDescent="0.25">
      <c r="B556">
        <v>-367</v>
      </c>
      <c r="C556">
        <v>-30</v>
      </c>
      <c r="D556">
        <v>14</v>
      </c>
      <c r="E556">
        <v>-20</v>
      </c>
      <c r="F556">
        <v>18</v>
      </c>
      <c r="G556">
        <v>40</v>
      </c>
      <c r="H556">
        <v>157</v>
      </c>
      <c r="I556">
        <v>-39</v>
      </c>
      <c r="J556">
        <v>-71</v>
      </c>
      <c r="K556">
        <v>104</v>
      </c>
    </row>
    <row r="557" spans="2:11" x14ac:dyDescent="0.25">
      <c r="B557">
        <v>-191</v>
      </c>
      <c r="C557">
        <v>52</v>
      </c>
      <c r="D557">
        <v>-80</v>
      </c>
      <c r="E557">
        <v>104</v>
      </c>
      <c r="F557">
        <v>-48</v>
      </c>
      <c r="G557">
        <v>-142</v>
      </c>
      <c r="H557">
        <v>56</v>
      </c>
      <c r="I557">
        <v>-330</v>
      </c>
      <c r="J557">
        <v>-22</v>
      </c>
      <c r="K557">
        <v>-1393</v>
      </c>
    </row>
    <row r="558" spans="2:11" x14ac:dyDescent="0.25">
      <c r="B558">
        <v>-278</v>
      </c>
      <c r="C558">
        <v>-533</v>
      </c>
      <c r="D558">
        <v>-2487</v>
      </c>
      <c r="E558">
        <v>-1802</v>
      </c>
      <c r="F558">
        <v>-3162</v>
      </c>
      <c r="G558">
        <v>-2361</v>
      </c>
      <c r="H558">
        <v>10695</v>
      </c>
      <c r="I558">
        <v>-2815</v>
      </c>
      <c r="J558">
        <v>268</v>
      </c>
      <c r="K558">
        <v>0</v>
      </c>
    </row>
    <row r="559" spans="2:11" x14ac:dyDescent="0.25">
      <c r="B559">
        <v>49</v>
      </c>
      <c r="C559">
        <v>14</v>
      </c>
      <c r="D559">
        <v>58</v>
      </c>
      <c r="E559">
        <v>60</v>
      </c>
      <c r="F559">
        <v>56</v>
      </c>
      <c r="G559">
        <v>39</v>
      </c>
      <c r="H559">
        <v>48</v>
      </c>
      <c r="I559">
        <v>200</v>
      </c>
      <c r="J559">
        <v>64</v>
      </c>
      <c r="K559">
        <v>19</v>
      </c>
    </row>
    <row r="560" spans="2:11" x14ac:dyDescent="0.25">
      <c r="B560">
        <v>119</v>
      </c>
      <c r="C560">
        <v>117</v>
      </c>
      <c r="D560">
        <v>139</v>
      </c>
      <c r="E560">
        <v>75</v>
      </c>
      <c r="F560">
        <v>118</v>
      </c>
      <c r="G560">
        <v>229</v>
      </c>
      <c r="H560">
        <v>0</v>
      </c>
      <c r="I560">
        <v>61</v>
      </c>
      <c r="J560">
        <v>53</v>
      </c>
      <c r="K560">
        <v>148</v>
      </c>
    </row>
    <row r="561" spans="2:11" x14ac:dyDescent="0.25">
      <c r="B561">
        <v>34</v>
      </c>
      <c r="C561">
        <v>22</v>
      </c>
      <c r="D561">
        <v>0</v>
      </c>
      <c r="E561">
        <v>121</v>
      </c>
      <c r="F561">
        <v>234</v>
      </c>
      <c r="G561">
        <v>38</v>
      </c>
      <c r="H561">
        <v>103</v>
      </c>
      <c r="I561">
        <v>154</v>
      </c>
      <c r="J561">
        <v>0</v>
      </c>
      <c r="K561">
        <v>158</v>
      </c>
    </row>
    <row r="562" spans="2:11" x14ac:dyDescent="0.25">
      <c r="B562">
        <v>0</v>
      </c>
      <c r="C562">
        <v>90</v>
      </c>
      <c r="D562">
        <v>186</v>
      </c>
      <c r="E562">
        <v>101</v>
      </c>
      <c r="F562">
        <v>-8520</v>
      </c>
      <c r="G562">
        <v>0</v>
      </c>
      <c r="H562">
        <v>-1329</v>
      </c>
      <c r="I562">
        <v>-936</v>
      </c>
      <c r="J562">
        <v>-585</v>
      </c>
      <c r="K562">
        <v>189</v>
      </c>
    </row>
    <row r="563" spans="2:11" x14ac:dyDescent="0.25">
      <c r="B563">
        <v>-1163</v>
      </c>
      <c r="C563">
        <v>762</v>
      </c>
      <c r="D563">
        <v>29</v>
      </c>
      <c r="E563">
        <v>1105</v>
      </c>
      <c r="F563">
        <v>393</v>
      </c>
      <c r="G563">
        <v>1021</v>
      </c>
      <c r="H563">
        <v>382</v>
      </c>
      <c r="I563">
        <v>369</v>
      </c>
      <c r="J563">
        <v>8</v>
      </c>
      <c r="K563">
        <v>-472</v>
      </c>
    </row>
    <row r="564" spans="2:11" x14ac:dyDescent="0.25">
      <c r="B564">
        <v>-346</v>
      </c>
      <c r="C564">
        <v>0</v>
      </c>
      <c r="D564">
        <v>0</v>
      </c>
      <c r="E564">
        <v>0</v>
      </c>
      <c r="F564">
        <v>410</v>
      </c>
      <c r="G564">
        <v>-45</v>
      </c>
      <c r="H564">
        <v>-286</v>
      </c>
      <c r="I564">
        <v>-101</v>
      </c>
      <c r="J564">
        <v>1254</v>
      </c>
      <c r="K564">
        <v>-3116</v>
      </c>
    </row>
    <row r="565" spans="2:11" x14ac:dyDescent="0.25">
      <c r="B565">
        <v>-48</v>
      </c>
      <c r="C565">
        <v>65</v>
      </c>
      <c r="D565">
        <v>-295</v>
      </c>
      <c r="E565">
        <v>-352</v>
      </c>
      <c r="F565">
        <v>-523</v>
      </c>
      <c r="G565">
        <v>177</v>
      </c>
      <c r="H565">
        <v>-1385</v>
      </c>
      <c r="I565">
        <v>-859</v>
      </c>
      <c r="J565">
        <v>1644</v>
      </c>
      <c r="K565">
        <v>-132</v>
      </c>
    </row>
    <row r="566" spans="2:11" x14ac:dyDescent="0.25">
      <c r="B566">
        <v>-117</v>
      </c>
      <c r="C566">
        <v>31</v>
      </c>
      <c r="D566">
        <v>-201</v>
      </c>
      <c r="E566">
        <v>-386</v>
      </c>
      <c r="F566">
        <v>-378</v>
      </c>
      <c r="G566">
        <v>2452</v>
      </c>
      <c r="H566">
        <v>-4215</v>
      </c>
      <c r="I566">
        <v>-225</v>
      </c>
      <c r="J566">
        <v>-164</v>
      </c>
      <c r="K566">
        <v>-286</v>
      </c>
    </row>
    <row r="567" spans="2:11" x14ac:dyDescent="0.25">
      <c r="B567">
        <v>-440</v>
      </c>
      <c r="C567">
        <v>-431</v>
      </c>
      <c r="D567">
        <v>-1691</v>
      </c>
      <c r="E567">
        <v>-295</v>
      </c>
      <c r="F567">
        <v>-988</v>
      </c>
      <c r="G567">
        <v>444</v>
      </c>
      <c r="H567">
        <v>-733</v>
      </c>
      <c r="I567">
        <v>-1244</v>
      </c>
      <c r="J567">
        <v>-9508</v>
      </c>
      <c r="K567">
        <v>-3776</v>
      </c>
    </row>
    <row r="568" spans="2:11" x14ac:dyDescent="0.25">
      <c r="B568">
        <v>21176</v>
      </c>
      <c r="C568">
        <v>-2113</v>
      </c>
      <c r="D568">
        <v>14988</v>
      </c>
      <c r="E568">
        <v>0</v>
      </c>
      <c r="F568">
        <v>2523</v>
      </c>
      <c r="G568">
        <v>550</v>
      </c>
      <c r="H568">
        <v>3550</v>
      </c>
      <c r="I568">
        <v>3184</v>
      </c>
      <c r="J568">
        <v>3362</v>
      </c>
      <c r="K568">
        <v>2034</v>
      </c>
    </row>
    <row r="569" spans="2:11" x14ac:dyDescent="0.25">
      <c r="B569">
        <v>3583</v>
      </c>
      <c r="C569">
        <v>10614</v>
      </c>
      <c r="D569">
        <v>4044</v>
      </c>
      <c r="E569">
        <v>2059</v>
      </c>
      <c r="F569">
        <v>7895</v>
      </c>
      <c r="G569">
        <v>6926</v>
      </c>
      <c r="H569">
        <v>7357</v>
      </c>
      <c r="I569">
        <v>5149</v>
      </c>
      <c r="J569">
        <v>7934</v>
      </c>
      <c r="K569">
        <v>13085</v>
      </c>
    </row>
    <row r="570" spans="2:11" x14ac:dyDescent="0.25">
      <c r="B570">
        <v>0</v>
      </c>
      <c r="C570">
        <v>3754</v>
      </c>
      <c r="D570">
        <v>2965</v>
      </c>
      <c r="E570">
        <v>8219</v>
      </c>
      <c r="F570">
        <v>2914</v>
      </c>
      <c r="G570">
        <v>2813</v>
      </c>
      <c r="H570">
        <v>0</v>
      </c>
      <c r="I570">
        <v>7377</v>
      </c>
      <c r="J570">
        <v>13163</v>
      </c>
      <c r="K570">
        <v>2555</v>
      </c>
    </row>
    <row r="571" spans="2:11" x14ac:dyDescent="0.25">
      <c r="B571">
        <v>5574</v>
      </c>
      <c r="C571">
        <v>8756</v>
      </c>
      <c r="D571">
        <v>0</v>
      </c>
      <c r="E571">
        <v>8638</v>
      </c>
      <c r="F571">
        <v>0</v>
      </c>
      <c r="G571">
        <v>4677</v>
      </c>
      <c r="H571">
        <v>10273</v>
      </c>
      <c r="I571">
        <v>5674</v>
      </c>
      <c r="J571">
        <v>6172</v>
      </c>
      <c r="K571">
        <v>-4647</v>
      </c>
    </row>
    <row r="572" spans="2:11" x14ac:dyDescent="0.25">
      <c r="B572">
        <v>0</v>
      </c>
      <c r="C572">
        <v>-1055</v>
      </c>
      <c r="D572">
        <v>-1703</v>
      </c>
      <c r="E572">
        <v>-766</v>
      </c>
      <c r="F572">
        <v>-72</v>
      </c>
      <c r="G572">
        <v>-514</v>
      </c>
      <c r="H572">
        <v>767</v>
      </c>
      <c r="I572">
        <v>181</v>
      </c>
      <c r="J572">
        <v>1058</v>
      </c>
      <c r="K572">
        <v>-793</v>
      </c>
    </row>
    <row r="573" spans="2:11" x14ac:dyDescent="0.25">
      <c r="B573">
        <v>283</v>
      </c>
      <c r="C573">
        <v>-116</v>
      </c>
      <c r="D573">
        <v>80</v>
      </c>
      <c r="E573">
        <v>438</v>
      </c>
      <c r="F573">
        <v>-366</v>
      </c>
      <c r="G573">
        <v>-272</v>
      </c>
      <c r="H573">
        <v>0</v>
      </c>
      <c r="I573">
        <v>0</v>
      </c>
      <c r="J573">
        <v>0</v>
      </c>
      <c r="K573">
        <v>420</v>
      </c>
    </row>
    <row r="574" spans="2:11" x14ac:dyDescent="0.25">
      <c r="B574">
        <v>7</v>
      </c>
      <c r="C574">
        <v>-134</v>
      </c>
      <c r="D574">
        <v>246</v>
      </c>
      <c r="E574">
        <v>973</v>
      </c>
      <c r="F574">
        <v>-2440</v>
      </c>
      <c r="G574">
        <v>11</v>
      </c>
      <c r="H574">
        <v>58</v>
      </c>
      <c r="I574">
        <v>-100</v>
      </c>
      <c r="J574">
        <v>128</v>
      </c>
      <c r="K574">
        <v>-353</v>
      </c>
    </row>
    <row r="575" spans="2:11" x14ac:dyDescent="0.25">
      <c r="B575">
        <v>143</v>
      </c>
      <c r="C575">
        <v>-1061</v>
      </c>
      <c r="D575">
        <v>-675</v>
      </c>
      <c r="E575">
        <v>1285</v>
      </c>
      <c r="F575">
        <v>-72</v>
      </c>
      <c r="G575">
        <v>-39</v>
      </c>
      <c r="H575">
        <v>45</v>
      </c>
      <c r="I575">
        <v>-34</v>
      </c>
      <c r="J575">
        <v>31</v>
      </c>
      <c r="K575">
        <v>-256</v>
      </c>
    </row>
    <row r="576" spans="2:11" x14ac:dyDescent="0.25">
      <c r="B576">
        <v>1943</v>
      </c>
      <c r="C576">
        <v>-3304</v>
      </c>
      <c r="D576">
        <v>-134</v>
      </c>
      <c r="E576">
        <v>-162</v>
      </c>
      <c r="F576">
        <v>-227</v>
      </c>
      <c r="G576">
        <v>-78</v>
      </c>
      <c r="H576">
        <v>-309</v>
      </c>
      <c r="I576">
        <v>-1290</v>
      </c>
      <c r="J576">
        <v>-699</v>
      </c>
      <c r="K576">
        <v>-773</v>
      </c>
    </row>
    <row r="577" spans="2:11" x14ac:dyDescent="0.25">
      <c r="B577">
        <v>759</v>
      </c>
      <c r="C577">
        <v>-182</v>
      </c>
      <c r="D577">
        <v>-2138</v>
      </c>
      <c r="E577">
        <v>-3937</v>
      </c>
      <c r="F577">
        <v>-7518</v>
      </c>
      <c r="G577">
        <v>22263</v>
      </c>
      <c r="H577">
        <v>-2408</v>
      </c>
      <c r="I577">
        <v>11787</v>
      </c>
      <c r="J577">
        <v>0</v>
      </c>
      <c r="K577">
        <v>1980</v>
      </c>
    </row>
    <row r="578" spans="2:11" x14ac:dyDescent="0.25">
      <c r="B578">
        <v>432</v>
      </c>
      <c r="C578">
        <v>2778</v>
      </c>
      <c r="D578">
        <v>2499</v>
      </c>
      <c r="E578">
        <v>2639</v>
      </c>
      <c r="F578">
        <v>1589</v>
      </c>
      <c r="G578">
        <v>2815</v>
      </c>
      <c r="H578">
        <v>8338</v>
      </c>
      <c r="I578">
        <v>3183</v>
      </c>
      <c r="J578">
        <v>1614</v>
      </c>
      <c r="K578">
        <v>6206</v>
      </c>
    </row>
    <row r="579" spans="2:11" x14ac:dyDescent="0.25">
      <c r="B579">
        <v>5446</v>
      </c>
      <c r="C579">
        <v>5786</v>
      </c>
      <c r="D579">
        <v>4048</v>
      </c>
      <c r="E579">
        <v>6229</v>
      </c>
      <c r="F579">
        <v>10284</v>
      </c>
      <c r="G579">
        <v>0</v>
      </c>
      <c r="H579">
        <v>2952</v>
      </c>
      <c r="I579">
        <v>2328</v>
      </c>
      <c r="J579">
        <v>6475</v>
      </c>
      <c r="K579">
        <v>2292</v>
      </c>
    </row>
    <row r="580" spans="2:11" x14ac:dyDescent="0.25">
      <c r="B580">
        <v>2213</v>
      </c>
      <c r="C580">
        <v>0</v>
      </c>
      <c r="D580">
        <v>5806</v>
      </c>
      <c r="E580">
        <v>10352</v>
      </c>
      <c r="F580">
        <v>2017</v>
      </c>
      <c r="G580">
        <v>4387</v>
      </c>
      <c r="H580">
        <v>6885</v>
      </c>
      <c r="I580">
        <v>0</v>
      </c>
      <c r="J580">
        <v>6793</v>
      </c>
      <c r="K580">
        <v>0</v>
      </c>
    </row>
    <row r="581" spans="2:11" x14ac:dyDescent="0.25">
      <c r="B581">
        <v>3665</v>
      </c>
      <c r="C581">
        <v>8085</v>
      </c>
      <c r="D581">
        <v>4462</v>
      </c>
      <c r="E581">
        <v>5001</v>
      </c>
      <c r="F581">
        <v>1264</v>
      </c>
      <c r="G581">
        <v>9225</v>
      </c>
      <c r="H581">
        <v>0</v>
      </c>
      <c r="I581">
        <v>-1702</v>
      </c>
      <c r="J581">
        <v>-1936</v>
      </c>
      <c r="K581">
        <v>-861</v>
      </c>
    </row>
    <row r="582" spans="2:11" x14ac:dyDescent="0.25">
      <c r="B582">
        <v>-391</v>
      </c>
      <c r="C582">
        <v>-1354</v>
      </c>
      <c r="D582">
        <v>1072</v>
      </c>
      <c r="E582">
        <v>296</v>
      </c>
      <c r="F582">
        <v>-405</v>
      </c>
      <c r="G582">
        <v>146</v>
      </c>
      <c r="H582">
        <v>-662</v>
      </c>
      <c r="I582">
        <v>-342</v>
      </c>
      <c r="J582">
        <v>1899</v>
      </c>
      <c r="K582">
        <v>-212</v>
      </c>
    </row>
    <row r="583" spans="2:11" x14ac:dyDescent="0.25">
      <c r="B583">
        <v>-349</v>
      </c>
      <c r="C583">
        <v>-267</v>
      </c>
      <c r="D583">
        <v>0</v>
      </c>
      <c r="E583">
        <v>0</v>
      </c>
      <c r="F583">
        <v>0</v>
      </c>
      <c r="G583">
        <v>543</v>
      </c>
      <c r="H583">
        <v>12</v>
      </c>
      <c r="I583">
        <v>-251</v>
      </c>
      <c r="J583">
        <v>211</v>
      </c>
      <c r="K583">
        <v>933</v>
      </c>
    </row>
    <row r="584" spans="2:11" x14ac:dyDescent="0.25">
      <c r="B584">
        <v>-2296</v>
      </c>
      <c r="C584">
        <v>149</v>
      </c>
      <c r="D584">
        <v>66</v>
      </c>
      <c r="E584">
        <v>-239</v>
      </c>
      <c r="F584">
        <v>12</v>
      </c>
      <c r="G584">
        <v>-390</v>
      </c>
      <c r="H584">
        <v>163</v>
      </c>
      <c r="I584">
        <v>-1029</v>
      </c>
      <c r="J584">
        <v>-633</v>
      </c>
      <c r="K584">
        <v>1225</v>
      </c>
    </row>
    <row r="585" spans="2:11" x14ac:dyDescent="0.25">
      <c r="B585">
        <v>-75</v>
      </c>
      <c r="C585">
        <v>9</v>
      </c>
      <c r="D585">
        <v>23</v>
      </c>
      <c r="E585">
        <v>-202</v>
      </c>
      <c r="F585">
        <v>-54</v>
      </c>
      <c r="G585">
        <v>-288</v>
      </c>
      <c r="H585">
        <v>1876</v>
      </c>
      <c r="I585">
        <v>-3158</v>
      </c>
      <c r="J585">
        <v>-111</v>
      </c>
      <c r="K585">
        <v>-146</v>
      </c>
    </row>
    <row r="586" spans="2:11" x14ac:dyDescent="0.25">
      <c r="B586">
        <v>-328</v>
      </c>
      <c r="C586">
        <v>-153</v>
      </c>
      <c r="D586">
        <v>-434</v>
      </c>
      <c r="E586">
        <v>-1254</v>
      </c>
      <c r="F586">
        <v>-1388</v>
      </c>
      <c r="G586">
        <v>-1704</v>
      </c>
      <c r="H586">
        <v>2113</v>
      </c>
      <c r="I586">
        <v>-1129</v>
      </c>
      <c r="J586">
        <v>-3644</v>
      </c>
      <c r="K586">
        <v>-9398</v>
      </c>
    </row>
    <row r="587" spans="2:11" x14ac:dyDescent="0.25">
      <c r="B587">
        <v>-18378</v>
      </c>
      <c r="C587">
        <v>51164</v>
      </c>
      <c r="D587">
        <v>-1807</v>
      </c>
      <c r="E587">
        <v>11252</v>
      </c>
      <c r="F587">
        <v>0</v>
      </c>
      <c r="G587">
        <v>1909</v>
      </c>
      <c r="H587">
        <v>418</v>
      </c>
      <c r="I587">
        <v>2657</v>
      </c>
      <c r="J587">
        <v>2388</v>
      </c>
      <c r="K587">
        <v>2513</v>
      </c>
    </row>
    <row r="588" spans="2:11" x14ac:dyDescent="0.25">
      <c r="B588">
        <v>1524</v>
      </c>
      <c r="C588">
        <v>2681</v>
      </c>
      <c r="D588">
        <v>7972</v>
      </c>
      <c r="E588">
        <v>3047</v>
      </c>
      <c r="F588">
        <v>1543</v>
      </c>
      <c r="G588">
        <v>5928</v>
      </c>
      <c r="H588">
        <v>5209</v>
      </c>
      <c r="I588">
        <v>5531</v>
      </c>
      <c r="J588">
        <v>3864</v>
      </c>
      <c r="K588">
        <v>5949</v>
      </c>
    </row>
    <row r="589" spans="2:11" x14ac:dyDescent="0.25">
      <c r="B589">
        <v>9825</v>
      </c>
      <c r="C589">
        <v>0</v>
      </c>
      <c r="D589">
        <v>2816</v>
      </c>
      <c r="E589">
        <v>2224</v>
      </c>
      <c r="F589">
        <v>6175</v>
      </c>
      <c r="G589">
        <v>2187</v>
      </c>
      <c r="H589">
        <v>2117</v>
      </c>
      <c r="I589">
        <v>0</v>
      </c>
      <c r="J589">
        <v>5544</v>
      </c>
      <c r="K589">
        <v>9883</v>
      </c>
    </row>
    <row r="590" spans="2:11" x14ac:dyDescent="0.25">
      <c r="B590">
        <v>1925</v>
      </c>
      <c r="C590">
        <v>4193</v>
      </c>
      <c r="D590">
        <v>6575</v>
      </c>
      <c r="E590">
        <v>0</v>
      </c>
      <c r="F590">
        <v>6488</v>
      </c>
      <c r="G590">
        <v>0</v>
      </c>
      <c r="H590">
        <v>3499</v>
      </c>
      <c r="I590">
        <v>7720</v>
      </c>
      <c r="J590">
        <v>4261</v>
      </c>
      <c r="K590">
        <v>12125</v>
      </c>
    </row>
    <row r="591" spans="2:11" x14ac:dyDescent="0.25">
      <c r="B591">
        <v>2293</v>
      </c>
      <c r="C591">
        <v>18099</v>
      </c>
      <c r="D591">
        <v>18536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-509</v>
      </c>
      <c r="D611">
        <v>316</v>
      </c>
      <c r="E611">
        <v>-459</v>
      </c>
      <c r="F611">
        <v>66</v>
      </c>
      <c r="G611">
        <v>-765</v>
      </c>
      <c r="H611">
        <v>232</v>
      </c>
      <c r="I611">
        <v>250</v>
      </c>
      <c r="J611">
        <v>933</v>
      </c>
      <c r="K611">
        <v>-416</v>
      </c>
    </row>
    <row r="612" spans="2:11" x14ac:dyDescent="0.25">
      <c r="B612">
        <v>-158</v>
      </c>
      <c r="C612">
        <v>-293</v>
      </c>
      <c r="D612">
        <v>423</v>
      </c>
      <c r="E612">
        <v>-17</v>
      </c>
      <c r="F612">
        <v>132</v>
      </c>
      <c r="G612">
        <v>104</v>
      </c>
      <c r="H612">
        <v>0</v>
      </c>
      <c r="I612">
        <v>0</v>
      </c>
      <c r="J612">
        <v>0</v>
      </c>
      <c r="K612">
        <v>121</v>
      </c>
    </row>
    <row r="613" spans="2:11" x14ac:dyDescent="0.25">
      <c r="B613">
        <v>-17</v>
      </c>
      <c r="C613">
        <v>70</v>
      </c>
      <c r="D613">
        <v>-170</v>
      </c>
      <c r="E613">
        <v>-356</v>
      </c>
      <c r="F613">
        <v>960</v>
      </c>
      <c r="G613">
        <v>38</v>
      </c>
      <c r="H613">
        <v>-110</v>
      </c>
      <c r="I613">
        <v>0</v>
      </c>
      <c r="J613">
        <v>-212</v>
      </c>
      <c r="K613">
        <v>-21</v>
      </c>
    </row>
    <row r="614" spans="2:11" x14ac:dyDescent="0.25">
      <c r="B614">
        <v>-68</v>
      </c>
      <c r="C614">
        <v>420</v>
      </c>
      <c r="D614">
        <v>265</v>
      </c>
      <c r="E614">
        <v>-491</v>
      </c>
      <c r="F614">
        <v>39</v>
      </c>
      <c r="G614">
        <v>95</v>
      </c>
      <c r="H614">
        <v>-85</v>
      </c>
      <c r="I614">
        <v>2</v>
      </c>
      <c r="J614">
        <v>-140</v>
      </c>
      <c r="K614">
        <v>2</v>
      </c>
    </row>
    <row r="615" spans="2:11" x14ac:dyDescent="0.25">
      <c r="B615">
        <v>-709</v>
      </c>
      <c r="C615">
        <v>1251</v>
      </c>
      <c r="D615">
        <v>71</v>
      </c>
      <c r="E615">
        <v>-32</v>
      </c>
      <c r="F615">
        <v>-1</v>
      </c>
      <c r="G615">
        <v>-164</v>
      </c>
      <c r="H615">
        <v>-11</v>
      </c>
      <c r="I615">
        <v>531</v>
      </c>
      <c r="J615">
        <v>679</v>
      </c>
      <c r="K615">
        <v>664</v>
      </c>
    </row>
    <row r="616" spans="2:11" x14ac:dyDescent="0.25">
      <c r="B616">
        <v>-356</v>
      </c>
      <c r="C616">
        <v>-51</v>
      </c>
      <c r="D616">
        <v>231</v>
      </c>
      <c r="E616">
        <v>-855</v>
      </c>
      <c r="F616">
        <v>1521</v>
      </c>
      <c r="G616">
        <v>2769</v>
      </c>
      <c r="H616">
        <v>688</v>
      </c>
      <c r="I616">
        <v>-4430</v>
      </c>
      <c r="J616">
        <v>0</v>
      </c>
      <c r="K616">
        <v>-744</v>
      </c>
    </row>
    <row r="617" spans="2:11" x14ac:dyDescent="0.25">
      <c r="B617">
        <v>-158</v>
      </c>
      <c r="C617">
        <v>-1044</v>
      </c>
      <c r="D617">
        <v>-935</v>
      </c>
      <c r="E617">
        <v>-989</v>
      </c>
      <c r="F617">
        <v>-602</v>
      </c>
      <c r="G617">
        <v>-1051</v>
      </c>
      <c r="H617">
        <v>-3139</v>
      </c>
      <c r="I617">
        <v>-1208</v>
      </c>
      <c r="J617">
        <v>-609</v>
      </c>
      <c r="K617">
        <v>-2338</v>
      </c>
    </row>
    <row r="618" spans="2:11" x14ac:dyDescent="0.25">
      <c r="B618">
        <v>-2057</v>
      </c>
      <c r="C618">
        <v>-2179</v>
      </c>
      <c r="D618">
        <v>-1536</v>
      </c>
      <c r="E618">
        <v>-2352</v>
      </c>
      <c r="F618">
        <v>-3861</v>
      </c>
      <c r="G618">
        <v>0</v>
      </c>
      <c r="H618">
        <v>-1107</v>
      </c>
      <c r="I618">
        <v>-875</v>
      </c>
      <c r="J618">
        <v>-2421</v>
      </c>
      <c r="K618">
        <v>-863</v>
      </c>
    </row>
    <row r="619" spans="2:11" x14ac:dyDescent="0.25">
      <c r="B619">
        <v>-833</v>
      </c>
      <c r="C619">
        <v>0</v>
      </c>
      <c r="D619">
        <v>-2180</v>
      </c>
      <c r="E619">
        <v>-3890</v>
      </c>
      <c r="F619">
        <v>-752</v>
      </c>
      <c r="G619">
        <v>-1649</v>
      </c>
      <c r="H619">
        <v>-2589</v>
      </c>
      <c r="I619">
        <v>0</v>
      </c>
      <c r="J619">
        <v>-2554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Q103"/>
  <sheetViews>
    <sheetView topLeftCell="A7" workbookViewId="0">
      <selection activeCell="F17" sqref="F17"/>
    </sheetView>
  </sheetViews>
  <sheetFormatPr defaultRowHeight="15" x14ac:dyDescent="0.25"/>
  <cols>
    <col min="1" max="1" bestFit="true" customWidth="true" style="400" width="12.7109375" collapsed="true"/>
    <col min="2" max="2" customWidth="true" style="399" width="18.85546875" collapsed="true"/>
    <col min="3" max="3" customWidth="true" style="400" width="6.7109375" collapsed="true"/>
    <col min="4" max="4" customWidth="true" style="400" width="12.7109375" collapsed="true"/>
    <col min="5" max="5" customWidth="true" style="399" width="18.85546875" collapsed="true"/>
    <col min="6" max="8" style="400" width="9.140625" collapsed="true"/>
    <col min="9" max="9" customWidth="true" style="400" width="13.0" collapsed="true"/>
    <col min="10" max="10" bestFit="true" customWidth="true" style="402" width="19.5703125" collapsed="true"/>
    <col min="11" max="11" customWidth="true" style="441" width="19.5703125" collapsed="true"/>
    <col min="12" max="12" customWidth="true" style="400" width="92.42578125" collapsed="true"/>
    <col min="13" max="16384" style="400" width="9.140625" collapsed="true"/>
  </cols>
  <sheetData>
    <row r="1" spans="1:17" x14ac:dyDescent="0.25">
      <c r="A1" s="10" t="s">
        <v>54</v>
      </c>
      <c r="D1" s="10" t="s">
        <v>55</v>
      </c>
      <c r="H1" s="401" t="s">
        <v>56</v>
      </c>
      <c r="N1" s="401"/>
    </row>
    <row ht="15.75" r="2" spans="1:17" thickBot="1" x14ac:dyDescent="0.3">
      <c r="A2" s="401" t="s">
        <v>57</v>
      </c>
      <c r="J2" s="402" t="s">
        <v>58</v>
      </c>
      <c r="K2" s="441" t="s">
        <v>59</v>
      </c>
      <c r="P2" s="403"/>
      <c r="Q2" s="403"/>
    </row>
    <row r="3" spans="1:17" x14ac:dyDescent="0.25">
      <c r="A3" s="404" t="s">
        <v>3</v>
      </c>
      <c r="B3" s="405" t="s">
        <v>60</v>
      </c>
      <c r="D3" s="404" t="s">
        <v>3</v>
      </c>
      <c r="E3" s="405" t="s">
        <v>60</v>
      </c>
      <c r="F3" s="406"/>
      <c r="H3" s="400">
        <v>1</v>
      </c>
      <c r="I3" s="400" t="s">
        <v>61</v>
      </c>
      <c r="J3" s="402">
        <f>OtherTourDestination!E11</f>
        <v>1</v>
      </c>
      <c r="K3" s="444">
        <f>J3</f>
        <v>1</v>
      </c>
      <c r="L3" s="400" t="s">
        <v>62</v>
      </c>
    </row>
    <row r="4" spans="1:17" x14ac:dyDescent="0.25">
      <c r="A4" s="407" t="s">
        <v>63</v>
      </c>
      <c r="B4" s="408">
        <f>TLFD!B11</f>
        <v>18132.684980737264</v>
      </c>
      <c r="D4" s="407" t="s">
        <v>63</v>
      </c>
      <c r="E4" s="408">
        <f>TLFD!F11</f>
        <v>17445</v>
      </c>
      <c r="F4" s="409"/>
      <c r="H4" s="400">
        <v>2</v>
      </c>
      <c r="I4" s="400" t="s">
        <v>64</v>
      </c>
      <c r="J4" s="402">
        <f>OtherTourDestination!E12</f>
        <v>13.7073027249</v>
      </c>
      <c r="K4" s="444">
        <f ref="K4:K67" si="0" t="shared">J4</f>
        <v>13.7073027249</v>
      </c>
      <c r="L4" s="400" t="s">
        <v>65</v>
      </c>
    </row>
    <row r="5" spans="1:17" x14ac:dyDescent="0.25">
      <c r="A5" s="410" t="s">
        <v>66</v>
      </c>
      <c r="B5" s="411">
        <f>TLFD!B12+TLFD!B13+(TLFD!B14/2)</f>
        <v>65609.503498605016</v>
      </c>
      <c r="D5" s="410" t="s">
        <v>66</v>
      </c>
      <c r="E5" s="411">
        <f>TLFD!F12+TLFD!F13+(TLFD!F14/2)</f>
        <v>67925</v>
      </c>
      <c r="F5" s="409"/>
      <c r="H5" s="400">
        <v>3</v>
      </c>
      <c r="I5" s="400" t="s">
        <v>67</v>
      </c>
      <c r="J5" s="402">
        <f>OtherTourDestination!E13</f>
        <v>7.0220312730799997E-2</v>
      </c>
      <c r="K5" s="444">
        <f si="0" t="shared"/>
        <v>7.0220312730799997E-2</v>
      </c>
      <c r="L5" s="400" t="s">
        <v>68</v>
      </c>
    </row>
    <row r="6" spans="1:17" x14ac:dyDescent="0.25">
      <c r="A6" s="410" t="s">
        <v>69</v>
      </c>
      <c r="B6" s="411">
        <f>(TLFD!B14/2)+SUM(TLFD!B15:B20)</f>
        <v>77863.898106211476</v>
      </c>
      <c r="D6" s="410" t="s">
        <v>69</v>
      </c>
      <c r="E6" s="411">
        <f>(TLFD!F14/2)+SUM(TLFD!F15:F20)</f>
        <v>79415</v>
      </c>
      <c r="F6" s="412"/>
      <c r="H6" s="400">
        <v>4</v>
      </c>
      <c r="I6" s="400" t="s">
        <v>70</v>
      </c>
      <c r="J6" s="402">
        <f>OtherTourDestination!E14</f>
        <v>-3.3904088920700001E-2</v>
      </c>
      <c r="K6" s="444">
        <f si="0" t="shared"/>
        <v>-3.3904088920700001E-2</v>
      </c>
      <c r="L6" s="400" t="s">
        <v>71</v>
      </c>
    </row>
    <row r="7" spans="1:17" x14ac:dyDescent="0.25">
      <c r="A7" s="413" t="s">
        <v>72</v>
      </c>
      <c r="B7" s="414">
        <f>SUM(TLFD!B21:B101)</f>
        <v>39718.322603899149</v>
      </c>
      <c r="D7" s="413" t="s">
        <v>72</v>
      </c>
      <c r="E7" s="414">
        <f>SUM(TLFD!F21:F101)</f>
        <v>40145</v>
      </c>
      <c r="F7" s="415"/>
      <c r="H7" s="400">
        <v>5</v>
      </c>
      <c r="I7" s="400" t="s">
        <v>73</v>
      </c>
      <c r="J7" s="402">
        <f>OtherTourDestination!E15</f>
        <v>0.14394271350499999</v>
      </c>
      <c r="K7" s="444">
        <f si="0" t="shared"/>
        <v>0.14394271350499999</v>
      </c>
      <c r="L7" s="400" t="s">
        <v>74</v>
      </c>
    </row>
    <row ht="15.75" r="8" spans="1:17" thickBot="1" x14ac:dyDescent="0.3">
      <c r="A8" s="416" t="s">
        <v>4</v>
      </c>
      <c r="B8" s="417">
        <f>SUM(B4:B7)</f>
        <v>201324.40918945291</v>
      </c>
      <c r="C8" s="418"/>
      <c r="D8" s="416" t="s">
        <v>4</v>
      </c>
      <c r="E8" s="417">
        <f>SUM(E4:E7)</f>
        <v>204930</v>
      </c>
      <c r="H8" s="400">
        <v>6</v>
      </c>
      <c r="I8" s="400" t="s">
        <v>75</v>
      </c>
      <c r="J8" s="402">
        <f>OtherTourDestination!E16</f>
        <v>0.36721258210199997</v>
      </c>
      <c r="K8" s="444">
        <f si="0" t="shared"/>
        <v>0.36721258210199997</v>
      </c>
      <c r="L8" s="400" t="s">
        <v>76</v>
      </c>
    </row>
    <row r="9" spans="1:17" x14ac:dyDescent="0.25">
      <c r="H9" s="400">
        <v>7</v>
      </c>
      <c r="I9" s="400" t="s">
        <v>77</v>
      </c>
      <c r="J9" s="402">
        <f>OtherTourDestination!E17</f>
        <v>-1.7918460355300001</v>
      </c>
      <c r="K9" s="444">
        <f si="0" t="shared"/>
        <v>-1.7918460355300001</v>
      </c>
      <c r="L9" s="400" t="s">
        <v>78</v>
      </c>
    </row>
    <row ht="15.75" r="10" spans="1:17" thickBot="1" x14ac:dyDescent="0.3">
      <c r="A10" s="419" t="s">
        <v>79</v>
      </c>
      <c r="F10" s="406"/>
      <c r="H10" s="400">
        <v>8</v>
      </c>
      <c r="I10" s="400" t="s">
        <v>80</v>
      </c>
      <c r="J10" s="402">
        <f>OtherTourDestination!E18</f>
        <v>1.39963442933</v>
      </c>
      <c r="K10" s="444">
        <f si="0" t="shared"/>
        <v>1.39963442933</v>
      </c>
      <c r="L10" s="400" t="s">
        <v>81</v>
      </c>
    </row>
    <row r="11" spans="1:17" x14ac:dyDescent="0.25">
      <c r="A11" s="404" t="s">
        <v>3</v>
      </c>
      <c r="B11" s="405" t="s">
        <v>60</v>
      </c>
      <c r="D11" s="404" t="s">
        <v>3</v>
      </c>
      <c r="E11" s="405" t="s">
        <v>60</v>
      </c>
      <c r="F11" s="420"/>
      <c r="H11" s="400">
        <v>9</v>
      </c>
      <c r="I11" s="400" t="s">
        <v>82</v>
      </c>
      <c r="J11" s="402">
        <f>OtherTourDestination!E19</f>
        <v>0.66317866364400002</v>
      </c>
      <c r="K11" s="444">
        <f si="0" t="shared"/>
        <v>0.66317866364400002</v>
      </c>
      <c r="L11" s="400" t="s">
        <v>83</v>
      </c>
    </row>
    <row r="12" spans="1:17" x14ac:dyDescent="0.25">
      <c r="A12" s="407" t="s">
        <v>63</v>
      </c>
      <c r="B12" s="421">
        <f>B4/B$8</f>
        <v>9.0066997110488517E-2</v>
      </c>
      <c r="D12" s="407" t="s">
        <v>63</v>
      </c>
      <c r="E12" s="421">
        <f>E4/E$8</f>
        <v>8.5126628604889468E-2</v>
      </c>
      <c r="F12" s="420"/>
      <c r="H12" s="400">
        <v>10</v>
      </c>
      <c r="I12" s="400" t="s">
        <v>84</v>
      </c>
      <c r="J12" s="402">
        <f>OtherTourDestination!E20</f>
        <v>-0.38108886824999999</v>
      </c>
      <c r="K12" s="444">
        <f si="0" t="shared"/>
        <v>-0.38108886824999999</v>
      </c>
      <c r="L12" s="400" t="s">
        <v>85</v>
      </c>
    </row>
    <row r="13" spans="1:17" x14ac:dyDescent="0.25">
      <c r="A13" s="410" t="s">
        <v>66</v>
      </c>
      <c r="B13" s="422">
        <f ref="B13:B16" si="1" t="shared">B5/B$8</f>
        <v>0.32588946249862982</v>
      </c>
      <c r="D13" s="410" t="s">
        <v>66</v>
      </c>
      <c r="E13" s="422">
        <f ref="E13:E16" si="2" t="shared">E5/E$8</f>
        <v>0.33145464304884592</v>
      </c>
      <c r="F13" s="420"/>
      <c r="H13" s="400">
        <v>11</v>
      </c>
      <c r="I13" s="400" t="s">
        <v>86</v>
      </c>
      <c r="J13" s="402">
        <f>OtherTourDestination!E21</f>
        <v>-0.73323034645999996</v>
      </c>
      <c r="K13" s="444">
        <f si="0" t="shared"/>
        <v>-0.73323034645999996</v>
      </c>
      <c r="L13" s="400" t="s">
        <v>87</v>
      </c>
    </row>
    <row r="14" spans="1:17" x14ac:dyDescent="0.25">
      <c r="A14" s="410" t="s">
        <v>69</v>
      </c>
      <c r="B14" s="422">
        <f si="1" t="shared"/>
        <v>0.38675835890788074</v>
      </c>
      <c r="D14" s="410" t="s">
        <v>69</v>
      </c>
      <c r="E14" s="422">
        <f si="2" t="shared"/>
        <v>0.38752256868198898</v>
      </c>
      <c r="F14" s="423"/>
      <c r="H14" s="400">
        <v>12</v>
      </c>
      <c r="I14" s="400" t="s">
        <v>88</v>
      </c>
      <c r="J14" s="402">
        <f>OtherTourDestination!E22</f>
        <v>-0.913115187153</v>
      </c>
      <c r="K14" s="444">
        <f si="0" t="shared"/>
        <v>-0.913115187153</v>
      </c>
      <c r="L14" s="400" t="s">
        <v>89</v>
      </c>
    </row>
    <row r="15" spans="1:17" x14ac:dyDescent="0.25">
      <c r="A15" s="413" t="s">
        <v>72</v>
      </c>
      <c r="B15" s="422">
        <f si="1" t="shared"/>
        <v>0.19728518148300089</v>
      </c>
      <c r="D15" s="413" t="s">
        <v>72</v>
      </c>
      <c r="E15" s="422">
        <f si="2" t="shared"/>
        <v>0.19589615966427559</v>
      </c>
      <c r="H15" s="400">
        <v>13</v>
      </c>
      <c r="I15" s="400" t="s">
        <v>90</v>
      </c>
      <c r="J15" s="402">
        <f>OtherTourDestination!E23</f>
        <v>-0.56168035354400003</v>
      </c>
      <c r="K15" s="444">
        <f si="0" t="shared"/>
        <v>-0.56168035354400003</v>
      </c>
      <c r="L15" s="400" t="s">
        <v>91</v>
      </c>
    </row>
    <row ht="15.75" r="16" spans="1:17" thickBot="1" x14ac:dyDescent="0.3">
      <c r="A16" s="416" t="s">
        <v>4</v>
      </c>
      <c r="B16" s="424">
        <f si="1" t="shared"/>
        <v>1</v>
      </c>
      <c r="C16" s="418"/>
      <c r="D16" s="416" t="s">
        <v>4</v>
      </c>
      <c r="E16" s="424">
        <f si="2" t="shared"/>
        <v>1</v>
      </c>
      <c r="H16" s="400">
        <v>14</v>
      </c>
      <c r="I16" s="400" t="s">
        <v>92</v>
      </c>
      <c r="J16" s="402">
        <f>OtherTourDestination!E24</f>
        <v>-0.30132725845199998</v>
      </c>
      <c r="K16" s="444">
        <f si="0" t="shared"/>
        <v>-0.30132725845199998</v>
      </c>
      <c r="L16" s="400" t="s">
        <v>93</v>
      </c>
    </row>
    <row r="17" spans="1:12" x14ac:dyDescent="0.25">
      <c r="H17" s="400">
        <v>15</v>
      </c>
      <c r="I17" s="400" t="s">
        <v>94</v>
      </c>
      <c r="J17" s="402">
        <f>OtherTourDestination!E25</f>
        <v>1.97893419319</v>
      </c>
      <c r="K17" s="444">
        <f si="0" t="shared"/>
        <v>1.97893419319</v>
      </c>
      <c r="L17" s="400" t="s">
        <v>95</v>
      </c>
    </row>
    <row r="18" spans="1:12" x14ac:dyDescent="0.25">
      <c r="H18" s="400">
        <v>16</v>
      </c>
      <c r="I18" s="400" t="s">
        <v>96</v>
      </c>
      <c r="J18" s="402">
        <f>OtherTourDestination!E26</f>
        <v>0.89286126056000004</v>
      </c>
      <c r="K18" s="444">
        <f si="0" t="shared"/>
        <v>0.89286126056000004</v>
      </c>
      <c r="L18" s="400" t="s">
        <v>97</v>
      </c>
    </row>
    <row r="19" spans="1:12" x14ac:dyDescent="0.25">
      <c r="A19" s="425" t="s">
        <v>98</v>
      </c>
      <c r="H19" s="400">
        <v>17</v>
      </c>
      <c r="I19" s="400" t="s">
        <v>99</v>
      </c>
      <c r="J19" s="402">
        <f>OtherTourDestination!E27</f>
        <v>0</v>
      </c>
      <c r="K19" s="444">
        <f si="0" t="shared"/>
        <v>0</v>
      </c>
      <c r="L19" s="400" t="s">
        <v>100</v>
      </c>
    </row>
    <row r="20" spans="1:12" x14ac:dyDescent="0.25">
      <c r="A20" s="425" t="s">
        <v>101</v>
      </c>
      <c r="H20" s="400">
        <v>18</v>
      </c>
      <c r="I20" s="400" t="s">
        <v>102</v>
      </c>
      <c r="J20" s="402">
        <f>OtherTourDestination!E28</f>
        <v>0</v>
      </c>
      <c r="K20" s="444">
        <f si="0" t="shared"/>
        <v>0</v>
      </c>
      <c r="L20" s="400" t="s">
        <v>103</v>
      </c>
    </row>
    <row ht="15.75" r="21" spans="1:12" thickBot="1" x14ac:dyDescent="0.3">
      <c r="A21" s="426"/>
      <c r="G21" s="400" t="s">
        <v>104</v>
      </c>
      <c r="H21" s="400">
        <v>19</v>
      </c>
      <c r="I21" s="400" t="s">
        <v>105</v>
      </c>
      <c r="J21" s="402">
        <f>OtherTourDestination!E29</f>
        <v>0</v>
      </c>
      <c r="K21" s="444">
        <f si="0" t="shared"/>
        <v>0</v>
      </c>
      <c r="L21" s="400" t="s">
        <v>106</v>
      </c>
    </row>
    <row r="22" spans="1:12" x14ac:dyDescent="0.25">
      <c r="A22" s="427" t="s">
        <v>107</v>
      </c>
      <c r="B22" s="428"/>
      <c r="G22" s="400" t="s">
        <v>104</v>
      </c>
      <c r="H22" s="400">
        <v>20</v>
      </c>
      <c r="I22" s="400" t="s">
        <v>108</v>
      </c>
      <c r="J22" s="402">
        <f>OtherTourDestination!E30</f>
        <v>0.55927220197000005</v>
      </c>
      <c r="K22" s="444">
        <f si="0" t="shared"/>
        <v>0.55927220197000005</v>
      </c>
      <c r="L22" s="429" t="s">
        <v>109</v>
      </c>
    </row>
    <row r="23" spans="1:12" x14ac:dyDescent="0.25">
      <c r="A23" s="407" t="s">
        <v>63</v>
      </c>
      <c r="B23" s="430">
        <f>J29</f>
        <v>0.78053827557199995</v>
      </c>
      <c r="G23" s="400" t="s">
        <v>104</v>
      </c>
      <c r="H23" s="400">
        <v>21</v>
      </c>
      <c r="I23" s="400" t="s">
        <v>110</v>
      </c>
      <c r="J23" s="402">
        <f>OtherTourDestination!E31</f>
        <v>-14.073533462</v>
      </c>
      <c r="K23" s="444">
        <f si="0" t="shared"/>
        <v>-14.073533462</v>
      </c>
      <c r="L23" s="400" t="s">
        <v>111</v>
      </c>
    </row>
    <row r="24" spans="1:12" x14ac:dyDescent="0.25">
      <c r="A24" s="410" t="s">
        <v>66</v>
      </c>
      <c r="B24" s="430">
        <f ref="B24:B26" si="3" t="shared">J30</f>
        <v>-12.632321361500001</v>
      </c>
      <c r="G24" s="400" t="s">
        <v>104</v>
      </c>
      <c r="H24" s="400">
        <v>22</v>
      </c>
      <c r="I24" s="400" t="s">
        <v>112</v>
      </c>
      <c r="J24" s="402">
        <f>OtherTourDestination!E32</f>
        <v>4.23561831E-2</v>
      </c>
      <c r="K24" s="444">
        <f si="0" t="shared"/>
        <v>4.23561831E-2</v>
      </c>
      <c r="L24" s="400" t="s">
        <v>113</v>
      </c>
    </row>
    <row r="25" spans="1:12" x14ac:dyDescent="0.25">
      <c r="A25" s="410" t="s">
        <v>69</v>
      </c>
      <c r="B25" s="430">
        <f si="3" t="shared"/>
        <v>-4.7373800512499997</v>
      </c>
      <c r="G25" s="400" t="s">
        <v>104</v>
      </c>
      <c r="H25" s="400">
        <v>23</v>
      </c>
      <c r="I25" s="400" t="s">
        <v>114</v>
      </c>
      <c r="J25" s="402">
        <f>OtherTourDestination!E33</f>
        <v>-2.9413698566000002</v>
      </c>
      <c r="K25" s="444">
        <f si="0" t="shared"/>
        <v>-2.9413698566000002</v>
      </c>
      <c r="L25" s="400" t="s">
        <v>115</v>
      </c>
    </row>
    <row ht="15.75" r="26" spans="1:12" thickBot="1" x14ac:dyDescent="0.3">
      <c r="A26" s="431" t="s">
        <v>72</v>
      </c>
      <c r="B26" s="432">
        <f si="3" t="shared"/>
        <v>-3.8495864337499999</v>
      </c>
      <c r="G26" s="400" t="s">
        <v>104</v>
      </c>
      <c r="H26" s="400">
        <v>24</v>
      </c>
      <c r="I26" s="400" t="s">
        <v>116</v>
      </c>
      <c r="J26" s="402">
        <f>OtherTourDestination!E34</f>
        <v>-1.4293629385</v>
      </c>
      <c r="K26" s="444">
        <f si="0" t="shared"/>
        <v>-1.4293629385</v>
      </c>
      <c r="L26" s="429" t="s">
        <v>117</v>
      </c>
    </row>
    <row r="27" spans="1:12" x14ac:dyDescent="0.25">
      <c r="A27" s="426"/>
      <c r="B27" s="433"/>
      <c r="G27" s="400" t="s">
        <v>118</v>
      </c>
      <c r="H27" s="400">
        <v>25</v>
      </c>
      <c r="I27" s="400" t="s">
        <v>119</v>
      </c>
      <c r="J27" s="402">
        <f>OtherTourDestination!E35</f>
        <v>0.21220129380800001</v>
      </c>
      <c r="K27" s="444">
        <f si="0" t="shared"/>
        <v>0.21220129380800001</v>
      </c>
      <c r="L27" s="429" t="s">
        <v>120</v>
      </c>
    </row>
    <row r="28" spans="1:12" x14ac:dyDescent="0.25">
      <c r="A28" s="426"/>
      <c r="B28" s="433"/>
      <c r="G28" s="400" t="s">
        <v>118</v>
      </c>
      <c r="H28" s="400">
        <v>26</v>
      </c>
      <c r="I28" s="400" t="s">
        <v>121</v>
      </c>
      <c r="J28" s="402">
        <f>OtherTourDestination!E36</f>
        <v>-0.156772126135</v>
      </c>
      <c r="K28" s="444">
        <f si="0" t="shared"/>
        <v>-0.156772126135</v>
      </c>
      <c r="L28" s="400" t="s">
        <v>109</v>
      </c>
    </row>
    <row r="29" spans="1:12" x14ac:dyDescent="0.25">
      <c r="A29" s="425" t="s">
        <v>98</v>
      </c>
      <c r="B29" s="434"/>
      <c r="G29" s="445" t="s">
        <v>118</v>
      </c>
      <c r="H29" s="445">
        <v>27</v>
      </c>
      <c r="I29" s="445" t="s">
        <v>122</v>
      </c>
      <c r="J29" s="446">
        <f>OtherTourDestination!E37</f>
        <v>0.78053827557199995</v>
      </c>
      <c r="K29" s="447">
        <f>B43</f>
        <v>0.78053827557199995</v>
      </c>
      <c r="L29" s="445" t="s">
        <v>111</v>
      </c>
    </row>
    <row r="30" spans="1:12" x14ac:dyDescent="0.25">
      <c r="A30" s="425" t="s">
        <v>123</v>
      </c>
      <c r="B30" s="434"/>
      <c r="G30" s="445" t="s">
        <v>118</v>
      </c>
      <c r="H30" s="445">
        <v>28</v>
      </c>
      <c r="I30" s="445" t="s">
        <v>124</v>
      </c>
      <c r="J30" s="446">
        <f>OtherTourDestination!E38</f>
        <v>-12.632321361500001</v>
      </c>
      <c r="K30" s="447">
        <f>B44</f>
        <v>-12.705667996126589</v>
      </c>
      <c r="L30" s="445" t="s">
        <v>113</v>
      </c>
    </row>
    <row ht="15.75" r="31" spans="1:12" thickBot="1" x14ac:dyDescent="0.3">
      <c r="A31" s="426"/>
      <c r="B31" s="433"/>
      <c r="G31" s="445" t="s">
        <v>118</v>
      </c>
      <c r="H31" s="445">
        <v>29</v>
      </c>
      <c r="I31" s="445" t="s">
        <v>125</v>
      </c>
      <c r="J31" s="446">
        <f>OtherTourDestination!E39</f>
        <v>-4.7373800512499997</v>
      </c>
      <c r="K31" s="447">
        <f>B45</f>
        <v>-4.778835222099163</v>
      </c>
      <c r="L31" s="445" t="s">
        <v>115</v>
      </c>
    </row>
    <row r="32" spans="1:12" x14ac:dyDescent="0.25">
      <c r="A32" s="427" t="s">
        <v>107</v>
      </c>
      <c r="B32" s="428"/>
      <c r="G32" s="445" t="s">
        <v>118</v>
      </c>
      <c r="H32" s="445">
        <v>30</v>
      </c>
      <c r="I32" s="445" t="s">
        <v>126</v>
      </c>
      <c r="J32" s="446">
        <f>OtherTourDestination!E40</f>
        <v>-3.8495864337499999</v>
      </c>
      <c r="K32" s="447">
        <f>B46</f>
        <v>-3.8800280492600341</v>
      </c>
      <c r="L32" s="445" t="s">
        <v>127</v>
      </c>
    </row>
    <row r="33" spans="1:12" x14ac:dyDescent="0.25">
      <c r="A33" s="407" t="s">
        <v>63</v>
      </c>
      <c r="B33" s="430">
        <f>LN(B12/E12)-LN(B12/E12)</f>
        <v>0</v>
      </c>
      <c r="G33" s="439" t="s">
        <v>118</v>
      </c>
      <c r="H33" s="439">
        <v>31</v>
      </c>
      <c r="I33" s="439" t="s">
        <v>128</v>
      </c>
      <c r="J33" s="402">
        <f>OtherTourDestination!E41</f>
        <v>-0.55196399758000003</v>
      </c>
      <c r="K33" s="444">
        <f si="0" t="shared"/>
        <v>-0.55196399758000003</v>
      </c>
      <c r="L33" s="429" t="s">
        <v>129</v>
      </c>
    </row>
    <row r="34" spans="1:12" x14ac:dyDescent="0.25">
      <c r="A34" s="410" t="s">
        <v>66</v>
      </c>
      <c r="B34" s="430">
        <f>LN(B13/E13)-LN(B12/E12)</f>
        <v>-7.3346634626587762E-2</v>
      </c>
      <c r="G34" s="400" t="s">
        <v>118</v>
      </c>
      <c r="H34" s="400">
        <v>32</v>
      </c>
      <c r="I34" s="400" t="s">
        <v>130</v>
      </c>
      <c r="J34" s="402">
        <f>OtherTourDestination!E42</f>
        <v>0.161916660248</v>
      </c>
      <c r="K34" s="444">
        <f si="0" t="shared"/>
        <v>0.161916660248</v>
      </c>
      <c r="L34" s="429" t="s">
        <v>131</v>
      </c>
    </row>
    <row r="35" spans="1:12" x14ac:dyDescent="0.25">
      <c r="A35" s="410" t="s">
        <v>69</v>
      </c>
      <c r="B35" s="430">
        <f>LN(B14/E14)-LN(B13/E13)-LN(B12/E12)</f>
        <v>-4.1455170849162934E-2</v>
      </c>
      <c r="E35" s="435"/>
      <c r="G35" s="400" t="s">
        <v>118</v>
      </c>
      <c r="H35" s="400">
        <v>33</v>
      </c>
      <c r="I35" s="400" t="s">
        <v>132</v>
      </c>
      <c r="J35" s="402">
        <f>OtherTourDestination!E43</f>
        <v>-0.164548260329</v>
      </c>
      <c r="K35" s="444">
        <f si="0" t="shared"/>
        <v>-0.164548260329</v>
      </c>
      <c r="L35" s="429" t="s">
        <v>133</v>
      </c>
    </row>
    <row ht="15.75" r="36" spans="1:12" thickBot="1" x14ac:dyDescent="0.3">
      <c r="A36" s="431" t="s">
        <v>72</v>
      </c>
      <c r="B36" s="432">
        <f>LN(B15/E15)-LN(B14/E14)-LN(B13/E13)-LN(B12/E12)</f>
        <v>-3.0441615510034402E-2</v>
      </c>
      <c r="E36" s="436"/>
      <c r="G36" s="400" t="s">
        <v>118</v>
      </c>
      <c r="H36" s="400">
        <v>34</v>
      </c>
      <c r="I36" s="400" t="s">
        <v>134</v>
      </c>
      <c r="J36" s="402">
        <f>OtherTourDestination!E44</f>
        <v>0.20498917376299999</v>
      </c>
      <c r="K36" s="444">
        <f si="0" t="shared"/>
        <v>0.20498917376299999</v>
      </c>
      <c r="L36" s="429" t="s">
        <v>135</v>
      </c>
    </row>
    <row r="37" spans="1:12" x14ac:dyDescent="0.25">
      <c r="A37" s="426"/>
      <c r="B37" s="430"/>
      <c r="G37" s="400" t="s">
        <v>136</v>
      </c>
      <c r="H37" s="400">
        <v>35</v>
      </c>
      <c r="I37" s="400" t="s">
        <v>137</v>
      </c>
      <c r="J37" s="402">
        <f>OtherTourDestination!E45</f>
        <v>-0.128001396233</v>
      </c>
      <c r="K37" s="444">
        <f si="0" t="shared"/>
        <v>-0.128001396233</v>
      </c>
      <c r="L37" s="429" t="s">
        <v>138</v>
      </c>
    </row>
    <row r="38" spans="1:12" x14ac:dyDescent="0.25">
      <c r="A38" s="426"/>
      <c r="B38" s="430"/>
      <c r="G38" s="400" t="s">
        <v>136</v>
      </c>
      <c r="H38" s="400">
        <v>36</v>
      </c>
      <c r="I38" s="400" t="s">
        <v>139</v>
      </c>
      <c r="J38" s="402">
        <f>OtherTourDestination!E46</f>
        <v>6.1170505754699997E-2</v>
      </c>
      <c r="K38" s="444">
        <f si="0" t="shared"/>
        <v>6.1170505754699997E-2</v>
      </c>
      <c r="L38" s="429" t="s">
        <v>109</v>
      </c>
    </row>
    <row r="39" spans="1:12" x14ac:dyDescent="0.25">
      <c r="A39" s="425" t="s">
        <v>98</v>
      </c>
      <c r="B39" s="437"/>
      <c r="G39" s="400" t="s">
        <v>136</v>
      </c>
      <c r="H39" s="400">
        <v>37</v>
      </c>
      <c r="I39" s="400" t="s">
        <v>140</v>
      </c>
      <c r="J39" s="402">
        <f>OtherTourDestination!E47</f>
        <v>1.3253567635600001</v>
      </c>
      <c r="K39" s="444">
        <f si="0" t="shared"/>
        <v>1.3253567635600001</v>
      </c>
      <c r="L39" s="429" t="s">
        <v>111</v>
      </c>
    </row>
    <row r="40" spans="1:12" x14ac:dyDescent="0.25">
      <c r="A40" s="425" t="s">
        <v>141</v>
      </c>
      <c r="B40" s="437"/>
      <c r="G40" s="400" t="s">
        <v>136</v>
      </c>
      <c r="H40" s="400">
        <v>38</v>
      </c>
      <c r="I40" s="400" t="s">
        <v>142</v>
      </c>
      <c r="J40" s="402">
        <f>OtherTourDestination!E48</f>
        <v>-9.2010945905200003</v>
      </c>
      <c r="K40" s="444">
        <f si="0" t="shared"/>
        <v>-9.2010945905200003</v>
      </c>
      <c r="L40" s="429" t="s">
        <v>113</v>
      </c>
    </row>
    <row ht="15.75" r="41" spans="1:12" thickBot="1" x14ac:dyDescent="0.3">
      <c r="A41" s="426"/>
      <c r="B41" s="430"/>
      <c r="G41" s="400" t="s">
        <v>136</v>
      </c>
      <c r="H41" s="400">
        <v>39</v>
      </c>
      <c r="I41" s="400" t="s">
        <v>143</v>
      </c>
      <c r="J41" s="402">
        <f>OtherTourDestination!E49</f>
        <v>-2.1424454967800002</v>
      </c>
      <c r="K41" s="444">
        <f si="0" t="shared"/>
        <v>-2.1424454967800002</v>
      </c>
      <c r="L41" s="429" t="s">
        <v>115</v>
      </c>
    </row>
    <row r="42" spans="1:12" x14ac:dyDescent="0.25">
      <c r="A42" s="427" t="s">
        <v>107</v>
      </c>
      <c r="B42" s="438"/>
      <c r="G42" s="400" t="s">
        <v>136</v>
      </c>
      <c r="H42" s="400">
        <v>40</v>
      </c>
      <c r="I42" s="400" t="s">
        <v>144</v>
      </c>
      <c r="J42" s="402">
        <f>OtherTourDestination!E50</f>
        <v>-3.2698397693199999</v>
      </c>
      <c r="K42" s="444">
        <f si="0" t="shared"/>
        <v>-3.2698397693199999</v>
      </c>
      <c r="L42" s="429" t="s">
        <v>127</v>
      </c>
    </row>
    <row r="43" spans="1:12" x14ac:dyDescent="0.25">
      <c r="A43" s="407" t="s">
        <v>63</v>
      </c>
      <c r="B43" s="430">
        <f>B23+B33</f>
        <v>0.78053827557199995</v>
      </c>
      <c r="G43" s="400" t="s">
        <v>136</v>
      </c>
      <c r="H43" s="400">
        <v>41</v>
      </c>
      <c r="I43" s="400" t="s">
        <v>145</v>
      </c>
      <c r="J43" s="402">
        <f>OtherTourDestination!E51</f>
        <v>-1.5387148017900001</v>
      </c>
      <c r="K43" s="444">
        <f si="0" t="shared"/>
        <v>-1.5387148017900001</v>
      </c>
      <c r="L43" s="429" t="s">
        <v>129</v>
      </c>
    </row>
    <row r="44" spans="1:12" x14ac:dyDescent="0.25">
      <c r="A44" s="410" t="s">
        <v>66</v>
      </c>
      <c r="B44" s="430">
        <f ref="B44:B46" si="4" t="shared">B24+B34</f>
        <v>-12.705667996126589</v>
      </c>
      <c r="G44" s="400" t="s">
        <v>146</v>
      </c>
      <c r="H44" s="400">
        <v>42</v>
      </c>
      <c r="I44" s="400" t="s">
        <v>147</v>
      </c>
      <c r="J44" s="402">
        <f>OtherTourDestination!E52</f>
        <v>-0.149205194047</v>
      </c>
      <c r="K44" s="444">
        <f si="0" t="shared"/>
        <v>-0.149205194047</v>
      </c>
      <c r="L44" s="429" t="s">
        <v>148</v>
      </c>
    </row>
    <row r="45" spans="1:12" x14ac:dyDescent="0.25">
      <c r="A45" s="410" t="s">
        <v>69</v>
      </c>
      <c r="B45" s="430">
        <f si="4" t="shared"/>
        <v>-4.778835222099163</v>
      </c>
      <c r="G45" s="439" t="s">
        <v>146</v>
      </c>
      <c r="H45" s="439">
        <v>43</v>
      </c>
      <c r="I45" s="439" t="s">
        <v>149</v>
      </c>
      <c r="J45" s="402">
        <f>OtherTourDestination!E53</f>
        <v>0.517393579278</v>
      </c>
      <c r="K45" s="444">
        <f si="0" t="shared"/>
        <v>0.517393579278</v>
      </c>
      <c r="L45" s="440" t="s">
        <v>109</v>
      </c>
    </row>
    <row ht="15.75" r="46" spans="1:12" thickBot="1" x14ac:dyDescent="0.3">
      <c r="A46" s="431" t="s">
        <v>72</v>
      </c>
      <c r="B46" s="432">
        <f si="4" t="shared"/>
        <v>-3.8800280492600341</v>
      </c>
      <c r="G46" s="439" t="s">
        <v>146</v>
      </c>
      <c r="H46" s="439">
        <v>44</v>
      </c>
      <c r="I46" s="439" t="s">
        <v>150</v>
      </c>
      <c r="J46" s="402">
        <f>OtherTourDestination!E54</f>
        <v>0.84374741070500003</v>
      </c>
      <c r="K46" s="444">
        <f si="0" t="shared"/>
        <v>0.84374741070500003</v>
      </c>
      <c r="L46" s="440" t="s">
        <v>151</v>
      </c>
    </row>
    <row r="47" spans="1:12" x14ac:dyDescent="0.25">
      <c r="G47" s="439" t="s">
        <v>146</v>
      </c>
      <c r="H47" s="439">
        <v>45</v>
      </c>
      <c r="I47" s="439" t="s">
        <v>152</v>
      </c>
      <c r="J47" s="402">
        <f>OtherTourDestination!E55</f>
        <v>-16.440174024099999</v>
      </c>
      <c r="K47" s="444">
        <f si="0" t="shared"/>
        <v>-16.440174024099999</v>
      </c>
      <c r="L47" s="440" t="s">
        <v>153</v>
      </c>
    </row>
    <row r="48" spans="1:12" x14ac:dyDescent="0.25">
      <c r="G48" s="439" t="s">
        <v>146</v>
      </c>
      <c r="H48" s="439">
        <v>46</v>
      </c>
      <c r="I48" s="439" t="s">
        <v>154</v>
      </c>
      <c r="J48" s="402">
        <f>OtherTourDestination!E56</f>
        <v>0.38560809579999999</v>
      </c>
      <c r="K48" s="444">
        <f si="0" t="shared"/>
        <v>0.38560809579999999</v>
      </c>
      <c r="L48" s="440" t="s">
        <v>155</v>
      </c>
    </row>
    <row r="49" spans="7:12" x14ac:dyDescent="0.25">
      <c r="G49" s="439" t="s">
        <v>146</v>
      </c>
      <c r="H49" s="439">
        <v>47</v>
      </c>
      <c r="I49" s="439" t="s">
        <v>156</v>
      </c>
      <c r="J49" s="402">
        <f>OtherTourDestination!E57</f>
        <v>-2.4592819233999998</v>
      </c>
      <c r="K49" s="444">
        <f si="0" t="shared"/>
        <v>-2.4592819233999998</v>
      </c>
      <c r="L49" s="440" t="s">
        <v>157</v>
      </c>
    </row>
    <row r="50" spans="7:12" x14ac:dyDescent="0.25">
      <c r="G50" s="400" t="s">
        <v>158</v>
      </c>
      <c r="H50" s="400">
        <v>48</v>
      </c>
      <c r="I50" s="400" t="s">
        <v>159</v>
      </c>
      <c r="J50" s="402">
        <f>OtherTourDestination!E58</f>
        <v>-2.8909492550999998</v>
      </c>
      <c r="K50" s="444">
        <f si="0" t="shared"/>
        <v>-2.8909492550999998</v>
      </c>
      <c r="L50" s="429" t="s">
        <v>160</v>
      </c>
    </row>
    <row r="51" spans="7:12" x14ac:dyDescent="0.25">
      <c r="G51" s="400" t="s">
        <v>158</v>
      </c>
      <c r="H51" s="400">
        <v>49</v>
      </c>
      <c r="I51" s="400" t="s">
        <v>161</v>
      </c>
      <c r="J51" s="402">
        <f>OtherTourDestination!E59</f>
        <v>0.16683062839400001</v>
      </c>
      <c r="K51" s="444">
        <f si="0" t="shared"/>
        <v>0.16683062839400001</v>
      </c>
      <c r="L51" s="429" t="s">
        <v>109</v>
      </c>
    </row>
    <row r="52" spans="7:12" x14ac:dyDescent="0.25">
      <c r="G52" s="400" t="s">
        <v>158</v>
      </c>
      <c r="H52" s="400">
        <v>50</v>
      </c>
      <c r="I52" s="400" t="s">
        <v>162</v>
      </c>
      <c r="J52" s="402">
        <f>OtherTourDestination!E60</f>
        <v>0.80686039286800004</v>
      </c>
      <c r="K52" s="444">
        <f si="0" t="shared"/>
        <v>0.80686039286800004</v>
      </c>
      <c r="L52" s="429" t="s">
        <v>111</v>
      </c>
    </row>
    <row r="53" spans="7:12" x14ac:dyDescent="0.25">
      <c r="G53" s="400" t="s">
        <v>158</v>
      </c>
      <c r="H53" s="400">
        <v>51</v>
      </c>
      <c r="I53" s="400" t="s">
        <v>163</v>
      </c>
      <c r="J53" s="402">
        <f>OtherTourDestination!E61</f>
        <v>-10.275631588</v>
      </c>
      <c r="K53" s="444">
        <f si="0" t="shared"/>
        <v>-10.275631588</v>
      </c>
      <c r="L53" s="429" t="s">
        <v>113</v>
      </c>
    </row>
    <row r="54" spans="7:12" x14ac:dyDescent="0.25">
      <c r="G54" s="400" t="s">
        <v>158</v>
      </c>
      <c r="H54" s="400">
        <v>52</v>
      </c>
      <c r="I54" s="400" t="s">
        <v>164</v>
      </c>
      <c r="J54" s="402">
        <f>OtherTourDestination!E62</f>
        <v>-3.6378931021600001</v>
      </c>
      <c r="K54" s="444">
        <f si="0" t="shared"/>
        <v>-3.6378931021600001</v>
      </c>
      <c r="L54" s="429" t="s">
        <v>115</v>
      </c>
    </row>
    <row r="55" spans="7:12" x14ac:dyDescent="0.25">
      <c r="G55" s="400" t="s">
        <v>158</v>
      </c>
      <c r="H55" s="400">
        <v>53</v>
      </c>
      <c r="I55" s="400" t="s">
        <v>165</v>
      </c>
      <c r="J55" s="402">
        <f>OtherTourDestination!E63</f>
        <v>-4.0172263670700001</v>
      </c>
      <c r="K55" s="444">
        <f si="0" t="shared"/>
        <v>-4.0172263670700001</v>
      </c>
      <c r="L55" s="429" t="s">
        <v>127</v>
      </c>
    </row>
    <row r="56" spans="7:12" x14ac:dyDescent="0.25">
      <c r="G56" s="400" t="s">
        <v>158</v>
      </c>
      <c r="H56" s="400">
        <v>54</v>
      </c>
      <c r="I56" s="400" t="s">
        <v>166</v>
      </c>
      <c r="J56" s="402">
        <f>OtherTourDestination!E64</f>
        <v>-0.54205465260999997</v>
      </c>
      <c r="K56" s="444">
        <f si="0" t="shared"/>
        <v>-0.54205465260999997</v>
      </c>
      <c r="L56" s="429" t="s">
        <v>167</v>
      </c>
    </row>
    <row r="57" spans="7:12" x14ac:dyDescent="0.25">
      <c r="G57" s="400" t="s">
        <v>158</v>
      </c>
      <c r="H57" s="400">
        <v>55</v>
      </c>
      <c r="I57" s="400" t="s">
        <v>168</v>
      </c>
      <c r="J57" s="402">
        <f>OtherTourDestination!E65</f>
        <v>0.21306405683599999</v>
      </c>
      <c r="K57" s="444">
        <f si="0" t="shared"/>
        <v>0.21306405683599999</v>
      </c>
      <c r="L57" s="429" t="s">
        <v>131</v>
      </c>
    </row>
    <row r="58" spans="7:12" x14ac:dyDescent="0.25">
      <c r="G58" s="400" t="s">
        <v>158</v>
      </c>
      <c r="H58" s="400">
        <v>56</v>
      </c>
      <c r="I58" s="400" t="s">
        <v>169</v>
      </c>
      <c r="J58" s="402">
        <f>OtherTourDestination!E66</f>
        <v>0.49322187999099998</v>
      </c>
      <c r="K58" s="444">
        <f si="0" t="shared"/>
        <v>0.49322187999099998</v>
      </c>
      <c r="L58" s="429" t="s">
        <v>135</v>
      </c>
    </row>
    <row r="59" spans="7:12" x14ac:dyDescent="0.25">
      <c r="H59" s="400">
        <v>57</v>
      </c>
      <c r="I59" s="400" t="s">
        <v>170</v>
      </c>
      <c r="J59" s="402">
        <f>OtherTourDestination!E67</f>
        <v>-0.81297460986500003</v>
      </c>
      <c r="K59" s="444">
        <f si="0" t="shared"/>
        <v>-0.81297460986500003</v>
      </c>
      <c r="L59" s="429" t="s">
        <v>138</v>
      </c>
    </row>
    <row r="60" spans="7:12" x14ac:dyDescent="0.25">
      <c r="G60" s="400" t="s">
        <v>104</v>
      </c>
      <c r="H60" s="400">
        <v>70</v>
      </c>
      <c r="I60" s="400" t="s">
        <v>171</v>
      </c>
      <c r="J60" s="402">
        <f>OtherTourDestination!E68</f>
        <v>8.0759501397E-2</v>
      </c>
      <c r="K60" s="444">
        <f si="0" t="shared"/>
        <v>8.0759501397E-2</v>
      </c>
      <c r="L60" s="429"/>
    </row>
    <row r="61" spans="7:12" x14ac:dyDescent="0.25">
      <c r="G61" s="400" t="s">
        <v>104</v>
      </c>
      <c r="H61" s="400">
        <v>71</v>
      </c>
      <c r="I61" s="400" t="s">
        <v>172</v>
      </c>
      <c r="J61" s="402">
        <f>OtherTourDestination!E69</f>
        <v>0.29053029913700001</v>
      </c>
      <c r="K61" s="444">
        <f si="0" t="shared"/>
        <v>0.29053029913700001</v>
      </c>
      <c r="L61" s="400" t="s">
        <v>173</v>
      </c>
    </row>
    <row r="62" spans="7:12" x14ac:dyDescent="0.25">
      <c r="G62" s="400" t="s">
        <v>104</v>
      </c>
      <c r="H62" s="400">
        <v>72</v>
      </c>
      <c r="I62" s="400" t="s">
        <v>174</v>
      </c>
      <c r="J62" s="402">
        <f>OtherTourDestination!E70</f>
        <v>0</v>
      </c>
      <c r="K62" s="444">
        <f si="0" t="shared"/>
        <v>0</v>
      </c>
      <c r="L62" s="400" t="s">
        <v>175</v>
      </c>
    </row>
    <row r="63" spans="7:12" x14ac:dyDescent="0.25">
      <c r="G63" s="400" t="s">
        <v>104</v>
      </c>
      <c r="H63" s="400">
        <v>73</v>
      </c>
      <c r="I63" s="400" t="s">
        <v>176</v>
      </c>
      <c r="J63" s="402">
        <f>OtherTourDestination!E71</f>
        <v>-3.51218611463</v>
      </c>
      <c r="K63" s="444">
        <f si="0" t="shared"/>
        <v>-3.51218611463</v>
      </c>
      <c r="L63" s="400" t="s">
        <v>177</v>
      </c>
    </row>
    <row r="64" spans="7:12" x14ac:dyDescent="0.25">
      <c r="G64" s="400" t="s">
        <v>104</v>
      </c>
      <c r="H64" s="400">
        <v>74</v>
      </c>
      <c r="I64" s="400" t="s">
        <v>178</v>
      </c>
      <c r="J64" s="402">
        <f>OtherTourDestination!E72</f>
        <v>-1.9512398226400001</v>
      </c>
      <c r="K64" s="444">
        <f si="0" t="shared"/>
        <v>-1.9512398226400001</v>
      </c>
      <c r="L64" s="400" t="s">
        <v>179</v>
      </c>
    </row>
    <row r="65" spans="7:12" x14ac:dyDescent="0.25">
      <c r="G65" s="400" t="s">
        <v>104</v>
      </c>
      <c r="H65" s="400">
        <v>75</v>
      </c>
      <c r="I65" s="400" t="s">
        <v>180</v>
      </c>
      <c r="J65" s="402">
        <f>OtherTourDestination!E73</f>
        <v>-2.2875988415099999</v>
      </c>
      <c r="K65" s="444">
        <f si="0" t="shared"/>
        <v>-2.2875988415099999</v>
      </c>
      <c r="L65" s="400" t="s">
        <v>181</v>
      </c>
    </row>
    <row r="66" spans="7:12" x14ac:dyDescent="0.25">
      <c r="G66" s="400" t="s">
        <v>104</v>
      </c>
      <c r="H66" s="400">
        <v>76</v>
      </c>
      <c r="I66" s="400" t="s">
        <v>182</v>
      </c>
      <c r="J66" s="402">
        <f>OtherTourDestination!E74</f>
        <v>-2.97270473739</v>
      </c>
      <c r="K66" s="444">
        <f si="0" t="shared"/>
        <v>-2.97270473739</v>
      </c>
      <c r="L66" s="400" t="s">
        <v>183</v>
      </c>
    </row>
    <row r="67" spans="7:12" x14ac:dyDescent="0.25">
      <c r="G67" s="400" t="s">
        <v>104</v>
      </c>
      <c r="H67" s="400">
        <v>77</v>
      </c>
      <c r="I67" s="400" t="s">
        <v>184</v>
      </c>
      <c r="J67" s="402">
        <f>OtherTourDestination!E75</f>
        <v>-2.2065775626700002</v>
      </c>
      <c r="K67" s="444">
        <f si="0" t="shared"/>
        <v>-2.2065775626700002</v>
      </c>
      <c r="L67" s="400" t="s">
        <v>185</v>
      </c>
    </row>
    <row r="68" spans="7:12" x14ac:dyDescent="0.25">
      <c r="G68" s="400" t="s">
        <v>104</v>
      </c>
      <c r="H68" s="400">
        <v>78</v>
      </c>
      <c r="I68" s="400" t="s">
        <v>186</v>
      </c>
      <c r="J68" s="402">
        <f>OtherTourDestination!E76</f>
        <v>-1.91608314575</v>
      </c>
      <c r="K68" s="444">
        <f ref="K68:K103" si="5" t="shared">J68</f>
        <v>-1.91608314575</v>
      </c>
      <c r="L68" s="400" t="s">
        <v>187</v>
      </c>
    </row>
    <row r="69" spans="7:12" x14ac:dyDescent="0.25">
      <c r="G69" s="400" t="s">
        <v>104</v>
      </c>
      <c r="H69" s="400">
        <v>79</v>
      </c>
      <c r="I69" s="400" t="s">
        <v>188</v>
      </c>
      <c r="J69" s="402">
        <f>OtherTourDestination!E77</f>
        <v>-2.9941803696</v>
      </c>
      <c r="K69" s="444">
        <f si="5" t="shared"/>
        <v>-2.9941803696</v>
      </c>
      <c r="L69" s="400" t="s">
        <v>189</v>
      </c>
    </row>
    <row r="70" spans="7:12" x14ac:dyDescent="0.25">
      <c r="G70" s="400" t="s">
        <v>104</v>
      </c>
      <c r="H70" s="400">
        <v>80</v>
      </c>
      <c r="I70" s="400" t="s">
        <v>190</v>
      </c>
      <c r="J70" s="402">
        <f>OtherTourDestination!E78</f>
        <v>-20.893048808300001</v>
      </c>
      <c r="K70" s="444">
        <f si="5" t="shared"/>
        <v>-20.893048808300001</v>
      </c>
      <c r="L70" s="400" t="s">
        <v>191</v>
      </c>
    </row>
    <row r="71" spans="7:12" x14ac:dyDescent="0.25">
      <c r="G71" s="400" t="s">
        <v>104</v>
      </c>
      <c r="H71" s="400">
        <v>81</v>
      </c>
      <c r="I71" s="400" t="s">
        <v>192</v>
      </c>
      <c r="J71" s="402">
        <f>OtherTourDestination!E79</f>
        <v>-0.340851234339</v>
      </c>
      <c r="K71" s="444">
        <f si="5" t="shared"/>
        <v>-0.340851234339</v>
      </c>
      <c r="L71" s="400" t="s">
        <v>193</v>
      </c>
    </row>
    <row r="72" spans="7:12" x14ac:dyDescent="0.25">
      <c r="G72" s="400" t="s">
        <v>104</v>
      </c>
      <c r="H72" s="400">
        <v>82</v>
      </c>
      <c r="I72" s="400" t="s">
        <v>194</v>
      </c>
      <c r="J72" s="402">
        <f>OtherTourDestination!E80</f>
        <v>-3.5548804977600001</v>
      </c>
      <c r="K72" s="444">
        <f si="5" t="shared"/>
        <v>-3.5548804977600001</v>
      </c>
      <c r="L72" s="400" t="s">
        <v>193</v>
      </c>
    </row>
    <row r="73" spans="7:12" x14ac:dyDescent="0.25">
      <c r="G73" s="400" t="s">
        <v>104</v>
      </c>
      <c r="H73" s="400">
        <v>83</v>
      </c>
      <c r="I73" s="400" t="s">
        <v>195</v>
      </c>
      <c r="J73" s="402">
        <f>OtherTourDestination!E81</f>
        <v>-2.04042829643</v>
      </c>
      <c r="K73" s="444">
        <f si="5" t="shared"/>
        <v>-2.04042829643</v>
      </c>
      <c r="L73" s="400" t="s">
        <v>196</v>
      </c>
    </row>
    <row r="74" spans="7:12" x14ac:dyDescent="0.25">
      <c r="G74" s="400" t="s">
        <v>104</v>
      </c>
      <c r="H74" s="400">
        <v>84</v>
      </c>
      <c r="I74" s="400" t="s">
        <v>197</v>
      </c>
      <c r="J74" s="402">
        <f>OtherTourDestination!E82</f>
        <v>-3.1291070048599998</v>
      </c>
      <c r="K74" s="444">
        <f si="5" t="shared"/>
        <v>-3.1291070048599998</v>
      </c>
      <c r="L74" s="400" t="s">
        <v>198</v>
      </c>
    </row>
    <row r="75" spans="7:12" x14ac:dyDescent="0.25">
      <c r="G75" s="400" t="s">
        <v>104</v>
      </c>
      <c r="H75" s="400">
        <v>85</v>
      </c>
      <c r="I75" s="400" t="s">
        <v>199</v>
      </c>
      <c r="J75" s="402">
        <f>OtherTourDestination!E83</f>
        <v>-1.36058822067</v>
      </c>
      <c r="K75" s="444">
        <f si="5" t="shared"/>
        <v>-1.36058822067</v>
      </c>
      <c r="L75" s="400" t="s">
        <v>200</v>
      </c>
    </row>
    <row r="76" spans="7:12" x14ac:dyDescent="0.25">
      <c r="G76" s="400" t="s">
        <v>104</v>
      </c>
      <c r="H76" s="400">
        <v>86</v>
      </c>
      <c r="I76" s="400" t="s">
        <v>201</v>
      </c>
      <c r="J76" s="402">
        <f>OtherTourDestination!E84</f>
        <v>-3.7593502074299998</v>
      </c>
      <c r="K76" s="444">
        <f si="5" t="shared"/>
        <v>-3.7593502074299998</v>
      </c>
      <c r="L76" s="400" t="s">
        <v>202</v>
      </c>
    </row>
    <row r="77" spans="7:12" x14ac:dyDescent="0.25">
      <c r="G77" s="400" t="s">
        <v>104</v>
      </c>
      <c r="H77" s="400">
        <v>87</v>
      </c>
      <c r="I77" s="400" t="s">
        <v>203</v>
      </c>
      <c r="J77" s="402">
        <f>OtherTourDestination!E85</f>
        <v>-2.6162258391100002</v>
      </c>
      <c r="K77" s="444">
        <f si="5" t="shared"/>
        <v>-2.6162258391100002</v>
      </c>
      <c r="L77" s="400" t="s">
        <v>204</v>
      </c>
    </row>
    <row r="78" spans="7:12" x14ac:dyDescent="0.25">
      <c r="G78" s="400" t="s">
        <v>118</v>
      </c>
      <c r="H78" s="400">
        <v>88</v>
      </c>
      <c r="I78" s="400" t="s">
        <v>205</v>
      </c>
      <c r="J78" s="402">
        <f>OtherTourDestination!E86</f>
        <v>-18.920608679800001</v>
      </c>
      <c r="K78" s="444">
        <f si="5" t="shared"/>
        <v>-18.920608679800001</v>
      </c>
      <c r="L78" s="400" t="s">
        <v>206</v>
      </c>
    </row>
    <row r="79" spans="7:12" x14ac:dyDescent="0.25">
      <c r="G79" s="400" t="s">
        <v>118</v>
      </c>
      <c r="H79" s="400">
        <v>89</v>
      </c>
      <c r="I79" s="400" t="s">
        <v>207</v>
      </c>
      <c r="J79" s="402">
        <f>OtherTourDestination!E87</f>
        <v>0</v>
      </c>
      <c r="K79" s="444">
        <f si="5" t="shared"/>
        <v>0</v>
      </c>
      <c r="L79" s="400" t="s">
        <v>208</v>
      </c>
    </row>
    <row r="80" spans="7:12" x14ac:dyDescent="0.25">
      <c r="G80" s="400" t="s">
        <v>118</v>
      </c>
      <c r="H80" s="400">
        <v>90</v>
      </c>
      <c r="I80" s="400" t="s">
        <v>209</v>
      </c>
      <c r="J80" s="402">
        <f>OtherTourDestination!E88</f>
        <v>-6.14284833482</v>
      </c>
      <c r="K80" s="444">
        <f si="5" t="shared"/>
        <v>-6.14284833482</v>
      </c>
      <c r="L80" s="400" t="s">
        <v>210</v>
      </c>
    </row>
    <row r="81" spans="7:12" x14ac:dyDescent="0.25">
      <c r="G81" s="400" t="s">
        <v>118</v>
      </c>
      <c r="H81" s="400">
        <v>91</v>
      </c>
      <c r="I81" s="400" t="s">
        <v>211</v>
      </c>
      <c r="J81" s="402">
        <f>OtherTourDestination!E89</f>
        <v>-16.4745846271</v>
      </c>
      <c r="K81" s="444">
        <f si="5" t="shared"/>
        <v>-16.4745846271</v>
      </c>
      <c r="L81" s="400" t="s">
        <v>212</v>
      </c>
    </row>
    <row r="82" spans="7:12" x14ac:dyDescent="0.25">
      <c r="G82" s="400" t="s">
        <v>118</v>
      </c>
      <c r="H82" s="400">
        <v>92</v>
      </c>
      <c r="I82" s="400" t="s">
        <v>213</v>
      </c>
      <c r="J82" s="402">
        <f>OtherTourDestination!E90</f>
        <v>-9.3272520902899991</v>
      </c>
      <c r="K82" s="444">
        <f si="5" t="shared"/>
        <v>-9.3272520902899991</v>
      </c>
      <c r="L82" s="400" t="s">
        <v>214</v>
      </c>
    </row>
    <row r="83" spans="7:12" x14ac:dyDescent="0.25">
      <c r="G83" s="400" t="s">
        <v>118</v>
      </c>
      <c r="H83" s="400">
        <v>93</v>
      </c>
      <c r="I83" s="400" t="s">
        <v>215</v>
      </c>
      <c r="J83" s="402">
        <f>OtherTourDestination!E91</f>
        <v>-0.748114378523</v>
      </c>
      <c r="K83" s="444">
        <f si="5" t="shared"/>
        <v>-0.748114378523</v>
      </c>
      <c r="L83" s="400" t="s">
        <v>216</v>
      </c>
    </row>
    <row r="84" spans="7:12" x14ac:dyDescent="0.25">
      <c r="G84" s="400" t="s">
        <v>118</v>
      </c>
      <c r="H84" s="400">
        <v>94</v>
      </c>
      <c r="I84" s="400" t="s">
        <v>217</v>
      </c>
      <c r="J84" s="402">
        <f>OtherTourDestination!E92</f>
        <v>-0.29100107664500002</v>
      </c>
      <c r="K84" s="444">
        <f si="5" t="shared"/>
        <v>-0.29100107664500002</v>
      </c>
      <c r="L84" s="400" t="s">
        <v>218</v>
      </c>
    </row>
    <row r="85" spans="7:12" x14ac:dyDescent="0.25">
      <c r="G85" s="400" t="s">
        <v>118</v>
      </c>
      <c r="H85" s="400">
        <v>95</v>
      </c>
      <c r="I85" s="400" t="s">
        <v>219</v>
      </c>
      <c r="J85" s="402">
        <f>OtherTourDestination!E93</f>
        <v>0</v>
      </c>
      <c r="K85" s="444">
        <f si="5" t="shared"/>
        <v>0</v>
      </c>
      <c r="L85" s="400" t="s">
        <v>220</v>
      </c>
    </row>
    <row r="86" spans="7:12" x14ac:dyDescent="0.25">
      <c r="G86" s="400" t="s">
        <v>118</v>
      </c>
      <c r="H86" s="400">
        <v>96</v>
      </c>
      <c r="I86" s="400" t="s">
        <v>221</v>
      </c>
      <c r="J86" s="402">
        <f>OtherTourDestination!E94</f>
        <v>-10.3298280696</v>
      </c>
      <c r="K86" s="444">
        <f si="5" t="shared"/>
        <v>-10.3298280696</v>
      </c>
      <c r="L86" s="400" t="s">
        <v>222</v>
      </c>
    </row>
    <row r="87" spans="7:12" x14ac:dyDescent="0.25">
      <c r="G87" s="400" t="s">
        <v>136</v>
      </c>
      <c r="H87" s="400">
        <v>97</v>
      </c>
      <c r="I87" s="400" t="s">
        <v>223</v>
      </c>
      <c r="J87" s="402">
        <f>OtherTourDestination!E95</f>
        <v>-16.742935323400001</v>
      </c>
      <c r="K87" s="444">
        <f si="5" t="shared"/>
        <v>-16.742935323400001</v>
      </c>
      <c r="L87" s="400" t="s">
        <v>224</v>
      </c>
    </row>
    <row r="88" spans="7:12" x14ac:dyDescent="0.25">
      <c r="G88" s="400" t="s">
        <v>136</v>
      </c>
      <c r="H88" s="400">
        <v>98</v>
      </c>
      <c r="I88" s="400" t="s">
        <v>225</v>
      </c>
      <c r="J88" s="402">
        <f>OtherTourDestination!E96</f>
        <v>-6.97234539975</v>
      </c>
      <c r="K88" s="444">
        <f si="5" t="shared"/>
        <v>-6.97234539975</v>
      </c>
      <c r="L88" s="400" t="s">
        <v>210</v>
      </c>
    </row>
    <row r="89" spans="7:12" x14ac:dyDescent="0.25">
      <c r="G89" s="400" t="s">
        <v>136</v>
      </c>
      <c r="H89" s="400">
        <v>99</v>
      </c>
      <c r="I89" s="400" t="s">
        <v>226</v>
      </c>
      <c r="J89" s="402">
        <f>OtherTourDestination!E97</f>
        <v>-10.7755348742</v>
      </c>
      <c r="K89" s="444">
        <f si="5" t="shared"/>
        <v>-10.7755348742</v>
      </c>
      <c r="L89" s="400" t="s">
        <v>212</v>
      </c>
    </row>
    <row r="90" spans="7:12" x14ac:dyDescent="0.25">
      <c r="G90" s="400" t="s">
        <v>136</v>
      </c>
      <c r="H90" s="400">
        <v>100</v>
      </c>
      <c r="I90" s="400" t="s">
        <v>227</v>
      </c>
      <c r="J90" s="402">
        <f>OtherTourDestination!E98</f>
        <v>-11.547846395100001</v>
      </c>
      <c r="K90" s="444">
        <f si="5" t="shared"/>
        <v>-11.547846395100001</v>
      </c>
      <c r="L90" s="400" t="s">
        <v>214</v>
      </c>
    </row>
    <row r="91" spans="7:12" x14ac:dyDescent="0.25">
      <c r="G91" s="400" t="s">
        <v>146</v>
      </c>
      <c r="H91" s="400">
        <v>101</v>
      </c>
      <c r="I91" s="400" t="s">
        <v>228</v>
      </c>
      <c r="J91" s="402">
        <f>OtherTourDestination!E99</f>
        <v>0</v>
      </c>
      <c r="K91" s="444">
        <f si="5" t="shared"/>
        <v>0</v>
      </c>
      <c r="L91" s="400" t="s">
        <v>216</v>
      </c>
    </row>
    <row r="92" spans="7:12" x14ac:dyDescent="0.25">
      <c r="G92" s="400" t="s">
        <v>146</v>
      </c>
      <c r="H92" s="400">
        <v>102</v>
      </c>
      <c r="I92" s="400" t="s">
        <v>229</v>
      </c>
      <c r="J92" s="402">
        <f>OtherTourDestination!E100</f>
        <v>-11.0962758301</v>
      </c>
      <c r="K92" s="444">
        <f si="5" t="shared"/>
        <v>-11.0962758301</v>
      </c>
      <c r="L92" s="400" t="s">
        <v>210</v>
      </c>
    </row>
    <row r="93" spans="7:12" x14ac:dyDescent="0.25">
      <c r="G93" s="400" t="s">
        <v>146</v>
      </c>
      <c r="H93" s="400">
        <v>103</v>
      </c>
      <c r="I93" s="400" t="s">
        <v>230</v>
      </c>
      <c r="J93" s="402">
        <f>OtherTourDestination!E101</f>
        <v>0</v>
      </c>
      <c r="K93" s="444">
        <f si="5" t="shared"/>
        <v>0</v>
      </c>
      <c r="L93" s="400" t="s">
        <v>212</v>
      </c>
    </row>
    <row r="94" spans="7:12" x14ac:dyDescent="0.25">
      <c r="G94" s="400" t="s">
        <v>146</v>
      </c>
      <c r="H94" s="400">
        <v>104</v>
      </c>
      <c r="I94" s="400" t="s">
        <v>231</v>
      </c>
      <c r="J94" s="402">
        <f>OtherTourDestination!E102</f>
        <v>-12.7257909892</v>
      </c>
      <c r="K94" s="444">
        <f si="5" t="shared"/>
        <v>-12.7257909892</v>
      </c>
      <c r="L94" s="400" t="s">
        <v>214</v>
      </c>
    </row>
    <row r="95" spans="7:12" x14ac:dyDescent="0.25">
      <c r="G95" s="400" t="s">
        <v>158</v>
      </c>
      <c r="H95" s="400">
        <v>105</v>
      </c>
      <c r="I95" s="400" t="s">
        <v>232</v>
      </c>
      <c r="J95" s="402">
        <f>OtherTourDestination!E103</f>
        <v>-12.5271034041</v>
      </c>
      <c r="K95" s="444">
        <f si="5" t="shared"/>
        <v>-12.5271034041</v>
      </c>
      <c r="L95" s="400" t="s">
        <v>216</v>
      </c>
    </row>
    <row r="96" spans="7:12" x14ac:dyDescent="0.25">
      <c r="G96" s="400" t="s">
        <v>158</v>
      </c>
      <c r="H96" s="400">
        <v>106</v>
      </c>
      <c r="I96" s="400" t="s">
        <v>233</v>
      </c>
      <c r="J96" s="402">
        <f>OtherTourDestination!E104</f>
        <v>-21.008822510800002</v>
      </c>
      <c r="K96" s="444">
        <f si="5" t="shared"/>
        <v>-21.008822510800002</v>
      </c>
      <c r="L96" s="400" t="s">
        <v>210</v>
      </c>
    </row>
    <row r="97" spans="7:12" x14ac:dyDescent="0.25">
      <c r="G97" s="400" t="s">
        <v>158</v>
      </c>
      <c r="H97" s="400">
        <v>107</v>
      </c>
      <c r="I97" s="400" t="s">
        <v>234</v>
      </c>
      <c r="J97" s="402">
        <f>OtherTourDestination!E105</f>
        <v>-1.63176275226</v>
      </c>
      <c r="K97" s="444">
        <f si="5" t="shared"/>
        <v>-1.63176275226</v>
      </c>
      <c r="L97" s="400" t="s">
        <v>235</v>
      </c>
    </row>
    <row r="98" spans="7:12" x14ac:dyDescent="0.25">
      <c r="G98" s="400" t="s">
        <v>158</v>
      </c>
      <c r="H98" s="400">
        <v>108</v>
      </c>
      <c r="I98" s="400" t="s">
        <v>236</v>
      </c>
      <c r="J98" s="402">
        <f>OtherTourDestination!E106</f>
        <v>-4.6653914733199997</v>
      </c>
      <c r="K98" s="444">
        <f si="5" t="shared"/>
        <v>-4.6653914733199997</v>
      </c>
      <c r="L98" s="400" t="s">
        <v>212</v>
      </c>
    </row>
    <row r="99" spans="7:12" x14ac:dyDescent="0.25">
      <c r="G99" s="400" t="s">
        <v>158</v>
      </c>
      <c r="H99" s="400">
        <v>109</v>
      </c>
      <c r="I99" s="400" t="s">
        <v>237</v>
      </c>
      <c r="J99" s="402">
        <f>OtherTourDestination!E107</f>
        <v>-7.5050624753099999</v>
      </c>
      <c r="K99" s="444">
        <f si="5" t="shared"/>
        <v>-7.5050624753099999</v>
      </c>
      <c r="L99" s="400" t="s">
        <v>214</v>
      </c>
    </row>
    <row r="100" spans="7:12" x14ac:dyDescent="0.25">
      <c r="G100" s="400" t="s">
        <v>158</v>
      </c>
      <c r="H100" s="400">
        <v>110</v>
      </c>
      <c r="I100" s="400" t="s">
        <v>238</v>
      </c>
      <c r="J100" s="402">
        <f>OtherTourDestination!E108</f>
        <v>-7.2217481188799999</v>
      </c>
      <c r="K100" s="444">
        <f si="5" t="shared"/>
        <v>-7.2217481188799999</v>
      </c>
      <c r="L100" s="400" t="s">
        <v>216</v>
      </c>
    </row>
    <row r="101" spans="7:12" x14ac:dyDescent="0.25">
      <c r="G101" s="400" t="s">
        <v>158</v>
      </c>
      <c r="H101" s="400">
        <v>111</v>
      </c>
      <c r="I101" s="400" t="s">
        <v>239</v>
      </c>
      <c r="J101" s="402">
        <f>OtherTourDestination!E109</f>
        <v>-3.4793464222399999</v>
      </c>
      <c r="K101" s="444">
        <f si="5" t="shared"/>
        <v>-3.4793464222399999</v>
      </c>
      <c r="L101" s="400" t="s">
        <v>222</v>
      </c>
    </row>
    <row r="102" spans="7:12" x14ac:dyDescent="0.25">
      <c r="G102" s="400" t="s">
        <v>158</v>
      </c>
      <c r="H102" s="400">
        <v>112</v>
      </c>
      <c r="I102" s="400" t="s">
        <v>240</v>
      </c>
      <c r="J102" s="402">
        <f>OtherTourDestination!E110</f>
        <v>0</v>
      </c>
      <c r="K102" s="444">
        <f si="5" t="shared"/>
        <v>0</v>
      </c>
      <c r="L102" s="400" t="s">
        <v>241</v>
      </c>
    </row>
    <row r="103" spans="7:12" x14ac:dyDescent="0.25">
      <c r="G103" s="400" t="s">
        <v>158</v>
      </c>
      <c r="H103" s="400">
        <v>113</v>
      </c>
      <c r="I103" s="400" t="s">
        <v>242</v>
      </c>
      <c r="J103" s="402">
        <f>OtherTourDestination!E111</f>
        <v>0</v>
      </c>
      <c r="K103" s="444">
        <f si="5" t="shared"/>
        <v>0</v>
      </c>
      <c r="L103" s="400" t="s">
        <v>224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baseType="lpstr" size="21">
      <vt:lpstr>TLFD</vt:lpstr>
      <vt:lpstr>TDFD</vt:lpstr>
      <vt:lpstr>County_Flow</vt:lpstr>
      <vt:lpstr>Documentation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2015-04-29T22:15:50Z</dcterms:modified>
</cp:coreProperties>
</file>