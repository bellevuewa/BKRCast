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output\"/>
    </mc:Choice>
  </mc:AlternateContent>
  <bookViews>
    <workbookView xWindow="10050" yWindow="-15" windowWidth="14190" windowHeight="10695" activeTab="3"/>
  </bookViews>
  <sheets>
    <sheet name="TLFD" sheetId="3" r:id="rId1"/>
    <sheet name="TDFD" sheetId="4" r:id="rId2"/>
    <sheet name="County_Flow" sheetId="1" r:id="rId3"/>
    <sheet name="Documentation" sheetId="5" r:id="rId4"/>
    <sheet name="OtherTourDestination" sheetId="7" r:id="rId5"/>
    <sheet name="Calibration" sheetId="6" r:id="rId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71027"/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3" i="6"/>
  <c r="B26" i="6" l="1"/>
  <c r="B25" i="6"/>
  <c r="B24" i="6"/>
  <c r="B23" i="6"/>
  <c r="K51" i="6"/>
  <c r="K50" i="6"/>
  <c r="K49" i="6"/>
  <c r="K48" i="6"/>
  <c r="K47" i="6"/>
  <c r="K46" i="6"/>
  <c r="B5" i="6"/>
  <c r="E7" i="6"/>
  <c r="B7" i="6"/>
  <c r="E6" i="6"/>
  <c r="B6" i="6"/>
  <c r="E5" i="6"/>
  <c r="E4" i="6"/>
  <c r="B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E8" i="6" l="1"/>
  <c r="E16" i="6"/>
  <c r="E12" i="6"/>
  <c r="E15" i="6"/>
  <c r="E14" i="6"/>
  <c r="B8" i="6"/>
  <c r="E13" i="6"/>
  <c r="H15" i="1"/>
  <c r="J13" i="1"/>
  <c r="B13" i="6" l="1"/>
  <c r="B16" i="6"/>
  <c r="B12" i="6"/>
  <c r="B33" i="6" s="1"/>
  <c r="B43" i="6" s="1"/>
  <c r="K29" i="6" s="1"/>
  <c r="B15" i="6"/>
  <c r="B14" i="6"/>
  <c r="B35" i="6" s="1"/>
  <c r="B45" i="6" s="1"/>
  <c r="K31" i="6" s="1"/>
  <c r="S15" i="1"/>
  <c r="U13" i="1"/>
  <c r="B36" i="6" l="1"/>
  <c r="B46" i="6" s="1"/>
  <c r="K32" i="6" s="1"/>
  <c r="B34" i="6"/>
  <c r="B44" i="6" s="1"/>
  <c r="K30" i="6" s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H26" i="1"/>
  <c r="C26" i="1"/>
  <c r="D26" i="1"/>
  <c r="E26" i="1"/>
  <c r="F26" i="1"/>
  <c r="G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3" i="1"/>
  <c r="H24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J23" i="1" l="1"/>
  <c r="J24" i="1"/>
  <c r="H20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P41" i="1" l="1"/>
  <c r="O39" i="1"/>
  <c r="S37" i="1"/>
  <c r="N39" i="1"/>
  <c r="S34" i="1"/>
  <c r="S33" i="1"/>
  <c r="P39" i="1"/>
  <c r="S35" i="1"/>
  <c r="M39" i="1"/>
  <c r="R39" i="1"/>
  <c r="S39" i="1"/>
  <c r="S38" i="1"/>
  <c r="Q39" i="1"/>
  <c r="S36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J39" i="1" l="1"/>
  <c r="AF39" i="1" s="1"/>
  <c r="H41" i="1"/>
  <c r="AD41" i="1" s="1"/>
  <c r="B39" i="1"/>
  <c r="X39" i="1" s="1"/>
  <c r="H34" i="1"/>
  <c r="AD34" i="1" s="1"/>
  <c r="H35" i="1"/>
  <c r="AD35" i="1" s="1"/>
  <c r="H33" i="1"/>
  <c r="AD33" i="1" s="1"/>
  <c r="F39" i="1"/>
  <c r="AB39" i="1" s="1"/>
  <c r="H36" i="1"/>
  <c r="AD36" i="1" s="1"/>
  <c r="H37" i="1"/>
  <c r="AD37" i="1" s="1"/>
  <c r="H38" i="1"/>
  <c r="AD38" i="1" s="1"/>
  <c r="C39" i="1"/>
  <c r="Y39" i="1" s="1"/>
  <c r="D39" i="1"/>
  <c r="Z39" i="1" s="1"/>
  <c r="E39" i="1"/>
  <c r="AA39" i="1" s="1"/>
  <c r="H39" i="1"/>
  <c r="AD39" i="1" s="1"/>
  <c r="G39" i="1"/>
  <c r="AC39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<sst xmlns="http://schemas.openxmlformats.org/spreadsheetml/2006/main" count="667" uniqueCount="264">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</sst>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44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1" fontId="0" fillId="0" borderId="0" xfId="0" applyNumberFormat="1" applyFont="1"/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1" fontId="0" fillId="0" borderId="0" xfId="0" applyNumberFormat="1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0.1519686536166866</c:v>
                </c:pt>
                <c:pt idx="1">
                  <c:v>0.1553252519506651</c:v>
                </c:pt>
                <c:pt idx="2">
                  <c:v>0.13305739907838615</c:v>
                </c:pt>
                <c:pt idx="3">
                  <c:v>0.12110757037755589</c:v>
                </c:pt>
                <c:pt idx="4">
                  <c:v>5.4191187416845463E-2</c:v>
                </c:pt>
                <c:pt idx="5">
                  <c:v>5.3393476992134252E-2</c:v>
                </c:pt>
                <c:pt idx="6">
                  <c:v>3.7641770926189901E-2</c:v>
                </c:pt>
                <c:pt idx="7">
                  <c:v>3.0183382225930588E-2</c:v>
                </c:pt>
                <c:pt idx="8">
                  <c:v>3.8055889866368126E-2</c:v>
                </c:pt>
                <c:pt idx="9">
                  <c:v>2.7288421202750615E-2</c:v>
                </c:pt>
                <c:pt idx="10">
                  <c:v>3.4133478663280807E-2</c:v>
                </c:pt>
                <c:pt idx="11">
                  <c:v>1.6095079605857796E-2</c:v>
                </c:pt>
                <c:pt idx="12">
                  <c:v>1.5288782615671966E-2</c:v>
                </c:pt>
                <c:pt idx="13">
                  <c:v>1.4101019671934544E-2</c:v>
                </c:pt>
                <c:pt idx="14">
                  <c:v>9.5960740475077161E-3</c:v>
                </c:pt>
                <c:pt idx="15">
                  <c:v>8.8169106196800701E-3</c:v>
                </c:pt>
                <c:pt idx="16">
                  <c:v>7.9016542738652006E-3</c:v>
                </c:pt>
                <c:pt idx="17">
                  <c:v>1.2790939183270301E-2</c:v>
                </c:pt>
                <c:pt idx="18">
                  <c:v>7.3258865770200361E-3</c:v>
                </c:pt>
                <c:pt idx="19">
                  <c:v>5.9214974380913258E-3</c:v>
                </c:pt>
                <c:pt idx="20">
                  <c:v>1.3932252705240961E-3</c:v>
                </c:pt>
                <c:pt idx="21">
                  <c:v>4.9341405693959887E-3</c:v>
                </c:pt>
                <c:pt idx="22">
                  <c:v>7.5523350441064922E-3</c:v>
                </c:pt>
                <c:pt idx="23">
                  <c:v>7.6279624025753804E-3</c:v>
                </c:pt>
                <c:pt idx="24">
                  <c:v>1.8154618067503993E-3</c:v>
                </c:pt>
                <c:pt idx="25">
                  <c:v>9.7331367873127288E-3</c:v>
                </c:pt>
                <c:pt idx="26">
                  <c:v>2.3491623470221924E-3</c:v>
                </c:pt>
                <c:pt idx="27">
                  <c:v>7.6759029809406458E-4</c:v>
                </c:pt>
                <c:pt idx="28">
                  <c:v>1.0310655148766217E-3</c:v>
                </c:pt>
                <c:pt idx="29">
                  <c:v>2.1954414344557177E-3</c:v>
                </c:pt>
                <c:pt idx="30">
                  <c:v>2.6674107581247911E-3</c:v>
                </c:pt>
                <c:pt idx="31">
                  <c:v>0</c:v>
                </c:pt>
                <c:pt idx="32">
                  <c:v>1.1229740542029044E-3</c:v>
                </c:pt>
                <c:pt idx="33">
                  <c:v>2.9389896583890047E-3</c:v>
                </c:pt>
                <c:pt idx="34">
                  <c:v>2.3761900192914892E-3</c:v>
                </c:pt>
                <c:pt idx="35">
                  <c:v>4.4047880925917969E-4</c:v>
                </c:pt>
                <c:pt idx="36">
                  <c:v>2.8306011044435205E-3</c:v>
                </c:pt>
                <c:pt idx="37">
                  <c:v>9.5063233085877384E-4</c:v>
                </c:pt>
                <c:pt idx="38">
                  <c:v>1.1857274579775919E-4</c:v>
                </c:pt>
                <c:pt idx="39">
                  <c:v>0</c:v>
                </c:pt>
                <c:pt idx="40">
                  <c:v>7.35959807807541E-3</c:v>
                </c:pt>
                <c:pt idx="41">
                  <c:v>1.8277355887874863E-3</c:v>
                </c:pt>
                <c:pt idx="42">
                  <c:v>0</c:v>
                </c:pt>
                <c:pt idx="43">
                  <c:v>6.3394058135492171E-4</c:v>
                </c:pt>
                <c:pt idx="44">
                  <c:v>7.1783277719987472E-4</c:v>
                </c:pt>
                <c:pt idx="45">
                  <c:v>0</c:v>
                </c:pt>
                <c:pt idx="46">
                  <c:v>0</c:v>
                </c:pt>
                <c:pt idx="47">
                  <c:v>9.0221060957135322E-4</c:v>
                </c:pt>
                <c:pt idx="48">
                  <c:v>3.4125090738337907E-4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0.12180547253455926</c:v>
                </c:pt>
                <c:pt idx="1">
                  <c:v>8.58989178252417E-2</c:v>
                </c:pt>
                <c:pt idx="2">
                  <c:v>5.5106246971174062E-2</c:v>
                </c:pt>
                <c:pt idx="3">
                  <c:v>3.5604850647060933E-2</c:v>
                </c:pt>
                <c:pt idx="4">
                  <c:v>0.13855947624174791</c:v>
                </c:pt>
                <c:pt idx="5">
                  <c:v>9.0501790425044457E-2</c:v>
                </c:pt>
                <c:pt idx="6">
                  <c:v>7.4867863048983546E-2</c:v>
                </c:pt>
                <c:pt idx="7">
                  <c:v>5.5630457779344965E-2</c:v>
                </c:pt>
                <c:pt idx="8">
                  <c:v>3.964957073168892E-2</c:v>
                </c:pt>
                <c:pt idx="9">
                  <c:v>3.9138559476241751E-2</c:v>
                </c:pt>
                <c:pt idx="10">
                  <c:v>1.9737102622751128E-2</c:v>
                </c:pt>
                <c:pt idx="11">
                  <c:v>2.5569419276249668E-2</c:v>
                </c:pt>
                <c:pt idx="12">
                  <c:v>1.6767203259912392E-2</c:v>
                </c:pt>
                <c:pt idx="13">
                  <c:v>2.667629605465369E-2</c:v>
                </c:pt>
                <c:pt idx="14">
                  <c:v>1.6525840010107085E-2</c:v>
                </c:pt>
                <c:pt idx="15">
                  <c:v>2.5139490987533965E-2</c:v>
                </c:pt>
                <c:pt idx="16">
                  <c:v>1.7008566509717698E-2</c:v>
                </c:pt>
                <c:pt idx="17">
                  <c:v>1.1366700545518657E-2</c:v>
                </c:pt>
                <c:pt idx="18">
                  <c:v>1.2654599761276661E-2</c:v>
                </c:pt>
                <c:pt idx="19">
                  <c:v>1.0222110759332555E-2</c:v>
                </c:pt>
                <c:pt idx="20">
                  <c:v>9.088834875481077E-3</c:v>
                </c:pt>
                <c:pt idx="21">
                  <c:v>8.9511823970764882E-3</c:v>
                </c:pt>
                <c:pt idx="22">
                  <c:v>6.2735588445488677E-3</c:v>
                </c:pt>
                <c:pt idx="23">
                  <c:v>7.4916889959100244E-3</c:v>
                </c:pt>
                <c:pt idx="24">
                  <c:v>6.1830476258718774E-3</c:v>
                </c:pt>
                <c:pt idx="25">
                  <c:v>5.2458793824872105E-3</c:v>
                </c:pt>
                <c:pt idx="26">
                  <c:v>3.8108994363790986E-3</c:v>
                </c:pt>
                <c:pt idx="27">
                  <c:v>6.7713705472723122E-3</c:v>
                </c:pt>
                <c:pt idx="28">
                  <c:v>3.3640002941614606E-3</c:v>
                </c:pt>
                <c:pt idx="29">
                  <c:v>2.896358997663679E-3</c:v>
                </c:pt>
                <c:pt idx="30">
                  <c:v>3.4092559034999558E-3</c:v>
                </c:pt>
                <c:pt idx="31">
                  <c:v>2.2722087188702693E-3</c:v>
                </c:pt>
                <c:pt idx="32">
                  <c:v>2.1439844924112002E-3</c:v>
                </c:pt>
                <c:pt idx="33">
                  <c:v>1.4462938484427355E-3</c:v>
                </c:pt>
                <c:pt idx="34">
                  <c:v>1.5782893756800126E-3</c:v>
                </c:pt>
                <c:pt idx="35">
                  <c:v>1.3482400282093297E-3</c:v>
                </c:pt>
                <c:pt idx="36">
                  <c:v>1.5613185221780769E-3</c:v>
                </c:pt>
                <c:pt idx="37">
                  <c:v>1.2143588505829487E-3</c:v>
                </c:pt>
                <c:pt idx="38">
                  <c:v>8.655135285987166E-4</c:v>
                </c:pt>
                <c:pt idx="39">
                  <c:v>8.5231397587498894E-4</c:v>
                </c:pt>
                <c:pt idx="40">
                  <c:v>8.1082966731470187E-4</c:v>
                </c:pt>
                <c:pt idx="41">
                  <c:v>5.7323771828760321E-4</c:v>
                </c:pt>
                <c:pt idx="42">
                  <c:v>5.2043950739269235E-4</c:v>
                </c:pt>
                <c:pt idx="43">
                  <c:v>3.6204487470795988E-4</c:v>
                </c:pt>
                <c:pt idx="44">
                  <c:v>3.5450227315154406E-4</c:v>
                </c:pt>
                <c:pt idx="45">
                  <c:v>3.9032963054451924E-4</c:v>
                </c:pt>
                <c:pt idx="46">
                  <c:v>2.9039015992200952E-4</c:v>
                </c:pt>
                <c:pt idx="47">
                  <c:v>3.1113231420215305E-4</c:v>
                </c:pt>
                <c:pt idx="48">
                  <c:v>1.5273768151742058E-4</c:v>
                </c:pt>
                <c:pt idx="49">
                  <c:v>2.1307849396874724E-4</c:v>
                </c:pt>
                <c:pt idx="50">
                  <c:v>6.9769064396846432E-5</c:v>
                </c:pt>
                <c:pt idx="51">
                  <c:v>1.6782288463025225E-4</c:v>
                </c:pt>
                <c:pt idx="52">
                  <c:v>1.0559642178982164E-4</c:v>
                </c:pt>
                <c:pt idx="53">
                  <c:v>6.7883414007742477E-5</c:v>
                </c:pt>
                <c:pt idx="54">
                  <c:v>8.1082966731470179E-5</c:v>
                </c:pt>
                <c:pt idx="55">
                  <c:v>8.1082966731470179E-5</c:v>
                </c:pt>
                <c:pt idx="56">
                  <c:v>3.2056056614767283E-5</c:v>
                </c:pt>
                <c:pt idx="57">
                  <c:v>3.0170406225663324E-5</c:v>
                </c:pt>
                <c:pt idx="58">
                  <c:v>2.2627804669247492E-5</c:v>
                </c:pt>
                <c:pt idx="59">
                  <c:v>3.9598658171183112E-5</c:v>
                </c:pt>
                <c:pt idx="60">
                  <c:v>3.2056056614767283E-5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4.8079066370208846E-3</c:v>
                </c:pt>
                <c:pt idx="1">
                  <c:v>1.1610617530268694E-2</c:v>
                </c:pt>
                <c:pt idx="2">
                  <c:v>9.6482324522604457E-3</c:v>
                </c:pt>
                <c:pt idx="3">
                  <c:v>2.6560529640026365E-2</c:v>
                </c:pt>
                <c:pt idx="4">
                  <c:v>3.0501500013492871E-2</c:v>
                </c:pt>
                <c:pt idx="5">
                  <c:v>4.2446068411604351E-2</c:v>
                </c:pt>
                <c:pt idx="6">
                  <c:v>7.1889083174100268E-2</c:v>
                </c:pt>
                <c:pt idx="7">
                  <c:v>4.5836297862921128E-2</c:v>
                </c:pt>
                <c:pt idx="8">
                  <c:v>5.818485492055344E-2</c:v>
                </c:pt>
                <c:pt idx="9">
                  <c:v>6.5182012093201569E-2</c:v>
                </c:pt>
                <c:pt idx="10">
                  <c:v>8.2000600610130037E-2</c:v>
                </c:pt>
                <c:pt idx="11">
                  <c:v>5.4014991526141774E-2</c:v>
                </c:pt>
                <c:pt idx="12">
                  <c:v>3.0285211970957716E-2</c:v>
                </c:pt>
                <c:pt idx="13">
                  <c:v>3.9216580888145808E-2</c:v>
                </c:pt>
                <c:pt idx="14">
                  <c:v>2.8379343795594623E-2</c:v>
                </c:pt>
                <c:pt idx="15">
                  <c:v>3.277942944073519E-2</c:v>
                </c:pt>
                <c:pt idx="16">
                  <c:v>2.6052948397374452E-2</c:v>
                </c:pt>
                <c:pt idx="17">
                  <c:v>3.0474381136621462E-2</c:v>
                </c:pt>
                <c:pt idx="18">
                  <c:v>1.772240081070936E-2</c:v>
                </c:pt>
                <c:pt idx="19">
                  <c:v>3.4837432496092453E-2</c:v>
                </c:pt>
                <c:pt idx="20">
                  <c:v>2.1535685900600638E-2</c:v>
                </c:pt>
                <c:pt idx="21">
                  <c:v>2.4944059077604795E-2</c:v>
                </c:pt>
                <c:pt idx="22">
                  <c:v>1.5563683720860116E-2</c:v>
                </c:pt>
                <c:pt idx="23">
                  <c:v>8.7932441848127332E-3</c:v>
                </c:pt>
                <c:pt idx="24">
                  <c:v>2.1074617652414845E-2</c:v>
                </c:pt>
                <c:pt idx="25">
                  <c:v>5.8424609211583508E-3</c:v>
                </c:pt>
                <c:pt idx="26">
                  <c:v>1.1658006050269062E-2</c:v>
                </c:pt>
                <c:pt idx="27">
                  <c:v>9.8841878397364653E-3</c:v>
                </c:pt>
                <c:pt idx="28">
                  <c:v>1.4613717260888791E-2</c:v>
                </c:pt>
                <c:pt idx="29">
                  <c:v>7.7111423523114715E-3</c:v>
                </c:pt>
                <c:pt idx="30">
                  <c:v>6.5336292986566593E-3</c:v>
                </c:pt>
                <c:pt idx="31">
                  <c:v>8.4625913681327346E-3</c:v>
                </c:pt>
                <c:pt idx="32">
                  <c:v>8.5729325121297745E-3</c:v>
                </c:pt>
                <c:pt idx="33">
                  <c:v>1.0200917848797984E-3</c:v>
                </c:pt>
                <c:pt idx="34">
                  <c:v>5.0664181592715895E-3</c:v>
                </c:pt>
                <c:pt idx="35">
                  <c:v>5.511799409124339E-3</c:v>
                </c:pt>
                <c:pt idx="36">
                  <c:v>6.6320025438478458E-3</c:v>
                </c:pt>
                <c:pt idx="37">
                  <c:v>6.1077867025053556E-3</c:v>
                </c:pt>
                <c:pt idx="38">
                  <c:v>8.7461623209639568E-3</c:v>
                </c:pt>
                <c:pt idx="39">
                  <c:v>1.1705440172570484E-3</c:v>
                </c:pt>
                <c:pt idx="40">
                  <c:v>3.9130130712379781E-3</c:v>
                </c:pt>
                <c:pt idx="41">
                  <c:v>4.7066648911552452E-3</c:v>
                </c:pt>
                <c:pt idx="42">
                  <c:v>1.2340674429372725E-3</c:v>
                </c:pt>
                <c:pt idx="43">
                  <c:v>5.0554556366199407E-4</c:v>
                </c:pt>
                <c:pt idx="44">
                  <c:v>2.2857587239972837E-3</c:v>
                </c:pt>
                <c:pt idx="45">
                  <c:v>2.3197026808499882E-3</c:v>
                </c:pt>
                <c:pt idx="46">
                  <c:v>2.1843589159186647E-3</c:v>
                </c:pt>
                <c:pt idx="47">
                  <c:v>8.7906918085642425E-4</c:v>
                </c:pt>
                <c:pt idx="48">
                  <c:v>2.3476271339633492E-3</c:v>
                </c:pt>
                <c:pt idx="49">
                  <c:v>1.4210643159380224E-3</c:v>
                </c:pt>
                <c:pt idx="50">
                  <c:v>3.5799920265845151E-3</c:v>
                </c:pt>
                <c:pt idx="51">
                  <c:v>4.5312857840386842E-3</c:v>
                </c:pt>
                <c:pt idx="52">
                  <c:v>3.5301040753801033E-3</c:v>
                </c:pt>
                <c:pt idx="53">
                  <c:v>1.441193674022209E-3</c:v>
                </c:pt>
                <c:pt idx="54">
                  <c:v>3.850803610164441E-3</c:v>
                </c:pt>
                <c:pt idx="55">
                  <c:v>7.1012057787897518E-6</c:v>
                </c:pt>
                <c:pt idx="56">
                  <c:v>0</c:v>
                </c:pt>
                <c:pt idx="57">
                  <c:v>1.1857274579775918E-4</c:v>
                </c:pt>
                <c:pt idx="58">
                  <c:v>1.1927971672518387E-3</c:v>
                </c:pt>
                <c:pt idx="59">
                  <c:v>1.1229740542029044E-3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2.1841488456991142E-2</c:v>
                </c:pt>
                <c:pt idx="1">
                  <c:v>2.4000558152515176E-2</c:v>
                </c:pt>
                <c:pt idx="2">
                  <c:v>2.8314926242785029E-2</c:v>
                </c:pt>
                <c:pt idx="3">
                  <c:v>2.842052266457485E-2</c:v>
                </c:pt>
                <c:pt idx="4">
                  <c:v>2.6823376785003801E-2</c:v>
                </c:pt>
                <c:pt idx="5">
                  <c:v>2.5305428221775114E-2</c:v>
                </c:pt>
                <c:pt idx="6">
                  <c:v>2.3668683684032878E-2</c:v>
                </c:pt>
                <c:pt idx="7">
                  <c:v>2.2035710447068851E-2</c:v>
                </c:pt>
                <c:pt idx="8">
                  <c:v>1.9727674370805606E-2</c:v>
                </c:pt>
                <c:pt idx="9">
                  <c:v>1.7823167477810608E-2</c:v>
                </c:pt>
                <c:pt idx="10">
                  <c:v>1.6009171803492601E-2</c:v>
                </c:pt>
                <c:pt idx="11">
                  <c:v>1.4176319625283554E-2</c:v>
                </c:pt>
                <c:pt idx="12">
                  <c:v>1.3241037032287992E-2</c:v>
                </c:pt>
                <c:pt idx="13">
                  <c:v>1.1447783512250127E-2</c:v>
                </c:pt>
                <c:pt idx="14">
                  <c:v>1.0352220636180728E-2</c:v>
                </c:pt>
                <c:pt idx="15">
                  <c:v>9.6149313340410814E-3</c:v>
                </c:pt>
                <c:pt idx="16">
                  <c:v>9.1114626801503239E-3</c:v>
                </c:pt>
                <c:pt idx="17">
                  <c:v>7.7915074077775535E-3</c:v>
                </c:pt>
                <c:pt idx="18">
                  <c:v>9.2608061909673578E-2</c:v>
                </c:pt>
                <c:pt idx="19">
                  <c:v>3.0094980210099168E-2</c:v>
                </c:pt>
                <c:pt idx="20">
                  <c:v>3.5346516543753689E-2</c:v>
                </c:pt>
                <c:pt idx="21">
                  <c:v>4.8027515410477804E-2</c:v>
                </c:pt>
                <c:pt idx="22">
                  <c:v>3.6713613075854058E-2</c:v>
                </c:pt>
                <c:pt idx="23">
                  <c:v>3.6040435886943945E-2</c:v>
                </c:pt>
                <c:pt idx="24">
                  <c:v>2.709113914025656E-2</c:v>
                </c:pt>
                <c:pt idx="25">
                  <c:v>3.2563296569436247E-2</c:v>
                </c:pt>
                <c:pt idx="26">
                  <c:v>2.2827683610492512E-2</c:v>
                </c:pt>
                <c:pt idx="27">
                  <c:v>2.3020019950181117E-2</c:v>
                </c:pt>
                <c:pt idx="28">
                  <c:v>2.2031939146290643E-2</c:v>
                </c:pt>
                <c:pt idx="29">
                  <c:v>2.4651107536756041E-2</c:v>
                </c:pt>
                <c:pt idx="30">
                  <c:v>2.0847750701933357E-2</c:v>
                </c:pt>
                <c:pt idx="31">
                  <c:v>2.0544160989287619E-2</c:v>
                </c:pt>
                <c:pt idx="32">
                  <c:v>1.7398896140262219E-2</c:v>
                </c:pt>
                <c:pt idx="33">
                  <c:v>1.8909302101934488E-2</c:v>
                </c:pt>
                <c:pt idx="34">
                  <c:v>1.2777167036568417E-2</c:v>
                </c:pt>
                <c:pt idx="35">
                  <c:v>1.2202043667891712E-2</c:v>
                </c:pt>
                <c:pt idx="36">
                  <c:v>1.7325355775087165E-2</c:v>
                </c:pt>
                <c:pt idx="37">
                  <c:v>1.1306359733067331E-2</c:v>
                </c:pt>
                <c:pt idx="38">
                  <c:v>9.5131062130294677E-3</c:v>
                </c:pt>
                <c:pt idx="39">
                  <c:v>1.0154227345324812E-2</c:v>
                </c:pt>
                <c:pt idx="40">
                  <c:v>8.6551352859871658E-3</c:v>
                </c:pt>
                <c:pt idx="41">
                  <c:v>7.5953997673107419E-3</c:v>
                </c:pt>
                <c:pt idx="42">
                  <c:v>7.2295835918245741E-3</c:v>
                </c:pt>
                <c:pt idx="43">
                  <c:v>7.0202763986340353E-3</c:v>
                </c:pt>
                <c:pt idx="44">
                  <c:v>5.5438121439656358E-3</c:v>
                </c:pt>
                <c:pt idx="45">
                  <c:v>5.1855385700358839E-3</c:v>
                </c:pt>
                <c:pt idx="46">
                  <c:v>5.8964287667280764E-3</c:v>
                </c:pt>
                <c:pt idx="47">
                  <c:v>3.4167985050563717E-3</c:v>
                </c:pt>
                <c:pt idx="48">
                  <c:v>4.4520205686744444E-3</c:v>
                </c:pt>
                <c:pt idx="49">
                  <c:v>3.6525048036943663E-3</c:v>
                </c:pt>
                <c:pt idx="50">
                  <c:v>2.9057872496091991E-3</c:v>
                </c:pt>
                <c:pt idx="51">
                  <c:v>3.1490361498036096E-3</c:v>
                </c:pt>
                <c:pt idx="52">
                  <c:v>2.7945338766520653E-3</c:v>
                </c:pt>
                <c:pt idx="53">
                  <c:v>2.3438634336562197E-3</c:v>
                </c:pt>
                <c:pt idx="54">
                  <c:v>1.9969037620610913E-3</c:v>
                </c:pt>
                <c:pt idx="55">
                  <c:v>1.695199699804458E-3</c:v>
                </c:pt>
                <c:pt idx="56">
                  <c:v>1.8139956743180074E-3</c:v>
                </c:pt>
                <c:pt idx="57">
                  <c:v>1.653715391244171E-3</c:v>
                </c:pt>
                <c:pt idx="58">
                  <c:v>1.3727534832676813E-3</c:v>
                </c:pt>
                <c:pt idx="59">
                  <c:v>1.0974485264585035E-3</c:v>
                </c:pt>
                <c:pt idx="60">
                  <c:v>9.6733864961033036E-4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A6" sqref="A6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6" max="6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260</v>
      </c>
    </row>
    <row r="3" spans="1:12" x14ac:dyDescent="0.25">
      <c r="A3" t="s">
        <v>261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41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42</v>
      </c>
      <c r="C10" s="5" t="s">
        <v>42</v>
      </c>
      <c r="E10" s="2" t="s">
        <v>3</v>
      </c>
      <c r="F10" s="5" t="s">
        <v>16</v>
      </c>
      <c r="G10" s="5" t="s">
        <v>16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78646.474900000001</v>
      </c>
      <c r="C11" s="11">
        <f>B11/B$102</f>
        <v>0.1519686536166866</v>
      </c>
      <c r="E11" s="20">
        <v>0</v>
      </c>
      <c r="F11" s="110">
        <v>64596</v>
      </c>
      <c r="G11" s="11">
        <f>F11/F$102</f>
        <v>0.12180547253455926</v>
      </c>
      <c r="K11" s="8">
        <v>6.4371923335373173</v>
      </c>
      <c r="L11" s="8">
        <v>7.9936053904774553</v>
      </c>
    </row>
    <row r="12" spans="1:12" x14ac:dyDescent="0.25">
      <c r="A12">
        <v>1</v>
      </c>
      <c r="B12" s="8">
        <v>80383.574099999998</v>
      </c>
      <c r="C12" s="11">
        <f>B12/B$102</f>
        <v>0.1553252519506651</v>
      </c>
      <c r="E12" s="21">
        <v>1</v>
      </c>
      <c r="F12" s="111">
        <v>45554</v>
      </c>
      <c r="G12" s="11">
        <f>F12/F$102</f>
        <v>8.58989178252417E-2</v>
      </c>
      <c r="K12" s="8"/>
      <c r="L12" s="380"/>
    </row>
    <row r="13" spans="1:12" x14ac:dyDescent="0.25">
      <c r="A13">
        <v>2</v>
      </c>
      <c r="B13" s="8">
        <v>68859.565099999993</v>
      </c>
      <c r="C13" s="11">
        <f t="shared" ref="C13:C76" si="0">B13/B$102</f>
        <v>0.13305739907838615</v>
      </c>
      <c r="E13" s="22">
        <v>2</v>
      </c>
      <c r="F13" s="112">
        <v>29224</v>
      </c>
      <c r="G13" s="11">
        <f t="shared" ref="G13:G76" si="1">F13/F$102</f>
        <v>5.5106246971174062E-2</v>
      </c>
    </row>
    <row r="14" spans="1:12" x14ac:dyDescent="0.25">
      <c r="A14">
        <v>3</v>
      </c>
      <c r="B14" s="8">
        <v>62675.316699999996</v>
      </c>
      <c r="C14" s="11">
        <f t="shared" si="0"/>
        <v>0.12110757037755589</v>
      </c>
      <c r="E14" s="23">
        <v>3</v>
      </c>
      <c r="F14" s="113">
        <v>18882</v>
      </c>
      <c r="G14" s="11">
        <f t="shared" si="1"/>
        <v>3.5604850647060933E-2</v>
      </c>
    </row>
    <row r="15" spans="1:12" x14ac:dyDescent="0.25">
      <c r="A15">
        <v>4</v>
      </c>
      <c r="B15" s="8">
        <v>28044.901099999999</v>
      </c>
      <c r="C15" s="11">
        <f t="shared" si="0"/>
        <v>5.4191187416845463E-2</v>
      </c>
      <c r="E15" s="24">
        <v>4</v>
      </c>
      <c r="F15" s="114">
        <v>73481</v>
      </c>
      <c r="G15" s="11">
        <f t="shared" si="1"/>
        <v>0.13855947624174791</v>
      </c>
    </row>
    <row r="16" spans="1:12" x14ac:dyDescent="0.25">
      <c r="A16">
        <v>5</v>
      </c>
      <c r="B16" s="8">
        <v>27632.071800000002</v>
      </c>
      <c r="C16" s="11">
        <f t="shared" si="0"/>
        <v>5.3393476992134252E-2</v>
      </c>
      <c r="E16" s="25">
        <v>5</v>
      </c>
      <c r="F16" s="115">
        <v>47995</v>
      </c>
      <c r="G16" s="11">
        <f t="shared" si="1"/>
        <v>9.0501790425044457E-2</v>
      </c>
    </row>
    <row r="17" spans="1:7" x14ac:dyDescent="0.25">
      <c r="A17">
        <v>6</v>
      </c>
      <c r="B17" s="8">
        <v>19480.2844</v>
      </c>
      <c r="C17" s="11">
        <f t="shared" si="0"/>
        <v>3.7641770926189901E-2</v>
      </c>
      <c r="E17" s="26">
        <v>6</v>
      </c>
      <c r="F17" s="116">
        <v>39704</v>
      </c>
      <c r="G17" s="11">
        <f t="shared" si="1"/>
        <v>7.4867863048983546E-2</v>
      </c>
    </row>
    <row r="18" spans="1:7" x14ac:dyDescent="0.25">
      <c r="A18">
        <v>7</v>
      </c>
      <c r="B18" s="8">
        <v>15620.4359</v>
      </c>
      <c r="C18" s="11">
        <f t="shared" si="0"/>
        <v>3.0183382225930588E-2</v>
      </c>
      <c r="E18" s="27">
        <v>7</v>
      </c>
      <c r="F18" s="117">
        <v>29502</v>
      </c>
      <c r="G18" s="11">
        <f t="shared" si="1"/>
        <v>5.5630457779344965E-2</v>
      </c>
    </row>
    <row r="19" spans="1:7" x14ac:dyDescent="0.25">
      <c r="A19">
        <v>8</v>
      </c>
      <c r="B19" s="8">
        <v>19694.598300000001</v>
      </c>
      <c r="C19" s="11">
        <f t="shared" si="0"/>
        <v>3.8055889866368126E-2</v>
      </c>
      <c r="E19" s="28">
        <v>8</v>
      </c>
      <c r="F19" s="118">
        <v>21027</v>
      </c>
      <c r="G19" s="11">
        <f t="shared" si="1"/>
        <v>3.964957073168892E-2</v>
      </c>
    </row>
    <row r="20" spans="1:7" x14ac:dyDescent="0.25">
      <c r="A20">
        <v>9</v>
      </c>
      <c r="B20" s="8">
        <v>14122.242200000001</v>
      </c>
      <c r="C20" s="11">
        <f t="shared" si="0"/>
        <v>2.7288421202750615E-2</v>
      </c>
      <c r="E20" s="29">
        <v>9</v>
      </c>
      <c r="F20" s="119">
        <v>20756</v>
      </c>
      <c r="G20" s="11">
        <f t="shared" si="1"/>
        <v>3.9138559476241751E-2</v>
      </c>
    </row>
    <row r="21" spans="1:7" x14ac:dyDescent="0.25">
      <c r="A21">
        <v>10</v>
      </c>
      <c r="B21" s="8">
        <v>17664.680899999999</v>
      </c>
      <c r="C21" s="11">
        <f t="shared" si="0"/>
        <v>3.4133478663280807E-2</v>
      </c>
      <c r="E21" s="30">
        <v>10</v>
      </c>
      <c r="F21" s="120">
        <v>10467</v>
      </c>
      <c r="G21" s="11">
        <f t="shared" si="1"/>
        <v>1.9737102622751128E-2</v>
      </c>
    </row>
    <row r="22" spans="1:7" x14ac:dyDescent="0.25">
      <c r="A22">
        <v>11</v>
      </c>
      <c r="B22" s="8">
        <v>8329.4892999999993</v>
      </c>
      <c r="C22" s="11">
        <f t="shared" si="0"/>
        <v>1.6095079605857796E-2</v>
      </c>
      <c r="E22" s="31">
        <v>11</v>
      </c>
      <c r="F22" s="121">
        <v>13560</v>
      </c>
      <c r="G22" s="11">
        <f t="shared" si="1"/>
        <v>2.5569419276249668E-2</v>
      </c>
    </row>
    <row r="23" spans="1:7" x14ac:dyDescent="0.25">
      <c r="A23">
        <v>12</v>
      </c>
      <c r="B23" s="8">
        <v>7912.2163</v>
      </c>
      <c r="C23" s="11">
        <f t="shared" si="0"/>
        <v>1.5288782615671966E-2</v>
      </c>
      <c r="E23" s="32">
        <v>12</v>
      </c>
      <c r="F23" s="122">
        <v>8892</v>
      </c>
      <c r="G23" s="11">
        <f t="shared" si="1"/>
        <v>1.6767203259912392E-2</v>
      </c>
    </row>
    <row r="24" spans="1:7" x14ac:dyDescent="0.25">
      <c r="A24">
        <v>13</v>
      </c>
      <c r="B24" s="8">
        <v>7297.5279</v>
      </c>
      <c r="C24" s="11">
        <f t="shared" si="0"/>
        <v>1.4101019671934544E-2</v>
      </c>
      <c r="E24" s="33">
        <v>13</v>
      </c>
      <c r="F24" s="123">
        <v>14147</v>
      </c>
      <c r="G24" s="11">
        <f t="shared" si="1"/>
        <v>2.667629605465369E-2</v>
      </c>
    </row>
    <row r="25" spans="1:7" x14ac:dyDescent="0.25">
      <c r="A25">
        <v>14</v>
      </c>
      <c r="B25" s="8">
        <v>4966.1386000000002</v>
      </c>
      <c r="C25" s="11">
        <f t="shared" si="0"/>
        <v>9.5960740475077161E-3</v>
      </c>
      <c r="E25" s="34">
        <v>14</v>
      </c>
      <c r="F25" s="124">
        <v>8764</v>
      </c>
      <c r="G25" s="11">
        <f t="shared" si="1"/>
        <v>1.6525840010107085E-2</v>
      </c>
    </row>
    <row r="26" spans="1:7" x14ac:dyDescent="0.25">
      <c r="A26">
        <v>15</v>
      </c>
      <c r="B26" s="8">
        <v>4562.9076999999997</v>
      </c>
      <c r="C26" s="11">
        <f t="shared" si="0"/>
        <v>8.8169106196800701E-3</v>
      </c>
      <c r="E26" s="35">
        <v>15</v>
      </c>
      <c r="F26" s="125">
        <v>13332</v>
      </c>
      <c r="G26" s="11">
        <f t="shared" si="1"/>
        <v>2.5139490987533965E-2</v>
      </c>
    </row>
    <row r="27" spans="1:7" x14ac:dyDescent="0.25">
      <c r="A27">
        <v>16</v>
      </c>
      <c r="B27" s="8">
        <v>4089.2462999999998</v>
      </c>
      <c r="C27" s="11">
        <f t="shared" si="0"/>
        <v>7.9016542738652006E-3</v>
      </c>
      <c r="E27" s="36">
        <v>16</v>
      </c>
      <c r="F27" s="126">
        <v>9020</v>
      </c>
      <c r="G27" s="11">
        <f t="shared" si="1"/>
        <v>1.7008566509717698E-2</v>
      </c>
    </row>
    <row r="28" spans="1:7" x14ac:dyDescent="0.25">
      <c r="A28">
        <v>17</v>
      </c>
      <c r="B28" s="8">
        <v>6619.5379999999996</v>
      </c>
      <c r="C28" s="11">
        <f t="shared" si="0"/>
        <v>1.2790939183270301E-2</v>
      </c>
      <c r="E28" s="37">
        <v>17</v>
      </c>
      <c r="F28" s="127">
        <v>6028</v>
      </c>
      <c r="G28" s="11">
        <f t="shared" si="1"/>
        <v>1.1366700545518657E-2</v>
      </c>
    </row>
    <row r="29" spans="1:7" x14ac:dyDescent="0.25">
      <c r="A29">
        <v>18</v>
      </c>
      <c r="B29" s="8">
        <v>3791.2763</v>
      </c>
      <c r="C29" s="11">
        <f t="shared" si="0"/>
        <v>7.3258865770200361E-3</v>
      </c>
      <c r="E29" s="38">
        <v>18</v>
      </c>
      <c r="F29" s="128">
        <v>6711</v>
      </c>
      <c r="G29" s="11">
        <f t="shared" si="1"/>
        <v>1.2654599761276661E-2</v>
      </c>
    </row>
    <row r="30" spans="1:7" x14ac:dyDescent="0.25">
      <c r="A30">
        <v>19</v>
      </c>
      <c r="B30" s="8">
        <v>3064.48</v>
      </c>
      <c r="C30" s="11">
        <f t="shared" si="0"/>
        <v>5.9214974380913258E-3</v>
      </c>
      <c r="E30" s="39">
        <v>19</v>
      </c>
      <c r="F30" s="129">
        <v>5421</v>
      </c>
      <c r="G30" s="11">
        <f t="shared" si="1"/>
        <v>1.0222110759332555E-2</v>
      </c>
    </row>
    <row r="31" spans="1:7" x14ac:dyDescent="0.25">
      <c r="A31">
        <v>20</v>
      </c>
      <c r="B31" s="8">
        <v>721.01880000000006</v>
      </c>
      <c r="C31" s="11">
        <f t="shared" si="0"/>
        <v>1.3932252705240961E-3</v>
      </c>
      <c r="E31" s="40">
        <v>20</v>
      </c>
      <c r="F31" s="130">
        <v>4820</v>
      </c>
      <c r="G31" s="11">
        <f t="shared" si="1"/>
        <v>9.088834875481077E-3</v>
      </c>
    </row>
    <row r="32" spans="1:7" x14ac:dyDescent="0.25">
      <c r="A32">
        <v>21</v>
      </c>
      <c r="B32" s="8">
        <v>2553.5052999999998</v>
      </c>
      <c r="C32" s="11">
        <f t="shared" si="0"/>
        <v>4.9341405693959887E-3</v>
      </c>
      <c r="E32" s="41">
        <v>21</v>
      </c>
      <c r="F32" s="131">
        <v>4747</v>
      </c>
      <c r="G32" s="11">
        <f t="shared" si="1"/>
        <v>8.9511823970764882E-3</v>
      </c>
    </row>
    <row r="33" spans="1:7" x14ac:dyDescent="0.25">
      <c r="A33">
        <v>22</v>
      </c>
      <c r="B33" s="8">
        <v>3908.4674</v>
      </c>
      <c r="C33" s="11">
        <f t="shared" si="0"/>
        <v>7.5523350441064922E-3</v>
      </c>
      <c r="E33" s="42">
        <v>22</v>
      </c>
      <c r="F33" s="132">
        <v>3327</v>
      </c>
      <c r="G33" s="11">
        <f t="shared" si="1"/>
        <v>6.2735588445488677E-3</v>
      </c>
    </row>
    <row r="34" spans="1:7" x14ac:dyDescent="0.25">
      <c r="A34">
        <v>23</v>
      </c>
      <c r="B34" s="8">
        <v>3947.6059</v>
      </c>
      <c r="C34" s="11">
        <f t="shared" si="0"/>
        <v>7.6279624025753804E-3</v>
      </c>
      <c r="E34" s="43">
        <v>23</v>
      </c>
      <c r="F34" s="133">
        <v>3973</v>
      </c>
      <c r="G34" s="11">
        <f t="shared" si="1"/>
        <v>7.4916889959100244E-3</v>
      </c>
    </row>
    <row r="35" spans="1:7" x14ac:dyDescent="0.25">
      <c r="A35">
        <v>24</v>
      </c>
      <c r="B35" s="8">
        <v>939.53369999999995</v>
      </c>
      <c r="C35" s="11">
        <f t="shared" si="0"/>
        <v>1.8154618067503993E-3</v>
      </c>
      <c r="E35" s="44">
        <v>24</v>
      </c>
      <c r="F35" s="134">
        <v>3279</v>
      </c>
      <c r="G35" s="11">
        <f t="shared" si="1"/>
        <v>6.1830476258718774E-3</v>
      </c>
    </row>
    <row r="36" spans="1:7" x14ac:dyDescent="0.25">
      <c r="A36">
        <v>25</v>
      </c>
      <c r="B36" s="8">
        <v>5037.0709999999999</v>
      </c>
      <c r="C36" s="11">
        <f t="shared" si="0"/>
        <v>9.7331367873127288E-3</v>
      </c>
      <c r="E36" s="45">
        <v>25</v>
      </c>
      <c r="F36" s="135">
        <v>2782</v>
      </c>
      <c r="G36" s="11">
        <f t="shared" si="1"/>
        <v>5.2458793824872105E-3</v>
      </c>
    </row>
    <row r="37" spans="1:7" x14ac:dyDescent="0.25">
      <c r="A37">
        <v>26</v>
      </c>
      <c r="B37" s="8">
        <v>1215.7331999999999</v>
      </c>
      <c r="C37" s="11">
        <f t="shared" si="0"/>
        <v>2.3491623470221924E-3</v>
      </c>
      <c r="E37" s="46">
        <v>26</v>
      </c>
      <c r="F37" s="136">
        <v>2021</v>
      </c>
      <c r="G37" s="11">
        <f t="shared" si="1"/>
        <v>3.8108994363790986E-3</v>
      </c>
    </row>
    <row r="38" spans="1:7" x14ac:dyDescent="0.25">
      <c r="A38">
        <v>27</v>
      </c>
      <c r="B38" s="8">
        <v>397.24160000000001</v>
      </c>
      <c r="C38" s="11">
        <f t="shared" si="0"/>
        <v>7.6759029809406458E-4</v>
      </c>
      <c r="E38" s="47">
        <v>27</v>
      </c>
      <c r="F38" s="137">
        <v>3591</v>
      </c>
      <c r="G38" s="11">
        <f t="shared" si="1"/>
        <v>6.7713705472723122E-3</v>
      </c>
    </row>
    <row r="39" spans="1:7" x14ac:dyDescent="0.25">
      <c r="A39">
        <v>28</v>
      </c>
      <c r="B39" s="8">
        <v>533.59469999999999</v>
      </c>
      <c r="C39" s="11">
        <f t="shared" si="0"/>
        <v>1.0310655148766217E-3</v>
      </c>
      <c r="E39" s="48">
        <v>28</v>
      </c>
      <c r="F39" s="138">
        <v>1784</v>
      </c>
      <c r="G39" s="11">
        <f t="shared" si="1"/>
        <v>3.3640002941614606E-3</v>
      </c>
    </row>
    <row r="40" spans="1:7" x14ac:dyDescent="0.25">
      <c r="A40">
        <v>29</v>
      </c>
      <c r="B40" s="8">
        <v>1136.1798999999999</v>
      </c>
      <c r="C40" s="11">
        <f t="shared" si="0"/>
        <v>2.1954414344557177E-3</v>
      </c>
      <c r="E40" s="49">
        <v>29</v>
      </c>
      <c r="F40" s="139">
        <v>1536</v>
      </c>
      <c r="G40" s="11">
        <f t="shared" si="1"/>
        <v>2.896358997663679E-3</v>
      </c>
    </row>
    <row r="41" spans="1:7" x14ac:dyDescent="0.25">
      <c r="A41">
        <v>30</v>
      </c>
      <c r="B41" s="8">
        <v>1380.4323999999999</v>
      </c>
      <c r="C41" s="11">
        <f t="shared" si="0"/>
        <v>2.6674107581247911E-3</v>
      </c>
      <c r="E41" s="50">
        <v>30</v>
      </c>
      <c r="F41" s="140">
        <v>1808</v>
      </c>
      <c r="G41" s="11">
        <f t="shared" si="1"/>
        <v>3.4092559034999558E-3</v>
      </c>
    </row>
    <row r="42" spans="1:7" x14ac:dyDescent="0.25">
      <c r="A42">
        <v>31</v>
      </c>
      <c r="B42" s="8">
        <v>0</v>
      </c>
      <c r="C42" s="11">
        <f t="shared" si="0"/>
        <v>0</v>
      </c>
      <c r="E42" s="51">
        <v>31</v>
      </c>
      <c r="F42" s="141">
        <v>1205</v>
      </c>
      <c r="G42" s="11">
        <f t="shared" si="1"/>
        <v>2.2722087188702693E-3</v>
      </c>
    </row>
    <row r="43" spans="1:7" x14ac:dyDescent="0.25">
      <c r="A43">
        <v>32</v>
      </c>
      <c r="B43" s="8">
        <v>581.15899999999999</v>
      </c>
      <c r="C43" s="11">
        <f t="shared" si="0"/>
        <v>1.1229740542029044E-3</v>
      </c>
      <c r="E43" s="52">
        <v>32</v>
      </c>
      <c r="F43" s="142">
        <v>1137</v>
      </c>
      <c r="G43" s="11">
        <f t="shared" si="1"/>
        <v>2.1439844924112002E-3</v>
      </c>
    </row>
    <row r="44" spans="1:7" x14ac:dyDescent="0.25">
      <c r="A44">
        <v>33</v>
      </c>
      <c r="B44" s="8">
        <v>1520.9793</v>
      </c>
      <c r="C44" s="11">
        <f t="shared" si="0"/>
        <v>2.9389896583890047E-3</v>
      </c>
      <c r="E44" s="53">
        <v>33</v>
      </c>
      <c r="F44" s="143">
        <v>767</v>
      </c>
      <c r="G44" s="11">
        <f t="shared" si="1"/>
        <v>1.4462938484427355E-3</v>
      </c>
    </row>
    <row r="45" spans="1:7" x14ac:dyDescent="0.25">
      <c r="A45">
        <v>34</v>
      </c>
      <c r="B45" s="8">
        <v>1229.7204999999999</v>
      </c>
      <c r="C45" s="11">
        <f t="shared" si="0"/>
        <v>2.3761900192914892E-3</v>
      </c>
      <c r="E45" s="54">
        <v>34</v>
      </c>
      <c r="F45" s="144">
        <v>837</v>
      </c>
      <c r="G45" s="11">
        <f t="shared" si="1"/>
        <v>1.5782893756800126E-3</v>
      </c>
    </row>
    <row r="46" spans="1:7" x14ac:dyDescent="0.25">
      <c r="A46">
        <v>35</v>
      </c>
      <c r="B46" s="8">
        <v>227.9556</v>
      </c>
      <c r="C46" s="11">
        <f t="shared" si="0"/>
        <v>4.4047880925917969E-4</v>
      </c>
      <c r="E46" s="55">
        <v>35</v>
      </c>
      <c r="F46" s="145">
        <v>715</v>
      </c>
      <c r="G46" s="11">
        <f t="shared" si="1"/>
        <v>1.3482400282093297E-3</v>
      </c>
    </row>
    <row r="47" spans="1:7" x14ac:dyDescent="0.25">
      <c r="A47">
        <v>36</v>
      </c>
      <c r="B47" s="8">
        <v>1464.8862999999999</v>
      </c>
      <c r="C47" s="11">
        <f t="shared" si="0"/>
        <v>2.8306011044435205E-3</v>
      </c>
      <c r="E47" s="56">
        <v>36</v>
      </c>
      <c r="F47" s="146">
        <v>828</v>
      </c>
      <c r="G47" s="11">
        <f t="shared" si="1"/>
        <v>1.5613185221780769E-3</v>
      </c>
    </row>
    <row r="48" spans="1:7" x14ac:dyDescent="0.25">
      <c r="A48">
        <v>37</v>
      </c>
      <c r="B48" s="8">
        <v>491.96910000000003</v>
      </c>
      <c r="C48" s="11">
        <f t="shared" si="0"/>
        <v>9.5063233085877384E-4</v>
      </c>
      <c r="E48" s="57">
        <v>37</v>
      </c>
      <c r="F48" s="147">
        <v>644</v>
      </c>
      <c r="G48" s="11">
        <f t="shared" si="1"/>
        <v>1.2143588505829487E-3</v>
      </c>
    </row>
    <row r="49" spans="1:7" x14ac:dyDescent="0.25">
      <c r="A49">
        <v>38</v>
      </c>
      <c r="B49" s="8">
        <v>61.363500000000002</v>
      </c>
      <c r="C49" s="11">
        <f t="shared" si="0"/>
        <v>1.1857274579775919E-4</v>
      </c>
      <c r="E49" s="58">
        <v>38</v>
      </c>
      <c r="F49" s="148">
        <v>459</v>
      </c>
      <c r="G49" s="11">
        <f t="shared" si="1"/>
        <v>8.655135285987166E-4</v>
      </c>
    </row>
    <row r="50" spans="1:7" x14ac:dyDescent="0.25">
      <c r="A50">
        <v>39</v>
      </c>
      <c r="B50" s="8">
        <v>0</v>
      </c>
      <c r="C50" s="11">
        <f t="shared" si="0"/>
        <v>0</v>
      </c>
      <c r="E50" s="59">
        <v>39</v>
      </c>
      <c r="F50" s="149">
        <v>452</v>
      </c>
      <c r="G50" s="11">
        <f t="shared" si="1"/>
        <v>8.5231397587498894E-4</v>
      </c>
    </row>
    <row r="51" spans="1:7" x14ac:dyDescent="0.25">
      <c r="A51">
        <v>40</v>
      </c>
      <c r="B51" s="8">
        <v>3808.7226000000001</v>
      </c>
      <c r="C51" s="11">
        <f t="shared" si="0"/>
        <v>7.35959807807541E-3</v>
      </c>
      <c r="E51" s="60">
        <v>40</v>
      </c>
      <c r="F51" s="150">
        <v>430</v>
      </c>
      <c r="G51" s="11">
        <f t="shared" si="1"/>
        <v>8.1082966731470187E-4</v>
      </c>
    </row>
    <row r="52" spans="1:7" x14ac:dyDescent="0.25">
      <c r="A52">
        <v>41</v>
      </c>
      <c r="B52" s="8">
        <v>945.88559999999995</v>
      </c>
      <c r="C52" s="11">
        <f t="shared" si="0"/>
        <v>1.8277355887874863E-3</v>
      </c>
      <c r="E52" s="61">
        <v>41</v>
      </c>
      <c r="F52" s="151">
        <v>304</v>
      </c>
      <c r="G52" s="11">
        <f t="shared" si="1"/>
        <v>5.7323771828760321E-4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2">
        <v>42</v>
      </c>
      <c r="F53" s="152">
        <v>276</v>
      </c>
      <c r="G53" s="11">
        <f t="shared" si="1"/>
        <v>5.2043950739269235E-4</v>
      </c>
    </row>
    <row r="54" spans="1:7" x14ac:dyDescent="0.25">
      <c r="A54">
        <v>43</v>
      </c>
      <c r="B54" s="8">
        <v>328.07549999999998</v>
      </c>
      <c r="C54" s="11">
        <f t="shared" si="0"/>
        <v>6.3394058135492171E-4</v>
      </c>
      <c r="E54" s="63">
        <v>43</v>
      </c>
      <c r="F54" s="153">
        <v>192</v>
      </c>
      <c r="G54" s="11">
        <f t="shared" si="1"/>
        <v>3.6204487470795988E-4</v>
      </c>
    </row>
    <row r="55" spans="1:7" x14ac:dyDescent="0.25">
      <c r="A55">
        <v>44</v>
      </c>
      <c r="B55" s="8">
        <v>371.49119999999999</v>
      </c>
      <c r="C55" s="11">
        <f t="shared" si="0"/>
        <v>7.1783277719987472E-4</v>
      </c>
      <c r="E55" s="64">
        <v>44</v>
      </c>
      <c r="F55" s="154">
        <v>188</v>
      </c>
      <c r="G55" s="11">
        <f t="shared" si="1"/>
        <v>3.5450227315154406E-4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65">
        <v>45</v>
      </c>
      <c r="F56" s="155">
        <v>207</v>
      </c>
      <c r="G56" s="11">
        <f t="shared" si="1"/>
        <v>3.9032963054451924E-4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6">
        <v>46</v>
      </c>
      <c r="F57" s="156">
        <v>154</v>
      </c>
      <c r="G57" s="11">
        <f t="shared" si="1"/>
        <v>2.9039015992200952E-4</v>
      </c>
    </row>
    <row r="58" spans="1:7" x14ac:dyDescent="0.25">
      <c r="A58">
        <v>47</v>
      </c>
      <c r="B58" s="8">
        <v>466.90999999999997</v>
      </c>
      <c r="C58" s="11">
        <f t="shared" si="0"/>
        <v>9.0221060957135322E-4</v>
      </c>
      <c r="E58" s="67">
        <v>47</v>
      </c>
      <c r="F58" s="157">
        <v>165</v>
      </c>
      <c r="G58" s="11">
        <f t="shared" si="1"/>
        <v>3.1113231420215305E-4</v>
      </c>
    </row>
    <row r="59" spans="1:7" x14ac:dyDescent="0.25">
      <c r="A59">
        <v>48</v>
      </c>
      <c r="B59" s="8">
        <v>176.60339999999999</v>
      </c>
      <c r="C59" s="11">
        <f t="shared" si="0"/>
        <v>3.4125090738337907E-4</v>
      </c>
      <c r="E59" s="68">
        <v>48</v>
      </c>
      <c r="F59" s="158">
        <v>81</v>
      </c>
      <c r="G59" s="11">
        <f t="shared" si="1"/>
        <v>1.5273768151742058E-4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9">
        <v>49</v>
      </c>
      <c r="F60" s="159">
        <v>113</v>
      </c>
      <c r="G60" s="11">
        <f t="shared" si="1"/>
        <v>2.1307849396874724E-4</v>
      </c>
    </row>
    <row r="61" spans="1:7" x14ac:dyDescent="0.25">
      <c r="A61">
        <v>50</v>
      </c>
      <c r="B61" s="8">
        <v>0</v>
      </c>
      <c r="C61" s="11">
        <f t="shared" si="0"/>
        <v>0</v>
      </c>
      <c r="E61" s="70">
        <v>50</v>
      </c>
      <c r="F61" s="160">
        <v>37</v>
      </c>
      <c r="G61" s="11">
        <f t="shared" si="1"/>
        <v>6.9769064396846432E-5</v>
      </c>
    </row>
    <row r="62" spans="1:7" x14ac:dyDescent="0.25">
      <c r="A62">
        <v>51</v>
      </c>
      <c r="B62" s="8">
        <v>0</v>
      </c>
      <c r="C62" s="11">
        <f t="shared" si="0"/>
        <v>0</v>
      </c>
      <c r="E62" s="71">
        <v>51</v>
      </c>
      <c r="F62" s="161">
        <v>89</v>
      </c>
      <c r="G62" s="11">
        <f t="shared" si="1"/>
        <v>1.6782288463025225E-4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2">
        <v>52</v>
      </c>
      <c r="F63" s="162">
        <v>56</v>
      </c>
      <c r="G63" s="11">
        <f t="shared" si="1"/>
        <v>1.0559642178982164E-4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3">
        <v>53</v>
      </c>
      <c r="F64" s="163">
        <v>36</v>
      </c>
      <c r="G64" s="11">
        <f t="shared" si="1"/>
        <v>6.7883414007742477E-5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4">
        <v>54</v>
      </c>
      <c r="F65" s="164">
        <v>43</v>
      </c>
      <c r="G65" s="11">
        <f t="shared" si="1"/>
        <v>8.1082966731470179E-5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5">
        <v>55</v>
      </c>
      <c r="F66" s="165">
        <v>43</v>
      </c>
      <c r="G66" s="11">
        <f t="shared" si="1"/>
        <v>8.1082966731470179E-5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76">
        <v>56</v>
      </c>
      <c r="F67" s="166">
        <v>17</v>
      </c>
      <c r="G67" s="11">
        <f t="shared" si="1"/>
        <v>3.2056056614767283E-5</v>
      </c>
    </row>
    <row r="68" spans="1:7" x14ac:dyDescent="0.25">
      <c r="A68">
        <v>57</v>
      </c>
      <c r="B68" s="8">
        <v>0</v>
      </c>
      <c r="C68" s="11">
        <f t="shared" si="0"/>
        <v>0</v>
      </c>
      <c r="E68" s="77">
        <v>57</v>
      </c>
      <c r="F68" s="167">
        <v>16</v>
      </c>
      <c r="G68" s="11">
        <f t="shared" si="1"/>
        <v>3.0170406225663324E-5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8">
        <v>58</v>
      </c>
      <c r="F69" s="168">
        <v>12</v>
      </c>
      <c r="G69" s="11">
        <f t="shared" si="1"/>
        <v>2.2627804669247492E-5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9">
        <v>59</v>
      </c>
      <c r="F70" s="169">
        <v>21</v>
      </c>
      <c r="G70" s="11">
        <f t="shared" si="1"/>
        <v>3.9598658171183112E-5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80">
        <v>60</v>
      </c>
      <c r="F71" s="170">
        <v>17</v>
      </c>
      <c r="G71" s="11">
        <f t="shared" si="1"/>
        <v>3.2056056614767283E-5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1">
        <v>61</v>
      </c>
      <c r="F72" s="171">
        <v>4</v>
      </c>
      <c r="G72" s="11">
        <f t="shared" si="1"/>
        <v>7.5426015564158311E-6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2">
        <v>62</v>
      </c>
      <c r="F73" s="172">
        <v>12</v>
      </c>
      <c r="G73" s="11">
        <f t="shared" si="1"/>
        <v>2.2627804669247492E-5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3">
        <v>63</v>
      </c>
      <c r="F74" s="173">
        <v>3</v>
      </c>
      <c r="G74" s="11">
        <f t="shared" si="1"/>
        <v>5.6569511673118731E-6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4">
        <v>64</v>
      </c>
      <c r="F75" s="174">
        <v>5</v>
      </c>
      <c r="G75" s="11">
        <f t="shared" si="1"/>
        <v>9.428251945519789E-6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5">
        <v>65</v>
      </c>
      <c r="F76" s="175">
        <v>3</v>
      </c>
      <c r="G76" s="11">
        <f t="shared" si="1"/>
        <v>5.6569511673118731E-6</v>
      </c>
    </row>
    <row r="77" spans="1:7" x14ac:dyDescent="0.25">
      <c r="A77">
        <v>66</v>
      </c>
      <c r="B77" s="8">
        <v>157.82409999999999</v>
      </c>
      <c r="C77" s="11">
        <f t="shared" ref="C77:C102" si="2">B77/B$102</f>
        <v>3.0496364923871883E-4</v>
      </c>
      <c r="E77" s="86">
        <v>66</v>
      </c>
      <c r="F77" s="176">
        <v>2</v>
      </c>
      <c r="G77" s="11">
        <f t="shared" ref="G77:G102" si="3">F77/F$102</f>
        <v>3.7713007782079155E-6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7">
        <v>67</v>
      </c>
      <c r="F78" s="177">
        <v>0</v>
      </c>
      <c r="G78" s="11">
        <f t="shared" si="3"/>
        <v>0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88">
        <v>68</v>
      </c>
      <c r="F79" s="178">
        <v>1</v>
      </c>
      <c r="G79" s="11">
        <f t="shared" si="3"/>
        <v>1.8856503891039578E-6</v>
      </c>
    </row>
    <row r="80" spans="1:7" x14ac:dyDescent="0.25">
      <c r="A80">
        <v>69</v>
      </c>
      <c r="B80" s="8">
        <v>192.56010000000001</v>
      </c>
      <c r="C80" s="11">
        <f t="shared" si="2"/>
        <v>3.7208405302975041E-4</v>
      </c>
      <c r="E80" s="89">
        <v>69</v>
      </c>
      <c r="F80" s="179">
        <v>0</v>
      </c>
      <c r="G80" s="11">
        <f t="shared" si="3"/>
        <v>0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90">
        <v>70</v>
      </c>
      <c r="F81" s="180">
        <v>4</v>
      </c>
      <c r="G81" s="11">
        <f t="shared" si="3"/>
        <v>7.5426015564158311E-6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1">
        <v>71</v>
      </c>
      <c r="F82" s="181">
        <v>1</v>
      </c>
      <c r="G82" s="11">
        <f t="shared" si="3"/>
        <v>1.8856503891039578E-6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2">
        <v>72</v>
      </c>
      <c r="F83" s="182">
        <v>1</v>
      </c>
      <c r="G83" s="11">
        <f t="shared" si="3"/>
        <v>1.8856503891039578E-6</v>
      </c>
    </row>
    <row r="84" spans="1:7" x14ac:dyDescent="0.25">
      <c r="A84">
        <v>73</v>
      </c>
      <c r="B84" s="8">
        <v>264.28930000000003</v>
      </c>
      <c r="C84" s="11">
        <f t="shared" si="2"/>
        <v>5.1068645018565958E-4</v>
      </c>
      <c r="E84" s="93">
        <v>73</v>
      </c>
      <c r="F84" s="183">
        <v>0</v>
      </c>
      <c r="G84" s="11">
        <f t="shared" si="3"/>
        <v>0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4">
        <v>74</v>
      </c>
      <c r="F85" s="184">
        <v>5</v>
      </c>
      <c r="G85" s="11">
        <f t="shared" si="3"/>
        <v>9.428251945519789E-6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5">
        <v>75</v>
      </c>
      <c r="F86" s="185">
        <v>1</v>
      </c>
      <c r="G86" s="11">
        <f t="shared" si="3"/>
        <v>1.8856503891039578E-6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6">
        <v>76</v>
      </c>
      <c r="F87" s="186">
        <v>1</v>
      </c>
      <c r="G87" s="11">
        <f t="shared" si="3"/>
        <v>1.8856503891039578E-6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7">
        <v>77</v>
      </c>
      <c r="F88" s="187">
        <v>3</v>
      </c>
      <c r="G88" s="11">
        <f t="shared" si="3"/>
        <v>5.6569511673118731E-6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8">
        <v>78</v>
      </c>
      <c r="F89" s="188">
        <v>0</v>
      </c>
      <c r="G89" s="11">
        <f t="shared" si="3"/>
        <v>0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9">
        <v>79</v>
      </c>
      <c r="F90" s="189">
        <v>1</v>
      </c>
      <c r="G90" s="11">
        <f t="shared" si="3"/>
        <v>1.8856503891039578E-6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00">
        <v>80</v>
      </c>
      <c r="F91" s="190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1">
        <v>81</v>
      </c>
      <c r="F92" s="191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2">
        <v>82</v>
      </c>
      <c r="F93" s="192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3">
        <v>83</v>
      </c>
      <c r="F94" s="193">
        <v>1</v>
      </c>
      <c r="G94" s="11">
        <f t="shared" si="3"/>
        <v>1.8856503891039578E-6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4">
        <v>84</v>
      </c>
      <c r="F95" s="194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5">
        <v>85</v>
      </c>
      <c r="F96" s="195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6">
        <v>86</v>
      </c>
      <c r="F97" s="196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7">
        <v>87</v>
      </c>
      <c r="F98" s="197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8">
        <v>88</v>
      </c>
      <c r="F99" s="198">
        <v>1</v>
      </c>
      <c r="G99" s="11">
        <f t="shared" si="3"/>
        <v>1.8856503891039578E-6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9">
        <v>89</v>
      </c>
      <c r="F100" s="199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97">
        <v>90</v>
      </c>
      <c r="F101" s="397">
        <v>0</v>
      </c>
      <c r="G101" s="11">
        <f t="shared" si="3"/>
        <v>0</v>
      </c>
    </row>
    <row r="102" spans="1:7" x14ac:dyDescent="0.25">
      <c r="B102" s="8">
        <f>SUM(B11:B101)</f>
        <v>517517.74479999993</v>
      </c>
      <c r="C102" s="11">
        <f t="shared" si="2"/>
        <v>1</v>
      </c>
      <c r="F102" s="8">
        <f>SUM(F11:F101)</f>
        <v>530321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>
      <selection activeCell="G6" sqref="G6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260</v>
      </c>
    </row>
    <row r="3" spans="1:12" x14ac:dyDescent="0.25">
      <c r="A3" t="s">
        <v>262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43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42</v>
      </c>
      <c r="E10" s="2" t="s">
        <v>15</v>
      </c>
      <c r="F10" s="5" t="s">
        <v>4</v>
      </c>
      <c r="G10" s="5" t="s">
        <v>16</v>
      </c>
      <c r="J10" s="2"/>
      <c r="K10" s="5" t="s">
        <v>42</v>
      </c>
      <c r="L10" s="5" t="s">
        <v>16</v>
      </c>
    </row>
    <row r="11" spans="1:12" x14ac:dyDescent="0.25">
      <c r="A11">
        <v>0</v>
      </c>
      <c r="B11" s="8">
        <v>2488.1770000000001</v>
      </c>
      <c r="C11" s="11">
        <f>B11/B$102</f>
        <v>4.8079066370208846E-3</v>
      </c>
      <c r="E11" s="200">
        <v>0</v>
      </c>
      <c r="F11" s="290">
        <v>11583</v>
      </c>
      <c r="G11" s="11">
        <f>F11/F$102</f>
        <v>2.1841488456991142E-2</v>
      </c>
      <c r="K11" s="8">
        <v>16.458261666886919</v>
      </c>
      <c r="L11" s="8">
        <v>21.643543259922058</v>
      </c>
    </row>
    <row r="12" spans="1:12" x14ac:dyDescent="0.25">
      <c r="A12">
        <v>1</v>
      </c>
      <c r="B12" s="8">
        <v>6008.7006000000001</v>
      </c>
      <c r="C12" s="11">
        <f>B12/B$102</f>
        <v>1.1610617530268694E-2</v>
      </c>
      <c r="E12" s="201">
        <v>1</v>
      </c>
      <c r="F12" s="291">
        <v>12728</v>
      </c>
      <c r="G12" s="11">
        <f>F12/F$102</f>
        <v>2.4000558152515176E-2</v>
      </c>
      <c r="K12" s="8"/>
      <c r="L12" s="381"/>
    </row>
    <row r="13" spans="1:12" x14ac:dyDescent="0.25">
      <c r="A13">
        <v>2</v>
      </c>
      <c r="B13" s="8">
        <v>4993.1314999999995</v>
      </c>
      <c r="C13" s="11">
        <f t="shared" ref="C13:C76" si="0">B13/B$102</f>
        <v>9.6482324522604457E-3</v>
      </c>
      <c r="E13" s="202">
        <v>2</v>
      </c>
      <c r="F13" s="292">
        <v>15016</v>
      </c>
      <c r="G13" s="11">
        <f t="shared" ref="G13:G76" si="1">F13/F$102</f>
        <v>2.8314926242785029E-2</v>
      </c>
    </row>
    <row r="14" spans="1:12" x14ac:dyDescent="0.25">
      <c r="A14">
        <v>3</v>
      </c>
      <c r="B14" s="8">
        <v>13745.545399999999</v>
      </c>
      <c r="C14" s="11">
        <f t="shared" si="0"/>
        <v>2.6560529640026365E-2</v>
      </c>
      <c r="E14" s="203">
        <v>3</v>
      </c>
      <c r="F14" s="293">
        <v>15072</v>
      </c>
      <c r="G14" s="11">
        <f t="shared" si="1"/>
        <v>2.842052266457485E-2</v>
      </c>
    </row>
    <row r="15" spans="1:12" x14ac:dyDescent="0.25">
      <c r="A15">
        <v>4</v>
      </c>
      <c r="B15" s="8">
        <v>15785.067499999999</v>
      </c>
      <c r="C15" s="11">
        <f t="shared" si="0"/>
        <v>3.0501500013492871E-2</v>
      </c>
      <c r="E15" s="204">
        <v>4</v>
      </c>
      <c r="F15" s="294">
        <v>14225</v>
      </c>
      <c r="G15" s="11">
        <f t="shared" si="1"/>
        <v>2.6823376785003801E-2</v>
      </c>
    </row>
    <row r="16" spans="1:12" x14ac:dyDescent="0.25">
      <c r="A16">
        <v>5</v>
      </c>
      <c r="B16" s="8">
        <v>21966.5936</v>
      </c>
      <c r="C16" s="11">
        <f t="shared" si="0"/>
        <v>4.2446068411604351E-2</v>
      </c>
      <c r="E16" s="205">
        <v>5</v>
      </c>
      <c r="F16" s="295">
        <v>13420</v>
      </c>
      <c r="G16" s="11">
        <f t="shared" si="1"/>
        <v>2.5305428221775114E-2</v>
      </c>
    </row>
    <row r="17" spans="1:7" x14ac:dyDescent="0.25">
      <c r="A17">
        <v>6</v>
      </c>
      <c r="B17" s="8">
        <v>37203.876199999999</v>
      </c>
      <c r="C17" s="11">
        <f t="shared" si="0"/>
        <v>7.1889083174100268E-2</v>
      </c>
      <c r="E17" s="206">
        <v>6</v>
      </c>
      <c r="F17" s="296">
        <v>12552</v>
      </c>
      <c r="G17" s="11">
        <f t="shared" si="1"/>
        <v>2.3668683684032878E-2</v>
      </c>
    </row>
    <row r="18" spans="1:7" x14ac:dyDescent="0.25">
      <c r="A18">
        <v>7</v>
      </c>
      <c r="B18" s="8">
        <v>23721.0975</v>
      </c>
      <c r="C18" s="11">
        <f t="shared" si="0"/>
        <v>4.5836297862921128E-2</v>
      </c>
      <c r="E18" s="207">
        <v>7</v>
      </c>
      <c r="F18" s="297">
        <v>11686</v>
      </c>
      <c r="G18" s="11">
        <f t="shared" si="1"/>
        <v>2.2035710447068851E-2</v>
      </c>
    </row>
    <row r="19" spans="1:7" x14ac:dyDescent="0.25">
      <c r="A19">
        <v>8</v>
      </c>
      <c r="B19" s="8">
        <v>30111.694899999999</v>
      </c>
      <c r="C19" s="11">
        <f t="shared" si="0"/>
        <v>5.818485492055344E-2</v>
      </c>
      <c r="E19" s="208">
        <v>8</v>
      </c>
      <c r="F19" s="298">
        <v>10462</v>
      </c>
      <c r="G19" s="11">
        <f t="shared" si="1"/>
        <v>1.9727674370805606E-2</v>
      </c>
    </row>
    <row r="20" spans="1:7" x14ac:dyDescent="0.25">
      <c r="A20">
        <v>9</v>
      </c>
      <c r="B20" s="8">
        <v>33732.847900000001</v>
      </c>
      <c r="C20" s="11">
        <f t="shared" si="0"/>
        <v>6.5182012093201569E-2</v>
      </c>
      <c r="E20" s="209">
        <v>9</v>
      </c>
      <c r="F20" s="299">
        <v>9452</v>
      </c>
      <c r="G20" s="11">
        <f t="shared" si="1"/>
        <v>1.7823167477810608E-2</v>
      </c>
    </row>
    <row r="21" spans="1:7" x14ac:dyDescent="0.25">
      <c r="A21">
        <v>10</v>
      </c>
      <c r="B21" s="8">
        <v>42436.765899999999</v>
      </c>
      <c r="C21" s="11">
        <f t="shared" si="0"/>
        <v>8.2000600610130037E-2</v>
      </c>
      <c r="E21" s="210">
        <v>10</v>
      </c>
      <c r="F21" s="300">
        <v>8490</v>
      </c>
      <c r="G21" s="11">
        <f t="shared" si="1"/>
        <v>1.6009171803492601E-2</v>
      </c>
    </row>
    <row r="22" spans="1:7" x14ac:dyDescent="0.25">
      <c r="A22">
        <v>11</v>
      </c>
      <c r="B22" s="8">
        <v>27953.7166</v>
      </c>
      <c r="C22" s="11">
        <f t="shared" si="0"/>
        <v>5.4014991526141774E-2</v>
      </c>
      <c r="E22" s="211">
        <v>11</v>
      </c>
      <c r="F22" s="301">
        <v>7518</v>
      </c>
      <c r="G22" s="11">
        <f t="shared" si="1"/>
        <v>1.4176319625283554E-2</v>
      </c>
    </row>
    <row r="23" spans="1:7" x14ac:dyDescent="0.25">
      <c r="A23">
        <v>12</v>
      </c>
      <c r="B23" s="8">
        <v>15673.134599999999</v>
      </c>
      <c r="C23" s="11">
        <f t="shared" si="0"/>
        <v>3.0285211970957716E-2</v>
      </c>
      <c r="E23" s="212">
        <v>12</v>
      </c>
      <c r="F23" s="302">
        <v>7022</v>
      </c>
      <c r="G23" s="11">
        <f t="shared" si="1"/>
        <v>1.3241037032287992E-2</v>
      </c>
    </row>
    <row r="24" spans="1:7" x14ac:dyDescent="0.25">
      <c r="A24">
        <v>13</v>
      </c>
      <c r="B24" s="8">
        <v>20295.2765</v>
      </c>
      <c r="C24" s="11">
        <f t="shared" si="0"/>
        <v>3.9216580888145808E-2</v>
      </c>
      <c r="E24" s="213">
        <v>13</v>
      </c>
      <c r="F24" s="303">
        <v>6071</v>
      </c>
      <c r="G24" s="11">
        <f t="shared" si="1"/>
        <v>1.1447783512250127E-2</v>
      </c>
    </row>
    <row r="25" spans="1:7" x14ac:dyDescent="0.25">
      <c r="A25">
        <v>14</v>
      </c>
      <c r="B25" s="8">
        <v>14686.814</v>
      </c>
      <c r="C25" s="11">
        <f t="shared" si="0"/>
        <v>2.8379343795594623E-2</v>
      </c>
      <c r="E25" s="214">
        <v>14</v>
      </c>
      <c r="F25" s="304">
        <v>5490</v>
      </c>
      <c r="G25" s="11">
        <f t="shared" si="1"/>
        <v>1.0352220636180728E-2</v>
      </c>
    </row>
    <row r="26" spans="1:7" x14ac:dyDescent="0.25">
      <c r="A26">
        <v>15</v>
      </c>
      <c r="B26" s="8">
        <v>16963.936399999999</v>
      </c>
      <c r="C26" s="11">
        <f t="shared" si="0"/>
        <v>3.277942944073519E-2</v>
      </c>
      <c r="E26" s="215">
        <v>15</v>
      </c>
      <c r="F26" s="305">
        <v>5099</v>
      </c>
      <c r="G26" s="11">
        <f t="shared" si="1"/>
        <v>9.6149313340410814E-3</v>
      </c>
    </row>
    <row r="27" spans="1:7" x14ac:dyDescent="0.25">
      <c r="A27">
        <v>16</v>
      </c>
      <c r="B27" s="8">
        <v>13482.8631</v>
      </c>
      <c r="C27" s="11">
        <f t="shared" si="0"/>
        <v>2.6052948397374452E-2</v>
      </c>
      <c r="E27" s="216">
        <v>16</v>
      </c>
      <c r="F27" s="306">
        <v>4832</v>
      </c>
      <c r="G27" s="11">
        <f t="shared" si="1"/>
        <v>9.1114626801503239E-3</v>
      </c>
    </row>
    <row r="28" spans="1:7" x14ac:dyDescent="0.25">
      <c r="A28">
        <v>17</v>
      </c>
      <c r="B28" s="8">
        <v>15771.032999999999</v>
      </c>
      <c r="C28" s="11">
        <f t="shared" si="0"/>
        <v>3.0474381136621462E-2</v>
      </c>
      <c r="E28" s="217">
        <v>17</v>
      </c>
      <c r="F28" s="307">
        <v>4132</v>
      </c>
      <c r="G28" s="11">
        <f t="shared" si="1"/>
        <v>7.7915074077775535E-3</v>
      </c>
    </row>
    <row r="29" spans="1:7" x14ac:dyDescent="0.25">
      <c r="A29">
        <v>18</v>
      </c>
      <c r="B29" s="8">
        <v>9171.6569</v>
      </c>
      <c r="C29" s="11">
        <f t="shared" si="0"/>
        <v>1.772240081070936E-2</v>
      </c>
      <c r="E29" s="218">
        <v>18</v>
      </c>
      <c r="F29" s="308">
        <v>49112</v>
      </c>
      <c r="G29" s="11">
        <f t="shared" si="1"/>
        <v>9.2608061909673578E-2</v>
      </c>
    </row>
    <row r="30" spans="1:7" x14ac:dyDescent="0.25">
      <c r="A30">
        <v>19</v>
      </c>
      <c r="B30" s="8">
        <v>18028.9895</v>
      </c>
      <c r="C30" s="11">
        <f t="shared" si="0"/>
        <v>3.4837432496092453E-2</v>
      </c>
      <c r="E30" s="219">
        <v>19</v>
      </c>
      <c r="F30" s="309">
        <v>15960</v>
      </c>
      <c r="G30" s="11">
        <f t="shared" si="1"/>
        <v>3.0094980210099168E-2</v>
      </c>
    </row>
    <row r="31" spans="1:7" x14ac:dyDescent="0.25">
      <c r="A31">
        <v>20</v>
      </c>
      <c r="B31" s="8">
        <v>11145.0996</v>
      </c>
      <c r="C31" s="11">
        <f t="shared" si="0"/>
        <v>2.1535685900600638E-2</v>
      </c>
      <c r="E31" s="220">
        <v>20</v>
      </c>
      <c r="F31" s="310">
        <v>18745</v>
      </c>
      <c r="G31" s="11">
        <f t="shared" si="1"/>
        <v>3.5346516543753689E-2</v>
      </c>
    </row>
    <row r="32" spans="1:7" x14ac:dyDescent="0.25">
      <c r="A32">
        <v>21</v>
      </c>
      <c r="B32" s="8">
        <v>12908.993200000001</v>
      </c>
      <c r="C32" s="11">
        <f t="shared" si="0"/>
        <v>2.4944059077604795E-2</v>
      </c>
      <c r="E32" s="221">
        <v>21</v>
      </c>
      <c r="F32" s="311">
        <v>25470</v>
      </c>
      <c r="G32" s="11">
        <f t="shared" si="1"/>
        <v>4.8027515410477804E-2</v>
      </c>
    </row>
    <row r="33" spans="1:7" x14ac:dyDescent="0.25">
      <c r="A33">
        <v>22</v>
      </c>
      <c r="B33" s="8">
        <v>8054.4825000000001</v>
      </c>
      <c r="C33" s="11">
        <f t="shared" si="0"/>
        <v>1.5563683720860116E-2</v>
      </c>
      <c r="E33" s="222">
        <v>22</v>
      </c>
      <c r="F33" s="312">
        <v>19470</v>
      </c>
      <c r="G33" s="11">
        <f t="shared" si="1"/>
        <v>3.6713613075854058E-2</v>
      </c>
    </row>
    <row r="34" spans="1:7" x14ac:dyDescent="0.25">
      <c r="A34">
        <v>23</v>
      </c>
      <c r="B34" s="8">
        <v>4550.6598999999997</v>
      </c>
      <c r="C34" s="11">
        <f t="shared" si="0"/>
        <v>8.7932441848127332E-3</v>
      </c>
      <c r="E34" s="223">
        <v>23</v>
      </c>
      <c r="F34" s="313">
        <v>19113</v>
      </c>
      <c r="G34" s="11">
        <f t="shared" si="1"/>
        <v>3.6040435886943945E-2</v>
      </c>
    </row>
    <row r="35" spans="1:7" x14ac:dyDescent="0.25">
      <c r="A35">
        <v>24</v>
      </c>
      <c r="B35" s="8">
        <v>10906.488600000001</v>
      </c>
      <c r="C35" s="11">
        <f t="shared" si="0"/>
        <v>2.1074617652414845E-2</v>
      </c>
      <c r="E35" s="224">
        <v>24</v>
      </c>
      <c r="F35" s="314">
        <v>14367</v>
      </c>
      <c r="G35" s="11">
        <f t="shared" si="1"/>
        <v>2.709113914025656E-2</v>
      </c>
    </row>
    <row r="36" spans="1:7" x14ac:dyDescent="0.25">
      <c r="A36">
        <v>25</v>
      </c>
      <c r="B36" s="8">
        <v>3023.5772000000002</v>
      </c>
      <c r="C36" s="11">
        <f t="shared" si="0"/>
        <v>5.8424609211583508E-3</v>
      </c>
      <c r="E36" s="225">
        <v>25</v>
      </c>
      <c r="F36" s="315">
        <v>17269</v>
      </c>
      <c r="G36" s="11">
        <f t="shared" si="1"/>
        <v>3.2563296569436247E-2</v>
      </c>
    </row>
    <row r="37" spans="1:7" x14ac:dyDescent="0.25">
      <c r="A37">
        <v>26</v>
      </c>
      <c r="B37" s="8">
        <v>6033.2250000000004</v>
      </c>
      <c r="C37" s="11">
        <f t="shared" si="0"/>
        <v>1.1658006050269062E-2</v>
      </c>
      <c r="E37" s="226">
        <v>26</v>
      </c>
      <c r="F37" s="316">
        <v>12106</v>
      </c>
      <c r="G37" s="11">
        <f t="shared" si="1"/>
        <v>2.2827683610492512E-2</v>
      </c>
    </row>
    <row r="38" spans="1:7" x14ac:dyDescent="0.25">
      <c r="A38">
        <v>27</v>
      </c>
      <c r="B38" s="8">
        <v>5115.2425999999996</v>
      </c>
      <c r="C38" s="11">
        <f t="shared" si="0"/>
        <v>9.8841878397364653E-3</v>
      </c>
      <c r="E38" s="227">
        <v>27</v>
      </c>
      <c r="F38" s="317">
        <v>12208</v>
      </c>
      <c r="G38" s="11">
        <f t="shared" si="1"/>
        <v>2.3020019950181117E-2</v>
      </c>
    </row>
    <row r="39" spans="1:7" x14ac:dyDescent="0.25">
      <c r="A39">
        <v>28</v>
      </c>
      <c r="B39" s="8">
        <v>7562.8580000000002</v>
      </c>
      <c r="C39" s="11">
        <f t="shared" si="0"/>
        <v>1.4613717260888791E-2</v>
      </c>
      <c r="E39" s="228">
        <v>28</v>
      </c>
      <c r="F39" s="318">
        <v>11684</v>
      </c>
      <c r="G39" s="11">
        <f t="shared" si="1"/>
        <v>2.2031939146290643E-2</v>
      </c>
    </row>
    <row r="40" spans="1:7" x14ac:dyDescent="0.25">
      <c r="A40">
        <v>29</v>
      </c>
      <c r="B40" s="8">
        <v>3990.6529999999998</v>
      </c>
      <c r="C40" s="11">
        <f t="shared" si="0"/>
        <v>7.7111423523114715E-3</v>
      </c>
      <c r="E40" s="229">
        <v>29</v>
      </c>
      <c r="F40" s="319">
        <v>13073</v>
      </c>
      <c r="G40" s="11">
        <f t="shared" si="1"/>
        <v>2.4651107536756041E-2</v>
      </c>
    </row>
    <row r="41" spans="1:7" x14ac:dyDescent="0.25">
      <c r="A41">
        <v>30</v>
      </c>
      <c r="B41" s="8">
        <v>3381.2691</v>
      </c>
      <c r="C41" s="11">
        <f t="shared" si="0"/>
        <v>6.5336292986566593E-3</v>
      </c>
      <c r="E41" s="230">
        <v>30</v>
      </c>
      <c r="F41" s="320">
        <v>11056</v>
      </c>
      <c r="G41" s="11">
        <f t="shared" si="1"/>
        <v>2.0847750701933357E-2</v>
      </c>
    </row>
    <row r="42" spans="1:7" x14ac:dyDescent="0.25">
      <c r="A42">
        <v>31</v>
      </c>
      <c r="B42" s="8">
        <v>4379.5411999999997</v>
      </c>
      <c r="C42" s="11">
        <f t="shared" si="0"/>
        <v>8.4625913681327346E-3</v>
      </c>
      <c r="E42" s="231">
        <v>31</v>
      </c>
      <c r="F42" s="321">
        <v>10895</v>
      </c>
      <c r="G42" s="11">
        <f t="shared" si="1"/>
        <v>2.0544160989287619E-2</v>
      </c>
    </row>
    <row r="43" spans="1:7" x14ac:dyDescent="0.25">
      <c r="A43">
        <v>32</v>
      </c>
      <c r="B43" s="8">
        <v>4436.6446999999998</v>
      </c>
      <c r="C43" s="11">
        <f t="shared" si="0"/>
        <v>8.5729325121297745E-3</v>
      </c>
      <c r="E43" s="232">
        <v>32</v>
      </c>
      <c r="F43" s="322">
        <v>9227</v>
      </c>
      <c r="G43" s="11">
        <f t="shared" si="1"/>
        <v>1.7398896140262219E-2</v>
      </c>
    </row>
    <row r="44" spans="1:7" x14ac:dyDescent="0.25">
      <c r="A44">
        <v>33</v>
      </c>
      <c r="B44" s="8">
        <v>527.91560000000004</v>
      </c>
      <c r="C44" s="11">
        <f t="shared" si="0"/>
        <v>1.0200917848797984E-3</v>
      </c>
      <c r="E44" s="233">
        <v>33</v>
      </c>
      <c r="F44" s="323">
        <v>10028</v>
      </c>
      <c r="G44" s="11">
        <f t="shared" si="1"/>
        <v>1.8909302101934488E-2</v>
      </c>
    </row>
    <row r="45" spans="1:7" x14ac:dyDescent="0.25">
      <c r="A45">
        <v>34</v>
      </c>
      <c r="B45" s="8">
        <v>2621.9612999999999</v>
      </c>
      <c r="C45" s="11">
        <f t="shared" si="0"/>
        <v>5.0664181592715895E-3</v>
      </c>
      <c r="E45" s="234">
        <v>34</v>
      </c>
      <c r="F45" s="324">
        <v>6776</v>
      </c>
      <c r="G45" s="11">
        <f t="shared" si="1"/>
        <v>1.2777167036568417E-2</v>
      </c>
    </row>
    <row r="46" spans="1:7" x14ac:dyDescent="0.25">
      <c r="A46">
        <v>35</v>
      </c>
      <c r="B46" s="8">
        <v>2852.4540000000002</v>
      </c>
      <c r="C46" s="11">
        <f t="shared" si="0"/>
        <v>5.511799409124339E-3</v>
      </c>
      <c r="E46" s="235">
        <v>35</v>
      </c>
      <c r="F46" s="325">
        <v>6471</v>
      </c>
      <c r="G46" s="11">
        <f t="shared" si="1"/>
        <v>1.2202043667891712E-2</v>
      </c>
    </row>
    <row r="47" spans="1:7" x14ac:dyDescent="0.25">
      <c r="A47">
        <v>36</v>
      </c>
      <c r="B47" s="8">
        <v>3432.1790000000001</v>
      </c>
      <c r="C47" s="11">
        <f t="shared" si="0"/>
        <v>6.6320025438478458E-3</v>
      </c>
      <c r="E47" s="236">
        <v>36</v>
      </c>
      <c r="F47" s="326">
        <v>9188</v>
      </c>
      <c r="G47" s="11">
        <f t="shared" si="1"/>
        <v>1.7325355775087165E-2</v>
      </c>
    </row>
    <row r="48" spans="1:7" x14ac:dyDescent="0.25">
      <c r="A48">
        <v>37</v>
      </c>
      <c r="B48" s="8">
        <v>3160.8879999999999</v>
      </c>
      <c r="C48" s="11">
        <f t="shared" si="0"/>
        <v>6.1077867025053556E-3</v>
      </c>
      <c r="E48" s="237">
        <v>37</v>
      </c>
      <c r="F48" s="327">
        <v>5996</v>
      </c>
      <c r="G48" s="11">
        <f t="shared" si="1"/>
        <v>1.1306359733067331E-2</v>
      </c>
    </row>
    <row r="49" spans="1:7" x14ac:dyDescent="0.25">
      <c r="A49">
        <v>38</v>
      </c>
      <c r="B49" s="8">
        <v>4526.2942000000003</v>
      </c>
      <c r="C49" s="11">
        <f t="shared" si="0"/>
        <v>8.7461623209639568E-3</v>
      </c>
      <c r="E49" s="238">
        <v>38</v>
      </c>
      <c r="F49" s="328">
        <v>5045</v>
      </c>
      <c r="G49" s="11">
        <f t="shared" si="1"/>
        <v>9.5131062130294677E-3</v>
      </c>
    </row>
    <row r="50" spans="1:7" x14ac:dyDescent="0.25">
      <c r="A50">
        <v>39</v>
      </c>
      <c r="B50" s="8">
        <v>605.77729999999997</v>
      </c>
      <c r="C50" s="11">
        <f t="shared" si="0"/>
        <v>1.1705440172570484E-3</v>
      </c>
      <c r="E50" s="239">
        <v>39</v>
      </c>
      <c r="F50" s="329">
        <v>5385</v>
      </c>
      <c r="G50" s="11">
        <f t="shared" si="1"/>
        <v>1.0154227345324812E-2</v>
      </c>
    </row>
    <row r="51" spans="1:7" x14ac:dyDescent="0.25">
      <c r="A51">
        <v>40</v>
      </c>
      <c r="B51" s="8">
        <v>2025.0536999999999</v>
      </c>
      <c r="C51" s="11">
        <f t="shared" si="0"/>
        <v>3.9130130712379781E-3</v>
      </c>
      <c r="E51" s="240">
        <v>40</v>
      </c>
      <c r="F51" s="330">
        <v>4590</v>
      </c>
      <c r="G51" s="11">
        <f t="shared" si="1"/>
        <v>8.6551352859871658E-3</v>
      </c>
    </row>
    <row r="52" spans="1:7" x14ac:dyDescent="0.25">
      <c r="A52">
        <v>41</v>
      </c>
      <c r="B52" s="8">
        <v>2435.7826</v>
      </c>
      <c r="C52" s="11">
        <f t="shared" si="0"/>
        <v>4.7066648911552452E-3</v>
      </c>
      <c r="E52" s="241">
        <v>41</v>
      </c>
      <c r="F52" s="331">
        <v>4028</v>
      </c>
      <c r="G52" s="11">
        <f t="shared" si="1"/>
        <v>7.5953997673107419E-3</v>
      </c>
    </row>
    <row r="53" spans="1:7" x14ac:dyDescent="0.25">
      <c r="A53">
        <v>42</v>
      </c>
      <c r="B53" s="8">
        <v>638.65179999999998</v>
      </c>
      <c r="C53" s="11">
        <f t="shared" si="0"/>
        <v>1.2340674429372725E-3</v>
      </c>
      <c r="E53" s="242">
        <v>42</v>
      </c>
      <c r="F53" s="332">
        <v>3834</v>
      </c>
      <c r="G53" s="11">
        <f t="shared" si="1"/>
        <v>7.2295835918245741E-3</v>
      </c>
    </row>
    <row r="54" spans="1:7" x14ac:dyDescent="0.25">
      <c r="A54">
        <v>43</v>
      </c>
      <c r="B54" s="8">
        <v>261.62880000000001</v>
      </c>
      <c r="C54" s="11">
        <f t="shared" si="0"/>
        <v>5.0554556366199407E-4</v>
      </c>
      <c r="E54" s="243">
        <v>43</v>
      </c>
      <c r="F54" s="333">
        <v>3723</v>
      </c>
      <c r="G54" s="11">
        <f t="shared" si="1"/>
        <v>7.0202763986340353E-3</v>
      </c>
    </row>
    <row r="55" spans="1:7" x14ac:dyDescent="0.25">
      <c r="A55">
        <v>44</v>
      </c>
      <c r="B55" s="8">
        <v>1182.9206999999999</v>
      </c>
      <c r="C55" s="11">
        <f t="shared" si="0"/>
        <v>2.2857587239972837E-3</v>
      </c>
      <c r="E55" s="244">
        <v>44</v>
      </c>
      <c r="F55" s="334">
        <v>2940</v>
      </c>
      <c r="G55" s="11">
        <f t="shared" si="1"/>
        <v>5.5438121439656358E-3</v>
      </c>
    </row>
    <row r="56" spans="1:7" x14ac:dyDescent="0.25">
      <c r="A56">
        <v>45</v>
      </c>
      <c r="B56" s="8">
        <v>1200.4873</v>
      </c>
      <c r="C56" s="11">
        <f t="shared" si="0"/>
        <v>2.3197026808499882E-3</v>
      </c>
      <c r="E56" s="245">
        <v>45</v>
      </c>
      <c r="F56" s="335">
        <v>2750</v>
      </c>
      <c r="G56" s="11">
        <f t="shared" si="1"/>
        <v>5.1855385700358839E-3</v>
      </c>
    </row>
    <row r="57" spans="1:7" x14ac:dyDescent="0.25">
      <c r="A57">
        <v>46</v>
      </c>
      <c r="B57" s="8">
        <v>1130.4445000000001</v>
      </c>
      <c r="C57" s="11">
        <f t="shared" si="0"/>
        <v>2.1843589159186647E-3</v>
      </c>
      <c r="E57" s="246">
        <v>46</v>
      </c>
      <c r="F57" s="336">
        <v>3127</v>
      </c>
      <c r="G57" s="11">
        <f t="shared" si="1"/>
        <v>5.8964287667280764E-3</v>
      </c>
    </row>
    <row r="58" spans="1:7" x14ac:dyDescent="0.25">
      <c r="A58">
        <v>47</v>
      </c>
      <c r="B58" s="8">
        <v>454.93389999999999</v>
      </c>
      <c r="C58" s="11">
        <f t="shared" si="0"/>
        <v>8.7906918085642425E-4</v>
      </c>
      <c r="E58" s="247">
        <v>47</v>
      </c>
      <c r="F58" s="337">
        <v>1812</v>
      </c>
      <c r="G58" s="11">
        <f t="shared" si="1"/>
        <v>3.4167985050563717E-3</v>
      </c>
    </row>
    <row r="59" spans="1:7" x14ac:dyDescent="0.25">
      <c r="A59">
        <v>48</v>
      </c>
      <c r="B59" s="8">
        <v>1214.9386999999999</v>
      </c>
      <c r="C59" s="11">
        <f t="shared" si="0"/>
        <v>2.3476271339633492E-3</v>
      </c>
      <c r="E59" s="248">
        <v>48</v>
      </c>
      <c r="F59" s="338">
        <v>2361</v>
      </c>
      <c r="G59" s="11">
        <f t="shared" si="1"/>
        <v>4.4520205686744444E-3</v>
      </c>
    </row>
    <row r="60" spans="1:7" x14ac:dyDescent="0.25">
      <c r="A60">
        <v>49</v>
      </c>
      <c r="B60" s="8">
        <v>735.42600000000004</v>
      </c>
      <c r="C60" s="11">
        <f t="shared" si="0"/>
        <v>1.4210643159380224E-3</v>
      </c>
      <c r="E60" s="249">
        <v>49</v>
      </c>
      <c r="F60" s="339">
        <v>1937</v>
      </c>
      <c r="G60" s="11">
        <f t="shared" si="1"/>
        <v>3.6525048036943663E-3</v>
      </c>
    </row>
    <row r="61" spans="1:7" x14ac:dyDescent="0.25">
      <c r="A61">
        <v>50</v>
      </c>
      <c r="B61" s="8">
        <v>1852.7094</v>
      </c>
      <c r="C61" s="11">
        <f t="shared" si="0"/>
        <v>3.5799920265845151E-3</v>
      </c>
      <c r="E61" s="250">
        <v>50</v>
      </c>
      <c r="F61" s="340">
        <v>1541</v>
      </c>
      <c r="G61" s="11">
        <f t="shared" si="1"/>
        <v>2.9057872496091991E-3</v>
      </c>
    </row>
    <row r="62" spans="1:7" x14ac:dyDescent="0.25">
      <c r="A62">
        <v>51</v>
      </c>
      <c r="B62" s="8">
        <v>2345.0207999999998</v>
      </c>
      <c r="C62" s="11">
        <f t="shared" si="0"/>
        <v>4.5312857840386842E-3</v>
      </c>
      <c r="E62" s="251">
        <v>51</v>
      </c>
      <c r="F62" s="341">
        <v>1670</v>
      </c>
      <c r="G62" s="11">
        <f t="shared" si="1"/>
        <v>3.1490361498036096E-3</v>
      </c>
    </row>
    <row r="63" spans="1:7" x14ac:dyDescent="0.25">
      <c r="A63">
        <v>52</v>
      </c>
      <c r="B63" s="8">
        <v>1826.8915000000002</v>
      </c>
      <c r="C63" s="11">
        <f t="shared" si="0"/>
        <v>3.5301040753801033E-3</v>
      </c>
      <c r="E63" s="252">
        <v>52</v>
      </c>
      <c r="F63" s="342">
        <v>1482</v>
      </c>
      <c r="G63" s="11">
        <f t="shared" si="1"/>
        <v>2.7945338766520653E-3</v>
      </c>
    </row>
    <row r="64" spans="1:7" x14ac:dyDescent="0.25">
      <c r="A64">
        <v>53</v>
      </c>
      <c r="B64" s="8">
        <v>745.8433</v>
      </c>
      <c r="C64" s="11">
        <f t="shared" si="0"/>
        <v>1.441193674022209E-3</v>
      </c>
      <c r="E64" s="253">
        <v>53</v>
      </c>
      <c r="F64" s="343">
        <v>1243</v>
      </c>
      <c r="G64" s="11">
        <f t="shared" si="1"/>
        <v>2.3438634336562197E-3</v>
      </c>
    </row>
    <row r="65" spans="1:7" x14ac:dyDescent="0.25">
      <c r="A65">
        <v>54</v>
      </c>
      <c r="B65" s="8">
        <v>1992.8591999999999</v>
      </c>
      <c r="C65" s="11">
        <f t="shared" si="0"/>
        <v>3.850803610164441E-3</v>
      </c>
      <c r="E65" s="254">
        <v>54</v>
      </c>
      <c r="F65" s="344">
        <v>1059</v>
      </c>
      <c r="G65" s="11">
        <f t="shared" si="1"/>
        <v>1.9969037620610913E-3</v>
      </c>
    </row>
    <row r="66" spans="1:7" x14ac:dyDescent="0.25">
      <c r="A66">
        <v>55</v>
      </c>
      <c r="B66" s="8">
        <v>3.6749999999999998</v>
      </c>
      <c r="C66" s="11">
        <f t="shared" si="0"/>
        <v>7.1012057787897518E-6</v>
      </c>
      <c r="E66" s="255">
        <v>55</v>
      </c>
      <c r="F66" s="345">
        <v>899</v>
      </c>
      <c r="G66" s="11">
        <f t="shared" si="1"/>
        <v>1.695199699804458E-3</v>
      </c>
    </row>
    <row r="67" spans="1:7" x14ac:dyDescent="0.25">
      <c r="A67">
        <v>56</v>
      </c>
      <c r="B67" s="8">
        <v>0</v>
      </c>
      <c r="C67" s="11">
        <f t="shared" si="0"/>
        <v>0</v>
      </c>
      <c r="E67" s="256">
        <v>56</v>
      </c>
      <c r="F67" s="346">
        <v>962</v>
      </c>
      <c r="G67" s="11">
        <f t="shared" si="1"/>
        <v>1.8139956743180074E-3</v>
      </c>
    </row>
    <row r="68" spans="1:7" x14ac:dyDescent="0.25">
      <c r="A68">
        <v>57</v>
      </c>
      <c r="B68" s="8">
        <v>61.363500000000002</v>
      </c>
      <c r="C68" s="11">
        <f t="shared" si="0"/>
        <v>1.1857274579775918E-4</v>
      </c>
      <c r="E68" s="257">
        <v>57</v>
      </c>
      <c r="F68" s="347">
        <v>877</v>
      </c>
      <c r="G68" s="11">
        <f t="shared" si="1"/>
        <v>1.653715391244171E-3</v>
      </c>
    </row>
    <row r="69" spans="1:7" x14ac:dyDescent="0.25">
      <c r="A69">
        <v>58</v>
      </c>
      <c r="B69" s="8">
        <v>617.29369999999994</v>
      </c>
      <c r="C69" s="11">
        <f t="shared" si="0"/>
        <v>1.1927971672518387E-3</v>
      </c>
      <c r="E69" s="258">
        <v>58</v>
      </c>
      <c r="F69" s="348">
        <v>728</v>
      </c>
      <c r="G69" s="11">
        <f t="shared" si="1"/>
        <v>1.3727534832676813E-3</v>
      </c>
    </row>
    <row r="70" spans="1:7" x14ac:dyDescent="0.25">
      <c r="A70">
        <v>59</v>
      </c>
      <c r="B70" s="8">
        <v>581.15899999999999</v>
      </c>
      <c r="C70" s="11">
        <f t="shared" si="0"/>
        <v>1.1229740542029044E-3</v>
      </c>
      <c r="E70" s="259">
        <v>59</v>
      </c>
      <c r="F70" s="349">
        <v>582</v>
      </c>
      <c r="G70" s="11">
        <f t="shared" si="1"/>
        <v>1.0974485264585035E-3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260">
        <v>60</v>
      </c>
      <c r="F71" s="350">
        <v>513</v>
      </c>
      <c r="G71" s="11">
        <f t="shared" si="1"/>
        <v>9.6733864961033036E-4</v>
      </c>
    </row>
    <row r="72" spans="1:7" x14ac:dyDescent="0.25">
      <c r="A72">
        <v>61</v>
      </c>
      <c r="B72" s="8">
        <v>89.193600000000004</v>
      </c>
      <c r="C72" s="11">
        <f t="shared" si="0"/>
        <v>1.7234887285743174E-4</v>
      </c>
      <c r="E72" s="261">
        <v>61</v>
      </c>
      <c r="F72" s="351">
        <v>504</v>
      </c>
      <c r="G72" s="11">
        <f t="shared" si="1"/>
        <v>9.5036779610839473E-4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262">
        <v>62</v>
      </c>
      <c r="F73" s="352">
        <v>459</v>
      </c>
      <c r="G73" s="11">
        <f t="shared" si="1"/>
        <v>8.655135285987166E-4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263">
        <v>63</v>
      </c>
      <c r="F74" s="353">
        <v>380</v>
      </c>
      <c r="G74" s="11">
        <f t="shared" si="1"/>
        <v>7.1654714785950393E-4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264">
        <v>64</v>
      </c>
      <c r="F75" s="354">
        <v>319</v>
      </c>
      <c r="G75" s="11">
        <f t="shared" si="1"/>
        <v>6.0152247412416252E-4</v>
      </c>
    </row>
    <row r="76" spans="1:7" x14ac:dyDescent="0.25">
      <c r="A76">
        <v>65</v>
      </c>
      <c r="B76" s="8">
        <v>176.92580000000001</v>
      </c>
      <c r="C76" s="11">
        <f t="shared" si="0"/>
        <v>3.418738811910204E-4</v>
      </c>
      <c r="E76" s="265">
        <v>65</v>
      </c>
      <c r="F76" s="355">
        <v>302</v>
      </c>
      <c r="G76" s="11">
        <f t="shared" si="1"/>
        <v>5.6946641750939525E-4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266">
        <v>66</v>
      </c>
      <c r="F77" s="356">
        <v>288</v>
      </c>
      <c r="G77" s="11">
        <f t="shared" ref="G77:G102" si="3">F77/F$102</f>
        <v>5.4306731206193982E-4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267">
        <v>67</v>
      </c>
      <c r="F78" s="357">
        <v>207</v>
      </c>
      <c r="G78" s="11">
        <f t="shared" si="3"/>
        <v>3.9032963054451924E-4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8">
        <v>68</v>
      </c>
      <c r="F79" s="358">
        <v>290</v>
      </c>
      <c r="G79" s="11">
        <f t="shared" si="3"/>
        <v>5.4683861284014778E-4</v>
      </c>
    </row>
    <row r="80" spans="1:7" x14ac:dyDescent="0.25">
      <c r="A80">
        <v>69</v>
      </c>
      <c r="B80" s="8">
        <v>716.24969999999996</v>
      </c>
      <c r="C80" s="11">
        <f t="shared" si="2"/>
        <v>1.3840099343391636E-3</v>
      </c>
      <c r="E80" s="269">
        <v>69</v>
      </c>
      <c r="F80" s="359">
        <v>156</v>
      </c>
      <c r="G80" s="11">
        <f t="shared" si="3"/>
        <v>2.9416146070021743E-4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270">
        <v>70</v>
      </c>
      <c r="F81" s="360">
        <v>157</v>
      </c>
      <c r="G81" s="11">
        <f t="shared" si="3"/>
        <v>2.9604711108932136E-4</v>
      </c>
    </row>
    <row r="82" spans="1:7" x14ac:dyDescent="0.25">
      <c r="A82">
        <v>71</v>
      </c>
      <c r="B82" s="8">
        <v>504.6789</v>
      </c>
      <c r="C82" s="11">
        <f t="shared" si="2"/>
        <v>9.7519148873830073E-4</v>
      </c>
      <c r="E82" s="271">
        <v>71</v>
      </c>
      <c r="F82" s="361">
        <v>138</v>
      </c>
      <c r="G82" s="11">
        <f t="shared" si="3"/>
        <v>2.6021975369634618E-4</v>
      </c>
    </row>
    <row r="83" spans="1:7" x14ac:dyDescent="0.25">
      <c r="A83">
        <v>72</v>
      </c>
      <c r="B83" s="8">
        <v>433.38409999999999</v>
      </c>
      <c r="C83" s="11">
        <f t="shared" si="2"/>
        <v>8.3742848308995799E-4</v>
      </c>
      <c r="E83" s="272">
        <v>72</v>
      </c>
      <c r="F83" s="362">
        <v>142</v>
      </c>
      <c r="G83" s="11">
        <f t="shared" si="3"/>
        <v>2.67762355252762E-4</v>
      </c>
    </row>
    <row r="84" spans="1:7" x14ac:dyDescent="0.25">
      <c r="A84">
        <v>73</v>
      </c>
      <c r="B84" s="8">
        <v>447.78429999999997</v>
      </c>
      <c r="C84" s="11">
        <f t="shared" si="2"/>
        <v>8.6525400239763914E-4</v>
      </c>
      <c r="E84" s="273">
        <v>73</v>
      </c>
      <c r="F84" s="363">
        <v>119</v>
      </c>
      <c r="G84" s="11">
        <f t="shared" si="3"/>
        <v>2.2439239630337097E-4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4">
        <v>74</v>
      </c>
      <c r="F85" s="364">
        <v>113</v>
      </c>
      <c r="G85" s="11">
        <f t="shared" si="3"/>
        <v>2.1307849396874724E-4</v>
      </c>
    </row>
    <row r="86" spans="1:7" x14ac:dyDescent="0.25">
      <c r="A86">
        <v>75</v>
      </c>
      <c r="B86" s="8">
        <v>4110.3550999999998</v>
      </c>
      <c r="C86" s="11">
        <f t="shared" si="2"/>
        <v>7.9424428269382116E-3</v>
      </c>
      <c r="E86" s="275">
        <v>75</v>
      </c>
      <c r="F86" s="365">
        <v>84</v>
      </c>
      <c r="G86" s="11">
        <f t="shared" si="3"/>
        <v>1.5839463268473245E-4</v>
      </c>
    </row>
    <row r="87" spans="1:7" x14ac:dyDescent="0.25">
      <c r="A87">
        <v>76</v>
      </c>
      <c r="B87" s="8">
        <v>1336.5025000000001</v>
      </c>
      <c r="C87" s="11">
        <f t="shared" si="2"/>
        <v>2.5825249731610753E-3</v>
      </c>
      <c r="E87" s="276">
        <v>76</v>
      </c>
      <c r="F87" s="366">
        <v>54</v>
      </c>
      <c r="G87" s="11">
        <f t="shared" si="3"/>
        <v>1.0182512101161372E-4</v>
      </c>
    </row>
    <row r="88" spans="1:7" x14ac:dyDescent="0.25">
      <c r="A88">
        <v>77</v>
      </c>
      <c r="B88" s="8">
        <v>77.25</v>
      </c>
      <c r="C88" s="11">
        <f t="shared" si="2"/>
        <v>1.4927024392149887E-4</v>
      </c>
      <c r="E88" s="277">
        <v>77</v>
      </c>
      <c r="F88" s="367">
        <v>55</v>
      </c>
      <c r="G88" s="11">
        <f t="shared" si="3"/>
        <v>1.0371077140071768E-4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278">
        <v>78</v>
      </c>
      <c r="F89" s="368">
        <v>47</v>
      </c>
      <c r="G89" s="11">
        <f t="shared" si="3"/>
        <v>8.8625568287886014E-5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279">
        <v>79</v>
      </c>
      <c r="F90" s="369">
        <v>43</v>
      </c>
      <c r="G90" s="11">
        <f t="shared" si="3"/>
        <v>8.1082966731470179E-5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80">
        <v>80</v>
      </c>
      <c r="F91" s="370">
        <v>34</v>
      </c>
      <c r="G91" s="11">
        <f t="shared" si="3"/>
        <v>6.4112113229534566E-5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281">
        <v>81</v>
      </c>
      <c r="F92" s="371">
        <v>27</v>
      </c>
      <c r="G92" s="11">
        <f t="shared" si="3"/>
        <v>5.0912560505806858E-5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282">
        <v>82</v>
      </c>
      <c r="F93" s="372">
        <v>39</v>
      </c>
      <c r="G93" s="11">
        <f t="shared" si="3"/>
        <v>7.3540365175054357E-5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3">
        <v>83</v>
      </c>
      <c r="F94" s="373">
        <v>41</v>
      </c>
      <c r="G94" s="11">
        <f t="shared" si="3"/>
        <v>7.7311665953262268E-5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284">
        <v>84</v>
      </c>
      <c r="F95" s="374">
        <v>16</v>
      </c>
      <c r="G95" s="11">
        <f t="shared" si="3"/>
        <v>3.0170406225663324E-5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5">
        <v>85</v>
      </c>
      <c r="F96" s="375">
        <v>27</v>
      </c>
      <c r="G96" s="11">
        <f t="shared" si="3"/>
        <v>5.0912560505806858E-5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6">
        <v>86</v>
      </c>
      <c r="F97" s="376">
        <v>29</v>
      </c>
      <c r="G97" s="11">
        <f t="shared" si="3"/>
        <v>5.4683861284014775E-5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7">
        <v>87</v>
      </c>
      <c r="F98" s="377">
        <v>22</v>
      </c>
      <c r="G98" s="11">
        <f t="shared" si="3"/>
        <v>4.1484308560287074E-5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8">
        <v>88</v>
      </c>
      <c r="F99" s="378">
        <v>8</v>
      </c>
      <c r="G99" s="11">
        <f t="shared" si="3"/>
        <v>1.5085203112831662E-5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9">
        <v>89</v>
      </c>
      <c r="F100" s="379">
        <v>10</v>
      </c>
      <c r="G100" s="11">
        <f t="shared" si="3"/>
        <v>1.8856503891039578E-5</v>
      </c>
    </row>
    <row r="101" spans="1:7" ht="15.75" thickBot="1" x14ac:dyDescent="0.3">
      <c r="A101" s="1">
        <v>90</v>
      </c>
      <c r="B101" s="9">
        <v>881.21479999999997</v>
      </c>
      <c r="C101" s="11">
        <f t="shared" si="2"/>
        <v>1.7027721442489947E-3</v>
      </c>
      <c r="E101" s="397">
        <v>90</v>
      </c>
      <c r="F101" s="397">
        <v>59</v>
      </c>
      <c r="G101" s="11">
        <f t="shared" si="3"/>
        <v>1.1125337295713351E-4</v>
      </c>
    </row>
    <row r="102" spans="1:7" x14ac:dyDescent="0.25">
      <c r="B102" s="8">
        <f>SUM(B11:B101)</f>
        <v>517517.74479999999</v>
      </c>
      <c r="C102" s="11">
        <f t="shared" si="2"/>
        <v>1</v>
      </c>
      <c r="F102" s="8">
        <f>SUM(F11:F101)</f>
        <v>530321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opLeftCell="A4" workbookViewId="0">
      <selection activeCell="A4" sqref="A4"/>
    </sheetView>
  </sheetViews>
  <sheetFormatPr defaultRowHeight="15" x14ac:dyDescent="0.25"/>
  <cols>
    <col min="4" max="4" width="12.28515625" bestFit="1" customWidth="1" collapsed="1"/>
    <col min="15" max="15" width="12.285156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44</v>
      </c>
    </row>
    <row r="3" spans="1:21" x14ac:dyDescent="0.25">
      <c r="A3" t="s">
        <v>14</v>
      </c>
    </row>
    <row r="5" spans="1:21" ht="15.75" thickBot="1" x14ac:dyDescent="0.3">
      <c r="A5" s="4" t="s">
        <v>45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13</v>
      </c>
      <c r="J6" s="3" t="s">
        <v>4</v>
      </c>
      <c r="L6" s="2" t="s">
        <v>12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13</v>
      </c>
      <c r="U6" s="3" t="s">
        <v>4</v>
      </c>
    </row>
    <row r="7" spans="1:21" x14ac:dyDescent="0.25">
      <c r="A7" s="398" t="s">
        <v>34</v>
      </c>
      <c r="B7" s="12">
        <v>48647.082799999996</v>
      </c>
      <c r="C7" s="12">
        <v>4951.3725000000004</v>
      </c>
      <c r="D7" s="12">
        <v>2079.2130000000002</v>
      </c>
      <c r="E7" s="12">
        <v>0</v>
      </c>
      <c r="F7" s="12">
        <v>0</v>
      </c>
      <c r="G7" s="12">
        <v>7292.6348999999991</v>
      </c>
      <c r="H7" s="12">
        <v>0</v>
      </c>
      <c r="I7" s="12"/>
      <c r="J7" s="12">
        <f>SUM(B7:I7)</f>
        <v>62970.303199999995</v>
      </c>
      <c r="K7" s="12"/>
      <c r="L7" t="str">
        <f>$A$7</f>
        <v>Williamson</v>
      </c>
      <c r="M7" s="382">
        <v>36800</v>
      </c>
      <c r="N7" s="385">
        <v>14976</v>
      </c>
      <c r="O7" s="388">
        <v>4161</v>
      </c>
      <c r="P7" s="391">
        <v>1621</v>
      </c>
      <c r="Q7" s="396">
        <v>506</v>
      </c>
      <c r="R7" s="396">
        <v>7241</v>
      </c>
      <c r="S7" s="396">
        <v>263</v>
      </c>
      <c r="T7" s="394"/>
      <c r="U7" s="12">
        <f>SUM(M7:T7)</f>
        <v>65568</v>
      </c>
    </row>
    <row r="8" spans="1:21" x14ac:dyDescent="0.25">
      <c r="A8" t="s">
        <v>35</v>
      </c>
      <c r="B8" s="12">
        <v>5027.3149000000003</v>
      </c>
      <c r="C8" s="12">
        <v>24757.009699999999</v>
      </c>
      <c r="D8" s="12">
        <v>2522.6178</v>
      </c>
      <c r="E8" s="12">
        <v>714.8279</v>
      </c>
      <c r="F8" s="12">
        <v>0</v>
      </c>
      <c r="G8" s="12">
        <v>2284.0315999999998</v>
      </c>
      <c r="H8" s="12">
        <v>0</v>
      </c>
      <c r="I8" s="12"/>
      <c r="J8" s="12">
        <f t="shared" ref="J8:J14" si="0">SUM(B8:I8)</f>
        <v>35305.801899999999</v>
      </c>
      <c r="K8" s="12"/>
      <c r="L8" t="str">
        <f>$A$8</f>
        <v>Rutherford</v>
      </c>
      <c r="M8" s="383">
        <v>4860</v>
      </c>
      <c r="N8" s="386">
        <v>25624</v>
      </c>
      <c r="O8" s="389">
        <v>3355</v>
      </c>
      <c r="P8" s="392">
        <v>1239</v>
      </c>
      <c r="Q8" s="396">
        <v>416</v>
      </c>
      <c r="R8" s="396">
        <v>1938</v>
      </c>
      <c r="S8" s="396">
        <v>147</v>
      </c>
      <c r="T8" s="395"/>
      <c r="U8" s="12">
        <f t="shared" ref="U8:U14" si="1">SUM(M8:T8)</f>
        <v>37579</v>
      </c>
    </row>
    <row r="9" spans="1:21" x14ac:dyDescent="0.25">
      <c r="A9" t="s">
        <v>36</v>
      </c>
      <c r="B9" s="12">
        <v>1481.7199000000001</v>
      </c>
      <c r="C9" s="12">
        <v>650.74699999999996</v>
      </c>
      <c r="D9" s="12">
        <v>36687.334300000002</v>
      </c>
      <c r="E9" s="12">
        <v>3864.1968000000002</v>
      </c>
      <c r="F9" s="12">
        <v>837.91970000000003</v>
      </c>
      <c r="G9" s="12">
        <v>1522.2717</v>
      </c>
      <c r="H9" s="12">
        <v>68.950900000000004</v>
      </c>
      <c r="I9" s="12"/>
      <c r="J9" s="12">
        <f t="shared" si="0"/>
        <v>45113.140299999999</v>
      </c>
      <c r="K9" s="13"/>
      <c r="L9" t="str">
        <f>$A$9</f>
        <v>Sumner</v>
      </c>
      <c r="M9" s="384">
        <v>1153</v>
      </c>
      <c r="N9" s="387">
        <v>2394</v>
      </c>
      <c r="O9" s="390">
        <v>28671</v>
      </c>
      <c r="P9" s="393">
        <v>6040</v>
      </c>
      <c r="Q9" s="396">
        <v>1444</v>
      </c>
      <c r="R9" s="396">
        <v>2925</v>
      </c>
      <c r="S9" s="396">
        <v>581</v>
      </c>
      <c r="T9" s="396"/>
      <c r="U9" s="12">
        <f t="shared" si="1"/>
        <v>43208</v>
      </c>
    </row>
    <row r="10" spans="1:21" x14ac:dyDescent="0.25">
      <c r="A10" t="s">
        <v>37</v>
      </c>
      <c r="B10" s="12">
        <v>0</v>
      </c>
      <c r="C10" s="12">
        <v>95.153300000000002</v>
      </c>
      <c r="D10" s="12">
        <v>3480.9659999999999</v>
      </c>
      <c r="E10" s="12">
        <v>17044.537799999998</v>
      </c>
      <c r="F10" s="12">
        <v>1664.0029</v>
      </c>
      <c r="G10" s="12">
        <v>296.7063</v>
      </c>
      <c r="H10" s="12">
        <v>499.26930000000004</v>
      </c>
      <c r="I10" s="12"/>
      <c r="J10" s="12">
        <f t="shared" si="0"/>
        <v>23080.635599999998</v>
      </c>
      <c r="K10" s="13"/>
      <c r="L10" t="str">
        <f>$A$10</f>
        <v>Roberston</v>
      </c>
      <c r="M10" s="396">
        <v>127</v>
      </c>
      <c r="N10" s="396">
        <v>255</v>
      </c>
      <c r="O10" s="396">
        <v>3672</v>
      </c>
      <c r="P10" s="396">
        <v>18467</v>
      </c>
      <c r="Q10" s="396">
        <v>1720</v>
      </c>
      <c r="R10" s="396">
        <v>1203</v>
      </c>
      <c r="S10" s="396">
        <v>474</v>
      </c>
      <c r="T10" s="396"/>
      <c r="U10" s="12">
        <f t="shared" si="1"/>
        <v>25918</v>
      </c>
    </row>
    <row r="11" spans="1:21" x14ac:dyDescent="0.25">
      <c r="A11" t="s">
        <v>38</v>
      </c>
      <c r="B11" s="12">
        <v>0</v>
      </c>
      <c r="C11" s="12">
        <v>0</v>
      </c>
      <c r="D11" s="12">
        <v>1570.1651000000002</v>
      </c>
      <c r="E11" s="12">
        <v>4584.7807000000003</v>
      </c>
      <c r="F11" s="12">
        <v>29020.543300000001</v>
      </c>
      <c r="G11" s="12">
        <v>45.926900000000003</v>
      </c>
      <c r="H11" s="12">
        <v>4519.7730999999994</v>
      </c>
      <c r="I11" s="12"/>
      <c r="J11" s="12">
        <f t="shared" si="0"/>
        <v>39741.189099999996</v>
      </c>
      <c r="K11" s="13"/>
      <c r="L11" t="str">
        <f>$A$11</f>
        <v>Davidson</v>
      </c>
      <c r="M11" s="396">
        <v>125</v>
      </c>
      <c r="N11" s="396">
        <v>283</v>
      </c>
      <c r="O11" s="396">
        <v>2319</v>
      </c>
      <c r="P11" s="396">
        <v>5472</v>
      </c>
      <c r="Q11" s="396">
        <v>20322</v>
      </c>
      <c r="R11" s="396">
        <v>2023</v>
      </c>
      <c r="S11" s="396">
        <v>4830</v>
      </c>
      <c r="T11" s="396"/>
      <c r="U11" s="12">
        <f t="shared" si="1"/>
        <v>35374</v>
      </c>
    </row>
    <row r="12" spans="1:21" x14ac:dyDescent="0.25">
      <c r="A12" t="s">
        <v>39</v>
      </c>
      <c r="B12" s="12">
        <v>1206.2077999999999</v>
      </c>
      <c r="C12" s="12">
        <v>2862.5932000000003</v>
      </c>
      <c r="D12" s="12">
        <v>3380.2874000000002</v>
      </c>
      <c r="E12" s="12">
        <v>2366.5992999999999</v>
      </c>
      <c r="F12" s="12">
        <v>1152.7218</v>
      </c>
      <c r="G12" s="12">
        <v>70348.474199999997</v>
      </c>
      <c r="H12" s="12">
        <v>3638.3589000000002</v>
      </c>
      <c r="I12" s="12"/>
      <c r="J12" s="12">
        <f t="shared" si="0"/>
        <v>84955.242599999998</v>
      </c>
      <c r="K12" s="13"/>
      <c r="L12" t="str">
        <f>$A$12</f>
        <v>Maury</v>
      </c>
      <c r="M12" s="396">
        <v>2672</v>
      </c>
      <c r="N12" s="396">
        <v>2012</v>
      </c>
      <c r="O12" s="396">
        <v>5420</v>
      </c>
      <c r="P12" s="396">
        <v>5934</v>
      </c>
      <c r="Q12" s="396">
        <v>3119</v>
      </c>
      <c r="R12" s="396">
        <v>59435</v>
      </c>
      <c r="S12" s="396">
        <v>5544</v>
      </c>
      <c r="T12" s="396"/>
      <c r="U12" s="12">
        <f t="shared" si="1"/>
        <v>84136</v>
      </c>
    </row>
    <row r="13" spans="1:21" x14ac:dyDescent="0.25">
      <c r="A13" t="s">
        <v>40</v>
      </c>
      <c r="B13" s="12">
        <v>390.61689999999999</v>
      </c>
      <c r="C13" s="12">
        <v>3808.7226000000001</v>
      </c>
      <c r="D13" s="12">
        <v>355.77859999999998</v>
      </c>
      <c r="E13" s="12">
        <v>4859.7565000000004</v>
      </c>
      <c r="F13" s="12">
        <v>1831.8642</v>
      </c>
      <c r="G13" s="12">
        <v>2499.8038000000001</v>
      </c>
      <c r="H13" s="12">
        <v>40561.841200000003</v>
      </c>
      <c r="I13" s="12"/>
      <c r="J13" s="12">
        <f t="shared" si="0"/>
        <v>54308.383800000003</v>
      </c>
      <c r="K13" s="13"/>
      <c r="L13" t="str">
        <f>$A$13</f>
        <v>Wilson</v>
      </c>
      <c r="M13" s="396">
        <v>220</v>
      </c>
      <c r="N13" s="396">
        <v>273</v>
      </c>
      <c r="O13" s="396">
        <v>1692</v>
      </c>
      <c r="P13" s="396">
        <v>3358</v>
      </c>
      <c r="Q13" s="396">
        <v>7195</v>
      </c>
      <c r="R13" s="396">
        <v>5591</v>
      </c>
      <c r="S13" s="396">
        <v>53412</v>
      </c>
      <c r="T13" s="396"/>
      <c r="U13" s="12">
        <f t="shared" si="1"/>
        <v>71741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56752.942299999995</v>
      </c>
      <c r="C15" s="16">
        <f t="shared" si="2"/>
        <v>37125.598300000005</v>
      </c>
      <c r="D15" s="16">
        <f t="shared" si="2"/>
        <v>50076.362199999996</v>
      </c>
      <c r="E15" s="16">
        <f t="shared" si="2"/>
        <v>33434.699000000001</v>
      </c>
      <c r="F15" s="16">
        <f t="shared" si="2"/>
        <v>34507.051900000006</v>
      </c>
      <c r="G15" s="16">
        <f t="shared" si="2"/>
        <v>84289.849399999992</v>
      </c>
      <c r="H15" s="16">
        <f t="shared" si="2"/>
        <v>49288.193400000004</v>
      </c>
      <c r="I15" s="16">
        <f t="shared" si="2"/>
        <v>0</v>
      </c>
      <c r="J15" s="16">
        <f t="shared" si="2"/>
        <v>345474.69650000002</v>
      </c>
      <c r="K15" s="12"/>
      <c r="L15" s="16" t="s">
        <v>4</v>
      </c>
      <c r="M15" s="16">
        <f t="shared" ref="M15:U15" si="3">SUM(M7:M14)</f>
        <v>45957</v>
      </c>
      <c r="N15" s="16">
        <f t="shared" si="3"/>
        <v>45817</v>
      </c>
      <c r="O15" s="16">
        <f t="shared" si="3"/>
        <v>49290</v>
      </c>
      <c r="P15" s="16">
        <f t="shared" si="3"/>
        <v>42131</v>
      </c>
      <c r="Q15" s="16">
        <f t="shared" si="3"/>
        <v>34722</v>
      </c>
      <c r="R15" s="16">
        <f t="shared" si="3"/>
        <v>80356</v>
      </c>
      <c r="S15" s="16">
        <f t="shared" si="3"/>
        <v>65251</v>
      </c>
      <c r="T15" s="16">
        <f t="shared" si="3"/>
        <v>0</v>
      </c>
      <c r="U15" s="16">
        <f t="shared" si="3"/>
        <v>363524</v>
      </c>
    </row>
    <row r="18" spans="1:32" ht="15.75" thickBot="1" x14ac:dyDescent="0.3">
      <c r="A18" s="4" t="s">
        <v>46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13</v>
      </c>
      <c r="J19" s="3" t="s">
        <v>4</v>
      </c>
      <c r="L19" s="2" t="s">
        <v>12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13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50653.907682477227</v>
      </c>
      <c r="C20" s="12">
        <f t="shared" si="4"/>
        <v>5155.6301237564958</v>
      </c>
      <c r="D20" s="12">
        <f t="shared" si="4"/>
        <v>2164.9862086736789</v>
      </c>
      <c r="E20" s="12">
        <f t="shared" si="4"/>
        <v>0</v>
      </c>
      <c r="F20" s="12">
        <f t="shared" si="4"/>
        <v>0</v>
      </c>
      <c r="G20" s="12">
        <f t="shared" si="4"/>
        <v>7593.4759850926048</v>
      </c>
      <c r="H20" s="12">
        <f t="shared" si="4"/>
        <v>0</v>
      </c>
      <c r="I20" s="12"/>
      <c r="J20" s="12">
        <f>SUM(B20:I20)</f>
        <v>65568</v>
      </c>
      <c r="K20" s="12"/>
      <c r="L20" t="str">
        <f>$A$7</f>
        <v>Williamson</v>
      </c>
      <c r="M20" s="12">
        <f>M7</f>
        <v>36800</v>
      </c>
      <c r="N20" s="12">
        <f t="shared" ref="N20:U20" si="5">N7</f>
        <v>14976</v>
      </c>
      <c r="O20" s="12">
        <f t="shared" si="5"/>
        <v>4161</v>
      </c>
      <c r="P20" s="12">
        <f t="shared" si="5"/>
        <v>1621</v>
      </c>
      <c r="Q20" s="12">
        <f t="shared" si="5"/>
        <v>506</v>
      </c>
      <c r="R20" s="12">
        <f t="shared" si="5"/>
        <v>7241</v>
      </c>
      <c r="S20" s="12">
        <f t="shared" si="5"/>
        <v>263</v>
      </c>
      <c r="T20" s="12"/>
      <c r="U20" s="12">
        <f t="shared" si="5"/>
        <v>65568</v>
      </c>
    </row>
    <row r="21" spans="1:32" x14ac:dyDescent="0.25">
      <c r="A21" t="str">
        <f>$A$8</f>
        <v>Rutherford</v>
      </c>
      <c r="B21" s="12">
        <f t="shared" ref="B21:G25" si="6">($U8/$J8)*B8</f>
        <v>5351.0034175742667</v>
      </c>
      <c r="C21" s="12">
        <f t="shared" si="6"/>
        <v>26351.013642216694</v>
      </c>
      <c r="D21" s="12">
        <f t="shared" si="6"/>
        <v>2685.0389795621668</v>
      </c>
      <c r="E21" s="12">
        <f t="shared" si="6"/>
        <v>760.85278363554187</v>
      </c>
      <c r="F21" s="12">
        <f t="shared" si="6"/>
        <v>0</v>
      </c>
      <c r="G21" s="12">
        <f t="shared" si="6"/>
        <v>2431.0911770113344</v>
      </c>
      <c r="H21" s="12">
        <f t="shared" ref="H21:H26" si="7">($U8/$J8)*H8</f>
        <v>0</v>
      </c>
      <c r="I21" s="12"/>
      <c r="J21" s="12">
        <f t="shared" ref="J21:J27" si="8">SUM(B21:I21)</f>
        <v>37579</v>
      </c>
      <c r="K21" s="12"/>
      <c r="L21" t="str">
        <f>$A$8</f>
        <v>Rutherford</v>
      </c>
      <c r="M21" s="12">
        <f t="shared" ref="M21:U21" si="9">M8</f>
        <v>4860</v>
      </c>
      <c r="N21" s="12">
        <f t="shared" si="9"/>
        <v>25624</v>
      </c>
      <c r="O21" s="12">
        <f t="shared" si="9"/>
        <v>3355</v>
      </c>
      <c r="P21" s="12">
        <f t="shared" si="9"/>
        <v>1239</v>
      </c>
      <c r="Q21" s="12">
        <f t="shared" si="9"/>
        <v>416</v>
      </c>
      <c r="R21" s="12">
        <f t="shared" si="9"/>
        <v>1938</v>
      </c>
      <c r="S21" s="12">
        <f t="shared" si="9"/>
        <v>147</v>
      </c>
      <c r="T21" s="12"/>
      <c r="U21" s="12">
        <f t="shared" si="9"/>
        <v>37579</v>
      </c>
    </row>
    <row r="22" spans="1:32" x14ac:dyDescent="0.25">
      <c r="A22" t="str">
        <f>$A$9</f>
        <v>Sumner</v>
      </c>
      <c r="B22" s="12">
        <f t="shared" si="6"/>
        <v>1419.1464618391906</v>
      </c>
      <c r="C22" s="12">
        <f t="shared" si="6"/>
        <v>623.26577553724405</v>
      </c>
      <c r="D22" s="12">
        <f t="shared" si="6"/>
        <v>35138.018100557725</v>
      </c>
      <c r="E22" s="12">
        <f t="shared" si="6"/>
        <v>3701.0107082791574</v>
      </c>
      <c r="F22" s="12">
        <f t="shared" si="6"/>
        <v>802.53412103080757</v>
      </c>
      <c r="G22" s="12">
        <f t="shared" si="6"/>
        <v>1457.9857481923066</v>
      </c>
      <c r="H22" s="12">
        <f t="shared" si="7"/>
        <v>66.039084563572274</v>
      </c>
      <c r="I22" s="12"/>
      <c r="J22" s="12">
        <f t="shared" si="8"/>
        <v>43208.000000000007</v>
      </c>
      <c r="K22" s="13"/>
      <c r="L22" t="str">
        <f>$A$9</f>
        <v>Sumner</v>
      </c>
      <c r="M22" s="12">
        <f t="shared" ref="M22:U22" si="10">M9</f>
        <v>1153</v>
      </c>
      <c r="N22" s="12">
        <f t="shared" si="10"/>
        <v>2394</v>
      </c>
      <c r="O22" s="12">
        <f t="shared" si="10"/>
        <v>28671</v>
      </c>
      <c r="P22" s="12">
        <f t="shared" si="10"/>
        <v>6040</v>
      </c>
      <c r="Q22" s="12">
        <f t="shared" si="10"/>
        <v>1444</v>
      </c>
      <c r="R22" s="12">
        <f t="shared" si="10"/>
        <v>2925</v>
      </c>
      <c r="S22" s="12">
        <f t="shared" si="10"/>
        <v>581</v>
      </c>
      <c r="T22" s="12"/>
      <c r="U22" s="12">
        <f t="shared" si="10"/>
        <v>43208</v>
      </c>
    </row>
    <row r="23" spans="1:32" x14ac:dyDescent="0.25">
      <c r="A23" t="str">
        <f>$A$10</f>
        <v>Roberston</v>
      </c>
      <c r="B23" s="12">
        <f t="shared" si="6"/>
        <v>0</v>
      </c>
      <c r="C23" s="12">
        <f t="shared" si="6"/>
        <v>106.85075021937439</v>
      </c>
      <c r="D23" s="12">
        <f t="shared" si="6"/>
        <v>3908.8904808150087</v>
      </c>
      <c r="E23" s="12">
        <f t="shared" si="6"/>
        <v>19139.868518196265</v>
      </c>
      <c r="F23" s="12">
        <f t="shared" si="6"/>
        <v>1868.5632367160636</v>
      </c>
      <c r="G23" s="12">
        <f t="shared" si="6"/>
        <v>333.18120075514736</v>
      </c>
      <c r="H23" s="12">
        <f t="shared" si="7"/>
        <v>560.64581329813996</v>
      </c>
      <c r="I23" s="12"/>
      <c r="J23" s="12">
        <f>SUM(B23:I23)</f>
        <v>25918</v>
      </c>
      <c r="K23" s="13"/>
      <c r="L23" t="str">
        <f>$A$10</f>
        <v>Roberston</v>
      </c>
      <c r="M23" s="12">
        <f t="shared" ref="M23:S23" si="11">M10</f>
        <v>127</v>
      </c>
      <c r="N23" s="12">
        <f t="shared" si="11"/>
        <v>255</v>
      </c>
      <c r="O23" s="12">
        <f t="shared" si="11"/>
        <v>3672</v>
      </c>
      <c r="P23" s="12">
        <f t="shared" si="11"/>
        <v>18467</v>
      </c>
      <c r="Q23" s="12">
        <f t="shared" si="11"/>
        <v>1720</v>
      </c>
      <c r="R23" s="12">
        <f t="shared" si="11"/>
        <v>1203</v>
      </c>
      <c r="S23" s="12">
        <f t="shared" si="11"/>
        <v>474</v>
      </c>
      <c r="T23" s="12"/>
      <c r="U23" s="12">
        <f t="shared" ref="U23" si="12">U10</f>
        <v>25918</v>
      </c>
    </row>
    <row r="24" spans="1:32" x14ac:dyDescent="0.25">
      <c r="A24" t="str">
        <f>$A$11</f>
        <v>Davidson</v>
      </c>
      <c r="B24" s="12">
        <f t="shared" si="6"/>
        <v>0</v>
      </c>
      <c r="C24" s="12">
        <f t="shared" si="6"/>
        <v>0</v>
      </c>
      <c r="D24" s="12">
        <f t="shared" si="6"/>
        <v>1397.6184785925295</v>
      </c>
      <c r="E24" s="12">
        <f t="shared" si="6"/>
        <v>4080.9557075331709</v>
      </c>
      <c r="F24" s="12">
        <f t="shared" si="6"/>
        <v>25831.454013896131</v>
      </c>
      <c r="G24" s="12">
        <f t="shared" si="6"/>
        <v>40.879958486194376</v>
      </c>
      <c r="H24" s="12">
        <f t="shared" si="7"/>
        <v>4023.0918414919802</v>
      </c>
      <c r="I24" s="12"/>
      <c r="J24" s="12">
        <f t="shared" si="8"/>
        <v>35374.000000000007</v>
      </c>
      <c r="K24" s="13"/>
      <c r="L24" t="str">
        <f>$A$11</f>
        <v>Davidson</v>
      </c>
      <c r="M24" s="12">
        <f t="shared" ref="M24:S24" si="13">M11</f>
        <v>125</v>
      </c>
      <c r="N24" s="12">
        <f t="shared" si="13"/>
        <v>283</v>
      </c>
      <c r="O24" s="12">
        <f t="shared" si="13"/>
        <v>2319</v>
      </c>
      <c r="P24" s="12">
        <f t="shared" si="13"/>
        <v>5472</v>
      </c>
      <c r="Q24" s="12">
        <f t="shared" si="13"/>
        <v>20322</v>
      </c>
      <c r="R24" s="12">
        <f t="shared" si="13"/>
        <v>2023</v>
      </c>
      <c r="S24" s="12">
        <f t="shared" si="13"/>
        <v>4830</v>
      </c>
      <c r="T24" s="12"/>
      <c r="U24" s="12">
        <f t="shared" ref="U24" si="14">U11</f>
        <v>35374</v>
      </c>
    </row>
    <row r="25" spans="1:32" x14ac:dyDescent="0.25">
      <c r="A25" t="str">
        <f>$A$12</f>
        <v>Maury</v>
      </c>
      <c r="B25" s="12">
        <f t="shared" si="6"/>
        <v>1194.5760656423574</v>
      </c>
      <c r="C25" s="12">
        <f t="shared" si="6"/>
        <v>2834.9885669704395</v>
      </c>
      <c r="D25" s="12">
        <f t="shared" si="6"/>
        <v>3347.6905248270109</v>
      </c>
      <c r="E25" s="12">
        <f t="shared" si="6"/>
        <v>2343.7776482177924</v>
      </c>
      <c r="F25" s="12">
        <f t="shared" si="6"/>
        <v>1141.6058432255011</v>
      </c>
      <c r="G25" s="12">
        <f t="shared" si="6"/>
        <v>69670.087968075561</v>
      </c>
      <c r="H25" s="12">
        <f t="shared" si="7"/>
        <v>3603.2733830413431</v>
      </c>
      <c r="I25" s="12"/>
      <c r="J25" s="12">
        <f t="shared" si="8"/>
        <v>84136.000000000015</v>
      </c>
      <c r="K25" s="13"/>
      <c r="L25" t="str">
        <f>$A$12</f>
        <v>Maury</v>
      </c>
      <c r="M25" s="12">
        <f t="shared" ref="M25:S26" si="15">M12</f>
        <v>2672</v>
      </c>
      <c r="N25" s="12">
        <f t="shared" si="15"/>
        <v>2012</v>
      </c>
      <c r="O25" s="12">
        <f t="shared" si="15"/>
        <v>5420</v>
      </c>
      <c r="P25" s="12">
        <f t="shared" si="15"/>
        <v>5934</v>
      </c>
      <c r="Q25" s="12">
        <f t="shared" si="15"/>
        <v>3119</v>
      </c>
      <c r="R25" s="12">
        <f t="shared" si="15"/>
        <v>59435</v>
      </c>
      <c r="S25" s="12">
        <f t="shared" si="15"/>
        <v>5544</v>
      </c>
      <c r="T25" s="12"/>
      <c r="U25" s="12">
        <f t="shared" ref="U25:U26" si="16">U12</f>
        <v>84136</v>
      </c>
    </row>
    <row r="26" spans="1:32" x14ac:dyDescent="0.25">
      <c r="A26" t="str">
        <f>$A$13</f>
        <v>Wilson</v>
      </c>
      <c r="B26" s="12">
        <f>($U13/$J13)*B13</f>
        <v>516.0022276873575</v>
      </c>
      <c r="C26" s="12">
        <f t="shared" ref="C26:G26" si="17">($U13/$J13)*C13</f>
        <v>5031.2962553417028</v>
      </c>
      <c r="D26" s="12">
        <f t="shared" si="17"/>
        <v>469.98107394608195</v>
      </c>
      <c r="E26" s="12">
        <f t="shared" si="17"/>
        <v>6419.704779844692</v>
      </c>
      <c r="F26" s="12">
        <f t="shared" si="17"/>
        <v>2419.879959163874</v>
      </c>
      <c r="G26" s="12">
        <f t="shared" si="17"/>
        <v>3302.2235586358952</v>
      </c>
      <c r="H26" s="12">
        <f t="shared" si="7"/>
        <v>53581.912145380404</v>
      </c>
      <c r="I26" s="12"/>
      <c r="J26" s="12">
        <f t="shared" si="8"/>
        <v>71741</v>
      </c>
      <c r="K26" s="13"/>
      <c r="L26" t="str">
        <f>$A$13</f>
        <v>Wilson</v>
      </c>
      <c r="M26" s="12">
        <f t="shared" si="15"/>
        <v>220</v>
      </c>
      <c r="N26" s="12">
        <f t="shared" si="15"/>
        <v>273</v>
      </c>
      <c r="O26" s="12">
        <f t="shared" si="15"/>
        <v>1692</v>
      </c>
      <c r="P26" s="12">
        <f t="shared" si="15"/>
        <v>3358</v>
      </c>
      <c r="Q26" s="12">
        <f t="shared" si="15"/>
        <v>7195</v>
      </c>
      <c r="R26" s="12">
        <f t="shared" si="15"/>
        <v>5591</v>
      </c>
      <c r="S26" s="12">
        <f t="shared" si="15"/>
        <v>53412</v>
      </c>
      <c r="T26" s="12"/>
      <c r="U26" s="12">
        <f t="shared" si="16"/>
        <v>71741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8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18">SUM(B20:B27)</f>
        <v>59134.635855220404</v>
      </c>
      <c r="C28" s="16">
        <f t="shared" si="18"/>
        <v>40103.045114041954</v>
      </c>
      <c r="D28" s="16">
        <f t="shared" si="18"/>
        <v>49112.223846974208</v>
      </c>
      <c r="E28" s="16">
        <f t="shared" si="18"/>
        <v>36446.170145706623</v>
      </c>
      <c r="F28" s="16">
        <f t="shared" si="18"/>
        <v>32064.037174032379</v>
      </c>
      <c r="G28" s="16">
        <f t="shared" si="18"/>
        <v>84828.925596249042</v>
      </c>
      <c r="H28" s="16">
        <f t="shared" si="18"/>
        <v>61834.962267775438</v>
      </c>
      <c r="I28" s="16">
        <f t="shared" si="18"/>
        <v>0</v>
      </c>
      <c r="J28" s="16">
        <f t="shared" si="18"/>
        <v>363524</v>
      </c>
      <c r="K28" s="12"/>
      <c r="L28" s="16" t="s">
        <v>4</v>
      </c>
      <c r="M28" s="16">
        <f t="shared" ref="M28:U28" si="19">M15</f>
        <v>45957</v>
      </c>
      <c r="N28" s="16">
        <f t="shared" si="19"/>
        <v>45817</v>
      </c>
      <c r="O28" s="16">
        <f t="shared" si="19"/>
        <v>49290</v>
      </c>
      <c r="P28" s="16">
        <f t="shared" si="19"/>
        <v>42131</v>
      </c>
      <c r="Q28" s="16">
        <f t="shared" si="19"/>
        <v>34722</v>
      </c>
      <c r="R28" s="16">
        <f t="shared" si="19"/>
        <v>80356</v>
      </c>
      <c r="S28" s="16">
        <f t="shared" si="19"/>
        <v>65251</v>
      </c>
      <c r="T28" s="16"/>
      <c r="U28" s="16">
        <f t="shared" si="19"/>
        <v>363524</v>
      </c>
    </row>
    <row r="31" spans="1:32" ht="15.75" thickBot="1" x14ac:dyDescent="0.3">
      <c r="A31" s="4" t="s">
        <v>46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13</v>
      </c>
      <c r="J32" s="3" t="s">
        <v>4</v>
      </c>
      <c r="L32" s="2" t="s">
        <v>12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13</v>
      </c>
      <c r="U32" s="3" t="s">
        <v>4</v>
      </c>
      <c r="W32" s="2" t="s">
        <v>12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13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20">B20/$J$28</f>
        <v>0.13934130258931246</v>
      </c>
      <c r="C33" s="17">
        <f t="shared" si="20"/>
        <v>1.4182365191174436E-2</v>
      </c>
      <c r="D33" s="17">
        <f t="shared" si="20"/>
        <v>5.9555523395255303E-3</v>
      </c>
      <c r="E33" s="17">
        <f t="shared" si="20"/>
        <v>0</v>
      </c>
      <c r="F33" s="17">
        <f t="shared" si="20"/>
        <v>0</v>
      </c>
      <c r="G33" s="17">
        <f t="shared" si="20"/>
        <v>2.0888513509679154E-2</v>
      </c>
      <c r="H33" s="17">
        <f t="shared" si="20"/>
        <v>0</v>
      </c>
      <c r="I33" s="12"/>
      <c r="J33" s="17">
        <f t="shared" ref="J33:J39" si="21">J20/$J$28</f>
        <v>0.18036773362969158</v>
      </c>
      <c r="K33" s="12"/>
      <c r="L33" t="str">
        <f>$A$7</f>
        <v>Williamson</v>
      </c>
      <c r="M33" s="17">
        <f t="shared" ref="M33:S33" si="22">M20/$U$28</f>
        <v>0.10123128046566389</v>
      </c>
      <c r="N33" s="17">
        <f t="shared" si="22"/>
        <v>4.1196729789504956E-2</v>
      </c>
      <c r="O33" s="17">
        <f t="shared" si="22"/>
        <v>1.1446286902652919E-2</v>
      </c>
      <c r="P33" s="17">
        <f t="shared" si="22"/>
        <v>4.4591278705119882E-3</v>
      </c>
      <c r="Q33" s="17">
        <f t="shared" si="22"/>
        <v>1.3919301064028785E-3</v>
      </c>
      <c r="R33" s="17">
        <f t="shared" si="22"/>
        <v>1.9918904941626962E-2</v>
      </c>
      <c r="S33" s="17">
        <f t="shared" si="22"/>
        <v>7.2347355332797836E-4</v>
      </c>
      <c r="T33" s="17"/>
      <c r="U33" s="17">
        <f>U20/$U$28</f>
        <v>0.18036773362969158</v>
      </c>
      <c r="W33" t="str">
        <f>$A$7</f>
        <v>Williamson</v>
      </c>
      <c r="X33" s="17">
        <f>M33-B33</f>
        <v>-3.8110022123648571E-2</v>
      </c>
      <c r="Y33" s="17">
        <f t="shared" ref="Y33:Y35" si="23">N33-C33</f>
        <v>2.701436459833052E-2</v>
      </c>
      <c r="Z33" s="17">
        <f t="shared" ref="Z33:Z35" si="24">O33-D33</f>
        <v>5.4907345631273891E-3</v>
      </c>
      <c r="AA33" s="17">
        <f t="shared" ref="AA33" si="25">P33-E33</f>
        <v>4.4591278705119882E-3</v>
      </c>
      <c r="AB33" s="17">
        <f t="shared" ref="AB33" si="26">Q33-F33</f>
        <v>1.3919301064028785E-3</v>
      </c>
      <c r="AC33" s="17">
        <f t="shared" ref="AC33:AD39" si="27">R33-G33</f>
        <v>-9.6960856805219237E-4</v>
      </c>
      <c r="AD33" s="17">
        <f t="shared" si="27"/>
        <v>7.2347355332797836E-4</v>
      </c>
      <c r="AE33" s="17"/>
      <c r="AF33" s="17">
        <f t="shared" ref="AF33:AF39" si="28">U33-J33</f>
        <v>0</v>
      </c>
    </row>
    <row r="34" spans="1:32" x14ac:dyDescent="0.25">
      <c r="A34" t="str">
        <f>$A$8</f>
        <v>Rutherford</v>
      </c>
      <c r="B34" s="17">
        <f t="shared" ref="B34:G38" si="29">B21/$J$28</f>
        <v>1.4719807818945288E-2</v>
      </c>
      <c r="C34" s="17">
        <f t="shared" si="29"/>
        <v>7.2487686211135147E-2</v>
      </c>
      <c r="D34" s="17">
        <f t="shared" si="29"/>
        <v>7.3861395109048279E-3</v>
      </c>
      <c r="E34" s="17">
        <f t="shared" si="29"/>
        <v>2.092991889491593E-3</v>
      </c>
      <c r="F34" s="17">
        <f t="shared" si="29"/>
        <v>0</v>
      </c>
      <c r="G34" s="17">
        <f t="shared" si="29"/>
        <v>6.6875671950444382E-3</v>
      </c>
      <c r="H34" s="17">
        <f t="shared" ref="H34:H39" si="30">H21/$J$28</f>
        <v>0</v>
      </c>
      <c r="I34" s="12"/>
      <c r="J34" s="17">
        <f t="shared" si="21"/>
        <v>0.10337419262552129</v>
      </c>
      <c r="K34" s="12"/>
      <c r="L34" t="str">
        <f>$A$8</f>
        <v>Rutherford</v>
      </c>
      <c r="M34" s="17">
        <f t="shared" ref="M34:R36" si="31">M21/$U$28</f>
        <v>1.3369131061498002E-2</v>
      </c>
      <c r="N34" s="17">
        <f t="shared" si="31"/>
        <v>7.048778072424379E-2</v>
      </c>
      <c r="O34" s="17">
        <f t="shared" si="31"/>
        <v>9.2291017924538681E-3</v>
      </c>
      <c r="P34" s="17">
        <f t="shared" si="31"/>
        <v>3.4083031656781944E-3</v>
      </c>
      <c r="Q34" s="17">
        <f t="shared" si="31"/>
        <v>1.1443536052640265E-3</v>
      </c>
      <c r="R34" s="17">
        <f t="shared" si="31"/>
        <v>5.3311473245232777E-3</v>
      </c>
      <c r="S34" s="17">
        <f t="shared" ref="S34:S39" si="32">S21/$U$28</f>
        <v>4.0437495186012478E-4</v>
      </c>
      <c r="T34" s="17"/>
      <c r="U34" s="17">
        <f>U21/$U$28</f>
        <v>0.10337419262552129</v>
      </c>
      <c r="W34" t="str">
        <f>$A$8</f>
        <v>Rutherford</v>
      </c>
      <c r="X34" s="17">
        <f t="shared" ref="X34:X35" si="33">M34-B34</f>
        <v>-1.3506767574472858E-3</v>
      </c>
      <c r="Y34" s="17">
        <f t="shared" si="23"/>
        <v>-1.9999054868913568E-3</v>
      </c>
      <c r="Z34" s="17">
        <f t="shared" si="24"/>
        <v>1.8429622815490402E-3</v>
      </c>
      <c r="AA34" s="17">
        <f t="shared" ref="AA34:AA39" si="34">P34-E34</f>
        <v>1.3153112761866014E-3</v>
      </c>
      <c r="AB34" s="17">
        <f t="shared" ref="AB34:AB39" si="35">Q34-F34</f>
        <v>1.1443536052640265E-3</v>
      </c>
      <c r="AC34" s="17">
        <f t="shared" ref="AC34:AC39" si="36">R34-G34</f>
        <v>-1.3564198705211606E-3</v>
      </c>
      <c r="AD34" s="17">
        <f t="shared" si="27"/>
        <v>4.0437495186012478E-4</v>
      </c>
      <c r="AE34" s="17"/>
      <c r="AF34" s="17">
        <f t="shared" si="28"/>
        <v>0</v>
      </c>
    </row>
    <row r="35" spans="1:32" x14ac:dyDescent="0.25">
      <c r="A35" t="str">
        <f>$A$9</f>
        <v>Sumner</v>
      </c>
      <c r="B35" s="17">
        <f t="shared" si="29"/>
        <v>3.903859062508089E-3</v>
      </c>
      <c r="C35" s="17">
        <f t="shared" si="29"/>
        <v>1.7145106665233769E-3</v>
      </c>
      <c r="D35" s="17">
        <f t="shared" si="29"/>
        <v>9.6659417536552536E-2</v>
      </c>
      <c r="E35" s="17">
        <f t="shared" si="29"/>
        <v>1.0180925353701976E-2</v>
      </c>
      <c r="F35" s="17">
        <f t="shared" si="29"/>
        <v>2.2076509969927915E-3</v>
      </c>
      <c r="G35" s="17">
        <f t="shared" si="29"/>
        <v>4.0107001138640274E-3</v>
      </c>
      <c r="H35" s="17">
        <f t="shared" si="30"/>
        <v>1.8166361660735544E-4</v>
      </c>
      <c r="I35" s="12"/>
      <c r="J35" s="17">
        <f t="shared" si="21"/>
        <v>0.11885872734675017</v>
      </c>
      <c r="K35" s="13"/>
      <c r="L35" t="str">
        <f>$A$9</f>
        <v>Sumner</v>
      </c>
      <c r="M35" s="17">
        <f t="shared" si="31"/>
        <v>3.1717300645899582E-3</v>
      </c>
      <c r="N35" s="17">
        <f t="shared" si="31"/>
        <v>6.5855349302934608E-3</v>
      </c>
      <c r="O35" s="17">
        <f t="shared" si="31"/>
        <v>7.8869620712800251E-2</v>
      </c>
      <c r="P35" s="17">
        <f t="shared" si="31"/>
        <v>1.6615134076429616E-2</v>
      </c>
      <c r="Q35" s="17">
        <f t="shared" si="31"/>
        <v>3.9722274182722459E-3</v>
      </c>
      <c r="R35" s="17">
        <f t="shared" si="31"/>
        <v>8.0462362870126862E-3</v>
      </c>
      <c r="S35" s="17">
        <f t="shared" si="32"/>
        <v>1.5982438573519217E-3</v>
      </c>
      <c r="T35" s="17"/>
      <c r="U35" s="17">
        <f>U22/$U$28</f>
        <v>0.11885872734675014</v>
      </c>
      <c r="W35" t="str">
        <f>$A$9</f>
        <v>Sumner</v>
      </c>
      <c r="X35" s="17">
        <f t="shared" si="33"/>
        <v>-7.321289979181308E-4</v>
      </c>
      <c r="Y35" s="17">
        <f t="shared" si="23"/>
        <v>4.8710242637700837E-3</v>
      </c>
      <c r="Z35" s="17">
        <f t="shared" si="24"/>
        <v>-1.7789796823752285E-2</v>
      </c>
      <c r="AA35" s="17">
        <f t="shared" si="34"/>
        <v>6.4342087227276402E-3</v>
      </c>
      <c r="AB35" s="17">
        <f t="shared" si="35"/>
        <v>1.7645764212794544E-3</v>
      </c>
      <c r="AC35" s="17">
        <f t="shared" si="36"/>
        <v>4.0355361731486588E-3</v>
      </c>
      <c r="AD35" s="17">
        <f t="shared" si="27"/>
        <v>1.4165802407445664E-3</v>
      </c>
      <c r="AE35" s="17"/>
      <c r="AF35" s="17">
        <f t="shared" si="28"/>
        <v>0</v>
      </c>
    </row>
    <row r="36" spans="1:32" x14ac:dyDescent="0.25">
      <c r="A36" t="str">
        <f>$A$10</f>
        <v>Roberston</v>
      </c>
      <c r="B36" s="17">
        <f t="shared" si="29"/>
        <v>0</v>
      </c>
      <c r="C36" s="17">
        <f t="shared" si="29"/>
        <v>2.9393038759304585E-4</v>
      </c>
      <c r="D36" s="17">
        <f t="shared" si="29"/>
        <v>1.0752771428612716E-2</v>
      </c>
      <c r="E36" s="17">
        <f t="shared" si="29"/>
        <v>5.2650907555474372E-2</v>
      </c>
      <c r="F36" s="17">
        <f t="shared" si="29"/>
        <v>5.1401372033650144E-3</v>
      </c>
      <c r="G36" s="17">
        <f t="shared" si="29"/>
        <v>9.1653151031334209E-4</v>
      </c>
      <c r="H36" s="17">
        <f t="shared" si="30"/>
        <v>1.5422525426055499E-3</v>
      </c>
      <c r="I36" s="12"/>
      <c r="J36" s="17">
        <f t="shared" si="21"/>
        <v>7.1296530627964039E-2</v>
      </c>
      <c r="K36" s="13"/>
      <c r="L36" t="str">
        <f>$A$10</f>
        <v>Roberston</v>
      </c>
      <c r="M36" s="17">
        <f t="shared" si="31"/>
        <v>3.4935795160704659E-4</v>
      </c>
      <c r="N36" s="17">
        <f t="shared" si="31"/>
        <v>7.0146675322674702E-4</v>
      </c>
      <c r="O36" s="17">
        <f t="shared" si="31"/>
        <v>1.0101121246465158E-2</v>
      </c>
      <c r="P36" s="17">
        <f t="shared" si="31"/>
        <v>5.0799947183679757E-2</v>
      </c>
      <c r="Q36" s="17">
        <f t="shared" si="31"/>
        <v>4.7314620217647251E-3</v>
      </c>
      <c r="R36" s="17">
        <f t="shared" si="31"/>
        <v>3.3092725652226537E-3</v>
      </c>
      <c r="S36" s="17">
        <f t="shared" si="32"/>
        <v>1.3039029059979533E-3</v>
      </c>
      <c r="T36" s="17"/>
      <c r="U36" s="17">
        <f t="shared" ref="U36" si="37">U23/$U$28</f>
        <v>7.1296530627964039E-2</v>
      </c>
      <c r="W36" t="str">
        <f>$A$10</f>
        <v>Roberston</v>
      </c>
      <c r="X36" s="17">
        <f t="shared" ref="X36:X39" si="38">M36-B36</f>
        <v>3.4935795160704659E-4</v>
      </c>
      <c r="Y36" s="17">
        <f t="shared" ref="Y36:Y39" si="39">N36-C36</f>
        <v>4.0753636563370117E-4</v>
      </c>
      <c r="Z36" s="17">
        <f t="shared" ref="Z36:Z39" si="40">O36-D36</f>
        <v>-6.516501821475576E-4</v>
      </c>
      <c r="AA36" s="17">
        <f t="shared" si="34"/>
        <v>-1.8509603717946146E-3</v>
      </c>
      <c r="AB36" s="17">
        <f t="shared" si="35"/>
        <v>-4.0867518160028933E-4</v>
      </c>
      <c r="AC36" s="17">
        <f t="shared" si="36"/>
        <v>2.3927410549093118E-3</v>
      </c>
      <c r="AD36" s="17">
        <f t="shared" si="27"/>
        <v>-2.3834963660759661E-4</v>
      </c>
      <c r="AE36" s="17"/>
      <c r="AF36" s="17">
        <f t="shared" si="28"/>
        <v>0</v>
      </c>
    </row>
    <row r="37" spans="1:32" x14ac:dyDescent="0.25">
      <c r="A37" t="str">
        <f>$A$11</f>
        <v>Davidson</v>
      </c>
      <c r="B37" s="17">
        <f t="shared" si="29"/>
        <v>0</v>
      </c>
      <c r="C37" s="17">
        <f t="shared" si="29"/>
        <v>0</v>
      </c>
      <c r="D37" s="17">
        <f t="shared" si="29"/>
        <v>3.8446388095215982E-3</v>
      </c>
      <c r="E37" s="17">
        <f t="shared" si="29"/>
        <v>1.122609705970767E-2</v>
      </c>
      <c r="F37" s="17">
        <f t="shared" si="29"/>
        <v>7.1058455600995066E-2</v>
      </c>
      <c r="G37" s="17">
        <f t="shared" si="29"/>
        <v>1.1245463431903911E-4</v>
      </c>
      <c r="H37" s="17">
        <f t="shared" si="30"/>
        <v>1.1066922243076056E-2</v>
      </c>
      <c r="I37" s="12"/>
      <c r="J37" s="17">
        <f t="shared" si="21"/>
        <v>9.7308568347619431E-2</v>
      </c>
      <c r="K37" s="13"/>
      <c r="L37" t="str">
        <f>$A$11</f>
        <v>Davidson</v>
      </c>
      <c r="M37" s="17">
        <f>M24/$U$28</f>
        <v>3.4385625158173875E-4</v>
      </c>
      <c r="N37" s="17">
        <f>N24/$U$28</f>
        <v>7.784905535810566E-4</v>
      </c>
      <c r="O37" s="17">
        <f t="shared" ref="O37:R37" si="41">O24/$U$28</f>
        <v>6.3792211793444178E-3</v>
      </c>
      <c r="P37" s="17">
        <f t="shared" si="41"/>
        <v>1.5052651269242196E-2</v>
      </c>
      <c r="Q37" s="17">
        <f t="shared" si="41"/>
        <v>5.5902773957152763E-2</v>
      </c>
      <c r="R37" s="17">
        <f t="shared" si="41"/>
        <v>5.5649695755988597E-3</v>
      </c>
      <c r="S37" s="17">
        <f t="shared" si="32"/>
        <v>1.3286605561118386E-2</v>
      </c>
      <c r="T37" s="17"/>
      <c r="U37" s="17">
        <f t="shared" ref="U37" si="42">U24/$U$28</f>
        <v>9.7308568347619417E-2</v>
      </c>
      <c r="W37" t="str">
        <f>$A$11</f>
        <v>Davidson</v>
      </c>
      <c r="X37" s="17">
        <f t="shared" si="38"/>
        <v>3.4385625158173875E-4</v>
      </c>
      <c r="Y37" s="17">
        <f t="shared" si="39"/>
        <v>7.784905535810566E-4</v>
      </c>
      <c r="Z37" s="17">
        <f t="shared" si="40"/>
        <v>2.5345823698228196E-3</v>
      </c>
      <c r="AA37" s="17">
        <f t="shared" si="34"/>
        <v>3.8265542095345263E-3</v>
      </c>
      <c r="AB37" s="17">
        <f t="shared" si="35"/>
        <v>-1.5155681643842303E-2</v>
      </c>
      <c r="AC37" s="17">
        <f t="shared" si="36"/>
        <v>5.4525149412798209E-3</v>
      </c>
      <c r="AD37" s="17">
        <f t="shared" si="27"/>
        <v>2.2196833180423304E-3</v>
      </c>
      <c r="AE37" s="17"/>
      <c r="AF37" s="17">
        <f t="shared" si="28"/>
        <v>0</v>
      </c>
    </row>
    <row r="38" spans="1:32" x14ac:dyDescent="0.25">
      <c r="A38" t="str">
        <f>$A$12</f>
        <v>Maury</v>
      </c>
      <c r="B38" s="17">
        <f t="shared" si="29"/>
        <v>3.2860995852883371E-3</v>
      </c>
      <c r="C38" s="17">
        <f t="shared" si="29"/>
        <v>7.798628335324324E-3</v>
      </c>
      <c r="D38" s="17">
        <f t="shared" si="29"/>
        <v>9.2089945225817572E-3</v>
      </c>
      <c r="E38" s="17">
        <f t="shared" si="29"/>
        <v>6.4473807732578657E-3</v>
      </c>
      <c r="F38" s="17">
        <f t="shared" si="29"/>
        <v>3.1403864482826473E-3</v>
      </c>
      <c r="G38" s="17">
        <f t="shared" si="29"/>
        <v>0.19165196236857968</v>
      </c>
      <c r="H38" s="17">
        <f t="shared" si="30"/>
        <v>9.9120646313347761E-3</v>
      </c>
      <c r="I38" s="12"/>
      <c r="J38" s="17">
        <f t="shared" si="21"/>
        <v>0.23144551666464941</v>
      </c>
      <c r="K38" s="13"/>
      <c r="L38" t="str">
        <f>$A$12</f>
        <v>Maury</v>
      </c>
      <c r="M38" s="17">
        <f>M25/$U$28</f>
        <v>7.3502712338112475E-3</v>
      </c>
      <c r="N38" s="17">
        <f>N25/$U$28</f>
        <v>5.5347102254596674E-3</v>
      </c>
      <c r="O38" s="17">
        <f t="shared" ref="O38:R38" si="43">O25/$U$28</f>
        <v>1.4909607068584192E-2</v>
      </c>
      <c r="P38" s="17">
        <f t="shared" si="43"/>
        <v>1.6323543975088301E-2</v>
      </c>
      <c r="Q38" s="17">
        <f t="shared" si="43"/>
        <v>8.579901189467545E-3</v>
      </c>
      <c r="R38" s="17">
        <f t="shared" si="43"/>
        <v>0.16349677050208514</v>
      </c>
      <c r="S38" s="17">
        <f t="shared" si="32"/>
        <v>1.5250712470153277E-2</v>
      </c>
      <c r="T38" s="17"/>
      <c r="U38" s="17">
        <f t="shared" ref="U38:U39" si="44">U25/$U$28</f>
        <v>0.23144551666464938</v>
      </c>
      <c r="W38" t="str">
        <f>$A$12</f>
        <v>Maury</v>
      </c>
      <c r="X38" s="17">
        <f t="shared" si="38"/>
        <v>4.0641716485229108E-3</v>
      </c>
      <c r="Y38" s="17">
        <f t="shared" si="39"/>
        <v>-2.2639181098646566E-3</v>
      </c>
      <c r="Z38" s="17">
        <f t="shared" si="40"/>
        <v>5.700612546002435E-3</v>
      </c>
      <c r="AA38" s="17">
        <f t="shared" si="34"/>
        <v>9.8761632018304346E-3</v>
      </c>
      <c r="AB38" s="17">
        <f t="shared" si="35"/>
        <v>5.4395147411848976E-3</v>
      </c>
      <c r="AC38" s="17">
        <f t="shared" si="36"/>
        <v>-2.8155191866494539E-2</v>
      </c>
      <c r="AD38" s="17">
        <f t="shared" si="27"/>
        <v>5.338647838818501E-3</v>
      </c>
      <c r="AE38" s="17"/>
      <c r="AF38" s="17">
        <f t="shared" si="28"/>
        <v>0</v>
      </c>
    </row>
    <row r="39" spans="1:32" x14ac:dyDescent="0.25">
      <c r="A39" t="str">
        <f>$A$13</f>
        <v>Wilson</v>
      </c>
      <c r="B39" s="17">
        <f>B26/$J$28</f>
        <v>1.4194447345632132E-3</v>
      </c>
      <c r="C39" s="17">
        <f t="shared" ref="C39:G39" si="45">C26/$J$28</f>
        <v>1.3840341367672293E-2</v>
      </c>
      <c r="D39" s="17">
        <f t="shared" si="45"/>
        <v>1.2928474432116778E-3</v>
      </c>
      <c r="E39" s="17">
        <f t="shared" si="45"/>
        <v>1.7659644974870138E-2</v>
      </c>
      <c r="F39" s="17">
        <f t="shared" si="45"/>
        <v>6.6567268162868861E-3</v>
      </c>
      <c r="G39" s="17">
        <f t="shared" si="45"/>
        <v>9.0839217180595927E-3</v>
      </c>
      <c r="H39" s="17">
        <f t="shared" si="30"/>
        <v>0.14739580370314037</v>
      </c>
      <c r="I39" s="12"/>
      <c r="J39" s="17">
        <f t="shared" si="21"/>
        <v>0.19734873075780415</v>
      </c>
      <c r="K39" s="13"/>
      <c r="L39" t="str">
        <f>$A$13</f>
        <v>Wilson</v>
      </c>
      <c r="M39" s="17">
        <f>M26/$U$28</f>
        <v>6.0518700278386025E-4</v>
      </c>
      <c r="N39" s="17">
        <f t="shared" ref="N39:R39" si="46">N26/$U$28</f>
        <v>7.5098205345451748E-4</v>
      </c>
      <c r="O39" s="17">
        <f t="shared" si="46"/>
        <v>4.6544382214104155E-3</v>
      </c>
      <c r="P39" s="17">
        <f t="shared" si="46"/>
        <v>9.2373543424918297E-3</v>
      </c>
      <c r="Q39" s="17">
        <f t="shared" si="46"/>
        <v>1.9792365841044882E-2</v>
      </c>
      <c r="R39" s="17">
        <f t="shared" si="46"/>
        <v>1.5380002420748011E-2</v>
      </c>
      <c r="S39" s="17">
        <f t="shared" si="32"/>
        <v>0.14692840087587064</v>
      </c>
      <c r="T39" s="17"/>
      <c r="U39" s="17">
        <f t="shared" si="44"/>
        <v>0.19734873075780415</v>
      </c>
      <c r="W39" t="str">
        <f>$A$13</f>
        <v>Wilson</v>
      </c>
      <c r="X39" s="17">
        <f t="shared" si="38"/>
        <v>-8.1425773177935291E-4</v>
      </c>
      <c r="Y39" s="17">
        <f t="shared" si="39"/>
        <v>-1.3089359314217775E-2</v>
      </c>
      <c r="Z39" s="17">
        <f t="shared" si="40"/>
        <v>3.3615907781987375E-3</v>
      </c>
      <c r="AA39" s="17">
        <f t="shared" si="34"/>
        <v>-8.4222906323783084E-3</v>
      </c>
      <c r="AB39" s="17">
        <f t="shared" si="35"/>
        <v>1.3135639024757995E-2</v>
      </c>
      <c r="AC39" s="17">
        <f t="shared" si="36"/>
        <v>6.2960807026884186E-3</v>
      </c>
      <c r="AD39" s="17">
        <f t="shared" si="27"/>
        <v>-4.6740282726973059E-4</v>
      </c>
      <c r="AE39" s="17"/>
      <c r="AF39" s="17">
        <f t="shared" si="28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47">B28/$J$28</f>
        <v>0.16267051379061742</v>
      </c>
      <c r="C41" s="19">
        <f t="shared" si="47"/>
        <v>0.11031746215942263</v>
      </c>
      <c r="D41" s="19">
        <f t="shared" si="47"/>
        <v>0.13510036159091066</v>
      </c>
      <c r="E41" s="19">
        <f t="shared" si="47"/>
        <v>0.10025794760650363</v>
      </c>
      <c r="F41" s="19">
        <f t="shared" si="47"/>
        <v>8.8203357065922416E-2</v>
      </c>
      <c r="G41" s="19">
        <f t="shared" si="47"/>
        <v>0.23335165104985928</v>
      </c>
      <c r="H41" s="19">
        <f t="shared" si="47"/>
        <v>0.17009870673676411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0.12642081403153574</v>
      </c>
      <c r="N41" s="19">
        <f>N28/$U$28</f>
        <v>0.12603569502976419</v>
      </c>
      <c r="O41" s="19">
        <f>O28/$U$28</f>
        <v>0.13558939712371124</v>
      </c>
      <c r="P41" s="19">
        <f>P28/$U$28</f>
        <v>0.11589606188312189</v>
      </c>
      <c r="Q41" s="19">
        <f t="shared" ref="Q41:S41" si="48">Q28/$U$28</f>
        <v>9.5515014139369067E-2</v>
      </c>
      <c r="R41" s="19">
        <f t="shared" si="48"/>
        <v>0.2210473036168176</v>
      </c>
      <c r="S41" s="19">
        <f t="shared" si="48"/>
        <v>0.17949571417568028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49">M41-B41</f>
        <v>-3.6249699759081683E-2</v>
      </c>
      <c r="Y41" s="19">
        <f t="shared" si="49"/>
        <v>1.5718232870341561E-2</v>
      </c>
      <c r="Z41" s="19">
        <f t="shared" si="49"/>
        <v>4.8903553280058021E-4</v>
      </c>
      <c r="AA41" s="19">
        <f t="shared" si="49"/>
        <v>1.5638114276618265E-2</v>
      </c>
      <c r="AB41" s="19">
        <f t="shared" si="49"/>
        <v>7.3116570734466507E-3</v>
      </c>
      <c r="AC41" s="19">
        <f t="shared" si="49"/>
        <v>-1.2304347433041679E-2</v>
      </c>
      <c r="AD41" s="19">
        <f t="shared" si="49"/>
        <v>9.3970074389161662E-3</v>
      </c>
      <c r="AE41" s="19">
        <f t="shared" si="49"/>
        <v>0</v>
      </c>
      <c r="AF41" s="19">
        <f t="shared" si="49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tabSelected="1"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263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620"/>
  <sheetViews>
    <sheetView workbookViewId="0">
      <selection activeCell="I32" sqref="I32"/>
    </sheetView>
  </sheetViews>
  <sheetFormatPr defaultRowHeight="15" x14ac:dyDescent="0.25"/>
  <sheetData>
    <row r="1" spans="1:11" x14ac:dyDescent="0.25">
      <c r="A1" s="401" t="s">
        <v>236</v>
      </c>
      <c r="B1" s="426"/>
      <c r="C1" s="426"/>
      <c r="D1" s="426"/>
      <c r="E1" s="426"/>
      <c r="F1" s="426"/>
      <c r="G1" s="426"/>
      <c r="H1" s="426" t="s">
        <v>237</v>
      </c>
      <c r="I1" s="426"/>
      <c r="J1" s="426"/>
      <c r="K1" s="426"/>
    </row>
    <row r="2" spans="1:11" x14ac:dyDescent="0.25">
      <c r="A2" s="426">
        <v>1</v>
      </c>
      <c r="B2" s="426" t="s">
        <v>238</v>
      </c>
      <c r="C2" s="426"/>
      <c r="D2" s="426"/>
      <c r="E2" s="426"/>
      <c r="F2" s="426"/>
      <c r="G2" s="426"/>
      <c r="H2" s="426"/>
      <c r="I2" s="426"/>
      <c r="J2" s="426"/>
      <c r="K2" s="426"/>
    </row>
    <row r="3" spans="1:11" x14ac:dyDescent="0.25">
      <c r="A3" s="426">
        <v>2</v>
      </c>
      <c r="B3" s="426" t="s">
        <v>239</v>
      </c>
      <c r="C3" s="426"/>
      <c r="D3" s="426"/>
      <c r="E3" s="426"/>
      <c r="F3" s="426"/>
      <c r="G3" s="426"/>
      <c r="H3" s="426"/>
      <c r="I3" s="426"/>
      <c r="J3" s="426"/>
      <c r="K3" s="426"/>
    </row>
    <row r="4" spans="1:11" x14ac:dyDescent="0.25">
      <c r="A4" s="426">
        <v>3</v>
      </c>
      <c r="B4" s="426" t="s">
        <v>240</v>
      </c>
      <c r="C4" s="426"/>
      <c r="D4" s="426"/>
      <c r="E4" s="426"/>
      <c r="F4" s="426"/>
      <c r="G4" s="426"/>
      <c r="H4" s="426"/>
      <c r="I4" s="426"/>
      <c r="J4" s="426"/>
      <c r="K4" s="426"/>
    </row>
    <row r="5" spans="1:11" x14ac:dyDescent="0.25">
      <c r="A5" s="426">
        <v>4</v>
      </c>
      <c r="B5" s="426" t="s">
        <v>241</v>
      </c>
      <c r="C5" s="426"/>
      <c r="D5" s="426"/>
      <c r="E5" s="426"/>
      <c r="F5" s="426"/>
      <c r="G5" s="426"/>
      <c r="H5" s="426"/>
      <c r="I5" s="426"/>
      <c r="J5" s="426"/>
      <c r="K5" s="426"/>
    </row>
    <row r="8" spans="1:11" x14ac:dyDescent="0.25">
      <c r="B8" t="s">
        <v>242</v>
      </c>
      <c r="C8" t="s">
        <v>243</v>
      </c>
      <c r="D8" t="s">
        <v>244</v>
      </c>
      <c r="E8" t="s">
        <v>245</v>
      </c>
      <c r="F8" t="s">
        <v>246</v>
      </c>
      <c r="G8" t="s">
        <v>247</v>
      </c>
      <c r="H8" t="s">
        <v>248</v>
      </c>
    </row>
    <row r="9" spans="1:11" x14ac:dyDescent="0.25">
      <c r="A9" t="s">
        <v>249</v>
      </c>
      <c r="B9" t="s">
        <v>250</v>
      </c>
      <c r="C9" t="s">
        <v>251</v>
      </c>
      <c r="D9" t="s">
        <v>252</v>
      </c>
      <c r="E9">
        <v>4</v>
      </c>
      <c r="F9" s="442">
        <v>0.48607638888888888</v>
      </c>
      <c r="G9" t="s">
        <v>253</v>
      </c>
      <c r="H9">
        <v>24</v>
      </c>
      <c r="I9" t="s">
        <v>254</v>
      </c>
      <c r="J9">
        <v>12</v>
      </c>
    </row>
    <row r="10" spans="1:11" x14ac:dyDescent="0.25">
      <c r="A10" t="s">
        <v>255</v>
      </c>
    </row>
    <row r="11" spans="1:11" x14ac:dyDescent="0.25">
      <c r="B11">
        <v>1</v>
      </c>
      <c r="C11" t="s">
        <v>54</v>
      </c>
      <c r="D11" t="s">
        <v>256</v>
      </c>
      <c r="E11">
        <v>1</v>
      </c>
      <c r="F11">
        <v>0</v>
      </c>
    </row>
    <row r="12" spans="1:11" x14ac:dyDescent="0.25">
      <c r="B12">
        <v>2</v>
      </c>
      <c r="C12" t="s">
        <v>57</v>
      </c>
      <c r="D12" t="s">
        <v>257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60</v>
      </c>
      <c r="D13" t="s">
        <v>257</v>
      </c>
      <c r="E13" s="443">
        <v>7.0220312730799997E-2</v>
      </c>
      <c r="F13">
        <v>0.25869937796300002</v>
      </c>
    </row>
    <row r="14" spans="1:11" x14ac:dyDescent="0.25">
      <c r="B14">
        <v>4</v>
      </c>
      <c r="C14" t="s">
        <v>63</v>
      </c>
      <c r="D14" t="s">
        <v>257</v>
      </c>
      <c r="E14" s="443">
        <v>-3.3904088920700001E-2</v>
      </c>
      <c r="F14">
        <v>0.29717527652300002</v>
      </c>
    </row>
    <row r="15" spans="1:11" x14ac:dyDescent="0.25">
      <c r="B15">
        <v>5</v>
      </c>
      <c r="C15" t="s">
        <v>66</v>
      </c>
      <c r="D15" t="s">
        <v>257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68</v>
      </c>
      <c r="D16" t="s">
        <v>257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70</v>
      </c>
      <c r="D17" t="s">
        <v>257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73</v>
      </c>
      <c r="D18" t="s">
        <v>257</v>
      </c>
      <c r="E18">
        <v>1.39963442933</v>
      </c>
      <c r="F18">
        <v>0.219287303381</v>
      </c>
    </row>
    <row r="19" spans="2:6" x14ac:dyDescent="0.25">
      <c r="B19">
        <v>9</v>
      </c>
      <c r="C19" t="s">
        <v>75</v>
      </c>
      <c r="D19" t="s">
        <v>257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77</v>
      </c>
      <c r="D20" t="s">
        <v>257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79</v>
      </c>
      <c r="D21" t="s">
        <v>257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81</v>
      </c>
      <c r="D22" t="s">
        <v>257</v>
      </c>
      <c r="E22">
        <v>-0.913115187153</v>
      </c>
      <c r="F22">
        <v>0.28732544144</v>
      </c>
    </row>
    <row r="23" spans="2:6" x14ac:dyDescent="0.25">
      <c r="B23">
        <v>13</v>
      </c>
      <c r="C23" t="s">
        <v>83</v>
      </c>
      <c r="D23" t="s">
        <v>257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85</v>
      </c>
      <c r="D24" t="s">
        <v>257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87</v>
      </c>
      <c r="D25" t="s">
        <v>257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89</v>
      </c>
      <c r="D26" t="s">
        <v>257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92</v>
      </c>
      <c r="D27" t="s">
        <v>256</v>
      </c>
      <c r="E27">
        <v>0</v>
      </c>
      <c r="F27">
        <v>0</v>
      </c>
    </row>
    <row r="28" spans="2:6" x14ac:dyDescent="0.25">
      <c r="B28">
        <v>18</v>
      </c>
      <c r="C28" t="s">
        <v>95</v>
      </c>
      <c r="D28" t="s">
        <v>256</v>
      </c>
      <c r="E28">
        <v>0</v>
      </c>
      <c r="F28">
        <v>0</v>
      </c>
    </row>
    <row r="29" spans="2:6" x14ac:dyDescent="0.25">
      <c r="B29">
        <v>19</v>
      </c>
      <c r="C29" t="s">
        <v>98</v>
      </c>
      <c r="D29" t="s">
        <v>256</v>
      </c>
      <c r="E29">
        <v>0</v>
      </c>
      <c r="F29">
        <v>0</v>
      </c>
    </row>
    <row r="30" spans="2:6" x14ac:dyDescent="0.25">
      <c r="B30">
        <v>20</v>
      </c>
      <c r="C30" t="s">
        <v>101</v>
      </c>
      <c r="D30" t="s">
        <v>257</v>
      </c>
      <c r="E30">
        <v>0.55927220197000005</v>
      </c>
      <c r="F30" s="443">
        <v>6.3070773371999997E-2</v>
      </c>
    </row>
    <row r="31" spans="2:6" x14ac:dyDescent="0.25">
      <c r="B31">
        <v>21</v>
      </c>
      <c r="C31" t="s">
        <v>103</v>
      </c>
      <c r="D31" t="s">
        <v>257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105</v>
      </c>
      <c r="D32" t="s">
        <v>257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107</v>
      </c>
      <c r="D33" t="s">
        <v>257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258</v>
      </c>
      <c r="D34" t="s">
        <v>257</v>
      </c>
      <c r="E34">
        <v>-1.4293629385</v>
      </c>
      <c r="F34">
        <v>0</v>
      </c>
    </row>
    <row r="35" spans="2:6" x14ac:dyDescent="0.25">
      <c r="B35">
        <v>24</v>
      </c>
      <c r="C35" t="s">
        <v>109</v>
      </c>
      <c r="D35" t="s">
        <v>257</v>
      </c>
      <c r="E35">
        <v>0.21220129380800001</v>
      </c>
      <c r="F35" s="443">
        <v>2.3591368768600001E-2</v>
      </c>
    </row>
    <row r="36" spans="2:6" x14ac:dyDescent="0.25">
      <c r="B36">
        <v>25</v>
      </c>
      <c r="C36" t="s">
        <v>112</v>
      </c>
      <c r="D36" t="s">
        <v>257</v>
      </c>
      <c r="E36">
        <v>-0.156772126135</v>
      </c>
      <c r="F36" s="443">
        <v>2.5404206972699999E-2</v>
      </c>
    </row>
    <row r="37" spans="2:6" x14ac:dyDescent="0.25">
      <c r="B37">
        <v>26</v>
      </c>
      <c r="C37" t="s">
        <v>114</v>
      </c>
      <c r="D37" t="s">
        <v>257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115</v>
      </c>
      <c r="D38" t="s">
        <v>257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117</v>
      </c>
      <c r="D39" t="s">
        <v>257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118</v>
      </c>
      <c r="D40" t="s">
        <v>257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119</v>
      </c>
      <c r="D41" t="s">
        <v>257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121</v>
      </c>
      <c r="D42" t="s">
        <v>257</v>
      </c>
      <c r="E42">
        <v>0.161916660248</v>
      </c>
      <c r="F42" s="443">
        <v>2.4598246513100001E-2</v>
      </c>
    </row>
    <row r="43" spans="2:6" x14ac:dyDescent="0.25">
      <c r="B43">
        <v>32</v>
      </c>
      <c r="C43" t="s">
        <v>123</v>
      </c>
      <c r="D43" t="s">
        <v>257</v>
      </c>
      <c r="E43">
        <v>-0.164548260329</v>
      </c>
      <c r="F43" s="443">
        <v>3.0497321424399999E-2</v>
      </c>
    </row>
    <row r="44" spans="2:6" x14ac:dyDescent="0.25">
      <c r="B44">
        <v>33</v>
      </c>
      <c r="C44" t="s">
        <v>125</v>
      </c>
      <c r="D44" t="s">
        <v>257</v>
      </c>
      <c r="E44">
        <v>0.20498917376299999</v>
      </c>
      <c r="F44" s="443">
        <v>2.26070286041E-2</v>
      </c>
    </row>
    <row r="45" spans="2:6" x14ac:dyDescent="0.25">
      <c r="B45">
        <v>34</v>
      </c>
      <c r="C45" t="s">
        <v>127</v>
      </c>
      <c r="D45" t="s">
        <v>257</v>
      </c>
      <c r="E45">
        <v>-0.128001396233</v>
      </c>
      <c r="F45" s="443">
        <v>2.71057179313E-2</v>
      </c>
    </row>
    <row r="46" spans="2:6" x14ac:dyDescent="0.25">
      <c r="B46">
        <v>35</v>
      </c>
      <c r="C46" t="s">
        <v>130</v>
      </c>
      <c r="D46" t="s">
        <v>257</v>
      </c>
      <c r="E46" s="443">
        <v>6.1170505754699997E-2</v>
      </c>
      <c r="F46" s="443">
        <v>1.6417141522400001E-2</v>
      </c>
    </row>
    <row r="47" spans="2:6" x14ac:dyDescent="0.25">
      <c r="B47">
        <v>36</v>
      </c>
      <c r="C47" t="s">
        <v>132</v>
      </c>
      <c r="D47" t="s">
        <v>257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133</v>
      </c>
      <c r="D48" t="s">
        <v>257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135</v>
      </c>
      <c r="D49" t="s">
        <v>257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136</v>
      </c>
      <c r="D50" t="s">
        <v>257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137</v>
      </c>
      <c r="D51" t="s">
        <v>257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138</v>
      </c>
      <c r="D52" t="s">
        <v>257</v>
      </c>
      <c r="E52">
        <v>-0.149205194047</v>
      </c>
      <c r="F52" s="443">
        <v>2.2183697722899999E-2</v>
      </c>
    </row>
    <row r="53" spans="2:6" x14ac:dyDescent="0.25">
      <c r="B53">
        <v>42</v>
      </c>
      <c r="C53" t="s">
        <v>140</v>
      </c>
      <c r="D53" t="s">
        <v>257</v>
      </c>
      <c r="E53">
        <v>0.517393579278</v>
      </c>
      <c r="F53" s="443">
        <v>3.32158540558E-2</v>
      </c>
    </row>
    <row r="54" spans="2:6" x14ac:dyDescent="0.25">
      <c r="B54">
        <v>43</v>
      </c>
      <c r="C54" t="s">
        <v>142</v>
      </c>
      <c r="D54" t="s">
        <v>257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143</v>
      </c>
      <c r="D55" t="s">
        <v>257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145</v>
      </c>
      <c r="D56" t="s">
        <v>257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147</v>
      </c>
      <c r="D57" t="s">
        <v>257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149</v>
      </c>
      <c r="D58" t="s">
        <v>257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152</v>
      </c>
      <c r="D59" t="s">
        <v>257</v>
      </c>
      <c r="E59">
        <v>0.16683062839400001</v>
      </c>
      <c r="F59" s="443">
        <v>3.6092162993199998E-2</v>
      </c>
    </row>
    <row r="60" spans="2:6" x14ac:dyDescent="0.25">
      <c r="B60">
        <v>49</v>
      </c>
      <c r="C60" t="s">
        <v>154</v>
      </c>
      <c r="D60" t="s">
        <v>257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155</v>
      </c>
      <c r="D61" t="s">
        <v>257</v>
      </c>
      <c r="E61">
        <v>-10.275631588</v>
      </c>
      <c r="F61">
        <v>2.32184701625</v>
      </c>
    </row>
    <row r="62" spans="2:6" x14ac:dyDescent="0.25">
      <c r="B62">
        <v>51</v>
      </c>
      <c r="C62" t="s">
        <v>156</v>
      </c>
      <c r="D62" t="s">
        <v>257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157</v>
      </c>
      <c r="D63" t="s">
        <v>257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158</v>
      </c>
      <c r="D64" t="s">
        <v>257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159</v>
      </c>
      <c r="D65" t="s">
        <v>257</v>
      </c>
      <c r="E65">
        <v>0.21306405683599999</v>
      </c>
      <c r="F65" s="443">
        <v>4.0484886653700002E-2</v>
      </c>
    </row>
    <row r="66" spans="2:6" x14ac:dyDescent="0.25">
      <c r="B66">
        <v>55</v>
      </c>
      <c r="C66" t="s">
        <v>161</v>
      </c>
      <c r="D66" t="s">
        <v>257</v>
      </c>
      <c r="E66">
        <v>0.49322187999099998</v>
      </c>
      <c r="F66" s="443">
        <v>4.4144582285800003E-2</v>
      </c>
    </row>
    <row r="67" spans="2:6" x14ac:dyDescent="0.25">
      <c r="B67">
        <v>56</v>
      </c>
      <c r="C67" t="s">
        <v>162</v>
      </c>
      <c r="D67" t="s">
        <v>257</v>
      </c>
      <c r="E67">
        <v>-0.81297460986500003</v>
      </c>
      <c r="F67" s="443">
        <v>4.4146608637300001E-2</v>
      </c>
    </row>
    <row r="68" spans="2:6" x14ac:dyDescent="0.25">
      <c r="B68">
        <v>57</v>
      </c>
      <c r="C68" t="s">
        <v>163</v>
      </c>
      <c r="D68" t="s">
        <v>257</v>
      </c>
      <c r="E68" s="443">
        <v>8.0759501397E-2</v>
      </c>
      <c r="F68" s="443">
        <v>2.06933444566E-2</v>
      </c>
    </row>
    <row r="69" spans="2:6" x14ac:dyDescent="0.25">
      <c r="B69">
        <v>70</v>
      </c>
      <c r="C69" t="s">
        <v>164</v>
      </c>
      <c r="D69" t="s">
        <v>257</v>
      </c>
      <c r="E69">
        <v>0.29053029913700001</v>
      </c>
      <c r="F69" s="443">
        <v>1.13080873111E-2</v>
      </c>
    </row>
    <row r="70" spans="2:6" x14ac:dyDescent="0.25">
      <c r="B70">
        <v>71</v>
      </c>
      <c r="C70" t="s">
        <v>165</v>
      </c>
      <c r="D70" t="s">
        <v>256</v>
      </c>
      <c r="E70">
        <v>0</v>
      </c>
      <c r="F70">
        <v>0</v>
      </c>
    </row>
    <row r="71" spans="2:6" x14ac:dyDescent="0.25">
      <c r="B71">
        <v>72</v>
      </c>
      <c r="C71" t="s">
        <v>167</v>
      </c>
      <c r="D71" t="s">
        <v>257</v>
      </c>
      <c r="E71">
        <v>-3.51218611463</v>
      </c>
      <c r="F71">
        <v>1.10016104602</v>
      </c>
    </row>
    <row r="72" spans="2:6" x14ac:dyDescent="0.25">
      <c r="B72">
        <v>73</v>
      </c>
      <c r="C72" t="s">
        <v>169</v>
      </c>
      <c r="D72" t="s">
        <v>257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171</v>
      </c>
      <c r="D73" t="s">
        <v>257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173</v>
      </c>
      <c r="D74" t="s">
        <v>257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175</v>
      </c>
      <c r="D75" t="s">
        <v>257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177</v>
      </c>
      <c r="D76" t="s">
        <v>257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179</v>
      </c>
      <c r="D77" t="s">
        <v>257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181</v>
      </c>
      <c r="D78" t="s">
        <v>257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183</v>
      </c>
      <c r="D79" t="s">
        <v>257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185</v>
      </c>
      <c r="D80" t="s">
        <v>257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187</v>
      </c>
      <c r="D81" t="s">
        <v>257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188</v>
      </c>
      <c r="D82" t="s">
        <v>257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190</v>
      </c>
      <c r="D83" t="s">
        <v>257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192</v>
      </c>
      <c r="D84" t="s">
        <v>257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194</v>
      </c>
      <c r="D85" t="s">
        <v>257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196</v>
      </c>
      <c r="D86" t="s">
        <v>257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198</v>
      </c>
      <c r="D87" t="s">
        <v>256</v>
      </c>
      <c r="E87">
        <v>0</v>
      </c>
      <c r="F87">
        <v>0</v>
      </c>
    </row>
    <row r="88" spans="2:6" x14ac:dyDescent="0.25">
      <c r="B88">
        <v>89</v>
      </c>
      <c r="C88" t="s">
        <v>200</v>
      </c>
      <c r="D88" t="s">
        <v>257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202</v>
      </c>
      <c r="D89" t="s">
        <v>257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204</v>
      </c>
      <c r="D90" t="s">
        <v>257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206</v>
      </c>
      <c r="D91" t="s">
        <v>257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208</v>
      </c>
      <c r="D92" t="s">
        <v>257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210</v>
      </c>
      <c r="D93" t="s">
        <v>256</v>
      </c>
      <c r="E93">
        <v>0</v>
      </c>
      <c r="F93">
        <v>0</v>
      </c>
    </row>
    <row r="94" spans="2:6" x14ac:dyDescent="0.25">
      <c r="B94">
        <v>95</v>
      </c>
      <c r="C94" t="s">
        <v>212</v>
      </c>
      <c r="D94" t="s">
        <v>257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214</v>
      </c>
      <c r="D95" t="s">
        <v>257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216</v>
      </c>
      <c r="D96" t="s">
        <v>257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218</v>
      </c>
      <c r="D97" t="s">
        <v>257</v>
      </c>
      <c r="E97">
        <v>-10.7755348742</v>
      </c>
      <c r="F97">
        <v>1.10642531916</v>
      </c>
    </row>
    <row r="98" spans="2:6" x14ac:dyDescent="0.25">
      <c r="B98">
        <v>99</v>
      </c>
      <c r="C98" t="s">
        <v>219</v>
      </c>
      <c r="D98" t="s">
        <v>257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220</v>
      </c>
      <c r="D99" t="s">
        <v>256</v>
      </c>
      <c r="E99">
        <v>0</v>
      </c>
      <c r="F99">
        <v>0</v>
      </c>
    </row>
    <row r="100" spans="2:6" x14ac:dyDescent="0.25">
      <c r="B100">
        <v>101</v>
      </c>
      <c r="C100" t="s">
        <v>221</v>
      </c>
      <c r="D100" t="s">
        <v>257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222</v>
      </c>
      <c r="D101" t="s">
        <v>256</v>
      </c>
      <c r="E101">
        <v>0</v>
      </c>
      <c r="F101">
        <v>0</v>
      </c>
    </row>
    <row r="102" spans="2:6" x14ac:dyDescent="0.25">
      <c r="B102">
        <v>103</v>
      </c>
      <c r="C102" t="s">
        <v>223</v>
      </c>
      <c r="D102" t="s">
        <v>257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224</v>
      </c>
      <c r="D103" t="s">
        <v>257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225</v>
      </c>
      <c r="D104" t="s">
        <v>257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226</v>
      </c>
      <c r="D105" t="s">
        <v>257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227</v>
      </c>
      <c r="D106" t="s">
        <v>257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229</v>
      </c>
      <c r="D107" t="s">
        <v>257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230</v>
      </c>
      <c r="D108" t="s">
        <v>257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231</v>
      </c>
      <c r="D109" t="s">
        <v>257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232</v>
      </c>
      <c r="D110" t="s">
        <v>256</v>
      </c>
      <c r="E110">
        <v>0</v>
      </c>
      <c r="F110">
        <v>0</v>
      </c>
    </row>
    <row r="111" spans="2:6" x14ac:dyDescent="0.25">
      <c r="B111">
        <v>112</v>
      </c>
      <c r="C111" t="s">
        <v>233</v>
      </c>
      <c r="D111" t="s">
        <v>256</v>
      </c>
      <c r="E111">
        <v>0</v>
      </c>
      <c r="F111">
        <v>0</v>
      </c>
    </row>
    <row r="112" spans="2:6" x14ac:dyDescent="0.25">
      <c r="B112">
        <v>113</v>
      </c>
      <c r="C112" t="s">
        <v>235</v>
      </c>
      <c r="D112" t="s">
        <v>257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43">
        <v>-7713.1262757699997</v>
      </c>
      <c r="D114" s="443">
        <v>-24166.840237699998</v>
      </c>
      <c r="E114" s="443">
        <v>-15453.864181499999</v>
      </c>
    </row>
    <row r="115" spans="1:11" x14ac:dyDescent="0.25">
      <c r="B115">
        <v>5</v>
      </c>
      <c r="C115" t="s">
        <v>259</v>
      </c>
      <c r="D115" t="s">
        <v>253</v>
      </c>
      <c r="E115">
        <v>24</v>
      </c>
      <c r="F115" t="s">
        <v>254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3"/>
  <sheetViews>
    <sheetView topLeftCell="A7" workbookViewId="0">
      <selection activeCell="F17" sqref="F17"/>
    </sheetView>
  </sheetViews>
  <sheetFormatPr defaultRowHeight="15" x14ac:dyDescent="0.25"/>
  <cols>
    <col min="1" max="1" width="12.7109375" style="400" bestFit="1" customWidth="1" collapsed="1"/>
    <col min="2" max="2" width="18.85546875" style="399" customWidth="1" collapsed="1"/>
    <col min="3" max="3" width="6.7109375" style="400" customWidth="1" collapsed="1"/>
    <col min="4" max="4" width="12.7109375" style="400" customWidth="1" collapsed="1"/>
    <col min="5" max="5" width="18.85546875" style="399" customWidth="1" collapsed="1"/>
    <col min="6" max="8" width="9.140625" style="400" collapsed="1"/>
    <col min="9" max="9" width="13" style="400" customWidth="1" collapsed="1"/>
    <col min="10" max="10" width="19.5703125" style="402" bestFit="1" customWidth="1" collapsed="1"/>
    <col min="11" max="11" width="19.5703125" style="441" customWidth="1" collapsed="1"/>
    <col min="12" max="12" width="92.42578125" style="400" customWidth="1" collapsed="1"/>
    <col min="13" max="16384" width="9.140625" style="400" collapsed="1"/>
  </cols>
  <sheetData>
    <row r="1" spans="1:17" x14ac:dyDescent="0.25">
      <c r="A1" s="10" t="s">
        <v>47</v>
      </c>
      <c r="D1" s="10" t="s">
        <v>48</v>
      </c>
      <c r="H1" s="401" t="s">
        <v>49</v>
      </c>
      <c r="N1" s="401"/>
    </row>
    <row r="2" spans="1:17" ht="15.75" thickBot="1" x14ac:dyDescent="0.3">
      <c r="A2" s="401" t="s">
        <v>50</v>
      </c>
      <c r="J2" s="402" t="s">
        <v>51</v>
      </c>
      <c r="K2" s="441" t="s">
        <v>52</v>
      </c>
      <c r="P2" s="403"/>
      <c r="Q2" s="403"/>
    </row>
    <row r="3" spans="1:17" x14ac:dyDescent="0.25">
      <c r="A3" s="404" t="s">
        <v>3</v>
      </c>
      <c r="B3" s="405" t="s">
        <v>53</v>
      </c>
      <c r="D3" s="404" t="s">
        <v>3</v>
      </c>
      <c r="E3" s="405" t="s">
        <v>53</v>
      </c>
      <c r="F3" s="406"/>
      <c r="H3" s="400">
        <v>1</v>
      </c>
      <c r="I3" s="400" t="s">
        <v>54</v>
      </c>
      <c r="J3" s="402">
        <f>OtherTourDestination!E11</f>
        <v>1</v>
      </c>
      <c r="K3" s="444">
        <f>J3</f>
        <v>1</v>
      </c>
      <c r="L3" s="400" t="s">
        <v>55</v>
      </c>
    </row>
    <row r="4" spans="1:17" x14ac:dyDescent="0.25">
      <c r="A4" s="407" t="s">
        <v>56</v>
      </c>
      <c r="B4" s="408">
        <f>TLFD!B11</f>
        <v>78646.474900000001</v>
      </c>
      <c r="D4" s="407" t="s">
        <v>56</v>
      </c>
      <c r="E4" s="408">
        <f>TLFD!F11</f>
        <v>64596</v>
      </c>
      <c r="F4" s="409"/>
      <c r="H4" s="400">
        <v>2</v>
      </c>
      <c r="I4" s="400" t="s">
        <v>57</v>
      </c>
      <c r="J4" s="402">
        <f>OtherTourDestination!E12</f>
        <v>13.7073027249</v>
      </c>
      <c r="K4" s="444">
        <f t="shared" ref="K4:K67" si="0">J4</f>
        <v>13.7073027249</v>
      </c>
      <c r="L4" s="400" t="s">
        <v>58</v>
      </c>
    </row>
    <row r="5" spans="1:17" x14ac:dyDescent="0.25">
      <c r="A5" s="410" t="s">
        <v>59</v>
      </c>
      <c r="B5" s="411">
        <f>TLFD!B12+TLFD!B13+(TLFD!B14/2)</f>
        <v>180580.79754999996</v>
      </c>
      <c r="D5" s="410" t="s">
        <v>59</v>
      </c>
      <c r="E5" s="411">
        <f>TLFD!F12+TLFD!F13+(TLFD!F14/2)</f>
        <v>84219</v>
      </c>
      <c r="F5" s="409"/>
      <c r="H5" s="400">
        <v>3</v>
      </c>
      <c r="I5" s="400" t="s">
        <v>60</v>
      </c>
      <c r="J5" s="402">
        <f>OtherTourDestination!E13</f>
        <v>7.0220312730799997E-2</v>
      </c>
      <c r="K5" s="444">
        <f t="shared" si="0"/>
        <v>7.0220312730799997E-2</v>
      </c>
      <c r="L5" s="400" t="s">
        <v>61</v>
      </c>
    </row>
    <row r="6" spans="1:17" x14ac:dyDescent="0.25">
      <c r="A6" s="410" t="s">
        <v>62</v>
      </c>
      <c r="B6" s="411">
        <f>(TLFD!B14/2)+SUM(TLFD!B15:B20)</f>
        <v>155932.19205000001</v>
      </c>
      <c r="D6" s="410" t="s">
        <v>62</v>
      </c>
      <c r="E6" s="411">
        <f>(TLFD!F14/2)+SUM(TLFD!F15:F20)</f>
        <v>241906</v>
      </c>
      <c r="F6" s="412"/>
      <c r="H6" s="400">
        <v>4</v>
      </c>
      <c r="I6" s="400" t="s">
        <v>63</v>
      </c>
      <c r="J6" s="402">
        <f>OtherTourDestination!E14</f>
        <v>-3.3904088920700001E-2</v>
      </c>
      <c r="K6" s="444">
        <f t="shared" si="0"/>
        <v>-3.3904088920700001E-2</v>
      </c>
      <c r="L6" s="400" t="s">
        <v>64</v>
      </c>
    </row>
    <row r="7" spans="1:17" x14ac:dyDescent="0.25">
      <c r="A7" s="413" t="s">
        <v>65</v>
      </c>
      <c r="B7" s="414">
        <f>SUM(TLFD!B21:B101)</f>
        <v>102358.28030000001</v>
      </c>
      <c r="D7" s="413" t="s">
        <v>65</v>
      </c>
      <c r="E7" s="414">
        <f>SUM(TLFD!F21:F101)</f>
        <v>139600</v>
      </c>
      <c r="F7" s="415"/>
      <c r="H7" s="400">
        <v>5</v>
      </c>
      <c r="I7" s="400" t="s">
        <v>66</v>
      </c>
      <c r="J7" s="402">
        <f>OtherTourDestination!E15</f>
        <v>0.14394271350499999</v>
      </c>
      <c r="K7" s="444">
        <f t="shared" si="0"/>
        <v>0.14394271350499999</v>
      </c>
      <c r="L7" s="400" t="s">
        <v>67</v>
      </c>
    </row>
    <row r="8" spans="1:17" ht="15.75" thickBot="1" x14ac:dyDescent="0.3">
      <c r="A8" s="416" t="s">
        <v>4</v>
      </c>
      <c r="B8" s="417">
        <f>SUM(B4:B7)</f>
        <v>517517.74479999999</v>
      </c>
      <c r="C8" s="418"/>
      <c r="D8" s="416" t="s">
        <v>4</v>
      </c>
      <c r="E8" s="417">
        <f>SUM(E4:E7)</f>
        <v>530321</v>
      </c>
      <c r="H8" s="400">
        <v>6</v>
      </c>
      <c r="I8" s="400" t="s">
        <v>68</v>
      </c>
      <c r="J8" s="402">
        <f>OtherTourDestination!E16</f>
        <v>0.36721258210199997</v>
      </c>
      <c r="K8" s="444">
        <f t="shared" si="0"/>
        <v>0.36721258210199997</v>
      </c>
      <c r="L8" s="400" t="s">
        <v>69</v>
      </c>
    </row>
    <row r="9" spans="1:17" x14ac:dyDescent="0.25">
      <c r="H9" s="400">
        <v>7</v>
      </c>
      <c r="I9" s="400" t="s">
        <v>70</v>
      </c>
      <c r="J9" s="402">
        <f>OtherTourDestination!E17</f>
        <v>-1.7918460355300001</v>
      </c>
      <c r="K9" s="444">
        <f t="shared" si="0"/>
        <v>-1.7918460355300001</v>
      </c>
      <c r="L9" s="400" t="s">
        <v>71</v>
      </c>
    </row>
    <row r="10" spans="1:17" ht="15.75" thickBot="1" x14ac:dyDescent="0.3">
      <c r="A10" s="419" t="s">
        <v>72</v>
      </c>
      <c r="F10" s="406"/>
      <c r="H10" s="400">
        <v>8</v>
      </c>
      <c r="I10" s="400" t="s">
        <v>73</v>
      </c>
      <c r="J10" s="402">
        <f>OtherTourDestination!E18</f>
        <v>1.39963442933</v>
      </c>
      <c r="K10" s="444">
        <f t="shared" si="0"/>
        <v>1.39963442933</v>
      </c>
      <c r="L10" s="400" t="s">
        <v>74</v>
      </c>
    </row>
    <row r="11" spans="1:17" x14ac:dyDescent="0.25">
      <c r="A11" s="404" t="s">
        <v>3</v>
      </c>
      <c r="B11" s="405" t="s">
        <v>53</v>
      </c>
      <c r="D11" s="404" t="s">
        <v>3</v>
      </c>
      <c r="E11" s="405" t="s">
        <v>53</v>
      </c>
      <c r="F11" s="420"/>
      <c r="H11" s="400">
        <v>9</v>
      </c>
      <c r="I11" s="400" t="s">
        <v>75</v>
      </c>
      <c r="J11" s="402">
        <f>OtherTourDestination!E19</f>
        <v>0.66317866364400002</v>
      </c>
      <c r="K11" s="444">
        <f t="shared" si="0"/>
        <v>0.66317866364400002</v>
      </c>
      <c r="L11" s="400" t="s">
        <v>76</v>
      </c>
    </row>
    <row r="12" spans="1:17" x14ac:dyDescent="0.25">
      <c r="A12" s="407" t="s">
        <v>56</v>
      </c>
      <c r="B12" s="421">
        <f>B4/B$8</f>
        <v>0.15196865361668657</v>
      </c>
      <c r="D12" s="407" t="s">
        <v>56</v>
      </c>
      <c r="E12" s="421">
        <f>E4/E$8</f>
        <v>0.12180547253455926</v>
      </c>
      <c r="F12" s="420"/>
      <c r="H12" s="400">
        <v>10</v>
      </c>
      <c r="I12" s="400" t="s">
        <v>77</v>
      </c>
      <c r="J12" s="402">
        <f>OtherTourDestination!E20</f>
        <v>-0.38108886824999999</v>
      </c>
      <c r="K12" s="444">
        <f t="shared" si="0"/>
        <v>-0.38108886824999999</v>
      </c>
      <c r="L12" s="400" t="s">
        <v>78</v>
      </c>
    </row>
    <row r="13" spans="1:17" x14ac:dyDescent="0.25">
      <c r="A13" s="410" t="s">
        <v>59</v>
      </c>
      <c r="B13" s="422">
        <f t="shared" ref="B13:B16" si="1">B5/B$8</f>
        <v>0.3489364362178291</v>
      </c>
      <c r="D13" s="410" t="s">
        <v>59</v>
      </c>
      <c r="E13" s="422">
        <f t="shared" ref="E13:E16" si="2">E5/E$8</f>
        <v>0.15880759011994622</v>
      </c>
      <c r="F13" s="420"/>
      <c r="H13" s="400">
        <v>11</v>
      </c>
      <c r="I13" s="400" t="s">
        <v>79</v>
      </c>
      <c r="J13" s="402">
        <f>OtherTourDestination!E21</f>
        <v>-0.73323034645999996</v>
      </c>
      <c r="K13" s="444">
        <f t="shared" si="0"/>
        <v>-0.73323034645999996</v>
      </c>
      <c r="L13" s="400" t="s">
        <v>80</v>
      </c>
    </row>
    <row r="14" spans="1:17" x14ac:dyDescent="0.25">
      <c r="A14" s="410" t="s">
        <v>62</v>
      </c>
      <c r="B14" s="422">
        <f t="shared" si="1"/>
        <v>0.30130791381899685</v>
      </c>
      <c r="D14" s="410" t="s">
        <v>62</v>
      </c>
      <c r="E14" s="422">
        <f t="shared" si="2"/>
        <v>0.45615014302658202</v>
      </c>
      <c r="F14" s="423"/>
      <c r="H14" s="400">
        <v>12</v>
      </c>
      <c r="I14" s="400" t="s">
        <v>81</v>
      </c>
      <c r="J14" s="402">
        <f>OtherTourDestination!E22</f>
        <v>-0.913115187153</v>
      </c>
      <c r="K14" s="444">
        <f t="shared" si="0"/>
        <v>-0.913115187153</v>
      </c>
      <c r="L14" s="400" t="s">
        <v>82</v>
      </c>
    </row>
    <row r="15" spans="1:17" x14ac:dyDescent="0.25">
      <c r="A15" s="413" t="s">
        <v>65</v>
      </c>
      <c r="B15" s="422">
        <f t="shared" si="1"/>
        <v>0.19778699634648744</v>
      </c>
      <c r="D15" s="413" t="s">
        <v>65</v>
      </c>
      <c r="E15" s="422">
        <f t="shared" si="2"/>
        <v>0.2632367943189125</v>
      </c>
      <c r="H15" s="400">
        <v>13</v>
      </c>
      <c r="I15" s="400" t="s">
        <v>83</v>
      </c>
      <c r="J15" s="402">
        <f>OtherTourDestination!E23</f>
        <v>-0.56168035354400003</v>
      </c>
      <c r="K15" s="444">
        <f t="shared" si="0"/>
        <v>-0.56168035354400003</v>
      </c>
      <c r="L15" s="400" t="s">
        <v>84</v>
      </c>
    </row>
    <row r="16" spans="1:17" ht="15.75" thickBot="1" x14ac:dyDescent="0.3">
      <c r="A16" s="416" t="s">
        <v>4</v>
      </c>
      <c r="B16" s="424">
        <f t="shared" si="1"/>
        <v>1</v>
      </c>
      <c r="C16" s="418"/>
      <c r="D16" s="416" t="s">
        <v>4</v>
      </c>
      <c r="E16" s="424">
        <f t="shared" si="2"/>
        <v>1</v>
      </c>
      <c r="H16" s="400">
        <v>14</v>
      </c>
      <c r="I16" s="400" t="s">
        <v>85</v>
      </c>
      <c r="J16" s="402">
        <f>OtherTourDestination!E24</f>
        <v>-0.30132725845199998</v>
      </c>
      <c r="K16" s="444">
        <f t="shared" si="0"/>
        <v>-0.30132725845199998</v>
      </c>
      <c r="L16" s="400" t="s">
        <v>86</v>
      </c>
    </row>
    <row r="17" spans="1:12" x14ac:dyDescent="0.25">
      <c r="H17" s="400">
        <v>15</v>
      </c>
      <c r="I17" s="400" t="s">
        <v>87</v>
      </c>
      <c r="J17" s="402">
        <f>OtherTourDestination!E25</f>
        <v>1.97893419319</v>
      </c>
      <c r="K17" s="444">
        <f t="shared" si="0"/>
        <v>1.97893419319</v>
      </c>
      <c r="L17" s="400" t="s">
        <v>88</v>
      </c>
    </row>
    <row r="18" spans="1:12" x14ac:dyDescent="0.25">
      <c r="H18" s="400">
        <v>16</v>
      </c>
      <c r="I18" s="400" t="s">
        <v>89</v>
      </c>
      <c r="J18" s="402">
        <f>OtherTourDestination!E26</f>
        <v>0.89286126056000004</v>
      </c>
      <c r="K18" s="444">
        <f t="shared" si="0"/>
        <v>0.89286126056000004</v>
      </c>
      <c r="L18" s="400" t="s">
        <v>90</v>
      </c>
    </row>
    <row r="19" spans="1:12" x14ac:dyDescent="0.25">
      <c r="A19" s="425" t="s">
        <v>91</v>
      </c>
      <c r="H19" s="400">
        <v>17</v>
      </c>
      <c r="I19" s="400" t="s">
        <v>92</v>
      </c>
      <c r="J19" s="402">
        <f>OtherTourDestination!E27</f>
        <v>0</v>
      </c>
      <c r="K19" s="444">
        <f t="shared" si="0"/>
        <v>0</v>
      </c>
      <c r="L19" s="400" t="s">
        <v>93</v>
      </c>
    </row>
    <row r="20" spans="1:12" x14ac:dyDescent="0.25">
      <c r="A20" s="425" t="s">
        <v>94</v>
      </c>
      <c r="H20" s="400">
        <v>18</v>
      </c>
      <c r="I20" s="400" t="s">
        <v>95</v>
      </c>
      <c r="J20" s="402">
        <f>OtherTourDestination!E28</f>
        <v>0</v>
      </c>
      <c r="K20" s="444">
        <f t="shared" si="0"/>
        <v>0</v>
      </c>
      <c r="L20" s="400" t="s">
        <v>96</v>
      </c>
    </row>
    <row r="21" spans="1:12" ht="15.75" thickBot="1" x14ac:dyDescent="0.3">
      <c r="A21" s="426"/>
      <c r="G21" s="400" t="s">
        <v>97</v>
      </c>
      <c r="H21" s="400">
        <v>19</v>
      </c>
      <c r="I21" s="400" t="s">
        <v>98</v>
      </c>
      <c r="J21" s="402">
        <f>OtherTourDestination!E29</f>
        <v>0</v>
      </c>
      <c r="K21" s="444">
        <f t="shared" si="0"/>
        <v>0</v>
      </c>
      <c r="L21" s="400" t="s">
        <v>99</v>
      </c>
    </row>
    <row r="22" spans="1:12" x14ac:dyDescent="0.25">
      <c r="A22" s="427" t="s">
        <v>100</v>
      </c>
      <c r="B22" s="428"/>
      <c r="G22" s="400" t="s">
        <v>97</v>
      </c>
      <c r="H22" s="400">
        <v>20</v>
      </c>
      <c r="I22" s="400" t="s">
        <v>101</v>
      </c>
      <c r="J22" s="402">
        <f>OtherTourDestination!E30</f>
        <v>0.55927220197000005</v>
      </c>
      <c r="K22" s="444">
        <f t="shared" si="0"/>
        <v>0.55927220197000005</v>
      </c>
      <c r="L22" s="429" t="s">
        <v>102</v>
      </c>
    </row>
    <row r="23" spans="1:12" x14ac:dyDescent="0.25">
      <c r="A23" s="407" t="s">
        <v>56</v>
      </c>
      <c r="B23" s="430">
        <f>J29</f>
        <v>0.78053827557199995</v>
      </c>
      <c r="G23" s="400" t="s">
        <v>97</v>
      </c>
      <c r="H23" s="400">
        <v>21</v>
      </c>
      <c r="I23" s="400" t="s">
        <v>103</v>
      </c>
      <c r="J23" s="402">
        <f>OtherTourDestination!E31</f>
        <v>-14.073533462</v>
      </c>
      <c r="K23" s="444">
        <f t="shared" si="0"/>
        <v>-14.073533462</v>
      </c>
      <c r="L23" s="400" t="s">
        <v>104</v>
      </c>
    </row>
    <row r="24" spans="1:12" x14ac:dyDescent="0.25">
      <c r="A24" s="410" t="s">
        <v>59</v>
      </c>
      <c r="B24" s="430">
        <f t="shared" ref="B24:B26" si="3">J30</f>
        <v>-12.632321361500001</v>
      </c>
      <c r="G24" s="400" t="s">
        <v>97</v>
      </c>
      <c r="H24" s="400">
        <v>22</v>
      </c>
      <c r="I24" s="400" t="s">
        <v>105</v>
      </c>
      <c r="J24" s="402">
        <f>OtherTourDestination!E32</f>
        <v>4.23561831E-2</v>
      </c>
      <c r="K24" s="444">
        <f t="shared" si="0"/>
        <v>4.23561831E-2</v>
      </c>
      <c r="L24" s="400" t="s">
        <v>106</v>
      </c>
    </row>
    <row r="25" spans="1:12" x14ac:dyDescent="0.25">
      <c r="A25" s="410" t="s">
        <v>62</v>
      </c>
      <c r="B25" s="430">
        <f t="shared" si="3"/>
        <v>-4.7373800512499997</v>
      </c>
      <c r="G25" s="400" t="s">
        <v>97</v>
      </c>
      <c r="H25" s="400">
        <v>23</v>
      </c>
      <c r="I25" s="400" t="s">
        <v>107</v>
      </c>
      <c r="J25" s="402">
        <f>OtherTourDestination!E33</f>
        <v>-2.9413698566000002</v>
      </c>
      <c r="K25" s="444">
        <f t="shared" si="0"/>
        <v>-2.9413698566000002</v>
      </c>
      <c r="L25" s="400" t="s">
        <v>108</v>
      </c>
    </row>
    <row r="26" spans="1:12" ht="15.75" thickBot="1" x14ac:dyDescent="0.3">
      <c r="A26" s="431" t="s">
        <v>65</v>
      </c>
      <c r="B26" s="432">
        <f t="shared" si="3"/>
        <v>-3.8495864337499999</v>
      </c>
      <c r="G26" s="400" t="s">
        <v>97</v>
      </c>
      <c r="H26" s="400">
        <v>24</v>
      </c>
      <c r="I26" s="400" t="s">
        <v>109</v>
      </c>
      <c r="J26" s="402">
        <f>OtherTourDestination!E34</f>
        <v>-1.4293629385</v>
      </c>
      <c r="K26" s="444">
        <f t="shared" si="0"/>
        <v>-1.4293629385</v>
      </c>
      <c r="L26" s="429" t="s">
        <v>110</v>
      </c>
    </row>
    <row r="27" spans="1:12" x14ac:dyDescent="0.25">
      <c r="A27" s="426"/>
      <c r="B27" s="433"/>
      <c r="G27" s="400" t="s">
        <v>111</v>
      </c>
      <c r="H27" s="400">
        <v>25</v>
      </c>
      <c r="I27" s="400" t="s">
        <v>112</v>
      </c>
      <c r="J27" s="402">
        <f>OtherTourDestination!E35</f>
        <v>0.21220129380800001</v>
      </c>
      <c r="K27" s="444">
        <f t="shared" si="0"/>
        <v>0.21220129380800001</v>
      </c>
      <c r="L27" s="429" t="s">
        <v>113</v>
      </c>
    </row>
    <row r="28" spans="1:12" x14ac:dyDescent="0.25">
      <c r="A28" s="426"/>
      <c r="B28" s="433"/>
      <c r="G28" s="400" t="s">
        <v>111</v>
      </c>
      <c r="H28" s="400">
        <v>26</v>
      </c>
      <c r="I28" s="400" t="s">
        <v>114</v>
      </c>
      <c r="J28" s="402">
        <f>OtherTourDestination!E36</f>
        <v>-0.156772126135</v>
      </c>
      <c r="K28" s="444">
        <f t="shared" si="0"/>
        <v>-0.156772126135</v>
      </c>
      <c r="L28" s="400" t="s">
        <v>102</v>
      </c>
    </row>
    <row r="29" spans="1:12" x14ac:dyDescent="0.25">
      <c r="A29" s="425" t="s">
        <v>91</v>
      </c>
      <c r="B29" s="434"/>
      <c r="G29" s="445" t="s">
        <v>111</v>
      </c>
      <c r="H29" s="445">
        <v>27</v>
      </c>
      <c r="I29" s="445" t="s">
        <v>115</v>
      </c>
      <c r="J29" s="446">
        <f>OtherTourDestination!E37</f>
        <v>0.78053827557199995</v>
      </c>
      <c r="K29" s="447">
        <f>B43</f>
        <v>0.78053827557199995</v>
      </c>
      <c r="L29" s="445" t="s">
        <v>104</v>
      </c>
    </row>
    <row r="30" spans="1:12" x14ac:dyDescent="0.25">
      <c r="A30" s="425" t="s">
        <v>116</v>
      </c>
      <c r="B30" s="434"/>
      <c r="G30" s="445" t="s">
        <v>111</v>
      </c>
      <c r="H30" s="445">
        <v>28</v>
      </c>
      <c r="I30" s="445" t="s">
        <v>117</v>
      </c>
      <c r="J30" s="446">
        <f>OtherTourDestination!E38</f>
        <v>-12.632321361500001</v>
      </c>
      <c r="K30" s="447">
        <f>B44</f>
        <v>-12.066373920071452</v>
      </c>
      <c r="L30" s="445" t="s">
        <v>106</v>
      </c>
    </row>
    <row r="31" spans="1:12" ht="15.75" thickBot="1" x14ac:dyDescent="0.3">
      <c r="A31" s="426"/>
      <c r="B31" s="433"/>
      <c r="G31" s="445" t="s">
        <v>111</v>
      </c>
      <c r="H31" s="445">
        <v>29</v>
      </c>
      <c r="I31" s="445" t="s">
        <v>118</v>
      </c>
      <c r="J31" s="446">
        <f>OtherTourDestination!E39</f>
        <v>-4.7373800512499997</v>
      </c>
      <c r="K31" s="447">
        <f>B45</f>
        <v>-6.160514774869287</v>
      </c>
      <c r="L31" s="445" t="s">
        <v>108</v>
      </c>
    </row>
    <row r="32" spans="1:12" x14ac:dyDescent="0.25">
      <c r="A32" s="427" t="s">
        <v>100</v>
      </c>
      <c r="B32" s="428"/>
      <c r="G32" s="445" t="s">
        <v>111</v>
      </c>
      <c r="H32" s="445">
        <v>30</v>
      </c>
      <c r="I32" s="445" t="s">
        <v>119</v>
      </c>
      <c r="J32" s="446">
        <f>OtherTourDestination!E40</f>
        <v>-3.8495864337499999</v>
      </c>
      <c r="K32" s="447">
        <f>B46</f>
        <v>-4.7292058575448426</v>
      </c>
      <c r="L32" s="445" t="s">
        <v>120</v>
      </c>
    </row>
    <row r="33" spans="1:12" x14ac:dyDescent="0.25">
      <c r="A33" s="407" t="s">
        <v>56</v>
      </c>
      <c r="B33" s="430">
        <f>LN(B12/E12)-LN(B12/E12)</f>
        <v>0</v>
      </c>
      <c r="G33" s="439" t="s">
        <v>111</v>
      </c>
      <c r="H33" s="439">
        <v>31</v>
      </c>
      <c r="I33" s="439" t="s">
        <v>121</v>
      </c>
      <c r="J33" s="402">
        <f>OtherTourDestination!E41</f>
        <v>-0.55196399758000003</v>
      </c>
      <c r="K33" s="444">
        <f t="shared" si="0"/>
        <v>-0.55196399758000003</v>
      </c>
      <c r="L33" s="429" t="s">
        <v>122</v>
      </c>
    </row>
    <row r="34" spans="1:12" x14ac:dyDescent="0.25">
      <c r="A34" s="410" t="s">
        <v>59</v>
      </c>
      <c r="B34" s="430">
        <f>LN(B13/E13)-LN(B12/E12)</f>
        <v>0.56594744142854903</v>
      </c>
      <c r="G34" s="400" t="s">
        <v>111</v>
      </c>
      <c r="H34" s="400">
        <v>32</v>
      </c>
      <c r="I34" s="400" t="s">
        <v>123</v>
      </c>
      <c r="J34" s="402">
        <f>OtherTourDestination!E42</f>
        <v>0.161916660248</v>
      </c>
      <c r="K34" s="444">
        <f t="shared" si="0"/>
        <v>0.161916660248</v>
      </c>
      <c r="L34" s="429" t="s">
        <v>124</v>
      </c>
    </row>
    <row r="35" spans="1:12" x14ac:dyDescent="0.25">
      <c r="A35" s="410" t="s">
        <v>62</v>
      </c>
      <c r="B35" s="430">
        <f>LN(B14/E14)-LN(B13/E13)-LN(B12/E12)</f>
        <v>-1.4231347236192875</v>
      </c>
      <c r="E35" s="435"/>
      <c r="G35" s="400" t="s">
        <v>111</v>
      </c>
      <c r="H35" s="400">
        <v>33</v>
      </c>
      <c r="I35" s="400" t="s">
        <v>125</v>
      </c>
      <c r="J35" s="402">
        <f>OtherTourDestination!E43</f>
        <v>-0.164548260329</v>
      </c>
      <c r="K35" s="444">
        <f t="shared" si="0"/>
        <v>-0.164548260329</v>
      </c>
      <c r="L35" s="429" t="s">
        <v>126</v>
      </c>
    </row>
    <row r="36" spans="1:12" ht="15.75" thickBot="1" x14ac:dyDescent="0.3">
      <c r="A36" s="431" t="s">
        <v>65</v>
      </c>
      <c r="B36" s="432">
        <f>LN(B15/E15)-LN(B14/E14)-LN(B13/E13)-LN(B12/E12)</f>
        <v>-0.87961942379484315</v>
      </c>
      <c r="E36" s="436"/>
      <c r="G36" s="400" t="s">
        <v>111</v>
      </c>
      <c r="H36" s="400">
        <v>34</v>
      </c>
      <c r="I36" s="400" t="s">
        <v>127</v>
      </c>
      <c r="J36" s="402">
        <f>OtherTourDestination!E44</f>
        <v>0.20498917376299999</v>
      </c>
      <c r="K36" s="444">
        <f t="shared" si="0"/>
        <v>0.20498917376299999</v>
      </c>
      <c r="L36" s="429" t="s">
        <v>128</v>
      </c>
    </row>
    <row r="37" spans="1:12" x14ac:dyDescent="0.25">
      <c r="A37" s="426"/>
      <c r="B37" s="430"/>
      <c r="G37" s="400" t="s">
        <v>129</v>
      </c>
      <c r="H37" s="400">
        <v>35</v>
      </c>
      <c r="I37" s="400" t="s">
        <v>130</v>
      </c>
      <c r="J37" s="402">
        <f>OtherTourDestination!E45</f>
        <v>-0.128001396233</v>
      </c>
      <c r="K37" s="444">
        <f t="shared" si="0"/>
        <v>-0.128001396233</v>
      </c>
      <c r="L37" s="429" t="s">
        <v>131</v>
      </c>
    </row>
    <row r="38" spans="1:12" x14ac:dyDescent="0.25">
      <c r="A38" s="426"/>
      <c r="B38" s="430"/>
      <c r="G38" s="400" t="s">
        <v>129</v>
      </c>
      <c r="H38" s="400">
        <v>36</v>
      </c>
      <c r="I38" s="400" t="s">
        <v>132</v>
      </c>
      <c r="J38" s="402">
        <f>OtherTourDestination!E46</f>
        <v>6.1170505754699997E-2</v>
      </c>
      <c r="K38" s="444">
        <f t="shared" si="0"/>
        <v>6.1170505754699997E-2</v>
      </c>
      <c r="L38" s="429" t="s">
        <v>102</v>
      </c>
    </row>
    <row r="39" spans="1:12" x14ac:dyDescent="0.25">
      <c r="A39" s="425" t="s">
        <v>91</v>
      </c>
      <c r="B39" s="437"/>
      <c r="G39" s="400" t="s">
        <v>129</v>
      </c>
      <c r="H39" s="400">
        <v>37</v>
      </c>
      <c r="I39" s="400" t="s">
        <v>133</v>
      </c>
      <c r="J39" s="402">
        <f>OtherTourDestination!E47</f>
        <v>1.3253567635600001</v>
      </c>
      <c r="K39" s="444">
        <f t="shared" si="0"/>
        <v>1.3253567635600001</v>
      </c>
      <c r="L39" s="429" t="s">
        <v>104</v>
      </c>
    </row>
    <row r="40" spans="1:12" x14ac:dyDescent="0.25">
      <c r="A40" s="425" t="s">
        <v>134</v>
      </c>
      <c r="B40" s="437"/>
      <c r="G40" s="400" t="s">
        <v>129</v>
      </c>
      <c r="H40" s="400">
        <v>38</v>
      </c>
      <c r="I40" s="400" t="s">
        <v>135</v>
      </c>
      <c r="J40" s="402">
        <f>OtherTourDestination!E48</f>
        <v>-9.2010945905200003</v>
      </c>
      <c r="K40" s="444">
        <f t="shared" si="0"/>
        <v>-9.2010945905200003</v>
      </c>
      <c r="L40" s="429" t="s">
        <v>106</v>
      </c>
    </row>
    <row r="41" spans="1:12" ht="15.75" thickBot="1" x14ac:dyDescent="0.3">
      <c r="A41" s="426"/>
      <c r="B41" s="430"/>
      <c r="G41" s="400" t="s">
        <v>129</v>
      </c>
      <c r="H41" s="400">
        <v>39</v>
      </c>
      <c r="I41" s="400" t="s">
        <v>136</v>
      </c>
      <c r="J41" s="402">
        <f>OtherTourDestination!E49</f>
        <v>-2.1424454967800002</v>
      </c>
      <c r="K41" s="444">
        <f t="shared" si="0"/>
        <v>-2.1424454967800002</v>
      </c>
      <c r="L41" s="429" t="s">
        <v>108</v>
      </c>
    </row>
    <row r="42" spans="1:12" x14ac:dyDescent="0.25">
      <c r="A42" s="427" t="s">
        <v>100</v>
      </c>
      <c r="B42" s="438"/>
      <c r="G42" s="400" t="s">
        <v>129</v>
      </c>
      <c r="H42" s="400">
        <v>40</v>
      </c>
      <c r="I42" s="400" t="s">
        <v>137</v>
      </c>
      <c r="J42" s="402">
        <f>OtherTourDestination!E50</f>
        <v>-3.2698397693199999</v>
      </c>
      <c r="K42" s="444">
        <f t="shared" si="0"/>
        <v>-3.2698397693199999</v>
      </c>
      <c r="L42" s="429" t="s">
        <v>120</v>
      </c>
    </row>
    <row r="43" spans="1:12" x14ac:dyDescent="0.25">
      <c r="A43" s="407" t="s">
        <v>56</v>
      </c>
      <c r="B43" s="430">
        <f>B23+B33</f>
        <v>0.78053827557199995</v>
      </c>
      <c r="G43" s="400" t="s">
        <v>129</v>
      </c>
      <c r="H43" s="400">
        <v>41</v>
      </c>
      <c r="I43" s="400" t="s">
        <v>138</v>
      </c>
      <c r="J43" s="402">
        <f>OtherTourDestination!E51</f>
        <v>-1.5387148017900001</v>
      </c>
      <c r="K43" s="444">
        <f t="shared" si="0"/>
        <v>-1.5387148017900001</v>
      </c>
      <c r="L43" s="429" t="s">
        <v>122</v>
      </c>
    </row>
    <row r="44" spans="1:12" x14ac:dyDescent="0.25">
      <c r="A44" s="410" t="s">
        <v>59</v>
      </c>
      <c r="B44" s="430">
        <f t="shared" ref="B44:B46" si="4">B24+B34</f>
        <v>-12.066373920071452</v>
      </c>
      <c r="G44" s="400" t="s">
        <v>139</v>
      </c>
      <c r="H44" s="400">
        <v>42</v>
      </c>
      <c r="I44" s="400" t="s">
        <v>140</v>
      </c>
      <c r="J44" s="402">
        <f>OtherTourDestination!E52</f>
        <v>-0.149205194047</v>
      </c>
      <c r="K44" s="444">
        <f t="shared" si="0"/>
        <v>-0.149205194047</v>
      </c>
      <c r="L44" s="429" t="s">
        <v>141</v>
      </c>
    </row>
    <row r="45" spans="1:12" x14ac:dyDescent="0.25">
      <c r="A45" s="410" t="s">
        <v>62</v>
      </c>
      <c r="B45" s="430">
        <f t="shared" si="4"/>
        <v>-6.160514774869287</v>
      </c>
      <c r="G45" s="439" t="s">
        <v>139</v>
      </c>
      <c r="H45" s="439">
        <v>43</v>
      </c>
      <c r="I45" s="439" t="s">
        <v>142</v>
      </c>
      <c r="J45" s="402">
        <f>OtherTourDestination!E53</f>
        <v>0.517393579278</v>
      </c>
      <c r="K45" s="444">
        <f t="shared" si="0"/>
        <v>0.517393579278</v>
      </c>
      <c r="L45" s="440" t="s">
        <v>102</v>
      </c>
    </row>
    <row r="46" spans="1:12" ht="15.75" thickBot="1" x14ac:dyDescent="0.3">
      <c r="A46" s="431" t="s">
        <v>65</v>
      </c>
      <c r="B46" s="432">
        <f t="shared" si="4"/>
        <v>-4.7292058575448426</v>
      </c>
      <c r="G46" s="439" t="s">
        <v>139</v>
      </c>
      <c r="H46" s="439">
        <v>44</v>
      </c>
      <c r="I46" s="439" t="s">
        <v>143</v>
      </c>
      <c r="J46" s="402">
        <f>OtherTourDestination!E54</f>
        <v>0.84374741070500003</v>
      </c>
      <c r="K46" s="444">
        <f t="shared" si="0"/>
        <v>0.84374741070500003</v>
      </c>
      <c r="L46" s="440" t="s">
        <v>144</v>
      </c>
    </row>
    <row r="47" spans="1:12" x14ac:dyDescent="0.25">
      <c r="G47" s="439" t="s">
        <v>139</v>
      </c>
      <c r="H47" s="439">
        <v>45</v>
      </c>
      <c r="I47" s="439" t="s">
        <v>145</v>
      </c>
      <c r="J47" s="402">
        <f>OtherTourDestination!E55</f>
        <v>-16.440174024099999</v>
      </c>
      <c r="K47" s="444">
        <f t="shared" si="0"/>
        <v>-16.440174024099999</v>
      </c>
      <c r="L47" s="440" t="s">
        <v>146</v>
      </c>
    </row>
    <row r="48" spans="1:12" x14ac:dyDescent="0.25">
      <c r="G48" s="439" t="s">
        <v>139</v>
      </c>
      <c r="H48" s="439">
        <v>46</v>
      </c>
      <c r="I48" s="439" t="s">
        <v>147</v>
      </c>
      <c r="J48" s="402">
        <f>OtherTourDestination!E56</f>
        <v>0.38560809579999999</v>
      </c>
      <c r="K48" s="444">
        <f t="shared" si="0"/>
        <v>0.38560809579999999</v>
      </c>
      <c r="L48" s="440" t="s">
        <v>148</v>
      </c>
    </row>
    <row r="49" spans="7:12" x14ac:dyDescent="0.25">
      <c r="G49" s="439" t="s">
        <v>139</v>
      </c>
      <c r="H49" s="439">
        <v>47</v>
      </c>
      <c r="I49" s="439" t="s">
        <v>149</v>
      </c>
      <c r="J49" s="402">
        <f>OtherTourDestination!E57</f>
        <v>-2.4592819233999998</v>
      </c>
      <c r="K49" s="444">
        <f t="shared" si="0"/>
        <v>-2.4592819233999998</v>
      </c>
      <c r="L49" s="440" t="s">
        <v>150</v>
      </c>
    </row>
    <row r="50" spans="7:12" x14ac:dyDescent="0.25">
      <c r="G50" s="400" t="s">
        <v>151</v>
      </c>
      <c r="H50" s="400">
        <v>48</v>
      </c>
      <c r="I50" s="400" t="s">
        <v>152</v>
      </c>
      <c r="J50" s="402">
        <f>OtherTourDestination!E58</f>
        <v>-2.8909492550999998</v>
      </c>
      <c r="K50" s="444">
        <f t="shared" si="0"/>
        <v>-2.8909492550999998</v>
      </c>
      <c r="L50" s="429" t="s">
        <v>153</v>
      </c>
    </row>
    <row r="51" spans="7:12" x14ac:dyDescent="0.25">
      <c r="G51" s="400" t="s">
        <v>151</v>
      </c>
      <c r="H51" s="400">
        <v>49</v>
      </c>
      <c r="I51" s="400" t="s">
        <v>154</v>
      </c>
      <c r="J51" s="402">
        <f>OtherTourDestination!E59</f>
        <v>0.16683062839400001</v>
      </c>
      <c r="K51" s="444">
        <f t="shared" si="0"/>
        <v>0.16683062839400001</v>
      </c>
      <c r="L51" s="429" t="s">
        <v>102</v>
      </c>
    </row>
    <row r="52" spans="7:12" x14ac:dyDescent="0.25">
      <c r="G52" s="400" t="s">
        <v>151</v>
      </c>
      <c r="H52" s="400">
        <v>50</v>
      </c>
      <c r="I52" s="400" t="s">
        <v>155</v>
      </c>
      <c r="J52" s="402">
        <f>OtherTourDestination!E60</f>
        <v>0.80686039286800004</v>
      </c>
      <c r="K52" s="444">
        <f t="shared" si="0"/>
        <v>0.80686039286800004</v>
      </c>
      <c r="L52" s="429" t="s">
        <v>104</v>
      </c>
    </row>
    <row r="53" spans="7:12" x14ac:dyDescent="0.25">
      <c r="G53" s="400" t="s">
        <v>151</v>
      </c>
      <c r="H53" s="400">
        <v>51</v>
      </c>
      <c r="I53" s="400" t="s">
        <v>156</v>
      </c>
      <c r="J53" s="402">
        <f>OtherTourDestination!E61</f>
        <v>-10.275631588</v>
      </c>
      <c r="K53" s="444">
        <f t="shared" si="0"/>
        <v>-10.275631588</v>
      </c>
      <c r="L53" s="429" t="s">
        <v>106</v>
      </c>
    </row>
    <row r="54" spans="7:12" x14ac:dyDescent="0.25">
      <c r="G54" s="400" t="s">
        <v>151</v>
      </c>
      <c r="H54" s="400">
        <v>52</v>
      </c>
      <c r="I54" s="400" t="s">
        <v>157</v>
      </c>
      <c r="J54" s="402">
        <f>OtherTourDestination!E62</f>
        <v>-3.6378931021600001</v>
      </c>
      <c r="K54" s="444">
        <f t="shared" si="0"/>
        <v>-3.6378931021600001</v>
      </c>
      <c r="L54" s="429" t="s">
        <v>108</v>
      </c>
    </row>
    <row r="55" spans="7:12" x14ac:dyDescent="0.25">
      <c r="G55" s="400" t="s">
        <v>151</v>
      </c>
      <c r="H55" s="400">
        <v>53</v>
      </c>
      <c r="I55" s="400" t="s">
        <v>158</v>
      </c>
      <c r="J55" s="402">
        <f>OtherTourDestination!E63</f>
        <v>-4.0172263670700001</v>
      </c>
      <c r="K55" s="444">
        <f t="shared" si="0"/>
        <v>-4.0172263670700001</v>
      </c>
      <c r="L55" s="429" t="s">
        <v>120</v>
      </c>
    </row>
    <row r="56" spans="7:12" x14ac:dyDescent="0.25">
      <c r="G56" s="400" t="s">
        <v>151</v>
      </c>
      <c r="H56" s="400">
        <v>54</v>
      </c>
      <c r="I56" s="400" t="s">
        <v>159</v>
      </c>
      <c r="J56" s="402">
        <f>OtherTourDestination!E64</f>
        <v>-0.54205465260999997</v>
      </c>
      <c r="K56" s="444">
        <f t="shared" si="0"/>
        <v>-0.54205465260999997</v>
      </c>
      <c r="L56" s="429" t="s">
        <v>160</v>
      </c>
    </row>
    <row r="57" spans="7:12" x14ac:dyDescent="0.25">
      <c r="G57" s="400" t="s">
        <v>151</v>
      </c>
      <c r="H57" s="400">
        <v>55</v>
      </c>
      <c r="I57" s="400" t="s">
        <v>161</v>
      </c>
      <c r="J57" s="402">
        <f>OtherTourDestination!E65</f>
        <v>0.21306405683599999</v>
      </c>
      <c r="K57" s="444">
        <f t="shared" si="0"/>
        <v>0.21306405683599999</v>
      </c>
      <c r="L57" s="429" t="s">
        <v>124</v>
      </c>
    </row>
    <row r="58" spans="7:12" x14ac:dyDescent="0.25">
      <c r="G58" s="400" t="s">
        <v>151</v>
      </c>
      <c r="H58" s="400">
        <v>56</v>
      </c>
      <c r="I58" s="400" t="s">
        <v>162</v>
      </c>
      <c r="J58" s="402">
        <f>OtherTourDestination!E66</f>
        <v>0.49322187999099998</v>
      </c>
      <c r="K58" s="444">
        <f t="shared" si="0"/>
        <v>0.49322187999099998</v>
      </c>
      <c r="L58" s="429" t="s">
        <v>128</v>
      </c>
    </row>
    <row r="59" spans="7:12" x14ac:dyDescent="0.25">
      <c r="H59" s="400">
        <v>57</v>
      </c>
      <c r="I59" s="400" t="s">
        <v>163</v>
      </c>
      <c r="J59" s="402">
        <f>OtherTourDestination!E67</f>
        <v>-0.81297460986500003</v>
      </c>
      <c r="K59" s="444">
        <f t="shared" si="0"/>
        <v>-0.81297460986500003</v>
      </c>
      <c r="L59" s="429" t="s">
        <v>131</v>
      </c>
    </row>
    <row r="60" spans="7:12" x14ac:dyDescent="0.25">
      <c r="G60" s="400" t="s">
        <v>97</v>
      </c>
      <c r="H60" s="400">
        <v>70</v>
      </c>
      <c r="I60" s="400" t="s">
        <v>164</v>
      </c>
      <c r="J60" s="402">
        <f>OtherTourDestination!E68</f>
        <v>8.0759501397E-2</v>
      </c>
      <c r="K60" s="444">
        <f t="shared" si="0"/>
        <v>8.0759501397E-2</v>
      </c>
      <c r="L60" s="429"/>
    </row>
    <row r="61" spans="7:12" x14ac:dyDescent="0.25">
      <c r="G61" s="400" t="s">
        <v>97</v>
      </c>
      <c r="H61" s="400">
        <v>71</v>
      </c>
      <c r="I61" s="400" t="s">
        <v>165</v>
      </c>
      <c r="J61" s="402">
        <f>OtherTourDestination!E69</f>
        <v>0.29053029913700001</v>
      </c>
      <c r="K61" s="444">
        <f t="shared" si="0"/>
        <v>0.29053029913700001</v>
      </c>
      <c r="L61" s="400" t="s">
        <v>166</v>
      </c>
    </row>
    <row r="62" spans="7:12" x14ac:dyDescent="0.25">
      <c r="G62" s="400" t="s">
        <v>97</v>
      </c>
      <c r="H62" s="400">
        <v>72</v>
      </c>
      <c r="I62" s="400" t="s">
        <v>167</v>
      </c>
      <c r="J62" s="402">
        <f>OtherTourDestination!E70</f>
        <v>0</v>
      </c>
      <c r="K62" s="444">
        <f t="shared" si="0"/>
        <v>0</v>
      </c>
      <c r="L62" s="400" t="s">
        <v>168</v>
      </c>
    </row>
    <row r="63" spans="7:12" x14ac:dyDescent="0.25">
      <c r="G63" s="400" t="s">
        <v>97</v>
      </c>
      <c r="H63" s="400">
        <v>73</v>
      </c>
      <c r="I63" s="400" t="s">
        <v>169</v>
      </c>
      <c r="J63" s="402">
        <f>OtherTourDestination!E71</f>
        <v>-3.51218611463</v>
      </c>
      <c r="K63" s="444">
        <f t="shared" si="0"/>
        <v>-3.51218611463</v>
      </c>
      <c r="L63" s="400" t="s">
        <v>170</v>
      </c>
    </row>
    <row r="64" spans="7:12" x14ac:dyDescent="0.25">
      <c r="G64" s="400" t="s">
        <v>97</v>
      </c>
      <c r="H64" s="400">
        <v>74</v>
      </c>
      <c r="I64" s="400" t="s">
        <v>171</v>
      </c>
      <c r="J64" s="402">
        <f>OtherTourDestination!E72</f>
        <v>-1.9512398226400001</v>
      </c>
      <c r="K64" s="444">
        <f t="shared" si="0"/>
        <v>-1.9512398226400001</v>
      </c>
      <c r="L64" s="400" t="s">
        <v>172</v>
      </c>
    </row>
    <row r="65" spans="7:12" x14ac:dyDescent="0.25">
      <c r="G65" s="400" t="s">
        <v>97</v>
      </c>
      <c r="H65" s="400">
        <v>75</v>
      </c>
      <c r="I65" s="400" t="s">
        <v>173</v>
      </c>
      <c r="J65" s="402">
        <f>OtherTourDestination!E73</f>
        <v>-2.2875988415099999</v>
      </c>
      <c r="K65" s="444">
        <f t="shared" si="0"/>
        <v>-2.2875988415099999</v>
      </c>
      <c r="L65" s="400" t="s">
        <v>174</v>
      </c>
    </row>
    <row r="66" spans="7:12" x14ac:dyDescent="0.25">
      <c r="G66" s="400" t="s">
        <v>97</v>
      </c>
      <c r="H66" s="400">
        <v>76</v>
      </c>
      <c r="I66" s="400" t="s">
        <v>175</v>
      </c>
      <c r="J66" s="402">
        <f>OtherTourDestination!E74</f>
        <v>-2.97270473739</v>
      </c>
      <c r="K66" s="444">
        <f t="shared" si="0"/>
        <v>-2.97270473739</v>
      </c>
      <c r="L66" s="400" t="s">
        <v>176</v>
      </c>
    </row>
    <row r="67" spans="7:12" x14ac:dyDescent="0.25">
      <c r="G67" s="400" t="s">
        <v>97</v>
      </c>
      <c r="H67" s="400">
        <v>77</v>
      </c>
      <c r="I67" s="400" t="s">
        <v>177</v>
      </c>
      <c r="J67" s="402">
        <f>OtherTourDestination!E75</f>
        <v>-2.2065775626700002</v>
      </c>
      <c r="K67" s="444">
        <f t="shared" si="0"/>
        <v>-2.2065775626700002</v>
      </c>
      <c r="L67" s="400" t="s">
        <v>178</v>
      </c>
    </row>
    <row r="68" spans="7:12" x14ac:dyDescent="0.25">
      <c r="G68" s="400" t="s">
        <v>97</v>
      </c>
      <c r="H68" s="400">
        <v>78</v>
      </c>
      <c r="I68" s="400" t="s">
        <v>179</v>
      </c>
      <c r="J68" s="402">
        <f>OtherTourDestination!E76</f>
        <v>-1.91608314575</v>
      </c>
      <c r="K68" s="444">
        <f t="shared" ref="K68:K103" si="5">J68</f>
        <v>-1.91608314575</v>
      </c>
      <c r="L68" s="400" t="s">
        <v>180</v>
      </c>
    </row>
    <row r="69" spans="7:12" x14ac:dyDescent="0.25">
      <c r="G69" s="400" t="s">
        <v>97</v>
      </c>
      <c r="H69" s="400">
        <v>79</v>
      </c>
      <c r="I69" s="400" t="s">
        <v>181</v>
      </c>
      <c r="J69" s="402">
        <f>OtherTourDestination!E77</f>
        <v>-2.9941803696</v>
      </c>
      <c r="K69" s="444">
        <f t="shared" si="5"/>
        <v>-2.9941803696</v>
      </c>
      <c r="L69" s="400" t="s">
        <v>182</v>
      </c>
    </row>
    <row r="70" spans="7:12" x14ac:dyDescent="0.25">
      <c r="G70" s="400" t="s">
        <v>97</v>
      </c>
      <c r="H70" s="400">
        <v>80</v>
      </c>
      <c r="I70" s="400" t="s">
        <v>183</v>
      </c>
      <c r="J70" s="402">
        <f>OtherTourDestination!E78</f>
        <v>-20.893048808300001</v>
      </c>
      <c r="K70" s="444">
        <f t="shared" si="5"/>
        <v>-20.893048808300001</v>
      </c>
      <c r="L70" s="400" t="s">
        <v>184</v>
      </c>
    </row>
    <row r="71" spans="7:12" x14ac:dyDescent="0.25">
      <c r="G71" s="400" t="s">
        <v>97</v>
      </c>
      <c r="H71" s="400">
        <v>81</v>
      </c>
      <c r="I71" s="400" t="s">
        <v>185</v>
      </c>
      <c r="J71" s="402">
        <f>OtherTourDestination!E79</f>
        <v>-0.340851234339</v>
      </c>
      <c r="K71" s="444">
        <f t="shared" si="5"/>
        <v>-0.340851234339</v>
      </c>
      <c r="L71" s="400" t="s">
        <v>186</v>
      </c>
    </row>
    <row r="72" spans="7:12" x14ac:dyDescent="0.25">
      <c r="G72" s="400" t="s">
        <v>97</v>
      </c>
      <c r="H72" s="400">
        <v>82</v>
      </c>
      <c r="I72" s="400" t="s">
        <v>187</v>
      </c>
      <c r="J72" s="402">
        <f>OtherTourDestination!E80</f>
        <v>-3.5548804977600001</v>
      </c>
      <c r="K72" s="444">
        <f t="shared" si="5"/>
        <v>-3.5548804977600001</v>
      </c>
      <c r="L72" s="400" t="s">
        <v>186</v>
      </c>
    </row>
    <row r="73" spans="7:12" x14ac:dyDescent="0.25">
      <c r="G73" s="400" t="s">
        <v>97</v>
      </c>
      <c r="H73" s="400">
        <v>83</v>
      </c>
      <c r="I73" s="400" t="s">
        <v>188</v>
      </c>
      <c r="J73" s="402">
        <f>OtherTourDestination!E81</f>
        <v>-2.04042829643</v>
      </c>
      <c r="K73" s="444">
        <f t="shared" si="5"/>
        <v>-2.04042829643</v>
      </c>
      <c r="L73" s="400" t="s">
        <v>189</v>
      </c>
    </row>
    <row r="74" spans="7:12" x14ac:dyDescent="0.25">
      <c r="G74" s="400" t="s">
        <v>97</v>
      </c>
      <c r="H74" s="400">
        <v>84</v>
      </c>
      <c r="I74" s="400" t="s">
        <v>190</v>
      </c>
      <c r="J74" s="402">
        <f>OtherTourDestination!E82</f>
        <v>-3.1291070048599998</v>
      </c>
      <c r="K74" s="444">
        <f t="shared" si="5"/>
        <v>-3.1291070048599998</v>
      </c>
      <c r="L74" s="400" t="s">
        <v>191</v>
      </c>
    </row>
    <row r="75" spans="7:12" x14ac:dyDescent="0.25">
      <c r="G75" s="400" t="s">
        <v>97</v>
      </c>
      <c r="H75" s="400">
        <v>85</v>
      </c>
      <c r="I75" s="400" t="s">
        <v>192</v>
      </c>
      <c r="J75" s="402">
        <f>OtherTourDestination!E83</f>
        <v>-1.36058822067</v>
      </c>
      <c r="K75" s="444">
        <f t="shared" si="5"/>
        <v>-1.36058822067</v>
      </c>
      <c r="L75" s="400" t="s">
        <v>193</v>
      </c>
    </row>
    <row r="76" spans="7:12" x14ac:dyDescent="0.25">
      <c r="G76" s="400" t="s">
        <v>97</v>
      </c>
      <c r="H76" s="400">
        <v>86</v>
      </c>
      <c r="I76" s="400" t="s">
        <v>194</v>
      </c>
      <c r="J76" s="402">
        <f>OtherTourDestination!E84</f>
        <v>-3.7593502074299998</v>
      </c>
      <c r="K76" s="444">
        <f t="shared" si="5"/>
        <v>-3.7593502074299998</v>
      </c>
      <c r="L76" s="400" t="s">
        <v>195</v>
      </c>
    </row>
    <row r="77" spans="7:12" x14ac:dyDescent="0.25">
      <c r="G77" s="400" t="s">
        <v>97</v>
      </c>
      <c r="H77" s="400">
        <v>87</v>
      </c>
      <c r="I77" s="400" t="s">
        <v>196</v>
      </c>
      <c r="J77" s="402">
        <f>OtherTourDestination!E85</f>
        <v>-2.6162258391100002</v>
      </c>
      <c r="K77" s="444">
        <f t="shared" si="5"/>
        <v>-2.6162258391100002</v>
      </c>
      <c r="L77" s="400" t="s">
        <v>197</v>
      </c>
    </row>
    <row r="78" spans="7:12" x14ac:dyDescent="0.25">
      <c r="G78" s="400" t="s">
        <v>111</v>
      </c>
      <c r="H78" s="400">
        <v>88</v>
      </c>
      <c r="I78" s="400" t="s">
        <v>198</v>
      </c>
      <c r="J78" s="402">
        <f>OtherTourDestination!E86</f>
        <v>-18.920608679800001</v>
      </c>
      <c r="K78" s="444">
        <f t="shared" si="5"/>
        <v>-18.920608679800001</v>
      </c>
      <c r="L78" s="400" t="s">
        <v>199</v>
      </c>
    </row>
    <row r="79" spans="7:12" x14ac:dyDescent="0.25">
      <c r="G79" s="400" t="s">
        <v>111</v>
      </c>
      <c r="H79" s="400">
        <v>89</v>
      </c>
      <c r="I79" s="400" t="s">
        <v>200</v>
      </c>
      <c r="J79" s="402">
        <f>OtherTourDestination!E87</f>
        <v>0</v>
      </c>
      <c r="K79" s="444">
        <f t="shared" si="5"/>
        <v>0</v>
      </c>
      <c r="L79" s="400" t="s">
        <v>201</v>
      </c>
    </row>
    <row r="80" spans="7:12" x14ac:dyDescent="0.25">
      <c r="G80" s="400" t="s">
        <v>111</v>
      </c>
      <c r="H80" s="400">
        <v>90</v>
      </c>
      <c r="I80" s="400" t="s">
        <v>202</v>
      </c>
      <c r="J80" s="402">
        <f>OtherTourDestination!E88</f>
        <v>-6.14284833482</v>
      </c>
      <c r="K80" s="444">
        <f t="shared" si="5"/>
        <v>-6.14284833482</v>
      </c>
      <c r="L80" s="400" t="s">
        <v>203</v>
      </c>
    </row>
    <row r="81" spans="7:12" x14ac:dyDescent="0.25">
      <c r="G81" s="400" t="s">
        <v>111</v>
      </c>
      <c r="H81" s="400">
        <v>91</v>
      </c>
      <c r="I81" s="400" t="s">
        <v>204</v>
      </c>
      <c r="J81" s="402">
        <f>OtherTourDestination!E89</f>
        <v>-16.4745846271</v>
      </c>
      <c r="K81" s="444">
        <f t="shared" si="5"/>
        <v>-16.4745846271</v>
      </c>
      <c r="L81" s="400" t="s">
        <v>205</v>
      </c>
    </row>
    <row r="82" spans="7:12" x14ac:dyDescent="0.25">
      <c r="G82" s="400" t="s">
        <v>111</v>
      </c>
      <c r="H82" s="400">
        <v>92</v>
      </c>
      <c r="I82" s="400" t="s">
        <v>206</v>
      </c>
      <c r="J82" s="402">
        <f>OtherTourDestination!E90</f>
        <v>-9.3272520902899991</v>
      </c>
      <c r="K82" s="444">
        <f t="shared" si="5"/>
        <v>-9.3272520902899991</v>
      </c>
      <c r="L82" s="400" t="s">
        <v>207</v>
      </c>
    </row>
    <row r="83" spans="7:12" x14ac:dyDescent="0.25">
      <c r="G83" s="400" t="s">
        <v>111</v>
      </c>
      <c r="H83" s="400">
        <v>93</v>
      </c>
      <c r="I83" s="400" t="s">
        <v>208</v>
      </c>
      <c r="J83" s="402">
        <f>OtherTourDestination!E91</f>
        <v>-0.748114378523</v>
      </c>
      <c r="K83" s="444">
        <f t="shared" si="5"/>
        <v>-0.748114378523</v>
      </c>
      <c r="L83" s="400" t="s">
        <v>209</v>
      </c>
    </row>
    <row r="84" spans="7:12" x14ac:dyDescent="0.25">
      <c r="G84" s="400" t="s">
        <v>111</v>
      </c>
      <c r="H84" s="400">
        <v>94</v>
      </c>
      <c r="I84" s="400" t="s">
        <v>210</v>
      </c>
      <c r="J84" s="402">
        <f>OtherTourDestination!E92</f>
        <v>-0.29100107664500002</v>
      </c>
      <c r="K84" s="444">
        <f t="shared" si="5"/>
        <v>-0.29100107664500002</v>
      </c>
      <c r="L84" s="400" t="s">
        <v>211</v>
      </c>
    </row>
    <row r="85" spans="7:12" x14ac:dyDescent="0.25">
      <c r="G85" s="400" t="s">
        <v>111</v>
      </c>
      <c r="H85" s="400">
        <v>95</v>
      </c>
      <c r="I85" s="400" t="s">
        <v>212</v>
      </c>
      <c r="J85" s="402">
        <f>OtherTourDestination!E93</f>
        <v>0</v>
      </c>
      <c r="K85" s="444">
        <f t="shared" si="5"/>
        <v>0</v>
      </c>
      <c r="L85" s="400" t="s">
        <v>213</v>
      </c>
    </row>
    <row r="86" spans="7:12" x14ac:dyDescent="0.25">
      <c r="G86" s="400" t="s">
        <v>111</v>
      </c>
      <c r="H86" s="400">
        <v>96</v>
      </c>
      <c r="I86" s="400" t="s">
        <v>214</v>
      </c>
      <c r="J86" s="402">
        <f>OtherTourDestination!E94</f>
        <v>-10.3298280696</v>
      </c>
      <c r="K86" s="444">
        <f t="shared" si="5"/>
        <v>-10.3298280696</v>
      </c>
      <c r="L86" s="400" t="s">
        <v>215</v>
      </c>
    </row>
    <row r="87" spans="7:12" x14ac:dyDescent="0.25">
      <c r="G87" s="400" t="s">
        <v>129</v>
      </c>
      <c r="H87" s="400">
        <v>97</v>
      </c>
      <c r="I87" s="400" t="s">
        <v>216</v>
      </c>
      <c r="J87" s="402">
        <f>OtherTourDestination!E95</f>
        <v>-16.742935323400001</v>
      </c>
      <c r="K87" s="444">
        <f t="shared" si="5"/>
        <v>-16.742935323400001</v>
      </c>
      <c r="L87" s="400" t="s">
        <v>217</v>
      </c>
    </row>
    <row r="88" spans="7:12" x14ac:dyDescent="0.25">
      <c r="G88" s="400" t="s">
        <v>129</v>
      </c>
      <c r="H88" s="400">
        <v>98</v>
      </c>
      <c r="I88" s="400" t="s">
        <v>218</v>
      </c>
      <c r="J88" s="402">
        <f>OtherTourDestination!E96</f>
        <v>-6.97234539975</v>
      </c>
      <c r="K88" s="444">
        <f t="shared" si="5"/>
        <v>-6.97234539975</v>
      </c>
      <c r="L88" s="400" t="s">
        <v>203</v>
      </c>
    </row>
    <row r="89" spans="7:12" x14ac:dyDescent="0.25">
      <c r="G89" s="400" t="s">
        <v>129</v>
      </c>
      <c r="H89" s="400">
        <v>99</v>
      </c>
      <c r="I89" s="400" t="s">
        <v>219</v>
      </c>
      <c r="J89" s="402">
        <f>OtherTourDestination!E97</f>
        <v>-10.7755348742</v>
      </c>
      <c r="K89" s="444">
        <f t="shared" si="5"/>
        <v>-10.7755348742</v>
      </c>
      <c r="L89" s="400" t="s">
        <v>205</v>
      </c>
    </row>
    <row r="90" spans="7:12" x14ac:dyDescent="0.25">
      <c r="G90" s="400" t="s">
        <v>129</v>
      </c>
      <c r="H90" s="400">
        <v>100</v>
      </c>
      <c r="I90" s="400" t="s">
        <v>220</v>
      </c>
      <c r="J90" s="402">
        <f>OtherTourDestination!E98</f>
        <v>-11.547846395100001</v>
      </c>
      <c r="K90" s="444">
        <f t="shared" si="5"/>
        <v>-11.547846395100001</v>
      </c>
      <c r="L90" s="400" t="s">
        <v>207</v>
      </c>
    </row>
    <row r="91" spans="7:12" x14ac:dyDescent="0.25">
      <c r="G91" s="400" t="s">
        <v>139</v>
      </c>
      <c r="H91" s="400">
        <v>101</v>
      </c>
      <c r="I91" s="400" t="s">
        <v>221</v>
      </c>
      <c r="J91" s="402">
        <f>OtherTourDestination!E99</f>
        <v>0</v>
      </c>
      <c r="K91" s="444">
        <f t="shared" si="5"/>
        <v>0</v>
      </c>
      <c r="L91" s="400" t="s">
        <v>209</v>
      </c>
    </row>
    <row r="92" spans="7:12" x14ac:dyDescent="0.25">
      <c r="G92" s="400" t="s">
        <v>139</v>
      </c>
      <c r="H92" s="400">
        <v>102</v>
      </c>
      <c r="I92" s="400" t="s">
        <v>222</v>
      </c>
      <c r="J92" s="402">
        <f>OtherTourDestination!E100</f>
        <v>-11.0962758301</v>
      </c>
      <c r="K92" s="444">
        <f t="shared" si="5"/>
        <v>-11.0962758301</v>
      </c>
      <c r="L92" s="400" t="s">
        <v>203</v>
      </c>
    </row>
    <row r="93" spans="7:12" x14ac:dyDescent="0.25">
      <c r="G93" s="400" t="s">
        <v>139</v>
      </c>
      <c r="H93" s="400">
        <v>103</v>
      </c>
      <c r="I93" s="400" t="s">
        <v>223</v>
      </c>
      <c r="J93" s="402">
        <f>OtherTourDestination!E101</f>
        <v>0</v>
      </c>
      <c r="K93" s="444">
        <f t="shared" si="5"/>
        <v>0</v>
      </c>
      <c r="L93" s="400" t="s">
        <v>205</v>
      </c>
    </row>
    <row r="94" spans="7:12" x14ac:dyDescent="0.25">
      <c r="G94" s="400" t="s">
        <v>139</v>
      </c>
      <c r="H94" s="400">
        <v>104</v>
      </c>
      <c r="I94" s="400" t="s">
        <v>224</v>
      </c>
      <c r="J94" s="402">
        <f>OtherTourDestination!E102</f>
        <v>-12.7257909892</v>
      </c>
      <c r="K94" s="444">
        <f t="shared" si="5"/>
        <v>-12.7257909892</v>
      </c>
      <c r="L94" s="400" t="s">
        <v>207</v>
      </c>
    </row>
    <row r="95" spans="7:12" x14ac:dyDescent="0.25">
      <c r="G95" s="400" t="s">
        <v>151</v>
      </c>
      <c r="H95" s="400">
        <v>105</v>
      </c>
      <c r="I95" s="400" t="s">
        <v>225</v>
      </c>
      <c r="J95" s="402">
        <f>OtherTourDestination!E103</f>
        <v>-12.5271034041</v>
      </c>
      <c r="K95" s="444">
        <f t="shared" si="5"/>
        <v>-12.5271034041</v>
      </c>
      <c r="L95" s="400" t="s">
        <v>209</v>
      </c>
    </row>
    <row r="96" spans="7:12" x14ac:dyDescent="0.25">
      <c r="G96" s="400" t="s">
        <v>151</v>
      </c>
      <c r="H96" s="400">
        <v>106</v>
      </c>
      <c r="I96" s="400" t="s">
        <v>226</v>
      </c>
      <c r="J96" s="402">
        <f>OtherTourDestination!E104</f>
        <v>-21.008822510800002</v>
      </c>
      <c r="K96" s="444">
        <f t="shared" si="5"/>
        <v>-21.008822510800002</v>
      </c>
      <c r="L96" s="400" t="s">
        <v>203</v>
      </c>
    </row>
    <row r="97" spans="7:12" x14ac:dyDescent="0.25">
      <c r="G97" s="400" t="s">
        <v>151</v>
      </c>
      <c r="H97" s="400">
        <v>107</v>
      </c>
      <c r="I97" s="400" t="s">
        <v>227</v>
      </c>
      <c r="J97" s="402">
        <f>OtherTourDestination!E105</f>
        <v>-1.63176275226</v>
      </c>
      <c r="K97" s="444">
        <f t="shared" si="5"/>
        <v>-1.63176275226</v>
      </c>
      <c r="L97" s="400" t="s">
        <v>228</v>
      </c>
    </row>
    <row r="98" spans="7:12" x14ac:dyDescent="0.25">
      <c r="G98" s="400" t="s">
        <v>151</v>
      </c>
      <c r="H98" s="400">
        <v>108</v>
      </c>
      <c r="I98" s="400" t="s">
        <v>229</v>
      </c>
      <c r="J98" s="402">
        <f>OtherTourDestination!E106</f>
        <v>-4.6653914733199997</v>
      </c>
      <c r="K98" s="444">
        <f t="shared" si="5"/>
        <v>-4.6653914733199997</v>
      </c>
      <c r="L98" s="400" t="s">
        <v>205</v>
      </c>
    </row>
    <row r="99" spans="7:12" x14ac:dyDescent="0.25">
      <c r="G99" s="400" t="s">
        <v>151</v>
      </c>
      <c r="H99" s="400">
        <v>109</v>
      </c>
      <c r="I99" s="400" t="s">
        <v>230</v>
      </c>
      <c r="J99" s="402">
        <f>OtherTourDestination!E107</f>
        <v>-7.5050624753099999</v>
      </c>
      <c r="K99" s="444">
        <f t="shared" si="5"/>
        <v>-7.5050624753099999</v>
      </c>
      <c r="L99" s="400" t="s">
        <v>207</v>
      </c>
    </row>
    <row r="100" spans="7:12" x14ac:dyDescent="0.25">
      <c r="G100" s="400" t="s">
        <v>151</v>
      </c>
      <c r="H100" s="400">
        <v>110</v>
      </c>
      <c r="I100" s="400" t="s">
        <v>231</v>
      </c>
      <c r="J100" s="402">
        <f>OtherTourDestination!E108</f>
        <v>-7.2217481188799999</v>
      </c>
      <c r="K100" s="444">
        <f t="shared" si="5"/>
        <v>-7.2217481188799999</v>
      </c>
      <c r="L100" s="400" t="s">
        <v>209</v>
      </c>
    </row>
    <row r="101" spans="7:12" x14ac:dyDescent="0.25">
      <c r="G101" s="400" t="s">
        <v>151</v>
      </c>
      <c r="H101" s="400">
        <v>111</v>
      </c>
      <c r="I101" s="400" t="s">
        <v>232</v>
      </c>
      <c r="J101" s="402">
        <f>OtherTourDestination!E109</f>
        <v>-3.4793464222399999</v>
      </c>
      <c r="K101" s="444">
        <f t="shared" si="5"/>
        <v>-3.4793464222399999</v>
      </c>
      <c r="L101" s="400" t="s">
        <v>215</v>
      </c>
    </row>
    <row r="102" spans="7:12" x14ac:dyDescent="0.25">
      <c r="G102" s="400" t="s">
        <v>151</v>
      </c>
      <c r="H102" s="400">
        <v>112</v>
      </c>
      <c r="I102" s="400" t="s">
        <v>233</v>
      </c>
      <c r="J102" s="402">
        <f>OtherTourDestination!E110</f>
        <v>0</v>
      </c>
      <c r="K102" s="444">
        <f t="shared" si="5"/>
        <v>0</v>
      </c>
      <c r="L102" s="400" t="s">
        <v>234</v>
      </c>
    </row>
    <row r="103" spans="7:12" x14ac:dyDescent="0.25">
      <c r="G103" s="400" t="s">
        <v>151</v>
      </c>
      <c r="H103" s="400">
        <v>113</v>
      </c>
      <c r="I103" s="400" t="s">
        <v>235</v>
      </c>
      <c r="J103" s="402">
        <f>OtherTourDestination!E111</f>
        <v>0</v>
      </c>
      <c r="K103" s="444">
        <f t="shared" si="5"/>
        <v>0</v>
      </c>
      <c r="L103" s="400" t="s">
        <v>217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2017-04-27T22:26:16Z</dcterms:modified>
</cp:coreProperties>
</file>