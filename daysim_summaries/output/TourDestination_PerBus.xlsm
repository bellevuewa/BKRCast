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I13" i="6" s="1"/>
  <c r="J13" i="6" s="1"/>
  <c r="D16" i="6"/>
  <c r="D12" i="6"/>
  <c r="D15" i="6"/>
  <c r="I15" i="6" s="1"/>
  <c r="J15" i="6" s="1"/>
  <c r="D14" i="6"/>
  <c r="S15" i="1"/>
  <c r="U13" i="1"/>
  <c r="I14" i="6" l="1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K15" i="6"/>
  <c r="D36" i="6" s="1"/>
  <c r="D46" i="6" s="1"/>
  <c r="Q42" i="6"/>
  <c r="Q32" i="6"/>
  <c r="K14" i="6"/>
  <c r="D35" i="6" s="1"/>
  <c r="D45" i="6" s="1"/>
  <c r="Q40" i="6"/>
  <c r="Q30" i="6"/>
  <c r="Q41" i="6"/>
  <c r="Q3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H20" i="1" s="1"/>
  <c r="M15" i="1"/>
  <c r="C15" i="1"/>
  <c r="D15" i="1"/>
  <c r="E15" i="1"/>
  <c r="I15" i="1"/>
  <c r="B15" i="1"/>
  <c r="J8" i="1"/>
  <c r="J9" i="1"/>
  <c r="J14" i="1"/>
  <c r="J7" i="1"/>
  <c r="J23" i="1" l="1"/>
  <c r="J24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5" i="1" l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<sst xmlns="http://schemas.openxmlformats.org/spreadsheetml/2006/main" count="716" uniqueCount="284">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</sst>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0.12535065952505065</c:v>
                </c:pt>
                <c:pt idx="1">
                  <c:v>8.7874912655547713E-2</c:v>
                </c:pt>
                <c:pt idx="2">
                  <c:v>5.8113083903736061E-2</c:v>
                </c:pt>
                <c:pt idx="3">
                  <c:v>3.8003553658921982E-2</c:v>
                </c:pt>
                <c:pt idx="4">
                  <c:v>0.14237953839603554</c:v>
                </c:pt>
                <c:pt idx="5">
                  <c:v>8.9359541884487609E-2</c:v>
                </c:pt>
                <c:pt idx="6">
                  <c:v>7.4427884901154776E-2</c:v>
                </c:pt>
                <c:pt idx="7">
                  <c:v>4.4972770440635502E-2</c:v>
                </c:pt>
                <c:pt idx="8">
                  <c:v>5.5469083712598038E-2</c:v>
                </c:pt>
                <c:pt idx="9">
                  <c:v>3.463387074461538E-2</c:v>
                </c:pt>
                <c:pt idx="10">
                  <c:v>2.0479322279867769E-2</c:v>
                </c:pt>
                <c:pt idx="11">
                  <c:v>2.0418275582107438E-2</c:v>
                </c:pt>
                <c:pt idx="12">
                  <c:v>2.1371842288196434E-2</c:v>
                </c:pt>
                <c:pt idx="13">
                  <c:v>1.7825488177211645E-2</c:v>
                </c:pt>
                <c:pt idx="14">
                  <c:v>2.1983872782489786E-2</c:v>
                </c:pt>
                <c:pt idx="15">
                  <c:v>1.4788030723345348E-2</c:v>
                </c:pt>
                <c:pt idx="16">
                  <c:v>2.9478447569497898E-2</c:v>
                </c:pt>
                <c:pt idx="17">
                  <c:v>1.130635537764859E-2</c:v>
                </c:pt>
                <c:pt idx="18">
                  <c:v>1.0359566764321171E-2</c:v>
                </c:pt>
                <c:pt idx="19">
                  <c:v>9.618550194508942E-3</c:v>
                </c:pt>
                <c:pt idx="20">
                  <c:v>8.2519502168262298E-3</c:v>
                </c:pt>
                <c:pt idx="21">
                  <c:v>6.1925058884980573E-3</c:v>
                </c:pt>
                <c:pt idx="22">
                  <c:v>6.3004545433160463E-3</c:v>
                </c:pt>
                <c:pt idx="23">
                  <c:v>7.9982466358558078E-3</c:v>
                </c:pt>
                <c:pt idx="24">
                  <c:v>5.3583144735735921E-3</c:v>
                </c:pt>
                <c:pt idx="25">
                  <c:v>4.6269632626896795E-3</c:v>
                </c:pt>
                <c:pt idx="26">
                  <c:v>4.0623169882014068E-3</c:v>
                </c:pt>
                <c:pt idx="27">
                  <c:v>5.3715651548108256E-3</c:v>
                </c:pt>
                <c:pt idx="28">
                  <c:v>2.700121384418512E-3</c:v>
                </c:pt>
                <c:pt idx="29">
                  <c:v>3.23840950943758E-3</c:v>
                </c:pt>
                <c:pt idx="30">
                  <c:v>2.5022631495622608E-3</c:v>
                </c:pt>
                <c:pt idx="31">
                  <c:v>2.7320362231950243E-3</c:v>
                </c:pt>
                <c:pt idx="32">
                  <c:v>1.6050751961337092E-3</c:v>
                </c:pt>
                <c:pt idx="33">
                  <c:v>1.8157729402770567E-3</c:v>
                </c:pt>
                <c:pt idx="34">
                  <c:v>9.9395834173630622E-4</c:v>
                </c:pt>
                <c:pt idx="35">
                  <c:v>1.1397734245981435E-3</c:v>
                </c:pt>
                <c:pt idx="36">
                  <c:v>1.3619098169923387E-3</c:v>
                </c:pt>
                <c:pt idx="37">
                  <c:v>7.2709002354779794E-4</c:v>
                </c:pt>
                <c:pt idx="38">
                  <c:v>7.3282211922272636E-4</c:v>
                </c:pt>
                <c:pt idx="39">
                  <c:v>6.9768590033727964E-4</c:v>
                </c:pt>
                <c:pt idx="40">
                  <c:v>6.9546718375181266E-4</c:v>
                </c:pt>
                <c:pt idx="41">
                  <c:v>4.0952134306499409E-4</c:v>
                </c:pt>
                <c:pt idx="42">
                  <c:v>2.0334186715074225E-4</c:v>
                </c:pt>
                <c:pt idx="43">
                  <c:v>2.5883332238091529E-4</c:v>
                </c:pt>
                <c:pt idx="44">
                  <c:v>2.5350586387342576E-4</c:v>
                </c:pt>
                <c:pt idx="45">
                  <c:v>2.0314631579572152E-4</c:v>
                </c:pt>
                <c:pt idx="46">
                  <c:v>2.1113639762668533E-4</c:v>
                </c:pt>
                <c:pt idx="47">
                  <c:v>1.4333098001869063E-4</c:v>
                </c:pt>
                <c:pt idx="48">
                  <c:v>1.6190941099568525E-4</c:v>
                </c:pt>
                <c:pt idx="49">
                  <c:v>1.5797511724909935E-4</c:v>
                </c:pt>
                <c:pt idx="50">
                  <c:v>4.9626641547619766E-5</c:v>
                </c:pt>
                <c:pt idx="51">
                  <c:v>1.626675765137679E-4</c:v>
                </c:pt>
                <c:pt idx="52">
                  <c:v>8.5172292668235787E-5</c:v>
                </c:pt>
                <c:pt idx="53">
                  <c:v>1.1216799897717893E-4</c:v>
                </c:pt>
                <c:pt idx="54">
                  <c:v>3.1754782871133366E-5</c:v>
                </c:pt>
                <c:pt idx="55">
                  <c:v>1.4098472732478017E-5</c:v>
                </c:pt>
                <c:pt idx="56">
                  <c:v>7.6422710794544569E-5</c:v>
                </c:pt>
                <c:pt idx="57">
                  <c:v>2.0637658783908023E-5</c:v>
                </c:pt>
                <c:pt idx="58">
                  <c:v>2.0714964967545694E-5</c:v>
                </c:pt>
                <c:pt idx="59">
                  <c:v>0</c:v>
                </c:pt>
                <c:pt idx="60">
                  <c:v>3.4401539210828404E-5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2.3177924485343376E-2</c:v>
                </c:pt>
                <c:pt idx="1">
                  <c:v>2.4399476240297781E-2</c:v>
                </c:pt>
                <c:pt idx="2">
                  <c:v>2.9273974919361449E-2</c:v>
                </c:pt>
                <c:pt idx="3">
                  <c:v>2.898240481414734E-2</c:v>
                </c:pt>
                <c:pt idx="4">
                  <c:v>2.8080200366514971E-2</c:v>
                </c:pt>
                <c:pt idx="5">
                  <c:v>2.5787166771576484E-2</c:v>
                </c:pt>
                <c:pt idx="6">
                  <c:v>2.3537442981277402E-2</c:v>
                </c:pt>
                <c:pt idx="7">
                  <c:v>2.3410621298789503E-2</c:v>
                </c:pt>
                <c:pt idx="8">
                  <c:v>2.0328740810524444E-2</c:v>
                </c:pt>
                <c:pt idx="9">
                  <c:v>1.8578505083835486E-2</c:v>
                </c:pt>
                <c:pt idx="10">
                  <c:v>1.7371156752678203E-2</c:v>
                </c:pt>
                <c:pt idx="11">
                  <c:v>1.48846892210598E-2</c:v>
                </c:pt>
                <c:pt idx="12">
                  <c:v>1.3671223792904185E-2</c:v>
                </c:pt>
                <c:pt idx="13">
                  <c:v>1.1718603922282663E-2</c:v>
                </c:pt>
                <c:pt idx="14">
                  <c:v>1.0955997263590532E-2</c:v>
                </c:pt>
                <c:pt idx="15">
                  <c:v>1.0247280463781035E-2</c:v>
                </c:pt>
                <c:pt idx="16">
                  <c:v>9.1737418740192051E-3</c:v>
                </c:pt>
                <c:pt idx="17">
                  <c:v>7.8912217034902265E-3</c:v>
                </c:pt>
                <c:pt idx="18">
                  <c:v>9.5717520304368128E-2</c:v>
                </c:pt>
                <c:pt idx="19">
                  <c:v>3.2170084004160729E-2</c:v>
                </c:pt>
                <c:pt idx="20">
                  <c:v>2.9639229969522944E-2</c:v>
                </c:pt>
                <c:pt idx="21">
                  <c:v>5.1467576597421696E-2</c:v>
                </c:pt>
                <c:pt idx="22">
                  <c:v>3.8285698966816363E-2</c:v>
                </c:pt>
                <c:pt idx="23">
                  <c:v>3.2390521363380095E-2</c:v>
                </c:pt>
                <c:pt idx="24">
                  <c:v>3.0352137071030894E-2</c:v>
                </c:pt>
                <c:pt idx="25">
                  <c:v>2.7736212928741955E-2</c:v>
                </c:pt>
                <c:pt idx="26">
                  <c:v>3.0213480314485976E-2</c:v>
                </c:pt>
                <c:pt idx="27">
                  <c:v>1.821054988944221E-2</c:v>
                </c:pt>
                <c:pt idx="28">
                  <c:v>1.8920056070438347E-2</c:v>
                </c:pt>
                <c:pt idx="29">
                  <c:v>1.6897114279883732E-2</c:v>
                </c:pt>
                <c:pt idx="30">
                  <c:v>2.0233729137909308E-2</c:v>
                </c:pt>
                <c:pt idx="31">
                  <c:v>1.8403391278960769E-2</c:v>
                </c:pt>
                <c:pt idx="32">
                  <c:v>2.2119222123700009E-2</c:v>
                </c:pt>
                <c:pt idx="33">
                  <c:v>1.5521293552027773E-2</c:v>
                </c:pt>
                <c:pt idx="34">
                  <c:v>1.6055917010883752E-2</c:v>
                </c:pt>
                <c:pt idx="35">
                  <c:v>1.1450164124326302E-2</c:v>
                </c:pt>
                <c:pt idx="36">
                  <c:v>1.4648564949404579E-2</c:v>
                </c:pt>
                <c:pt idx="37">
                  <c:v>9.081317615691132E-3</c:v>
                </c:pt>
                <c:pt idx="38">
                  <c:v>8.6713886999131157E-3</c:v>
                </c:pt>
                <c:pt idx="39">
                  <c:v>9.4927751910402758E-3</c:v>
                </c:pt>
                <c:pt idx="40">
                  <c:v>1.1338673541621757E-2</c:v>
                </c:pt>
                <c:pt idx="41">
                  <c:v>6.5354372696626176E-3</c:v>
                </c:pt>
                <c:pt idx="42">
                  <c:v>1.0427226287070612E-2</c:v>
                </c:pt>
                <c:pt idx="43">
                  <c:v>6.3079925021417909E-3</c:v>
                </c:pt>
                <c:pt idx="44">
                  <c:v>4.7834327020915843E-3</c:v>
                </c:pt>
                <c:pt idx="45">
                  <c:v>4.9613656300261082E-3</c:v>
                </c:pt>
                <c:pt idx="46">
                  <c:v>4.3234520054279959E-3</c:v>
                </c:pt>
                <c:pt idx="47">
                  <c:v>4.8432311534895309E-3</c:v>
                </c:pt>
                <c:pt idx="48">
                  <c:v>3.0547440483510071E-3</c:v>
                </c:pt>
                <c:pt idx="49">
                  <c:v>4.1404193924135298E-3</c:v>
                </c:pt>
                <c:pt idx="50">
                  <c:v>2.9570228659930096E-3</c:v>
                </c:pt>
                <c:pt idx="51">
                  <c:v>1.995915451215656E-3</c:v>
                </c:pt>
                <c:pt idx="52">
                  <c:v>3.9701110913785333E-3</c:v>
                </c:pt>
                <c:pt idx="53">
                  <c:v>2.1170743697582744E-3</c:v>
                </c:pt>
                <c:pt idx="54">
                  <c:v>1.9436104484139268E-3</c:v>
                </c:pt>
                <c:pt idx="55">
                  <c:v>1.366317041863034E-3</c:v>
                </c:pt>
                <c:pt idx="56">
                  <c:v>1.7514253282704037E-3</c:v>
                </c:pt>
                <c:pt idx="57">
                  <c:v>1.7178700330112116E-3</c:v>
                </c:pt>
                <c:pt idx="58">
                  <c:v>2.1467514565421441E-3</c:v>
                </c:pt>
                <c:pt idx="59">
                  <c:v>1.1272966617127472E-3</c:v>
                </c:pt>
                <c:pt idx="60">
                  <c:v>1.798730167098278E-3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6" max="6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27663.831959679799</v>
      </c>
      <c r="C11" s="11">
        <f>B11/B$102</f>
        <v>3.8755046744568762E-2</v>
      </c>
      <c r="E11" s="20">
        <v>0</v>
      </c>
      <c r="F11" s="110">
        <v>90768.190813818816</v>
      </c>
      <c r="G11" s="11">
        <f>F11/F$102</f>
        <v>0.12535065952505065</v>
      </c>
      <c r="K11" s="8">
        <v>7.3663518386348326</v>
      </c>
      <c r="L11" s="8">
        <v>7.7009105071706641</v>
      </c>
    </row>
    <row r="12" spans="1:12" x14ac:dyDescent="0.25">
      <c r="A12">
        <v>1</v>
      </c>
      <c r="B12" s="8">
        <v>33777.325451156503</v>
      </c>
      <c r="C12" s="11">
        <f>B12/B$102</f>
        <v>4.7319613156775193E-2</v>
      </c>
      <c r="E12" s="21">
        <v>1</v>
      </c>
      <c r="F12" s="111">
        <v>63631.470866512725</v>
      </c>
      <c r="G12" s="11">
        <f>F12/F$102</f>
        <v>8.7874912655547713E-2</v>
      </c>
      <c r="K12" s="8"/>
      <c r="L12" s="380"/>
    </row>
    <row r="13" spans="1:12" x14ac:dyDescent="0.25">
      <c r="A13">
        <v>2</v>
      </c>
      <c r="B13" s="8">
        <v>48075.585834166202</v>
      </c>
      <c r="C13" s="11">
        <f t="shared" ref="C13:C76" si="0">B13/B$102</f>
        <v>6.7350451629088218E-2</v>
      </c>
      <c r="E13" s="22">
        <v>2</v>
      </c>
      <c r="F13" s="112">
        <v>42080.508459547702</v>
      </c>
      <c r="G13" s="11">
        <f t="shared" ref="G13:G76" si="1">F13/F$102</f>
        <v>5.8113083903736061E-2</v>
      </c>
    </row>
    <row r="14" spans="1:12" x14ac:dyDescent="0.25">
      <c r="A14">
        <v>3</v>
      </c>
      <c r="B14" s="8">
        <v>67958.371331086702</v>
      </c>
      <c r="C14" s="11">
        <f t="shared" si="0"/>
        <v>9.5204809711818078E-2</v>
      </c>
      <c r="E14" s="23">
        <v>3</v>
      </c>
      <c r="F14" s="113">
        <v>27518.912331106374</v>
      </c>
      <c r="G14" s="11">
        <f t="shared" si="1"/>
        <v>3.8003553658921982E-2</v>
      </c>
    </row>
    <row r="15" spans="1:12" x14ac:dyDescent="0.25">
      <c r="A15">
        <v>4</v>
      </c>
      <c r="B15" s="8">
        <v>114566.1354852887</v>
      </c>
      <c r="C15" s="11">
        <f t="shared" si="0"/>
        <v>0.16049894832170436</v>
      </c>
      <c r="E15" s="24">
        <v>4</v>
      </c>
      <c r="F15" s="114">
        <v>103099.04357967977</v>
      </c>
      <c r="G15" s="11">
        <f t="shared" si="1"/>
        <v>0.14237953839603554</v>
      </c>
    </row>
    <row r="16" spans="1:12" x14ac:dyDescent="0.25">
      <c r="A16">
        <v>5</v>
      </c>
      <c r="B16" s="8">
        <v>79182.580835705405</v>
      </c>
      <c r="C16" s="11">
        <f t="shared" si="0"/>
        <v>0.11092912312784585</v>
      </c>
      <c r="E16" s="25">
        <v>5</v>
      </c>
      <c r="F16" s="115">
        <v>64706.511952461376</v>
      </c>
      <c r="G16" s="11">
        <f t="shared" si="1"/>
        <v>8.9359541884487609E-2</v>
      </c>
    </row>
    <row r="17" spans="1:7" x14ac:dyDescent="0.25">
      <c r="A17">
        <v>6</v>
      </c>
      <c r="B17" s="8">
        <v>76842.421012842504</v>
      </c>
      <c r="C17" s="11">
        <f t="shared" si="0"/>
        <v>0.10765072686455886</v>
      </c>
      <c r="E17" s="26">
        <v>6</v>
      </c>
      <c r="F17" s="116">
        <v>53894.287307095299</v>
      </c>
      <c r="G17" s="11">
        <f t="shared" si="1"/>
        <v>7.4427884901154776E-2</v>
      </c>
    </row>
    <row r="18" spans="1:7" x14ac:dyDescent="0.25">
      <c r="A18">
        <v>7</v>
      </c>
      <c r="B18" s="8">
        <v>48964.201156171897</v>
      </c>
      <c r="C18" s="11">
        <f t="shared" si="0"/>
        <v>6.8595338035008585E-2</v>
      </c>
      <c r="E18" s="27">
        <v>7</v>
      </c>
      <c r="F18" s="117">
        <v>32565.421069570748</v>
      </c>
      <c r="G18" s="11">
        <f t="shared" si="1"/>
        <v>4.4972770440635502E-2</v>
      </c>
    </row>
    <row r="19" spans="1:7" x14ac:dyDescent="0.25">
      <c r="A19">
        <v>8</v>
      </c>
      <c r="B19" s="8">
        <v>32389.390858860501</v>
      </c>
      <c r="C19" s="11">
        <f t="shared" si="0"/>
        <v>4.5375216224302718E-2</v>
      </c>
      <c r="E19" s="28">
        <v>8</v>
      </c>
      <c r="F19" s="118">
        <v>40165.950412782673</v>
      </c>
      <c r="G19" s="11">
        <f t="shared" si="1"/>
        <v>5.5469083712598038E-2</v>
      </c>
    </row>
    <row r="20" spans="1:7" x14ac:dyDescent="0.25">
      <c r="A20">
        <v>9</v>
      </c>
      <c r="B20" s="8">
        <v>24334.013025214499</v>
      </c>
      <c r="C20" s="11">
        <f t="shared" si="0"/>
        <v>3.409020896489167E-2</v>
      </c>
      <c r="E20" s="29">
        <v>9</v>
      </c>
      <c r="F20" s="119">
        <v>25078.877129801967</v>
      </c>
      <c r="G20" s="11">
        <f t="shared" si="1"/>
        <v>3.463387074461538E-2</v>
      </c>
    </row>
    <row r="21" spans="1:7" x14ac:dyDescent="0.25">
      <c r="A21">
        <v>10</v>
      </c>
      <c r="B21" s="8">
        <v>36790.984436581602</v>
      </c>
      <c r="C21" s="11">
        <f t="shared" si="0"/>
        <v>5.1541533497477386E-2</v>
      </c>
      <c r="E21" s="30">
        <v>10</v>
      </c>
      <c r="F21" s="120">
        <v>14829.367786973975</v>
      </c>
      <c r="G21" s="11">
        <f t="shared" si="1"/>
        <v>2.0479322279867769E-2</v>
      </c>
    </row>
    <row r="22" spans="1:7" x14ac:dyDescent="0.25">
      <c r="A22">
        <v>11</v>
      </c>
      <c r="B22" s="8">
        <v>18757.3982035027</v>
      </c>
      <c r="C22" s="11">
        <f t="shared" si="0"/>
        <v>2.6277771107153999E-2</v>
      </c>
      <c r="E22" s="31">
        <v>11</v>
      </c>
      <c r="F22" s="121">
        <v>14785.163007103984</v>
      </c>
      <c r="G22" s="11">
        <f t="shared" si="1"/>
        <v>2.0418275582107438E-2</v>
      </c>
    </row>
    <row r="23" spans="1:7" x14ac:dyDescent="0.25">
      <c r="A23">
        <v>12</v>
      </c>
      <c r="B23" s="8">
        <v>12068.5149468976</v>
      </c>
      <c r="C23" s="11">
        <f t="shared" si="0"/>
        <v>1.6907124854801097E-2</v>
      </c>
      <c r="E23" s="32">
        <v>12</v>
      </c>
      <c r="F23" s="122">
        <v>15475.654186487793</v>
      </c>
      <c r="G23" s="11">
        <f t="shared" si="1"/>
        <v>2.1371842288196434E-2</v>
      </c>
    </row>
    <row r="24" spans="1:7" x14ac:dyDescent="0.25">
      <c r="A24">
        <v>13</v>
      </c>
      <c r="B24" s="8">
        <v>7143.7357422256</v>
      </c>
      <c r="C24" s="11">
        <f t="shared" si="0"/>
        <v>1.0007861999173461E-2</v>
      </c>
      <c r="E24" s="33">
        <v>13</v>
      </c>
      <c r="F24" s="123">
        <v>12907.688865372678</v>
      </c>
      <c r="G24" s="11">
        <f t="shared" si="1"/>
        <v>1.7825488177211645E-2</v>
      </c>
    </row>
    <row r="25" spans="1:7" x14ac:dyDescent="0.25">
      <c r="A25">
        <v>14</v>
      </c>
      <c r="B25" s="8">
        <v>3895.8645268350001</v>
      </c>
      <c r="C25" s="11">
        <f t="shared" si="0"/>
        <v>5.4578271032031415E-3</v>
      </c>
      <c r="E25" s="34">
        <v>14</v>
      </c>
      <c r="F25" s="124">
        <v>15918.834149803368</v>
      </c>
      <c r="G25" s="11">
        <f t="shared" si="1"/>
        <v>2.1983872782489786E-2</v>
      </c>
    </row>
    <row r="26" spans="1:7" x14ac:dyDescent="0.25">
      <c r="A26">
        <v>15</v>
      </c>
      <c r="B26" s="8">
        <v>4083.9489840013002</v>
      </c>
      <c r="C26" s="11">
        <f t="shared" si="0"/>
        <v>5.7213199533632676E-3</v>
      </c>
      <c r="E26" s="35">
        <v>15</v>
      </c>
      <c r="F26" s="125">
        <v>10708.222832995767</v>
      </c>
      <c r="G26" s="11">
        <f t="shared" si="1"/>
        <v>1.4788030723345348E-2</v>
      </c>
    </row>
    <row r="27" spans="1:7" x14ac:dyDescent="0.25">
      <c r="A27">
        <v>16</v>
      </c>
      <c r="B27" s="8">
        <v>12432.3392043248</v>
      </c>
      <c r="C27" s="11">
        <f t="shared" si="0"/>
        <v>1.7416816575165434E-2</v>
      </c>
      <c r="E27" s="36">
        <v>16</v>
      </c>
      <c r="F27" s="126">
        <v>21345.762072744528</v>
      </c>
      <c r="G27" s="11">
        <f t="shared" si="1"/>
        <v>2.9478447569497898E-2</v>
      </c>
    </row>
    <row r="28" spans="1:7" x14ac:dyDescent="0.25">
      <c r="A28">
        <v>17</v>
      </c>
      <c r="B28" s="8">
        <v>4142.9865766036</v>
      </c>
      <c r="C28" s="11">
        <f t="shared" si="0"/>
        <v>5.8040273911587146E-3</v>
      </c>
      <c r="E28" s="37">
        <v>17</v>
      </c>
      <c r="F28" s="127">
        <v>8187.0923233727526</v>
      </c>
      <c r="G28" s="11">
        <f t="shared" si="1"/>
        <v>1.130635537764859E-2</v>
      </c>
    </row>
    <row r="29" spans="1:7" x14ac:dyDescent="0.25">
      <c r="A29">
        <v>18</v>
      </c>
      <c r="B29" s="8">
        <v>4448.7863380899998</v>
      </c>
      <c r="C29" s="11">
        <f t="shared" si="0"/>
        <v>6.2324309495723406E-3</v>
      </c>
      <c r="E29" s="38">
        <v>18</v>
      </c>
      <c r="F29" s="128">
        <v>7501.5092571130981</v>
      </c>
      <c r="G29" s="11">
        <f t="shared" si="1"/>
        <v>1.0359566764321171E-2</v>
      </c>
    </row>
    <row r="30" spans="1:7" x14ac:dyDescent="0.25">
      <c r="A30">
        <v>19</v>
      </c>
      <c r="B30" s="8">
        <v>10699.580245124</v>
      </c>
      <c r="C30" s="11">
        <f t="shared" si="0"/>
        <v>1.4989345407802451E-2</v>
      </c>
      <c r="E30" s="39">
        <v>19</v>
      </c>
      <c r="F30" s="129">
        <v>6964.9286466897747</v>
      </c>
      <c r="G30" s="11">
        <f t="shared" si="1"/>
        <v>9.618550194508942E-3</v>
      </c>
    </row>
    <row r="31" spans="1:7" x14ac:dyDescent="0.25">
      <c r="A31">
        <v>20</v>
      </c>
      <c r="B31" s="8">
        <v>5949.2070240465</v>
      </c>
      <c r="C31" s="11">
        <f t="shared" si="0"/>
        <v>8.3344128407837389E-3</v>
      </c>
      <c r="E31" s="40">
        <v>20</v>
      </c>
      <c r="F31" s="130">
        <v>5975.354215965096</v>
      </c>
      <c r="G31" s="11">
        <f t="shared" si="1"/>
        <v>8.2519502168262298E-3</v>
      </c>
    </row>
    <row r="32" spans="1:7" x14ac:dyDescent="0.25">
      <c r="A32">
        <v>21</v>
      </c>
      <c r="B32" s="8">
        <v>5916.1444993519999</v>
      </c>
      <c r="C32" s="11">
        <f t="shared" si="0"/>
        <v>8.2880946122788676E-3</v>
      </c>
      <c r="E32" s="41">
        <v>21</v>
      </c>
      <c r="F32" s="131">
        <v>4484.081362097334</v>
      </c>
      <c r="G32" s="11">
        <f t="shared" si="1"/>
        <v>6.1925058884980573E-3</v>
      </c>
    </row>
    <row r="33" spans="1:7" x14ac:dyDescent="0.25">
      <c r="A33">
        <v>22</v>
      </c>
      <c r="B33" s="8">
        <v>6841.0360580808001</v>
      </c>
      <c r="C33" s="11">
        <f t="shared" si="0"/>
        <v>9.5838014270265455E-3</v>
      </c>
      <c r="E33" s="42">
        <v>22</v>
      </c>
      <c r="F33" s="132">
        <v>4562.2485144341445</v>
      </c>
      <c r="G33" s="11">
        <f t="shared" si="1"/>
        <v>6.3004545433160463E-3</v>
      </c>
    </row>
    <row r="34" spans="1:7" x14ac:dyDescent="0.25">
      <c r="A34">
        <v>23</v>
      </c>
      <c r="B34" s="8">
        <v>4890.6045495890003</v>
      </c>
      <c r="C34" s="11">
        <f t="shared" si="0"/>
        <v>6.8513866121212574E-3</v>
      </c>
      <c r="E34" s="43">
        <v>23</v>
      </c>
      <c r="F34" s="133">
        <v>5791.6438538902139</v>
      </c>
      <c r="G34" s="11">
        <f t="shared" si="1"/>
        <v>7.9982466358558078E-3</v>
      </c>
    </row>
    <row r="35" spans="1:7" x14ac:dyDescent="0.25">
      <c r="A35">
        <v>24</v>
      </c>
      <c r="B35" s="8">
        <v>691.80911380299995</v>
      </c>
      <c r="C35" s="11">
        <f t="shared" si="0"/>
        <v>9.6917500738261E-4</v>
      </c>
      <c r="E35" s="44">
        <v>24</v>
      </c>
      <c r="F35" s="134">
        <v>3880.0315245296147</v>
      </c>
      <c r="G35" s="11">
        <f t="shared" si="1"/>
        <v>5.3583144735735921E-3</v>
      </c>
    </row>
    <row r="36" spans="1:7" x14ac:dyDescent="0.25">
      <c r="A36">
        <v>25</v>
      </c>
      <c r="B36" s="8">
        <v>899.76071673599995</v>
      </c>
      <c r="C36" s="11">
        <f t="shared" si="0"/>
        <v>1.2605003054838532E-3</v>
      </c>
      <c r="E36" s="45">
        <v>25</v>
      </c>
      <c r="F36" s="135">
        <v>3350.4497376211698</v>
      </c>
      <c r="G36" s="11">
        <f t="shared" si="1"/>
        <v>4.6269632626896795E-3</v>
      </c>
    </row>
    <row r="37" spans="1:7" x14ac:dyDescent="0.25">
      <c r="A37">
        <v>26</v>
      </c>
      <c r="B37" s="8">
        <v>994.02148134000004</v>
      </c>
      <c r="C37" s="11">
        <f t="shared" si="0"/>
        <v>1.3925528838732537E-3</v>
      </c>
      <c r="E37" s="46">
        <v>26</v>
      </c>
      <c r="F37" s="136">
        <v>2941.5813600693064</v>
      </c>
      <c r="G37" s="11">
        <f t="shared" si="1"/>
        <v>4.0623169882014068E-3</v>
      </c>
    </row>
    <row r="38" spans="1:7" x14ac:dyDescent="0.25">
      <c r="A38">
        <v>27</v>
      </c>
      <c r="B38" s="8">
        <v>2067.1258373259998</v>
      </c>
      <c r="C38" s="11">
        <f t="shared" si="0"/>
        <v>2.8958952096455053E-3</v>
      </c>
      <c r="E38" s="47">
        <v>27</v>
      </c>
      <c r="F38" s="137">
        <v>3889.6265307905423</v>
      </c>
      <c r="G38" s="11">
        <f t="shared" si="1"/>
        <v>5.3715651548108256E-3</v>
      </c>
    </row>
    <row r="39" spans="1:7" x14ac:dyDescent="0.25">
      <c r="A39">
        <v>28</v>
      </c>
      <c r="B39" s="8">
        <v>290.66768382399999</v>
      </c>
      <c r="C39" s="11">
        <f t="shared" si="0"/>
        <v>4.072046016673765E-4</v>
      </c>
      <c r="E39" s="48">
        <v>28</v>
      </c>
      <c r="F39" s="138">
        <v>1955.1961989668926</v>
      </c>
      <c r="G39" s="11">
        <f t="shared" si="1"/>
        <v>2.700121384418512E-3</v>
      </c>
    </row>
    <row r="40" spans="1:7" x14ac:dyDescent="0.25">
      <c r="A40">
        <v>29</v>
      </c>
      <c r="B40" s="8">
        <v>711.38740566499996</v>
      </c>
      <c r="C40" s="11">
        <f t="shared" si="0"/>
        <v>9.9660279169667444E-4</v>
      </c>
      <c r="E40" s="49">
        <v>29</v>
      </c>
      <c r="F40" s="139">
        <v>2344.9782665656612</v>
      </c>
      <c r="G40" s="11">
        <f t="shared" si="1"/>
        <v>3.23840950943758E-3</v>
      </c>
    </row>
    <row r="41" spans="1:7" x14ac:dyDescent="0.25">
      <c r="A41">
        <v>30</v>
      </c>
      <c r="B41" s="8">
        <v>1402.4810608782</v>
      </c>
      <c r="C41" s="11">
        <f t="shared" si="0"/>
        <v>1.9647754928502734E-3</v>
      </c>
      <c r="E41" s="50">
        <v>30</v>
      </c>
      <c r="F41" s="140">
        <v>1811.9242442475115</v>
      </c>
      <c r="G41" s="11">
        <f t="shared" si="1"/>
        <v>2.5022631495622608E-3</v>
      </c>
    </row>
    <row r="42" spans="1:7" x14ac:dyDescent="0.25">
      <c r="A42">
        <v>31</v>
      </c>
      <c r="B42" s="8">
        <v>1540.5864073800001</v>
      </c>
      <c r="C42" s="11">
        <f t="shared" si="0"/>
        <v>2.1582511894621208E-3</v>
      </c>
      <c r="E42" s="51">
        <v>31</v>
      </c>
      <c r="F42" s="141">
        <v>1978.306186475812</v>
      </c>
      <c r="G42" s="11">
        <f t="shared" si="1"/>
        <v>2.7320362231950243E-3</v>
      </c>
    </row>
    <row r="43" spans="1:7" x14ac:dyDescent="0.25">
      <c r="A43">
        <v>32</v>
      </c>
      <c r="B43" s="8">
        <v>0</v>
      </c>
      <c r="C43" s="11">
        <f t="shared" si="0"/>
        <v>0</v>
      </c>
      <c r="E43" s="52">
        <v>32</v>
      </c>
      <c r="F43" s="142">
        <v>1162.2577194663811</v>
      </c>
      <c r="G43" s="11">
        <f t="shared" si="1"/>
        <v>1.6050751961337092E-3</v>
      </c>
    </row>
    <row r="44" spans="1:7" x14ac:dyDescent="0.25">
      <c r="A44">
        <v>33</v>
      </c>
      <c r="B44" s="8">
        <v>815.02817910099998</v>
      </c>
      <c r="C44" s="11">
        <f t="shared" si="0"/>
        <v>1.1417960904779013E-3</v>
      </c>
      <c r="E44" s="53">
        <v>33</v>
      </c>
      <c r="F44" s="143">
        <v>1314.8269450046209</v>
      </c>
      <c r="G44" s="11">
        <f t="shared" si="1"/>
        <v>1.8157729402770567E-3</v>
      </c>
    </row>
    <row r="45" spans="1:7" x14ac:dyDescent="0.25">
      <c r="A45">
        <v>34</v>
      </c>
      <c r="B45" s="8">
        <v>735.005061211</v>
      </c>
      <c r="C45" s="11">
        <f t="shared" si="0"/>
        <v>1.0296894351528817E-3</v>
      </c>
      <c r="E45" s="54">
        <v>34</v>
      </c>
      <c r="F45" s="144">
        <v>719.73933576055924</v>
      </c>
      <c r="G45" s="11">
        <f t="shared" si="1"/>
        <v>9.9395834173630622E-4</v>
      </c>
    </row>
    <row r="46" spans="1:7" x14ac:dyDescent="0.25">
      <c r="A46">
        <v>35</v>
      </c>
      <c r="B46" s="8">
        <v>1498.4045400750001</v>
      </c>
      <c r="C46" s="11">
        <f t="shared" si="0"/>
        <v>2.0991574152676726E-3</v>
      </c>
      <c r="E46" s="55">
        <v>35</v>
      </c>
      <c r="F46" s="145">
        <v>825.32610582530742</v>
      </c>
      <c r="G46" s="11">
        <f t="shared" si="1"/>
        <v>1.1397734245981435E-3</v>
      </c>
    </row>
    <row r="47" spans="1:7" x14ac:dyDescent="0.25">
      <c r="A47">
        <v>36</v>
      </c>
      <c r="B47" s="8">
        <v>152.33062567900001</v>
      </c>
      <c r="C47" s="11">
        <f t="shared" si="0"/>
        <v>2.1340429364317842E-4</v>
      </c>
      <c r="E47" s="56">
        <v>36</v>
      </c>
      <c r="F47" s="146">
        <v>986.17821883313877</v>
      </c>
      <c r="G47" s="11">
        <f t="shared" si="1"/>
        <v>1.3619098169923387E-3</v>
      </c>
    </row>
    <row r="48" spans="1:7" x14ac:dyDescent="0.25">
      <c r="A48">
        <v>37</v>
      </c>
      <c r="B48" s="8">
        <v>0</v>
      </c>
      <c r="C48" s="11">
        <f t="shared" si="0"/>
        <v>0</v>
      </c>
      <c r="E48" s="57">
        <v>37</v>
      </c>
      <c r="F48" s="147">
        <v>526.4962007082338</v>
      </c>
      <c r="G48" s="11">
        <f t="shared" si="1"/>
        <v>7.2709002354779794E-4</v>
      </c>
    </row>
    <row r="49" spans="1:7" x14ac:dyDescent="0.25">
      <c r="A49">
        <v>38</v>
      </c>
      <c r="B49" s="8">
        <v>4.59375</v>
      </c>
      <c r="C49" s="11">
        <f t="shared" si="0"/>
        <v>6.4355146547428424E-6</v>
      </c>
      <c r="E49" s="58">
        <v>38</v>
      </c>
      <c r="F49" s="148">
        <v>530.64689250320589</v>
      </c>
      <c r="G49" s="11">
        <f t="shared" si="1"/>
        <v>7.3282211922272636E-4</v>
      </c>
    </row>
    <row r="50" spans="1:7" x14ac:dyDescent="0.25">
      <c r="A50">
        <v>39</v>
      </c>
      <c r="B50" s="8">
        <v>80.502905646800002</v>
      </c>
      <c r="C50" s="11">
        <f t="shared" si="0"/>
        <v>1.1277880360040526E-4</v>
      </c>
      <c r="E50" s="59">
        <v>39</v>
      </c>
      <c r="F50" s="149">
        <v>505.2042579582079</v>
      </c>
      <c r="G50" s="11">
        <f t="shared" si="1"/>
        <v>6.9768590033727964E-4</v>
      </c>
    </row>
    <row r="51" spans="1:7" x14ac:dyDescent="0.25">
      <c r="A51">
        <v>40</v>
      </c>
      <c r="B51" s="8">
        <v>6381.7980299250003</v>
      </c>
      <c r="C51" s="11">
        <f t="shared" si="0"/>
        <v>8.940441849293353E-3</v>
      </c>
      <c r="E51" s="60">
        <v>40</v>
      </c>
      <c r="F51" s="150">
        <v>503.59765380347505</v>
      </c>
      <c r="G51" s="11">
        <f t="shared" si="1"/>
        <v>6.9546718375181266E-4</v>
      </c>
    </row>
    <row r="52" spans="1:7" x14ac:dyDescent="0.25">
      <c r="A52">
        <v>41</v>
      </c>
      <c r="B52" s="8">
        <v>1219.0784292599999</v>
      </c>
      <c r="C52" s="11">
        <f t="shared" si="0"/>
        <v>1.7078415448780657E-3</v>
      </c>
      <c r="E52" s="61">
        <v>41</v>
      </c>
      <c r="F52" s="151">
        <v>296.54021407223803</v>
      </c>
      <c r="G52" s="11">
        <f t="shared" si="1"/>
        <v>4.0952134306499409E-4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2">
        <v>42</v>
      </c>
      <c r="F53" s="152">
        <v>147.2427306558227</v>
      </c>
      <c r="G53" s="11">
        <f t="shared" si="1"/>
        <v>2.0334186715074225E-4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63">
        <v>43</v>
      </c>
      <c r="F54" s="153">
        <v>187.42488060184866</v>
      </c>
      <c r="G54" s="11">
        <f t="shared" si="1"/>
        <v>2.5883332238091529E-4</v>
      </c>
    </row>
    <row r="55" spans="1:7" x14ac:dyDescent="0.25">
      <c r="A55">
        <v>44</v>
      </c>
      <c r="B55" s="8">
        <v>77.448508152800002</v>
      </c>
      <c r="C55" s="11">
        <f t="shared" si="0"/>
        <v>1.084998115276876E-4</v>
      </c>
      <c r="E55" s="64">
        <v>44</v>
      </c>
      <c r="F55" s="154">
        <v>183.56719232008996</v>
      </c>
      <c r="G55" s="11">
        <f t="shared" si="1"/>
        <v>2.5350586387342576E-4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65">
        <v>45</v>
      </c>
      <c r="F56" s="155">
        <v>147.10112914551812</v>
      </c>
      <c r="G56" s="11">
        <f t="shared" si="1"/>
        <v>2.0314631579572152E-4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6">
        <v>46</v>
      </c>
      <c r="F57" s="156">
        <v>152.88686074835834</v>
      </c>
      <c r="G57" s="11">
        <f t="shared" si="1"/>
        <v>2.1113639762668533E-4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67">
        <v>47</v>
      </c>
      <c r="F58" s="157">
        <v>103.78799595600218</v>
      </c>
      <c r="G58" s="11">
        <f t="shared" si="1"/>
        <v>1.4333098001869063E-4</v>
      </c>
    </row>
    <row r="59" spans="1:7" x14ac:dyDescent="0.25">
      <c r="A59">
        <v>48</v>
      </c>
      <c r="B59" s="8">
        <v>213.88651063500001</v>
      </c>
      <c r="C59" s="11">
        <f t="shared" si="0"/>
        <v>2.9963967861624017E-4</v>
      </c>
      <c r="E59" s="68">
        <v>48</v>
      </c>
      <c r="F59" s="158">
        <v>117.2409013841081</v>
      </c>
      <c r="G59" s="11">
        <f t="shared" si="1"/>
        <v>1.6190941099568525E-4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9">
        <v>49</v>
      </c>
      <c r="F60" s="159">
        <v>114.39202346945814</v>
      </c>
      <c r="G60" s="11">
        <f t="shared" si="1"/>
        <v>1.5797511724909935E-4</v>
      </c>
    </row>
    <row r="61" spans="1:7" x14ac:dyDescent="0.25">
      <c r="A61">
        <v>50</v>
      </c>
      <c r="B61" s="8">
        <v>454.36723363099998</v>
      </c>
      <c r="C61" s="11">
        <f t="shared" si="0"/>
        <v>6.3653594354661554E-4</v>
      </c>
      <c r="E61" s="70">
        <v>50</v>
      </c>
      <c r="F61" s="160">
        <v>35.935355158966161</v>
      </c>
      <c r="G61" s="11">
        <f t="shared" si="1"/>
        <v>4.9626641547619766E-5</v>
      </c>
    </row>
    <row r="62" spans="1:7" x14ac:dyDescent="0.25">
      <c r="A62">
        <v>51</v>
      </c>
      <c r="B62" s="8">
        <v>94.724486434799999</v>
      </c>
      <c r="C62" s="11">
        <f t="shared" si="0"/>
        <v>1.3270221945341931E-4</v>
      </c>
      <c r="E62" s="71">
        <v>51</v>
      </c>
      <c r="F62" s="161">
        <v>117.78989979125274</v>
      </c>
      <c r="G62" s="11">
        <f t="shared" si="1"/>
        <v>1.626675765137679E-4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2">
        <v>52</v>
      </c>
      <c r="F63" s="162">
        <v>61.674465393744995</v>
      </c>
      <c r="G63" s="11">
        <f t="shared" si="1"/>
        <v>8.5172292668235787E-5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3">
        <v>53</v>
      </c>
      <c r="F64" s="163">
        <v>81.222439299014113</v>
      </c>
      <c r="G64" s="11">
        <f t="shared" si="1"/>
        <v>1.1216799897717893E-4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4">
        <v>54</v>
      </c>
      <c r="F65" s="164">
        <v>22.99408875724664</v>
      </c>
      <c r="G65" s="11">
        <f t="shared" si="1"/>
        <v>3.1754782871133366E-5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5">
        <v>55</v>
      </c>
      <c r="F66" s="165">
        <v>10.20890410958904</v>
      </c>
      <c r="G66" s="11">
        <f t="shared" si="1"/>
        <v>1.4098472732478017E-5</v>
      </c>
    </row>
    <row r="67" spans="1:7" x14ac:dyDescent="0.25">
      <c r="A67">
        <v>56</v>
      </c>
      <c r="B67" s="8">
        <v>767.70177890100001</v>
      </c>
      <c r="C67" s="11">
        <f t="shared" si="0"/>
        <v>1.0754951942507831E-3</v>
      </c>
      <c r="E67" s="76">
        <v>56</v>
      </c>
      <c r="F67" s="166">
        <v>55.338769035532998</v>
      </c>
      <c r="G67" s="11">
        <f t="shared" si="1"/>
        <v>7.6422710794544569E-5</v>
      </c>
    </row>
    <row r="68" spans="1:7" x14ac:dyDescent="0.25">
      <c r="A68">
        <v>57</v>
      </c>
      <c r="B68" s="8">
        <v>303.93913889200002</v>
      </c>
      <c r="C68" s="11">
        <f t="shared" si="0"/>
        <v>4.2579695945347185E-4</v>
      </c>
      <c r="E68" s="77">
        <v>57</v>
      </c>
      <c r="F68" s="167">
        <v>14.94402149574562</v>
      </c>
      <c r="G68" s="11">
        <f t="shared" si="1"/>
        <v>2.0637658783908023E-5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8">
        <v>58</v>
      </c>
      <c r="F69" s="168">
        <v>15</v>
      </c>
      <c r="G69" s="11">
        <f t="shared" si="1"/>
        <v>2.0714964967545694E-5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9">
        <v>59</v>
      </c>
      <c r="F70" s="169">
        <v>0</v>
      </c>
      <c r="G70" s="11">
        <f t="shared" si="1"/>
        <v>0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80">
        <v>60</v>
      </c>
      <c r="F71" s="170">
        <v>24.91064257028113</v>
      </c>
      <c r="G71" s="11">
        <f t="shared" si="1"/>
        <v>3.4401539210828404E-5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1">
        <v>61</v>
      </c>
      <c r="F72" s="171">
        <v>9.9849246231155799</v>
      </c>
      <c r="G72" s="11">
        <f t="shared" si="1"/>
        <v>1.3789157584761576E-5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2">
        <v>62</v>
      </c>
      <c r="F73" s="172">
        <v>20.162500000000001</v>
      </c>
      <c r="G73" s="11">
        <f t="shared" si="1"/>
        <v>2.7844365410542675E-5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3">
        <v>63</v>
      </c>
      <c r="F74" s="173">
        <v>0.5</v>
      </c>
      <c r="G74" s="11">
        <f t="shared" si="1"/>
        <v>6.9049883225152315E-7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4">
        <v>64</v>
      </c>
      <c r="F75" s="174">
        <v>0.25</v>
      </c>
      <c r="G75" s="11">
        <f t="shared" si="1"/>
        <v>3.4524941612576157E-7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5">
        <v>65</v>
      </c>
      <c r="F76" s="175">
        <v>0</v>
      </c>
      <c r="G76" s="11">
        <f t="shared" si="1"/>
        <v>0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86">
        <v>66</v>
      </c>
      <c r="F77" s="176">
        <v>9.9939024390243905</v>
      </c>
      <c r="G77" s="11">
        <f t="shared" ref="G77:G102" si="3">F77/F$102</f>
        <v>1.3801555927563982E-5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7">
        <v>67</v>
      </c>
      <c r="F78" s="177">
        <v>10</v>
      </c>
      <c r="G78" s="11">
        <f t="shared" si="3"/>
        <v>1.3809976645030462E-5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88">
        <v>68</v>
      </c>
      <c r="F79" s="178">
        <v>0</v>
      </c>
      <c r="G79" s="11">
        <f t="shared" si="3"/>
        <v>0</v>
      </c>
    </row>
    <row r="80" spans="1:7" x14ac:dyDescent="0.25">
      <c r="A80">
        <v>69</v>
      </c>
      <c r="B80" s="8">
        <v>376.59752303599998</v>
      </c>
      <c r="C80" s="11">
        <f t="shared" si="2"/>
        <v>5.2758615040827928E-4</v>
      </c>
      <c r="E80" s="89">
        <v>69</v>
      </c>
      <c r="F80" s="179">
        <v>0</v>
      </c>
      <c r="G80" s="11">
        <f t="shared" si="3"/>
        <v>0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90">
        <v>70</v>
      </c>
      <c r="F81" s="180">
        <v>0</v>
      </c>
      <c r="G81" s="11">
        <f t="shared" si="3"/>
        <v>0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1">
        <v>71</v>
      </c>
      <c r="F82" s="181">
        <v>0</v>
      </c>
      <c r="G82" s="11">
        <f t="shared" si="3"/>
        <v>0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2">
        <v>72</v>
      </c>
      <c r="F83" s="182">
        <v>0</v>
      </c>
      <c r="G83" s="11">
        <f t="shared" si="3"/>
        <v>0</v>
      </c>
    </row>
    <row r="84" spans="1:7" x14ac:dyDescent="0.25">
      <c r="A84">
        <v>73</v>
      </c>
      <c r="B84" s="8">
        <v>224.14029938100001</v>
      </c>
      <c r="C84" s="11">
        <f t="shared" si="2"/>
        <v>3.1400450207017656E-4</v>
      </c>
      <c r="E84" s="93">
        <v>73</v>
      </c>
      <c r="F84" s="183">
        <v>0</v>
      </c>
      <c r="G84" s="11">
        <f t="shared" si="3"/>
        <v>0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4">
        <v>74</v>
      </c>
      <c r="F85" s="184">
        <v>0</v>
      </c>
      <c r="G85" s="11">
        <f t="shared" si="3"/>
        <v>0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5">
        <v>75</v>
      </c>
      <c r="F86" s="185">
        <v>0</v>
      </c>
      <c r="G86" s="11">
        <f t="shared" si="3"/>
        <v>0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6">
        <v>76</v>
      </c>
      <c r="F87" s="186">
        <v>0</v>
      </c>
      <c r="G87" s="11">
        <f t="shared" si="3"/>
        <v>0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7">
        <v>77</v>
      </c>
      <c r="F88" s="187">
        <v>0</v>
      </c>
      <c r="G88" s="11">
        <f t="shared" si="3"/>
        <v>0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8">
        <v>78</v>
      </c>
      <c r="F89" s="188">
        <v>0</v>
      </c>
      <c r="G89" s="11">
        <f t="shared" si="3"/>
        <v>0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9">
        <v>79</v>
      </c>
      <c r="F90" s="189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00">
        <v>80</v>
      </c>
      <c r="F91" s="190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1">
        <v>81</v>
      </c>
      <c r="F92" s="191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2">
        <v>82</v>
      </c>
      <c r="F93" s="192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3">
        <v>83</v>
      </c>
      <c r="F94" s="193">
        <v>0</v>
      </c>
      <c r="G94" s="11">
        <f t="shared" si="3"/>
        <v>0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4">
        <v>84</v>
      </c>
      <c r="F95" s="194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5">
        <v>85</v>
      </c>
      <c r="F96" s="195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6">
        <v>86</v>
      </c>
      <c r="F97" s="196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7">
        <v>87</v>
      </c>
      <c r="F98" s="197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8">
        <v>88</v>
      </c>
      <c r="F99" s="198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9">
        <v>89</v>
      </c>
      <c r="F100" s="199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2">
        <v>90</v>
      </c>
      <c r="F101" s="382">
        <v>0</v>
      </c>
      <c r="G101" s="11">
        <f t="shared" si="3"/>
        <v>0</v>
      </c>
    </row>
    <row r="102" spans="1:7" x14ac:dyDescent="0.25">
      <c r="B102" s="8">
        <f>SUM(B11:B101)</f>
        <v>713812.37499234045</v>
      </c>
      <c r="C102" s="11">
        <f t="shared" si="2"/>
        <v>1</v>
      </c>
      <c r="F102" s="8">
        <f>SUM(F11:F101)</f>
        <v>724114.18621757859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0</v>
      </c>
      <c r="C11" s="11">
        <f>B11/B$102</f>
        <v>0</v>
      </c>
      <c r="E11" s="200">
        <v>0</v>
      </c>
      <c r="F11" s="290">
        <v>16783.463926916917</v>
      </c>
      <c r="G11" s="11">
        <f>F11/F$102</f>
        <v>2.3177924485343376E-2</v>
      </c>
      <c r="K11" s="8">
        <v>24.113646099456428</v>
      </c>
      <c r="L11" s="8">
        <v>21.338130929827656</v>
      </c>
    </row>
    <row r="12" spans="1:12" x14ac:dyDescent="0.25">
      <c r="A12">
        <v>1</v>
      </c>
      <c r="B12" s="8">
        <v>7793.4922764960002</v>
      </c>
      <c r="C12" s="11">
        <f>B12/B$102</f>
        <v>1.0918124355268601E-2</v>
      </c>
      <c r="E12" s="201">
        <v>1</v>
      </c>
      <c r="F12" s="291">
        <v>17668.00688187838</v>
      </c>
      <c r="G12" s="11">
        <f>F12/F$102</f>
        <v>2.4399476240297781E-2</v>
      </c>
      <c r="K12" s="8"/>
      <c r="L12" s="381"/>
    </row>
    <row r="13" spans="1:12" x14ac:dyDescent="0.25">
      <c r="A13">
        <v>2</v>
      </c>
      <c r="B13" s="8">
        <v>3735.470356412</v>
      </c>
      <c r="C13" s="11">
        <f t="shared" ref="C13:C76" si="0">B13/B$102</f>
        <v>5.2331263610442182E-3</v>
      </c>
      <c r="E13" s="202">
        <v>2</v>
      </c>
      <c r="F13" s="292">
        <v>21197.700526087232</v>
      </c>
      <c r="G13" s="11">
        <f t="shared" ref="G13:G76" si="1">F13/F$102</f>
        <v>2.9273974919361449E-2</v>
      </c>
    </row>
    <row r="14" spans="1:12" x14ac:dyDescent="0.25">
      <c r="A14">
        <v>3</v>
      </c>
      <c r="B14" s="8">
        <v>10871.694237952499</v>
      </c>
      <c r="C14" s="11">
        <f t="shared" si="0"/>
        <v>1.5230464781545921E-2</v>
      </c>
      <c r="E14" s="203">
        <v>3</v>
      </c>
      <c r="F14" s="293">
        <v>20986.570476624744</v>
      </c>
      <c r="G14" s="11">
        <f t="shared" si="1"/>
        <v>2.898240481414734E-2</v>
      </c>
    </row>
    <row r="15" spans="1:12" x14ac:dyDescent="0.25">
      <c r="A15">
        <v>4</v>
      </c>
      <c r="B15" s="8">
        <v>9819.2436013063998</v>
      </c>
      <c r="C15" s="11">
        <f t="shared" si="0"/>
        <v>1.3756056836940882E-2</v>
      </c>
      <c r="E15" s="204">
        <v>4</v>
      </c>
      <c r="F15" s="294">
        <v>20333.27143722555</v>
      </c>
      <c r="G15" s="11">
        <f t="shared" si="1"/>
        <v>2.8080200366514971E-2</v>
      </c>
    </row>
    <row r="16" spans="1:12" x14ac:dyDescent="0.25">
      <c r="A16">
        <v>5</v>
      </c>
      <c r="B16" s="8">
        <v>16332.2660777692</v>
      </c>
      <c r="C16" s="11">
        <f t="shared" si="0"/>
        <v>2.2880334734942696E-2</v>
      </c>
      <c r="E16" s="205">
        <v>5</v>
      </c>
      <c r="F16" s="295">
        <v>18672.853281657099</v>
      </c>
      <c r="G16" s="11">
        <f t="shared" si="1"/>
        <v>2.5787166771576484E-2</v>
      </c>
    </row>
    <row r="17" spans="1:7" x14ac:dyDescent="0.25">
      <c r="A17">
        <v>6</v>
      </c>
      <c r="B17" s="8">
        <v>6831.1061588458997</v>
      </c>
      <c r="C17" s="11">
        <f t="shared" si="0"/>
        <v>9.5698903495742785E-3</v>
      </c>
      <c r="E17" s="206">
        <v>6</v>
      </c>
      <c r="F17" s="296">
        <v>17043.796370030352</v>
      </c>
      <c r="G17" s="11">
        <f t="shared" si="1"/>
        <v>2.3537442981277402E-2</v>
      </c>
    </row>
    <row r="18" spans="1:7" x14ac:dyDescent="0.25">
      <c r="A18">
        <v>7</v>
      </c>
      <c r="B18" s="8">
        <v>8476.0208145379002</v>
      </c>
      <c r="C18" s="11">
        <f t="shared" si="0"/>
        <v>1.1874297940868349E-2</v>
      </c>
      <c r="E18" s="207">
        <v>7</v>
      </c>
      <c r="F18" s="297">
        <v>16951.962990620883</v>
      </c>
      <c r="G18" s="11">
        <f t="shared" si="1"/>
        <v>2.3410621298789503E-2</v>
      </c>
    </row>
    <row r="19" spans="1:7" x14ac:dyDescent="0.25">
      <c r="A19">
        <v>8</v>
      </c>
      <c r="B19" s="8">
        <v>6745.4341589961996</v>
      </c>
      <c r="C19" s="11">
        <f t="shared" si="0"/>
        <v>9.449870015308403E-3</v>
      </c>
      <c r="E19" s="208">
        <v>8</v>
      </c>
      <c r="F19" s="298">
        <v>14720.329608840995</v>
      </c>
      <c r="G19" s="11">
        <f t="shared" si="1"/>
        <v>2.0328740810524444E-2</v>
      </c>
    </row>
    <row r="20" spans="1:7" x14ac:dyDescent="0.25">
      <c r="A20">
        <v>9</v>
      </c>
      <c r="B20" s="8">
        <v>8005.3491272956999</v>
      </c>
      <c r="C20" s="11">
        <f t="shared" si="0"/>
        <v>1.1214920625859976E-2</v>
      </c>
      <c r="E20" s="209">
        <v>9</v>
      </c>
      <c r="F20" s="299">
        <v>13452.959089920687</v>
      </c>
      <c r="G20" s="11">
        <f t="shared" si="1"/>
        <v>1.8578505083835486E-2</v>
      </c>
    </row>
    <row r="21" spans="1:7" x14ac:dyDescent="0.25">
      <c r="A21">
        <v>10</v>
      </c>
      <c r="B21" s="8">
        <v>3311.5745170390001</v>
      </c>
      <c r="C21" s="11">
        <f t="shared" si="0"/>
        <v>4.6392786578889622E-3</v>
      </c>
      <c r="E21" s="210">
        <v>10</v>
      </c>
      <c r="F21" s="300">
        <v>12578.701035623579</v>
      </c>
      <c r="G21" s="11">
        <f t="shared" si="1"/>
        <v>1.7371156752678203E-2</v>
      </c>
    </row>
    <row r="22" spans="1:7" x14ac:dyDescent="0.25">
      <c r="A22">
        <v>11</v>
      </c>
      <c r="B22" s="8">
        <v>11087.992481765999</v>
      </c>
      <c r="C22" s="11">
        <f t="shared" si="0"/>
        <v>1.5533483125569196E-2</v>
      </c>
      <c r="E22" s="211">
        <v>11</v>
      </c>
      <c r="F22" s="301">
        <v>10778.214622409287</v>
      </c>
      <c r="G22" s="11">
        <f t="shared" si="1"/>
        <v>1.48846892210598E-2</v>
      </c>
    </row>
    <row r="23" spans="1:7" x14ac:dyDescent="0.25">
      <c r="A23">
        <v>12</v>
      </c>
      <c r="B23" s="8">
        <v>14689.846522645499</v>
      </c>
      <c r="C23" s="11">
        <f t="shared" si="0"/>
        <v>2.057942260079635E-2</v>
      </c>
      <c r="E23" s="212">
        <v>12</v>
      </c>
      <c r="F23" s="302">
        <v>9899.5270913972163</v>
      </c>
      <c r="G23" s="11">
        <f t="shared" si="1"/>
        <v>1.3671223792904185E-2</v>
      </c>
    </row>
    <row r="24" spans="1:7" x14ac:dyDescent="0.25">
      <c r="A24">
        <v>13</v>
      </c>
      <c r="B24" s="8">
        <v>27272.666887256801</v>
      </c>
      <c r="C24" s="11">
        <f t="shared" si="0"/>
        <v>3.8207052501085359E-2</v>
      </c>
      <c r="E24" s="213">
        <v>13</v>
      </c>
      <c r="F24" s="303">
        <v>8485.6073427898391</v>
      </c>
      <c r="G24" s="11">
        <f t="shared" si="1"/>
        <v>1.1718603922282663E-2</v>
      </c>
    </row>
    <row r="25" spans="1:7" x14ac:dyDescent="0.25">
      <c r="A25">
        <v>14</v>
      </c>
      <c r="B25" s="8">
        <v>14318.314002384999</v>
      </c>
      <c r="C25" s="11">
        <f t="shared" si="0"/>
        <v>2.005893215642084E-2</v>
      </c>
      <c r="E25" s="214">
        <v>14</v>
      </c>
      <c r="F25" s="304">
        <v>7933.3930427268797</v>
      </c>
      <c r="G25" s="11">
        <f t="shared" si="1"/>
        <v>1.0955997263590532E-2</v>
      </c>
    </row>
    <row r="26" spans="1:7" x14ac:dyDescent="0.25">
      <c r="A26">
        <v>15</v>
      </c>
      <c r="B26" s="8">
        <v>7049.5308562966002</v>
      </c>
      <c r="C26" s="11">
        <f t="shared" si="0"/>
        <v>9.8758877028045922E-3</v>
      </c>
      <c r="E26" s="215">
        <v>15</v>
      </c>
      <c r="F26" s="305">
        <v>7420.2011539740988</v>
      </c>
      <c r="G26" s="11">
        <f t="shared" si="1"/>
        <v>1.0247280463781035E-2</v>
      </c>
    </row>
    <row r="27" spans="1:7" x14ac:dyDescent="0.25">
      <c r="A27">
        <v>16</v>
      </c>
      <c r="B27" s="8">
        <v>23865.880590022</v>
      </c>
      <c r="C27" s="11">
        <f t="shared" si="0"/>
        <v>3.3434388960093438E-2</v>
      </c>
      <c r="E27" s="216">
        <v>16</v>
      </c>
      <c r="F27" s="306">
        <v>6642.8366316755446</v>
      </c>
      <c r="G27" s="11">
        <f t="shared" si="1"/>
        <v>9.1737418740192051E-3</v>
      </c>
    </row>
    <row r="28" spans="1:7" x14ac:dyDescent="0.25">
      <c r="A28">
        <v>17</v>
      </c>
      <c r="B28" s="8">
        <v>14432.717506793</v>
      </c>
      <c r="C28" s="11">
        <f t="shared" si="0"/>
        <v>2.0219203270254119E-2</v>
      </c>
      <c r="E28" s="217">
        <v>17</v>
      </c>
      <c r="F28" s="307">
        <v>5714.1455820853225</v>
      </c>
      <c r="G28" s="11">
        <f t="shared" si="1"/>
        <v>7.8912217034902265E-3</v>
      </c>
    </row>
    <row r="29" spans="1:7" x14ac:dyDescent="0.25">
      <c r="A29">
        <v>18</v>
      </c>
      <c r="B29" s="8">
        <v>47127.753138058797</v>
      </c>
      <c r="C29" s="11">
        <f t="shared" si="0"/>
        <v>6.6022605924371189E-2</v>
      </c>
      <c r="E29" s="218">
        <v>18</v>
      </c>
      <c r="F29" s="308">
        <v>69310.414321962118</v>
      </c>
      <c r="G29" s="11">
        <f t="shared" si="1"/>
        <v>9.5717520304368128E-2</v>
      </c>
    </row>
    <row r="30" spans="1:7" x14ac:dyDescent="0.25">
      <c r="A30">
        <v>19</v>
      </c>
      <c r="B30" s="8">
        <v>28800.970069724499</v>
      </c>
      <c r="C30" s="11">
        <f t="shared" si="0"/>
        <v>4.0348095772412926E-2</v>
      </c>
      <c r="E30" s="219">
        <v>19</v>
      </c>
      <c r="F30" s="309">
        <v>23294.814199223998</v>
      </c>
      <c r="G30" s="11">
        <f t="shared" si="1"/>
        <v>3.2170084004160729E-2</v>
      </c>
    </row>
    <row r="31" spans="1:7" x14ac:dyDescent="0.25">
      <c r="A31">
        <v>20</v>
      </c>
      <c r="B31" s="8">
        <v>39793.526429882702</v>
      </c>
      <c r="C31" s="11">
        <f t="shared" si="0"/>
        <v>5.5747879728632724E-2</v>
      </c>
      <c r="E31" s="220">
        <v>20</v>
      </c>
      <c r="F31" s="310">
        <v>21462.186889496785</v>
      </c>
      <c r="G31" s="11">
        <f t="shared" si="1"/>
        <v>2.9639229969522944E-2</v>
      </c>
    </row>
    <row r="32" spans="1:7" x14ac:dyDescent="0.25">
      <c r="A32">
        <v>21</v>
      </c>
      <c r="B32" s="8">
        <v>37709.827037034898</v>
      </c>
      <c r="C32" s="11">
        <f t="shared" si="0"/>
        <v>5.2828766155027108E-2</v>
      </c>
      <c r="E32" s="221">
        <v>21</v>
      </c>
      <c r="F32" s="311">
        <v>37268.402344432921</v>
      </c>
      <c r="G32" s="11">
        <f t="shared" si="1"/>
        <v>5.1467576597421696E-2</v>
      </c>
    </row>
    <row r="33" spans="1:7" x14ac:dyDescent="0.25">
      <c r="A33">
        <v>22</v>
      </c>
      <c r="B33" s="8">
        <v>35486.283218124998</v>
      </c>
      <c r="C33" s="11">
        <f t="shared" si="0"/>
        <v>4.9713740558932955E-2</v>
      </c>
      <c r="E33" s="222">
        <v>22</v>
      </c>
      <c r="F33" s="312">
        <v>27723.217751127431</v>
      </c>
      <c r="G33" s="11">
        <f t="shared" si="1"/>
        <v>3.8285698966816363E-2</v>
      </c>
    </row>
    <row r="34" spans="1:7" x14ac:dyDescent="0.25">
      <c r="A34">
        <v>23</v>
      </c>
      <c r="B34" s="8">
        <v>29017.355384408002</v>
      </c>
      <c r="C34" s="11">
        <f t="shared" si="0"/>
        <v>4.0651236096487332E-2</v>
      </c>
      <c r="E34" s="223">
        <v>23</v>
      </c>
      <c r="F34" s="313">
        <v>23454.436018207081</v>
      </c>
      <c r="G34" s="11">
        <f t="shared" si="1"/>
        <v>3.2390521363380095E-2</v>
      </c>
    </row>
    <row r="35" spans="1:7" x14ac:dyDescent="0.25">
      <c r="A35">
        <v>24</v>
      </c>
      <c r="B35" s="8">
        <v>37931.444088044103</v>
      </c>
      <c r="C35" s="11">
        <f t="shared" si="0"/>
        <v>5.3139235766893368E-2</v>
      </c>
      <c r="E35" s="224">
        <v>24</v>
      </c>
      <c r="F35" s="314">
        <v>21978.413035153946</v>
      </c>
      <c r="G35" s="11">
        <f t="shared" si="1"/>
        <v>3.0352137071030894E-2</v>
      </c>
    </row>
    <row r="36" spans="1:7" x14ac:dyDescent="0.25">
      <c r="A36">
        <v>25</v>
      </c>
      <c r="B36" s="8">
        <v>9971.2401772759004</v>
      </c>
      <c r="C36" s="11">
        <f t="shared" si="0"/>
        <v>1.39689931508723E-2</v>
      </c>
      <c r="E36" s="225">
        <v>25</v>
      </c>
      <c r="F36" s="315">
        <v>20084.185253653472</v>
      </c>
      <c r="G36" s="11">
        <f t="shared" si="1"/>
        <v>2.7736212928741955E-2</v>
      </c>
    </row>
    <row r="37" spans="1:7" x14ac:dyDescent="0.25">
      <c r="A37">
        <v>26</v>
      </c>
      <c r="B37" s="8">
        <v>45763.924449881997</v>
      </c>
      <c r="C37" s="11">
        <f t="shared" si="0"/>
        <v>6.4111979636627958E-2</v>
      </c>
      <c r="E37" s="226">
        <v>26</v>
      </c>
      <c r="F37" s="316">
        <v>21878.009710724855</v>
      </c>
      <c r="G37" s="11">
        <f t="shared" si="1"/>
        <v>3.0213480314485976E-2</v>
      </c>
    </row>
    <row r="38" spans="1:7" x14ac:dyDescent="0.25">
      <c r="A38">
        <v>27</v>
      </c>
      <c r="B38" s="8">
        <v>8839.1337536230003</v>
      </c>
      <c r="C38" s="11">
        <f t="shared" si="0"/>
        <v>1.2382993155194097E-2</v>
      </c>
      <c r="E38" s="227">
        <v>27</v>
      </c>
      <c r="F38" s="317">
        <v>13186.517513768069</v>
      </c>
      <c r="G38" s="11">
        <f t="shared" si="1"/>
        <v>1.821054988944221E-2</v>
      </c>
    </row>
    <row r="39" spans="1:7" x14ac:dyDescent="0.25">
      <c r="A39">
        <v>28</v>
      </c>
      <c r="B39" s="8">
        <v>12756.039099370601</v>
      </c>
      <c r="C39" s="11">
        <f t="shared" si="0"/>
        <v>1.7870296938334071E-2</v>
      </c>
      <c r="E39" s="228">
        <v>28</v>
      </c>
      <c r="F39" s="318">
        <v>13700.281004636428</v>
      </c>
      <c r="G39" s="11">
        <f t="shared" si="1"/>
        <v>1.8920056070438347E-2</v>
      </c>
    </row>
    <row r="40" spans="1:7" x14ac:dyDescent="0.25">
      <c r="A40">
        <v>29</v>
      </c>
      <c r="B40" s="8">
        <v>15772.453260047399</v>
      </c>
      <c r="C40" s="11">
        <f t="shared" si="0"/>
        <v>2.2096077082183724E-2</v>
      </c>
      <c r="E40" s="229">
        <v>29</v>
      </c>
      <c r="F40" s="319">
        <v>12235.440156203442</v>
      </c>
      <c r="G40" s="11">
        <f t="shared" si="1"/>
        <v>1.6897114279883732E-2</v>
      </c>
    </row>
    <row r="41" spans="1:7" x14ac:dyDescent="0.25">
      <c r="A41">
        <v>30</v>
      </c>
      <c r="B41" s="8">
        <v>7948.5387110976999</v>
      </c>
      <c r="C41" s="11">
        <f t="shared" si="0"/>
        <v>1.1135333302652517E-2</v>
      </c>
      <c r="E41" s="230">
        <v>30</v>
      </c>
      <c r="F41" s="320">
        <v>14651.530308844112</v>
      </c>
      <c r="G41" s="11">
        <f t="shared" si="1"/>
        <v>2.0233729137909308E-2</v>
      </c>
    </row>
    <row r="42" spans="1:7" x14ac:dyDescent="0.25">
      <c r="A42">
        <v>31</v>
      </c>
      <c r="B42" s="8">
        <v>11734.1355258849</v>
      </c>
      <c r="C42" s="11">
        <f t="shared" si="0"/>
        <v>1.6438683240831746E-2</v>
      </c>
      <c r="E42" s="231">
        <v>31</v>
      </c>
      <c r="F42" s="321">
        <v>13326.156699608366</v>
      </c>
      <c r="G42" s="11">
        <f t="shared" si="1"/>
        <v>1.8403391278960769E-2</v>
      </c>
    </row>
    <row r="43" spans="1:7" x14ac:dyDescent="0.25">
      <c r="A43">
        <v>32</v>
      </c>
      <c r="B43" s="8">
        <v>5547.8981289166995</v>
      </c>
      <c r="C43" s="11">
        <f t="shared" si="0"/>
        <v>7.7722078283893967E-3</v>
      </c>
      <c r="E43" s="232">
        <v>32</v>
      </c>
      <c r="F43" s="322">
        <v>16016.842527868901</v>
      </c>
      <c r="G43" s="11">
        <f t="shared" si="1"/>
        <v>2.2119222123700009E-2</v>
      </c>
    </row>
    <row r="44" spans="1:7" x14ac:dyDescent="0.25">
      <c r="A44">
        <v>33</v>
      </c>
      <c r="B44" s="8">
        <v>12268.2299593388</v>
      </c>
      <c r="C44" s="11">
        <f t="shared" si="0"/>
        <v>1.7186911279690881E-2</v>
      </c>
      <c r="E44" s="233">
        <v>33</v>
      </c>
      <c r="F44" s="323">
        <v>11239.188849470745</v>
      </c>
      <c r="G44" s="11">
        <f t="shared" si="1"/>
        <v>1.5521293552027773E-2</v>
      </c>
    </row>
    <row r="45" spans="1:7" x14ac:dyDescent="0.25">
      <c r="A45">
        <v>34</v>
      </c>
      <c r="B45" s="8">
        <v>8514.7335108916996</v>
      </c>
      <c r="C45" s="11">
        <f t="shared" si="0"/>
        <v>1.1928531655090823E-2</v>
      </c>
      <c r="E45" s="234">
        <v>34</v>
      </c>
      <c r="F45" s="324">
        <v>11626.317280313071</v>
      </c>
      <c r="G45" s="11">
        <f t="shared" si="1"/>
        <v>1.6055917010883752E-2</v>
      </c>
    </row>
    <row r="46" spans="1:7" x14ac:dyDescent="0.25">
      <c r="A46">
        <v>35</v>
      </c>
      <c r="B46" s="8">
        <v>9783.0292357916005</v>
      </c>
      <c r="C46" s="11">
        <f t="shared" si="0"/>
        <v>1.3705323105243966E-2</v>
      </c>
      <c r="E46" s="235">
        <v>35</v>
      </c>
      <c r="F46" s="325">
        <v>8291.2262769442568</v>
      </c>
      <c r="G46" s="11">
        <f t="shared" si="1"/>
        <v>1.1450164124326302E-2</v>
      </c>
    </row>
    <row r="47" spans="1:7" x14ac:dyDescent="0.25">
      <c r="A47">
        <v>36</v>
      </c>
      <c r="B47" s="8">
        <v>1286.2546670700001</v>
      </c>
      <c r="C47" s="11">
        <f t="shared" si="0"/>
        <v>1.8019506415587168E-3</v>
      </c>
      <c r="E47" s="236">
        <v>36</v>
      </c>
      <c r="F47" s="326">
        <v>10607.233687593447</v>
      </c>
      <c r="G47" s="11">
        <f t="shared" si="1"/>
        <v>1.4648564949404579E-2</v>
      </c>
    </row>
    <row r="48" spans="1:7" x14ac:dyDescent="0.25">
      <c r="A48">
        <v>37</v>
      </c>
      <c r="B48" s="8">
        <v>11688.1619787457</v>
      </c>
      <c r="C48" s="11">
        <f t="shared" si="0"/>
        <v>1.6374277594824706E-2</v>
      </c>
      <c r="E48" s="237">
        <v>37</v>
      </c>
      <c r="F48" s="327">
        <v>6575.9109150695485</v>
      </c>
      <c r="G48" s="11">
        <f t="shared" si="1"/>
        <v>9.081317615691132E-3</v>
      </c>
    </row>
    <row r="49" spans="1:7" x14ac:dyDescent="0.25">
      <c r="A49">
        <v>38</v>
      </c>
      <c r="B49" s="8">
        <v>9089.8752767496007</v>
      </c>
      <c r="C49" s="11">
        <f t="shared" si="0"/>
        <v>1.273426406602594E-2</v>
      </c>
      <c r="E49" s="238">
        <v>38</v>
      </c>
      <c r="F49" s="328">
        <v>6279.0755718138962</v>
      </c>
      <c r="G49" s="11">
        <f t="shared" si="1"/>
        <v>8.6713886999131157E-3</v>
      </c>
    </row>
    <row r="50" spans="1:7" x14ac:dyDescent="0.25">
      <c r="A50">
        <v>39</v>
      </c>
      <c r="B50" s="8">
        <v>5598.9639928003999</v>
      </c>
      <c r="C50" s="11">
        <f t="shared" si="0"/>
        <v>7.8437474453430089E-3</v>
      </c>
      <c r="E50" s="239">
        <v>39</v>
      </c>
      <c r="F50" s="329">
        <v>6873.8531824065522</v>
      </c>
      <c r="G50" s="11">
        <f t="shared" si="1"/>
        <v>9.4927751910402758E-3</v>
      </c>
    </row>
    <row r="51" spans="1:7" x14ac:dyDescent="0.25">
      <c r="A51">
        <v>40</v>
      </c>
      <c r="B51" s="8">
        <v>8490.2575181550001</v>
      </c>
      <c r="C51" s="11">
        <f t="shared" si="0"/>
        <v>1.1894242542721537E-2</v>
      </c>
      <c r="E51" s="240">
        <v>40</v>
      </c>
      <c r="F51" s="330">
        <v>8210.4943643782317</v>
      </c>
      <c r="G51" s="11">
        <f t="shared" si="1"/>
        <v>1.1338673541621757E-2</v>
      </c>
    </row>
    <row r="52" spans="1:7" x14ac:dyDescent="0.25">
      <c r="A52">
        <v>41</v>
      </c>
      <c r="B52" s="8">
        <v>11066.512236332999</v>
      </c>
      <c r="C52" s="11">
        <f t="shared" si="0"/>
        <v>1.5503390840557704E-2</v>
      </c>
      <c r="E52" s="241">
        <v>41</v>
      </c>
      <c r="F52" s="331">
        <v>4732.4028400977822</v>
      </c>
      <c r="G52" s="11">
        <f t="shared" si="1"/>
        <v>6.5354372696626176E-3</v>
      </c>
    </row>
    <row r="53" spans="1:7" x14ac:dyDescent="0.25">
      <c r="A53">
        <v>42</v>
      </c>
      <c r="B53" s="8">
        <v>526.7772426363</v>
      </c>
      <c r="C53" s="11">
        <f t="shared" si="0"/>
        <v>7.3797717872564519E-4</v>
      </c>
      <c r="E53" s="242">
        <v>42</v>
      </c>
      <c r="F53" s="332">
        <v>7550.5024773686837</v>
      </c>
      <c r="G53" s="11">
        <f t="shared" si="1"/>
        <v>1.0427226287070612E-2</v>
      </c>
    </row>
    <row r="54" spans="1:7" x14ac:dyDescent="0.25">
      <c r="A54">
        <v>43</v>
      </c>
      <c r="B54" s="8">
        <v>547.57952126400005</v>
      </c>
      <c r="C54" s="11">
        <f t="shared" si="0"/>
        <v>7.6711968081230792E-4</v>
      </c>
      <c r="E54" s="243">
        <v>43</v>
      </c>
      <c r="F54" s="333">
        <v>4567.7068573549923</v>
      </c>
      <c r="G54" s="11">
        <f t="shared" si="1"/>
        <v>6.3079925021417909E-3</v>
      </c>
    </row>
    <row r="55" spans="1:7" x14ac:dyDescent="0.25">
      <c r="A55">
        <v>44</v>
      </c>
      <c r="B55" s="8">
        <v>2528.7735699109999</v>
      </c>
      <c r="C55" s="11">
        <f t="shared" si="0"/>
        <v>3.5426306106533011E-3</v>
      </c>
      <c r="E55" s="244">
        <v>44</v>
      </c>
      <c r="F55" s="334">
        <v>3463.7514784016025</v>
      </c>
      <c r="G55" s="11">
        <f t="shared" si="1"/>
        <v>4.7834327020915843E-3</v>
      </c>
    </row>
    <row r="56" spans="1:7" x14ac:dyDescent="0.25">
      <c r="A56">
        <v>45</v>
      </c>
      <c r="B56" s="8">
        <v>31986.484365214699</v>
      </c>
      <c r="C56" s="11">
        <f t="shared" si="0"/>
        <v>4.4810773090839043E-2</v>
      </c>
      <c r="E56" s="245">
        <v>45</v>
      </c>
      <c r="F56" s="335">
        <v>3592.595235714221</v>
      </c>
      <c r="G56" s="11">
        <f t="shared" si="1"/>
        <v>4.9613656300261082E-3</v>
      </c>
    </row>
    <row r="57" spans="1:7" x14ac:dyDescent="0.25">
      <c r="A57">
        <v>46</v>
      </c>
      <c r="B57" s="8">
        <v>3263.8444416080001</v>
      </c>
      <c r="C57" s="11">
        <f t="shared" si="0"/>
        <v>4.5724122415824195E-3</v>
      </c>
      <c r="E57" s="246">
        <v>46</v>
      </c>
      <c r="F57" s="336">
        <v>3130.672930561253</v>
      </c>
      <c r="G57" s="11">
        <f t="shared" si="1"/>
        <v>4.3234520054279959E-3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247">
        <v>47</v>
      </c>
      <c r="F58" s="337">
        <v>3507.0523853726982</v>
      </c>
      <c r="G58" s="11">
        <f t="shared" si="1"/>
        <v>4.8432311534895309E-3</v>
      </c>
    </row>
    <row r="59" spans="1:7" x14ac:dyDescent="0.25">
      <c r="A59">
        <v>48</v>
      </c>
      <c r="B59" s="8">
        <v>581.61999657319996</v>
      </c>
      <c r="C59" s="11">
        <f t="shared" si="0"/>
        <v>8.1480794806820301E-4</v>
      </c>
      <c r="E59" s="248">
        <v>48</v>
      </c>
      <c r="F59" s="338">
        <v>2211.9835006746821</v>
      </c>
      <c r="G59" s="11">
        <f t="shared" si="1"/>
        <v>3.0547440483510071E-3</v>
      </c>
    </row>
    <row r="60" spans="1:7" x14ac:dyDescent="0.25">
      <c r="A60">
        <v>49</v>
      </c>
      <c r="B60" s="8">
        <v>214.10313157900001</v>
      </c>
      <c r="C60" s="11">
        <f t="shared" si="0"/>
        <v>2.9994314904010637E-4</v>
      </c>
      <c r="E60" s="249">
        <v>49</v>
      </c>
      <c r="F60" s="339">
        <v>2998.1364189370056</v>
      </c>
      <c r="G60" s="11">
        <f t="shared" si="1"/>
        <v>4.1404193924135298E-3</v>
      </c>
    </row>
    <row r="61" spans="1:7" x14ac:dyDescent="0.25">
      <c r="A61">
        <v>50</v>
      </c>
      <c r="B61" s="8">
        <v>1767.383302078</v>
      </c>
      <c r="C61" s="11">
        <f t="shared" si="0"/>
        <v>2.4759773912534982E-3</v>
      </c>
      <c r="E61" s="250">
        <v>50</v>
      </c>
      <c r="F61" s="340">
        <v>2141.2222062353012</v>
      </c>
      <c r="G61" s="11">
        <f t="shared" si="1"/>
        <v>2.9570228659930096E-3</v>
      </c>
    </row>
    <row r="62" spans="1:7" x14ac:dyDescent="0.25">
      <c r="A62">
        <v>51</v>
      </c>
      <c r="B62" s="8">
        <v>280.07762734800002</v>
      </c>
      <c r="C62" s="11">
        <f t="shared" si="0"/>
        <v>3.9236869121385745E-4</v>
      </c>
      <c r="E62" s="251">
        <v>51</v>
      </c>
      <c r="F62" s="341">
        <v>1445.2706927161166</v>
      </c>
      <c r="G62" s="11">
        <f t="shared" si="1"/>
        <v>1.995915451215656E-3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252">
        <v>52</v>
      </c>
      <c r="F63" s="342">
        <v>2874.8137621269511</v>
      </c>
      <c r="G63" s="11">
        <f t="shared" si="1"/>
        <v>3.9701110913785333E-3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253">
        <v>53</v>
      </c>
      <c r="F64" s="343">
        <v>1533.0035844196066</v>
      </c>
      <c r="G64" s="11">
        <f t="shared" si="1"/>
        <v>2.1170743697582744E-3</v>
      </c>
    </row>
    <row r="65" spans="1:7" x14ac:dyDescent="0.25">
      <c r="A65">
        <v>54</v>
      </c>
      <c r="B65" s="8">
        <v>326.75876427700001</v>
      </c>
      <c r="C65" s="11">
        <f t="shared" si="0"/>
        <v>4.5776561982482591E-4</v>
      </c>
      <c r="E65" s="254">
        <v>54</v>
      </c>
      <c r="F65" s="344">
        <v>1407.3958981772344</v>
      </c>
      <c r="G65" s="11">
        <f t="shared" si="1"/>
        <v>1.9436104484139268E-3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255">
        <v>55</v>
      </c>
      <c r="F66" s="345">
        <v>989.36955288386059</v>
      </c>
      <c r="G66" s="11">
        <f t="shared" si="1"/>
        <v>1.366317041863034E-3</v>
      </c>
    </row>
    <row r="67" spans="1:7" x14ac:dyDescent="0.25">
      <c r="A67">
        <v>56</v>
      </c>
      <c r="B67" s="8">
        <v>232.83353132580001</v>
      </c>
      <c r="C67" s="11">
        <f t="shared" si="0"/>
        <v>3.2618309724358348E-4</v>
      </c>
      <c r="E67" s="256">
        <v>56</v>
      </c>
      <c r="F67" s="346">
        <v>1268.2319263013794</v>
      </c>
      <c r="G67" s="11">
        <f t="shared" si="1"/>
        <v>1.7514253282704037E-3</v>
      </c>
    </row>
    <row r="68" spans="1:7" x14ac:dyDescent="0.25">
      <c r="A68">
        <v>57</v>
      </c>
      <c r="B68" s="8">
        <v>1954.083490471</v>
      </c>
      <c r="C68" s="11">
        <f t="shared" si="0"/>
        <v>2.7375309800309459E-3</v>
      </c>
      <c r="E68" s="257">
        <v>57</v>
      </c>
      <c r="F68" s="347">
        <v>1243.934060981479</v>
      </c>
      <c r="G68" s="11">
        <f t="shared" si="1"/>
        <v>1.7178700330112116E-3</v>
      </c>
    </row>
    <row r="69" spans="1:7" x14ac:dyDescent="0.25">
      <c r="A69">
        <v>58</v>
      </c>
      <c r="B69" s="8">
        <v>2200.5929787660002</v>
      </c>
      <c r="C69" s="11">
        <f t="shared" si="0"/>
        <v>3.0828731132457772E-3</v>
      </c>
      <c r="E69" s="258">
        <v>58</v>
      </c>
      <c r="F69" s="348">
        <v>1554.4931839654171</v>
      </c>
      <c r="G69" s="11">
        <f t="shared" si="1"/>
        <v>2.1467514565421441E-3</v>
      </c>
    </row>
    <row r="70" spans="1:7" x14ac:dyDescent="0.25">
      <c r="A70">
        <v>59</v>
      </c>
      <c r="B70" s="8">
        <v>716.60170714729998</v>
      </c>
      <c r="C70" s="11">
        <f t="shared" si="0"/>
        <v>1.003907654521945E-3</v>
      </c>
      <c r="E70" s="259">
        <v>59</v>
      </c>
      <c r="F70" s="349">
        <v>816.29150482191926</v>
      </c>
      <c r="G70" s="11">
        <f t="shared" si="1"/>
        <v>1.1272966617127472E-3</v>
      </c>
    </row>
    <row r="71" spans="1:7" x14ac:dyDescent="0.25">
      <c r="A71">
        <v>60</v>
      </c>
      <c r="B71" s="8">
        <v>1985.7672183407001</v>
      </c>
      <c r="C71" s="11">
        <f t="shared" si="0"/>
        <v>2.7819176129609789E-3</v>
      </c>
      <c r="E71" s="260">
        <v>60</v>
      </c>
      <c r="F71" s="350">
        <v>1302.4860311733794</v>
      </c>
      <c r="G71" s="11">
        <f t="shared" si="1"/>
        <v>1.798730167098278E-3</v>
      </c>
    </row>
    <row r="72" spans="1:7" x14ac:dyDescent="0.25">
      <c r="A72">
        <v>61</v>
      </c>
      <c r="B72" s="8">
        <v>711.38740566499996</v>
      </c>
      <c r="C72" s="11">
        <f t="shared" si="0"/>
        <v>9.9660279169667379E-4</v>
      </c>
      <c r="E72" s="261">
        <v>61</v>
      </c>
      <c r="F72" s="351">
        <v>656.5855624704401</v>
      </c>
      <c r="G72" s="11">
        <f t="shared" si="1"/>
        <v>9.0674312831809638E-4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262">
        <v>62</v>
      </c>
      <c r="F73" s="352">
        <v>431.62607245710149</v>
      </c>
      <c r="G73" s="11">
        <f t="shared" si="1"/>
        <v>5.960745980018795E-4</v>
      </c>
    </row>
    <row r="74" spans="1:7" x14ac:dyDescent="0.25">
      <c r="A74">
        <v>63</v>
      </c>
      <c r="B74" s="8">
        <v>110.470897351</v>
      </c>
      <c r="C74" s="11">
        <f t="shared" si="0"/>
        <v>1.5476181307754063E-4</v>
      </c>
      <c r="E74" s="263">
        <v>63</v>
      </c>
      <c r="F74" s="353">
        <v>516.3995670696346</v>
      </c>
      <c r="G74" s="11">
        <f t="shared" si="1"/>
        <v>7.1314659607354925E-4</v>
      </c>
    </row>
    <row r="75" spans="1:7" x14ac:dyDescent="0.25">
      <c r="A75">
        <v>64</v>
      </c>
      <c r="B75" s="8">
        <v>111.109208251</v>
      </c>
      <c r="C75" s="11">
        <f t="shared" si="0"/>
        <v>1.5565604091998572E-4</v>
      </c>
      <c r="E75" s="264">
        <v>64</v>
      </c>
      <c r="F75" s="354">
        <v>522.92613027153186</v>
      </c>
      <c r="G75" s="11">
        <f t="shared" si="1"/>
        <v>7.2215976461260088E-4</v>
      </c>
    </row>
    <row r="76" spans="1:7" x14ac:dyDescent="0.25">
      <c r="A76">
        <v>65</v>
      </c>
      <c r="B76" s="8">
        <v>77.448508152800002</v>
      </c>
      <c r="C76" s="11">
        <f t="shared" si="0"/>
        <v>1.0849981152768753E-4</v>
      </c>
      <c r="E76" s="265">
        <v>65</v>
      </c>
      <c r="F76" s="355">
        <v>544.10721640764223</v>
      </c>
      <c r="G76" s="11">
        <f t="shared" si="1"/>
        <v>7.514107950982071E-4</v>
      </c>
    </row>
    <row r="77" spans="1:7" x14ac:dyDescent="0.25">
      <c r="A77">
        <v>66</v>
      </c>
      <c r="B77" s="8">
        <v>4.59375</v>
      </c>
      <c r="C77" s="11">
        <f t="shared" ref="C77:C102" si="2">B77/B$102</f>
        <v>6.4355146547428382E-6</v>
      </c>
      <c r="E77" s="266">
        <v>66</v>
      </c>
      <c r="F77" s="356">
        <v>187.0935188919259</v>
      </c>
      <c r="G77" s="11">
        <f t="shared" ref="G77:G102" si="3">F77/F$102</f>
        <v>2.5837571263340609E-4</v>
      </c>
    </row>
    <row r="78" spans="1:7" x14ac:dyDescent="0.25">
      <c r="A78">
        <v>67</v>
      </c>
      <c r="B78" s="8">
        <v>5478.7985561530004</v>
      </c>
      <c r="C78" s="11">
        <f t="shared" si="2"/>
        <v>7.6754042772259126E-3</v>
      </c>
      <c r="E78" s="267">
        <v>67</v>
      </c>
      <c r="F78" s="357">
        <v>200.06222850139102</v>
      </c>
      <c r="G78" s="11">
        <f t="shared" si="3"/>
        <v>2.7628547031569565E-4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8">
        <v>68</v>
      </c>
      <c r="F79" s="358">
        <v>171.54484551734501</v>
      </c>
      <c r="G79" s="11">
        <f t="shared" si="3"/>
        <v>2.3690303101698922E-4</v>
      </c>
    </row>
    <row r="80" spans="1:7" x14ac:dyDescent="0.25">
      <c r="A80">
        <v>69</v>
      </c>
      <c r="B80" s="8">
        <v>1506.3249963339999</v>
      </c>
      <c r="C80" s="11">
        <f t="shared" si="2"/>
        <v>2.1102534070667556E-3</v>
      </c>
      <c r="E80" s="269">
        <v>69</v>
      </c>
      <c r="F80" s="359">
        <v>191.22893775296603</v>
      </c>
      <c r="G80" s="11">
        <f t="shared" si="3"/>
        <v>2.6408671642224441E-4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270">
        <v>70</v>
      </c>
      <c r="F81" s="360">
        <v>188.36002075795017</v>
      </c>
      <c r="G81" s="11">
        <f t="shared" si="3"/>
        <v>2.6012474875247439E-4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271">
        <v>71</v>
      </c>
      <c r="F82" s="361">
        <v>142.55030594196464</v>
      </c>
      <c r="G82" s="11">
        <f t="shared" si="3"/>
        <v>1.968616395800478E-4</v>
      </c>
    </row>
    <row r="83" spans="1:7" x14ac:dyDescent="0.25">
      <c r="A83">
        <v>72</v>
      </c>
      <c r="B83" s="8">
        <v>618.016967959</v>
      </c>
      <c r="C83" s="11">
        <f t="shared" si="2"/>
        <v>8.6579749750854518E-4</v>
      </c>
      <c r="E83" s="272">
        <v>72</v>
      </c>
      <c r="F83" s="362">
        <v>165.53721259682254</v>
      </c>
      <c r="G83" s="11">
        <f t="shared" si="3"/>
        <v>2.2860650398455609E-4</v>
      </c>
    </row>
    <row r="84" spans="1:7" x14ac:dyDescent="0.25">
      <c r="A84">
        <v>73</v>
      </c>
      <c r="B84" s="8">
        <v>767.70177890100001</v>
      </c>
      <c r="C84" s="11">
        <f t="shared" si="2"/>
        <v>1.0754951942507824E-3</v>
      </c>
      <c r="E84" s="273">
        <v>73</v>
      </c>
      <c r="F84" s="363">
        <v>195.69286290342856</v>
      </c>
      <c r="G84" s="11">
        <f t="shared" si="3"/>
        <v>2.7025138662954955E-4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4">
        <v>74</v>
      </c>
      <c r="F85" s="364">
        <v>131.09208099664019</v>
      </c>
      <c r="G85" s="11">
        <f t="shared" si="3"/>
        <v>1.8103785769120419E-4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275">
        <v>75</v>
      </c>
      <c r="F86" s="365">
        <v>102.48871546205568</v>
      </c>
      <c r="G86" s="11">
        <f t="shared" si="3"/>
        <v>1.4153667669101607E-4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6">
        <v>76</v>
      </c>
      <c r="F87" s="366">
        <v>185.1070895923792</v>
      </c>
      <c r="G87" s="11">
        <f t="shared" si="3"/>
        <v>2.5563245841003172E-4</v>
      </c>
    </row>
    <row r="88" spans="1:7" x14ac:dyDescent="0.25">
      <c r="A88">
        <v>77</v>
      </c>
      <c r="B88" s="8">
        <v>103.88408116700001</v>
      </c>
      <c r="C88" s="11">
        <f t="shared" si="2"/>
        <v>1.4553415548184445E-4</v>
      </c>
      <c r="E88" s="277">
        <v>77</v>
      </c>
      <c r="F88" s="367">
        <v>75.798174426337965</v>
      </c>
      <c r="G88" s="11">
        <f t="shared" si="3"/>
        <v>1.0467710185636721E-4</v>
      </c>
    </row>
    <row r="89" spans="1:7" x14ac:dyDescent="0.25">
      <c r="A89">
        <v>78</v>
      </c>
      <c r="B89" s="8">
        <v>552.18798510219995</v>
      </c>
      <c r="C89" s="11">
        <f t="shared" si="2"/>
        <v>7.7357580850027268E-4</v>
      </c>
      <c r="E89" s="278">
        <v>78</v>
      </c>
      <c r="F89" s="368">
        <v>72.941784914775539</v>
      </c>
      <c r="G89" s="11">
        <f t="shared" si="3"/>
        <v>1.0073243461198851E-4</v>
      </c>
    </row>
    <row r="90" spans="1:7" x14ac:dyDescent="0.25">
      <c r="A90">
        <v>79</v>
      </c>
      <c r="B90" s="8">
        <v>3617.977487135</v>
      </c>
      <c r="C90" s="11">
        <f t="shared" si="2"/>
        <v>5.0685272683509029E-3</v>
      </c>
      <c r="E90" s="279">
        <v>79</v>
      </c>
      <c r="F90" s="369">
        <v>37.135387826459258</v>
      </c>
      <c r="G90" s="11">
        <f t="shared" si="3"/>
        <v>5.1283883858755069E-5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80">
        <v>80</v>
      </c>
      <c r="F91" s="370">
        <v>27.97612153237538</v>
      </c>
      <c r="G91" s="11">
        <f t="shared" si="3"/>
        <v>3.8634958498063766E-5</v>
      </c>
    </row>
    <row r="92" spans="1:7" x14ac:dyDescent="0.25">
      <c r="A92">
        <v>81</v>
      </c>
      <c r="B92" s="8">
        <v>761.46603189900009</v>
      </c>
      <c r="C92" s="11">
        <f t="shared" si="2"/>
        <v>1.0667593594285479E-3</v>
      </c>
      <c r="E92" s="281">
        <v>81</v>
      </c>
      <c r="F92" s="371">
        <v>60.286718934812612</v>
      </c>
      <c r="G92" s="11">
        <f t="shared" si="3"/>
        <v>8.325581804952775E-5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282">
        <v>82</v>
      </c>
      <c r="F93" s="372">
        <v>40.710555862160746</v>
      </c>
      <c r="G93" s="11">
        <f t="shared" si="3"/>
        <v>5.6221182566264762E-5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3">
        <v>83</v>
      </c>
      <c r="F94" s="373">
        <v>30.589937922121898</v>
      </c>
      <c r="G94" s="11">
        <f t="shared" si="3"/>
        <v>4.2244632827743493E-5</v>
      </c>
    </row>
    <row r="95" spans="1:7" x14ac:dyDescent="0.25">
      <c r="A95">
        <v>84</v>
      </c>
      <c r="B95" s="8">
        <v>470.63862499999999</v>
      </c>
      <c r="C95" s="11">
        <f t="shared" si="2"/>
        <v>6.5933099717562318E-4</v>
      </c>
      <c r="E95" s="284">
        <v>84</v>
      </c>
      <c r="F95" s="374">
        <v>50.378711258673057</v>
      </c>
      <c r="G95" s="11">
        <f t="shared" si="3"/>
        <v>6.9572882588900785E-5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5">
        <v>85</v>
      </c>
      <c r="F96" s="375">
        <v>25.38595121225644</v>
      </c>
      <c r="G96" s="11">
        <f t="shared" si="3"/>
        <v>3.5057939335314406E-5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6">
        <v>86</v>
      </c>
      <c r="F97" s="376">
        <v>30.719156898981453</v>
      </c>
      <c r="G97" s="11">
        <f t="shared" si="3"/>
        <v>4.2423083932996008E-5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7">
        <v>87</v>
      </c>
      <c r="F98" s="377">
        <v>10.25</v>
      </c>
      <c r="G98" s="11">
        <f t="shared" si="3"/>
        <v>1.4155226061156218E-5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8">
        <v>88</v>
      </c>
      <c r="F99" s="378">
        <v>109.97457597285587</v>
      </c>
      <c r="G99" s="11">
        <f t="shared" si="3"/>
        <v>1.5187463257322671E-4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9">
        <v>89</v>
      </c>
      <c r="F100" s="379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3181.9468036631001</v>
      </c>
      <c r="C101" s="11">
        <f t="shared" si="2"/>
        <v>4.4576795179506962E-3</v>
      </c>
      <c r="E101" s="382">
        <v>90</v>
      </c>
      <c r="F101" s="382">
        <v>140.63128955367975</v>
      </c>
      <c r="G101" s="11">
        <f t="shared" si="3"/>
        <v>1.9421148242968329E-4</v>
      </c>
    </row>
    <row r="102" spans="1:7" x14ac:dyDescent="0.25">
      <c r="B102" s="8">
        <f>SUM(B11:B101)</f>
        <v>713812.37499234092</v>
      </c>
      <c r="C102" s="11">
        <f t="shared" si="2"/>
        <v>1</v>
      </c>
      <c r="F102" s="8">
        <f>SUM(F11:F101)</f>
        <v>724114.18621757894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width="12.28515625" bestFit="1" customWidth="1" collapsed="1"/>
    <col min="13" max="14" width="10.7109375" bestFit="1" customWidth="1" collapsed="1"/>
    <col min="15" max="15" width="12.5703125" bestFit="1" customWidth="1" collapsed="1"/>
    <col min="16" max="16" width="10.7109375" bestFit="1" customWidth="1" collapsed="1"/>
    <col min="17" max="17" width="11.5703125" bestFit="1" customWidth="1" collapsed="1"/>
    <col min="18" max="18" width="10.7109375" bestFit="1" customWidth="1" collapsed="1"/>
    <col min="19" max="19" width="11.5703125" bestFit="1" customWidth="1" collapsed="1"/>
    <col min="20" max="20" width="9.28515625" bestFit="1" customWidth="1" collapsed="1"/>
    <col min="21" max="21" width="11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>
        <v>16958.752322610901</v>
      </c>
      <c r="C7" s="12">
        <v>1064.6801145748</v>
      </c>
      <c r="D7" s="12">
        <v>1316.8980800259001</v>
      </c>
      <c r="E7" s="12">
        <v>781.90163879600004</v>
      </c>
      <c r="F7" s="12">
        <v>1306.2295720049999</v>
      </c>
      <c r="G7" s="12">
        <v>703.39703969900006</v>
      </c>
      <c r="H7" s="12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>
        <v>13407.25</v>
      </c>
      <c r="N7" s="430">
        <v>2249.25</v>
      </c>
      <c r="O7" s="430">
        <v>1727.5</v>
      </c>
      <c r="P7" s="430">
        <v>2298.75</v>
      </c>
      <c r="Q7" s="430">
        <v>3457.5</v>
      </c>
      <c r="R7" s="430">
        <v>1044</v>
      </c>
      <c r="S7" s="430">
        <v>3718</v>
      </c>
      <c r="T7" s="430"/>
      <c r="U7" s="431">
        <f>SUM(M7:T7)</f>
        <v>27902.25</v>
      </c>
    </row>
    <row r="8" spans="1:21" x14ac:dyDescent="0.25">
      <c r="A8" t="s">
        <v>249</v>
      </c>
      <c r="B8" s="12">
        <v>131.494048378</v>
      </c>
      <c r="C8" s="12">
        <v>354.27479282450003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485.76884120250003</v>
      </c>
      <c r="K8" s="12"/>
      <c r="L8" t="str">
        <f>$A$8</f>
        <v>Bellevue Downtown</v>
      </c>
      <c r="M8" s="430">
        <v>814.5</v>
      </c>
      <c r="N8" s="430">
        <v>750.5</v>
      </c>
      <c r="O8" s="430">
        <v>112.75</v>
      </c>
      <c r="P8" s="430">
        <v>63.25</v>
      </c>
      <c r="Q8" s="430">
        <v>147</v>
      </c>
      <c r="R8" s="430">
        <v>37.5</v>
      </c>
      <c r="S8" s="430">
        <v>101</v>
      </c>
      <c r="T8" s="430"/>
      <c r="U8" s="431">
        <f t="shared" ref="U8:U14" si="1">SUM(M8:T8)</f>
        <v>2026.5</v>
      </c>
    </row>
    <row r="9" spans="1:21" x14ac:dyDescent="0.25">
      <c r="A9" t="s">
        <v>250</v>
      </c>
      <c r="B9" s="12">
        <v>0</v>
      </c>
      <c r="C9" s="12">
        <v>191.15353907900001</v>
      </c>
      <c r="D9" s="12">
        <v>22512.264472701001</v>
      </c>
      <c r="E9" s="12">
        <v>2951.87033819</v>
      </c>
      <c r="F9" s="12">
        <v>707.17862642399996</v>
      </c>
      <c r="G9" s="12">
        <v>529.27215915500005</v>
      </c>
      <c r="H9" s="12">
        <v>3478.0017133289998</v>
      </c>
      <c r="I9" s="12"/>
      <c r="J9" s="12">
        <f t="shared" si="0"/>
        <v>30369.740848878002</v>
      </c>
      <c r="K9" s="13"/>
      <c r="L9" t="str">
        <f>$A$9</f>
        <v>Kirkland</v>
      </c>
      <c r="M9" s="430">
        <v>2202.5</v>
      </c>
      <c r="N9" s="430">
        <v>529.75</v>
      </c>
      <c r="O9" s="430">
        <v>11725.5</v>
      </c>
      <c r="P9" s="430">
        <v>2385.75</v>
      </c>
      <c r="Q9" s="430">
        <v>3786.5</v>
      </c>
      <c r="R9" s="430">
        <v>570</v>
      </c>
      <c r="S9" s="430">
        <v>3636.5</v>
      </c>
      <c r="T9" s="430"/>
      <c r="U9" s="431">
        <f t="shared" si="1"/>
        <v>24836.5</v>
      </c>
    </row>
    <row r="10" spans="1:21" x14ac:dyDescent="0.25">
      <c r="A10" t="s">
        <v>251</v>
      </c>
      <c r="B10" s="12">
        <v>609.15899807400001</v>
      </c>
      <c r="C10" s="12">
        <v>260.124522619</v>
      </c>
      <c r="D10" s="12">
        <v>5974.8118415919998</v>
      </c>
      <c r="E10" s="12">
        <v>13997.361400411999</v>
      </c>
      <c r="F10" s="12">
        <v>2700.3484961650001</v>
      </c>
      <c r="G10" s="12">
        <v>0</v>
      </c>
      <c r="H10" s="12">
        <v>1017.747610799</v>
      </c>
      <c r="I10" s="12"/>
      <c r="J10" s="12">
        <f t="shared" si="0"/>
        <v>24559.552869660998</v>
      </c>
      <c r="K10" s="13"/>
      <c r="L10" t="str">
        <f>$A$10</f>
        <v>Redmond</v>
      </c>
      <c r="M10" s="430">
        <v>3225.5</v>
      </c>
      <c r="N10" s="430">
        <v>430.5</v>
      </c>
      <c r="O10" s="430">
        <v>3440</v>
      </c>
      <c r="P10" s="430">
        <v>7656.75</v>
      </c>
      <c r="Q10" s="430">
        <v>1806.75</v>
      </c>
      <c r="R10" s="430">
        <v>382</v>
      </c>
      <c r="S10" s="430">
        <v>2755.25</v>
      </c>
      <c r="T10" s="430"/>
      <c r="U10" s="431">
        <f t="shared" si="1"/>
        <v>19696.75</v>
      </c>
    </row>
    <row r="11" spans="1:21" x14ac:dyDescent="0.25">
      <c r="A11" t="s">
        <v>247</v>
      </c>
      <c r="B11" s="12">
        <v>1692.6768807880001</v>
      </c>
      <c r="C11" s="12">
        <v>63.528726943999999</v>
      </c>
      <c r="D11" s="12">
        <v>160.016879313</v>
      </c>
      <c r="E11" s="12">
        <v>9.4774999999999991</v>
      </c>
      <c r="F11" s="12">
        <v>88217.566242208093</v>
      </c>
      <c r="G11" s="12">
        <v>13915.1218176164</v>
      </c>
      <c r="H11" s="12">
        <v>6127.6922476264999</v>
      </c>
      <c r="I11" s="12"/>
      <c r="J11" s="12">
        <f t="shared" si="0"/>
        <v>110186.08029449599</v>
      </c>
      <c r="K11" s="13"/>
      <c r="L11" t="str">
        <f>$A$11</f>
        <v>Seattle</v>
      </c>
      <c r="M11" s="430">
        <v>2252.2204482565771</v>
      </c>
      <c r="N11" s="430">
        <v>489.6441944717036</v>
      </c>
      <c r="O11" s="430">
        <v>2221.9374467600965</v>
      </c>
      <c r="P11" s="430">
        <v>925.18960741195849</v>
      </c>
      <c r="Q11" s="430">
        <v>85505.156303539377</v>
      </c>
      <c r="R11" s="430">
        <v>10044.564321677402</v>
      </c>
      <c r="S11" s="430">
        <v>12462.744138877524</v>
      </c>
      <c r="T11" s="430"/>
      <c r="U11" s="431">
        <f t="shared" si="1"/>
        <v>113901.45646099464</v>
      </c>
    </row>
    <row r="12" spans="1:21" x14ac:dyDescent="0.25">
      <c r="A12" t="s">
        <v>252</v>
      </c>
      <c r="B12" s="12">
        <v>57.514866203499999</v>
      </c>
      <c r="C12" s="12">
        <v>0</v>
      </c>
      <c r="D12" s="12">
        <v>0</v>
      </c>
      <c r="E12" s="12">
        <v>0</v>
      </c>
      <c r="F12" s="12">
        <v>4316.5827853598003</v>
      </c>
      <c r="G12" s="12">
        <v>5541.7068748444999</v>
      </c>
      <c r="H12" s="12">
        <v>771.78555955470006</v>
      </c>
      <c r="I12" s="12"/>
      <c r="J12" s="12">
        <f t="shared" si="0"/>
        <v>10687.5900859625</v>
      </c>
      <c r="K12" s="13"/>
      <c r="L12" t="str">
        <f>$A$12</f>
        <v>Seattle Downtown</v>
      </c>
      <c r="M12" s="430">
        <v>129.91136658380046</v>
      </c>
      <c r="N12" s="430">
        <v>49.964170867284629</v>
      </c>
      <c r="O12" s="430">
        <v>87.966956032359619</v>
      </c>
      <c r="P12" s="430">
        <v>49.931032357177948</v>
      </c>
      <c r="Q12" s="430">
        <v>3340.0461648595315</v>
      </c>
      <c r="R12" s="430">
        <v>7587.3525094544802</v>
      </c>
      <c r="S12" s="430">
        <v>417.69550221772425</v>
      </c>
      <c r="T12" s="430"/>
      <c r="U12" s="431">
        <f t="shared" si="1"/>
        <v>11662.867702372359</v>
      </c>
    </row>
    <row r="13" spans="1:21" x14ac:dyDescent="0.25">
      <c r="A13" t="s">
        <v>253</v>
      </c>
      <c r="B13" s="12">
        <v>8122.8703632389997</v>
      </c>
      <c r="C13" s="12">
        <v>3138.15946386</v>
      </c>
      <c r="D13" s="12">
        <v>10022.891088588</v>
      </c>
      <c r="E13" s="12">
        <v>2645.91822705</v>
      </c>
      <c r="F13" s="12">
        <v>15413.214594069599</v>
      </c>
      <c r="G13" s="12">
        <v>10252.112391438601</v>
      </c>
      <c r="H13" s="12">
        <v>467326.12922186998</v>
      </c>
      <c r="I13" s="12"/>
      <c r="J13" s="12">
        <f t="shared" si="0"/>
        <v>516921.29535011516</v>
      </c>
      <c r="K13" s="13"/>
      <c r="L13" t="str">
        <f>$A$13</f>
        <v>Rest</v>
      </c>
      <c r="M13" s="430">
        <v>10954.040745565891</v>
      </c>
      <c r="N13" s="430">
        <v>1784.2103426366655</v>
      </c>
      <c r="O13" s="430">
        <v>9178.4068274339297</v>
      </c>
      <c r="P13" s="430">
        <v>7185.7862862795064</v>
      </c>
      <c r="Q13" s="430">
        <v>31588.756595157796</v>
      </c>
      <c r="R13" s="430">
        <v>6029.0884254178673</v>
      </c>
      <c r="S13" s="430">
        <v>455371.0350277737</v>
      </c>
      <c r="T13" s="430"/>
      <c r="U13" s="431">
        <f t="shared" si="1"/>
        <v>522091.32425026537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27572.467479293398</v>
      </c>
      <c r="C15" s="16">
        <f t="shared" si="2"/>
        <v>5071.9211599012997</v>
      </c>
      <c r="D15" s="16">
        <f t="shared" si="2"/>
        <v>39986.882362219898</v>
      </c>
      <c r="E15" s="16">
        <f t="shared" si="2"/>
        <v>20386.529104448</v>
      </c>
      <c r="F15" s="16">
        <f t="shared" si="2"/>
        <v>112661.12031623151</v>
      </c>
      <c r="G15" s="16">
        <f t="shared" si="2"/>
        <v>30941.610282753503</v>
      </c>
      <c r="H15" s="16">
        <f t="shared" si="2"/>
        <v>481522.57452353416</v>
      </c>
      <c r="I15" s="16">
        <f t="shared" si="2"/>
        <v>0</v>
      </c>
      <c r="J15" s="16">
        <f t="shared" si="2"/>
        <v>718143.1052283817</v>
      </c>
      <c r="K15" s="12"/>
      <c r="L15" s="16" t="s">
        <v>4</v>
      </c>
      <c r="M15" s="433">
        <f t="shared" ref="M15:U15" si="3">SUM(M7:M14)</f>
        <v>32985.922560406267</v>
      </c>
      <c r="N15" s="433">
        <f t="shared" si="3"/>
        <v>6283.8187079756535</v>
      </c>
      <c r="O15" s="433">
        <f t="shared" si="3"/>
        <v>28494.061230226387</v>
      </c>
      <c r="P15" s="433">
        <f t="shared" si="3"/>
        <v>20565.406926048643</v>
      </c>
      <c r="Q15" s="433">
        <f t="shared" si="3"/>
        <v>129631.70906355671</v>
      </c>
      <c r="R15" s="433">
        <f t="shared" si="3"/>
        <v>25694.50525654975</v>
      </c>
      <c r="S15" s="433">
        <f t="shared" si="3"/>
        <v>478462.22466886893</v>
      </c>
      <c r="T15" s="433">
        <f t="shared" si="3"/>
        <v>0</v>
      </c>
      <c r="U15" s="433">
        <f t="shared" si="3"/>
        <v>722117.64841363241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18978.297310394559</v>
      </c>
      <c r="C20" s="12">
        <f t="shared" si="4"/>
        <v>1191.4682973419765</v>
      </c>
      <c r="D20" s="12">
        <f t="shared" si="4"/>
        <v>1473.7218171938935</v>
      </c>
      <c r="E20" s="12">
        <f t="shared" si="4"/>
        <v>875.01494722405664</v>
      </c>
      <c r="F20" s="12">
        <f t="shared" si="4"/>
        <v>1461.7828423667761</v>
      </c>
      <c r="G20" s="12">
        <f t="shared" si="4"/>
        <v>787.16157254449649</v>
      </c>
      <c r="H20" s="12">
        <f t="shared" ref="H20" si="5">($U7/$J7)*H7</f>
        <v>3134.8032129342405</v>
      </c>
      <c r="I20" s="12"/>
      <c r="J20" s="12">
        <f>SUM(B20:I20)</f>
        <v>27902.249999999996</v>
      </c>
      <c r="K20" s="12"/>
      <c r="L20" t="str">
        <f>$A$7</f>
        <v>Bellevue</v>
      </c>
      <c r="M20" s="12">
        <f>M7</f>
        <v>13407.25</v>
      </c>
      <c r="N20" s="12">
        <f t="shared" ref="N20:U20" si="6">N7</f>
        <v>2249.25</v>
      </c>
      <c r="O20" s="12">
        <f t="shared" si="6"/>
        <v>1727.5</v>
      </c>
      <c r="P20" s="12">
        <f t="shared" si="6"/>
        <v>2298.75</v>
      </c>
      <c r="Q20" s="12">
        <f t="shared" si="6"/>
        <v>3457.5</v>
      </c>
      <c r="R20" s="12">
        <f t="shared" si="6"/>
        <v>1044</v>
      </c>
      <c r="S20" s="12">
        <f t="shared" si="6"/>
        <v>3718</v>
      </c>
      <c r="T20" s="12"/>
      <c r="U20" s="12">
        <f t="shared" si="6"/>
        <v>27902.25</v>
      </c>
    </row>
    <row r="21" spans="1:32" x14ac:dyDescent="0.25">
      <c r="A21" t="str">
        <f>$A$8</f>
        <v>Bellevue Downtown</v>
      </c>
      <c r="B21" s="12">
        <f t="shared" ref="B21:G26" si="7">($U8/$J8)*B8</f>
        <v>548.55862796464112</v>
      </c>
      <c r="C21" s="12">
        <f t="shared" si="7"/>
        <v>1477.9413720353591</v>
      </c>
      <c r="D21" s="12">
        <f t="shared" si="7"/>
        <v>0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" si="8">($U8/$J8)*H8</f>
        <v>0</v>
      </c>
      <c r="I21" s="12"/>
      <c r="J21" s="12">
        <f t="shared" ref="J21:J27" si="9">SUM(B21:I21)</f>
        <v>2026.5000000000002</v>
      </c>
      <c r="K21" s="12"/>
      <c r="L21" t="str">
        <f>$A$8</f>
        <v>Bellevue Downtown</v>
      </c>
      <c r="M21" s="12">
        <f t="shared" ref="M21:U21" si="10">M8</f>
        <v>814.5</v>
      </c>
      <c r="N21" s="12">
        <f t="shared" si="10"/>
        <v>750.5</v>
      </c>
      <c r="O21" s="12">
        <f t="shared" si="10"/>
        <v>112.75</v>
      </c>
      <c r="P21" s="12">
        <f t="shared" si="10"/>
        <v>63.25</v>
      </c>
      <c r="Q21" s="12">
        <f t="shared" si="10"/>
        <v>147</v>
      </c>
      <c r="R21" s="12">
        <f t="shared" si="10"/>
        <v>37.5</v>
      </c>
      <c r="S21" s="12">
        <f t="shared" si="10"/>
        <v>101</v>
      </c>
      <c r="T21" s="12"/>
      <c r="U21" s="12">
        <f t="shared" si="10"/>
        <v>2026.5</v>
      </c>
    </row>
    <row r="22" spans="1:32" x14ac:dyDescent="0.25">
      <c r="A22" t="str">
        <f>$A$9</f>
        <v>Kirkland</v>
      </c>
      <c r="B22" s="12">
        <f t="shared" si="7"/>
        <v>0</v>
      </c>
      <c r="C22" s="12">
        <f t="shared" si="7"/>
        <v>156.32615691256322</v>
      </c>
      <c r="D22" s="12">
        <f t="shared" si="7"/>
        <v>18410.623237072999</v>
      </c>
      <c r="E22" s="12">
        <f t="shared" si="7"/>
        <v>2414.0518030520007</v>
      </c>
      <c r="F22" s="12">
        <f t="shared" si="7"/>
        <v>578.33361313745172</v>
      </c>
      <c r="G22" s="12">
        <f t="shared" si="7"/>
        <v>432.84096648255746</v>
      </c>
      <c r="H22" s="12">
        <f t="shared" ref="H22" si="11">($U9/$J9)*H9</f>
        <v>2844.3242233424271</v>
      </c>
      <c r="I22" s="12"/>
      <c r="J22" s="12">
        <f t="shared" si="9"/>
        <v>24836.5</v>
      </c>
      <c r="K22" s="13"/>
      <c r="L22" t="str">
        <f>$A$9</f>
        <v>Kirkland</v>
      </c>
      <c r="M22" s="12">
        <f t="shared" ref="M22:U22" si="12">M9</f>
        <v>2202.5</v>
      </c>
      <c r="N22" s="12">
        <f t="shared" si="12"/>
        <v>529.75</v>
      </c>
      <c r="O22" s="12">
        <f t="shared" si="12"/>
        <v>11725.5</v>
      </c>
      <c r="P22" s="12">
        <f t="shared" si="12"/>
        <v>2385.75</v>
      </c>
      <c r="Q22" s="12">
        <f t="shared" si="12"/>
        <v>3786.5</v>
      </c>
      <c r="R22" s="12">
        <f t="shared" si="12"/>
        <v>570</v>
      </c>
      <c r="S22" s="12">
        <f t="shared" si="12"/>
        <v>3636.5</v>
      </c>
      <c r="T22" s="12"/>
      <c r="U22" s="12">
        <f t="shared" si="12"/>
        <v>24836.5</v>
      </c>
    </row>
    <row r="23" spans="1:32" x14ac:dyDescent="0.25">
      <c r="A23" t="str">
        <f>$A$10</f>
        <v>Redmond</v>
      </c>
      <c r="B23" s="12">
        <f t="shared" si="7"/>
        <v>488.54523366083077</v>
      </c>
      <c r="C23" s="12">
        <f t="shared" si="7"/>
        <v>208.61974638085138</v>
      </c>
      <c r="D23" s="12">
        <f t="shared" si="7"/>
        <v>4791.7963232244156</v>
      </c>
      <c r="E23" s="12">
        <f t="shared" si="7"/>
        <v>11225.877345028824</v>
      </c>
      <c r="F23" s="12">
        <f t="shared" si="7"/>
        <v>2165.6782403209986</v>
      </c>
      <c r="G23" s="12">
        <f t="shared" si="7"/>
        <v>0</v>
      </c>
      <c r="H23" s="12">
        <f t="shared" ref="H23" si="13">($U10/$J10)*H10</f>
        <v>816.23311138407985</v>
      </c>
      <c r="I23" s="12"/>
      <c r="J23" s="12">
        <f>SUM(B23:I23)</f>
        <v>19696.75</v>
      </c>
      <c r="K23" s="13"/>
      <c r="L23" t="str">
        <f>$A$10</f>
        <v>Redmond</v>
      </c>
      <c r="M23" s="12">
        <f t="shared" ref="M23:S23" si="14">M10</f>
        <v>3225.5</v>
      </c>
      <c r="N23" s="12">
        <f t="shared" si="14"/>
        <v>430.5</v>
      </c>
      <c r="O23" s="12">
        <f t="shared" si="14"/>
        <v>3440</v>
      </c>
      <c r="P23" s="12">
        <f t="shared" si="14"/>
        <v>7656.75</v>
      </c>
      <c r="Q23" s="12">
        <f t="shared" si="14"/>
        <v>1806.75</v>
      </c>
      <c r="R23" s="12">
        <f t="shared" si="14"/>
        <v>382</v>
      </c>
      <c r="S23" s="12">
        <f t="shared" si="14"/>
        <v>2755.25</v>
      </c>
      <c r="T23" s="12"/>
      <c r="U23" s="12">
        <f t="shared" ref="U23" si="15">U10</f>
        <v>19696.75</v>
      </c>
    </row>
    <row r="24" spans="1:32" x14ac:dyDescent="0.25">
      <c r="A24" t="str">
        <f>$A$11</f>
        <v>Seattle</v>
      </c>
      <c r="B24" s="12">
        <f t="shared" si="7"/>
        <v>1749.7524326513073</v>
      </c>
      <c r="C24" s="12">
        <f t="shared" si="7"/>
        <v>65.670858848001757</v>
      </c>
      <c r="D24" s="12">
        <f t="shared" si="7"/>
        <v>165.41250549416574</v>
      </c>
      <c r="E24" s="12">
        <f t="shared" si="7"/>
        <v>9.797072831013482</v>
      </c>
      <c r="F24" s="12">
        <f t="shared" si="7"/>
        <v>91192.183745678616</v>
      </c>
      <c r="G24" s="12">
        <f t="shared" si="7"/>
        <v>14384.327290911378</v>
      </c>
      <c r="H24" s="12">
        <f t="shared" ref="H24" si="16">($U11/$J11)*H11</f>
        <v>6334.3125545801668</v>
      </c>
      <c r="I24" s="12"/>
      <c r="J24" s="12">
        <f t="shared" si="9"/>
        <v>113901.45646099464</v>
      </c>
      <c r="K24" s="13"/>
      <c r="L24" t="str">
        <f>$A$11</f>
        <v>Seattle</v>
      </c>
      <c r="M24" s="12">
        <f t="shared" ref="M24:S24" si="17">M11</f>
        <v>2252.2204482565771</v>
      </c>
      <c r="N24" s="12">
        <f t="shared" si="17"/>
        <v>489.6441944717036</v>
      </c>
      <c r="O24" s="12">
        <f t="shared" si="17"/>
        <v>2221.9374467600965</v>
      </c>
      <c r="P24" s="12">
        <f t="shared" si="17"/>
        <v>925.18960741195849</v>
      </c>
      <c r="Q24" s="12">
        <f t="shared" si="17"/>
        <v>85505.156303539377</v>
      </c>
      <c r="R24" s="12">
        <f t="shared" si="17"/>
        <v>10044.564321677402</v>
      </c>
      <c r="S24" s="12">
        <f t="shared" si="17"/>
        <v>12462.744138877524</v>
      </c>
      <c r="T24" s="12"/>
      <c r="U24" s="12">
        <f t="shared" ref="U24" si="18">U11</f>
        <v>113901.45646099464</v>
      </c>
    </row>
    <row r="25" spans="1:32" x14ac:dyDescent="0.25">
      <c r="A25" t="str">
        <f>$A$12</f>
        <v>Seattle Downtown</v>
      </c>
      <c r="B25" s="12">
        <f t="shared" si="7"/>
        <v>62.763286209124672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4710.485109090474</v>
      </c>
      <c r="G25" s="12">
        <f t="shared" si="7"/>
        <v>6047.4057862238978</v>
      </c>
      <c r="H25" s="12">
        <f t="shared" ref="H25" si="19">($U12/$J12)*H12</f>
        <v>842.21352084886405</v>
      </c>
      <c r="I25" s="12"/>
      <c r="J25" s="12">
        <f t="shared" si="9"/>
        <v>11662.867702372359</v>
      </c>
      <c r="K25" s="13"/>
      <c r="L25" t="str">
        <f>$A$12</f>
        <v>Seattle Downtown</v>
      </c>
      <c r="M25" s="12">
        <f t="shared" ref="M25:S26" si="20">M12</f>
        <v>129.91136658380046</v>
      </c>
      <c r="N25" s="12">
        <f t="shared" si="20"/>
        <v>49.964170867284629</v>
      </c>
      <c r="O25" s="12">
        <f t="shared" si="20"/>
        <v>87.966956032359619</v>
      </c>
      <c r="P25" s="12">
        <f t="shared" si="20"/>
        <v>49.931032357177948</v>
      </c>
      <c r="Q25" s="12">
        <f t="shared" si="20"/>
        <v>3340.0461648595315</v>
      </c>
      <c r="R25" s="12">
        <f t="shared" si="20"/>
        <v>7587.3525094544802</v>
      </c>
      <c r="S25" s="12">
        <f t="shared" si="20"/>
        <v>417.69550221772425</v>
      </c>
      <c r="T25" s="12"/>
      <c r="U25" s="12">
        <f t="shared" ref="U25:U26" si="21">U12</f>
        <v>11662.867702372359</v>
      </c>
    </row>
    <row r="26" spans="1:32" x14ac:dyDescent="0.25">
      <c r="A26" t="str">
        <f>$A$13</f>
        <v>Rest</v>
      </c>
      <c r="B26" s="12">
        <f t="shared" si="7"/>
        <v>8204.1118886083023</v>
      </c>
      <c r="C26" s="12">
        <f t="shared" si="7"/>
        <v>3169.5460120006546</v>
      </c>
      <c r="D26" s="12">
        <f t="shared" si="7"/>
        <v>10123.135820343459</v>
      </c>
      <c r="E26" s="12">
        <f t="shared" si="7"/>
        <v>2672.381585832728</v>
      </c>
      <c r="F26" s="12">
        <f t="shared" si="7"/>
        <v>15567.371069363548</v>
      </c>
      <c r="G26" s="12">
        <f t="shared" si="7"/>
        <v>10354.649698042356</v>
      </c>
      <c r="H26" s="12">
        <f t="shared" ref="H26" si="22">($U13/$J13)*H13</f>
        <v>472000.1281760743</v>
      </c>
      <c r="I26" s="12"/>
      <c r="J26" s="12">
        <f t="shared" si="9"/>
        <v>522091.32425026537</v>
      </c>
      <c r="K26" s="13"/>
      <c r="L26" t="str">
        <f>$A$13</f>
        <v>Rest</v>
      </c>
      <c r="M26" s="12">
        <f t="shared" si="20"/>
        <v>10954.040745565891</v>
      </c>
      <c r="N26" s="12">
        <f t="shared" si="20"/>
        <v>1784.2103426366655</v>
      </c>
      <c r="O26" s="12">
        <f t="shared" si="20"/>
        <v>9178.4068274339297</v>
      </c>
      <c r="P26" s="12">
        <f t="shared" si="20"/>
        <v>7185.7862862795064</v>
      </c>
      <c r="Q26" s="12">
        <f t="shared" si="20"/>
        <v>31588.756595157796</v>
      </c>
      <c r="R26" s="12">
        <f t="shared" si="20"/>
        <v>6029.0884254178673</v>
      </c>
      <c r="S26" s="12">
        <f t="shared" si="20"/>
        <v>455371.0350277737</v>
      </c>
      <c r="T26" s="12"/>
      <c r="U26" s="12">
        <f t="shared" si="21"/>
        <v>522091.32425026537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23">SUM(B20:B27)</f>
        <v>30032.028779488766</v>
      </c>
      <c r="C28" s="16">
        <f t="shared" si="23"/>
        <v>6269.5724435194061</v>
      </c>
      <c r="D28" s="16">
        <f t="shared" si="23"/>
        <v>34964.689703328935</v>
      </c>
      <c r="E28" s="16">
        <f t="shared" si="23"/>
        <v>17197.122753968622</v>
      </c>
      <c r="F28" s="16">
        <f t="shared" si="23"/>
        <v>115675.83461995787</v>
      </c>
      <c r="G28" s="16">
        <f t="shared" si="23"/>
        <v>32006.385314204686</v>
      </c>
      <c r="H28" s="16">
        <f t="shared" si="23"/>
        <v>485972.01479916408</v>
      </c>
      <c r="I28" s="16">
        <f t="shared" si="23"/>
        <v>0</v>
      </c>
      <c r="J28" s="16">
        <f t="shared" si="23"/>
        <v>722117.64841363241</v>
      </c>
      <c r="K28" s="12"/>
      <c r="L28" s="16" t="s">
        <v>4</v>
      </c>
      <c r="M28" s="16">
        <f t="shared" ref="M28:U28" si="24">M15</f>
        <v>32985.922560406267</v>
      </c>
      <c r="N28" s="16">
        <f t="shared" si="24"/>
        <v>6283.8187079756535</v>
      </c>
      <c r="O28" s="16">
        <f t="shared" si="24"/>
        <v>28494.061230226387</v>
      </c>
      <c r="P28" s="16">
        <f t="shared" si="24"/>
        <v>20565.406926048643</v>
      </c>
      <c r="Q28" s="16">
        <f t="shared" si="24"/>
        <v>129631.70906355671</v>
      </c>
      <c r="R28" s="16">
        <f t="shared" si="24"/>
        <v>25694.50525654975</v>
      </c>
      <c r="S28" s="16">
        <f t="shared" si="24"/>
        <v>478462.22466886893</v>
      </c>
      <c r="T28" s="16"/>
      <c r="U28" s="16">
        <f t="shared" si="24"/>
        <v>722117.64841363241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5">B20/$J$28</f>
        <v>2.6281447838986619E-2</v>
      </c>
      <c r="C33" s="17">
        <f t="shared" si="25"/>
        <v>1.6499642405353565E-3</v>
      </c>
      <c r="D33" s="17">
        <f t="shared" si="25"/>
        <v>2.0408334021906338E-3</v>
      </c>
      <c r="E33" s="17">
        <f t="shared" si="25"/>
        <v>1.211734610206956E-3</v>
      </c>
      <c r="F33" s="17">
        <f t="shared" si="25"/>
        <v>2.0243001200400796E-3</v>
      </c>
      <c r="G33" s="17">
        <f t="shared" si="25"/>
        <v>1.0900738602272833E-3</v>
      </c>
      <c r="H33" s="17">
        <f t="shared" ref="H33" si="26">H20/$J$28</f>
        <v>4.3411253274599519E-3</v>
      </c>
      <c r="I33" s="12"/>
      <c r="J33" s="17">
        <f t="shared" ref="J33:J39" si="27">J20/$J$28</f>
        <v>3.8639479399646876E-2</v>
      </c>
      <c r="K33" s="12"/>
      <c r="L33" t="str">
        <f>$A$7</f>
        <v>Bellevue</v>
      </c>
      <c r="M33" s="17">
        <f t="shared" ref="M33:R33" si="28">M20/$U$28</f>
        <v>1.8566572953110077E-2</v>
      </c>
      <c r="N33" s="17">
        <f t="shared" si="28"/>
        <v>3.1147971593565305E-3</v>
      </c>
      <c r="O33" s="17">
        <f t="shared" si="28"/>
        <v>2.3922694643940898E-3</v>
      </c>
      <c r="P33" s="17">
        <f t="shared" si="28"/>
        <v>3.1833455463246966E-3</v>
      </c>
      <c r="Q33" s="17">
        <f t="shared" si="28"/>
        <v>4.7880009685340461E-3</v>
      </c>
      <c r="R33" s="17">
        <f t="shared" si="28"/>
        <v>1.4457477978740549E-3</v>
      </c>
      <c r="S33" s="17">
        <f t="shared" ref="S33" si="29">S20/$U$28</f>
        <v>5.1487455100533864E-3</v>
      </c>
      <c r="T33" s="17"/>
      <c r="U33" s="17">
        <f>U20/$U$28</f>
        <v>3.8639479399646882E-2</v>
      </c>
      <c r="W33" t="str">
        <f>$A$7</f>
        <v>Bellevue</v>
      </c>
      <c r="X33" s="17">
        <f>M33-B33</f>
        <v>-7.7148748858765423E-3</v>
      </c>
      <c r="Y33" s="17">
        <f t="shared" ref="Y33:Y35" si="30">N33-C33</f>
        <v>1.464832918821174E-3</v>
      </c>
      <c r="Z33" s="17">
        <f t="shared" ref="Z33:Z35" si="31">O33-D33</f>
        <v>3.5143606220345604E-4</v>
      </c>
      <c r="AA33" s="17">
        <f t="shared" ref="AA33" si="32">P33-E33</f>
        <v>1.9716109361177406E-3</v>
      </c>
      <c r="AB33" s="17">
        <f t="shared" ref="AB33" si="33">Q33-F33</f>
        <v>2.7637008484939665E-3</v>
      </c>
      <c r="AC33" s="17">
        <f t="shared" ref="AC33:AD33" si="34">R33-G33</f>
        <v>3.5567393764677157E-4</v>
      </c>
      <c r="AD33" s="17">
        <f t="shared" si="34"/>
        <v>8.0762018259343451E-4</v>
      </c>
      <c r="AE33" s="17"/>
      <c r="AF33" s="17">
        <f t="shared" ref="AF33:AF39" si="35">U33-J33</f>
        <v>0</v>
      </c>
    </row>
    <row r="34" spans="1:32" x14ac:dyDescent="0.25">
      <c r="A34" t="str">
        <f>$A$8</f>
        <v>Bellevue Downtown</v>
      </c>
      <c r="B34" s="17">
        <f t="shared" ref="B34:G39" si="36">B21/$J$28</f>
        <v>7.5965270918074027E-4</v>
      </c>
      <c r="C34" s="17">
        <f t="shared" si="36"/>
        <v>2.0466767088190415E-3</v>
      </c>
      <c r="D34" s="17">
        <f t="shared" si="36"/>
        <v>0</v>
      </c>
      <c r="E34" s="17">
        <f t="shared" si="36"/>
        <v>0</v>
      </c>
      <c r="F34" s="17">
        <f t="shared" si="36"/>
        <v>0</v>
      </c>
      <c r="G34" s="17">
        <f t="shared" si="36"/>
        <v>0</v>
      </c>
      <c r="H34" s="17">
        <f t="shared" ref="H34" si="37">H21/$J$28</f>
        <v>0</v>
      </c>
      <c r="I34" s="12"/>
      <c r="J34" s="17">
        <f t="shared" si="27"/>
        <v>2.8063294179997821E-3</v>
      </c>
      <c r="K34" s="12"/>
      <c r="L34" t="str">
        <f>$A$8</f>
        <v>Bellevue Downtown</v>
      </c>
      <c r="M34" s="17">
        <f t="shared" ref="M34:R36" si="38">M21/$U$28</f>
        <v>1.1279325492034652E-3</v>
      </c>
      <c r="N34" s="17">
        <f t="shared" si="38"/>
        <v>1.0393043317092703E-3</v>
      </c>
      <c r="O34" s="17">
        <f t="shared" si="38"/>
        <v>1.5613799253860123E-4</v>
      </c>
      <c r="P34" s="17">
        <f t="shared" si="38"/>
        <v>8.7589605570434839E-5</v>
      </c>
      <c r="Q34" s="17">
        <f t="shared" si="38"/>
        <v>2.0356793705697898E-4</v>
      </c>
      <c r="R34" s="17">
        <f t="shared" si="38"/>
        <v>5.1930596188004841E-5</v>
      </c>
      <c r="S34" s="17">
        <f t="shared" ref="S34" si="39">S21/$U$28</f>
        <v>1.3986640573302638E-4</v>
      </c>
      <c r="T34" s="17"/>
      <c r="U34" s="17">
        <f>U21/$U$28</f>
        <v>2.8063294179997817E-3</v>
      </c>
      <c r="W34" t="str">
        <f>$A$8</f>
        <v>Bellevue Downtown</v>
      </c>
      <c r="X34" s="17">
        <f t="shared" ref="X34:X35" si="40">M34-B34</f>
        <v>3.6827984002272488E-4</v>
      </c>
      <c r="Y34" s="17">
        <f t="shared" si="30"/>
        <v>-1.0073723771097712E-3</v>
      </c>
      <c r="Z34" s="17">
        <f t="shared" si="31"/>
        <v>1.5613799253860123E-4</v>
      </c>
      <c r="AA34" s="17">
        <f t="shared" ref="AA34:AA38" si="41">P34-E34</f>
        <v>8.7589605570434839E-5</v>
      </c>
      <c r="AB34" s="17">
        <f t="shared" ref="AB34:AB38" si="42">Q34-F34</f>
        <v>2.0356793705697898E-4</v>
      </c>
      <c r="AC34" s="17">
        <f t="shared" ref="AC34:AD38" si="43">R34-G34</f>
        <v>5.1930596188004841E-5</v>
      </c>
      <c r="AD34" s="17">
        <f t="shared" si="43"/>
        <v>1.3986640573302638E-4</v>
      </c>
      <c r="AE34" s="17"/>
      <c r="AF34" s="17">
        <f t="shared" si="35"/>
        <v>0</v>
      </c>
    </row>
    <row r="35" spans="1:32" x14ac:dyDescent="0.25">
      <c r="A35" t="str">
        <f>$A$9</f>
        <v>Kirkland</v>
      </c>
      <c r="B35" s="17">
        <f t="shared" si="36"/>
        <v>0</v>
      </c>
      <c r="C35" s="17">
        <f t="shared" si="36"/>
        <v>2.1648294741997338E-4</v>
      </c>
      <c r="D35" s="17">
        <f t="shared" si="36"/>
        <v>2.5495323757171638E-2</v>
      </c>
      <c r="E35" s="17">
        <f t="shared" si="36"/>
        <v>3.3430173162991585E-3</v>
      </c>
      <c r="F35" s="17">
        <f t="shared" si="36"/>
        <v>8.0088558202108843E-4</v>
      </c>
      <c r="G35" s="17">
        <f t="shared" si="36"/>
        <v>5.9940505184083817E-4</v>
      </c>
      <c r="H35" s="17">
        <f t="shared" ref="H35" si="44">H22/$J$28</f>
        <v>3.9388654045374952E-3</v>
      </c>
      <c r="I35" s="12"/>
      <c r="J35" s="17">
        <f t="shared" si="27"/>
        <v>3.4393980059290195E-2</v>
      </c>
      <c r="K35" s="13"/>
      <c r="L35" t="str">
        <f>$A$9</f>
        <v>Kirkland</v>
      </c>
      <c r="M35" s="17">
        <f t="shared" si="38"/>
        <v>3.0500570161088175E-3</v>
      </c>
      <c r="N35" s="17">
        <f t="shared" si="38"/>
        <v>7.3360622214921508E-4</v>
      </c>
      <c r="O35" s="17">
        <f t="shared" si="38"/>
        <v>1.6237658816065353E-2</v>
      </c>
      <c r="P35" s="17">
        <f t="shared" si="38"/>
        <v>3.3038245294808679E-3</v>
      </c>
      <c r="Q35" s="17">
        <f t="shared" si="38"/>
        <v>5.2436053990901422E-3</v>
      </c>
      <c r="R35" s="17">
        <f t="shared" si="38"/>
        <v>7.8934506205767356E-4</v>
      </c>
      <c r="S35" s="17">
        <f t="shared" ref="S35" si="45">S22/$U$28</f>
        <v>5.0358830143381232E-3</v>
      </c>
      <c r="T35" s="17"/>
      <c r="U35" s="17">
        <f>U22/$U$28</f>
        <v>3.4393980059290195E-2</v>
      </c>
      <c r="W35" t="str">
        <f>$A$9</f>
        <v>Kirkland</v>
      </c>
      <c r="X35" s="17">
        <f t="shared" si="40"/>
        <v>3.0500570161088175E-3</v>
      </c>
      <c r="Y35" s="17">
        <f t="shared" si="30"/>
        <v>5.1712327472924172E-4</v>
      </c>
      <c r="Z35" s="17">
        <f t="shared" si="31"/>
        <v>-9.2576649411062854E-3</v>
      </c>
      <c r="AA35" s="17">
        <f t="shared" si="41"/>
        <v>-3.9192786818290602E-5</v>
      </c>
      <c r="AB35" s="17">
        <f t="shared" si="42"/>
        <v>4.4427198170690534E-3</v>
      </c>
      <c r="AC35" s="17">
        <f t="shared" si="43"/>
        <v>1.8994001021683539E-4</v>
      </c>
      <c r="AD35" s="17">
        <f t="shared" si="43"/>
        <v>1.097017609800628E-3</v>
      </c>
      <c r="AE35" s="17"/>
      <c r="AF35" s="17">
        <f t="shared" si="35"/>
        <v>0</v>
      </c>
    </row>
    <row r="36" spans="1:32" x14ac:dyDescent="0.25">
      <c r="A36" t="str">
        <f>$A$10</f>
        <v>Redmond</v>
      </c>
      <c r="B36" s="17">
        <f t="shared" si="36"/>
        <v>6.7654520663506862E-4</v>
      </c>
      <c r="C36" s="17">
        <f t="shared" si="36"/>
        <v>2.888999414972794E-4</v>
      </c>
      <c r="D36" s="17">
        <f t="shared" si="36"/>
        <v>6.6357557300408924E-3</v>
      </c>
      <c r="E36" s="17">
        <f t="shared" si="36"/>
        <v>1.5545773420287035E-2</v>
      </c>
      <c r="F36" s="17">
        <f t="shared" si="36"/>
        <v>2.9990656579002317E-3</v>
      </c>
      <c r="G36" s="17">
        <f t="shared" si="36"/>
        <v>0</v>
      </c>
      <c r="H36" s="17">
        <f t="shared" ref="H36" si="46">H23/$J$28</f>
        <v>1.1303325894017448E-3</v>
      </c>
      <c r="I36" s="12"/>
      <c r="J36" s="17">
        <f t="shared" si="27"/>
        <v>2.7276372545762251E-2</v>
      </c>
      <c r="K36" s="13"/>
      <c r="L36" t="str">
        <f>$A$10</f>
        <v>Redmond</v>
      </c>
      <c r="M36" s="17">
        <f t="shared" si="38"/>
        <v>4.4667236801175896E-3</v>
      </c>
      <c r="N36" s="17">
        <f t="shared" si="38"/>
        <v>5.9616324423829564E-4</v>
      </c>
      <c r="O36" s="17">
        <f t="shared" si="38"/>
        <v>4.7637666903129778E-3</v>
      </c>
      <c r="P36" s="17">
        <f t="shared" si="38"/>
        <v>1.0603189129666828E-2</v>
      </c>
      <c r="Q36" s="17">
        <f t="shared" si="38"/>
        <v>2.5020161243380734E-3</v>
      </c>
      <c r="R36" s="17">
        <f t="shared" si="38"/>
        <v>5.2899967316847598E-4</v>
      </c>
      <c r="S36" s="17">
        <f t="shared" ref="S36" si="47">S23/$U$28</f>
        <v>3.8155140039200092E-3</v>
      </c>
      <c r="T36" s="17"/>
      <c r="U36" s="17">
        <f t="shared" ref="U36" si="48">U23/$U$28</f>
        <v>2.7276372545762251E-2</v>
      </c>
      <c r="W36" t="str">
        <f>$A$10</f>
        <v>Redmond</v>
      </c>
      <c r="X36" s="17">
        <f t="shared" ref="X36:X38" si="49">M36-B36</f>
        <v>3.7901784734825209E-3</v>
      </c>
      <c r="Y36" s="17">
        <f t="shared" ref="Y36:Y38" si="50">N36-C36</f>
        <v>3.0726330274101623E-4</v>
      </c>
      <c r="Z36" s="17">
        <f t="shared" ref="Z36:Z38" si="51">O36-D36</f>
        <v>-1.8719890397279147E-3</v>
      </c>
      <c r="AA36" s="17">
        <f t="shared" si="41"/>
        <v>-4.9425842906202066E-3</v>
      </c>
      <c r="AB36" s="17">
        <f t="shared" si="42"/>
        <v>-4.9704953356215827E-4</v>
      </c>
      <c r="AC36" s="17">
        <f t="shared" si="43"/>
        <v>5.2899967316847598E-4</v>
      </c>
      <c r="AD36" s="17">
        <f t="shared" si="43"/>
        <v>2.6851814145182644E-3</v>
      </c>
      <c r="AE36" s="17"/>
      <c r="AF36" s="17">
        <f t="shared" si="35"/>
        <v>0</v>
      </c>
    </row>
    <row r="37" spans="1:32" x14ac:dyDescent="0.25">
      <c r="A37" t="str">
        <f>$A$11</f>
        <v>Seattle</v>
      </c>
      <c r="B37" s="17">
        <f t="shared" si="36"/>
        <v>2.4230849869065116E-3</v>
      </c>
      <c r="C37" s="17">
        <f t="shared" si="36"/>
        <v>9.094204939080118E-5</v>
      </c>
      <c r="D37" s="17">
        <f t="shared" si="36"/>
        <v>2.2906586739369743E-4</v>
      </c>
      <c r="E37" s="17">
        <f t="shared" si="36"/>
        <v>1.356714221364892E-5</v>
      </c>
      <c r="F37" s="17">
        <f t="shared" si="36"/>
        <v>0.12628438585597801</v>
      </c>
      <c r="G37" s="17">
        <f t="shared" si="36"/>
        <v>1.9919645119477771E-2</v>
      </c>
      <c r="H37" s="17">
        <f t="shared" ref="H37" si="52">H24/$J$28</f>
        <v>8.7718567306803198E-3</v>
      </c>
      <c r="I37" s="12"/>
      <c r="J37" s="17">
        <f t="shared" si="27"/>
        <v>0.15773254775204074</v>
      </c>
      <c r="K37" s="13"/>
      <c r="L37" t="str">
        <f>$A$11</f>
        <v>Seattle</v>
      </c>
      <c r="M37" s="17">
        <f t="shared" ref="M37:N39" si="53">M24/$U$28</f>
        <v>3.1189106833274549E-3</v>
      </c>
      <c r="N37" s="17">
        <f t="shared" si="53"/>
        <v>6.7806706503762543E-4</v>
      </c>
      <c r="O37" s="17">
        <f t="shared" ref="O37:R37" si="54">O24/$U$28</f>
        <v>3.0769743014054688E-3</v>
      </c>
      <c r="P37" s="17">
        <f t="shared" si="54"/>
        <v>1.2812172773293106E-3</v>
      </c>
      <c r="Q37" s="17">
        <f t="shared" si="54"/>
        <v>0.11840889983976907</v>
      </c>
      <c r="R37" s="17">
        <f t="shared" si="54"/>
        <v>1.3909872364625866E-2</v>
      </c>
      <c r="S37" s="17">
        <f t="shared" ref="S37" si="55">S24/$U$28</f>
        <v>1.7258606220545942E-2</v>
      </c>
      <c r="T37" s="17"/>
      <c r="U37" s="17">
        <f t="shared" ref="U37" si="56">U24/$U$28</f>
        <v>0.15773254775204074</v>
      </c>
      <c r="W37" t="str">
        <f>$A$11</f>
        <v>Seattle</v>
      </c>
      <c r="X37" s="17">
        <f t="shared" si="49"/>
        <v>6.9582569642094323E-4</v>
      </c>
      <c r="Y37" s="17">
        <f t="shared" si="50"/>
        <v>5.871250156468243E-4</v>
      </c>
      <c r="Z37" s="17">
        <f t="shared" si="51"/>
        <v>2.8479084340117715E-3</v>
      </c>
      <c r="AA37" s="17">
        <f t="shared" si="41"/>
        <v>1.2676501351156617E-3</v>
      </c>
      <c r="AB37" s="17">
        <f t="shared" si="42"/>
        <v>-7.875486016208938E-3</v>
      </c>
      <c r="AC37" s="17">
        <f t="shared" si="43"/>
        <v>-6.009772754851905E-3</v>
      </c>
      <c r="AD37" s="17">
        <f t="shared" si="43"/>
        <v>8.4867494898656221E-3</v>
      </c>
      <c r="AE37" s="17"/>
      <c r="AF37" s="17">
        <f t="shared" si="35"/>
        <v>0</v>
      </c>
    </row>
    <row r="38" spans="1:32" x14ac:dyDescent="0.25">
      <c r="A38" t="str">
        <f>$A$12</f>
        <v>Seattle Downtown</v>
      </c>
      <c r="B38" s="17">
        <f t="shared" si="36"/>
        <v>8.6915596574886039E-5</v>
      </c>
      <c r="C38" s="17">
        <f t="shared" si="36"/>
        <v>0</v>
      </c>
      <c r="D38" s="17">
        <f t="shared" si="36"/>
        <v>0</v>
      </c>
      <c r="E38" s="17">
        <f t="shared" si="36"/>
        <v>0</v>
      </c>
      <c r="F38" s="17">
        <f t="shared" si="36"/>
        <v>6.5231546679943289E-3</v>
      </c>
      <c r="G38" s="17">
        <f t="shared" si="36"/>
        <v>8.3745436765172588E-3</v>
      </c>
      <c r="H38" s="17">
        <f t="shared" ref="H38" si="57">H25/$J$28</f>
        <v>1.1663106734741374E-3</v>
      </c>
      <c r="I38" s="12"/>
      <c r="J38" s="17">
        <f t="shared" si="27"/>
        <v>1.6150924614560608E-2</v>
      </c>
      <c r="K38" s="13"/>
      <c r="L38" t="str">
        <f>$A$12</f>
        <v>Seattle Downtown</v>
      </c>
      <c r="M38" s="17">
        <f t="shared" si="53"/>
        <v>1.7990332582120555E-4</v>
      </c>
      <c r="N38" s="17">
        <f t="shared" si="53"/>
        <v>6.9191178164731566E-5</v>
      </c>
      <c r="O38" s="17">
        <f t="shared" ref="O38:R39" si="58">O25/$U$28</f>
        <v>1.2181803924278517E-4</v>
      </c>
      <c r="P38" s="17">
        <f t="shared" si="58"/>
        <v>6.9145287429088305E-5</v>
      </c>
      <c r="Q38" s="17">
        <f t="shared" si="58"/>
        <v>4.6253490303097217E-3</v>
      </c>
      <c r="R38" s="17">
        <f t="shared" si="58"/>
        <v>1.0507086381454022E-2</v>
      </c>
      <c r="S38" s="17">
        <f t="shared" ref="S38" si="59">S25/$U$28</f>
        <v>5.7843137213905386E-4</v>
      </c>
      <c r="T38" s="17"/>
      <c r="U38" s="17">
        <f t="shared" ref="U38:U39" si="60">U25/$U$28</f>
        <v>1.6150924614560608E-2</v>
      </c>
      <c r="W38" t="str">
        <f>$A$12</f>
        <v>Seattle Downtown</v>
      </c>
      <c r="X38" s="17">
        <f t="shared" si="49"/>
        <v>9.2987729246319509E-5</v>
      </c>
      <c r="Y38" s="17">
        <f t="shared" si="50"/>
        <v>6.9191178164731566E-5</v>
      </c>
      <c r="Z38" s="17">
        <f t="shared" si="51"/>
        <v>1.2181803924278517E-4</v>
      </c>
      <c r="AA38" s="17">
        <f t="shared" si="41"/>
        <v>6.9145287429088305E-5</v>
      </c>
      <c r="AB38" s="17">
        <f t="shared" si="42"/>
        <v>-1.8978056376846072E-3</v>
      </c>
      <c r="AC38" s="17">
        <f t="shared" si="43"/>
        <v>2.1325427049367629E-3</v>
      </c>
      <c r="AD38" s="17">
        <f t="shared" si="43"/>
        <v>-5.8787930133508354E-4</v>
      </c>
      <c r="AE38" s="17"/>
      <c r="AF38" s="17">
        <f t="shared" si="35"/>
        <v>0</v>
      </c>
    </row>
    <row r="39" spans="1:32" x14ac:dyDescent="0.25">
      <c r="A39" t="str">
        <f>$A$13</f>
        <v>Rest</v>
      </c>
      <c r="B39" s="17">
        <f t="shared" si="36"/>
        <v>1.1361184575160733E-2</v>
      </c>
      <c r="C39" s="17">
        <f t="shared" si="36"/>
        <v>4.3892377079601903E-3</v>
      </c>
      <c r="D39" s="17">
        <f t="shared" si="36"/>
        <v>1.4018679425135554E-2</v>
      </c>
      <c r="E39" s="17">
        <f t="shared" si="36"/>
        <v>3.7007565065103839E-3</v>
      </c>
      <c r="F39" s="17">
        <f t="shared" si="36"/>
        <v>2.1557942952318599E-2</v>
      </c>
      <c r="G39" s="17">
        <f t="shared" si="36"/>
        <v>1.4339283523660902E-2</v>
      </c>
      <c r="H39" s="17">
        <f t="shared" ref="H39" si="61">H26/$J$28</f>
        <v>0.65363328151995304</v>
      </c>
      <c r="I39" s="12"/>
      <c r="J39" s="17">
        <f t="shared" si="27"/>
        <v>0.72300036621069952</v>
      </c>
      <c r="K39" s="13"/>
      <c r="L39" t="str">
        <f>$A$13</f>
        <v>Rest</v>
      </c>
      <c r="M39" s="17">
        <f t="shared" si="53"/>
        <v>1.5169329775598235E-2</v>
      </c>
      <c r="N39" s="17">
        <f t="shared" si="53"/>
        <v>2.4708028484780381E-3</v>
      </c>
      <c r="O39" s="17">
        <f t="shared" si="58"/>
        <v>1.2710403696125281E-2</v>
      </c>
      <c r="P39" s="17">
        <f t="shared" si="58"/>
        <v>9.95099109136224E-3</v>
      </c>
      <c r="Q39" s="17">
        <f t="shared" si="58"/>
        <v>4.3744612341981716E-2</v>
      </c>
      <c r="R39" s="17">
        <f t="shared" si="58"/>
        <v>8.3491775040573125E-3</v>
      </c>
      <c r="S39" s="17">
        <f t="shared" ref="S39" si="62">S26/$U$28</f>
        <v>0.63060504895309666</v>
      </c>
      <c r="T39" s="17"/>
      <c r="U39" s="17">
        <f t="shared" si="60"/>
        <v>0.72300036621069952</v>
      </c>
      <c r="W39" t="str">
        <f>$A$13</f>
        <v>Rest</v>
      </c>
      <c r="X39" s="17">
        <f t="shared" ref="X39" si="63">M39-B39</f>
        <v>3.8081452004375023E-3</v>
      </c>
      <c r="Y39" s="17">
        <f t="shared" ref="Y39" si="64">N39-C39</f>
        <v>-1.9184348594821522E-3</v>
      </c>
      <c r="Z39" s="17">
        <f t="shared" ref="Z39" si="65">O39-D39</f>
        <v>-1.3082757290102734E-3</v>
      </c>
      <c r="AA39" s="17">
        <f t="shared" ref="AA39" si="66">P39-E39</f>
        <v>6.2502345848518565E-3</v>
      </c>
      <c r="AB39" s="17">
        <f t="shared" ref="AB39" si="67">Q39-F39</f>
        <v>2.2186669389663117E-2</v>
      </c>
      <c r="AC39" s="17">
        <f t="shared" ref="AC39:AD39" si="68">R39-G39</f>
        <v>-5.9901060196035898E-3</v>
      </c>
      <c r="AD39" s="17">
        <f t="shared" si="68"/>
        <v>-2.3028232566856377E-2</v>
      </c>
      <c r="AE39" s="17"/>
      <c r="AF39" s="17">
        <f t="shared" si="35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69">B28/$J$28</f>
        <v>4.1588830913444563E-2</v>
      </c>
      <c r="C41" s="19">
        <f t="shared" si="69"/>
        <v>8.6822035956226427E-3</v>
      </c>
      <c r="D41" s="19">
        <f t="shared" si="69"/>
        <v>4.8419658181932418E-2</v>
      </c>
      <c r="E41" s="19">
        <f t="shared" si="69"/>
        <v>2.3814848995517182E-2</v>
      </c>
      <c r="F41" s="19">
        <f t="shared" si="69"/>
        <v>0.16018973483625235</v>
      </c>
      <c r="G41" s="19">
        <f t="shared" si="69"/>
        <v>4.4322951231724056E-2</v>
      </c>
      <c r="H41" s="19">
        <f t="shared" si="69"/>
        <v>0.6729817722455067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4.5679429983286841E-2</v>
      </c>
      <c r="N41" s="19">
        <f>N28/$U$28</f>
        <v>8.7019320491337065E-3</v>
      </c>
      <c r="O41" s="19">
        <f>O28/$U$28</f>
        <v>3.9459029000084557E-2</v>
      </c>
      <c r="P41" s="19">
        <f>P28/$U$28</f>
        <v>2.8479302467163469E-2</v>
      </c>
      <c r="Q41" s="19">
        <f t="shared" ref="Q41:S41" si="70">Q28/$U$28</f>
        <v>0.17951605164107975</v>
      </c>
      <c r="R41" s="19">
        <f t="shared" si="70"/>
        <v>3.558215937942541E-2</v>
      </c>
      <c r="S41" s="19">
        <f t="shared" si="70"/>
        <v>0.66258209547982616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71">M41-B41</f>
        <v>4.0905990698422781E-3</v>
      </c>
      <c r="Y41" s="19">
        <f t="shared" si="71"/>
        <v>1.9728453511063879E-5</v>
      </c>
      <c r="Z41" s="19">
        <f t="shared" si="71"/>
        <v>-8.9606291818478609E-3</v>
      </c>
      <c r="AA41" s="19">
        <f t="shared" si="71"/>
        <v>4.664453471646287E-3</v>
      </c>
      <c r="AB41" s="19">
        <f t="shared" si="71"/>
        <v>1.9326316804827409E-2</v>
      </c>
      <c r="AC41" s="19">
        <f t="shared" si="71"/>
        <v>-8.7407918522986461E-3</v>
      </c>
      <c r="AD41" s="19">
        <f t="shared" si="71"/>
        <v>-1.0399676765680543E-2</v>
      </c>
      <c r="AE41" s="19">
        <f t="shared" si="71"/>
        <v>0</v>
      </c>
      <c r="AF41" s="19">
        <f t="shared" si="71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opLeftCell="A17" workbookViewId="0">
      <selection activeCell="B39" sqref="B3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W104"/>
  <sheetViews>
    <sheetView tabSelected="1" workbookViewId="0">
      <selection activeCell="Q28" sqref="Q28"/>
    </sheetView>
  </sheetViews>
  <sheetFormatPr defaultRowHeight="15" x14ac:dyDescent="0.25"/>
  <cols>
    <col min="1" max="2" width="9.140625" style="385" collapsed="1"/>
    <col min="3" max="3" width="12.7109375" style="385" bestFit="1" customWidth="1" collapsed="1"/>
    <col min="4" max="4" width="18.85546875" style="384" customWidth="1" collapsed="1"/>
    <col min="5" max="5" width="6.7109375" style="385" customWidth="1" collapsed="1"/>
    <col min="6" max="6" width="12.7109375" style="385" customWidth="1" collapsed="1"/>
    <col min="7" max="8" width="18.85546875" style="384" customWidth="1" collapsed="1"/>
    <col min="9" max="9" width="6.5703125" style="384" customWidth="1" collapsed="1"/>
    <col min="10" max="10" width="10.140625" style="384" customWidth="1" collapsed="1"/>
    <col min="11" max="11" width="9.85546875" style="384" customWidth="1" collapsed="1"/>
    <col min="12" max="14" width="9.140625" style="385" collapsed="1"/>
    <col min="15" max="15" width="13" style="385" customWidth="1" collapsed="1"/>
    <col min="16" max="16" width="19.5703125" style="387" customWidth="1" collapsed="1"/>
    <col min="17" max="17" width="19.5703125" style="423" customWidth="1" collapsed="1"/>
    <col min="18" max="16384" width="9.140625" style="385" collapsed="1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5.75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27663.831959679799</v>
      </c>
      <c r="F4" s="391" t="s">
        <v>47</v>
      </c>
      <c r="G4" s="392">
        <f>TLFD!F11</f>
        <v>90768.190813818816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119471.43549161361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333269.54761694506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180605.01229520107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5.75" thickBot="1" x14ac:dyDescent="0.3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724114.18621757848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5.75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0.12535065952505067</v>
      </c>
      <c r="H12" s="405"/>
      <c r="I12" s="441">
        <f>D12/G12</f>
        <v>0.30917305813475787</v>
      </c>
      <c r="J12" s="442">
        <f>LN(I12)</f>
        <v>-1.1738541001701897</v>
      </c>
      <c r="K12" s="442">
        <f>K8*J12</f>
        <v>-1.1738541001701897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t="shared" ref="D13:D16" si="1">D5/D$8</f>
        <v>0.16227246964177236</v>
      </c>
      <c r="F13" s="394" t="s">
        <v>50</v>
      </c>
      <c r="G13" s="406">
        <f t="shared" ref="G13:G16" si="2">G5/G$8</f>
        <v>0.16498977338874476</v>
      </c>
      <c r="H13" s="406"/>
      <c r="I13" s="441">
        <f t="shared" ref="I13:I15" si="3">D13/G13</f>
        <v>0.98353047167008367</v>
      </c>
      <c r="J13" s="442">
        <f t="shared" ref="J13:J15" si="4">LN(I13)</f>
        <v>-1.6606658745251805E-2</v>
      </c>
      <c r="K13" s="442">
        <f>K8*(J13-J12)</f>
        <v>1.1572474414249379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t="shared" si="1"/>
        <v>0.57474196639422082</v>
      </c>
      <c r="F14" s="394" t="s">
        <v>53</v>
      </c>
      <c r="G14" s="406">
        <f t="shared" si="2"/>
        <v>0.46024446690898796</v>
      </c>
      <c r="H14" s="406"/>
      <c r="I14" s="441">
        <f t="shared" si="3"/>
        <v>1.2487753959416408</v>
      </c>
      <c r="J14" s="442">
        <f t="shared" si="4"/>
        <v>0.22216338786423342</v>
      </c>
      <c r="K14" s="442">
        <f>K8*(J14-J13-J12)</f>
        <v>1.412624146779675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5.75" thickBot="1" x14ac:dyDescent="0.3">
      <c r="C15" s="397" t="s">
        <v>56</v>
      </c>
      <c r="D15" s="406">
        <f t="shared" si="1"/>
        <v>0.22423051721943807</v>
      </c>
      <c r="F15" s="397" t="s">
        <v>56</v>
      </c>
      <c r="G15" s="406">
        <f t="shared" si="2"/>
        <v>0.24941510017721669</v>
      </c>
      <c r="H15" s="406"/>
      <c r="I15" s="443">
        <f t="shared" si="3"/>
        <v>0.89902542813212094</v>
      </c>
      <c r="J15" s="444">
        <f t="shared" si="4"/>
        <v>-0.10644396000271752</v>
      </c>
      <c r="K15" s="444">
        <f>K8*(J15-J14-J13-J12)</f>
        <v>0.86185341104849056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5.75" thickBot="1" x14ac:dyDescent="0.3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5.75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2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2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5.75" thickBot="1" x14ac:dyDescent="0.3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-16.012345150270189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-4.0307957933750629</v>
      </c>
      <c r="R30" s="385" t="str">
        <f>VLOOKUP(N30,Coeff_Descr!$A$2:$E$104,4,FALSE)</f>
        <v>distanceFromOrigin8</v>
      </c>
    </row>
    <row r="31" spans="2:23" ht="15.75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-1.203006723920325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-4.8608280851509478E-2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-1.1738541001701897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25">
      <c r="B34" s="448">
        <f t="shared" ref="B34:B36" si="6">B24</f>
        <v>28</v>
      </c>
      <c r="C34" s="394" t="s">
        <v>50</v>
      </c>
      <c r="D34" s="468">
        <f t="shared" ref="D34:D36" si="7">K13</f>
        <v>1.1572474414249379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25">
      <c r="B35" s="448">
        <f t="shared" si="6"/>
        <v>29</v>
      </c>
      <c r="C35" s="394" t="s">
        <v>53</v>
      </c>
      <c r="D35" s="468">
        <f t="shared" si="7"/>
        <v>1.412624146779675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5.75" thickBot="1" x14ac:dyDescent="0.3">
      <c r="B36" s="450">
        <f t="shared" si="6"/>
        <v>30</v>
      </c>
      <c r="C36" s="414" t="s">
        <v>56</v>
      </c>
      <c r="D36" s="415">
        <f t="shared" si="7"/>
        <v>0.86185341104849056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5.75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5.75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-16.012345150270189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25">
      <c r="B44" s="448">
        <f t="shared" ref="B44:B46" si="8">B34</f>
        <v>28</v>
      </c>
      <c r="C44" s="394" t="s">
        <v>50</v>
      </c>
      <c r="D44" s="469">
        <f t="shared" ref="D44:D46" si="9">D24+D34</f>
        <v>-4.0307957933750629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25">
      <c r="B45" s="448">
        <f t="shared" si="8"/>
        <v>29</v>
      </c>
      <c r="C45" s="394" t="s">
        <v>53</v>
      </c>
      <c r="D45" s="469">
        <f t="shared" si="9"/>
        <v>-1.203006723920325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5.75" thickBot="1" x14ac:dyDescent="0.3">
      <c r="B46" s="450">
        <f t="shared" si="8"/>
        <v>30</v>
      </c>
      <c r="C46" s="414" t="s">
        <v>56</v>
      </c>
      <c r="D46" s="470">
        <f t="shared" si="9"/>
        <v>-4.8608280851509478E-2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5.75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2017-06-23T18:05:34Z</dcterms:modified>
</cp:coreProperties>
</file>