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E:\Projects\Clients\bkr\tasks\calibration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R32" s="1"/>
  <c i="6" r="P31"/>
  <c i="6" r="O31"/>
  <c i="6" r="N31"/>
  <c i="6" r="M31" s="1"/>
  <c i="6" r="P30"/>
  <c i="6" r="O30"/>
  <c i="6" r="N30"/>
  <c i="6" r="R30" s="1"/>
  <c i="6" r="P29"/>
  <c i="6" r="O29"/>
  <c i="6" r="N29"/>
  <c i="6" r="R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R31"/>
  <c i="6" r="D23"/>
  <c i="6" r="D24"/>
  <c i="6" r="D25"/>
  <c i="6" r="Q53"/>
  <c i="6" r="M29"/>
  <c i="6" r="M42"/>
  <c i="6" r="M39"/>
  <c i="6" r="Q95"/>
  <c i="6" r="Q99"/>
  <c i="6" r="Q22"/>
  <c i="6" r="Q93"/>
  <c i="6" r="Q16"/>
  <c i="6" r="Q63"/>
  <c i="6" r="Q9"/>
  <c i="6" r="Q54"/>
  <c i="6" r="Q66"/>
  <c i="6" r="Q55"/>
  <c i="6" r="Q74"/>
  <c i="6" r="Q19"/>
  <c i="6" r="Q75"/>
  <c i="6" r="Q60"/>
  <c i="6" r="Q77"/>
  <c i="6" r="Q17"/>
  <c i="6" r="Q78"/>
  <c i="6" r="Q23"/>
  <c i="6" r="Q79"/>
  <c i="6" r="Q28"/>
  <c i="6" r="Q12"/>
  <c i="6" r="Q21"/>
  <c i="6" r="Q26"/>
  <c i="6" r="Q80"/>
  <c i="6" r="Q46"/>
  <c i="6" r="Q56"/>
  <c i="6" r="Q20"/>
  <c i="6" r="Q27"/>
  <c i="6" r="Q84"/>
  <c i="6" r="Q18"/>
  <c i="6" r="Q85"/>
  <c i="6" r="Q61"/>
  <c i="6" r="Q15"/>
  <c i="6" r="Q86"/>
  <c i="6" r="Q44"/>
  <c i="6" r="Q87"/>
  <c i="6" r="Q59"/>
  <c i="6" r="Q45"/>
  <c i="6" r="Q88"/>
  <c i="6" r="Q11"/>
  <c i="6" r="Q13"/>
  <c i="6" r="Q14"/>
  <c i="6" r="Q47"/>
  <c i="6" r="Q89"/>
  <c i="6" r="Q48"/>
  <c i="6" r="Q91"/>
  <c i="6" r="Q50"/>
  <c i="6" r="Q8"/>
  <c i="6" r="Q62"/>
  <c i="6" r="Q104"/>
  <c i="6" r="Q49"/>
  <c i="6" r="Q81"/>
  <c i="6" r="Q90"/>
  <c i="6" r="Q25"/>
  <c i="6" r="Q64"/>
  <c i="6" r="Q92"/>
  <c i="6" r="Q82"/>
  <c i="6" r="Q65"/>
  <c i="6" r="Q94"/>
  <c i="6" r="Q33"/>
  <c i="6" r="Q67"/>
  <c i="6" r="Q96"/>
  <c i="6" r="Q34"/>
  <c i="6" r="Q68"/>
  <c i="6" r="Q97"/>
  <c i="6" r="Q57"/>
  <c i="6" r="Q83"/>
  <c i="6" r="Q3"/>
  <c i="6" r="Q35"/>
  <c i="6" r="Q69"/>
  <c i="6" r="Q98"/>
  <c i="6" r="Q51"/>
  <c i="6" r="Q4"/>
  <c i="6" r="Q36"/>
  <c i="6" r="Q70"/>
  <c i="6" r="Q101"/>
  <c i="6" r="Q5"/>
  <c i="6" r="Q37"/>
  <c i="6" r="Q71"/>
  <c i="6" r="Q102"/>
  <c i="6" r="Q6"/>
  <c i="6" r="Q38"/>
  <c i="6" r="Q72"/>
  <c i="6" r="Q103"/>
  <c i="6" r="Q58"/>
  <c i="6" r="Q7"/>
  <c i="6" r="Q43"/>
  <c i="6" r="Q73"/>
  <c i="6" r="M40"/>
  <c i="6" r="M82"/>
  <c i="6" r="M25"/>
  <c i="6" r="M54"/>
  <c i="6" r="Q24"/>
  <c i="6" r="Q52"/>
  <c i="6" r="Q76"/>
  <c i="6" r="Q100"/>
  <c i="6" r="Q10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I13" s="1"/>
  <c i="6" r="J13" s="1"/>
  <c i="6" r="D16"/>
  <c i="6" r="D12"/>
  <c i="6" r="D15"/>
  <c i="6" r="I15" s="1"/>
  <c i="6" r="J15" s="1"/>
  <c i="6" r="D14"/>
  <c i="1" r="S15"/>
  <c i="1" r="U13"/>
  <c i="6" l="1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Q29"/>
  <c i="6" r="K13"/>
  <c i="6" r="D34" s="1"/>
  <c i="6" r="D44" s="1"/>
  <c i="6" r="K15"/>
  <c i="6" r="D36" s="1"/>
  <c i="6" r="D46" s="1"/>
  <c i="6" r="Q42"/>
  <c i="6" r="Q32"/>
  <c i="6" r="K14"/>
  <c i="6" r="D35" s="1"/>
  <c i="6" r="D45" s="1"/>
  <c i="6" r="Q40"/>
  <c i="6" r="Q30"/>
  <c i="6" r="Q41"/>
  <c i="6" r="Q3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H20" s="1"/>
  <c i="1" r="M15"/>
  <c i="1" r="C15"/>
  <c i="1" r="D15"/>
  <c i="1" r="E15"/>
  <c i="1" r="I15"/>
  <c i="1" r="B15"/>
  <c i="1" r="J8"/>
  <c i="1" r="J9"/>
  <c i="1" r="J14"/>
  <c i="1" r="J7"/>
  <c i="1" l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<sst xmlns="http://schemas.openxmlformats.org/spreadsheetml/2006/main" count="716" uniqueCount="284">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</sst>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3.8755046744568762E-2</c:v>
                </c:pt>
                <c:pt idx="1">
                  <c:v>4.7319613156775193E-2</c:v>
                </c:pt>
                <c:pt idx="2">
                  <c:v>6.7350451629088218E-2</c:v>
                </c:pt>
                <c:pt idx="3">
                  <c:v>9.5204809711818078E-2</c:v>
                </c:pt>
                <c:pt idx="4">
                  <c:v>0.16049894832170436</c:v>
                </c:pt>
                <c:pt idx="5">
                  <c:v>0.11092912312784585</c:v>
                </c:pt>
                <c:pt idx="6">
                  <c:v>0.10765072686455886</c:v>
                </c:pt>
                <c:pt idx="7">
                  <c:v>6.8595338035008585E-2</c:v>
                </c:pt>
                <c:pt idx="8">
                  <c:v>4.5375216224302718E-2</c:v>
                </c:pt>
                <c:pt idx="9">
                  <c:v>3.409020896489167E-2</c:v>
                </c:pt>
                <c:pt idx="10">
                  <c:v>5.1541533497477386E-2</c:v>
                </c:pt>
                <c:pt idx="11">
                  <c:v>2.6277771107153999E-2</c:v>
                </c:pt>
                <c:pt idx="12">
                  <c:v>1.6907124854801097E-2</c:v>
                </c:pt>
                <c:pt idx="13">
                  <c:v>1.0007861999173461E-2</c:v>
                </c:pt>
                <c:pt idx="14">
                  <c:v>5.4578271032031415E-3</c:v>
                </c:pt>
                <c:pt idx="15">
                  <c:v>5.7213199533632676E-3</c:v>
                </c:pt>
                <c:pt idx="16">
                  <c:v>1.7416816575165434E-2</c:v>
                </c:pt>
                <c:pt idx="17">
                  <c:v>5.8040273911587146E-3</c:v>
                </c:pt>
                <c:pt idx="18">
                  <c:v>6.2324309495723406E-3</c:v>
                </c:pt>
                <c:pt idx="19">
                  <c:v>1.4989345407802451E-2</c:v>
                </c:pt>
                <c:pt idx="20">
                  <c:v>8.3344128407837389E-3</c:v>
                </c:pt>
                <c:pt idx="21">
                  <c:v>8.2880946122788676E-3</c:v>
                </c:pt>
                <c:pt idx="22">
                  <c:v>9.5838014270265455E-3</c:v>
                </c:pt>
                <c:pt idx="23">
                  <c:v>6.8513866121212574E-3</c:v>
                </c:pt>
                <c:pt idx="24">
                  <c:v>9.6917500738261E-4</c:v>
                </c:pt>
                <c:pt idx="25">
                  <c:v>1.2605003054838532E-3</c:v>
                </c:pt>
                <c:pt idx="26">
                  <c:v>1.3925528838732537E-3</c:v>
                </c:pt>
                <c:pt idx="27">
                  <c:v>2.8958952096455053E-3</c:v>
                </c:pt>
                <c:pt idx="28">
                  <c:v>4.072046016673765E-4</c:v>
                </c:pt>
                <c:pt idx="29">
                  <c:v>9.9660279169667444E-4</c:v>
                </c:pt>
                <c:pt idx="30">
                  <c:v>1.9647754928502734E-3</c:v>
                </c:pt>
                <c:pt idx="31">
                  <c:v>2.1582511894621208E-3</c:v>
                </c:pt>
                <c:pt idx="32">
                  <c:v>0</c:v>
                </c:pt>
                <c:pt idx="33">
                  <c:v>1.1417960904779013E-3</c:v>
                </c:pt>
                <c:pt idx="34">
                  <c:v>1.0296894351528817E-3</c:v>
                </c:pt>
                <c:pt idx="35">
                  <c:v>2.0991574152676726E-3</c:v>
                </c:pt>
                <c:pt idx="36">
                  <c:v>2.1340429364317842E-4</c:v>
                </c:pt>
                <c:pt idx="37">
                  <c:v>0</c:v>
                </c:pt>
                <c:pt idx="38">
                  <c:v>6.4355146547428424E-6</c:v>
                </c:pt>
                <c:pt idx="39">
                  <c:v>1.1277880360040526E-4</c:v>
                </c:pt>
                <c:pt idx="40">
                  <c:v>8.940441849293353E-3</c:v>
                </c:pt>
                <c:pt idx="41">
                  <c:v>1.7078415448780657E-3</c:v>
                </c:pt>
                <c:pt idx="42">
                  <c:v>0</c:v>
                </c:pt>
                <c:pt idx="43">
                  <c:v>0</c:v>
                </c:pt>
                <c:pt idx="44">
                  <c:v>1.084998115276876E-4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2.9963967861624017E-4</c:v>
                </c:pt>
                <c:pt idx="49">
                  <c:v>0</c:v>
                </c:pt>
                <c:pt idx="50">
                  <c:v>6.3653594354661554E-4</c:v>
                </c:pt>
                <c:pt idx="51">
                  <c:v>1.3270221945341931E-4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1.0754951942507831E-3</c:v>
                </c:pt>
                <c:pt idx="57">
                  <c:v>4.2579695945347185E-4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0.12416558370832918</c:v>
                </c:pt>
                <c:pt idx="1">
                  <c:v>8.8581800255508811E-2</c:v>
                </c:pt>
                <c:pt idx="2">
                  <c:v>5.84058077280422E-2</c:v>
                </c:pt>
                <c:pt idx="3">
                  <c:v>3.826868486005873E-2</c:v>
                </c:pt>
                <c:pt idx="4">
                  <c:v>0.14133562171597314</c:v>
                </c:pt>
                <c:pt idx="5">
                  <c:v>8.961151533603269E-2</c:v>
                </c:pt>
                <c:pt idx="6">
                  <c:v>7.5892330140984787E-2</c:v>
                </c:pt>
                <c:pt idx="7">
                  <c:v>4.3674006769954872E-2</c:v>
                </c:pt>
                <c:pt idx="8">
                  <c:v>5.5325552770871422E-2</c:v>
                </c:pt>
                <c:pt idx="9">
                  <c:v>3.4699435427204009E-2</c:v>
                </c:pt>
                <c:pt idx="10">
                  <c:v>2.0758810394697017E-2</c:v>
                </c:pt>
                <c:pt idx="11">
                  <c:v>2.1272546623624461E-2</c:v>
                </c:pt>
                <c:pt idx="12">
                  <c:v>2.1542529494146832E-2</c:v>
                </c:pt>
                <c:pt idx="13">
                  <c:v>1.8129051784511192E-2</c:v>
                </c:pt>
                <c:pt idx="14">
                  <c:v>2.2011587923388334E-2</c:v>
                </c:pt>
                <c:pt idx="15">
                  <c:v>1.4239401969614323E-2</c:v>
                </c:pt>
                <c:pt idx="16">
                  <c:v>2.7334582398999371E-2</c:v>
                </c:pt>
                <c:pt idx="17">
                  <c:v>1.2878640875556385E-2</c:v>
                </c:pt>
                <c:pt idx="18">
                  <c:v>1.0329217697196346E-2</c:v>
                </c:pt>
                <c:pt idx="19">
                  <c:v>9.2004494295156985E-3</c:v>
                </c:pt>
                <c:pt idx="20">
                  <c:v>7.7730063058901264E-3</c:v>
                </c:pt>
                <c:pt idx="21">
                  <c:v>6.6412044708881873E-3</c:v>
                </c:pt>
                <c:pt idx="22">
                  <c:v>6.253118481107013E-3</c:v>
                </c:pt>
                <c:pt idx="23">
                  <c:v>8.3722434056694509E-3</c:v>
                </c:pt>
                <c:pt idx="24">
                  <c:v>5.1873521763837116E-3</c:v>
                </c:pt>
                <c:pt idx="25">
                  <c:v>5.0296018339194386E-3</c:v>
                </c:pt>
                <c:pt idx="26">
                  <c:v>3.8054507272891687E-3</c:v>
                </c:pt>
                <c:pt idx="27">
                  <c:v>5.7865237105022404E-3</c:v>
                </c:pt>
                <c:pt idx="28">
                  <c:v>2.7694044443879072E-3</c:v>
                </c:pt>
                <c:pt idx="29">
                  <c:v>3.2182131972018969E-3</c:v>
                </c:pt>
                <c:pt idx="30">
                  <c:v>2.2437723078570769E-3</c:v>
                </c:pt>
                <c:pt idx="31">
                  <c:v>2.2159139742471412E-3</c:v>
                </c:pt>
                <c:pt idx="32">
                  <c:v>1.7715480263855643E-3</c:v>
                </c:pt>
                <c:pt idx="33">
                  <c:v>1.351815585971773E-3</c:v>
                </c:pt>
                <c:pt idx="34">
                  <c:v>1.3662552119095739E-3</c:v>
                </c:pt>
                <c:pt idx="35">
                  <c:v>1.0708247352450428E-3</c:v>
                </c:pt>
                <c:pt idx="36">
                  <c:v>1.4174506785030138E-3</c:v>
                </c:pt>
                <c:pt idx="37">
                  <c:v>8.5294624872592792E-4</c:v>
                </c:pt>
                <c:pt idx="38">
                  <c:v>8.8488768940005549E-4</c:v>
                </c:pt>
                <c:pt idx="39">
                  <c:v>8.5458192429637922E-4</c:v>
                </c:pt>
                <c:pt idx="40">
                  <c:v>6.0753308465026569E-4</c:v>
                </c:pt>
                <c:pt idx="41">
                  <c:v>4.1856387568724033E-4</c:v>
                </c:pt>
                <c:pt idx="42">
                  <c:v>2.934447570069831E-4</c:v>
                </c:pt>
                <c:pt idx="43">
                  <c:v>3.5826938110785657E-4</c:v>
                </c:pt>
                <c:pt idx="44">
                  <c:v>2.1513586986523166E-4</c:v>
                </c:pt>
                <c:pt idx="45">
                  <c:v>1.7703308638754146E-4</c:v>
                </c:pt>
                <c:pt idx="46">
                  <c:v>1.8620778308693436E-4</c:v>
                </c:pt>
                <c:pt idx="47">
                  <c:v>1.9961186402322825E-4</c:v>
                </c:pt>
                <c:pt idx="48">
                  <c:v>1.2215477442454977E-4</c:v>
                </c:pt>
                <c:pt idx="49">
                  <c:v>2.4198774447301575E-4</c:v>
                </c:pt>
                <c:pt idx="50">
                  <c:v>7.0985645747908473E-5</c:v>
                </c:pt>
                <c:pt idx="51">
                  <c:v>1.5103035856541764E-4</c:v>
                </c:pt>
                <c:pt idx="52">
                  <c:v>4.3481050451692824E-5</c:v>
                </c:pt>
                <c:pt idx="53">
                  <c:v>7.0525597175880123E-5</c:v>
                </c:pt>
                <c:pt idx="54">
                  <c:v>9.0859144882272959E-5</c:v>
                </c:pt>
                <c:pt idx="55">
                  <c:v>4.230888695772967E-5</c:v>
                </c:pt>
                <c:pt idx="56">
                  <c:v>3.4695214817272635E-7</c:v>
                </c:pt>
                <c:pt idx="57">
                  <c:v>2.7750389318015224E-5</c:v>
                </c:pt>
                <c:pt idx="58">
                  <c:v>4.1655737828327935E-5</c:v>
                </c:pt>
                <c:pt idx="59">
                  <c:v>0</c:v>
                </c:pt>
                <c:pt idx="60">
                  <c:v>4.8358761642572064E-5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8570496"/>
        <c:axId val="162011904"/>
      </c:lineChart>
      <c:catAx>
        <c:axId val="1585704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011904"/>
        <c:crosses val="autoZero"/>
        <c:auto val="1"/>
        <c:lblAlgn val="ctr"/>
        <c:lblOffset val="100"/>
        <c:tickLblSkip val="10"/>
        <c:noMultiLvlLbl val="0"/>
      </c:catAx>
      <c:valAx>
        <c:axId val="1620119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85704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1.0918124355268601E-2</c:v>
                </c:pt>
                <c:pt idx="2">
                  <c:v>5.2331263610442182E-3</c:v>
                </c:pt>
                <c:pt idx="3">
                  <c:v>1.5230464781545921E-2</c:v>
                </c:pt>
                <c:pt idx="4">
                  <c:v>1.3756056836940882E-2</c:v>
                </c:pt>
                <c:pt idx="5">
                  <c:v>2.2880334734942696E-2</c:v>
                </c:pt>
                <c:pt idx="6">
                  <c:v>9.5698903495742785E-3</c:v>
                </c:pt>
                <c:pt idx="7">
                  <c:v>1.1874297940868349E-2</c:v>
                </c:pt>
                <c:pt idx="8">
                  <c:v>9.449870015308403E-3</c:v>
                </c:pt>
                <c:pt idx="9">
                  <c:v>1.1214920625859976E-2</c:v>
                </c:pt>
                <c:pt idx="10">
                  <c:v>4.6392786578889622E-3</c:v>
                </c:pt>
                <c:pt idx="11">
                  <c:v>1.5533483125569196E-2</c:v>
                </c:pt>
                <c:pt idx="12">
                  <c:v>2.057942260079635E-2</c:v>
                </c:pt>
                <c:pt idx="13">
                  <c:v>3.8207052501085359E-2</c:v>
                </c:pt>
                <c:pt idx="14">
                  <c:v>2.005893215642084E-2</c:v>
                </c:pt>
                <c:pt idx="15">
                  <c:v>9.8758877028045922E-3</c:v>
                </c:pt>
                <c:pt idx="16">
                  <c:v>3.3434388960093438E-2</c:v>
                </c:pt>
                <c:pt idx="17">
                  <c:v>2.0219203270254119E-2</c:v>
                </c:pt>
                <c:pt idx="18">
                  <c:v>6.6022605924371189E-2</c:v>
                </c:pt>
                <c:pt idx="19">
                  <c:v>4.0348095772412926E-2</c:v>
                </c:pt>
                <c:pt idx="20">
                  <c:v>5.5747879728632724E-2</c:v>
                </c:pt>
                <c:pt idx="21">
                  <c:v>5.2828766155027108E-2</c:v>
                </c:pt>
                <c:pt idx="22">
                  <c:v>4.9713740558932955E-2</c:v>
                </c:pt>
                <c:pt idx="23">
                  <c:v>4.0651236096487332E-2</c:v>
                </c:pt>
                <c:pt idx="24">
                  <c:v>5.3139235766893368E-2</c:v>
                </c:pt>
                <c:pt idx="25">
                  <c:v>1.39689931508723E-2</c:v>
                </c:pt>
                <c:pt idx="26">
                  <c:v>6.4111979636627958E-2</c:v>
                </c:pt>
                <c:pt idx="27">
                  <c:v>1.2382993155194097E-2</c:v>
                </c:pt>
                <c:pt idx="28">
                  <c:v>1.7870296938334071E-2</c:v>
                </c:pt>
                <c:pt idx="29">
                  <c:v>2.2096077082183724E-2</c:v>
                </c:pt>
                <c:pt idx="30">
                  <c:v>1.1135333302652517E-2</c:v>
                </c:pt>
                <c:pt idx="31">
                  <c:v>1.6438683240831746E-2</c:v>
                </c:pt>
                <c:pt idx="32">
                  <c:v>7.7722078283893967E-3</c:v>
                </c:pt>
                <c:pt idx="33">
                  <c:v>1.7186911279690881E-2</c:v>
                </c:pt>
                <c:pt idx="34">
                  <c:v>1.1928531655090823E-2</c:v>
                </c:pt>
                <c:pt idx="35">
                  <c:v>1.3705323105243966E-2</c:v>
                </c:pt>
                <c:pt idx="36">
                  <c:v>1.8019506415587168E-3</c:v>
                </c:pt>
                <c:pt idx="37">
                  <c:v>1.6374277594824706E-2</c:v>
                </c:pt>
                <c:pt idx="38">
                  <c:v>1.273426406602594E-2</c:v>
                </c:pt>
                <c:pt idx="39">
                  <c:v>7.8437474453430089E-3</c:v>
                </c:pt>
                <c:pt idx="40">
                  <c:v>1.1894242542721537E-2</c:v>
                </c:pt>
                <c:pt idx="41">
                  <c:v>1.5503390840557704E-2</c:v>
                </c:pt>
                <c:pt idx="42">
                  <c:v>7.3797717872564519E-4</c:v>
                </c:pt>
                <c:pt idx="43">
                  <c:v>7.6711968081230792E-4</c:v>
                </c:pt>
                <c:pt idx="44">
                  <c:v>3.5426306106533011E-3</c:v>
                </c:pt>
                <c:pt idx="45">
                  <c:v>4.4810773090839043E-2</c:v>
                </c:pt>
                <c:pt idx="46">
                  <c:v>4.5724122415824195E-3</c:v>
                </c:pt>
                <c:pt idx="47">
                  <c:v>0</c:v>
                </c:pt>
                <c:pt idx="48">
                  <c:v>8.1480794806820301E-4</c:v>
                </c:pt>
                <c:pt idx="49">
                  <c:v>2.9994314904010637E-4</c:v>
                </c:pt>
                <c:pt idx="50">
                  <c:v>2.4759773912534982E-3</c:v>
                </c:pt>
                <c:pt idx="51">
                  <c:v>3.9236869121385745E-4</c:v>
                </c:pt>
                <c:pt idx="52">
                  <c:v>0</c:v>
                </c:pt>
                <c:pt idx="53">
                  <c:v>0</c:v>
                </c:pt>
                <c:pt idx="54">
                  <c:v>4.5776561982482591E-4</c:v>
                </c:pt>
                <c:pt idx="55">
                  <c:v>0</c:v>
                </c:pt>
                <c:pt idx="56">
                  <c:v>3.2618309724358348E-4</c:v>
                </c:pt>
                <c:pt idx="57">
                  <c:v>2.7375309800309459E-3</c:v>
                </c:pt>
                <c:pt idx="58">
                  <c:v>3.0828731132457772E-3</c:v>
                </c:pt>
                <c:pt idx="59">
                  <c:v>1.003907654521945E-3</c:v>
                </c:pt>
                <c:pt idx="60">
                  <c:v>2.7819176129609789E-3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2.2214645745257961E-2</c:v>
                </c:pt>
                <c:pt idx="1">
                  <c:v>2.4653233653390359E-2</c:v>
                </c:pt>
                <c:pt idx="2">
                  <c:v>2.8615772770925481E-2</c:v>
                </c:pt>
                <c:pt idx="3">
                  <c:v>2.9217147768517748E-2</c:v>
                </c:pt>
                <c:pt idx="4">
                  <c:v>2.846392178221625E-2</c:v>
                </c:pt>
                <c:pt idx="5">
                  <c:v>2.5717251239527797E-2</c:v>
                </c:pt>
                <c:pt idx="6">
                  <c:v>2.4463839349694559E-2</c:v>
                </c:pt>
                <c:pt idx="7">
                  <c:v>2.257906573770475E-2</c:v>
                </c:pt>
                <c:pt idx="8">
                  <c:v>2.0491860536876849E-2</c:v>
                </c:pt>
                <c:pt idx="9">
                  <c:v>1.8430948231573315E-2</c:v>
                </c:pt>
                <c:pt idx="10">
                  <c:v>1.7395013240993969E-2</c:v>
                </c:pt>
                <c:pt idx="11">
                  <c:v>1.4641358100597919E-2</c:v>
                </c:pt>
                <c:pt idx="12">
                  <c:v>1.4409161315642755E-2</c:v>
                </c:pt>
                <c:pt idx="13">
                  <c:v>1.1835235906754711E-2</c:v>
                </c:pt>
                <c:pt idx="14">
                  <c:v>1.0878592879129623E-2</c:v>
                </c:pt>
                <c:pt idx="15">
                  <c:v>9.7845311698097071E-3</c:v>
                </c:pt>
                <c:pt idx="16">
                  <c:v>9.0917707735406819E-3</c:v>
                </c:pt>
                <c:pt idx="17">
                  <c:v>8.1255146956153174E-3</c:v>
                </c:pt>
                <c:pt idx="18">
                  <c:v>9.5348615619426286E-2</c:v>
                </c:pt>
                <c:pt idx="19">
                  <c:v>3.2256582274329572E-2</c:v>
                </c:pt>
                <c:pt idx="20">
                  <c:v>2.9778154584171268E-2</c:v>
                </c:pt>
                <c:pt idx="21">
                  <c:v>5.0336480155761636E-2</c:v>
                </c:pt>
                <c:pt idx="22">
                  <c:v>4.2298049703942658E-2</c:v>
                </c:pt>
                <c:pt idx="23">
                  <c:v>2.9346237554723518E-2</c:v>
                </c:pt>
                <c:pt idx="24">
                  <c:v>2.958886256165889E-2</c:v>
                </c:pt>
                <c:pt idx="25">
                  <c:v>2.8751554223981061E-2</c:v>
                </c:pt>
                <c:pt idx="26">
                  <c:v>2.9847422791570283E-2</c:v>
                </c:pt>
                <c:pt idx="27">
                  <c:v>1.8256439694230873E-2</c:v>
                </c:pt>
                <c:pt idx="28">
                  <c:v>1.8361551565606267E-2</c:v>
                </c:pt>
                <c:pt idx="29">
                  <c:v>1.9695309477310782E-2</c:v>
                </c:pt>
                <c:pt idx="30">
                  <c:v>1.8769427627340948E-2</c:v>
                </c:pt>
                <c:pt idx="31">
                  <c:v>1.6192986903654259E-2</c:v>
                </c:pt>
                <c:pt idx="32">
                  <c:v>2.4703469224713288E-2</c:v>
                </c:pt>
                <c:pt idx="33">
                  <c:v>1.4362889635300517E-2</c:v>
                </c:pt>
                <c:pt idx="34">
                  <c:v>1.5952502290212618E-2</c:v>
                </c:pt>
                <c:pt idx="35">
                  <c:v>1.4825794262461644E-2</c:v>
                </c:pt>
                <c:pt idx="36">
                  <c:v>1.2148377037660578E-2</c:v>
                </c:pt>
                <c:pt idx="37">
                  <c:v>9.2505576833750193E-3</c:v>
                </c:pt>
                <c:pt idx="38">
                  <c:v>1.0012515671650056E-2</c:v>
                </c:pt>
                <c:pt idx="39">
                  <c:v>9.1057443506639239E-3</c:v>
                </c:pt>
                <c:pt idx="40">
                  <c:v>1.0910934816861607E-2</c:v>
                </c:pt>
                <c:pt idx="41">
                  <c:v>7.4139461758569933E-3</c:v>
                </c:pt>
                <c:pt idx="42">
                  <c:v>9.5599425864865209E-3</c:v>
                </c:pt>
                <c:pt idx="43">
                  <c:v>6.1224314112408263E-3</c:v>
                </c:pt>
                <c:pt idx="44">
                  <c:v>5.6160404021159951E-3</c:v>
                </c:pt>
                <c:pt idx="45">
                  <c:v>4.6404199169849747E-3</c:v>
                </c:pt>
                <c:pt idx="46">
                  <c:v>5.564110088348422E-3</c:v>
                </c:pt>
                <c:pt idx="47">
                  <c:v>4.1677802232531948E-3</c:v>
                </c:pt>
                <c:pt idx="48">
                  <c:v>3.0835764371253257E-3</c:v>
                </c:pt>
                <c:pt idx="49">
                  <c:v>2.6609140709682407E-3</c:v>
                </c:pt>
                <c:pt idx="50">
                  <c:v>3.2098993809384002E-3</c:v>
                </c:pt>
                <c:pt idx="51">
                  <c:v>3.8262082149976033E-3</c:v>
                </c:pt>
                <c:pt idx="52">
                  <c:v>3.4105874215181421E-3</c:v>
                </c:pt>
                <c:pt idx="53">
                  <c:v>1.9399424712642382E-3</c:v>
                </c:pt>
                <c:pt idx="54">
                  <c:v>1.5843800901004551E-3</c:v>
                </c:pt>
                <c:pt idx="55">
                  <c:v>1.6903615033066499E-3</c:v>
                </c:pt>
                <c:pt idx="56">
                  <c:v>1.6914264936324494E-3</c:v>
                </c:pt>
                <c:pt idx="57">
                  <c:v>2.1369311633045885E-3</c:v>
                </c:pt>
                <c:pt idx="58">
                  <c:v>1.1975355703053268E-3</c:v>
                </c:pt>
                <c:pt idx="59">
                  <c:v>1.0734272595809785E-3</c:v>
                </c:pt>
                <c:pt idx="60">
                  <c:v>8.6368778602571113E-4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0260608"/>
        <c:axId val="162514048"/>
      </c:lineChart>
      <c:catAx>
        <c:axId val="1602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2514048"/>
        <c:crosses val="autoZero"/>
        <c:auto val="1"/>
        <c:lblAlgn val="ctr"/>
        <c:lblOffset val="100"/>
        <c:tickLblSkip val="10"/>
        <c:noMultiLvlLbl val="0"/>
      </c:catAx>
      <c:valAx>
        <c:axId val="162514048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0260608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27663.8319596798</v>
      </c>
      <c r="C11" s="11">
        <f>B11/B$102</f>
        <v>3.8755046744568762E-2</v>
      </c>
      <c r="E11" s="20">
        <v>0</v>
      </c>
      <c r="F11" s="110" t="n">
        <v>81896.50698044189</v>
      </c>
      <c r="G11" s="11">
        <f>F11/F$102</f>
        <v>0.12416558370832918</v>
      </c>
      <c r="K11" s="8" t="n">
        <v>7.366351838634833</v>
      </c>
      <c r="L11" s="8" t="n">
        <v>7.478777552761568</v>
      </c>
    </row>
    <row r="12" spans="1:12" x14ac:dyDescent="0.25">
      <c r="A12">
        <v>1</v>
      </c>
      <c r="B12" s="8" t="n">
        <v>33777.3254511565</v>
      </c>
      <c r="C12" s="11">
        <f>B12/B$102</f>
        <v>4.7319613156775193E-2</v>
      </c>
      <c r="E12" s="21">
        <v>1</v>
      </c>
      <c r="F12" s="111" t="n">
        <v>58404.63747023703</v>
      </c>
      <c r="G12" s="11">
        <f>F12/F$102</f>
        <v>8.8581800255508811E-2</v>
      </c>
      <c r="K12" s="8"/>
      <c r="L12" s="380"/>
    </row>
    <row r="13" spans="1:12" x14ac:dyDescent="0.25">
      <c r="A13">
        <v>2</v>
      </c>
      <c r="B13" s="8" t="n">
        <v>48075.5858341662</v>
      </c>
      <c r="C13" s="11">
        <f ref="C13:C76" si="0" t="shared">B13/B$102</f>
        <v>6.7350451629088218E-2</v>
      </c>
      <c r="E13" s="22">
        <v>2</v>
      </c>
      <c r="F13" s="112" t="n">
        <v>38120.804380759255</v>
      </c>
      <c r="G13" s="11">
        <f ref="G13:G76" si="1" t="shared">F13/F$102</f>
        <v>5.84058077280422E-2</v>
      </c>
    </row>
    <row r="14" spans="1:12" x14ac:dyDescent="0.25">
      <c r="A14">
        <v>3</v>
      </c>
      <c r="B14" s="8" t="n">
        <v>67958.3713310867</v>
      </c>
      <c r="C14" s="11">
        <f si="0" t="shared"/>
        <v>9.5204809711818078E-2</v>
      </c>
      <c r="E14" s="23">
        <v>3</v>
      </c>
      <c r="F14" s="113" t="n">
        <v>24500.137754136857</v>
      </c>
      <c r="G14" s="11">
        <f si="1" t="shared"/>
        <v>3.826868486005873E-2</v>
      </c>
    </row>
    <row r="15" spans="1:12" x14ac:dyDescent="0.25">
      <c r="A15">
        <v>4</v>
      </c>
      <c r="B15" s="8" t="n">
        <v>114566.1354852887</v>
      </c>
      <c r="C15" s="11">
        <f si="0" t="shared"/>
        <v>0.16049894832170436</v>
      </c>
      <c r="E15" s="24">
        <v>4</v>
      </c>
      <c r="F15" s="114" t="n">
        <v>92056.14183133248</v>
      </c>
      <c r="G15" s="11">
        <f si="1" t="shared"/>
        <v>0.14133562171597314</v>
      </c>
    </row>
    <row r="16" spans="1:12" x14ac:dyDescent="0.25">
      <c r="A16">
        <v>5</v>
      </c>
      <c r="B16" s="8" t="n">
        <v>79182.5808357054</v>
      </c>
      <c r="C16" s="11">
        <f si="0" t="shared"/>
        <v>0.11092912312784585</v>
      </c>
      <c r="E16" s="25">
        <v>5</v>
      </c>
      <c r="F16" s="115" t="n">
        <v>57593.08396639395</v>
      </c>
      <c r="G16" s="11">
        <f si="1" t="shared"/>
        <v>8.961151533603269E-2</v>
      </c>
    </row>
    <row r="17" spans="1:7" x14ac:dyDescent="0.25">
      <c r="A17">
        <v>6</v>
      </c>
      <c r="B17" s="8" t="n">
        <v>76842.4210128425</v>
      </c>
      <c r="C17" s="11">
        <f si="0" t="shared"/>
        <v>0.10765072686455886</v>
      </c>
      <c r="E17" s="26">
        <v>6</v>
      </c>
      <c r="F17" s="116" t="n">
        <v>48249.00997883125</v>
      </c>
      <c r="G17" s="11">
        <f si="1" t="shared"/>
        <v>7.5892330140984787E-2</v>
      </c>
    </row>
    <row r="18" spans="1:7" x14ac:dyDescent="0.25">
      <c r="A18">
        <v>7</v>
      </c>
      <c r="B18" s="8" t="n">
        <v>48964.2011561719</v>
      </c>
      <c r="C18" s="11">
        <f si="0" t="shared"/>
        <v>6.8595338035008585E-2</v>
      </c>
      <c r="E18" s="27">
        <v>7</v>
      </c>
      <c r="F18" s="117" t="n">
        <v>26852.585876670495</v>
      </c>
      <c r="G18" s="11">
        <f si="1" t="shared"/>
        <v>4.3674006769954872E-2</v>
      </c>
    </row>
    <row r="19" spans="1:7" x14ac:dyDescent="0.25">
      <c r="A19">
        <v>8</v>
      </c>
      <c r="B19" s="8" t="n">
        <v>32389.3908588605</v>
      </c>
      <c r="C19" s="11">
        <f si="0" t="shared"/>
        <v>4.5375216224302718E-2</v>
      </c>
      <c r="E19" s="28">
        <v>8</v>
      </c>
      <c r="F19" s="118" t="n">
        <v>36481.14471822348</v>
      </c>
      <c r="G19" s="11">
        <f si="1" t="shared"/>
        <v>5.5325552770871422E-2</v>
      </c>
    </row>
    <row r="20" spans="1:7" x14ac:dyDescent="0.25">
      <c r="A20">
        <v>9</v>
      </c>
      <c r="B20" s="8" t="n">
        <v>24334.0130252145</v>
      </c>
      <c r="C20" s="11">
        <f si="0" t="shared"/>
        <v>3.409020896489167E-2</v>
      </c>
      <c r="E20" s="29">
        <v>9</v>
      </c>
      <c r="F20" s="119" t="n">
        <v>19455.467697123426</v>
      </c>
      <c r="G20" s="11">
        <f si="1" t="shared"/>
        <v>3.4699435427204009E-2</v>
      </c>
    </row>
    <row r="21" spans="1:7" x14ac:dyDescent="0.25">
      <c r="A21">
        <v>10</v>
      </c>
      <c r="B21" s="8" t="n">
        <v>36790.9844365816</v>
      </c>
      <c r="C21" s="11">
        <f si="0" t="shared"/>
        <v>5.1541533497477386E-2</v>
      </c>
      <c r="E21" s="30">
        <v>10</v>
      </c>
      <c r="F21" s="120" t="n">
        <v>11846.13373982881</v>
      </c>
      <c r="G21" s="11">
        <f si="1" t="shared"/>
        <v>2.0758810394697017E-2</v>
      </c>
    </row>
    <row r="22" spans="1:7" x14ac:dyDescent="0.25">
      <c r="A22">
        <v>11</v>
      </c>
      <c r="B22" s="8" t="n">
        <v>18757.3982035027</v>
      </c>
      <c r="C22" s="11">
        <f si="0" t="shared"/>
        <v>2.6277771107153999E-2</v>
      </c>
      <c r="E22" s="31">
        <v>11</v>
      </c>
      <c r="F22" s="121" t="n">
        <v>13263.093970665894</v>
      </c>
      <c r="G22" s="11">
        <f si="1" t="shared"/>
        <v>2.1272546623624461E-2</v>
      </c>
    </row>
    <row r="23" spans="1:7" x14ac:dyDescent="0.25">
      <c r="A23">
        <v>12</v>
      </c>
      <c r="B23" s="8" t="n">
        <v>12068.5149468976</v>
      </c>
      <c r="C23" s="11">
        <f si="0" t="shared"/>
        <v>1.6907124854801097E-2</v>
      </c>
      <c r="E23" s="32">
        <v>12</v>
      </c>
      <c r="F23" s="122" t="n">
        <v>13104.643699279828</v>
      </c>
      <c r="G23" s="11">
        <f si="1" t="shared"/>
        <v>2.1542529494146832E-2</v>
      </c>
    </row>
    <row r="24" spans="1:7" x14ac:dyDescent="0.25">
      <c r="A24">
        <v>13</v>
      </c>
      <c r="B24" s="8" t="n">
        <v>7143.7357422256</v>
      </c>
      <c r="C24" s="11">
        <f si="0" t="shared"/>
        <v>1.0007861999173461E-2</v>
      </c>
      <c r="E24" s="33">
        <v>13</v>
      </c>
      <c r="F24" s="123" t="n">
        <v>10833.309360209925</v>
      </c>
      <c r="G24" s="11">
        <f si="1" t="shared"/>
        <v>1.8129051784511192E-2</v>
      </c>
    </row>
    <row r="25" spans="1:7" x14ac:dyDescent="0.25">
      <c r="A25">
        <v>14</v>
      </c>
      <c r="B25" s="8" t="n">
        <v>3895.864526835</v>
      </c>
      <c r="C25" s="11">
        <f si="0" t="shared"/>
        <v>5.4578271032031415E-3</v>
      </c>
      <c r="E25" s="34">
        <v>14</v>
      </c>
      <c r="F25" s="124" t="n">
        <v>13734.055262362253</v>
      </c>
      <c r="G25" s="11">
        <f si="1" t="shared"/>
        <v>2.2011587923388334E-2</v>
      </c>
    </row>
    <row r="26" spans="1:7" x14ac:dyDescent="0.25">
      <c r="A26">
        <v>15</v>
      </c>
      <c r="B26" s="8" t="n">
        <v>4083.9489840013002</v>
      </c>
      <c r="C26" s="11">
        <f si="0" t="shared"/>
        <v>5.7213199533632676E-3</v>
      </c>
      <c r="E26" s="35">
        <v>15</v>
      </c>
      <c r="F26" s="125" t="n">
        <v>9107.139033994163</v>
      </c>
      <c r="G26" s="11">
        <f si="1" t="shared"/>
        <v>1.4239401969614323E-2</v>
      </c>
    </row>
    <row r="27" spans="1:7" x14ac:dyDescent="0.25">
      <c r="A27">
        <v>16</v>
      </c>
      <c r="B27" s="8" t="n">
        <v>12432.3392043248</v>
      </c>
      <c r="C27" s="11">
        <f si="0" t="shared"/>
        <v>1.7416816575165434E-2</v>
      </c>
      <c r="E27" s="36">
        <v>16</v>
      </c>
      <c r="F27" s="126" t="n">
        <v>15390.526169047818</v>
      </c>
      <c r="G27" s="11">
        <f si="1" t="shared"/>
        <v>2.7334582398999371E-2</v>
      </c>
    </row>
    <row r="28" spans="1:7" x14ac:dyDescent="0.25">
      <c r="A28">
        <v>17</v>
      </c>
      <c r="B28" s="8" t="n">
        <v>4142.9865766036</v>
      </c>
      <c r="C28" s="11">
        <f si="0" t="shared"/>
        <v>5.8040273911587146E-3</v>
      </c>
      <c r="E28" s="37">
        <v>17</v>
      </c>
      <c r="F28" s="127" t="n">
        <v>8232.455306770175</v>
      </c>
      <c r="G28" s="11">
        <f si="1" t="shared"/>
        <v>1.2878640875556385E-2</v>
      </c>
    </row>
    <row r="29" spans="1:7" x14ac:dyDescent="0.25">
      <c r="A29">
        <v>18</v>
      </c>
      <c r="B29" s="8" t="n">
        <v>4448.78633809</v>
      </c>
      <c r="C29" s="11">
        <f si="0" t="shared"/>
        <v>6.2324309495723406E-3</v>
      </c>
      <c r="E29" s="38">
        <v>18</v>
      </c>
      <c r="F29" s="128" t="n">
        <v>6597.000887718146</v>
      </c>
      <c r="G29" s="11">
        <f si="1" t="shared"/>
        <v>1.0329217697196346E-2</v>
      </c>
    </row>
    <row r="30" spans="1:7" x14ac:dyDescent="0.25">
      <c r="A30">
        <v>19</v>
      </c>
      <c r="B30" s="8" t="n">
        <v>10699.580245124</v>
      </c>
      <c r="C30" s="11">
        <f si="0" t="shared"/>
        <v>1.4989345407802451E-2</v>
      </c>
      <c r="E30" s="39">
        <v>19</v>
      </c>
      <c r="F30" s="129" t="n">
        <v>5398.96553616434</v>
      </c>
      <c r="G30" s="11">
        <f si="1" t="shared"/>
        <v>9.2004494295156985E-3</v>
      </c>
    </row>
    <row r="31" spans="1:7" x14ac:dyDescent="0.25">
      <c r="A31">
        <v>20</v>
      </c>
      <c r="B31" s="8" t="n">
        <v>5949.2070240465</v>
      </c>
      <c r="C31" s="11">
        <f si="0" t="shared"/>
        <v>8.3344128407837389E-3</v>
      </c>
      <c r="E31" s="40">
        <v>20</v>
      </c>
      <c r="F31" s="130" t="n">
        <v>4514.9546534465935</v>
      </c>
      <c r="G31" s="11">
        <f si="1" t="shared"/>
        <v>7.7730063058901264E-3</v>
      </c>
    </row>
    <row r="32" spans="1:7" x14ac:dyDescent="0.25">
      <c r="A32">
        <v>21</v>
      </c>
      <c r="B32" s="8" t="n">
        <v>5916.144499352</v>
      </c>
      <c r="C32" s="11">
        <f si="0" t="shared"/>
        <v>8.2880946122788676E-3</v>
      </c>
      <c r="E32" s="41">
        <v>21</v>
      </c>
      <c r="F32" s="131" t="n">
        <v>4422.510351925665</v>
      </c>
      <c r="G32" s="11">
        <f si="1" t="shared"/>
        <v>6.6412044708881873E-3</v>
      </c>
    </row>
    <row r="33" spans="1:7" x14ac:dyDescent="0.25">
      <c r="A33">
        <v>22</v>
      </c>
      <c r="B33" s="8" t="n">
        <v>6841.0360580808</v>
      </c>
      <c r="C33" s="11">
        <f si="0" t="shared"/>
        <v>9.5838014270265455E-3</v>
      </c>
      <c r="E33" s="42">
        <v>22</v>
      </c>
      <c r="F33" s="132" t="n">
        <v>4632.865547236485</v>
      </c>
      <c r="G33" s="11">
        <f si="1" t="shared"/>
        <v>6.253118481107013E-3</v>
      </c>
    </row>
    <row r="34" spans="1:7" x14ac:dyDescent="0.25">
      <c r="A34">
        <v>23</v>
      </c>
      <c r="B34" s="8" t="n">
        <v>4890.604549589</v>
      </c>
      <c r="C34" s="11">
        <f si="0" t="shared"/>
        <v>6.8513866121212574E-3</v>
      </c>
      <c r="E34" s="43">
        <v>23</v>
      </c>
      <c r="F34" s="133" t="n">
        <v>3861.4948304336144</v>
      </c>
      <c r="G34" s="11">
        <f si="1" t="shared"/>
        <v>8.3722434056694509E-3</v>
      </c>
    </row>
    <row r="35" spans="1:7" x14ac:dyDescent="0.25">
      <c r="A35">
        <v>24</v>
      </c>
      <c r="B35" s="8" t="n">
        <v>691.809113803</v>
      </c>
      <c r="C35" s="11">
        <f si="0" t="shared"/>
        <v>9.6917500738261E-4</v>
      </c>
      <c r="E35" s="44">
        <v>24</v>
      </c>
      <c r="F35" s="134" t="n">
        <v>3517.8961183802858</v>
      </c>
      <c r="G35" s="11">
        <f si="1" t="shared"/>
        <v>5.1873521763837116E-3</v>
      </c>
    </row>
    <row r="36" spans="1:7" x14ac:dyDescent="0.25">
      <c r="A36">
        <v>25</v>
      </c>
      <c r="B36" s="8" t="n">
        <v>899.760716736</v>
      </c>
      <c r="C36" s="11">
        <f si="0" t="shared"/>
        <v>1.2605003054838532E-3</v>
      </c>
      <c r="E36" s="45">
        <v>25</v>
      </c>
      <c r="F36" s="135" t="n">
        <v>4281.685548736497</v>
      </c>
      <c r="G36" s="11">
        <f si="1" t="shared"/>
        <v>5.0296018339194386E-3</v>
      </c>
    </row>
    <row r="37" spans="1:7" x14ac:dyDescent="0.25">
      <c r="A37">
        <v>26</v>
      </c>
      <c r="B37" s="8" t="n">
        <v>994.02148134</v>
      </c>
      <c r="C37" s="11">
        <f si="0" t="shared"/>
        <v>1.3925528838732537E-3</v>
      </c>
      <c r="E37" s="46">
        <v>26</v>
      </c>
      <c r="F37" s="136" t="n">
        <v>2153.505740963824</v>
      </c>
      <c r="G37" s="11">
        <f si="1" t="shared"/>
        <v>3.8054507272891687E-3</v>
      </c>
    </row>
    <row r="38" spans="1:7" x14ac:dyDescent="0.25">
      <c r="A38">
        <v>27</v>
      </c>
      <c r="B38" s="8" t="n">
        <v>2067.125837326</v>
      </c>
      <c r="C38" s="11">
        <f si="0" t="shared"/>
        <v>2.8958952096455053E-3</v>
      </c>
      <c r="E38" s="47">
        <v>27</v>
      </c>
      <c r="F38" s="137" t="n">
        <v>1955.5902144013544</v>
      </c>
      <c r="G38" s="11">
        <f si="1" t="shared"/>
        <v>5.7865237105022404E-3</v>
      </c>
    </row>
    <row r="39" spans="1:7" x14ac:dyDescent="0.25">
      <c r="A39">
        <v>28</v>
      </c>
      <c r="B39" s="8" t="n">
        <v>290.667683824</v>
      </c>
      <c r="C39" s="11">
        <f si="0" t="shared"/>
        <v>4.072046016673765E-4</v>
      </c>
      <c r="E39" s="48">
        <v>28</v>
      </c>
      <c r="F39" s="138" t="n">
        <v>1998.8629629852505</v>
      </c>
      <c r="G39" s="11">
        <f si="1" t="shared"/>
        <v>2.7694044443879072E-3</v>
      </c>
    </row>
    <row r="40" spans="1:7" x14ac:dyDescent="0.25">
      <c r="A40">
        <v>29</v>
      </c>
      <c r="B40" s="8" t="n">
        <v>711.387405665</v>
      </c>
      <c r="C40" s="11">
        <f si="0" t="shared"/>
        <v>9.9660279169667444E-4</v>
      </c>
      <c r="E40" s="49">
        <v>29</v>
      </c>
      <c r="F40" s="139" t="n">
        <v>1754.6817677012398</v>
      </c>
      <c r="G40" s="11">
        <f si="1" t="shared"/>
        <v>3.2182131972018969E-3</v>
      </c>
    </row>
    <row r="41" spans="1:7" x14ac:dyDescent="0.25">
      <c r="A41">
        <v>30</v>
      </c>
      <c r="B41" s="8" t="n">
        <v>1402.4810608782</v>
      </c>
      <c r="C41" s="11">
        <f si="0" t="shared"/>
        <v>1.9647754928502734E-3</v>
      </c>
      <c r="E41" s="50">
        <v>30</v>
      </c>
      <c r="F41" s="140" t="n">
        <v>1524.9987486130194</v>
      </c>
      <c r="G41" s="11">
        <f si="1" t="shared"/>
        <v>2.2437723078570769E-3</v>
      </c>
    </row>
    <row r="42" spans="1:7" x14ac:dyDescent="0.25">
      <c r="A42">
        <v>31</v>
      </c>
      <c r="B42" s="8" t="n">
        <v>1540.58640738</v>
      </c>
      <c r="C42" s="11">
        <f si="0" t="shared"/>
        <v>2.1582511894621208E-3</v>
      </c>
      <c r="E42" s="51">
        <v>31</v>
      </c>
      <c r="F42" s="141" t="n">
        <v>1180.0555073501696</v>
      </c>
      <c r="G42" s="11">
        <f si="1" t="shared"/>
        <v>2.2159139742471412E-3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1128.328472190435</v>
      </c>
      <c r="G43" s="11">
        <f si="1" t="shared"/>
        <v>1.7715480263855643E-3</v>
      </c>
    </row>
    <row r="44" spans="1:7" x14ac:dyDescent="0.25">
      <c r="A44">
        <v>33</v>
      </c>
      <c r="B44" s="8" t="n">
        <v>815.028179101</v>
      </c>
      <c r="C44" s="11">
        <f si="0" t="shared"/>
        <v>1.1417960904779013E-3</v>
      </c>
      <c r="E44" s="53">
        <v>33</v>
      </c>
      <c r="F44" s="143" t="n">
        <v>779.9807978106788</v>
      </c>
      <c r="G44" s="11">
        <f si="1" t="shared"/>
        <v>1.351815585971773E-3</v>
      </c>
    </row>
    <row r="45" spans="1:7" x14ac:dyDescent="0.25">
      <c r="A45">
        <v>34</v>
      </c>
      <c r="B45" s="8" t="n">
        <v>735.005061211</v>
      </c>
      <c r="C45" s="11">
        <f si="0" t="shared"/>
        <v>1.0296894351528817E-3</v>
      </c>
      <c r="E45" s="54">
        <v>34</v>
      </c>
      <c r="F45" s="144" t="n">
        <v>769.8903327072667</v>
      </c>
      <c r="G45" s="11">
        <f si="1" t="shared"/>
        <v>1.3662552119095739E-3</v>
      </c>
    </row>
    <row r="46" spans="1:7" x14ac:dyDescent="0.25">
      <c r="A46">
        <v>35</v>
      </c>
      <c r="B46" s="8" t="n">
        <v>1498.404540075</v>
      </c>
      <c r="C46" s="11">
        <f si="0" t="shared"/>
        <v>2.0991574152676726E-3</v>
      </c>
      <c r="E46" s="55">
        <v>35</v>
      </c>
      <c r="F46" s="145" t="n">
        <v>565.5753674331964</v>
      </c>
      <c r="G46" s="11">
        <f si="1" t="shared"/>
        <v>1.0708247352450428E-3</v>
      </c>
    </row>
    <row r="47" spans="1:7" x14ac:dyDescent="0.25">
      <c r="A47">
        <v>36</v>
      </c>
      <c r="B47" s="8" t="n">
        <v>152.330625679</v>
      </c>
      <c r="C47" s="11">
        <f si="0" t="shared"/>
        <v>2.1340429364317842E-4</v>
      </c>
      <c r="E47" s="56">
        <v>36</v>
      </c>
      <c r="F47" s="146" t="n">
        <v>1002.6505735986499</v>
      </c>
      <c r="G47" s="11">
        <f si="1" t="shared"/>
        <v>1.4174506785030138E-3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438.6599717390331</v>
      </c>
      <c r="G48" s="11">
        <f si="1" t="shared"/>
        <v>8.5294624872592792E-4</v>
      </c>
    </row>
    <row r="49" spans="1:7" x14ac:dyDescent="0.25">
      <c r="A49">
        <v>38</v>
      </c>
      <c r="B49" s="8" t="n">
        <v>4.59375</v>
      </c>
      <c r="C49" s="11">
        <f si="0" t="shared"/>
        <v>6.4355146547428424E-6</v>
      </c>
      <c r="E49" s="58">
        <v>38</v>
      </c>
      <c r="F49" s="148" t="n">
        <v>476.80011085441134</v>
      </c>
      <c r="G49" s="11">
        <f si="1" t="shared"/>
        <v>8.8488768940005549E-4</v>
      </c>
    </row>
    <row r="50" spans="1:7" x14ac:dyDescent="0.25">
      <c r="A50">
        <v>39</v>
      </c>
      <c r="B50" s="8" t="n">
        <v>80.5029056468</v>
      </c>
      <c r="C50" s="11">
        <f si="0" t="shared"/>
        <v>1.1277880360040526E-4</v>
      </c>
      <c r="E50" s="59">
        <v>39</v>
      </c>
      <c r="F50" s="149" t="n">
        <v>467.0422831927994</v>
      </c>
      <c r="G50" s="11">
        <f si="1" t="shared"/>
        <v>8.5458192429637922E-4</v>
      </c>
    </row>
    <row r="51" spans="1:7" x14ac:dyDescent="0.25">
      <c r="A51">
        <v>40</v>
      </c>
      <c r="B51" s="8" t="n">
        <v>6381.798029925</v>
      </c>
      <c r="C51" s="11">
        <f si="0" t="shared"/>
        <v>8.940441849293353E-3</v>
      </c>
      <c r="E51" s="60">
        <v>40</v>
      </c>
      <c r="F51" s="150" t="n">
        <v>309.22382284317666</v>
      </c>
      <c r="G51" s="11">
        <f si="1" t="shared"/>
        <v>6.0753308465026569E-4</v>
      </c>
    </row>
    <row r="52" spans="1:7" x14ac:dyDescent="0.25">
      <c r="A52">
        <v>41</v>
      </c>
      <c r="B52" s="8" t="n">
        <v>1219.07842926</v>
      </c>
      <c r="C52" s="11">
        <f si="0" t="shared"/>
        <v>1.7078415448780657E-3</v>
      </c>
      <c r="E52" s="61">
        <v>41</v>
      </c>
      <c r="F52" s="151" t="n">
        <v>271.18893276744706</v>
      </c>
      <c r="G52" s="11">
        <f si="1" t="shared"/>
        <v>4.1856387568724033E-4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156.09255237092603</v>
      </c>
      <c r="G53" s="11">
        <f si="1" t="shared"/>
        <v>2.934447570069831E-4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206.65050707820978</v>
      </c>
      <c r="G54" s="11">
        <f si="1" t="shared"/>
        <v>3.5826938110785657E-4</v>
      </c>
    </row>
    <row r="55" spans="1:7" x14ac:dyDescent="0.25">
      <c r="A55">
        <v>44</v>
      </c>
      <c r="B55" s="8" t="n">
        <v>77.4485081528</v>
      </c>
      <c r="C55" s="11">
        <f si="0" t="shared"/>
        <v>1.084998115276876E-4</v>
      </c>
      <c r="E55" s="64">
        <v>44</v>
      </c>
      <c r="F55" s="154" t="n">
        <v>141.01066041551698</v>
      </c>
      <c r="G55" s="11">
        <f si="1" t="shared"/>
        <v>2.1513586986523166E-4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145.6626343200563</v>
      </c>
      <c r="G56" s="11">
        <f si="1" t="shared"/>
        <v>1.7703308638754146E-4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137.79734739323405</v>
      </c>
      <c r="G57" s="11">
        <f si="1" t="shared"/>
        <v>1.8620778308693436E-4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122.97756873408301</v>
      </c>
      <c r="G58" s="11">
        <f si="1" t="shared"/>
        <v>1.9961186402322825E-4</v>
      </c>
    </row>
    <row r="59" spans="1:7" x14ac:dyDescent="0.25">
      <c r="A59">
        <v>48</v>
      </c>
      <c r="B59" s="8" t="n">
        <v>213.886510635</v>
      </c>
      <c r="C59" s="11">
        <f si="0" t="shared"/>
        <v>2.9963967861624017E-4</v>
      </c>
      <c r="E59" s="68">
        <v>48</v>
      </c>
      <c r="F59" s="158" t="n">
        <v>73.86808129173714</v>
      </c>
      <c r="G59" s="11">
        <f si="1" t="shared"/>
        <v>1.2215477442454977E-4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107.37423328144206</v>
      </c>
      <c r="G60" s="11">
        <f si="1" t="shared"/>
        <v>2.4198774447301575E-4</v>
      </c>
    </row>
    <row r="61" spans="1:7" x14ac:dyDescent="0.25">
      <c r="A61">
        <v>50</v>
      </c>
      <c r="B61" s="8" t="n">
        <v>454.367233631</v>
      </c>
      <c r="C61" s="11">
        <f si="0" t="shared"/>
        <v>6.3653594354661554E-4</v>
      </c>
      <c r="E61" s="70">
        <v>50</v>
      </c>
      <c r="F61" s="160" t="n">
        <v>70.90829407076626</v>
      </c>
      <c r="G61" s="11">
        <f si="1" t="shared"/>
        <v>7.0985645747908473E-5</v>
      </c>
    </row>
    <row r="62" spans="1:7" x14ac:dyDescent="0.25">
      <c r="A62">
        <v>51</v>
      </c>
      <c r="B62" s="8" t="n">
        <v>94.7244864348</v>
      </c>
      <c r="C62" s="11">
        <f si="0" t="shared"/>
        <v>1.3270221945341931E-4</v>
      </c>
      <c r="E62" s="71">
        <v>51</v>
      </c>
      <c r="F62" s="161" t="n">
        <v>54.50591526156521</v>
      </c>
      <c r="G62" s="11">
        <f si="1" t="shared"/>
        <v>1.5103035856541764E-4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52.775051824247136</v>
      </c>
      <c r="G63" s="11">
        <f si="1" t="shared"/>
        <v>4.3481050451692824E-5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37.38630824770491</v>
      </c>
      <c r="G64" s="11">
        <f si="1" t="shared"/>
        <v>7.0525597175880123E-5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38.984205229258194</v>
      </c>
      <c r="G65" s="11">
        <f si="1" t="shared"/>
        <v>9.0859144882272959E-5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17.6471431889457</v>
      </c>
      <c r="G66" s="11">
        <f si="1" t="shared"/>
        <v>4.230888695772967E-5</v>
      </c>
    </row>
    <row r="67" spans="1:7" x14ac:dyDescent="0.25">
      <c r="A67">
        <v>56</v>
      </c>
      <c r="B67" s="8" t="n">
        <v>767.701778901</v>
      </c>
      <c r="C67" s="11">
        <f si="0" t="shared"/>
        <v>1.0754951942507831E-3</v>
      </c>
      <c r="E67" s="76">
        <v>56</v>
      </c>
      <c r="F67" s="166" t="n">
        <v>20.800704119073863</v>
      </c>
      <c r="G67" s="11">
        <f si="1" t="shared"/>
        <v>3.4695214817272635E-7</v>
      </c>
    </row>
    <row r="68" spans="1:7" x14ac:dyDescent="0.25">
      <c r="A68">
        <v>57</v>
      </c>
      <c r="B68" s="8" t="n">
        <v>303.939138892</v>
      </c>
      <c r="C68" s="11">
        <f si="0" t="shared"/>
        <v>4.2579695945347185E-4</v>
      </c>
      <c r="E68" s="77">
        <v>57</v>
      </c>
      <c r="F68" s="167" t="n">
        <v>12.363248136200653</v>
      </c>
      <c r="G68" s="11">
        <f si="1" t="shared"/>
        <v>2.7750389318015224E-5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12.971013564308775</v>
      </c>
      <c r="G69" s="11">
        <f si="1" t="shared"/>
        <v>4.1655737828327935E-5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3.7428156298420725</v>
      </c>
      <c r="G70" s="11">
        <f si="1" t="shared"/>
        <v>0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1.777517392240321</v>
      </c>
      <c r="G71" s="11">
        <f si="1" t="shared"/>
        <v>4.8358761642572064E-5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10.331141491283594</v>
      </c>
      <c r="G72" s="11">
        <f si="1" t="shared"/>
        <v>0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10.08851318811957</v>
      </c>
      <c r="G73" s="11">
        <f si="1" t="shared"/>
        <v>4.1399599575874431E-5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1.15</v>
      </c>
      <c r="G74" s="11">
        <f si="1" t="shared"/>
        <v>1.3840829320393865E-5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6.8999999999999995</v>
      </c>
      <c r="G76" s="11">
        <f si="1" t="shared"/>
        <v>1.3895433534317688E-5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0.449674796748008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0.0</v>
      </c>
      <c r="G78" s="11">
        <f si="3" t="shared"/>
        <v>3.4695214817272635E-7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5.279254120435133</v>
      </c>
      <c r="G79" s="11">
        <f si="3" t="shared"/>
        <v>0</v>
      </c>
    </row>
    <row r="80" spans="1:7" x14ac:dyDescent="0.25">
      <c r="A80">
        <v>69</v>
      </c>
      <c r="B80" s="8" t="n">
        <v>376.597523036</v>
      </c>
      <c r="C80" s="11">
        <f si="2" t="shared"/>
        <v>5.2758615040827928E-4</v>
      </c>
      <c r="E80" s="89">
        <v>69</v>
      </c>
      <c r="F80" s="179" t="n">
        <v>2.3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2.3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0.233997800384635</v>
      </c>
      <c r="G83" s="11">
        <f si="3" t="shared"/>
        <v>0</v>
      </c>
    </row>
    <row r="84" spans="1:7" x14ac:dyDescent="0.25">
      <c r="A84">
        <v>73</v>
      </c>
      <c r="B84" s="8" t="n">
        <v>224.140299381</v>
      </c>
      <c r="C84" s="11">
        <f si="2" t="shared"/>
        <v>3.1400450207017656E-4</v>
      </c>
      <c r="E84" s="93">
        <v>73</v>
      </c>
      <c r="F84" s="183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0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8.283997800384634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713812.37499234045</v>
      </c>
      <c r="C102" s="11">
        <f si="2" t="shared"/>
        <v>1</v>
      </c>
      <c r="F102" s="8">
        <f>SUM(F11:F101)</f>
        <v>720560.46148340963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16201.94103146468</v>
      </c>
      <c r="G11" s="11">
        <f>F11/F$102</f>
        <v>2.2214645745257961E-2</v>
      </c>
      <c r="K11" s="8" t="n">
        <v>24.113646099456428</v>
      </c>
      <c r="L11" s="8" t="n">
        <v>20.795352100037306</v>
      </c>
    </row>
    <row r="12" spans="1:12" x14ac:dyDescent="0.25">
      <c r="A12">
        <v>1</v>
      </c>
      <c r="B12" s="8" t="n">
        <v>7793.492276496</v>
      </c>
      <c r="C12" s="11">
        <f>B12/B$102</f>
        <v>1.0918124355268601E-2</v>
      </c>
      <c r="E12" s="201">
        <v>1</v>
      </c>
      <c r="F12" s="291" t="n">
        <v>15575.466042245773</v>
      </c>
      <c r="G12" s="11">
        <f>F12/F$102</f>
        <v>2.4653233653390359E-2</v>
      </c>
      <c r="K12" s="8"/>
      <c r="L12" s="381"/>
    </row>
    <row r="13" spans="1:12" x14ac:dyDescent="0.25">
      <c r="A13">
        <v>2</v>
      </c>
      <c r="B13" s="8" t="n">
        <v>3735.470356412</v>
      </c>
      <c r="C13" s="11">
        <f ref="C13:C76" si="0" t="shared">B13/B$102</f>
        <v>5.2331263610442182E-3</v>
      </c>
      <c r="E13" s="202">
        <v>2</v>
      </c>
      <c r="F13" s="292" t="n">
        <v>18394.72538149738</v>
      </c>
      <c r="G13" s="11">
        <f ref="G13:G76" si="1" t="shared">F13/F$102</f>
        <v>2.8615772770925481E-2</v>
      </c>
    </row>
    <row r="14" spans="1:12" x14ac:dyDescent="0.25">
      <c r="A14">
        <v>3</v>
      </c>
      <c r="B14" s="8" t="n">
        <v>10871.694237952499</v>
      </c>
      <c r="C14" s="11">
        <f si="0" t="shared"/>
        <v>1.5230464781545921E-2</v>
      </c>
      <c r="E14" s="203">
        <v>3</v>
      </c>
      <c r="F14" s="293" t="n">
        <v>19171.448286000807</v>
      </c>
      <c r="G14" s="11">
        <f si="1" t="shared"/>
        <v>2.9217147768517748E-2</v>
      </c>
    </row>
    <row r="15" spans="1:12" x14ac:dyDescent="0.25">
      <c r="A15">
        <v>4</v>
      </c>
      <c r="B15" s="8" t="n">
        <v>9819.2436013064</v>
      </c>
      <c r="C15" s="11">
        <f si="0" t="shared"/>
        <v>1.3756056836940882E-2</v>
      </c>
      <c r="E15" s="204">
        <v>4</v>
      </c>
      <c r="F15" s="294" t="n">
        <v>18378.021298258747</v>
      </c>
      <c r="G15" s="11">
        <f si="1" t="shared"/>
        <v>2.846392178221625E-2</v>
      </c>
    </row>
    <row r="16" spans="1:12" x14ac:dyDescent="0.25">
      <c r="A16">
        <v>5</v>
      </c>
      <c r="B16" s="8" t="n">
        <v>16332.2660777692</v>
      </c>
      <c r="C16" s="11">
        <f si="0" t="shared"/>
        <v>2.2880334734942696E-2</v>
      </c>
      <c r="E16" s="205">
        <v>5</v>
      </c>
      <c r="F16" s="295" t="n">
        <v>17215.386295183314</v>
      </c>
      <c r="G16" s="11">
        <f si="1" t="shared"/>
        <v>2.5717251239527797E-2</v>
      </c>
    </row>
    <row r="17" spans="1:7" x14ac:dyDescent="0.25">
      <c r="A17">
        <v>6</v>
      </c>
      <c r="B17" s="8" t="n">
        <v>6831.1061588459</v>
      </c>
      <c r="C17" s="11">
        <f si="0" t="shared"/>
        <v>9.5698903495742785E-3</v>
      </c>
      <c r="E17" s="206">
        <v>6</v>
      </c>
      <c r="F17" s="296" t="n">
        <v>16085.202745423965</v>
      </c>
      <c r="G17" s="11">
        <f si="1" t="shared"/>
        <v>2.4463839349694559E-2</v>
      </c>
    </row>
    <row r="18" spans="1:7" x14ac:dyDescent="0.25">
      <c r="A18">
        <v>7</v>
      </c>
      <c r="B18" s="8" t="n">
        <v>8476.0208145379</v>
      </c>
      <c r="C18" s="11">
        <f si="0" t="shared"/>
        <v>1.1874297940868349E-2</v>
      </c>
      <c r="E18" s="207">
        <v>7</v>
      </c>
      <c r="F18" s="297" t="n">
        <v>15012.571732853377</v>
      </c>
      <c r="G18" s="11">
        <f si="1" t="shared"/>
        <v>2.257906573770475E-2</v>
      </c>
    </row>
    <row r="19" spans="1:7" x14ac:dyDescent="0.25">
      <c r="A19">
        <v>8</v>
      </c>
      <c r="B19" s="8" t="n">
        <v>6745.4341589962</v>
      </c>
      <c r="C19" s="11">
        <f si="0" t="shared"/>
        <v>9.449870015308403E-3</v>
      </c>
      <c r="E19" s="208">
        <v>8</v>
      </c>
      <c r="F19" s="298" t="n">
        <v>13412.338328163078</v>
      </c>
      <c r="G19" s="11">
        <f si="1" t="shared"/>
        <v>2.0491860536876849E-2</v>
      </c>
    </row>
    <row r="20" spans="1:7" x14ac:dyDescent="0.25">
      <c r="A20">
        <v>9</v>
      </c>
      <c r="B20" s="8" t="n">
        <v>8005.3491272957</v>
      </c>
      <c r="C20" s="11">
        <f si="0" t="shared"/>
        <v>1.1214920625859976E-2</v>
      </c>
      <c r="E20" s="209">
        <v>9</v>
      </c>
      <c r="F20" s="299" t="n">
        <v>12085.561706837763</v>
      </c>
      <c r="G20" s="11">
        <f si="1" t="shared"/>
        <v>1.8430948231573315E-2</v>
      </c>
    </row>
    <row r="21" spans="1:7" x14ac:dyDescent="0.25">
      <c r="A21">
        <v>10</v>
      </c>
      <c r="B21" s="8" t="n">
        <v>3311.574517039</v>
      </c>
      <c r="C21" s="11">
        <f si="0" t="shared"/>
        <v>4.6392786578889622E-3</v>
      </c>
      <c r="E21" s="210">
        <v>10</v>
      </c>
      <c r="F21" s="300" t="n">
        <v>10982.754920435724</v>
      </c>
      <c r="G21" s="11">
        <f si="1" t="shared"/>
        <v>1.7395013240993969E-2</v>
      </c>
    </row>
    <row r="22" spans="1:7" x14ac:dyDescent="0.25">
      <c r="A22">
        <v>11</v>
      </c>
      <c r="B22" s="8" t="n">
        <v>11087.992481766</v>
      </c>
      <c r="C22" s="11">
        <f si="0" t="shared"/>
        <v>1.5533483125569196E-2</v>
      </c>
      <c r="E22" s="211">
        <v>11</v>
      </c>
      <c r="F22" s="301" t="n">
        <v>9814.015476045917</v>
      </c>
      <c r="G22" s="11">
        <f si="1" t="shared"/>
        <v>1.4641358100597919E-2</v>
      </c>
    </row>
    <row r="23" spans="1:7" x14ac:dyDescent="0.25">
      <c r="A23">
        <v>12</v>
      </c>
      <c r="B23" s="8" t="n">
        <v>14689.8465226455</v>
      </c>
      <c r="C23" s="11">
        <f si="0" t="shared"/>
        <v>2.057942260079635E-2</v>
      </c>
      <c r="E23" s="212">
        <v>12</v>
      </c>
      <c r="F23" s="302" t="n">
        <v>9037.772547421804</v>
      </c>
      <c r="G23" s="11">
        <f si="1" t="shared"/>
        <v>1.4409161315642755E-2</v>
      </c>
    </row>
    <row r="24" spans="1:7" x14ac:dyDescent="0.25">
      <c r="A24">
        <v>13</v>
      </c>
      <c r="B24" s="8" t="n">
        <v>27272.6668872568</v>
      </c>
      <c r="C24" s="11">
        <f si="0" t="shared"/>
        <v>3.8207052501085359E-2</v>
      </c>
      <c r="E24" s="213">
        <v>13</v>
      </c>
      <c r="F24" s="303" t="n">
        <v>7869.23668613243</v>
      </c>
      <c r="G24" s="11">
        <f si="1" t="shared"/>
        <v>1.1835235906754711E-2</v>
      </c>
    </row>
    <row r="25" spans="1:7" x14ac:dyDescent="0.25">
      <c r="A25">
        <v>14</v>
      </c>
      <c r="B25" s="8" t="n">
        <v>14318.314002385</v>
      </c>
      <c r="C25" s="11">
        <f si="0" t="shared"/>
        <v>2.005893215642084E-2</v>
      </c>
      <c r="E25" s="214">
        <v>14</v>
      </c>
      <c r="F25" s="304" t="n">
        <v>6820.979298797164</v>
      </c>
      <c r="G25" s="11">
        <f si="1" t="shared"/>
        <v>1.0878592879129623E-2</v>
      </c>
    </row>
    <row r="26" spans="1:7" x14ac:dyDescent="0.25">
      <c r="A26">
        <v>15</v>
      </c>
      <c r="B26" s="8" t="n">
        <v>7049.5308562966</v>
      </c>
      <c r="C26" s="11">
        <f si="0" t="shared"/>
        <v>9.8758877028045922E-3</v>
      </c>
      <c r="E26" s="215">
        <v>15</v>
      </c>
      <c r="F26" s="305" t="n">
        <v>6457.433519540825</v>
      </c>
      <c r="G26" s="11">
        <f si="1" t="shared"/>
        <v>9.7845311698097071E-3</v>
      </c>
    </row>
    <row r="27" spans="1:7" x14ac:dyDescent="0.25">
      <c r="A27">
        <v>16</v>
      </c>
      <c r="B27" s="8" t="n">
        <v>23865.880590022</v>
      </c>
      <c r="C27" s="11">
        <f si="0" t="shared"/>
        <v>3.3434388960093438E-2</v>
      </c>
      <c r="E27" s="216">
        <v>16</v>
      </c>
      <c r="F27" s="306" t="n">
        <v>5802.657494840533</v>
      </c>
      <c r="G27" s="11">
        <f si="1" t="shared"/>
        <v>9.0917707735406819E-3</v>
      </c>
    </row>
    <row r="28" spans="1:7" x14ac:dyDescent="0.25">
      <c r="A28">
        <v>17</v>
      </c>
      <c r="B28" s="8" t="n">
        <v>14432.717506793</v>
      </c>
      <c r="C28" s="11">
        <f si="0" t="shared"/>
        <v>2.0219203270254119E-2</v>
      </c>
      <c r="E28" s="217">
        <v>17</v>
      </c>
      <c r="F28" s="307" t="n">
        <v>5351.139627890182</v>
      </c>
      <c r="G28" s="11">
        <f si="1" t="shared"/>
        <v>8.1255146956153174E-3</v>
      </c>
    </row>
    <row r="29" spans="1:7" x14ac:dyDescent="0.25">
      <c r="A29">
        <v>18</v>
      </c>
      <c r="B29" s="8" t="n">
        <v>47127.7531380588</v>
      </c>
      <c r="C29" s="11">
        <f si="0" t="shared"/>
        <v>6.6022605924371189E-2</v>
      </c>
      <c r="E29" s="218">
        <v>18</v>
      </c>
      <c r="F29" s="308" t="n">
        <v>61905.55694217232</v>
      </c>
      <c r="G29" s="11">
        <f si="1" t="shared"/>
        <v>9.5348615619426286E-2</v>
      </c>
    </row>
    <row r="30" spans="1:7" x14ac:dyDescent="0.25">
      <c r="A30">
        <v>19</v>
      </c>
      <c r="B30" s="8" t="n">
        <v>28800.9700697245</v>
      </c>
      <c r="C30" s="11">
        <f si="0" t="shared"/>
        <v>4.0348095772412926E-2</v>
      </c>
      <c r="E30" s="219">
        <v>19</v>
      </c>
      <c r="F30" s="309" t="n">
        <v>21102.77990586593</v>
      </c>
      <c r="G30" s="11">
        <f si="1" t="shared"/>
        <v>3.2256582274329572E-2</v>
      </c>
    </row>
    <row r="31" spans="1:7" x14ac:dyDescent="0.25">
      <c r="A31">
        <v>20</v>
      </c>
      <c r="B31" s="8" t="n">
        <v>39793.5264298827</v>
      </c>
      <c r="C31" s="11">
        <f si="0" t="shared"/>
        <v>5.5747879728632724E-2</v>
      </c>
      <c r="E31" s="220">
        <v>20</v>
      </c>
      <c r="F31" s="310" t="n">
        <v>19398.402344036094</v>
      </c>
      <c r="G31" s="11">
        <f si="1" t="shared"/>
        <v>2.9778154584171268E-2</v>
      </c>
    </row>
    <row r="32" spans="1:7" x14ac:dyDescent="0.25">
      <c r="A32">
        <v>21</v>
      </c>
      <c r="B32" s="8" t="n">
        <v>37709.8270370349</v>
      </c>
      <c r="C32" s="11">
        <f si="0" t="shared"/>
        <v>5.2828766155027108E-2</v>
      </c>
      <c r="E32" s="221">
        <v>21</v>
      </c>
      <c r="F32" s="311" t="n">
        <v>31135.654550842497</v>
      </c>
      <c r="G32" s="11">
        <f si="1" t="shared"/>
        <v>5.0336480155761636E-2</v>
      </c>
    </row>
    <row r="33" spans="1:7" x14ac:dyDescent="0.25">
      <c r="A33">
        <v>22</v>
      </c>
      <c r="B33" s="8" t="n">
        <v>35486.283218125</v>
      </c>
      <c r="C33" s="11">
        <f si="0" t="shared"/>
        <v>4.9713740558932955E-2</v>
      </c>
      <c r="E33" s="222">
        <v>22</v>
      </c>
      <c r="F33" s="312" t="n">
        <v>28202.77855295171</v>
      </c>
      <c r="G33" s="11">
        <f si="1" t="shared"/>
        <v>4.2298049703942658E-2</v>
      </c>
    </row>
    <row r="34" spans="1:7" x14ac:dyDescent="0.25">
      <c r="A34">
        <v>23</v>
      </c>
      <c r="B34" s="8" t="n">
        <v>29017.355384408</v>
      </c>
      <c r="C34" s="11">
        <f si="0" t="shared"/>
        <v>4.0651236096487332E-2</v>
      </c>
      <c r="E34" s="223">
        <v>23</v>
      </c>
      <c r="F34" s="313" t="n">
        <v>20035.732441775257</v>
      </c>
      <c r="G34" s="11">
        <f si="1" t="shared"/>
        <v>2.9346237554723518E-2</v>
      </c>
    </row>
    <row r="35" spans="1:7" x14ac:dyDescent="0.25">
      <c r="A35">
        <v>24</v>
      </c>
      <c r="B35" s="8" t="n">
        <v>37931.4440880441</v>
      </c>
      <c r="C35" s="11">
        <f si="0" t="shared"/>
        <v>5.3139235766893368E-2</v>
      </c>
      <c r="E35" s="224">
        <v>24</v>
      </c>
      <c r="F35" s="314" t="n">
        <v>18865.404171672246</v>
      </c>
      <c r="G35" s="11">
        <f si="1" t="shared"/>
        <v>2.958886256165889E-2</v>
      </c>
    </row>
    <row r="36" spans="1:7" x14ac:dyDescent="0.25">
      <c r="A36">
        <v>25</v>
      </c>
      <c r="B36" s="8" t="n">
        <v>9971.2401772759</v>
      </c>
      <c r="C36" s="11">
        <f si="0" t="shared"/>
        <v>1.39689931508723E-2</v>
      </c>
      <c r="E36" s="225">
        <v>25</v>
      </c>
      <c r="F36" s="315" t="n">
        <v>19075.98634877603</v>
      </c>
      <c r="G36" s="11">
        <f si="1" t="shared"/>
        <v>2.8751554223981061E-2</v>
      </c>
    </row>
    <row r="37" spans="1:7" x14ac:dyDescent="0.25">
      <c r="A37">
        <v>26</v>
      </c>
      <c r="B37" s="8" t="n">
        <v>45763.924449882</v>
      </c>
      <c r="C37" s="11">
        <f si="0" t="shared"/>
        <v>6.4111979636627958E-2</v>
      </c>
      <c r="E37" s="226">
        <v>26</v>
      </c>
      <c r="F37" s="316" t="n">
        <v>17384.77020246011</v>
      </c>
      <c r="G37" s="11">
        <f si="1" t="shared"/>
        <v>2.9847422791570283E-2</v>
      </c>
    </row>
    <row r="38" spans="1:7" x14ac:dyDescent="0.25">
      <c r="A38">
        <v>27</v>
      </c>
      <c r="B38" s="8" t="n">
        <v>8839.133753623</v>
      </c>
      <c r="C38" s="11">
        <f si="0" t="shared"/>
        <v>1.2382993155194097E-2</v>
      </c>
      <c r="E38" s="227">
        <v>27</v>
      </c>
      <c r="F38" s="317" t="n">
        <v>11424.417452301808</v>
      </c>
      <c r="G38" s="11">
        <f si="1" t="shared"/>
        <v>1.8256439694230873E-2</v>
      </c>
    </row>
    <row r="39" spans="1:7" x14ac:dyDescent="0.25">
      <c r="A39">
        <v>28</v>
      </c>
      <c r="B39" s="8" t="n">
        <v>12756.0390993706</v>
      </c>
      <c r="C39" s="11">
        <f si="0" t="shared"/>
        <v>1.7870296938334071E-2</v>
      </c>
      <c r="E39" s="228">
        <v>28</v>
      </c>
      <c r="F39" s="318" t="n">
        <v>11890.120827370249</v>
      </c>
      <c r="G39" s="11">
        <f si="1" t="shared"/>
        <v>1.8361551565606267E-2</v>
      </c>
    </row>
    <row r="40" spans="1:7" x14ac:dyDescent="0.25">
      <c r="A40">
        <v>29</v>
      </c>
      <c r="B40" s="8" t="n">
        <v>15772.4532600474</v>
      </c>
      <c r="C40" s="11">
        <f si="0" t="shared"/>
        <v>2.2096077082183724E-2</v>
      </c>
      <c r="E40" s="229">
        <v>29</v>
      </c>
      <c r="F40" s="319" t="n">
        <v>11572.691390375481</v>
      </c>
      <c r="G40" s="11">
        <f si="1" t="shared"/>
        <v>1.9695309477310782E-2</v>
      </c>
    </row>
    <row r="41" spans="1:7" x14ac:dyDescent="0.25">
      <c r="A41">
        <v>30</v>
      </c>
      <c r="B41" s="8" t="n">
        <v>7948.5387110977</v>
      </c>
      <c r="C41" s="11">
        <f si="0" t="shared"/>
        <v>1.1135333302652517E-2</v>
      </c>
      <c r="E41" s="230">
        <v>30</v>
      </c>
      <c r="F41" s="320" t="n">
        <v>12084.157922172497</v>
      </c>
      <c r="G41" s="11">
        <f si="1" t="shared"/>
        <v>1.8769427627340948E-2</v>
      </c>
    </row>
    <row r="42" spans="1:7" x14ac:dyDescent="0.25">
      <c r="A42">
        <v>31</v>
      </c>
      <c r="B42" s="8" t="n">
        <v>11734.1355258849</v>
      </c>
      <c r="C42" s="11">
        <f si="0" t="shared"/>
        <v>1.6438683240831746E-2</v>
      </c>
      <c r="E42" s="231">
        <v>31</v>
      </c>
      <c r="F42" s="321" t="n">
        <v>9813.391517245707</v>
      </c>
      <c r="G42" s="11">
        <f si="1" t="shared"/>
        <v>1.6192986903654259E-2</v>
      </c>
    </row>
    <row r="43" spans="1:7" x14ac:dyDescent="0.25">
      <c r="A43">
        <v>32</v>
      </c>
      <c r="B43" s="8" t="n">
        <v>5547.8981289166995</v>
      </c>
      <c r="C43" s="11">
        <f si="0" t="shared"/>
        <v>7.7722078283893967E-3</v>
      </c>
      <c r="E43" s="232">
        <v>32</v>
      </c>
      <c r="F43" s="322" t="n">
        <v>12750.546308607565</v>
      </c>
      <c r="G43" s="11">
        <f si="1" t="shared"/>
        <v>2.4703469224713288E-2</v>
      </c>
    </row>
    <row r="44" spans="1:7" x14ac:dyDescent="0.25">
      <c r="A44">
        <v>33</v>
      </c>
      <c r="B44" s="8" t="n">
        <v>12268.2299593388</v>
      </c>
      <c r="C44" s="11">
        <f si="0" t="shared"/>
        <v>1.7186911279690881E-2</v>
      </c>
      <c r="E44" s="233">
        <v>33</v>
      </c>
      <c r="F44" s="323" t="n">
        <v>9975.887080169183</v>
      </c>
      <c r="G44" s="11">
        <f si="1" t="shared"/>
        <v>1.4362889635300517E-2</v>
      </c>
    </row>
    <row r="45" spans="1:7" x14ac:dyDescent="0.25">
      <c r="A45">
        <v>34</v>
      </c>
      <c r="B45" s="8" t="n">
        <v>8514.7335108917</v>
      </c>
      <c r="C45" s="11">
        <f si="0" t="shared"/>
        <v>1.1928531655090823E-2</v>
      </c>
      <c r="E45" s="234">
        <v>34</v>
      </c>
      <c r="F45" s="324" t="n">
        <v>11123.820312181515</v>
      </c>
      <c r="G45" s="11">
        <f si="1" t="shared"/>
        <v>1.5952502290212618E-2</v>
      </c>
    </row>
    <row r="46" spans="1:7" x14ac:dyDescent="0.25">
      <c r="A46">
        <v>35</v>
      </c>
      <c r="B46" s="8" t="n">
        <v>9783.0292357916</v>
      </c>
      <c r="C46" s="11">
        <f si="0" t="shared"/>
        <v>1.3705323105243966E-2</v>
      </c>
      <c r="E46" s="235">
        <v>35</v>
      </c>
      <c r="F46" s="325" t="n">
        <v>7476.0967431186455</v>
      </c>
      <c r="G46" s="11">
        <f si="1" t="shared"/>
        <v>1.4825794262461644E-2</v>
      </c>
    </row>
    <row r="47" spans="1:7" x14ac:dyDescent="0.25">
      <c r="A47">
        <v>36</v>
      </c>
      <c r="B47" s="8" t="n">
        <v>1286.25466707</v>
      </c>
      <c r="C47" s="11">
        <f si="0" t="shared"/>
        <v>1.8019506415587168E-3</v>
      </c>
      <c r="E47" s="236">
        <v>36</v>
      </c>
      <c r="F47" s="326" t="n">
        <v>6014.145828240112</v>
      </c>
      <c r="G47" s="11">
        <f si="1" t="shared"/>
        <v>1.2148377037660578E-2</v>
      </c>
    </row>
    <row r="48" spans="1:7" x14ac:dyDescent="0.25">
      <c r="A48">
        <v>37</v>
      </c>
      <c r="B48" s="8" t="n">
        <v>11688.1619787457</v>
      </c>
      <c r="C48" s="11">
        <f si="0" t="shared"/>
        <v>1.6374277594824706E-2</v>
      </c>
      <c r="E48" s="237">
        <v>37</v>
      </c>
      <c r="F48" s="327" t="n">
        <v>6362.5426404921</v>
      </c>
      <c r="G48" s="11">
        <f si="1" t="shared"/>
        <v>9.2505576833750193E-3</v>
      </c>
    </row>
    <row r="49" spans="1:7" x14ac:dyDescent="0.25">
      <c r="A49">
        <v>38</v>
      </c>
      <c r="B49" s="8" t="n">
        <v>9089.8752767496</v>
      </c>
      <c r="C49" s="11">
        <f si="0" t="shared"/>
        <v>1.273426406602594E-2</v>
      </c>
      <c r="E49" s="238">
        <v>38</v>
      </c>
      <c r="F49" s="328" t="n">
        <v>7215.699504923251</v>
      </c>
      <c r="G49" s="11">
        <f si="1" t="shared"/>
        <v>1.0012515671650056E-2</v>
      </c>
    </row>
    <row r="50" spans="1:7" x14ac:dyDescent="0.25">
      <c r="A50">
        <v>39</v>
      </c>
      <c r="B50" s="8" t="n">
        <v>5598.9639928004</v>
      </c>
      <c r="C50" s="11">
        <f si="0" t="shared"/>
        <v>7.8437474453430089E-3</v>
      </c>
      <c r="E50" s="239">
        <v>39</v>
      </c>
      <c r="F50" s="329" t="n">
        <v>5332.640971568991</v>
      </c>
      <c r="G50" s="11">
        <f si="1" t="shared"/>
        <v>9.1057443506639239E-3</v>
      </c>
    </row>
    <row r="51" spans="1:7" x14ac:dyDescent="0.25">
      <c r="A51">
        <v>40</v>
      </c>
      <c r="B51" s="8" t="n">
        <v>8490.257518155</v>
      </c>
      <c r="C51" s="11">
        <f si="0" t="shared"/>
        <v>1.1894242542721537E-2</v>
      </c>
      <c r="E51" s="240">
        <v>40</v>
      </c>
      <c r="F51" s="330" t="n">
        <v>5073.716237929118</v>
      </c>
      <c r="G51" s="11">
        <f si="1" t="shared"/>
        <v>1.0910934816861607E-2</v>
      </c>
    </row>
    <row r="52" spans="1:7" x14ac:dyDescent="0.25">
      <c r="A52">
        <v>41</v>
      </c>
      <c r="B52" s="8" t="n">
        <v>11066.512236333</v>
      </c>
      <c r="C52" s="11">
        <f si="0" t="shared"/>
        <v>1.5503390840557704E-2</v>
      </c>
      <c r="E52" s="241">
        <v>41</v>
      </c>
      <c r="F52" s="331" t="n">
        <v>4061.5154698118995</v>
      </c>
      <c r="G52" s="11">
        <f si="1" t="shared"/>
        <v>7.4139461758569933E-3</v>
      </c>
    </row>
    <row r="53" spans="1:7" x14ac:dyDescent="0.25">
      <c r="A53">
        <v>42</v>
      </c>
      <c r="B53" s="8" t="n">
        <v>526.7772426363</v>
      </c>
      <c r="C53" s="11">
        <f si="0" t="shared"/>
        <v>7.3797717872564519E-4</v>
      </c>
      <c r="E53" s="242">
        <v>42</v>
      </c>
      <c r="F53" s="332" t="n">
        <v>5563.456062886924</v>
      </c>
      <c r="G53" s="11">
        <f si="1" t="shared"/>
        <v>9.5599425864865209E-3</v>
      </c>
    </row>
    <row r="54" spans="1:7" x14ac:dyDescent="0.25">
      <c r="A54">
        <v>43</v>
      </c>
      <c r="B54" s="8" t="n">
        <v>547.579521264</v>
      </c>
      <c r="C54" s="11">
        <f si="0" t="shared"/>
        <v>7.6711968081230792E-4</v>
      </c>
      <c r="E54" s="243">
        <v>43</v>
      </c>
      <c r="F54" s="333" t="n">
        <v>3268.6375709750923</v>
      </c>
      <c r="G54" s="11">
        <f si="1" t="shared"/>
        <v>6.1224314112408263E-3</v>
      </c>
    </row>
    <row r="55" spans="1:7" x14ac:dyDescent="0.25">
      <c r="A55">
        <v>44</v>
      </c>
      <c r="B55" s="8" t="n">
        <v>2528.773569911</v>
      </c>
      <c r="C55" s="11">
        <f si="0" t="shared"/>
        <v>3.5426306106533011E-3</v>
      </c>
      <c r="E55" s="244">
        <v>44</v>
      </c>
      <c r="F55" s="334" t="n">
        <v>3460.8844667879703</v>
      </c>
      <c r="G55" s="11">
        <f si="1" t="shared"/>
        <v>5.6160404021159951E-3</v>
      </c>
    </row>
    <row r="56" spans="1:7" x14ac:dyDescent="0.25">
      <c r="A56">
        <v>45</v>
      </c>
      <c r="B56" s="8" t="n">
        <v>31986.4843652147</v>
      </c>
      <c r="C56" s="11">
        <f si="0" t="shared"/>
        <v>4.4810773090839043E-2</v>
      </c>
      <c r="E56" s="245">
        <v>45</v>
      </c>
      <c r="F56" s="335" t="n">
        <v>2780.0116601348504</v>
      </c>
      <c r="G56" s="11">
        <f si="1" t="shared"/>
        <v>4.6404199169849747E-3</v>
      </c>
    </row>
    <row r="57" spans="1:7" x14ac:dyDescent="0.25">
      <c r="A57">
        <v>46</v>
      </c>
      <c r="B57" s="8" t="n">
        <v>3263.844441608</v>
      </c>
      <c r="C57" s="11">
        <f si="0" t="shared"/>
        <v>4.5724122415824195E-3</v>
      </c>
      <c r="E57" s="246">
        <v>46</v>
      </c>
      <c r="F57" s="336" t="n">
        <v>2689.964782099054</v>
      </c>
      <c r="G57" s="11">
        <f si="1" t="shared"/>
        <v>5.564110088348422E-3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2080.6393592896943</v>
      </c>
      <c r="G58" s="11">
        <f si="1" t="shared"/>
        <v>4.1677802232531948E-3</v>
      </c>
    </row>
    <row r="59" spans="1:7" x14ac:dyDescent="0.25">
      <c r="A59">
        <v>48</v>
      </c>
      <c r="B59" s="8" t="n">
        <v>581.6199965732</v>
      </c>
      <c r="C59" s="11">
        <f si="0" t="shared"/>
        <v>8.1480794806820301E-4</v>
      </c>
      <c r="E59" s="248">
        <v>48</v>
      </c>
      <c r="F59" s="338" t="n">
        <v>2440.198510290623</v>
      </c>
      <c r="G59" s="11">
        <f si="1" t="shared"/>
        <v>3.0835764371253257E-3</v>
      </c>
    </row>
    <row r="60" spans="1:7" x14ac:dyDescent="0.25">
      <c r="A60">
        <v>49</v>
      </c>
      <c r="B60" s="8" t="n">
        <v>214.103131579</v>
      </c>
      <c r="C60" s="11">
        <f si="0" t="shared"/>
        <v>2.9994314904010637E-4</v>
      </c>
      <c r="E60" s="249">
        <v>49</v>
      </c>
      <c r="F60" s="339" t="n">
        <v>1978.8867513472696</v>
      </c>
      <c r="G60" s="11">
        <f si="1" t="shared"/>
        <v>2.6609140709682407E-3</v>
      </c>
    </row>
    <row r="61" spans="1:7" x14ac:dyDescent="0.25">
      <c r="A61">
        <v>50</v>
      </c>
      <c r="B61" s="8" t="n">
        <v>1767.383302078</v>
      </c>
      <c r="C61" s="11">
        <f si="0" t="shared"/>
        <v>2.4759773912534982E-3</v>
      </c>
      <c r="E61" s="250">
        <v>50</v>
      </c>
      <c r="F61" s="340" t="n">
        <v>1560.498233951523</v>
      </c>
      <c r="G61" s="11">
        <f si="1" t="shared"/>
        <v>3.2098993809384002E-3</v>
      </c>
    </row>
    <row r="62" spans="1:7" x14ac:dyDescent="0.25">
      <c r="A62">
        <v>51</v>
      </c>
      <c r="B62" s="8" t="n">
        <v>280.077627348</v>
      </c>
      <c r="C62" s="11">
        <f si="0" t="shared"/>
        <v>3.9236869121385745E-4</v>
      </c>
      <c r="E62" s="251">
        <v>51</v>
      </c>
      <c r="F62" s="341" t="n">
        <v>2042.8078038665542</v>
      </c>
      <c r="G62" s="11">
        <f si="1" t="shared"/>
        <v>3.8262082149976033E-3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2091.046130972435</v>
      </c>
      <c r="G63" s="11">
        <f si="1" t="shared"/>
        <v>3.4105874215181421E-3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3">
        <v>53</v>
      </c>
      <c r="F64" s="343" t="n">
        <v>1087.1532806378905</v>
      </c>
      <c r="G64" s="11">
        <f si="1" t="shared"/>
        <v>1.9399424712642382E-3</v>
      </c>
    </row>
    <row r="65" spans="1:7" x14ac:dyDescent="0.25">
      <c r="A65">
        <v>54</v>
      </c>
      <c r="B65" s="8" t="n">
        <v>326.758764277</v>
      </c>
      <c r="C65" s="11">
        <f si="0" t="shared"/>
        <v>4.5776561982482591E-4</v>
      </c>
      <c r="E65" s="254">
        <v>54</v>
      </c>
      <c r="F65" s="344" t="n">
        <v>1401.9139000591654</v>
      </c>
      <c r="G65" s="11">
        <f si="1" t="shared"/>
        <v>1.5843800901004551E-3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1005.2796597930045</v>
      </c>
      <c r="G66" s="11">
        <f si="1" t="shared"/>
        <v>1.6903615033066499E-3</v>
      </c>
    </row>
    <row r="67" spans="1:7" x14ac:dyDescent="0.25">
      <c r="A67">
        <v>56</v>
      </c>
      <c r="B67" s="8" t="n">
        <v>232.8335313258</v>
      </c>
      <c r="C67" s="11">
        <f si="0" t="shared"/>
        <v>3.2618309724358348E-4</v>
      </c>
      <c r="E67" s="256">
        <v>56</v>
      </c>
      <c r="F67" s="346" t="n">
        <v>1411.357236516732</v>
      </c>
      <c r="G67" s="11">
        <f si="1" t="shared"/>
        <v>1.6914264936324494E-3</v>
      </c>
    </row>
    <row r="68" spans="1:7" x14ac:dyDescent="0.25">
      <c r="A68">
        <v>57</v>
      </c>
      <c r="B68" s="8" t="n">
        <v>1954.083490471</v>
      </c>
      <c r="C68" s="11">
        <f si="0" t="shared"/>
        <v>2.7375309800309459E-3</v>
      </c>
      <c r="E68" s="257">
        <v>57</v>
      </c>
      <c r="F68" s="347" t="n">
        <v>778.3053121579668</v>
      </c>
      <c r="G68" s="11">
        <f si="1" t="shared"/>
        <v>2.1369311633045885E-3</v>
      </c>
    </row>
    <row r="69" spans="1:7" x14ac:dyDescent="0.25">
      <c r="A69">
        <v>58</v>
      </c>
      <c r="B69" s="8" t="n">
        <v>2200.592978766</v>
      </c>
      <c r="C69" s="11">
        <f si="0" t="shared"/>
        <v>3.0828731132457772E-3</v>
      </c>
      <c r="E69" s="258">
        <v>58</v>
      </c>
      <c r="F69" s="348" t="n">
        <v>691.878503108393</v>
      </c>
      <c r="G69" s="11">
        <f si="1" t="shared"/>
        <v>1.1975355703053268E-3</v>
      </c>
    </row>
    <row r="70" spans="1:7" x14ac:dyDescent="0.25">
      <c r="A70">
        <v>59</v>
      </c>
      <c r="B70" s="8" t="n">
        <v>716.6017071473</v>
      </c>
      <c r="C70" s="11">
        <f si="0" t="shared"/>
        <v>1.003907654521945E-3</v>
      </c>
      <c r="E70" s="259">
        <v>59</v>
      </c>
      <c r="F70" s="349" t="n">
        <v>511.08097056061365</v>
      </c>
      <c r="G70" s="11">
        <f si="1" t="shared"/>
        <v>1.0734272595809785E-3</v>
      </c>
    </row>
    <row r="71" spans="1:7" x14ac:dyDescent="0.25">
      <c r="A71">
        <v>60</v>
      </c>
      <c r="B71" s="8" t="n">
        <v>1985.7672183407</v>
      </c>
      <c r="C71" s="11">
        <f si="0" t="shared"/>
        <v>2.7819176129609789E-3</v>
      </c>
      <c r="E71" s="260">
        <v>60</v>
      </c>
      <c r="F71" s="350" t="n">
        <v>724.587018573726</v>
      </c>
      <c r="G71" s="11">
        <f si="1" t="shared"/>
        <v>8.6368778602571113E-4</v>
      </c>
    </row>
    <row r="72" spans="1:7" x14ac:dyDescent="0.25">
      <c r="A72">
        <v>61</v>
      </c>
      <c r="B72" s="8" t="n">
        <v>711.387405665</v>
      </c>
      <c r="C72" s="11">
        <f si="0" t="shared"/>
        <v>9.9660279169667379E-4</v>
      </c>
      <c r="E72" s="261">
        <v>61</v>
      </c>
      <c r="F72" s="351" t="n">
        <v>620.9526479972083</v>
      </c>
      <c r="G72" s="11">
        <f si="1" t="shared"/>
        <v>6.5720802003336413E-4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509.05114744751506</v>
      </c>
      <c r="G73" s="11">
        <f si="1" t="shared"/>
        <v>7.7823658081592137E-4</v>
      </c>
    </row>
    <row r="74" spans="1:7" x14ac:dyDescent="0.25">
      <c r="A74">
        <v>63</v>
      </c>
      <c r="B74" s="8" t="n">
        <v>110.470897351</v>
      </c>
      <c r="C74" s="11">
        <f si="0" t="shared"/>
        <v>1.5476181307754063E-4</v>
      </c>
      <c r="E74" s="263">
        <v>63</v>
      </c>
      <c r="F74" s="353" t="n">
        <v>384.30253516274695</v>
      </c>
      <c r="G74" s="11">
        <f si="1" t="shared"/>
        <v>9.8754424578748512E-4</v>
      </c>
    </row>
    <row r="75" spans="1:7" x14ac:dyDescent="0.25">
      <c r="A75">
        <v>64</v>
      </c>
      <c r="B75" s="8" t="n">
        <v>111.109208251</v>
      </c>
      <c r="C75" s="11">
        <f si="0" t="shared"/>
        <v>1.5565604091998572E-4</v>
      </c>
      <c r="E75" s="264">
        <v>64</v>
      </c>
      <c r="F75" s="354" t="n">
        <v>318.06413000667226</v>
      </c>
      <c r="G75" s="11">
        <f si="1" t="shared"/>
        <v>6.2446383557205904E-4</v>
      </c>
    </row>
    <row r="76" spans="1:7" x14ac:dyDescent="0.25">
      <c r="A76">
        <v>65</v>
      </c>
      <c r="B76" s="8" t="n">
        <v>77.4485081528</v>
      </c>
      <c r="C76" s="11">
        <f si="0" t="shared"/>
        <v>1.0849981152768753E-4</v>
      </c>
      <c r="E76" s="265">
        <v>65</v>
      </c>
      <c r="F76" s="355" t="n">
        <v>258.6697680924514</v>
      </c>
      <c r="G76" s="11">
        <f si="1" t="shared"/>
        <v>3.7893536615815496E-4</v>
      </c>
    </row>
    <row r="77" spans="1:7" x14ac:dyDescent="0.25">
      <c r="A77">
        <v>66</v>
      </c>
      <c r="B77" s="8" t="n">
        <v>4.59375</v>
      </c>
      <c r="C77" s="11">
        <f ref="C77:C102" si="2" t="shared">B77/B$102</f>
        <v>6.4355146547428382E-6</v>
      </c>
      <c r="E77" s="266">
        <v>66</v>
      </c>
      <c r="F77" s="356" t="n">
        <v>188.8038777968299</v>
      </c>
      <c r="G77" s="11">
        <f ref="G77:G102" si="3" t="shared">F77/F$102</f>
        <v>3.7889274478889817E-4</v>
      </c>
    </row>
    <row r="78" spans="1:7" x14ac:dyDescent="0.25">
      <c r="A78">
        <v>67</v>
      </c>
      <c r="B78" s="8" t="n">
        <v>5478.798556153</v>
      </c>
      <c r="C78" s="11">
        <f si="2" t="shared"/>
        <v>7.6754042772259126E-3</v>
      </c>
      <c r="E78" s="267">
        <v>67</v>
      </c>
      <c r="F78" s="357" t="n">
        <v>240.0826099562437</v>
      </c>
      <c r="G78" s="11">
        <f si="3" t="shared"/>
        <v>3.9030195806276266E-4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161.0609488624638</v>
      </c>
      <c r="G79" s="11">
        <f si="3" t="shared"/>
        <v>3.6328231746022828E-4</v>
      </c>
    </row>
    <row r="80" spans="1:7" x14ac:dyDescent="0.25">
      <c r="A80">
        <v>69</v>
      </c>
      <c r="B80" s="8" t="n">
        <v>1506.324996334</v>
      </c>
      <c r="C80" s="11">
        <f si="2" t="shared"/>
        <v>2.1102534070667556E-3</v>
      </c>
      <c r="E80" s="269">
        <v>69</v>
      </c>
      <c r="F80" s="359" t="n">
        <v>142.93561744007755</v>
      </c>
      <c r="G80" s="11">
        <f si="3" t="shared"/>
        <v>2.8673062962058816E-4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116.98635642802556</v>
      </c>
      <c r="G81" s="11">
        <f si="3" t="shared"/>
        <v>2.0124260407497434E-4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236.23408664413108</v>
      </c>
      <c r="G82" s="11">
        <f si="3" t="shared"/>
        <v>2.3006569232302898E-4</v>
      </c>
    </row>
    <row r="83" spans="1:7" x14ac:dyDescent="0.25">
      <c r="A83">
        <v>72</v>
      </c>
      <c r="B83" s="8" t="n">
        <v>618.016967959</v>
      </c>
      <c r="C83" s="11">
        <f si="2" t="shared"/>
        <v>8.6579749750854518E-4</v>
      </c>
      <c r="E83" s="272">
        <v>72</v>
      </c>
      <c r="F83" s="362" t="n">
        <v>126.33914632703109</v>
      </c>
      <c r="G83" s="11">
        <f si="3" t="shared"/>
        <v>2.309511001723901E-4</v>
      </c>
    </row>
    <row r="84" spans="1:7" x14ac:dyDescent="0.25">
      <c r="A84">
        <v>73</v>
      </c>
      <c r="B84" s="8" t="n">
        <v>767.701778901</v>
      </c>
      <c r="C84" s="11">
        <f si="2" t="shared"/>
        <v>1.0754951942507824E-3</v>
      </c>
      <c r="E84" s="273">
        <v>73</v>
      </c>
      <c r="F84" s="363" t="n">
        <v>123.67708771404017</v>
      </c>
      <c r="G84" s="11">
        <f si="3" t="shared"/>
        <v>3.7767600675804954E-4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71.73441263481548</v>
      </c>
      <c r="G85" s="11">
        <f si="3" t="shared"/>
        <v>4.2495519333633021E-4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61.283089885216754</v>
      </c>
      <c r="G86" s="11">
        <f si="3" t="shared"/>
        <v>1.6163551102205888E-4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54.02533705108366</v>
      </c>
      <c r="G87" s="11">
        <f si="3" t="shared"/>
        <v>9.921863903340071E-5</v>
      </c>
    </row>
    <row r="88" spans="1:7" x14ac:dyDescent="0.25">
      <c r="A88">
        <v>77</v>
      </c>
      <c r="B88" s="8" t="n">
        <v>103.884081167</v>
      </c>
      <c r="C88" s="11">
        <f si="2" t="shared"/>
        <v>1.4553415548184445E-4</v>
      </c>
      <c r="E88" s="277">
        <v>77</v>
      </c>
      <c r="F88" s="367" t="n">
        <v>49.453377131121506</v>
      </c>
      <c r="G88" s="11">
        <f si="3" t="shared"/>
        <v>5.8598148945521061E-5</v>
      </c>
    </row>
    <row r="89" spans="1:7" x14ac:dyDescent="0.25">
      <c r="A89">
        <v>78</v>
      </c>
      <c r="B89" s="8" t="n">
        <v>552.1879851022</v>
      </c>
      <c r="C89" s="11">
        <f si="2" t="shared"/>
        <v>7.7357580850027268E-4</v>
      </c>
      <c r="E89" s="278">
        <v>78</v>
      </c>
      <c r="F89" s="368" t="n">
        <v>68.47001684021525</v>
      </c>
      <c r="G89" s="11">
        <f si="3" t="shared"/>
        <v>1.1874542960158338E-4</v>
      </c>
    </row>
    <row r="90" spans="1:7" x14ac:dyDescent="0.25">
      <c r="A90">
        <v>79</v>
      </c>
      <c r="B90" s="8" t="n">
        <v>3617.977487135</v>
      </c>
      <c r="C90" s="11">
        <f si="2" t="shared"/>
        <v>5.0685272683509029E-3</v>
      </c>
      <c r="E90" s="279">
        <v>79</v>
      </c>
      <c r="F90" s="369" t="n">
        <v>25.087563331891864</v>
      </c>
      <c r="G90" s="11">
        <f si="3" t="shared"/>
        <v>9.067211856296316E-5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37.566981988650035</v>
      </c>
      <c r="G91" s="11">
        <f si="3" t="shared"/>
        <v>2.8257523114680724E-5</v>
      </c>
    </row>
    <row r="92" spans="1:7" x14ac:dyDescent="0.25">
      <c r="A92">
        <v>81</v>
      </c>
      <c r="B92" s="8" t="n">
        <v>761.4660318990001</v>
      </c>
      <c r="C92" s="11">
        <f si="2" t="shared"/>
        <v>1.0667593594285479E-3</v>
      </c>
      <c r="E92" s="281">
        <v>81</v>
      </c>
      <c r="F92" s="371" t="n">
        <v>35.235605126506904</v>
      </c>
      <c r="G92" s="11">
        <f si="3" t="shared"/>
        <v>1.2582588484655495E-4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41.97997694435851</v>
      </c>
      <c r="G93" s="11">
        <f si="3" t="shared"/>
        <v>6.2780116889748591E-5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24.62191099962682</v>
      </c>
      <c r="G94" s="11">
        <f si="3" t="shared"/>
        <v>5.6662311065837545E-5</v>
      </c>
    </row>
    <row r="95" spans="1:7" x14ac:dyDescent="0.25">
      <c r="A95">
        <v>84</v>
      </c>
      <c r="B95" s="8" t="n">
        <v>470.638625</v>
      </c>
      <c r="C95" s="11">
        <f si="2" t="shared"/>
        <v>6.5933099717562318E-4</v>
      </c>
      <c r="E95" s="284">
        <v>84</v>
      </c>
      <c r="F95" s="374" t="n">
        <v>24.380106837342655</v>
      </c>
      <c r="G95" s="11">
        <f si="3" t="shared"/>
        <v>3.0454688561828188E-5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22.193896170781425</v>
      </c>
      <c r="G96" s="11">
        <f si="3" t="shared"/>
        <v>2.766365128097205E-5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21.783798283051357</v>
      </c>
      <c r="G97" s="11">
        <f si="3" t="shared"/>
        <v>5.6084759765933259E-5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12.235566809719705</v>
      </c>
      <c r="G98" s="11">
        <f si="3" t="shared"/>
        <v>2.8020772098915855E-5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6.1470241654995945</v>
      </c>
      <c r="G99" s="11">
        <f si="3" t="shared"/>
        <v>1.4878832296493969E-5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16.24096894725751</v>
      </c>
      <c r="G100" s="11">
        <f si="3" t="shared"/>
        <v>1.3890049794087465E-5</v>
      </c>
    </row>
    <row ht="15.75" r="101" spans="1:7" thickBot="1" x14ac:dyDescent="0.3">
      <c r="A101" s="1">
        <v>90</v>
      </c>
      <c r="B101" s="9" t="n">
        <v>3181.9468036631</v>
      </c>
      <c r="C101" s="11">
        <f si="2" t="shared"/>
        <v>4.4576795179506962E-3</v>
      </c>
      <c r="E101" s="382">
        <v>90</v>
      </c>
      <c r="F101" s="382" t="n">
        <v>72.60376512358953</v>
      </c>
      <c r="G101" s="11">
        <f si="3" t="shared"/>
        <v>1.5325199242327624E-4</v>
      </c>
    </row>
    <row r="102" spans="1:7" x14ac:dyDescent="0.25">
      <c r="B102" s="8">
        <f>SUM(B11:B101)</f>
        <v>713812.37499234092</v>
      </c>
      <c r="C102" s="11">
        <f si="2" t="shared"/>
        <v>1</v>
      </c>
      <c r="F102" s="8">
        <f>SUM(F11:F101)</f>
        <v>720560.4614834094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16958.7523226109</v>
      </c>
      <c r="C7" s="12" t="n">
        <v>1064.6801145748</v>
      </c>
      <c r="D7" s="12" t="n">
        <v>1316.8980800259</v>
      </c>
      <c r="E7" s="12" t="n">
        <v>781.901638796</v>
      </c>
      <c r="F7" s="12" t="n">
        <v>1306.229572005</v>
      </c>
      <c r="G7" s="12" t="n">
        <v>703.3970396990001</v>
      </c>
      <c r="H7" s="12" t="n">
        <v>2801.218170355</v>
      </c>
      <c r="I7" s="12"/>
      <c r="J7" s="12">
        <f>SUM(B7:I7)</f>
        <v>24933.076938066602</v>
      </c>
      <c r="K7" s="12"/>
      <c r="L7" t="str">
        <f>$A$7</f>
        <v>Bellevue</v>
      </c>
      <c r="M7" s="430" t="n">
        <v>12062.51673218707</v>
      </c>
      <c r="N7" s="430" t="n">
        <v>2058.839398837066</v>
      </c>
      <c r="O7" s="430" t="n">
        <v>1461.1499374926148</v>
      </c>
      <c r="P7" s="430" t="n">
        <v>2087.9248961908334</v>
      </c>
      <c r="Q7" s="430" t="n">
        <v>2808.485586863843</v>
      </c>
      <c r="R7" s="430" t="n">
        <v>800.7427727599772</v>
      </c>
      <c r="S7" s="430" t="n">
        <v>3066.2198817439053</v>
      </c>
      <c r="T7" s="430"/>
      <c r="U7" s="431">
        <f>SUM(M7:T7)</f>
        <v>27818.25</v>
      </c>
    </row>
    <row r="8" spans="1:21" x14ac:dyDescent="0.25">
      <c r="A8" t="s">
        <v>249</v>
      </c>
      <c r="B8" s="12" t="n">
        <v>131.494048378</v>
      </c>
      <c r="C8" s="12" t="n">
        <v>354.2747928245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485.76884120250003</v>
      </c>
      <c r="K8" s="12"/>
      <c r="L8" t="str">
        <f>$A$8</f>
        <v>Bellevue Downtown</v>
      </c>
      <c r="M8" s="430" t="n">
        <v>697.9171695186411</v>
      </c>
      <c r="N8" s="430" t="n">
        <v>644.9506402026396</v>
      </c>
      <c r="O8" s="430" t="n">
        <v>106.1467759864069</v>
      </c>
      <c r="P8" s="430" t="n">
        <v>64.8052817488835</v>
      </c>
      <c r="Q8" s="430" t="n">
        <v>110.77708636007847</v>
      </c>
      <c r="R8" s="430" t="n">
        <v>34.862967884346155</v>
      </c>
      <c r="S8" s="430" t="n">
        <v>97.82286534124222</v>
      </c>
      <c r="T8" s="430"/>
      <c r="U8" s="431">
        <f ref="U8:U14" si="1" t="shared">SUM(M8:T8)</f>
        <v>1997.25</v>
      </c>
    </row>
    <row r="9" spans="1:21" x14ac:dyDescent="0.25">
      <c r="A9" t="s">
        <v>250</v>
      </c>
      <c r="B9" s="12" t="n">
        <v>0.0</v>
      </c>
      <c r="C9" s="12" t="n">
        <v>191.153539079</v>
      </c>
      <c r="D9" s="12" t="n">
        <v>22512.264472701</v>
      </c>
      <c r="E9" s="12" t="n">
        <v>2951.87033819</v>
      </c>
      <c r="F9" s="12" t="n">
        <v>707.178626424</v>
      </c>
      <c r="G9" s="12" t="n">
        <v>529.272159155</v>
      </c>
      <c r="H9" s="12" t="n">
        <v>3478.001713329</v>
      </c>
      <c r="I9" s="12"/>
      <c r="J9" s="12">
        <f si="0" t="shared"/>
        <v>30369.740848878002</v>
      </c>
      <c r="K9" s="13"/>
      <c r="L9" t="str">
        <f>$A$9</f>
        <v>Kirkland</v>
      </c>
      <c r="M9" s="430" t="n">
        <v>1905.3311614003535</v>
      </c>
      <c r="N9" s="430" t="n">
        <v>468.6980604278246</v>
      </c>
      <c r="O9" s="430" t="n">
        <v>10543.997173813015</v>
      </c>
      <c r="P9" s="430" t="n">
        <v>2120.340196523907</v>
      </c>
      <c r="Q9" s="430" t="n">
        <v>3070.6668610183888</v>
      </c>
      <c r="R9" s="430" t="n">
        <v>428.24815798180816</v>
      </c>
      <c r="S9" s="430" t="n">
        <v>3035.04930059884</v>
      </c>
      <c r="T9" s="430"/>
      <c r="U9" s="431">
        <f si="1" t="shared"/>
        <v>24649.5</v>
      </c>
    </row>
    <row r="10" spans="1:21" x14ac:dyDescent="0.25">
      <c r="A10" t="s">
        <v>251</v>
      </c>
      <c r="B10" s="12" t="n">
        <v>609.158998074</v>
      </c>
      <c r="C10" s="12" t="n">
        <v>260.124522619</v>
      </c>
      <c r="D10" s="12" t="n">
        <v>5974.811841592</v>
      </c>
      <c r="E10" s="12" t="n">
        <v>13997.361400411999</v>
      </c>
      <c r="F10" s="12" t="n">
        <v>2700.348496165</v>
      </c>
      <c r="G10" s="12" t="n">
        <v>0.0</v>
      </c>
      <c r="H10" s="12" t="n">
        <v>1017.747610799</v>
      </c>
      <c r="I10" s="12"/>
      <c r="J10" s="12">
        <f si="0" t="shared"/>
        <v>24559.552869660998</v>
      </c>
      <c r="K10" s="13"/>
      <c r="L10" t="str">
        <f>$A$10</f>
        <v>Redmond</v>
      </c>
      <c r="M10" s="430" t="n">
        <v>2994.311510627439</v>
      </c>
      <c r="N10" s="430" t="n">
        <v>395.5307696069415</v>
      </c>
      <c r="O10" s="430" t="n">
        <v>3115.729430049838</v>
      </c>
      <c r="P10" s="430" t="n">
        <v>7044.517496619005</v>
      </c>
      <c r="Q10" s="430" t="n">
        <v>1633.5592295720169</v>
      </c>
      <c r="R10" s="430" t="n">
        <v>306.9685643746858</v>
      </c>
      <c r="S10" s="430" t="n">
        <v>2380.7384711364466</v>
      </c>
      <c r="T10" s="430"/>
      <c r="U10" s="431">
        <f si="1" t="shared"/>
        <v>19533.25</v>
      </c>
    </row>
    <row r="11" spans="1:21" x14ac:dyDescent="0.2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si="0" t="shared"/>
        <v>110186.08029449599</v>
      </c>
      <c r="K11" s="13"/>
      <c r="L11" t="str">
        <f>$A$11</f>
        <v>Seattle</v>
      </c>
      <c r="M11" s="430" t="n">
        <v>1921.5345451808942</v>
      </c>
      <c r="N11" s="430" t="n">
        <v>360.2305618049738</v>
      </c>
      <c r="O11" s="430" t="n">
        <v>1948.9289267889492</v>
      </c>
      <c r="P11" s="430" t="n">
        <v>612.0205064237854</v>
      </c>
      <c r="Q11" s="430" t="n">
        <v>74808.67173386784</v>
      </c>
      <c r="R11" s="430" t="n">
        <v>8349.525861063672</v>
      </c>
      <c r="S11" s="430" t="n">
        <v>10386.496676614288</v>
      </c>
      <c r="T11" s="430"/>
      <c r="U11" s="431">
        <f si="1" t="shared"/>
        <v>112844.8026715898</v>
      </c>
    </row>
    <row r="12" spans="1:21" x14ac:dyDescent="0.2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si="0" t="shared"/>
        <v>10687.5900859625</v>
      </c>
      <c r="K12" s="13"/>
      <c r="L12" t="str">
        <f>$A$12</f>
        <v>Seattle Downtown</v>
      </c>
      <c r="M12" s="430" t="n">
        <v>166.55915882840583</v>
      </c>
      <c r="N12" s="430" t="n">
        <v>31.824405154044527</v>
      </c>
      <c r="O12" s="430" t="n">
        <v>72.13578557498313</v>
      </c>
      <c r="P12" s="430" t="n">
        <v>43.42381287754243</v>
      </c>
      <c r="Q12" s="430" t="n">
        <v>2903.227024768797</v>
      </c>
      <c r="R12" s="430" t="n">
        <v>6357.191411251888</v>
      </c>
      <c r="S12" s="430" t="n">
        <v>357.04491287598705</v>
      </c>
      <c r="T12" s="430"/>
      <c r="U12" s="431">
        <f si="1" t="shared"/>
        <v>11205.001504083846</v>
      </c>
    </row>
    <row r="13" spans="1:21" x14ac:dyDescent="0.2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si="0" t="shared"/>
        <v>516921.29535011516</v>
      </c>
      <c r="K13" s="13"/>
      <c r="L13" t="str">
        <f>$A$13</f>
        <v>Rest</v>
      </c>
      <c r="M13" s="430" t="n">
        <v>9862.481626410094</v>
      </c>
      <c r="N13" s="430" t="n">
        <v>1613.8290120842803</v>
      </c>
      <c r="O13" s="430" t="n">
        <v>7561.93247055639</v>
      </c>
      <c r="P13" s="430" t="n">
        <v>5893.590873439331</v>
      </c>
      <c r="Q13" s="430" t="n">
        <v>26536.129502947468</v>
      </c>
      <c r="R13" s="430" t="n">
        <v>5065.3486156222625</v>
      </c>
      <c r="S13" s="430" t="n">
        <v>401425.26995404565</v>
      </c>
      <c r="T13" s="430"/>
      <c r="U13" s="431">
        <f si="1" t="shared"/>
        <v>520361.93809118075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27572.467479293398</v>
      </c>
      <c r="C15" s="16">
        <f si="2" t="shared"/>
        <v>5071.9211599012997</v>
      </c>
      <c r="D15" s="16">
        <f si="2" t="shared"/>
        <v>39986.882362219898</v>
      </c>
      <c r="E15" s="16">
        <f si="2" t="shared"/>
        <v>20386.529104448</v>
      </c>
      <c r="F15" s="16">
        <f si="2" t="shared"/>
        <v>112661.12031623151</v>
      </c>
      <c r="G15" s="16">
        <f si="2" t="shared"/>
        <v>30941.610282753503</v>
      </c>
      <c r="H15" s="16">
        <f si="2" t="shared"/>
        <v>481522.57452353416</v>
      </c>
      <c r="I15" s="16">
        <f si="2" t="shared"/>
        <v>0</v>
      </c>
      <c r="J15" s="16">
        <f si="2" t="shared"/>
        <v>718143.1052283817</v>
      </c>
      <c r="K15" s="12"/>
      <c r="L15" s="16" t="s">
        <v>4</v>
      </c>
      <c r="M15" s="433">
        <f ref="M15:U15" si="3" t="shared">SUM(M7:M14)</f>
        <v>33022.009009725502</v>
      </c>
      <c r="N15" s="433">
        <f si="3" t="shared"/>
        <v>6216.8826643718858</v>
      </c>
      <c r="O15" s="433">
        <f si="3" t="shared"/>
        <v>28299.449179572031</v>
      </c>
      <c r="P15" s="433">
        <f si="3" t="shared"/>
        <v>19710.290348871513</v>
      </c>
      <c r="Q15" s="433">
        <f si="3" t="shared"/>
        <v>128330.55216684504</v>
      </c>
      <c r="R15" s="433">
        <f si="3" t="shared"/>
        <v>25076.811313269536</v>
      </c>
      <c r="S15" s="433">
        <f si="3" t="shared"/>
        <v>477753.99758419889</v>
      </c>
      <c r="T15" s="433">
        <f si="3" t="shared"/>
        <v>0</v>
      </c>
      <c r="U15" s="433">
        <f si="3" t="shared"/>
        <v>718409.99226685439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18921.162958359397</v>
      </c>
      <c r="C20" s="12">
        <f si="4" t="shared"/>
        <v>1187.8813702311977</v>
      </c>
      <c r="D20" s="12">
        <f si="4" t="shared"/>
        <v>1469.285163065847</v>
      </c>
      <c r="E20" s="12">
        <f si="4" t="shared"/>
        <v>872.38070605831479</v>
      </c>
      <c r="F20" s="12">
        <f si="4" t="shared"/>
        <v>1457.3821306407033</v>
      </c>
      <c r="G20" s="12">
        <f si="4" t="shared"/>
        <v>784.79181483342518</v>
      </c>
      <c r="H20" s="12">
        <f ref="H20" si="5" t="shared">($U7/$J7)*H7</f>
        <v>3125.365856811115</v>
      </c>
      <c r="I20" s="12"/>
      <c r="J20" s="12">
        <f>SUM(B20:I20)</f>
        <v>27818.25</v>
      </c>
      <c r="K20" s="12"/>
      <c r="L20" t="str">
        <f>$A$7</f>
        <v>Bellevue</v>
      </c>
      <c r="M20" s="12">
        <f>M7</f>
        <v>13325</v>
      </c>
      <c r="N20" s="12">
        <f ref="N20:U20" si="6" t="shared">N7</f>
        <v>2207.5</v>
      </c>
      <c r="O20" s="12">
        <f si="6" t="shared"/>
        <v>1752.5</v>
      </c>
      <c r="P20" s="12">
        <f si="6" t="shared"/>
        <v>2247</v>
      </c>
      <c r="Q20" s="12">
        <f si="6" t="shared"/>
        <v>3484.5</v>
      </c>
      <c r="R20" s="12">
        <f si="6" t="shared"/>
        <v>1063.5</v>
      </c>
      <c r="S20" s="12">
        <f si="6" t="shared"/>
        <v>3738.25</v>
      </c>
      <c r="T20" s="12"/>
      <c r="U20" s="12">
        <f si="6" t="shared"/>
        <v>27818.25</v>
      </c>
    </row>
    <row r="21" spans="1:32" x14ac:dyDescent="0.25">
      <c r="A21" t="str">
        <f>$A$8</f>
        <v>Bellevue Downtown</v>
      </c>
      <c r="B21" s="12">
        <f ref="B21:G26" si="7" t="shared">($U8/$J8)*B8</f>
        <v>540.64086834561033</v>
      </c>
      <c r="C21" s="12">
        <f si="7" t="shared"/>
        <v>1456.6091316543896</v>
      </c>
      <c r="D21" s="12">
        <f si="7" t="shared"/>
        <v>0</v>
      </c>
      <c r="E21" s="12">
        <f si="7" t="shared"/>
        <v>0</v>
      </c>
      <c r="F21" s="12">
        <f si="7" t="shared"/>
        <v>0</v>
      </c>
      <c r="G21" s="12">
        <f si="7" t="shared"/>
        <v>0</v>
      </c>
      <c r="H21" s="12">
        <f ref="H21" si="8" t="shared">($U8/$J8)*H8</f>
        <v>0</v>
      </c>
      <c r="I21" s="12"/>
      <c r="J21" s="12">
        <f ref="J21:J27" si="9" t="shared">SUM(B21:I21)</f>
        <v>1997.25</v>
      </c>
      <c r="K21" s="12"/>
      <c r="L21" t="str">
        <f>$A$8</f>
        <v>Bellevue Downtown</v>
      </c>
      <c r="M21" s="12">
        <f ref="M21:U21" si="10" t="shared">M8</f>
        <v>783.5</v>
      </c>
      <c r="N21" s="12">
        <f si="10" t="shared"/>
        <v>740</v>
      </c>
      <c r="O21" s="12">
        <f si="10" t="shared"/>
        <v>121</v>
      </c>
      <c r="P21" s="12">
        <f si="10" t="shared"/>
        <v>61.5</v>
      </c>
      <c r="Q21" s="12">
        <f si="10" t="shared"/>
        <v>146</v>
      </c>
      <c r="R21" s="12">
        <f si="10" t="shared"/>
        <v>35.25</v>
      </c>
      <c r="S21" s="12">
        <f si="10" t="shared"/>
        <v>110</v>
      </c>
      <c r="T21" s="12"/>
      <c r="U21" s="12">
        <f si="10" t="shared"/>
        <v>1997.25</v>
      </c>
    </row>
    <row r="22" spans="1:32" x14ac:dyDescent="0.25">
      <c r="A22" t="str">
        <f>$A$9</f>
        <v>Kirkland</v>
      </c>
      <c r="B22" s="12">
        <f si="7" t="shared"/>
        <v>0</v>
      </c>
      <c r="C22" s="12">
        <f si="7" t="shared"/>
        <v>155.14913956540687</v>
      </c>
      <c r="D22" s="12">
        <f si="7" t="shared"/>
        <v>18272.005213384771</v>
      </c>
      <c r="E22" s="12">
        <f si="7" t="shared"/>
        <v>2395.8758246665307</v>
      </c>
      <c r="F22" s="12">
        <f si="7" t="shared"/>
        <v>573.9791998482724</v>
      </c>
      <c r="G22" s="12">
        <f si="7" t="shared"/>
        <v>429.58200242835341</v>
      </c>
      <c r="H22" s="12">
        <f ref="H22" si="11" t="shared">($U9/$J9)*H9</f>
        <v>2822.9086201066639</v>
      </c>
      <c r="I22" s="12"/>
      <c r="J22" s="12">
        <f si="9" t="shared"/>
        <v>24649.5</v>
      </c>
      <c r="K22" s="13"/>
      <c r="L22" t="str">
        <f>$A$9</f>
        <v>Kirkland</v>
      </c>
      <c r="M22" s="12">
        <f ref="M22:U22" si="12" t="shared">M9</f>
        <v>2203</v>
      </c>
      <c r="N22" s="12">
        <f si="12" t="shared"/>
        <v>513</v>
      </c>
      <c r="O22" s="12">
        <f si="12" t="shared"/>
        <v>11583.25</v>
      </c>
      <c r="P22" s="12">
        <f si="12" t="shared"/>
        <v>2388.5</v>
      </c>
      <c r="Q22" s="12">
        <f si="12" t="shared"/>
        <v>3771.75</v>
      </c>
      <c r="R22" s="12">
        <f si="12" t="shared"/>
        <v>567.5</v>
      </c>
      <c r="S22" s="12">
        <f si="12" t="shared"/>
        <v>3622.5</v>
      </c>
      <c r="T22" s="12"/>
      <c r="U22" s="12">
        <f si="12" t="shared"/>
        <v>24649.5</v>
      </c>
    </row>
    <row r="23" spans="1:32" x14ac:dyDescent="0.25">
      <c r="A23" t="str">
        <f>$A$10</f>
        <v>Redmond</v>
      </c>
      <c r="B23" s="12">
        <f si="7" t="shared"/>
        <v>484.48988718470929</v>
      </c>
      <c r="C23" s="12">
        <f si="7" t="shared"/>
        <v>206.88802269378274</v>
      </c>
      <c r="D23" s="12">
        <f si="7" t="shared"/>
        <v>4752.0202840886604</v>
      </c>
      <c r="E23" s="12">
        <f si="7" t="shared"/>
        <v>11132.692888409727</v>
      </c>
      <c r="F23" s="12">
        <f si="7" t="shared"/>
        <v>2147.7012445073501</v>
      </c>
      <c r="G23" s="12">
        <f si="7" t="shared"/>
        <v>0</v>
      </c>
      <c r="H23" s="12">
        <f ref="H23" si="13" t="shared">($U10/$J10)*H10</f>
        <v>809.45767311577174</v>
      </c>
      <c r="I23" s="12"/>
      <c r="J23" s="12">
        <f>SUM(B23:I23)</f>
        <v>19533.25</v>
      </c>
      <c r="K23" s="13"/>
      <c r="L23" t="str">
        <f>$A$10</f>
        <v>Redmond</v>
      </c>
      <c r="M23" s="12">
        <f ref="M23:S23" si="14" t="shared">M10</f>
        <v>3187.25</v>
      </c>
      <c r="N23" s="12">
        <f si="14" t="shared"/>
        <v>438.75</v>
      </c>
      <c r="O23" s="12">
        <f si="14" t="shared"/>
        <v>3452.75</v>
      </c>
      <c r="P23" s="12">
        <f si="14" t="shared"/>
        <v>7518</v>
      </c>
      <c r="Q23" s="12">
        <f si="14" t="shared"/>
        <v>1788.5</v>
      </c>
      <c r="R23" s="12">
        <f si="14" t="shared"/>
        <v>368.25</v>
      </c>
      <c r="S23" s="12">
        <f si="14" t="shared"/>
        <v>2779.75</v>
      </c>
      <c r="T23" s="12"/>
      <c r="U23" s="12">
        <f ref="U23" si="15" t="shared">U10</f>
        <v>19533.25</v>
      </c>
    </row>
    <row r="24" spans="1:32" x14ac:dyDescent="0.25">
      <c r="A24" t="str">
        <f>$A$11</f>
        <v>Seattle</v>
      </c>
      <c r="B24" s="12">
        <f si="7" t="shared"/>
        <v>1733.5201332942352</v>
      </c>
      <c r="C24" s="12">
        <f si="7" t="shared"/>
        <v>65.061636068844621</v>
      </c>
      <c r="D24" s="12">
        <f si="7" t="shared"/>
        <v>163.87798823533495</v>
      </c>
      <c r="E24" s="12">
        <f si="7" t="shared"/>
        <v>9.7061862484041477</v>
      </c>
      <c r="F24" s="12">
        <f si="7" t="shared"/>
        <v>90346.201881065921</v>
      </c>
      <c r="G24" s="12">
        <f si="7" t="shared"/>
        <v>14250.885152309875</v>
      </c>
      <c r="H24" s="12">
        <f ref="H24" si="16" t="shared">($U11/$J11)*H11</f>
        <v>6275.5496943671897</v>
      </c>
      <c r="I24" s="12"/>
      <c r="J24" s="12">
        <f si="9" t="shared"/>
        <v>112844.8026715898</v>
      </c>
      <c r="K24" s="13"/>
      <c r="L24" t="str">
        <f>$A$11</f>
        <v>Seattle</v>
      </c>
      <c r="M24" s="12">
        <f ref="M24:S24" si="17" t="shared">M11</f>
        <v>2358.0024222907073</v>
      </c>
      <c r="N24" s="12">
        <f si="17" t="shared"/>
        <v>469.58380975931595</v>
      </c>
      <c r="O24" s="12">
        <f si="17" t="shared"/>
        <v>2255.8866418898142</v>
      </c>
      <c r="P24" s="12">
        <f si="17" t="shared"/>
        <v>825.33219578226795</v>
      </c>
      <c r="Q24" s="12">
        <f si="17" t="shared"/>
        <v>84727.996100266595</v>
      </c>
      <c r="R24" s="12">
        <f si="17" t="shared"/>
        <v>9797.3412833395923</v>
      </c>
      <c r="S24" s="12">
        <f si="17" t="shared"/>
        <v>12410.660218261502</v>
      </c>
      <c r="T24" s="12"/>
      <c r="U24" s="12">
        <f ref="U24" si="18" t="shared">U11</f>
        <v>112844.8026715898</v>
      </c>
    </row>
    <row r="25" spans="1:32" x14ac:dyDescent="0.25">
      <c r="A25" t="str">
        <f>$A$12</f>
        <v>Seattle Downtown</v>
      </c>
      <c r="B25" s="12">
        <f si="7" t="shared"/>
        <v>60.299296392724685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4525.5587287153285</v>
      </c>
      <c r="G25" s="12">
        <f si="7" t="shared"/>
        <v>5809.9939620047935</v>
      </c>
      <c r="H25" s="12">
        <f ref="H25" si="19" t="shared">($U12/$J12)*H12</f>
        <v>809.14951697100025</v>
      </c>
      <c r="I25" s="12"/>
      <c r="J25" s="12">
        <f si="9" t="shared"/>
        <v>11205.001504083846</v>
      </c>
      <c r="K25" s="13"/>
      <c r="L25" t="str">
        <f>$A$12</f>
        <v>Seattle Downtown</v>
      </c>
      <c r="M25" s="12">
        <f ref="M25:S26" si="20" t="shared">M12</f>
        <v>175.80703285775957</v>
      </c>
      <c r="N25" s="12">
        <f si="20" t="shared"/>
        <v>33.99167330509043</v>
      </c>
      <c r="O25" s="12">
        <f si="20" t="shared"/>
        <v>59.955861044125427</v>
      </c>
      <c r="P25" s="12">
        <f si="20" t="shared"/>
        <v>35.990436863218029</v>
      </c>
      <c r="Q25" s="12">
        <f si="20" t="shared"/>
        <v>3331.508518757882</v>
      </c>
      <c r="R25" s="12">
        <f si="20" t="shared"/>
        <v>7186.4467439496975</v>
      </c>
      <c r="S25" s="12">
        <f si="20" t="shared"/>
        <v>381.30123730607335</v>
      </c>
      <c r="T25" s="12"/>
      <c r="U25" s="12">
        <f ref="U25:U26" si="21" t="shared">U12</f>
        <v>11205.001504083846</v>
      </c>
    </row>
    <row r="26" spans="1:32" x14ac:dyDescent="0.25">
      <c r="A26" t="str">
        <f>$A$13</f>
        <v>Rest</v>
      </c>
      <c r="B26" s="12">
        <f si="7" t="shared"/>
        <v>8176.9364177879133</v>
      </c>
      <c r="C26" s="12">
        <f si="7" t="shared"/>
        <v>3159.0471418813181</v>
      </c>
      <c r="D26" s="12">
        <f si="7" t="shared"/>
        <v>10089.603734746412</v>
      </c>
      <c r="E26" s="12">
        <f si="7" t="shared"/>
        <v>2663.5295334969255</v>
      </c>
      <c r="F26" s="12">
        <f si="7" t="shared"/>
        <v>15515.805385717393</v>
      </c>
      <c r="G26" s="12">
        <f si="7" t="shared"/>
        <v>10320.350741062599</v>
      </c>
      <c r="H26" s="12">
        <f ref="H26" si="22" t="shared">($U13/$J13)*H13</f>
        <v>470436.66513648815</v>
      </c>
      <c r="I26" s="12"/>
      <c r="J26" s="12">
        <f si="9" t="shared"/>
        <v>520361.93809118069</v>
      </c>
      <c r="K26" s="13"/>
      <c r="L26" t="str">
        <f>$A$13</f>
        <v>Rest</v>
      </c>
      <c r="M26" s="12">
        <f si="20" t="shared"/>
        <v>10989.44955457703</v>
      </c>
      <c r="N26" s="12">
        <f si="20" t="shared"/>
        <v>1814.0571813074796</v>
      </c>
      <c r="O26" s="12">
        <f si="20" t="shared"/>
        <v>9074.1066766380882</v>
      </c>
      <c r="P26" s="12">
        <f si="20" t="shared"/>
        <v>6633.9677162260259</v>
      </c>
      <c r="Q26" s="12">
        <f si="20" t="shared"/>
        <v>31080.297547820559</v>
      </c>
      <c r="R26" s="12">
        <f si="20" t="shared"/>
        <v>6058.5232859802436</v>
      </c>
      <c r="S26" s="12">
        <f si="20" t="shared"/>
        <v>454711.53612863133</v>
      </c>
      <c r="T26" s="12"/>
      <c r="U26" s="12">
        <f si="21" t="shared"/>
        <v>520361.93809118075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>
        <f ref="B28:J28" si="23" t="shared">SUM(B20:B27)</f>
        <v>29917.049561364591</v>
      </c>
      <c r="C28" s="16">
        <f si="23" t="shared"/>
        <v>6230.6364420949394</v>
      </c>
      <c r="D28" s="16">
        <f si="23" t="shared"/>
        <v>34746.792383521024</v>
      </c>
      <c r="E28" s="16">
        <f si="23" t="shared"/>
        <v>17074.185138879904</v>
      </c>
      <c r="F28" s="16">
        <f si="23" t="shared"/>
        <v>114566.62857049497</v>
      </c>
      <c r="G28" s="16">
        <f si="23" t="shared"/>
        <v>31595.603672639045</v>
      </c>
      <c r="H28" s="16">
        <f si="23" t="shared"/>
        <v>484279.09649785992</v>
      </c>
      <c r="I28" s="16">
        <f si="23" t="shared"/>
        <v>0</v>
      </c>
      <c r="J28" s="16">
        <f si="23" t="shared"/>
        <v>718409.99226685427</v>
      </c>
      <c r="K28" s="12"/>
      <c r="L28" s="16" t="s">
        <v>4</v>
      </c>
      <c r="M28" s="16">
        <f ref="M28:U28" si="24" t="shared">M15</f>
        <v>33022.009009725502</v>
      </c>
      <c r="N28" s="16">
        <f si="24" t="shared"/>
        <v>6216.8826643718858</v>
      </c>
      <c r="O28" s="16">
        <f si="24" t="shared"/>
        <v>28299.449179572031</v>
      </c>
      <c r="P28" s="16">
        <f si="24" t="shared"/>
        <v>19710.290348871513</v>
      </c>
      <c r="Q28" s="16">
        <f si="24" t="shared"/>
        <v>128330.55216684504</v>
      </c>
      <c r="R28" s="16">
        <f si="24" t="shared"/>
        <v>25076.811313269536</v>
      </c>
      <c r="S28" s="16">
        <f si="24" t="shared"/>
        <v>477753.99758419889</v>
      </c>
      <c r="T28" s="16"/>
      <c r="U28" s="16">
        <f si="24" t="shared"/>
        <v>718409.99226685439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>
        <f ref="B33:G33" si="25" t="shared">B20/$J$28</f>
        <v>2.6337555382068108E-2</v>
      </c>
      <c r="C33" s="17">
        <f si="25" t="shared"/>
        <v>1.6534867039961184E-3</v>
      </c>
      <c r="D33" s="17">
        <f si="25" t="shared"/>
        <v>2.0451903215177986E-3</v>
      </c>
      <c r="E33" s="17">
        <f si="25" t="shared"/>
        <v>1.2143215092340585E-3</v>
      </c>
      <c r="F33" s="17">
        <f si="25" t="shared"/>
        <v>2.0286217429160659E-3</v>
      </c>
      <c r="G33" s="17">
        <f si="25" t="shared"/>
        <v>1.092401029051825E-3</v>
      </c>
      <c r="H33" s="17">
        <f ref="H33" si="26" t="shared">H20/$J$28</f>
        <v>4.3503930770080294E-3</v>
      </c>
      <c r="I33" s="12"/>
      <c r="J33" s="17">
        <f ref="J33:J39" si="27" t="shared">J20/$J$28</f>
        <v>3.8721969765792008E-2</v>
      </c>
      <c r="K33" s="12"/>
      <c r="L33" t="str">
        <f>$A$7</f>
        <v>Bellevue</v>
      </c>
      <c r="M33" s="17">
        <f ref="M33:R33" si="28" t="shared">M20/$U$28</f>
        <v>1.8547904599648734E-2</v>
      </c>
      <c r="N33" s="17">
        <f si="28" t="shared"/>
        <v>3.072757928984959E-3</v>
      </c>
      <c r="O33" s="17">
        <f si="28" t="shared"/>
        <v>2.4394148450945148E-3</v>
      </c>
      <c r="P33" s="17">
        <f si="28" t="shared"/>
        <v>3.1277404604435803E-3</v>
      </c>
      <c r="Q33" s="17">
        <f si="28" t="shared"/>
        <v>4.850294452343416E-3</v>
      </c>
      <c r="R33" s="17">
        <f si="28" t="shared"/>
        <v>1.4803524609175555E-3</v>
      </c>
      <c r="S33" s="17">
        <f ref="S33" si="29" t="shared">S20/$U$28</f>
        <v>5.203505018359241E-3</v>
      </c>
      <c r="T33" s="17"/>
      <c r="U33" s="17">
        <f>U20/$U$28</f>
        <v>3.8721969765792001E-2</v>
      </c>
      <c r="W33" t="str">
        <f>$A$7</f>
        <v>Bellevue</v>
      </c>
      <c r="X33" s="17">
        <f>M33-B33</f>
        <v>-7.7896507824193745E-3</v>
      </c>
      <c r="Y33" s="17">
        <f ref="Y33:Y35" si="30" t="shared">N33-C33</f>
        <v>1.4192712249888407E-3</v>
      </c>
      <c r="Z33" s="17">
        <f ref="Z33:Z35" si="31" t="shared">O33-D33</f>
        <v>3.9422452357671615E-4</v>
      </c>
      <c r="AA33" s="17">
        <f ref="AA33" si="32" t="shared">P33-E33</f>
        <v>1.9134189512095218E-3</v>
      </c>
      <c r="AB33" s="17">
        <f ref="AB33" si="33" t="shared">Q33-F33</f>
        <v>2.8216727094273501E-3</v>
      </c>
      <c r="AC33" s="17">
        <f ref="AC33:AD33" si="34" t="shared">R33-G33</f>
        <v>3.8795143186573055E-4</v>
      </c>
      <c r="AD33" s="17">
        <f si="34" t="shared"/>
        <v>8.5311194135121154E-4</v>
      </c>
      <c r="AE33" s="17"/>
      <c r="AF33" s="17">
        <f ref="AF33:AF39" si="35" t="shared">U33-J33</f>
        <v>0</v>
      </c>
    </row>
    <row r="34" spans="1:32" x14ac:dyDescent="0.25">
      <c r="A34" t="str">
        <f>$A$8</f>
        <v>Bellevue Downtown</v>
      </c>
      <c r="B34" s="17">
        <f ref="B34:G39" si="36" t="shared">B21/$J$28</f>
        <v>7.5255198864882802E-4</v>
      </c>
      <c r="C34" s="17">
        <f si="36" t="shared"/>
        <v>2.0275457570658765E-3</v>
      </c>
      <c r="D34" s="17">
        <f si="36" t="shared"/>
        <v>0</v>
      </c>
      <c r="E34" s="17">
        <f si="36" t="shared"/>
        <v>0</v>
      </c>
      <c r="F34" s="17">
        <f si="36" t="shared"/>
        <v>0</v>
      </c>
      <c r="G34" s="17">
        <f si="36" t="shared"/>
        <v>0</v>
      </c>
      <c r="H34" s="17">
        <f ref="H34" si="37" t="shared">H21/$J$28</f>
        <v>0</v>
      </c>
      <c r="I34" s="12"/>
      <c r="J34" s="17">
        <f si="27" t="shared"/>
        <v>2.7800977457147049E-3</v>
      </c>
      <c r="K34" s="12"/>
      <c r="L34" t="str">
        <f>$A$8</f>
        <v>Bellevue Downtown</v>
      </c>
      <c r="M34" s="17">
        <f ref="M34:R36" si="38" t="shared">M21/$U$28</f>
        <v>1.0906028708311281E-3</v>
      </c>
      <c r="N34" s="17">
        <f si="38" t="shared"/>
        <v>1.0300524880855581E-3</v>
      </c>
      <c r="O34" s="17">
        <f si="38" t="shared"/>
        <v>1.6842750143020613E-4</v>
      </c>
      <c r="P34" s="17">
        <f si="38" t="shared"/>
        <v>8.5605713536840308E-5</v>
      </c>
      <c r="Q34" s="17">
        <f si="38" t="shared"/>
        <v>2.0322657197363716E-4</v>
      </c>
      <c r="R34" s="17">
        <f si="38" t="shared"/>
        <v>4.9066689466237738E-5</v>
      </c>
      <c r="S34" s="17">
        <f ref="S34" si="39" t="shared">S21/$U$28</f>
        <v>1.5311591039109649E-4</v>
      </c>
      <c r="T34" s="17"/>
      <c r="U34" s="17">
        <f>U21/$U$28</f>
        <v>2.7800977457147044E-3</v>
      </c>
      <c r="W34" t="str">
        <f>$A$8</f>
        <v>Bellevue Downtown</v>
      </c>
      <c r="X34" s="17">
        <f ref="X34:X35" si="40" t="shared">M34-B34</f>
        <v>3.3805088218230009E-4</v>
      </c>
      <c r="Y34" s="17">
        <f si="30" t="shared"/>
        <v>-9.9749326898031839E-4</v>
      </c>
      <c r="Z34" s="17">
        <f si="31" t="shared"/>
        <v>1.6842750143020613E-4</v>
      </c>
      <c r="AA34" s="17">
        <f ref="AA34:AA38" si="41" t="shared">P34-E34</f>
        <v>8.5605713536840308E-5</v>
      </c>
      <c r="AB34" s="17">
        <f ref="AB34:AB38" si="42" t="shared">Q34-F34</f>
        <v>2.0322657197363716E-4</v>
      </c>
      <c r="AC34" s="17">
        <f ref="AC34:AD38" si="43" t="shared">R34-G34</f>
        <v>4.9066689466237738E-5</v>
      </c>
      <c r="AD34" s="17">
        <f si="43" t="shared"/>
        <v>1.5311591039109649E-4</v>
      </c>
      <c r="AE34" s="17"/>
      <c r="AF34" s="17">
        <f si="35" t="shared"/>
        <v>0</v>
      </c>
    </row>
    <row r="35" spans="1:32" x14ac:dyDescent="0.25">
      <c r="A35" t="str">
        <f>$A$9</f>
        <v>Kirkland</v>
      </c>
      <c r="B35" s="17">
        <f si="36" t="shared"/>
        <v>0</v>
      </c>
      <c r="C35" s="17">
        <f si="36" t="shared"/>
        <v>2.1596183409956877E-4</v>
      </c>
      <c r="D35" s="17">
        <f si="36" t="shared"/>
        <v>2.5433951935620647E-2</v>
      </c>
      <c r="E35" s="17">
        <f si="36" t="shared"/>
        <v>3.3349700734348633E-3</v>
      </c>
      <c r="F35" s="17">
        <f si="36" t="shared"/>
        <v>7.9895770663928505E-4</v>
      </c>
      <c r="G35" s="17">
        <f si="36" t="shared"/>
        <v>5.9796217626770514E-4</v>
      </c>
      <c r="H35" s="17">
        <f ref="H35" si="44" t="shared">H22/$J$28</f>
        <v>3.9293838483500532E-3</v>
      </c>
      <c r="I35" s="12"/>
      <c r="J35" s="17">
        <f si="27" t="shared"/>
        <v>3.4311187574412122E-2</v>
      </c>
      <c r="K35" s="13"/>
      <c r="L35" t="str">
        <f>$A$9</f>
        <v>Kirkland</v>
      </c>
      <c r="M35" s="17">
        <f si="38" t="shared"/>
        <v>3.0664940962871414E-3</v>
      </c>
      <c r="N35" s="17">
        <f si="38" t="shared"/>
        <v>7.1407692755120458E-4</v>
      </c>
      <c r="O35" s="17">
        <f si="38" t="shared"/>
        <v>1.6123453354887896E-2</v>
      </c>
      <c r="P35" s="17">
        <f si="38" t="shared"/>
        <v>3.3247031997193999E-3</v>
      </c>
      <c r="Q35" s="17">
        <f si="38" t="shared"/>
        <v>5.2501357728874385E-3</v>
      </c>
      <c r="R35" s="17">
        <f si="38" t="shared"/>
        <v>7.899389013358842E-4</v>
      </c>
      <c r="S35" s="17">
        <f ref="S35" si="45" t="shared">S22/$U$28</f>
        <v>5.0423853217431546E-3</v>
      </c>
      <c r="T35" s="17"/>
      <c r="U35" s="17">
        <f>U22/$U$28</f>
        <v>3.4311187574412115E-2</v>
      </c>
      <c r="W35" t="str">
        <f>$A$9</f>
        <v>Kirkland</v>
      </c>
      <c r="X35" s="17">
        <f si="40" t="shared"/>
        <v>3.0664940962871414E-3</v>
      </c>
      <c r="Y35" s="17">
        <f si="30" t="shared"/>
        <v>4.9811509345163579E-4</v>
      </c>
      <c r="Z35" s="17">
        <f si="31" t="shared"/>
        <v>-9.3104985807327505E-3</v>
      </c>
      <c r="AA35" s="17">
        <f si="41" t="shared"/>
        <v>-1.0266873715463355E-5</v>
      </c>
      <c r="AB35" s="17">
        <f si="42" t="shared"/>
        <v>4.4511780662481537E-3</v>
      </c>
      <c r="AC35" s="17">
        <f si="43" t="shared"/>
        <v>1.9197672506817906E-4</v>
      </c>
      <c r="AD35" s="17">
        <f si="43" t="shared"/>
        <v>1.1130014733931014E-3</v>
      </c>
      <c r="AE35" s="17"/>
      <c r="AF35" s="17">
        <f si="35" t="shared"/>
        <v>0</v>
      </c>
    </row>
    <row r="36" spans="1:32" x14ac:dyDescent="0.25">
      <c r="A36" t="str">
        <f>$A$10</f>
        <v>Redmond</v>
      </c>
      <c r="B36" s="17">
        <f si="36" t="shared"/>
        <v>6.7439191046878553E-4</v>
      </c>
      <c r="C36" s="17">
        <f si="36" t="shared"/>
        <v>2.879804358524762E-4</v>
      </c>
      <c r="D36" s="17">
        <f si="36" t="shared"/>
        <v>6.6146355635926576E-3</v>
      </c>
      <c r="E36" s="17">
        <f si="36" t="shared"/>
        <v>1.549629460648492E-2</v>
      </c>
      <c r="F36" s="17">
        <f si="36" t="shared"/>
        <v>2.9895202845530355E-3</v>
      </c>
      <c r="G36" s="17">
        <f si="36" t="shared"/>
        <v>0</v>
      </c>
      <c r="H36" s="17">
        <f ref="H36" si="46" t="shared">H23/$J$28</f>
        <v>1.1267349867470908E-3</v>
      </c>
      <c r="I36" s="12"/>
      <c r="J36" s="17">
        <f si="27" t="shared"/>
        <v>2.7189557787698965E-2</v>
      </c>
      <c r="K36" s="13"/>
      <c r="L36" t="str">
        <f>$A$10</f>
        <v>Redmond</v>
      </c>
      <c r="M36" s="17">
        <f si="38" t="shared"/>
        <v>4.436533503582021E-3</v>
      </c>
      <c r="N36" s="17">
        <f si="38" t="shared"/>
        <v>6.1072368803721442E-4</v>
      </c>
      <c r="O36" s="17">
        <f si="38" t="shared"/>
        <v>4.8060996327532581E-3</v>
      </c>
      <c r="P36" s="17">
        <f si="38" t="shared"/>
        <v>1.0464776493820577E-2</v>
      </c>
      <c r="Q36" s="17">
        <f si="38" t="shared"/>
        <v>2.4895255066770552E-3</v>
      </c>
      <c r="R36" s="17">
        <f si="38" t="shared"/>
        <v>5.1259030910473893E-4</v>
      </c>
      <c r="S36" s="17">
        <f ref="S36" si="47" t="shared">S23/$U$28</f>
        <v>3.8693086537240954E-3</v>
      </c>
      <c r="T36" s="17"/>
      <c r="U36" s="17">
        <f ref="U36" si="48" t="shared">U23/$U$28</f>
        <v>2.7189557787698961E-2</v>
      </c>
      <c r="W36" t="str">
        <f>$A$10</f>
        <v>Redmond</v>
      </c>
      <c r="X36" s="17">
        <f ref="X36:X38" si="49" t="shared">M36-B36</f>
        <v>3.7621415931132357E-3</v>
      </c>
      <c r="Y36" s="17">
        <f ref="Y36:Y38" si="50" t="shared">N36-C36</f>
        <v>3.2274325218473822E-4</v>
      </c>
      <c r="Z36" s="17">
        <f ref="Z36:Z38" si="51" t="shared">O36-D36</f>
        <v>-1.8085359308393995E-3</v>
      </c>
      <c r="AA36" s="17">
        <f si="41" t="shared"/>
        <v>-5.0315181126643436E-3</v>
      </c>
      <c r="AB36" s="17">
        <f si="42" t="shared"/>
        <v>-4.9999477787598034E-4</v>
      </c>
      <c r="AC36" s="17">
        <f si="43" t="shared"/>
        <v>5.1259030910473893E-4</v>
      </c>
      <c r="AD36" s="17">
        <f si="43" t="shared"/>
        <v>2.7425736669770048E-3</v>
      </c>
      <c r="AE36" s="17"/>
      <c r="AF36" s="17">
        <f si="35" t="shared"/>
        <v>0</v>
      </c>
    </row>
    <row r="37" spans="1:32" x14ac:dyDescent="0.25">
      <c r="A37" t="str">
        <f>$A$11</f>
        <v>Seattle</v>
      </c>
      <c r="B37" s="17">
        <f si="36" t="shared"/>
        <v>2.412995576278562E-3</v>
      </c>
      <c r="C37" s="17">
        <f si="36" t="shared"/>
        <v>9.0563378529230415E-5</v>
      </c>
      <c r="D37" s="17">
        <f si="36" t="shared"/>
        <v>2.2811206692467925E-4</v>
      </c>
      <c r="E37" s="17">
        <f si="36" t="shared"/>
        <v>1.3510650398635844E-5</v>
      </c>
      <c r="F37" s="17">
        <f si="36" t="shared"/>
        <v>0.12575855410361095</v>
      </c>
      <c r="G37" s="17">
        <f si="36" t="shared"/>
        <v>1.9836702308862607E-2</v>
      </c>
      <c r="H37" s="17">
        <f ref="H37" si="52" t="shared">H24/$J$28</f>
        <v>8.7353318605236339E-3</v>
      </c>
      <c r="I37" s="12"/>
      <c r="J37" s="17">
        <f si="27" t="shared"/>
        <v>0.15707576994512829</v>
      </c>
      <c r="K37" s="13"/>
      <c r="L37" t="str">
        <f>$A$11</f>
        <v>Seattle</v>
      </c>
      <c r="M37" s="17">
        <f ref="M37:N39" si="53" t="shared">M24/$U$28</f>
        <v>3.2822517053950218E-3</v>
      </c>
      <c r="N37" s="17">
        <f si="53" t="shared"/>
        <v>6.5364320487470116E-4</v>
      </c>
      <c r="O37" s="17">
        <f ref="O37:R37" si="54" t="shared">O24/$U$28</f>
        <v>3.1401103355642944E-3</v>
      </c>
      <c r="P37" s="17">
        <f si="54" t="shared"/>
        <v>1.1488317321116787E-3</v>
      </c>
      <c r="Q37" s="17">
        <f si="54" t="shared"/>
        <v>0.11793822053186903</v>
      </c>
      <c r="R37" s="17">
        <f si="54" t="shared"/>
        <v>1.363753481828014E-2</v>
      </c>
      <c r="S37" s="17">
        <f ref="S37" si="55" t="shared">S24/$U$28</f>
        <v>1.7275177617033403E-2</v>
      </c>
      <c r="T37" s="17"/>
      <c r="U37" s="17">
        <f ref="U37" si="56" t="shared">U24/$U$28</f>
        <v>0.15707576994512829</v>
      </c>
      <c r="W37" t="str">
        <f>$A$11</f>
        <v>Seattle</v>
      </c>
      <c r="X37" s="17">
        <f si="49" t="shared"/>
        <v>8.6925612911645982E-4</v>
      </c>
      <c r="Y37" s="17">
        <f si="50" t="shared"/>
        <v>5.6307982634547075E-4</v>
      </c>
      <c r="Z37" s="17">
        <f si="51" t="shared"/>
        <v>2.9119982686396152E-3</v>
      </c>
      <c r="AA37" s="17">
        <f si="41" t="shared"/>
        <v>1.1353210817130429E-3</v>
      </c>
      <c r="AB37" s="17">
        <f si="42" t="shared"/>
        <v>-7.8203335717419165E-3</v>
      </c>
      <c r="AC37" s="17">
        <f si="43" t="shared"/>
        <v>-6.1991674905824672E-3</v>
      </c>
      <c r="AD37" s="17">
        <f si="43" t="shared"/>
        <v>8.5398457565097688E-3</v>
      </c>
      <c r="AE37" s="17"/>
      <c r="AF37" s="17">
        <f si="35" t="shared"/>
        <v>0</v>
      </c>
    </row>
    <row r="38" spans="1:32" x14ac:dyDescent="0.25">
      <c r="A38" t="str">
        <f>$A$12</f>
        <v>Seattle Downtown</v>
      </c>
      <c r="B38" s="17">
        <f si="36" t="shared"/>
        <v>8.3934378755587291E-5</v>
      </c>
      <c r="C38" s="17">
        <f si="36" t="shared"/>
        <v>0</v>
      </c>
      <c r="D38" s="17">
        <f si="36" t="shared"/>
        <v>0</v>
      </c>
      <c r="E38" s="17">
        <f si="36" t="shared"/>
        <v>0</v>
      </c>
      <c r="F38" s="17">
        <f si="36" t="shared"/>
        <v>6.2994094979601902E-3</v>
      </c>
      <c r="G38" s="17">
        <f si="36" t="shared"/>
        <v>8.0872955896285261E-3</v>
      </c>
      <c r="H38" s="17">
        <f ref="H38" si="57" t="shared">H25/$J$28</f>
        <v>1.1263060448502792E-3</v>
      </c>
      <c r="I38" s="12"/>
      <c r="J38" s="17">
        <f si="27" t="shared"/>
        <v>1.5596945511194581E-2</v>
      </c>
      <c r="K38" s="13"/>
      <c r="L38" t="str">
        <f>$A$12</f>
        <v>Seattle Downtown</v>
      </c>
      <c r="M38" s="17">
        <f si="53" t="shared"/>
        <v>2.4471685353793881E-4</v>
      </c>
      <c r="N38" s="17">
        <f si="53" t="shared"/>
        <v>4.7315145489324117E-5</v>
      </c>
      <c r="O38" s="17">
        <f ref="O38:R39" si="58" t="shared">O25/$U$28</f>
        <v>8.3456329518666743E-5</v>
      </c>
      <c r="P38" s="17">
        <f si="58" t="shared"/>
        <v>5.0097350051680979E-5</v>
      </c>
      <c r="Q38" s="17">
        <f si="58" t="shared"/>
        <v>4.6373359984118769E-3</v>
      </c>
      <c r="R38" s="17">
        <f si="58" t="shared"/>
        <v>1.0003266687972627E-2</v>
      </c>
      <c r="S38" s="17">
        <f ref="S38" si="59" t="shared">S25/$U$28</f>
        <v>5.3075714621246312E-4</v>
      </c>
      <c r="T38" s="17"/>
      <c r="U38" s="17">
        <f ref="U38:U39" si="60" t="shared">U25/$U$28</f>
        <v>1.5596945511194579E-2</v>
      </c>
      <c r="W38" t="str">
        <f>$A$12</f>
        <v>Seattle Downtown</v>
      </c>
      <c r="X38" s="17">
        <f si="49" t="shared"/>
        <v>1.607824747823515E-4</v>
      </c>
      <c r="Y38" s="17">
        <f si="50" t="shared"/>
        <v>4.7315145489324117E-5</v>
      </c>
      <c r="Z38" s="17">
        <f si="51" t="shared"/>
        <v>8.3456329518666743E-5</v>
      </c>
      <c r="AA38" s="17">
        <f si="41" t="shared"/>
        <v>5.0097350051680979E-5</v>
      </c>
      <c r="AB38" s="17">
        <f si="42" t="shared"/>
        <v>-1.6620734995483133E-3</v>
      </c>
      <c r="AC38" s="17">
        <f si="43" t="shared"/>
        <v>1.9159710983441009E-3</v>
      </c>
      <c r="AD38" s="17">
        <f si="43" t="shared"/>
        <v>-5.9554889863781607E-4</v>
      </c>
      <c r="AE38" s="17"/>
      <c r="AF38" s="17">
        <f si="35" t="shared"/>
        <v>0</v>
      </c>
    </row>
    <row r="39" spans="1:32" x14ac:dyDescent="0.25">
      <c r="A39" t="str">
        <f>$A$13</f>
        <v>Rest</v>
      </c>
      <c r="B39" s="17">
        <f si="36" t="shared"/>
        <v>1.1381991489270072E-2</v>
      </c>
      <c r="C39" s="17">
        <f si="36" t="shared"/>
        <v>4.3972761736140861E-3</v>
      </c>
      <c r="D39" s="17">
        <f si="36" t="shared"/>
        <v>1.4044353284828221E-2</v>
      </c>
      <c r="E39" s="17">
        <f si="36" t="shared"/>
        <v>3.7075340852268579E-3</v>
      </c>
      <c r="F39" s="17">
        <f si="36" t="shared"/>
        <v>2.1597424246229065E-2</v>
      </c>
      <c r="G39" s="17">
        <f si="36" t="shared"/>
        <v>1.4365544538847521E-2</v>
      </c>
      <c r="H39" s="17">
        <f ref="H39" si="61" t="shared">H26/$J$28</f>
        <v>0.65483034785204364</v>
      </c>
      <c r="I39" s="12"/>
      <c r="J39" s="17">
        <f si="27" t="shared"/>
        <v>0.72432447167005942</v>
      </c>
      <c r="K39" s="13"/>
      <c r="L39" t="str">
        <f>$A$13</f>
        <v>Rest</v>
      </c>
      <c r="M39" s="17">
        <f si="53" t="shared"/>
        <v>1.5296905211328107E-2</v>
      </c>
      <c r="N39" s="17">
        <f si="53" t="shared"/>
        <v>2.5251001528854649E-3</v>
      </c>
      <c r="O39" s="17">
        <f si="58" t="shared"/>
        <v>1.2630819134357889E-2</v>
      </c>
      <c r="P39" s="17">
        <f si="58" t="shared"/>
        <v>9.2342364215917388E-3</v>
      </c>
      <c r="Q39" s="17">
        <f si="58" t="shared"/>
        <v>4.3262618675097349E-2</v>
      </c>
      <c r="R39" s="17">
        <f si="58" t="shared"/>
        <v>8.4332391687138401E-3</v>
      </c>
      <c r="S39" s="17">
        <f ref="S39" si="62" t="shared">S26/$U$28</f>
        <v>0.632941552906085</v>
      </c>
      <c r="T39" s="17"/>
      <c r="U39" s="17">
        <f si="60" t="shared"/>
        <v>0.72432447167005942</v>
      </c>
      <c r="W39" t="str">
        <f>$A$13</f>
        <v>Rest</v>
      </c>
      <c r="X39" s="17">
        <f ref="X39" si="63" t="shared">M39-B39</f>
        <v>3.9149137220580357E-3</v>
      </c>
      <c r="Y39" s="17">
        <f ref="Y39" si="64" t="shared">N39-C39</f>
        <v>-1.8721760207286212E-3</v>
      </c>
      <c r="Z39" s="17">
        <f ref="Z39" si="65" t="shared">O39-D39</f>
        <v>-1.4135341504703317E-3</v>
      </c>
      <c r="AA39" s="17">
        <f ref="AA39" si="66" t="shared">P39-E39</f>
        <v>5.5267023363648809E-3</v>
      </c>
      <c r="AB39" s="17">
        <f ref="AB39" si="67" t="shared">Q39-F39</f>
        <v>2.1665194428868283E-2</v>
      </c>
      <c r="AC39" s="17">
        <f ref="AC39:AD39" si="68" t="shared">R39-G39</f>
        <v>-5.9323053701336812E-3</v>
      </c>
      <c r="AD39" s="17">
        <f si="68" t="shared"/>
        <v>-2.1888794945958634E-2</v>
      </c>
      <c r="AE39" s="17"/>
      <c r="AF39" s="17">
        <f si="35" t="shared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H41" si="69" t="shared">B28/$J$28</f>
        <v>4.1643420725489946E-2</v>
      </c>
      <c r="C41" s="19">
        <f si="69" t="shared"/>
        <v>8.6728142831573561E-3</v>
      </c>
      <c r="D41" s="19">
        <f si="69" t="shared"/>
        <v>4.8366243172484003E-2</v>
      </c>
      <c r="E41" s="19">
        <f si="69" t="shared"/>
        <v>2.3766630924779337E-2</v>
      </c>
      <c r="F41" s="19">
        <f si="69" t="shared"/>
        <v>0.1594724875819086</v>
      </c>
      <c r="G41" s="19">
        <f si="69" t="shared"/>
        <v>4.3979905642658183E-2</v>
      </c>
      <c r="H41" s="19">
        <f si="69" t="shared"/>
        <v>0.67409849766952279</v>
      </c>
      <c r="I41" s="19">
        <f>I28/$J$28</f>
        <v>0</v>
      </c>
      <c r="J41" s="19">
        <f>J28/$J$28</f>
        <v>1</v>
      </c>
      <c r="K41" s="12"/>
      <c r="L41" s="16" t="s">
        <v>4</v>
      </c>
      <c r="M41" s="19">
        <f>M28/$U$28</f>
        <v>4.5965408840610102E-2</v>
      </c>
      <c r="N41" s="19">
        <f>N28/$U$28</f>
        <v>8.6536695359084263E-3</v>
      </c>
      <c r="O41" s="19">
        <f>O28/$U$28</f>
        <v>3.9391781133606731E-2</v>
      </c>
      <c r="P41" s="19">
        <f>P28/$U$28</f>
        <v>2.7435991371275496E-2</v>
      </c>
      <c r="Q41" s="19">
        <f ref="Q41:S41" si="70" t="shared">Q28/$U$28</f>
        <v>0.17863135750925979</v>
      </c>
      <c r="R41" s="19">
        <f si="70" t="shared"/>
        <v>3.4905989035791028E-2</v>
      </c>
      <c r="S41" s="19">
        <f si="70" t="shared"/>
        <v>0.66501580257354842</v>
      </c>
      <c r="T41" s="19">
        <f>T28/$U$28</f>
        <v>0</v>
      </c>
      <c r="U41" s="19">
        <f>U28/$U$28</f>
        <v>1</v>
      </c>
      <c r="W41" s="16" t="s">
        <v>4</v>
      </c>
      <c r="X41" s="19">
        <f ref="X41:AF41" si="71" t="shared">M41-B41</f>
        <v>4.3219881151201553E-3</v>
      </c>
      <c r="Y41" s="19">
        <f si="71" t="shared"/>
        <v>-1.9144747248929853E-5</v>
      </c>
      <c r="Z41" s="19">
        <f si="71" t="shared"/>
        <v>-8.974462038877272E-3</v>
      </c>
      <c r="AA41" s="19">
        <f si="71" t="shared"/>
        <v>3.6693604464961595E-3</v>
      </c>
      <c r="AB41" s="19">
        <f si="71" t="shared"/>
        <v>1.9158869927351191E-2</v>
      </c>
      <c r="AC41" s="19">
        <f si="71" t="shared"/>
        <v>-9.0739166068671551E-3</v>
      </c>
      <c r="AD41" s="19">
        <f si="71" t="shared"/>
        <v>-9.0826950959743691E-3</v>
      </c>
      <c r="AE41" s="19">
        <f si="71" t="shared"/>
        <v>0</v>
      </c>
      <c r="AF41" s="19">
        <f si="71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Q28" sqref="Q28"/>
    </sheetView>
  </sheetViews>
  <sheetFormatPr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27663.831959679799</v>
      </c>
      <c r="F4" s="391" t="s">
        <v>47</v>
      </c>
      <c r="G4" s="392">
        <f>TLFD!F11</f>
        <v>89468.810297230608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115832.09695086606</v>
      </c>
      <c r="F5" s="394" t="s">
        <v>50</v>
      </c>
      <c r="G5" s="395">
        <f>TLFD!F12+TLFD!F13+(TLFD!F14/2)</f>
        <v>119700.90925253357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ref="Q5:Q68" si="0" t="shared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410257.92803962692</v>
      </c>
      <c r="F6" s="394" t="s">
        <v>53</v>
      </c>
      <c r="G6" s="395">
        <f>(TLFD!F14/2)+SUM(TLFD!F15:F20)</f>
        <v>331222.04820750037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si="0" t="shared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160058.51804216809</v>
      </c>
      <c r="F7" s="397" t="s">
        <v>56</v>
      </c>
      <c r="G7" s="398">
        <f>SUM(TLFD!F21:F101)</f>
        <v>180168.69372614517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si="0" t="shared"/>
        <v>-0.34490013167299999</v>
      </c>
      <c r="T7" s="410">
        <v>5</v>
      </c>
      <c r="U7" s="410" t="s">
        <v>276</v>
      </c>
      <c r="V7" s="410"/>
      <c r="W7" s="410"/>
    </row>
    <row ht="15.75" r="8" spans="3:23" thickBot="1" x14ac:dyDescent="0.3">
      <c r="C8" s="400" t="s">
        <v>4</v>
      </c>
      <c r="D8" s="401">
        <f>SUM(D4:D7)</f>
        <v>713812.37499234092</v>
      </c>
      <c r="E8" s="402"/>
      <c r="F8" s="400" t="s">
        <v>4</v>
      </c>
      <c r="G8" s="401">
        <f>SUM(G4:G7)</f>
        <v>720560.46148340974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si="0" t="shared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si="0" t="shared"/>
        <v>-3.9895313632499998</v>
      </c>
      <c r="T9" s="410"/>
      <c r="U9" s="463" t="s">
        <v>277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si="0" t="shared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si="0" t="shared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3.8755046744568734E-2</v>
      </c>
      <c r="F12" s="391" t="s">
        <v>47</v>
      </c>
      <c r="G12" s="405">
        <f>G4/G$8</f>
        <v>0.12416558370832917</v>
      </c>
      <c r="H12" s="405"/>
      <c r="I12" s="441">
        <f>D12/G12</f>
        <v>0.31212390412150093</v>
      </c>
      <c r="J12" s="442">
        <f>LN(I12)</f>
        <v>-1.1643550414127897</v>
      </c>
      <c r="K12" s="442">
        <f>K8*J12</f>
        <v>-1.1643550414127897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si="0" t="shared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ref="D13:D16" si="1" t="shared">D5/D$8</f>
        <v>0.16227246964177236</v>
      </c>
      <c r="F13" s="394" t="s">
        <v>50</v>
      </c>
      <c r="G13" s="406">
        <f ref="G13:G16" si="2" t="shared">G5/G$8</f>
        <v>0.16612195041358035</v>
      </c>
      <c r="H13" s="406"/>
      <c r="I13" s="441">
        <f ref="I13:I15" si="3" t="shared">D13/G13</f>
        <v>0.97682738035386496</v>
      </c>
      <c r="J13" s="442">
        <f ref="J13:J15" si="4" t="shared">LN(I13)</f>
        <v>-2.3445325913193968E-2</v>
      </c>
      <c r="K13" s="442">
        <f>K8*(J13-J12)</f>
        <v>1.1409097154995957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si="0" t="shared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si="1" t="shared"/>
        <v>0.57474196639422082</v>
      </c>
      <c r="F14" s="394" t="s">
        <v>53</v>
      </c>
      <c r="G14" s="406">
        <f si="2" t="shared"/>
        <v>0.4596728045910502</v>
      </c>
      <c r="H14" s="406"/>
      <c r="I14" s="441">
        <f si="3" t="shared"/>
        <v>1.250328408933268</v>
      </c>
      <c r="J14" s="442">
        <f si="4" t="shared"/>
        <v>0.22340624395409117</v>
      </c>
      <c r="K14" s="442">
        <f>K8*(J14-J13-J12)</f>
        <v>1.4112066112800747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si="0" t="shared"/>
        <v>-0.80534348065299999</v>
      </c>
      <c r="T14" s="410">
        <v>5</v>
      </c>
      <c r="U14" s="383" t="s">
        <v>281</v>
      </c>
      <c r="V14" s="410"/>
      <c r="W14" s="410"/>
    </row>
    <row ht="15.75" r="15" spans="3:23" thickBot="1" x14ac:dyDescent="0.3">
      <c r="C15" s="397" t="s">
        <v>56</v>
      </c>
      <c r="D15" s="406">
        <f si="1" t="shared"/>
        <v>0.22423051721943807</v>
      </c>
      <c r="F15" s="397" t="s">
        <v>56</v>
      </c>
      <c r="G15" s="406">
        <f si="2" t="shared"/>
        <v>0.25003966128704025</v>
      </c>
      <c r="H15" s="406"/>
      <c r="I15" s="443">
        <f si="3" t="shared"/>
        <v>0.89677979911365413</v>
      </c>
      <c r="J15" s="444">
        <f si="4" t="shared"/>
        <v>-0.10894493299790124</v>
      </c>
      <c r="K15" s="444">
        <f>K8*(J15-J14-J13-J12)</f>
        <v>0.85544919037399125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si="0" t="shared"/>
        <v>-0.51977799879300002</v>
      </c>
      <c r="T15" s="410">
        <v>6</v>
      </c>
      <c r="U15" s="410" t="s">
        <v>282</v>
      </c>
      <c r="V15" s="410"/>
      <c r="W15" s="410"/>
    </row>
    <row ht="15.75" r="16" spans="3:23" thickBot="1" x14ac:dyDescent="0.3">
      <c r="C16" s="400" t="s">
        <v>4</v>
      </c>
      <c r="D16" s="408">
        <f si="1" t="shared"/>
        <v>1</v>
      </c>
      <c r="E16" s="402"/>
      <c r="F16" s="400" t="s">
        <v>4</v>
      </c>
      <c r="G16" s="408">
        <f si="2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si="0" t="shared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si="0" t="shared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si="0" t="shared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si="0" t="shared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si="0" t="shared"/>
        <v>-12.0946718381</v>
      </c>
    </row>
    <row r="24" spans="2:23" x14ac:dyDescent="0.25">
      <c r="B24" s="448">
        <v>28</v>
      </c>
      <c r="C24" s="394" t="s">
        <v>50</v>
      </c>
      <c r="D24" s="465">
        <f ref="D24:D26" si="5" t="shared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si="0" t="shared"/>
        <v>-4.03623745316</v>
      </c>
    </row>
    <row r="25" spans="2:23" x14ac:dyDescent="0.25">
      <c r="B25" s="448">
        <v>29</v>
      </c>
      <c r="C25" s="394" t="s">
        <v>53</v>
      </c>
      <c r="D25" s="465">
        <f si="5" t="shared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si="0" t="shared"/>
        <v>-2.16371815818</v>
      </c>
    </row>
    <row ht="15.75" r="26" spans="2:23" thickBot="1" x14ac:dyDescent="0.3">
      <c r="B26" s="449">
        <v>30</v>
      </c>
      <c r="C26" s="414" t="s">
        <v>56</v>
      </c>
      <c r="D26" s="466">
        <f si="5" t="shared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si="0" t="shared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si="0" t="shared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si="0" t="shared"/>
        <v>-16.00284609151279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si="0" t="shared"/>
        <v>-4.0471335193004041</v>
      </c>
      <c r="R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si="0" t="shared"/>
        <v>-1.2044242594199253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si="0" t="shared"/>
        <v>-5.5012501526008784E-2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-1.1643550414127897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si="0" t="shared"/>
        <v>5.7553461640599997E-2</v>
      </c>
    </row>
    <row r="34" spans="2:17" x14ac:dyDescent="0.25">
      <c r="B34" s="448">
        <f ref="B34:B36" si="6" t="shared">B24</f>
        <v>28</v>
      </c>
      <c r="C34" s="394" t="s">
        <v>50</v>
      </c>
      <c r="D34" s="468">
        <f ref="D34:D36" si="7" t="shared">K13</f>
        <v>1.1409097154995957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si="0" t="shared"/>
        <v>0.237798002151</v>
      </c>
    </row>
    <row r="35" spans="2:17" x14ac:dyDescent="0.25">
      <c r="B35" s="448">
        <f si="6" t="shared"/>
        <v>29</v>
      </c>
      <c r="C35" s="394" t="s">
        <v>53</v>
      </c>
      <c r="D35" s="468">
        <f si="7" t="shared"/>
        <v>1.4112066112800747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si="0" t="shared"/>
        <v>0</v>
      </c>
    </row>
    <row ht="15.75" r="36" spans="2:17" thickBot="1" x14ac:dyDescent="0.3">
      <c r="B36" s="450">
        <f si="6" t="shared"/>
        <v>30</v>
      </c>
      <c r="C36" s="414" t="s">
        <v>56</v>
      </c>
      <c r="D36" s="415">
        <f si="7" t="shared"/>
        <v>0.85544919037399125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si="0" t="shared"/>
        <v>0</v>
      </c>
    </row>
    <row ht="15.75" r="37" spans="2:17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si="0" t="shared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si="0" t="shared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si="0" t="shared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si="0" t="shared"/>
        <v>-7.1836373472300004</v>
      </c>
    </row>
    <row ht="15.75" r="41" spans="2:17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si="0" t="shared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si="0" t="shared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-16.00284609151279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si="0" t="shared"/>
        <v>-0.22141031751900001</v>
      </c>
    </row>
    <row r="44" spans="2:17" x14ac:dyDescent="0.25">
      <c r="B44" s="448">
        <f ref="B44:B46" si="8" t="shared">B34</f>
        <v>28</v>
      </c>
      <c r="C44" s="394" t="s">
        <v>50</v>
      </c>
      <c r="D44" s="469">
        <f ref="D44:D46" si="9" t="shared">D24+D34</f>
        <v>-4.0471335193004041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si="0" t="shared"/>
        <v>0.64228876129599999</v>
      </c>
    </row>
    <row r="45" spans="2:17" x14ac:dyDescent="0.25">
      <c r="B45" s="448">
        <f si="8" t="shared"/>
        <v>29</v>
      </c>
      <c r="C45" s="394" t="s">
        <v>53</v>
      </c>
      <c r="D45" s="469">
        <f si="9" t="shared"/>
        <v>-1.2044242594199253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si="0" t="shared"/>
        <v>0.74588429254199995</v>
      </c>
    </row>
    <row ht="15.75" r="46" spans="2:17" thickBot="1" x14ac:dyDescent="0.3">
      <c r="B46" s="450">
        <f si="8" t="shared"/>
        <v>30</v>
      </c>
      <c r="C46" s="414" t="s">
        <v>56</v>
      </c>
      <c r="D46" s="470">
        <f si="9" t="shared"/>
        <v>-5.5012501526008784E-2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si="0" t="shared"/>
        <v>-32.156094092099998</v>
      </c>
    </row>
    <row ht="15.75" r="47" spans="2:17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si="0" t="shared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si="0" t="shared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si="0" t="shared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si="0" t="shared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si="0" t="shared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si="0" t="shared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si="0" t="shared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si="0" t="shared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si="0" t="shared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si="0" t="shared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si="0" t="shared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si="0" t="shared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si="0" t="shared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si="0" t="shared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si="0" t="shared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si="0" t="shared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si="0" t="shared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si="0" t="shared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si="0" t="shared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si="0" t="shared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si="0" t="shared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si="0" t="shared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ref="Q69:Q104" si="10" t="shared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si="10" t="shared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si="10" t="shared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si="10" t="shared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si="10" t="shared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si="10" t="shared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si="10" t="shared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si="10" t="shared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si="10" t="shared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si="10" t="shared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si="10" t="shared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si="10" t="shared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si="10" t="shared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si="10" t="shared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si="10" t="shared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si="10" t="shared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si="10" t="shared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si="10" t="shared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si="10" t="shared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si="10" t="shared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si="10" t="shared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si="10" t="shared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si="10" t="shared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si="10" t="shared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si="10" t="shared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si="10" t="shared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si="10" t="shared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si="10" t="shared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si="10" t="shared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si="10" t="shared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si="10" t="shared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si="10" t="shared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si="10" t="shared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si="10" t="shared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si="10" t="shared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2017-07-14T02:42:49Z</dcterms:modified>
</cp:coreProperties>
</file>