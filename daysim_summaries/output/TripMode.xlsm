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201"/>
  <workbookPr codeName="ThisWorkbook" defaultThemeVersion="124226"/>
  <mc:AlternateContent>
    <mc:Choice Requires="x15">
      <x15ac:absPath xmlns:x15ac="http://schemas.microsoft.com/office/spreadsheetml/2010/11/ac" url="E:\Projects\Clients\bkr\tasks\calibration\daysim_summaries\bkrcast_all\output\"/>
    </mc:Choice>
  </mc:AlternateContent>
  <bookViews>
    <workbookView windowHeight="7320" windowWidth="18885" xWindow="240" yWindow="30"/>
  </bookViews>
  <sheets>
    <sheet name="All Purposes" r:id="rId1" sheetId="18"/>
    <sheet name="Workbased" r:id="rId2" sheetId="7"/>
    <sheet name="Work" r:id="rId3" sheetId="11"/>
    <sheet name="School" r:id="rId4" sheetId="12"/>
    <sheet name="Escort" r:id="rId5" sheetId="13"/>
    <sheet name="Personal_Business" r:id="rId6" sheetId="14"/>
    <sheet name="Shop" r:id="rId7" sheetId="15"/>
    <sheet name="Meal" r:id="rId8" sheetId="16"/>
    <sheet name="SocRec" r:id="rId9" sheetId="17"/>
    <sheet name="Documentation" r:id="rId10" sheetId="19"/>
  </sheets>
  <definedNames>
    <definedName name="purp1">Work!$M$5:$T$16</definedName>
    <definedName name="purp2">School!$M$5:$T$16</definedName>
    <definedName name="purp3">Escort!$M$5:$T$16</definedName>
    <definedName name="purp4">Personal_Business!$M$5:$T$16</definedName>
    <definedName name="purp5">Shop!$M$5:$T$16</definedName>
    <definedName name="purp6">Meal!$M$5:$T$16</definedName>
    <definedName name="purp7">SocRec!$M$5:$T$16</definedName>
    <definedName name="purp8">Workbased!$M$5:$T$16</definedName>
    <definedName name="out1">Work!$B$5:$I$15</definedName>
    <definedName name="out3">School!$B$5:$I$15</definedName>
    <definedName name="out5">Escort!$B$5:$I$15</definedName>
    <definedName name="out7">Personal_Business!$B$5:$I$15</definedName>
    <definedName name="out9">Shop!$B$5:$I$15</definedName>
    <definedName name="out11">Meal!$B$5:$I$15</definedName>
    <definedName name="out13">SocRec!$B$5:$I$15</definedName>
    <definedName name="out15">Workbased!$B$5:$I$15</definedName>
    <definedName name="out2">Work!$M$5:$T$15</definedName>
    <definedName name="out4">School!$M$5:$T$15</definedName>
    <definedName name="out6">Escort!$M$5:$T$15</definedName>
    <definedName name="out8">Personal_Business!$M$5:$T$15</definedName>
    <definedName name="out10">Shop!$M$5:$T$15</definedName>
    <definedName name="out12">Meal!$M$5:$T$15</definedName>
    <definedName name="out14">SocRec!$M$5:$T$15</definedName>
    <definedName name="out16">Workbased!$M$5:$T$15</definedName>
  </definedNames>
  <calcPr calcId="171027"/>
</workbook>
</file>

<file path=xl/calcChain.xml><?xml version="1.0" encoding="utf-8"?>
<calcChain xmlns="http://schemas.openxmlformats.org/spreadsheetml/2006/main">
  <c i="18" l="1" r="B6"/>
  <c i="7" l="1" r="J11"/>
  <c i="7" r="J12"/>
  <c i="7" r="J13"/>
  <c i="11" r="J11"/>
  <c i="11" r="J12"/>
  <c i="11" r="J13"/>
  <c i="12" r="J11"/>
  <c i="12" r="J12"/>
  <c i="12" r="J13"/>
  <c i="13" r="J11"/>
  <c i="13" r="J12"/>
  <c i="13" r="J13"/>
  <c i="14" r="J11"/>
  <c i="14" r="J12"/>
  <c i="14" r="J13"/>
  <c i="15" r="J11"/>
  <c i="15" r="J12"/>
  <c i="15" r="J13"/>
  <c i="16" r="J11"/>
  <c i="16" r="J12"/>
  <c i="16" r="J13"/>
  <c i="17" r="J11"/>
  <c i="17" r="J12"/>
  <c i="17" r="J13"/>
  <c i="18" r="I13"/>
  <c i="18" r="H13"/>
  <c i="18" r="G13"/>
  <c i="18" r="F13"/>
  <c i="18" r="E13"/>
  <c i="18" r="D13"/>
  <c i="18" r="C13"/>
  <c i="18" r="B13"/>
  <c i="18" r="I12"/>
  <c i="18" r="H12"/>
  <c i="18" r="G12"/>
  <c i="18" r="F12"/>
  <c i="18" r="E12"/>
  <c i="18" r="D12"/>
  <c i="18" r="C12"/>
  <c i="18" r="B12"/>
  <c i="18" r="I11"/>
  <c i="18" r="H11"/>
  <c i="18" r="G11"/>
  <c i="18" r="F11"/>
  <c i="18" r="E11"/>
  <c i="18" r="D11"/>
  <c i="18" r="C11"/>
  <c i="18" r="B11"/>
  <c i="18" r="T13"/>
  <c i="18" r="S13"/>
  <c i="18" r="R13"/>
  <c i="18" r="Q13"/>
  <c i="18" r="P13"/>
  <c i="18" r="O13"/>
  <c i="18" r="N13"/>
  <c i="18" r="M13"/>
  <c i="18" r="T12"/>
  <c i="18" r="S12"/>
  <c i="18" r="R12"/>
  <c i="18" r="Q12"/>
  <c i="18" r="P12"/>
  <c i="18" r="O12"/>
  <c i="18" r="N12"/>
  <c i="18" r="M12"/>
  <c i="7" r="U11"/>
  <c i="7" r="U12"/>
  <c i="7" r="U13"/>
  <c i="11" r="U11"/>
  <c i="11" r="U12"/>
  <c i="11" r="U13"/>
  <c i="12" r="U11"/>
  <c i="12" r="U12"/>
  <c i="12" r="U13"/>
  <c i="13" r="U11"/>
  <c i="13" r="U12"/>
  <c i="13" r="U13"/>
  <c i="14" r="U11"/>
  <c i="14" r="U12"/>
  <c i="14" r="U13"/>
  <c i="15" r="U11"/>
  <c i="15" r="U12"/>
  <c i="15" r="U13"/>
  <c i="16" r="U11"/>
  <c i="16" r="U12"/>
  <c i="16" r="U13"/>
  <c i="17" r="U11"/>
  <c i="17" r="U12"/>
  <c i="17" r="U13"/>
  <c i="18" r="O11"/>
  <c i="18" r="P11"/>
  <c i="18" r="Q11"/>
  <c i="18" r="R11"/>
  <c i="18" r="S11"/>
  <c i="18" r="T11"/>
  <c i="18" r="N11"/>
  <c i="18" r="M11"/>
  <c i="18" r="T15"/>
  <c i="18" r="S15"/>
  <c i="18" r="R15"/>
  <c i="18" r="Q15"/>
  <c i="18" r="P15"/>
  <c i="18" r="O15"/>
  <c i="18" r="N15"/>
  <c i="18" r="M15"/>
  <c i="18" r="T14"/>
  <c i="18" r="S14"/>
  <c i="18" r="R14"/>
  <c i="18" r="Q14"/>
  <c i="18" r="P14"/>
  <c i="18" r="O14"/>
  <c i="18" r="N14"/>
  <c i="18" r="M14"/>
  <c i="18" r="T10"/>
  <c i="18" r="S10"/>
  <c i="18" r="R10"/>
  <c i="18" r="Q10"/>
  <c i="18" r="P10"/>
  <c i="18" r="O10"/>
  <c i="18" r="N10"/>
  <c i="18" r="M10"/>
  <c i="18" r="T9"/>
  <c i="18" r="S9"/>
  <c i="18" r="R9"/>
  <c i="18" r="Q9"/>
  <c i="18" r="P9"/>
  <c i="18" r="O9"/>
  <c i="18" r="N9"/>
  <c i="18" r="M9"/>
  <c i="18" r="T8"/>
  <c i="18" r="S8"/>
  <c i="18" r="R8"/>
  <c i="18" r="Q8"/>
  <c i="18" r="P8"/>
  <c i="18" r="O8"/>
  <c i="18" r="N8"/>
  <c i="18" r="M8"/>
  <c i="18" r="T7"/>
  <c i="18" r="S7"/>
  <c i="18" r="R7"/>
  <c i="18" r="Q7"/>
  <c i="18" r="P7"/>
  <c i="18" r="O7"/>
  <c i="18" r="N7"/>
  <c i="18" r="M7"/>
  <c i="18" r="T6"/>
  <c i="18" r="S6"/>
  <c i="18" r="R6"/>
  <c i="18" r="Q6"/>
  <c i="18" r="P6"/>
  <c i="18" r="O6"/>
  <c i="18" r="N6"/>
  <c i="18" r="M6"/>
  <c i="18" r="T5"/>
  <c i="18" r="S5"/>
  <c i="18" r="R5"/>
  <c i="18" r="Q5"/>
  <c i="18" r="P5"/>
  <c i="18" r="O5"/>
  <c i="18" r="N5"/>
  <c i="18" r="M5"/>
  <c i="18" r="I15"/>
  <c i="18" r="H15"/>
  <c i="18" r="G15"/>
  <c i="18" r="F15"/>
  <c i="18" r="E15"/>
  <c i="18" r="D15"/>
  <c i="18" r="C15"/>
  <c i="18" r="B15"/>
  <c i="18" r="I14"/>
  <c i="18" r="H14"/>
  <c i="18" r="G14"/>
  <c i="18" r="F14"/>
  <c i="18" r="E14"/>
  <c i="18" r="D14"/>
  <c i="18" r="C14"/>
  <c i="18" r="B14"/>
  <c i="18" r="I10"/>
  <c i="18" r="H10"/>
  <c i="18" r="G10"/>
  <c i="18" r="F10"/>
  <c i="18" r="E10"/>
  <c i="18" r="D10"/>
  <c i="18" r="C10"/>
  <c i="18" r="B10"/>
  <c i="18" r="I9"/>
  <c i="18" r="H9"/>
  <c i="18" r="G9"/>
  <c i="18" r="F9"/>
  <c i="18" r="E9"/>
  <c i="18" r="D9"/>
  <c i="18" r="C9"/>
  <c i="18" r="B9"/>
  <c i="18" r="I8"/>
  <c i="18" r="H8"/>
  <c i="18" r="G8"/>
  <c i="18" r="F8"/>
  <c i="18" r="E8"/>
  <c i="18" r="D8"/>
  <c i="18" r="C8"/>
  <c i="18" r="B8"/>
  <c i="18" r="I7"/>
  <c i="18" r="H7"/>
  <c i="18" r="G7"/>
  <c i="18" r="F7"/>
  <c i="18" r="E7"/>
  <c i="18" r="D7"/>
  <c i="18" r="C7"/>
  <c i="18" r="B7"/>
  <c i="18" r="I6"/>
  <c i="18" r="H6"/>
  <c i="18" r="G6"/>
  <c i="18" r="F6"/>
  <c i="18" r="E6"/>
  <c i="18" r="D6"/>
  <c i="18" r="C6"/>
  <c i="18" r="I5"/>
  <c i="18" r="H5"/>
  <c i="18" r="G5"/>
  <c i="18" r="F5"/>
  <c i="18" r="E5"/>
  <c i="18" r="D5"/>
  <c i="18" r="C5"/>
  <c i="18" r="B5"/>
  <c i="17" r="T16"/>
  <c i="17" r="T30" s="1"/>
  <c i="17" r="S16"/>
  <c i="17" r="S29" s="1"/>
  <c i="17" r="R16"/>
  <c i="17" r="R30" s="1"/>
  <c i="17" r="Q16"/>
  <c i="17" r="Q30" s="1"/>
  <c i="17" r="P16"/>
  <c i="17" r="P30" s="1"/>
  <c i="17" r="O16"/>
  <c i="17" r="O30" s="1"/>
  <c i="17" r="N16"/>
  <c i="17" r="N30" s="1"/>
  <c i="17" r="M16"/>
  <c i="17" r="M30" s="1"/>
  <c i="17" r="I16"/>
  <c i="17" r="I30" s="1"/>
  <c i="17" r="H16"/>
  <c i="17" r="H30" s="1"/>
  <c i="17" r="G16"/>
  <c i="17" r="G30" s="1"/>
  <c i="17" r="F16"/>
  <c i="17" r="F30" s="1"/>
  <c i="17" r="E16"/>
  <c i="17" r="E30" s="1"/>
  <c i="17" r="D16"/>
  <c i="17" r="D30" s="1"/>
  <c i="17" r="C16"/>
  <c i="17" r="C30" s="1"/>
  <c i="17" r="B16"/>
  <c i="17" r="B29" s="1"/>
  <c i="17" r="U15"/>
  <c i="17" r="J15"/>
  <c i="17" r="U14"/>
  <c i="17" r="J14"/>
  <c i="17" r="U10"/>
  <c i="17" r="J10"/>
  <c i="17" r="U9"/>
  <c i="17" r="J9"/>
  <c i="17" r="U8"/>
  <c i="17" r="J8"/>
  <c i="17" r="U7"/>
  <c i="17" r="J7"/>
  <c i="17" r="U6"/>
  <c i="17" r="J6"/>
  <c i="17" r="U5"/>
  <c i="17" r="J5"/>
  <c i="16" r="T16"/>
  <c i="16" r="T30" s="1"/>
  <c i="16" r="S16"/>
  <c i="16" r="S30" s="1"/>
  <c i="16" r="R16"/>
  <c i="16" r="R30" s="1"/>
  <c i="16" r="Q16"/>
  <c i="16" r="Q30" s="1"/>
  <c i="16" r="P16"/>
  <c i="16" r="P30" s="1"/>
  <c i="16" r="O16"/>
  <c i="16" r="O29" s="1"/>
  <c i="16" r="N16"/>
  <c i="16" r="N30" s="1"/>
  <c i="16" r="M16"/>
  <c i="16" r="M30" s="1"/>
  <c i="16" r="I16"/>
  <c i="16" r="I30" s="1"/>
  <c i="16" r="H16"/>
  <c i="16" r="H30" s="1"/>
  <c i="16" r="G16"/>
  <c i="16" r="G30" s="1"/>
  <c i="16" r="F16"/>
  <c i="16" r="F30" s="1"/>
  <c i="16" r="E16"/>
  <c i="16" r="E30" s="1"/>
  <c i="16" r="D16"/>
  <c i="16" r="D30" s="1"/>
  <c i="16" r="C16"/>
  <c i="16" r="C30" s="1"/>
  <c i="16" r="B16"/>
  <c i="16" r="B29" s="1"/>
  <c i="16" r="U15"/>
  <c i="16" r="J15"/>
  <c i="16" r="U14"/>
  <c i="16" r="J14"/>
  <c i="16" r="U10"/>
  <c i="16" r="J10"/>
  <c i="16" r="U9"/>
  <c i="16" r="J9"/>
  <c i="16" r="U8"/>
  <c i="16" r="J8"/>
  <c i="16" r="U7"/>
  <c i="16" r="J7"/>
  <c i="16" r="U6"/>
  <c i="16" r="J6"/>
  <c i="16" r="U5"/>
  <c i="16" r="J5"/>
  <c i="15" r="T16"/>
  <c i="15" r="T30" s="1"/>
  <c i="15" r="S16"/>
  <c i="15" r="S29" s="1"/>
  <c i="15" r="R16"/>
  <c i="15" r="R30" s="1"/>
  <c i="15" r="Q16"/>
  <c i="15" r="Q30" s="1"/>
  <c i="15" r="P16"/>
  <c i="15" r="P30" s="1"/>
  <c i="15" r="O16"/>
  <c i="15" r="O30" s="1"/>
  <c i="15" r="N16"/>
  <c i="15" r="N30" s="1"/>
  <c i="15" r="M16"/>
  <c i="15" r="M30" s="1"/>
  <c i="15" r="I16"/>
  <c i="15" r="I30" s="1"/>
  <c i="15" r="H16"/>
  <c i="15" r="H30" s="1"/>
  <c i="15" r="G16"/>
  <c i="15" r="G30" s="1"/>
  <c i="15" r="F16"/>
  <c i="15" r="F30" s="1"/>
  <c i="15" r="E16"/>
  <c i="15" r="E30" s="1"/>
  <c i="15" r="D16"/>
  <c i="15" r="D30" s="1"/>
  <c i="15" r="C16"/>
  <c i="15" r="C30" s="1"/>
  <c i="15" r="B16"/>
  <c i="15" r="B29" s="1"/>
  <c i="15" r="U15"/>
  <c i="15" r="J15"/>
  <c i="15" r="U14"/>
  <c i="15" r="J14"/>
  <c i="15" r="U10"/>
  <c i="15" r="J10"/>
  <c i="15" r="U9"/>
  <c i="15" r="J9"/>
  <c i="15" r="U8"/>
  <c i="15" r="J8"/>
  <c i="15" r="U7"/>
  <c i="15" r="J7"/>
  <c i="15" r="U6"/>
  <c i="15" r="J6"/>
  <c i="15" r="U5"/>
  <c i="15" r="J5"/>
  <c i="14" r="T16"/>
  <c i="14" r="T30" s="1"/>
  <c i="14" r="S16"/>
  <c i="14" r="S30" s="1"/>
  <c i="14" r="R16"/>
  <c i="14" r="R30" s="1"/>
  <c i="14" r="Q16"/>
  <c i="14" r="Q30" s="1"/>
  <c i="14" r="P16"/>
  <c i="14" r="P30" s="1"/>
  <c i="14" r="O16"/>
  <c i="14" r="O29" s="1"/>
  <c i="14" r="N16"/>
  <c i="14" r="N30" s="1"/>
  <c i="14" r="M16"/>
  <c i="14" r="M30" s="1"/>
  <c i="14" r="I16"/>
  <c i="14" r="I30" s="1"/>
  <c i="14" r="H16"/>
  <c i="14" r="H30" s="1"/>
  <c i="14" r="G16"/>
  <c i="14" r="G30" s="1"/>
  <c i="14" r="F16"/>
  <c i="14" r="F30" s="1"/>
  <c i="14" r="E16"/>
  <c i="14" r="E30" s="1"/>
  <c i="14" r="D16"/>
  <c i="14" r="D30" s="1"/>
  <c i="14" r="C16"/>
  <c i="14" r="C30" s="1"/>
  <c i="14" r="B16"/>
  <c i="14" r="B29" s="1"/>
  <c i="14" r="U15"/>
  <c i="14" r="J15"/>
  <c i="14" r="U14"/>
  <c i="14" r="J14"/>
  <c i="14" r="U10"/>
  <c i="14" r="J10"/>
  <c i="14" r="U9"/>
  <c i="14" r="J9"/>
  <c i="14" r="U8"/>
  <c i="14" r="J8"/>
  <c i="14" r="U7"/>
  <c i="14" r="J7"/>
  <c i="14" r="U6"/>
  <c i="14" r="J6"/>
  <c i="14" r="U5"/>
  <c i="14" r="J5"/>
  <c i="13" r="T16"/>
  <c i="13" r="T30" s="1"/>
  <c i="13" r="S16"/>
  <c i="13" r="S29" s="1"/>
  <c i="13" r="R16"/>
  <c i="13" r="R30" s="1"/>
  <c i="13" r="Q16"/>
  <c i="13" r="Q30" s="1"/>
  <c i="13" r="P16"/>
  <c i="13" r="P30" s="1"/>
  <c i="13" r="O16"/>
  <c i="13" r="O30" s="1"/>
  <c i="13" r="N16"/>
  <c i="13" r="N30" s="1"/>
  <c i="13" r="M16"/>
  <c i="13" r="M30" s="1"/>
  <c i="13" r="I16"/>
  <c i="13" r="I30" s="1"/>
  <c i="13" r="H16"/>
  <c i="13" r="H30" s="1"/>
  <c i="13" r="G16"/>
  <c i="13" r="G30" s="1"/>
  <c i="13" r="F16"/>
  <c i="13" r="F30" s="1"/>
  <c i="13" r="E16"/>
  <c i="13" r="E30" s="1"/>
  <c i="13" r="D16"/>
  <c i="13" r="D30" s="1"/>
  <c i="13" r="C16"/>
  <c i="13" r="C30" s="1"/>
  <c i="13" r="B16"/>
  <c i="13" r="B29" s="1"/>
  <c i="13" r="U15"/>
  <c i="13" r="J15"/>
  <c i="13" r="U14"/>
  <c i="13" r="J14"/>
  <c i="13" r="U10"/>
  <c i="13" r="J10"/>
  <c i="13" r="U9"/>
  <c i="13" r="J9"/>
  <c i="13" r="U8"/>
  <c i="13" r="J8"/>
  <c i="13" r="U7"/>
  <c i="13" r="J7"/>
  <c i="13" r="U6"/>
  <c i="13" r="J6"/>
  <c i="13" r="U5"/>
  <c i="13" r="J5"/>
  <c i="12" r="T16"/>
  <c i="12" r="T30" s="1"/>
  <c i="12" r="S16"/>
  <c i="12" r="S30" s="1"/>
  <c i="12" r="R16"/>
  <c i="12" r="R30" s="1"/>
  <c i="12" r="Q16"/>
  <c i="12" r="Q30" s="1"/>
  <c i="12" r="P16"/>
  <c i="12" r="P30" s="1"/>
  <c i="12" r="O16"/>
  <c i="12" r="O29" s="1"/>
  <c i="12" r="N16"/>
  <c i="12" r="N30" s="1"/>
  <c i="12" r="M16"/>
  <c i="12" r="M30" s="1"/>
  <c i="12" r="I16"/>
  <c i="12" r="I30" s="1"/>
  <c i="12" r="H16"/>
  <c i="12" r="H30" s="1"/>
  <c i="12" r="G16"/>
  <c i="12" r="G30" s="1"/>
  <c i="12" r="F16"/>
  <c i="12" r="F30" s="1"/>
  <c i="12" r="E16"/>
  <c i="12" r="E30" s="1"/>
  <c i="12" r="D16"/>
  <c i="12" r="D30" s="1"/>
  <c i="12" r="C16"/>
  <c i="12" r="C30" s="1"/>
  <c i="12" r="B16"/>
  <c i="12" r="B29" s="1"/>
  <c i="12" r="U15"/>
  <c i="12" r="J15"/>
  <c i="12" r="U14"/>
  <c i="12" r="J14"/>
  <c i="12" r="U10"/>
  <c i="12" r="J10"/>
  <c i="12" r="U9"/>
  <c i="12" r="J9"/>
  <c i="12" r="U8"/>
  <c i="12" r="J8"/>
  <c i="12" r="U7"/>
  <c i="12" r="J7"/>
  <c i="12" r="U6"/>
  <c i="12" r="J6"/>
  <c i="12" r="U5"/>
  <c i="12" r="J5"/>
  <c i="11" r="T16"/>
  <c i="11" r="T31" s="1"/>
  <c i="11" r="S16"/>
  <c i="11" r="S32" s="1"/>
  <c i="11" r="R16"/>
  <c i="11" r="R33" s="1"/>
  <c i="11" r="Q16"/>
  <c i="11" r="Q30" s="1"/>
  <c i="11" r="P16"/>
  <c i="11" r="P31" s="1"/>
  <c i="11" r="O16"/>
  <c i="11" r="O32" s="1"/>
  <c i="11" r="N16"/>
  <c i="11" r="N33" s="1"/>
  <c i="11" r="M16"/>
  <c i="11" r="M30" s="1"/>
  <c i="11" r="I16"/>
  <c i="11" r="I31" s="1"/>
  <c i="11" r="H16"/>
  <c i="11" r="H32" s="1"/>
  <c i="11" r="G16"/>
  <c i="11" r="G33" s="1"/>
  <c i="11" r="F16"/>
  <c i="11" r="F30" s="1"/>
  <c i="11" r="E16"/>
  <c i="11" r="E31" s="1"/>
  <c i="11" r="D16"/>
  <c i="11" r="D32" s="1"/>
  <c i="11" r="C16"/>
  <c i="11" r="C33" s="1"/>
  <c i="11" r="B16"/>
  <c i="11" r="B29" s="1"/>
  <c i="11" r="U15"/>
  <c i="11" r="J15"/>
  <c i="11" r="U14"/>
  <c i="11" r="J14"/>
  <c i="11" r="U10"/>
  <c i="11" r="J10"/>
  <c i="11" r="U9"/>
  <c i="11" r="J9"/>
  <c i="11" r="U8"/>
  <c i="11" r="J8"/>
  <c i="11" r="U7"/>
  <c i="11" r="J7"/>
  <c i="11" r="U6"/>
  <c i="11" r="J6"/>
  <c i="11" r="U5"/>
  <c i="11" r="J5"/>
  <c i="7" r="R16"/>
  <c i="7" r="R33" s="1"/>
  <c i="7" r="U8"/>
  <c i="7" r="U7"/>
  <c i="7" r="J8"/>
  <c i="7" r="J7"/>
  <c i="7" r="G16"/>
  <c i="7" r="G33" s="1"/>
  <c i="7" r="J15"/>
  <c i="7" r="J14"/>
  <c i="7" r="J10"/>
  <c i="7" r="J9"/>
  <c i="7" r="J6"/>
  <c i="7" r="J5"/>
  <c i="7" r="U15"/>
  <c i="7" r="U14"/>
  <c i="7" r="U10"/>
  <c i="7" r="U9"/>
  <c i="7" r="U6"/>
  <c i="7" r="U5"/>
  <c i="7" r="T16"/>
  <c i="7" r="T31" s="1"/>
  <c i="7" r="S16"/>
  <c i="7" r="S32" s="1"/>
  <c i="7" r="Q16"/>
  <c i="7" r="Q30" s="1"/>
  <c i="7" r="P16"/>
  <c i="7" r="P31" s="1"/>
  <c i="7" r="O16"/>
  <c i="7" r="O32" s="1"/>
  <c i="7" r="N16"/>
  <c i="7" r="N33" s="1"/>
  <c i="7" r="M16"/>
  <c i="7" r="M30" s="1"/>
  <c i="7" r="I16"/>
  <c i="7" r="I31" s="1"/>
  <c i="7" r="H16"/>
  <c i="7" r="H32" s="1"/>
  <c i="7" r="F16"/>
  <c i="7" r="F30" s="1"/>
  <c i="7" r="E16"/>
  <c i="7" r="E31" s="1"/>
  <c i="7" r="D16"/>
  <c i="7" r="D32" s="1"/>
  <c i="7" r="C16"/>
  <c i="7" r="C33" s="1"/>
  <c i="7" r="B16"/>
  <c i="7" r="B29" s="1"/>
  <c i="18" l="1" r="I16"/>
  <c i="18" r="I33" s="1"/>
  <c i="18" r="R16"/>
  <c i="18" r="R33" s="1"/>
  <c i="18" r="U13"/>
  <c i="18" r="N16"/>
  <c i="18" r="N33" s="1"/>
  <c i="18" r="F16"/>
  <c i="18" r="F33" s="1"/>
  <c i="18" r="M16"/>
  <c i="18" r="M33" s="1"/>
  <c i="18" r="E16"/>
  <c i="18" r="E30" s="1"/>
  <c i="18" r="B16"/>
  <c i="18" r="B33" s="1"/>
  <c i="17" r="O29"/>
  <c i="14" r="O28"/>
  <c i="12" r="O30"/>
  <c i="12" r="O47" s="1"/>
  <c i="15" r="O29"/>
  <c i="12" r="O28"/>
  <c i="7" r="Q47"/>
  <c i="16" r="O30"/>
  <c i="16" r="O47" s="1"/>
  <c i="13" r="O29"/>
  <c i="7" r="O28"/>
  <c i="16" r="O28"/>
  <c i="14" r="O30"/>
  <c i="14" r="O47" s="1"/>
  <c i="11" r="O29"/>
  <c i="18" r="C16"/>
  <c i="18" r="C33" s="1"/>
  <c i="18" r="G16"/>
  <c i="18" r="G33" s="1"/>
  <c i="17" r="S28"/>
  <c i="17" r="S30"/>
  <c i="17" r="S47" s="1"/>
  <c i="16" r="S29"/>
  <c i="15" r="S28"/>
  <c i="15" r="S30"/>
  <c i="15" r="S47" s="1"/>
  <c i="14" r="S29"/>
  <c i="13" r="S28"/>
  <c i="13" r="S30"/>
  <c i="13" r="S47" s="1"/>
  <c i="12" r="S29"/>
  <c i="11" r="S28"/>
  <c i="11" r="S30"/>
  <c i="18" r="J11"/>
  <c i="18" r="J12"/>
  <c i="18" r="J13"/>
  <c i="18" r="U11"/>
  <c i="17" r="O28"/>
  <c i="15" r="O28"/>
  <c i="13" r="O28"/>
  <c i="11" r="O28"/>
  <c i="11" r="O30"/>
  <c i="7" r="O30"/>
  <c i="16" r="S28"/>
  <c i="14" r="S28"/>
  <c i="12" r="S28"/>
  <c i="11" r="S29"/>
  <c i="7" r="O29"/>
  <c i="11" r="Q47"/>
  <c i="12" r="Q47"/>
  <c i="13" r="Q47"/>
  <c i="14" r="Q47"/>
  <c i="15" r="Q47"/>
  <c i="16" r="Q47"/>
  <c i="17" r="Q47"/>
  <c i="16" r="S47"/>
  <c i="14" r="S47"/>
  <c i="12" r="S47"/>
  <c i="12" r="P47"/>
  <c i="12" r="T47"/>
  <c i="13" r="P47"/>
  <c i="13" r="T47"/>
  <c i="14" r="P47"/>
  <c i="14" r="T47"/>
  <c i="15" r="P47"/>
  <c i="15" r="T47"/>
  <c i="16" r="P47"/>
  <c i="16" r="T47"/>
  <c i="17" r="P47"/>
  <c i="17" r="T47"/>
  <c i="12" r="N47"/>
  <c i="12" r="R47"/>
  <c i="13" r="N47"/>
  <c i="13" r="R47"/>
  <c i="14" r="N47"/>
  <c i="14" r="R47"/>
  <c i="15" r="N47"/>
  <c i="15" r="R47"/>
  <c i="16" r="N47"/>
  <c i="16" r="R47"/>
  <c i="17" r="N47"/>
  <c i="17" r="R47"/>
  <c i="17" r="O47"/>
  <c i="15" r="O47"/>
  <c i="13" r="O47"/>
  <c i="18" r="S16"/>
  <c i="18" r="S33" s="1"/>
  <c i="7" r="S29"/>
  <c i="17" r="F28"/>
  <c i="17" r="B30"/>
  <c i="17" r="M47" s="1"/>
  <c i="16" r="F28"/>
  <c i="16" r="B30"/>
  <c i="16" r="M47" s="1"/>
  <c i="15" r="F28"/>
  <c i="15" r="B30"/>
  <c i="15" r="M47" s="1"/>
  <c i="14" r="F28"/>
  <c i="14" r="B30"/>
  <c i="14" r="M47" s="1"/>
  <c i="13" r="F28"/>
  <c i="13" r="B30"/>
  <c i="13" r="M47" s="1"/>
  <c i="12" r="F28"/>
  <c i="12" r="B30"/>
  <c i="12" r="M47" s="1"/>
  <c i="11" r="F28"/>
  <c i="11" r="B30"/>
  <c i="11" r="M47" s="1"/>
  <c i="7" r="F28"/>
  <c i="7" r="B30"/>
  <c i="7" r="M47" s="1"/>
  <c i="17" r="M28"/>
  <c i="17" r="Q28"/>
  <c i="17" r="M29"/>
  <c i="17" r="M46" s="1"/>
  <c i="17" r="Q29"/>
  <c i="16" r="M28"/>
  <c i="16" r="Q28"/>
  <c i="16" r="M29"/>
  <c i="16" r="M46" s="1"/>
  <c i="16" r="Q29"/>
  <c i="15" r="M28"/>
  <c i="15" r="Q28"/>
  <c i="15" r="M29"/>
  <c i="15" r="M46" s="1"/>
  <c i="15" r="Q29"/>
  <c i="14" r="M28"/>
  <c i="14" r="Q28"/>
  <c i="14" r="M29"/>
  <c i="14" r="M46" s="1"/>
  <c i="14" r="Q29"/>
  <c i="13" r="M28"/>
  <c i="13" r="Q28"/>
  <c i="13" r="M29"/>
  <c i="13" r="M46" s="1"/>
  <c i="13" r="Q29"/>
  <c i="12" r="M28"/>
  <c i="12" r="Q28"/>
  <c i="12" r="M29"/>
  <c i="12" r="M46" s="1"/>
  <c i="12" r="Q29"/>
  <c i="11" r="M28"/>
  <c i="11" r="Q28"/>
  <c i="11" r="M29"/>
  <c i="11" r="M46" s="1"/>
  <c i="11" r="Q29"/>
  <c i="7" r="M28"/>
  <c i="7" r="Q28"/>
  <c i="7" r="M29"/>
  <c i="7" r="M46" s="1"/>
  <c i="7" r="Q29"/>
  <c i="17" r="D28"/>
  <c i="17" r="H28"/>
  <c i="17" r="D29"/>
  <c i="17" r="H29"/>
  <c i="17" r="S46" s="1"/>
  <c i="16" r="D28"/>
  <c i="16" r="H28"/>
  <c i="16" r="D29"/>
  <c i="16" r="O46" s="1"/>
  <c i="16" r="H29"/>
  <c i="15" r="D28"/>
  <c i="15" r="H28"/>
  <c i="15" r="D29"/>
  <c i="15" r="H29"/>
  <c i="15" r="S46" s="1"/>
  <c i="14" r="D28"/>
  <c i="14" r="H28"/>
  <c i="14" r="D29"/>
  <c i="14" r="O46" s="1"/>
  <c i="14" r="H29"/>
  <c i="13" r="D28"/>
  <c i="13" r="H28"/>
  <c i="13" r="D29"/>
  <c i="13" r="H29"/>
  <c i="13" r="S46" s="1"/>
  <c i="12" r="D28"/>
  <c i="12" r="H28"/>
  <c i="12" r="D29"/>
  <c i="12" r="O46" s="1"/>
  <c i="12" r="H29"/>
  <c i="11" r="D28"/>
  <c i="11" r="H28"/>
  <c i="11" r="D29"/>
  <c i="11" r="H29"/>
  <c i="11" r="D30"/>
  <c i="11" r="H30"/>
  <c i="7" r="D28"/>
  <c i="7" r="H28"/>
  <c i="7" r="D29"/>
  <c i="7" r="H29"/>
  <c i="7" r="D30"/>
  <c i="7" r="H30"/>
  <c i="7" r="S28"/>
  <c i="17" r="B28"/>
  <c i="17" r="F29"/>
  <c i="16" r="B28"/>
  <c i="16" r="F29"/>
  <c i="15" r="B28"/>
  <c i="15" r="F29"/>
  <c i="14" r="B28"/>
  <c i="14" r="F29"/>
  <c i="13" r="B28"/>
  <c i="13" r="F29"/>
  <c i="12" r="B28"/>
  <c i="12" r="F29"/>
  <c i="11" r="B28"/>
  <c i="11" r="F29"/>
  <c i="7" r="B28"/>
  <c i="7" r="F29"/>
  <c i="18" r="U12"/>
  <c i="17" r="P28"/>
  <c i="17" r="T28"/>
  <c i="17" r="P29"/>
  <c i="17" r="T29"/>
  <c i="16" r="P28"/>
  <c i="16" r="T28"/>
  <c i="16" r="P29"/>
  <c i="16" r="T29"/>
  <c i="15" r="P28"/>
  <c i="15" r="T28"/>
  <c i="15" r="P29"/>
  <c i="15" r="T29"/>
  <c i="14" r="P28"/>
  <c i="14" r="T28"/>
  <c i="14" r="P29"/>
  <c i="14" r="T29"/>
  <c i="13" r="P28"/>
  <c i="13" r="T28"/>
  <c i="13" r="P29"/>
  <c i="13" r="T29"/>
  <c i="12" r="P28"/>
  <c i="12" r="T28"/>
  <c i="12" r="P29"/>
  <c i="12" r="T29"/>
  <c i="11" r="P28"/>
  <c i="11" r="T28"/>
  <c i="11" r="P29"/>
  <c i="11" r="T29"/>
  <c i="11" r="P30"/>
  <c i="11" r="T30"/>
  <c i="7" r="P28"/>
  <c i="7" r="T28"/>
  <c i="7" r="P29"/>
  <c i="7" r="T29"/>
  <c i="7" r="P30"/>
  <c i="7" r="T30"/>
  <c i="17" r="C28"/>
  <c i="17" r="G28"/>
  <c i="17" r="C29"/>
  <c i="17" r="G29"/>
  <c i="16" r="C28"/>
  <c i="16" r="G28"/>
  <c i="16" r="C29"/>
  <c i="16" r="G29"/>
  <c i="15" r="C28"/>
  <c i="15" r="G28"/>
  <c i="15" r="C29"/>
  <c i="15" r="G29"/>
  <c i="14" r="C28"/>
  <c i="14" r="G28"/>
  <c i="14" r="C29"/>
  <c i="14" r="G29"/>
  <c i="13" r="C28"/>
  <c i="13" r="G28"/>
  <c i="13" r="C29"/>
  <c i="13" r="G29"/>
  <c i="12" r="C28"/>
  <c i="12" r="G28"/>
  <c i="12" r="C29"/>
  <c i="12" r="G29"/>
  <c i="11" r="C28"/>
  <c i="11" r="G28"/>
  <c i="11" r="C29"/>
  <c i="11" r="G29"/>
  <c i="11" r="C30"/>
  <c i="11" r="G30"/>
  <c i="7" r="C28"/>
  <c i="7" r="G28"/>
  <c i="7" r="C29"/>
  <c i="7" r="G29"/>
  <c i="7" r="C30"/>
  <c i="7" r="G30"/>
  <c i="7" r="S30"/>
  <c i="17" r="N28"/>
  <c i="17" r="R28"/>
  <c i="17" r="N29"/>
  <c i="17" r="R29"/>
  <c i="16" r="N28"/>
  <c i="16" r="R28"/>
  <c i="16" r="N29"/>
  <c i="16" r="R29"/>
  <c i="15" r="N28"/>
  <c i="15" r="R28"/>
  <c i="15" r="N29"/>
  <c i="15" r="R29"/>
  <c i="14" r="N28"/>
  <c i="14" r="R28"/>
  <c i="14" r="N29"/>
  <c i="14" r="R29"/>
  <c i="13" r="N28"/>
  <c i="13" r="R28"/>
  <c i="13" r="N29"/>
  <c i="13" r="R29"/>
  <c i="12" r="N28"/>
  <c i="12" r="R28"/>
  <c i="12" r="N29"/>
  <c i="12" r="R29"/>
  <c i="11" r="N28"/>
  <c i="11" r="R28"/>
  <c i="11" r="N29"/>
  <c i="11" r="R29"/>
  <c i="11" r="N30"/>
  <c i="11" r="R30"/>
  <c i="7" r="N28"/>
  <c i="7" r="R28"/>
  <c i="7" r="N29"/>
  <c i="7" r="R29"/>
  <c i="7" r="N30"/>
  <c i="7" r="R30"/>
  <c i="17" r="E28"/>
  <c i="17" r="I28"/>
  <c i="17" r="E29"/>
  <c i="17" r="I29"/>
  <c i="16" r="E28"/>
  <c i="16" r="I28"/>
  <c i="16" r="E29"/>
  <c i="16" r="I29"/>
  <c i="15" r="E28"/>
  <c i="15" r="I28"/>
  <c i="15" r="E29"/>
  <c i="15" r="I29"/>
  <c i="14" r="E28"/>
  <c i="14" r="I28"/>
  <c i="14" r="E29"/>
  <c i="14" r="I29"/>
  <c i="13" r="E28"/>
  <c i="13" r="I28"/>
  <c i="13" r="E29"/>
  <c i="13" r="I29"/>
  <c i="12" r="E28"/>
  <c i="12" r="I28"/>
  <c i="12" r="E29"/>
  <c i="12" r="I29"/>
  <c i="11" r="E28"/>
  <c i="11" r="I28"/>
  <c i="11" r="E29"/>
  <c i="11" r="I29"/>
  <c i="11" r="E30"/>
  <c i="11" r="I30"/>
  <c i="7" r="E28"/>
  <c i="7" r="I28"/>
  <c i="7" r="E29"/>
  <c i="7" r="I29"/>
  <c i="7" r="E30"/>
  <c i="7" r="I30"/>
  <c i="18" r="T16"/>
  <c i="18" r="T33" s="1"/>
  <c i="18" r="Q16"/>
  <c i="18" r="Q33" s="1"/>
  <c i="18" r="O16"/>
  <c i="18" r="O33" s="1"/>
  <c i="12" r="C31"/>
  <c i="12" r="C25"/>
  <c i="12" r="C23"/>
  <c i="12" r="C32"/>
  <c i="12" r="C26"/>
  <c i="12" r="C33"/>
  <c i="12" r="C27"/>
  <c i="12" r="C24"/>
  <c i="12" r="C22"/>
  <c i="12" r="G31"/>
  <c i="12" r="G25"/>
  <c i="12" r="G23"/>
  <c i="12" r="G22"/>
  <c i="12" r="G32"/>
  <c i="12" r="G26"/>
  <c i="12" r="G33"/>
  <c i="12" r="G27"/>
  <c i="12" r="G24"/>
  <c i="12" r="N31"/>
  <c i="12" r="N25"/>
  <c i="12" r="N23"/>
  <c i="12" r="N32"/>
  <c i="12" r="N26"/>
  <c i="12" r="N33"/>
  <c i="12" r="N27"/>
  <c i="12" r="N24"/>
  <c i="12" r="N22"/>
  <c i="12" r="R31"/>
  <c i="12" r="R25"/>
  <c i="12" r="R23"/>
  <c i="12" r="R32"/>
  <c i="12" r="R26"/>
  <c i="12" r="R33"/>
  <c i="12" r="R27"/>
  <c i="12" r="R24"/>
  <c i="12" r="R22"/>
  <c i="13" r="C33"/>
  <c i="13" r="C27"/>
  <c i="13" r="C32"/>
  <c i="13" r="C25"/>
  <c i="13" r="C23"/>
  <c i="13" r="C31"/>
  <c i="13" r="C26"/>
  <c i="13" r="C24"/>
  <c i="13" r="C22"/>
  <c i="13" r="G33"/>
  <c i="13" r="G27"/>
  <c i="13" r="G31"/>
  <c i="13" r="G26"/>
  <c i="13" r="G25"/>
  <c i="13" r="G23"/>
  <c i="13" r="G24"/>
  <c i="13" r="G32"/>
  <c i="13" r="G22"/>
  <c i="13" r="N33"/>
  <c i="13" r="N27"/>
  <c i="13" r="N24"/>
  <c i="13" r="N23"/>
  <c i="13" r="N32"/>
  <c i="13" r="N22"/>
  <c i="13" r="N31"/>
  <c i="13" r="N26"/>
  <c i="13" r="N25"/>
  <c i="13" r="R33"/>
  <c i="13" r="R27"/>
  <c i="13" r="R24"/>
  <c i="13" r="R32"/>
  <c i="13" r="R22"/>
  <c i="13" r="R31"/>
  <c i="13" r="R26"/>
  <c i="13" r="R25"/>
  <c i="13" r="R23"/>
  <c i="14" r="C33"/>
  <c i="14" r="C27"/>
  <c i="14" r="C24"/>
  <c i="14" r="C31"/>
  <c i="14" r="C25"/>
  <c i="14" r="C32"/>
  <c i="14" r="C23"/>
  <c i="14" r="C22"/>
  <c i="14" r="C26"/>
  <c i="14" r="G33"/>
  <c i="14" r="G27"/>
  <c i="14" r="G24"/>
  <c i="14" r="G31"/>
  <c i="14" r="G25"/>
  <c i="14" r="G23"/>
  <c i="14" r="G26"/>
  <c i="14" r="G22"/>
  <c i="14" r="G32"/>
  <c i="14" r="N33"/>
  <c i="14" r="N27"/>
  <c i="14" r="N24"/>
  <c i="14" r="N31"/>
  <c i="14" r="N25"/>
  <c i="14" r="N23"/>
  <c i="14" r="N26"/>
  <c i="14" r="N22"/>
  <c i="14" r="N32"/>
  <c i="14" r="R33"/>
  <c i="14" r="R27"/>
  <c i="14" r="R24"/>
  <c i="14" r="R31"/>
  <c i="14" r="R25"/>
  <c i="14" r="R23"/>
  <c i="14" r="R22"/>
  <c i="14" r="R32"/>
  <c i="14" r="R26"/>
  <c i="15" r="C33"/>
  <c i="15" r="C27"/>
  <c i="15" r="C24"/>
  <c i="15" r="C31"/>
  <c i="15" r="C25"/>
  <c i="15" r="C23"/>
  <c i="15" r="C22"/>
  <c i="15" r="C32"/>
  <c i="15" r="C26"/>
  <c i="15" r="G33"/>
  <c i="15" r="G27"/>
  <c i="15" r="G24"/>
  <c i="15" r="G31"/>
  <c i="15" r="G25"/>
  <c i="15" r="G23"/>
  <c i="15" r="G26"/>
  <c i="15" r="G22"/>
  <c i="15" r="G32"/>
  <c i="15" r="N24"/>
  <c i="15" r="N32"/>
  <c i="15" r="N26"/>
  <c i="15" r="N23"/>
  <c i="15" r="N25"/>
  <c i="15" r="N27"/>
  <c i="15" r="N31"/>
  <c i="15" r="N22"/>
  <c i="15" r="N33"/>
  <c i="15" r="R24"/>
  <c i="15" r="R32"/>
  <c i="15" r="R26"/>
  <c i="15" r="R23"/>
  <c i="15" r="R31"/>
  <c i="15" r="R22"/>
  <c i="15" r="R33"/>
  <c i="15" r="R25"/>
  <c i="15" r="R27"/>
  <c i="16" r="C33"/>
  <c i="16" r="C27"/>
  <c i="16" r="C24"/>
  <c i="16" r="C31"/>
  <c i="16" r="C25"/>
  <c i="16" r="C23"/>
  <c i="16" r="C22"/>
  <c i="16" r="C32"/>
  <c i="16" r="C26"/>
  <c i="16" r="G33"/>
  <c i="16" r="G27"/>
  <c i="16" r="G24"/>
  <c i="16" r="G31"/>
  <c i="16" r="G25"/>
  <c i="16" r="G23"/>
  <c i="16" r="G26"/>
  <c i="16" r="G22"/>
  <c i="16" r="G32"/>
  <c i="16" r="N33"/>
  <c i="16" r="N27"/>
  <c i="16" r="N24"/>
  <c i="16" r="N31"/>
  <c i="16" r="N25"/>
  <c i="16" r="N23"/>
  <c i="16" r="N26"/>
  <c i="16" r="N22"/>
  <c i="16" r="N32"/>
  <c i="16" r="R33"/>
  <c i="16" r="R27"/>
  <c i="16" r="R24"/>
  <c i="16" r="R31"/>
  <c i="16" r="R25"/>
  <c i="16" r="R23"/>
  <c i="16" r="R22"/>
  <c i="16" r="R32"/>
  <c i="16" r="R26"/>
  <c i="17" r="C33"/>
  <c i="17" r="C27"/>
  <c i="17" r="C24"/>
  <c i="17" r="C31"/>
  <c i="17" r="C25"/>
  <c i="17" r="C23"/>
  <c i="17" r="C22"/>
  <c i="17" r="C32"/>
  <c i="17" r="C26"/>
  <c i="17" r="G33"/>
  <c i="17" r="G27"/>
  <c i="17" r="G24"/>
  <c i="17" r="G31"/>
  <c i="17" r="G25"/>
  <c i="17" r="G23"/>
  <c i="17" r="G26"/>
  <c i="17" r="G22"/>
  <c i="17" r="G32"/>
  <c i="17" r="N33"/>
  <c i="17" r="N27"/>
  <c i="17" r="N24"/>
  <c i="17" r="N31"/>
  <c i="17" r="N25"/>
  <c i="17" r="N23"/>
  <c i="17" r="N26"/>
  <c i="17" r="N22"/>
  <c i="17" r="N32"/>
  <c i="17" r="R33"/>
  <c i="17" r="R27"/>
  <c i="17" r="R24"/>
  <c i="17" r="R31"/>
  <c i="17" r="R25"/>
  <c i="17" r="R23"/>
  <c i="17" r="R22"/>
  <c i="17" r="R32"/>
  <c i="17" r="R26"/>
  <c i="7" r="E22"/>
  <c i="7" r="I22"/>
  <c i="7" r="D23"/>
  <c i="7" r="H23"/>
  <c i="7" r="B24"/>
  <c i="7" r="F24"/>
  <c i="7" r="D25"/>
  <c i="7" r="H25"/>
  <c i="7" r="C26"/>
  <c i="7" r="G26"/>
  <c i="7" r="B27"/>
  <c i="7" r="F27"/>
  <c i="7" r="D31"/>
  <c i="7" r="H31"/>
  <c i="7" r="C32"/>
  <c i="7" r="G32"/>
  <c i="7" r="B33"/>
  <c i="7" r="F33"/>
  <c i="7" r="P22"/>
  <c i="7" r="T22"/>
  <c i="7" r="O23"/>
  <c i="7" r="S23"/>
  <c i="7" r="M24"/>
  <c i="7" r="Q24"/>
  <c i="7" r="O25"/>
  <c i="7" r="S25"/>
  <c i="7" r="N26"/>
  <c i="7" r="R26"/>
  <c i="7" r="M27"/>
  <c i="7" r="Q27"/>
  <c i="7" r="O31"/>
  <c i="7" r="S31"/>
  <c i="7" r="N32"/>
  <c i="7" r="R32"/>
  <c i="7" r="M33"/>
  <c i="7" r="Q33"/>
  <c i="11" r="E22"/>
  <c i="11" r="I22"/>
  <c i="11" r="D23"/>
  <c i="11" r="H23"/>
  <c i="11" r="B24"/>
  <c i="11" r="F24"/>
  <c i="11" r="D25"/>
  <c i="11" r="H25"/>
  <c i="11" r="C26"/>
  <c i="11" r="G26"/>
  <c i="11" r="B27"/>
  <c i="11" r="F27"/>
  <c i="11" r="D31"/>
  <c i="11" r="H31"/>
  <c i="11" r="C32"/>
  <c i="11" r="G32"/>
  <c i="11" r="B33"/>
  <c i="11" r="F33"/>
  <c i="11" r="P22"/>
  <c i="11" r="T22"/>
  <c i="11" r="O23"/>
  <c i="11" r="S23"/>
  <c i="11" r="M24"/>
  <c i="11" r="Q24"/>
  <c i="11" r="O25"/>
  <c i="11" r="S25"/>
  <c i="11" r="N26"/>
  <c i="11" r="R26"/>
  <c i="11" r="M27"/>
  <c i="11" r="Q27"/>
  <c i="11" r="O31"/>
  <c i="11" r="S31"/>
  <c i="11" r="N32"/>
  <c i="11" r="R32"/>
  <c i="11" r="M33"/>
  <c i="11" r="Q33"/>
  <c i="12" r="F32"/>
  <c i="12" r="F26"/>
  <c i="12" r="F33"/>
  <c i="12" r="F27"/>
  <c i="12" r="F24"/>
  <c i="12" r="F23"/>
  <c i="12" r="F22"/>
  <c i="12" r="F25"/>
  <c i="12" r="F31"/>
  <c i="12" r="M32"/>
  <c i="12" r="M26"/>
  <c i="12" r="M33"/>
  <c i="12" r="M27"/>
  <c i="12" r="M24"/>
  <c i="12" r="M22"/>
  <c i="12" r="M31"/>
  <c i="12" r="M25"/>
  <c i="12" r="M23"/>
  <c i="12" r="Q32"/>
  <c i="12" r="Q26"/>
  <c i="12" r="Q33"/>
  <c i="12" r="Q27"/>
  <c i="12" r="Q24"/>
  <c i="12" r="Q22"/>
  <c i="12" r="Q31"/>
  <c i="12" r="Q25"/>
  <c i="12" r="Q23"/>
  <c i="13" r="B31"/>
  <c i="13" r="B26"/>
  <c i="13" r="B24"/>
  <c i="13" r="B33"/>
  <c i="13" r="B22"/>
  <c i="13" r="B32"/>
  <c i="13" r="B27"/>
  <c i="13" r="B25"/>
  <c i="13" r="B23"/>
  <c i="13" r="F33"/>
  <c i="13" r="F24"/>
  <c i="13" r="F32"/>
  <c i="13" r="F27"/>
  <c i="13" r="F22"/>
  <c i="13" r="F31"/>
  <c i="13" r="F26"/>
  <c i="13" r="F25"/>
  <c i="13" r="F23"/>
  <c i="13" r="M22"/>
  <c i="13" r="M32"/>
  <c i="13" r="M27"/>
  <c i="13" r="M31"/>
  <c i="13" r="M26"/>
  <c i="13" r="M24"/>
  <c i="13" r="M25"/>
  <c i="13" r="M33"/>
  <c i="13" r="M23"/>
  <c i="13" r="Q22"/>
  <c i="13" r="Q31"/>
  <c i="13" r="Q26"/>
  <c i="13" r="Q24"/>
  <c i="13" r="Q25"/>
  <c i="13" r="Q33"/>
  <c i="13" r="Q23"/>
  <c i="13" r="Q32"/>
  <c i="13" r="Q27"/>
  <c i="14" r="B22"/>
  <c i="14" r="B32"/>
  <c i="14" r="B26"/>
  <c i="14" r="B31"/>
  <c i="14" r="B23"/>
  <c i="14" r="B33"/>
  <c i="14" r="B25"/>
  <c i="14" r="B24"/>
  <c i="14" r="B27"/>
  <c i="14" r="F22"/>
  <c i="14" r="F32"/>
  <c i="14" r="F26"/>
  <c i="14" r="F25"/>
  <c i="14" r="F27"/>
  <c i="14" r="F24"/>
  <c i="14" r="F31"/>
  <c i="14" r="F33"/>
  <c i="14" r="F23"/>
  <c i="14" r="M22"/>
  <c i="14" r="M32"/>
  <c i="14" r="M26"/>
  <c i="14" r="M25"/>
  <c i="14" r="M27"/>
  <c i="14" r="M31"/>
  <c i="14" r="M23"/>
  <c i="14" r="M33"/>
  <c i="14" r="M24"/>
  <c i="14" r="Q22"/>
  <c i="14" r="Q32"/>
  <c i="14" r="Q26"/>
  <c i="14" r="Q31"/>
  <c i="14" r="Q23"/>
  <c i="14" r="Q33"/>
  <c i="14" r="Q24"/>
  <c i="14" r="Q25"/>
  <c i="14" r="Q27"/>
  <c i="15" r="B22"/>
  <c i="15" r="B32"/>
  <c i="15" r="B26"/>
  <c i="15" r="B31"/>
  <c i="15" r="B23"/>
  <c i="15" r="B33"/>
  <c i="15" r="B24"/>
  <c i="15" r="B25"/>
  <c i="15" r="B27"/>
  <c i="15" r="F22"/>
  <c i="15" r="F32"/>
  <c i="15" r="F26"/>
  <c i="15" r="F25"/>
  <c i="15" r="F27"/>
  <c i="15" r="F31"/>
  <c i="15" r="F23"/>
  <c i="15" r="F33"/>
  <c i="15" r="F24"/>
  <c i="15" r="M31"/>
  <c i="15" r="M25"/>
  <c i="15" r="M22"/>
  <c i="15" r="M33"/>
  <c i="15" r="M27"/>
  <c i="15" r="M26"/>
  <c i="15" r="M32"/>
  <c i="15" r="M23"/>
  <c i="15" r="M24"/>
  <c i="15" r="Q31"/>
  <c i="15" r="Q25"/>
  <c i="15" r="Q22"/>
  <c i="15" r="Q33"/>
  <c i="15" r="Q27"/>
  <c i="15" r="Q32"/>
  <c i="15" r="Q23"/>
  <c i="15" r="Q24"/>
  <c i="15" r="Q26"/>
  <c i="16" r="B22"/>
  <c i="16" r="B32"/>
  <c i="16" r="B26"/>
  <c i="16" r="B31"/>
  <c i="16" r="B23"/>
  <c i="16" r="B33"/>
  <c i="16" r="B24"/>
  <c i="16" r="B25"/>
  <c i="16" r="B27"/>
  <c i="16" r="F22"/>
  <c i="16" r="F32"/>
  <c i="16" r="F26"/>
  <c i="16" r="F25"/>
  <c i="16" r="F27"/>
  <c i="16" r="F31"/>
  <c i="16" r="F23"/>
  <c i="16" r="F33"/>
  <c i="16" r="F24"/>
  <c i="16" r="M22"/>
  <c i="16" r="M32"/>
  <c i="16" r="M26"/>
  <c i="16" r="M25"/>
  <c i="16" r="M27"/>
  <c i="16" r="M31"/>
  <c i="16" r="M23"/>
  <c i="16" r="M33"/>
  <c i="16" r="M24"/>
  <c i="16" r="Q22"/>
  <c i="16" r="Q32"/>
  <c i="16" r="Q26"/>
  <c i="16" r="Q31"/>
  <c i="16" r="Q23"/>
  <c i="16" r="Q33"/>
  <c i="16" r="Q24"/>
  <c i="16" r="Q25"/>
  <c i="16" r="Q27"/>
  <c i="17" r="B22"/>
  <c i="17" r="B32"/>
  <c i="17" r="B26"/>
  <c i="17" r="B31"/>
  <c i="17" r="B23"/>
  <c i="17" r="B33"/>
  <c i="17" r="B24"/>
  <c i="17" r="B25"/>
  <c i="17" r="B27"/>
  <c i="17" r="F22"/>
  <c i="17" r="F32"/>
  <c i="17" r="F26"/>
  <c i="17" r="F25"/>
  <c i="17" r="F27"/>
  <c i="17" r="F31"/>
  <c i="17" r="F23"/>
  <c i="17" r="F33"/>
  <c i="17" r="F24"/>
  <c i="17" r="M22"/>
  <c i="17" r="M32"/>
  <c i="17" r="M26"/>
  <c i="17" r="M25"/>
  <c i="17" r="M27"/>
  <c i="17" r="M31"/>
  <c i="17" r="M23"/>
  <c i="17" r="M33"/>
  <c i="17" r="M24"/>
  <c i="17" r="Q22"/>
  <c i="17" r="Q32"/>
  <c i="17" r="Q26"/>
  <c i="17" r="Q31"/>
  <c i="17" r="Q23"/>
  <c i="17" r="Q33"/>
  <c i="17" r="Q24"/>
  <c i="17" r="Q25"/>
  <c i="17" r="Q27"/>
  <c i="7" r="D22"/>
  <c i="7" r="H22"/>
  <c i="7" r="C23"/>
  <c i="7" r="G23"/>
  <c i="7" r="E24"/>
  <c i="7" r="I24"/>
  <c i="7" r="C25"/>
  <c i="7" r="G25"/>
  <c i="7" r="B26"/>
  <c i="7" r="F26"/>
  <c i="7" r="E27"/>
  <c i="7" r="I27"/>
  <c i="7" r="C31"/>
  <c i="7" r="G31"/>
  <c i="7" r="B32"/>
  <c i="7" r="F32"/>
  <c i="7" r="E33"/>
  <c i="7" r="I33"/>
  <c i="7" r="O22"/>
  <c i="7" r="S22"/>
  <c i="7" r="N23"/>
  <c i="7" r="R23"/>
  <c i="7" r="P24"/>
  <c i="7" r="T24"/>
  <c i="7" r="N25"/>
  <c i="7" r="R25"/>
  <c i="7" r="M26"/>
  <c i="7" r="Q26"/>
  <c i="7" r="P27"/>
  <c i="7" r="T27"/>
  <c i="7" r="N31"/>
  <c i="7" r="R31"/>
  <c i="7" r="M32"/>
  <c i="7" r="Q32"/>
  <c i="7" r="P33"/>
  <c i="7" r="T33"/>
  <c i="11" r="D22"/>
  <c i="11" r="H22"/>
  <c i="11" r="C23"/>
  <c i="11" r="G23"/>
  <c i="11" r="E24"/>
  <c i="11" r="I24"/>
  <c i="11" r="C25"/>
  <c i="11" r="G25"/>
  <c i="11" r="B26"/>
  <c i="11" r="F26"/>
  <c i="11" r="E27"/>
  <c i="11" r="I27"/>
  <c i="11" r="C31"/>
  <c i="11" r="G31"/>
  <c i="11" r="B32"/>
  <c i="11" r="F32"/>
  <c i="11" r="E33"/>
  <c i="11" r="I33"/>
  <c i="11" r="O22"/>
  <c i="11" r="S22"/>
  <c i="11" r="N23"/>
  <c i="11" r="R23"/>
  <c i="11" r="P24"/>
  <c i="11" r="T24"/>
  <c i="11" r="N25"/>
  <c i="11" r="R25"/>
  <c i="11" r="M26"/>
  <c i="11" r="Q26"/>
  <c i="11" r="P27"/>
  <c i="11" r="T27"/>
  <c i="11" r="N31"/>
  <c i="11" r="R31"/>
  <c i="11" r="M32"/>
  <c i="11" r="Q32"/>
  <c i="11" r="P33"/>
  <c i="11" r="T33"/>
  <c i="12" r="B32"/>
  <c i="12" r="B26"/>
  <c i="12" r="B24"/>
  <c i="12" r="B33"/>
  <c i="12" r="B27"/>
  <c i="12" r="B22"/>
  <c i="12" r="B23"/>
  <c i="12" r="B31"/>
  <c i="12" r="B25"/>
  <c i="12" r="E33"/>
  <c i="12" r="E27"/>
  <c i="12" r="E24"/>
  <c i="12" r="E22"/>
  <c i="12" r="E31"/>
  <c i="12" r="E25"/>
  <c i="12" r="E23"/>
  <c i="12" r="E32"/>
  <c i="12" r="E26"/>
  <c i="12" r="I33"/>
  <c i="12" r="I27"/>
  <c i="12" r="I24"/>
  <c i="12" r="I22"/>
  <c i="12" r="I31"/>
  <c i="12" r="I25"/>
  <c i="12" r="I23"/>
  <c i="12" r="I26"/>
  <c i="12" r="I32"/>
  <c i="12" r="P33"/>
  <c i="12" r="P27"/>
  <c i="12" r="P24"/>
  <c i="12" r="P22"/>
  <c i="12" r="P31"/>
  <c i="12" r="P25"/>
  <c i="12" r="P23"/>
  <c i="12" r="P32"/>
  <c i="12" r="P26"/>
  <c i="12" r="T33"/>
  <c i="12" r="T27"/>
  <c i="12" r="T24"/>
  <c i="12" r="T22"/>
  <c i="12" r="T31"/>
  <c i="12" r="T25"/>
  <c i="12" r="T23"/>
  <c i="12" r="T32"/>
  <c i="12" r="T26"/>
  <c i="13" r="E31"/>
  <c i="13" r="E33"/>
  <c i="13" r="E24"/>
  <c i="13" r="E32"/>
  <c i="13" r="E27"/>
  <c i="13" r="E22"/>
  <c i="13" r="E26"/>
  <c i="13" r="E25"/>
  <c i="13" r="E23"/>
  <c i="13" r="I31"/>
  <c i="13" r="I32"/>
  <c i="13" r="I27"/>
  <c i="13" r="I24"/>
  <c i="13" r="I26"/>
  <c i="13" r="I22"/>
  <c i="13" r="I25"/>
  <c i="13" r="I23"/>
  <c i="13" r="I33"/>
  <c i="13" r="P31"/>
  <c i="13" r="P25"/>
  <c i="13" r="P23"/>
  <c i="13" r="P33"/>
  <c i="13" r="P32"/>
  <c i="13" r="P27"/>
  <c i="13" r="P26"/>
  <c i="13" r="P24"/>
  <c i="13" r="P22"/>
  <c i="13" r="T31"/>
  <c i="13" r="T25"/>
  <c i="13" r="T23"/>
  <c i="13" r="T33"/>
  <c i="13" r="T32"/>
  <c i="13" r="T27"/>
  <c i="13" r="T26"/>
  <c i="13" r="T24"/>
  <c i="13" r="T22"/>
  <c i="14" r="E31"/>
  <c i="14" r="E25"/>
  <c i="14" r="E23"/>
  <c i="14" r="E33"/>
  <c i="14" r="E27"/>
  <c i="14" r="E26"/>
  <c i="14" r="E24"/>
  <c i="14" r="E22"/>
  <c i="14" r="E32"/>
  <c i="14" r="I31"/>
  <c i="14" r="I25"/>
  <c i="14" r="I23"/>
  <c i="14" r="I33"/>
  <c i="14" r="I27"/>
  <c i="14" r="I32"/>
  <c i="14" r="I26"/>
  <c i="14" r="I24"/>
  <c i="14" r="I22"/>
  <c i="14" r="P31"/>
  <c i="14" r="P25"/>
  <c i="14" r="P23"/>
  <c i="14" r="P33"/>
  <c i="14" r="P27"/>
  <c i="14" r="P24"/>
  <c i="14" r="P32"/>
  <c i="14" r="P26"/>
  <c i="14" r="P22"/>
  <c i="14" r="T31"/>
  <c i="14" r="T25"/>
  <c i="14" r="T23"/>
  <c i="14" r="T33"/>
  <c i="14" r="T27"/>
  <c i="14" r="T24"/>
  <c i="14" r="T26"/>
  <c i="14" r="T22"/>
  <c i="14" r="T32"/>
  <c i="15" r="E31"/>
  <c i="15" r="E25"/>
  <c i="15" r="E23"/>
  <c i="15" r="E33"/>
  <c i="15" r="E27"/>
  <c i="15" r="E24"/>
  <c i="15" r="E26"/>
  <c i="15" r="E22"/>
  <c i="15" r="E32"/>
  <c i="15" r="I31"/>
  <c i="15" r="I25"/>
  <c i="15" r="I23"/>
  <c i="15" r="I33"/>
  <c i="15" r="I27"/>
  <c i="15" r="I24"/>
  <c i="15" r="I32"/>
  <c i="15" r="I26"/>
  <c i="15" r="I22"/>
  <c i="15" r="P32"/>
  <c i="15" r="P26"/>
  <c i="15" r="P23"/>
  <c i="15" r="P24"/>
  <c i="15" r="P33"/>
  <c i="15" r="P25"/>
  <c i="15" r="P27"/>
  <c i="15" r="P31"/>
  <c i="15" r="P22"/>
  <c i="15" r="T32"/>
  <c i="15" r="T26"/>
  <c i="15" r="T23"/>
  <c i="15" r="T24"/>
  <c i="15" r="T27"/>
  <c i="15" r="T31"/>
  <c i="15" r="T22"/>
  <c i="15" r="T33"/>
  <c i="15" r="T25"/>
  <c i="16" r="E31"/>
  <c i="16" r="E25"/>
  <c i="16" r="E23"/>
  <c i="16" r="E33"/>
  <c i="16" r="E27"/>
  <c i="16" r="E24"/>
  <c i="16" r="E26"/>
  <c i="16" r="E22"/>
  <c i="16" r="E32"/>
  <c i="16" r="I31"/>
  <c i="16" r="I25"/>
  <c i="16" r="I23"/>
  <c i="16" r="I33"/>
  <c i="16" r="I27"/>
  <c i="16" r="I24"/>
  <c i="16" r="I32"/>
  <c i="16" r="I26"/>
  <c i="16" r="I22"/>
  <c i="16" r="P31"/>
  <c i="16" r="P25"/>
  <c i="16" r="P23"/>
  <c i="16" r="P33"/>
  <c i="16" r="P27"/>
  <c i="16" r="P24"/>
  <c i="16" r="P32"/>
  <c i="16" r="P26"/>
  <c i="16" r="P22"/>
  <c i="16" r="T31"/>
  <c i="16" r="T25"/>
  <c i="16" r="T23"/>
  <c i="16" r="T33"/>
  <c i="16" r="T27"/>
  <c i="16" r="T24"/>
  <c i="16" r="T26"/>
  <c i="16" r="T22"/>
  <c i="16" r="T32"/>
  <c i="17" r="E31"/>
  <c i="17" r="E25"/>
  <c i="17" r="E23"/>
  <c i="17" r="E33"/>
  <c i="17" r="E27"/>
  <c i="17" r="E24"/>
  <c i="17" r="E26"/>
  <c i="17" r="E22"/>
  <c i="17" r="E32"/>
  <c i="17" r="I31"/>
  <c i="17" r="I25"/>
  <c i="17" r="I23"/>
  <c i="17" r="I33"/>
  <c i="17" r="I27"/>
  <c i="17" r="I24"/>
  <c i="17" r="I32"/>
  <c i="17" r="I26"/>
  <c i="17" r="I22"/>
  <c i="17" r="P31"/>
  <c i="17" r="P25"/>
  <c i="17" r="P23"/>
  <c i="17" r="P33"/>
  <c i="17" r="P27"/>
  <c i="17" r="P24"/>
  <c i="17" r="P32"/>
  <c i="17" r="P26"/>
  <c i="17" r="P22"/>
  <c i="17" r="T31"/>
  <c i="17" r="T25"/>
  <c i="17" r="T23"/>
  <c i="17" r="T33"/>
  <c i="17" r="T27"/>
  <c i="17" r="T24"/>
  <c i="17" r="T26"/>
  <c i="17" r="T22"/>
  <c i="17" r="T32"/>
  <c i="7" r="C22"/>
  <c i="7" r="G22"/>
  <c i="7" r="B23"/>
  <c i="7" r="F23"/>
  <c i="7" r="D24"/>
  <c i="7" r="H24"/>
  <c i="7" r="B25"/>
  <c i="7" r="F25"/>
  <c i="7" r="E26"/>
  <c i="7" r="I26"/>
  <c i="7" r="D27"/>
  <c i="7" r="H27"/>
  <c i="7" r="B31"/>
  <c i="7" r="F31"/>
  <c i="7" r="E32"/>
  <c i="7" r="I32"/>
  <c i="7" r="D33"/>
  <c i="7" r="H33"/>
  <c i="7" r="N22"/>
  <c i="7" r="R22"/>
  <c i="7" r="M23"/>
  <c i="7" r="Q23"/>
  <c i="7" r="O24"/>
  <c i="7" r="S24"/>
  <c i="7" r="M25"/>
  <c i="7" r="Q25"/>
  <c i="7" r="P26"/>
  <c i="7" r="T26"/>
  <c i="7" r="O27"/>
  <c i="7" r="S27"/>
  <c i="7" r="M31"/>
  <c i="7" r="Q31"/>
  <c i="7" r="P32"/>
  <c i="7" r="T32"/>
  <c i="7" r="O33"/>
  <c i="7" r="S33"/>
  <c i="11" r="C22"/>
  <c i="11" r="G22"/>
  <c i="11" r="B23"/>
  <c i="11" r="F23"/>
  <c i="11" r="D24"/>
  <c i="11" r="H24"/>
  <c i="11" r="B25"/>
  <c i="11" r="F25"/>
  <c i="11" r="E26"/>
  <c i="11" r="I26"/>
  <c i="11" r="D27"/>
  <c i="11" r="H27"/>
  <c i="11" r="B31"/>
  <c i="11" r="F31"/>
  <c i="11" r="E32"/>
  <c i="11" r="I32"/>
  <c i="11" r="D33"/>
  <c i="11" r="H33"/>
  <c i="11" r="N22"/>
  <c i="11" r="R22"/>
  <c i="11" r="M23"/>
  <c i="11" r="Q23"/>
  <c i="11" r="O24"/>
  <c i="11" r="S24"/>
  <c i="11" r="M25"/>
  <c i="11" r="Q25"/>
  <c i="11" r="P26"/>
  <c i="11" r="T26"/>
  <c i="11" r="O27"/>
  <c i="11" r="S27"/>
  <c i="11" r="M31"/>
  <c i="11" r="Q31"/>
  <c i="11" r="P32"/>
  <c i="11" r="T32"/>
  <c i="11" r="O33"/>
  <c i="11" r="S33"/>
  <c i="12" r="D22"/>
  <c i="12" r="D31"/>
  <c i="12" r="D25"/>
  <c i="12" r="D23"/>
  <c i="12" r="D32"/>
  <c i="12" r="D26"/>
  <c i="12" r="D33"/>
  <c i="12" r="D27"/>
  <c i="12" r="D24"/>
  <c i="12" r="H22"/>
  <c i="12" r="H23"/>
  <c i="12" r="H31"/>
  <c i="12" r="H25"/>
  <c i="12" r="H24"/>
  <c i="12" r="H32"/>
  <c i="12" r="H26"/>
  <c i="12" r="H33"/>
  <c i="12" r="H27"/>
  <c i="12" r="O22"/>
  <c i="12" r="O31"/>
  <c i="12" r="O25"/>
  <c i="12" r="O23"/>
  <c i="12" r="O32"/>
  <c i="12" r="O26"/>
  <c i="12" r="O33"/>
  <c i="12" r="O27"/>
  <c i="12" r="O24"/>
  <c i="12" r="S22"/>
  <c i="12" r="S31"/>
  <c i="12" r="S25"/>
  <c i="12" r="S23"/>
  <c i="12" r="S32"/>
  <c i="12" r="S26"/>
  <c i="12" r="S33"/>
  <c i="12" r="S27"/>
  <c i="12" r="S24"/>
  <c i="13" r="D32"/>
  <c i="13" r="D26"/>
  <c i="13" r="D27"/>
  <c i="13" r="D22"/>
  <c i="13" r="D25"/>
  <c i="13" r="D23"/>
  <c i="13" r="D31"/>
  <c i="13" r="D33"/>
  <c i="13" r="D24"/>
  <c i="13" r="H32"/>
  <c i="13" r="H26"/>
  <c i="13" r="H22"/>
  <c i="13" r="H31"/>
  <c i="13" r="H25"/>
  <c i="13" r="H23"/>
  <c i="13" r="H33"/>
  <c i="13" r="H27"/>
  <c i="13" r="H24"/>
  <c i="13" r="O32"/>
  <c i="13" r="O26"/>
  <c i="13" r="O33"/>
  <c i="13" r="O25"/>
  <c i="13" r="O27"/>
  <c i="13" r="O23"/>
  <c i="13" r="O24"/>
  <c i="13" r="O22"/>
  <c i="13" r="O31"/>
  <c i="13" r="S32"/>
  <c i="13" r="S26"/>
  <c i="13" r="S27"/>
  <c i="13" r="S23"/>
  <c i="13" r="S24"/>
  <c i="13" r="S22"/>
  <c i="13" r="S31"/>
  <c i="13" r="S33"/>
  <c i="13" r="S25"/>
  <c i="14" r="D32"/>
  <c i="14" r="D26"/>
  <c i="14" r="D27"/>
  <c i="14" r="D31"/>
  <c i="14" r="D33"/>
  <c i="14" r="D23"/>
  <c i="14" r="D25"/>
  <c i="14" r="D24"/>
  <c i="14" r="D22"/>
  <c i="14" r="H32"/>
  <c i="14" r="H26"/>
  <c i="14" r="H33"/>
  <c i="14" r="H25"/>
  <c i="14" r="H23"/>
  <c i="14" r="H27"/>
  <c i="14" r="H24"/>
  <c i="14" r="H22"/>
  <c i="14" r="H31"/>
  <c i="14" r="O32"/>
  <c i="14" r="O26"/>
  <c i="14" r="O22"/>
  <c i="14" r="O33"/>
  <c i="14" r="O24"/>
  <c i="14" r="O25"/>
  <c i="14" r="O27"/>
  <c i="14" r="O31"/>
  <c i="14" r="O23"/>
  <c i="14" r="S32"/>
  <c i="14" r="S26"/>
  <c i="14" r="S22"/>
  <c i="14" r="S27"/>
  <c i="14" r="S31"/>
  <c i="14" r="S23"/>
  <c i="14" r="S33"/>
  <c i="14" r="S24"/>
  <c i="14" r="S25"/>
  <c i="15" r="D32"/>
  <c i="15" r="D26"/>
  <c i="15" r="D22"/>
  <c i="15" r="D27"/>
  <c i="15" r="D31"/>
  <c i="15" r="D23"/>
  <c i="15" r="D33"/>
  <c i="15" r="D24"/>
  <c i="15" r="D25"/>
  <c i="15" r="H32"/>
  <c i="15" r="H26"/>
  <c i="15" r="H22"/>
  <c i="15" r="H33"/>
  <c i="15" r="H24"/>
  <c i="15" r="H25"/>
  <c i="15" r="H27"/>
  <c i="15" r="H31"/>
  <c i="15" r="H23"/>
  <c i="15" r="O33"/>
  <c i="15" r="O27"/>
  <c i="15" r="O31"/>
  <c i="15" r="O25"/>
  <c i="15" r="O22"/>
  <c i="15" r="O24"/>
  <c i="15" r="O26"/>
  <c i="15" r="O32"/>
  <c i="15" r="O23"/>
  <c i="15" r="S33"/>
  <c i="15" r="S27"/>
  <c i="15" r="S31"/>
  <c i="15" r="S25"/>
  <c i="15" r="S22"/>
  <c i="15" r="S32"/>
  <c i="15" r="S23"/>
  <c i="15" r="S24"/>
  <c i="15" r="S26"/>
  <c i="16" r="D32"/>
  <c i="16" r="D26"/>
  <c i="16" r="D22"/>
  <c i="16" r="D27"/>
  <c i="16" r="D31"/>
  <c i="16" r="D23"/>
  <c i="16" r="D33"/>
  <c i="16" r="D24"/>
  <c i="16" r="D25"/>
  <c i="16" r="H32"/>
  <c i="16" r="H26"/>
  <c i="16" r="H22"/>
  <c i="16" r="H33"/>
  <c i="16" r="H24"/>
  <c i="16" r="H25"/>
  <c i="16" r="H27"/>
  <c i="16" r="H31"/>
  <c i="16" r="H23"/>
  <c i="16" r="O32"/>
  <c i="16" r="O26"/>
  <c i="16" r="O22"/>
  <c i="16" r="O33"/>
  <c i="16" r="O24"/>
  <c i="16" r="O25"/>
  <c i="16" r="O27"/>
  <c i="16" r="O31"/>
  <c i="16" r="O23"/>
  <c i="16" r="S32"/>
  <c i="16" r="S26"/>
  <c i="16" r="S22"/>
  <c i="16" r="S27"/>
  <c i="16" r="S31"/>
  <c i="16" r="S23"/>
  <c i="16" r="S33"/>
  <c i="16" r="S24"/>
  <c i="16" r="S25"/>
  <c i="17" r="D32"/>
  <c i="17" r="D26"/>
  <c i="17" r="D22"/>
  <c i="17" r="D27"/>
  <c i="17" r="D31"/>
  <c i="17" r="D23"/>
  <c i="17" r="D33"/>
  <c i="17" r="D24"/>
  <c i="17" r="D25"/>
  <c i="17" r="H32"/>
  <c i="17" r="H26"/>
  <c i="17" r="H22"/>
  <c i="17" r="H33"/>
  <c i="17" r="H24"/>
  <c i="17" r="H25"/>
  <c i="17" r="H27"/>
  <c i="17" r="H31"/>
  <c i="17" r="H23"/>
  <c i="17" r="O32"/>
  <c i="17" r="O26"/>
  <c i="17" r="O22"/>
  <c i="17" r="O33"/>
  <c i="17" r="O24"/>
  <c i="17" r="O25"/>
  <c i="17" r="O27"/>
  <c i="17" r="O31"/>
  <c i="17" r="O23"/>
  <c i="17" r="S32"/>
  <c i="17" r="S26"/>
  <c i="17" r="S22"/>
  <c i="17" r="S27"/>
  <c i="17" r="S31"/>
  <c i="17" r="S23"/>
  <c i="17" r="S33"/>
  <c i="17" r="S24"/>
  <c i="17" r="S25"/>
  <c i="7" r="B22"/>
  <c i="7" r="F22"/>
  <c i="7" r="E23"/>
  <c i="7" r="I23"/>
  <c i="7" r="C24"/>
  <c i="7" r="G24"/>
  <c i="7" r="E25"/>
  <c i="7" r="I25"/>
  <c i="7" r="D26"/>
  <c i="7" r="H26"/>
  <c i="7" r="C27"/>
  <c i="7" r="G27"/>
  <c i="7" r="M22"/>
  <c i="7" r="Q22"/>
  <c i="7" r="P23"/>
  <c i="7" r="T23"/>
  <c i="7" r="N24"/>
  <c i="7" r="R24"/>
  <c i="7" r="P25"/>
  <c i="7" r="T25"/>
  <c i="7" r="O26"/>
  <c i="7" r="S26"/>
  <c i="7" r="N27"/>
  <c i="7" r="R27"/>
  <c i="11" r="B22"/>
  <c i="11" r="F22"/>
  <c i="11" r="E23"/>
  <c i="11" r="I23"/>
  <c i="11" r="C24"/>
  <c i="11" r="G24"/>
  <c i="11" r="E25"/>
  <c i="11" r="I25"/>
  <c i="11" r="D26"/>
  <c i="11" r="H26"/>
  <c i="11" r="C27"/>
  <c i="11" r="G27"/>
  <c i="11" r="M22"/>
  <c i="11" r="Q22"/>
  <c i="11" r="P23"/>
  <c i="11" r="T23"/>
  <c i="11" r="N24"/>
  <c i="11" r="R24"/>
  <c i="11" r="P25"/>
  <c i="11" r="T25"/>
  <c i="11" r="O26"/>
  <c i="11" r="S26"/>
  <c i="11" r="N27"/>
  <c i="11" r="R27"/>
  <c i="7" r="J16"/>
  <c i="7" r="J29" s="1"/>
  <c i="18" r="U5"/>
  <c i="18" r="U14"/>
  <c i="18" r="P16"/>
  <c i="18" r="P33" s="1"/>
  <c i="18" r="D16"/>
  <c i="18" r="D33" s="1"/>
  <c i="18" r="U6"/>
  <c i="18" r="U7"/>
  <c i="18" r="U8"/>
  <c i="18" r="U9"/>
  <c i="18" r="U10"/>
  <c i="18" r="U15"/>
  <c i="18" r="J6"/>
  <c i="18" r="J7"/>
  <c i="18" r="J8"/>
  <c i="18" r="J9"/>
  <c i="18" r="J10"/>
  <c i="18" r="J14"/>
  <c i="18" r="J15"/>
  <c i="18" r="H16"/>
  <c i="18" r="H33" s="1"/>
  <c i="18" r="J5"/>
  <c i="17" r="J16"/>
  <c i="17" r="J28" s="1"/>
  <c i="17" r="U16"/>
  <c i="17" r="U26" s="1"/>
  <c i="16" r="J16"/>
  <c i="16" r="J29" s="1"/>
  <c i="16" r="U16"/>
  <c i="15" r="J16"/>
  <c i="15" r="U16"/>
  <c i="14" r="J16"/>
  <c i="14" r="J29" s="1"/>
  <c i="14" r="U16"/>
  <c i="14" r="U30" s="1"/>
  <c i="13" r="J16"/>
  <c i="13" r="J30" s="1"/>
  <c i="13" r="U16"/>
  <c i="13" r="U26" s="1"/>
  <c i="12" r="J16"/>
  <c i="12" r="J30" s="1"/>
  <c i="12" r="U16"/>
  <c i="11" r="J16"/>
  <c i="11" r="J22" s="1"/>
  <c i="11" r="U16"/>
  <c i="11" r="U30" s="1"/>
  <c i="7" r="U16"/>
  <c i="7" r="U30" s="1"/>
  <c i="13" l="1" r="S45"/>
  <c i="18" r="N32"/>
  <c i="18" r="N22"/>
  <c i="18" r="G27"/>
  <c i="18" r="M31"/>
  <c i="18" r="M25"/>
  <c i="18" r="N25"/>
  <c i="18" r="B32"/>
  <c i="18" r="E23"/>
  <c i="18" r="E24"/>
  <c i="18" r="I22"/>
  <c i="18" r="F26"/>
  <c i="18" r="M23"/>
  <c i="18" r="R32"/>
  <c i="18" r="G32"/>
  <c i="18" r="M27"/>
  <c i="18" r="R27"/>
  <c i="18" r="R22"/>
  <c i="18" r="B31"/>
  <c i="18" r="N31"/>
  <c i="18" r="Q23"/>
  <c i="18" r="B23"/>
  <c i="18" r="N23"/>
  <c i="18" r="B22"/>
  <c i="18" r="Q25"/>
  <c i="18" r="B25"/>
  <c i="18" r="N27"/>
  <c i="18" r="N24"/>
  <c i="18" r="E22"/>
  <c i="18" r="E27"/>
  <c i="18" r="S32"/>
  <c i="18" r="M26"/>
  <c i="18" r="M22"/>
  <c i="18" r="E26"/>
  <c i="12" r="S45"/>
  <c i="12" r="Q45"/>
  <c i="18" r="F22"/>
  <c i="18" r="M32"/>
  <c i="18" r="S23"/>
  <c i="18" r="F32"/>
  <c i="18" r="F25"/>
  <c i="18" r="F23"/>
  <c i="18" r="R31"/>
  <c i="18" r="R25"/>
  <c i="18" r="R24"/>
  <c i="18" r="R23"/>
  <c i="18" r="I32"/>
  <c i="18" r="E33"/>
  <c i="18" r="P50" s="1"/>
  <c i="18" r="AA50" s="1"/>
  <c i="18" r="E31"/>
  <c i="18" r="B24"/>
  <c i="18" r="F31"/>
  <c i="18" r="I31"/>
  <c i="18" r="F27"/>
  <c i="18" r="I26"/>
  <c i="18" r="B27"/>
  <c i="18" r="I25"/>
  <c i="18" r="B26"/>
  <c i="18" r="I27"/>
  <c i="18" r="I30"/>
  <c i="18" r="I29"/>
  <c i="18" r="I28"/>
  <c i="18" r="F24"/>
  <c i="18" r="I24"/>
  <c i="18" r="I23"/>
  <c i="18" r="C27"/>
  <c i="18" r="C24"/>
  <c i="7" r="O45"/>
  <c i="18" r="O22"/>
  <c i="11" r="S47"/>
  <c i="7" r="Q45"/>
  <c i="18" r="Q32"/>
  <c i="18" r="Q26"/>
  <c i="18" r="R30"/>
  <c i="18" r="R29"/>
  <c i="16" r="Q45"/>
  <c i="18" r="E29"/>
  <c i="18" r="F29"/>
  <c i="18" r="R26"/>
  <c i="18" r="E25"/>
  <c i="18" r="R28"/>
  <c i="18" r="M24"/>
  <c i="18" r="N26"/>
  <c i="18" r="E32"/>
  <c i="18" r="B29"/>
  <c i="18" r="E28"/>
  <c i="17" r="S45"/>
  <c i="17" r="O45"/>
  <c i="18" r="N30"/>
  <c i="18" r="M28"/>
  <c i="18" r="N29"/>
  <c i="18" r="N28"/>
  <c i="11" r="O47"/>
  <c i="11" r="S46"/>
  <c i="12" r="S46"/>
  <c i="18" r="M30"/>
  <c i="12" r="O45"/>
  <c i="18" r="M29"/>
  <c i="18" r="B30"/>
  <c i="18" r="B28"/>
  <c i="14" r="S45"/>
  <c i="14" r="Q45"/>
  <c i="18" r="F30"/>
  <c i="14" r="O45"/>
  <c i="18" r="F28"/>
  <c i="15" r="S45"/>
  <c i="11" r="O46"/>
  <c i="13" r="O46"/>
  <c i="15" r="O46"/>
  <c i="17" r="O46"/>
  <c i="11" r="N46"/>
  <c i="12" r="N46"/>
  <c i="13" r="N46"/>
  <c i="14" r="N46"/>
  <c i="15" r="N46"/>
  <c i="16" r="N46"/>
  <c i="17" r="N46"/>
  <c i="11" r="T46"/>
  <c i="12" r="T46"/>
  <c i="13" r="T46"/>
  <c i="14" r="T46"/>
  <c i="15" r="T46"/>
  <c i="16" r="T46"/>
  <c i="17" r="T46"/>
  <c i="7" r="N47"/>
  <c i="7" r="N45"/>
  <c i="7" r="T47"/>
  <c i="7" r="T45"/>
  <c i="18" r="G22"/>
  <c i="18" r="S31"/>
  <c i="18" r="S25"/>
  <c i="18" r="G31"/>
  <c i="18" r="G23"/>
  <c i="7" r="N46"/>
  <c i="11" r="N47"/>
  <c i="11" r="N45"/>
  <c i="12" r="N45"/>
  <c i="13" r="N45"/>
  <c i="14" r="N45"/>
  <c i="16" r="S46"/>
  <c i="18" r="S30"/>
  <c i="11" r="O45"/>
  <c i="18" r="G29"/>
  <c i="18" r="S27"/>
  <c i="18" r="G25"/>
  <c i="18" r="G24"/>
  <c i="15" r="O45"/>
  <c i="16" r="O45"/>
  <c i="18" r="S26"/>
  <c i="18" r="S24"/>
  <c i="18" r="S22"/>
  <c i="18" r="G26"/>
  <c i="7" r="O47"/>
  <c i="18" r="T25"/>
  <c i="15" r="N45"/>
  <c i="16" r="N45"/>
  <c i="17" r="N45"/>
  <c i="7" r="O46"/>
  <c i="13" r="O45"/>
  <c i="11" r="U28"/>
  <c i="17" r="U28"/>
  <c i="17" r="U45" s="1"/>
  <c i="18" r="D28"/>
  <c i="13" r="U29"/>
  <c i="18" r="C29"/>
  <c i="18" r="P29"/>
  <c i="18" r="C22"/>
  <c i="18" r="C32"/>
  <c i="18" r="C25"/>
  <c i="18" r="C23"/>
  <c i="18" r="C31"/>
  <c i="7" r="R46"/>
  <c i="11" r="R47"/>
  <c i="11" r="R45"/>
  <c i="12" r="R45"/>
  <c i="13" r="R45"/>
  <c i="14" r="R45"/>
  <c i="15" r="R45"/>
  <c i="16" r="R45"/>
  <c i="17" r="R45"/>
  <c i="11" r="S45"/>
  <c i="16" r="S45"/>
  <c i="18" r="S29"/>
  <c i="18" r="D30"/>
  <c i="18" r="G28"/>
  <c i="18" r="C28"/>
  <c i="18" r="G30"/>
  <c i="15" r="J29"/>
  <c i="18" r="C26"/>
  <c i="14" r="S46"/>
  <c i="7" r="Q46"/>
  <c i="12" r="Q46"/>
  <c i="14" r="Q46"/>
  <c i="16" r="Q46"/>
  <c i="7" r="J28"/>
  <c i="18" r="S28"/>
  <c i="18" r="C30"/>
  <c i="12" r="U30"/>
  <c i="12" r="U47" s="1"/>
  <c i="16" r="U30"/>
  <c i="11" r="U26"/>
  <c i="11" r="U29"/>
  <c i="15" r="U29"/>
  <c i="18" r="T27"/>
  <c i="7" r="T46"/>
  <c i="11" r="T47"/>
  <c i="11" r="T45"/>
  <c i="12" r="T45"/>
  <c i="13" r="T45"/>
  <c i="14" r="T45"/>
  <c i="15" r="T45"/>
  <c i="16" r="T45"/>
  <c i="17" r="T45"/>
  <c i="7" r="S45"/>
  <c i="11" r="Q45"/>
  <c i="13" r="Q45"/>
  <c i="15" r="Q45"/>
  <c i="17" r="Q45"/>
  <c i="18" r="Q30"/>
  <c i="13" r="U30"/>
  <c i="13" r="U47" s="1"/>
  <c i="17" r="U29"/>
  <c i="18" r="O29"/>
  <c i="14" r="U29"/>
  <c i="14" r="U46" s="1"/>
  <c i="18" r="T28"/>
  <c i="11" r="J30"/>
  <c i="11" r="U47" s="1"/>
  <c i="18" r="D29"/>
  <c i="18" r="T29"/>
  <c i="18" r="Q28"/>
  <c i="7" r="U26"/>
  <c i="7" r="U28"/>
  <c i="12" r="J31"/>
  <c i="12" r="J28"/>
  <c i="14" r="J30"/>
  <c i="14" r="U47" s="1"/>
  <c i="16" r="J22"/>
  <c i="16" r="J28"/>
  <c i="18" r="T30"/>
  <c i="18" r="T32"/>
  <c i="18" r="T26"/>
  <c i="18" r="T24"/>
  <c i="7" r="P47"/>
  <c i="7" r="P45"/>
  <c i="11" r="P46"/>
  <c i="12" r="P46"/>
  <c i="13" r="P46"/>
  <c i="14" r="P46"/>
  <c i="15" r="P46"/>
  <c i="16" r="P46"/>
  <c i="17" r="P46"/>
  <c i="7" r="S46"/>
  <c i="11" r="J29"/>
  <c i="16" r="J30"/>
  <c i="12" r="U29"/>
  <c i="17" r="U30"/>
  <c i="15" r="J28"/>
  <c i="13" r="U28"/>
  <c i="18" r="P28"/>
  <c i="15" r="J30"/>
  <c i="18" r="H29"/>
  <c i="18" r="P30"/>
  <c i="18" r="P47" s="1"/>
  <c i="18" r="AA47" s="1"/>
  <c i="16" r="U28"/>
  <c i="14" r="U28"/>
  <c i="13" r="J22"/>
  <c i="13" r="J29"/>
  <c i="17" r="J22"/>
  <c i="17" r="J29"/>
  <c i="7" r="J27"/>
  <c i="7" r="J30"/>
  <c i="7" r="U47" s="1"/>
  <c i="11" r="Q46"/>
  <c i="13" r="Q46"/>
  <c i="15" r="Q46"/>
  <c i="17" r="Q46"/>
  <c i="16" r="U29"/>
  <c i="16" r="U46" s="1"/>
  <c i="12" r="U28"/>
  <c i="18" r="T23"/>
  <c i="7" r="R47"/>
  <c i="7" r="R45"/>
  <c i="11" r="R46"/>
  <c i="12" r="R46"/>
  <c i="13" r="R46"/>
  <c i="14" r="R46"/>
  <c i="15" r="R46"/>
  <c i="16" r="R46"/>
  <c i="17" r="R46"/>
  <c i="7" r="S47"/>
  <c i="7" r="P46"/>
  <c i="11" r="P47"/>
  <c i="11" r="P45"/>
  <c i="12" r="P45"/>
  <c i="13" r="P45"/>
  <c i="14" r="P45"/>
  <c i="15" r="P45"/>
  <c i="16" r="P45"/>
  <c i="17" r="P45"/>
  <c i="18" r="O30"/>
  <c i="7" r="M45"/>
  <c i="11" r="M45"/>
  <c i="12" r="M45"/>
  <c i="13" r="M45"/>
  <c i="14" r="M45"/>
  <c i="15" r="M45"/>
  <c i="16" r="M45"/>
  <c i="17" r="M45"/>
  <c i="14" r="J28"/>
  <c i="18" r="Q29"/>
  <c i="15" r="U28"/>
  <c i="11" r="J28"/>
  <c i="17" r="J30"/>
  <c i="12" r="J29"/>
  <c i="7" r="U29"/>
  <c i="7" r="U46" s="1"/>
  <c i="15" r="U30"/>
  <c i="13" r="J28"/>
  <c i="18" r="H30"/>
  <c i="18" r="H28"/>
  <c i="18" r="O28"/>
  <c i="18" r="Q31"/>
  <c i="18" r="Q22"/>
  <c i="18" r="Q27"/>
  <c i="18" r="Q24"/>
  <c i="18" r="T31"/>
  <c i="18" r="T22"/>
  <c i="18" r="O32"/>
  <c i="18" r="O31"/>
  <c i="18" r="O27"/>
  <c i="18" r="O26"/>
  <c i="18" r="O25"/>
  <c i="18" r="O24"/>
  <c i="18" r="O23"/>
  <c i="15" r="J24"/>
  <c i="12" r="J23"/>
  <c i="13" r="U25"/>
  <c i="15" r="J26"/>
  <c i="16" r="J23"/>
  <c i="12" r="J32"/>
  <c i="15" r="U23"/>
  <c i="16" r="J32"/>
  <c i="13" r="J27"/>
  <c i="15" r="U32"/>
  <c i="14" r="J22"/>
  <c i="17" r="J27"/>
  <c i="14" r="J25"/>
  <c i="17" r="U25"/>
  <c i="12" r="J22"/>
  <c i="14" r="J31"/>
  <c i="17" r="J24"/>
  <c i="16" r="J25"/>
  <c i="15" r="J27"/>
  <c i="14" r="J32"/>
  <c i="14" r="J23"/>
  <c i="13" r="J24"/>
  <c i="12" r="J25"/>
  <c i="17" r="U32"/>
  <c i="17" r="U23"/>
  <c i="16" r="U24"/>
  <c i="15" r="U25"/>
  <c i="14" r="U27"/>
  <c i="13" r="U32"/>
  <c i="13" r="U23"/>
  <c i="12" r="U24"/>
  <c i="17" r="J26"/>
  <c i="17" r="U43" s="1"/>
  <c i="16" r="J31"/>
  <c i="13" r="J26"/>
  <c i="16" r="U31"/>
  <c i="16" r="U22"/>
  <c i="12" r="U31"/>
  <c i="12" r="U22"/>
  <c i="11" r="J24"/>
  <c i="7" r="J31"/>
  <c i="11" r="U32"/>
  <c i="11" r="U23"/>
  <c i="7" r="U31"/>
  <c i="7" r="J26"/>
  <c i="14" r="U33"/>
  <c i="11" r="U33"/>
  <c i="13" r="U33"/>
  <c i="15" r="U33"/>
  <c i="17" r="U33"/>
  <c i="7" r="U33"/>
  <c i="12" r="J33"/>
  <c i="14" r="J33"/>
  <c i="16" r="J33"/>
  <c i="17" r="J25"/>
  <c i="16" r="J27"/>
  <c i="15" r="J32"/>
  <c i="15" r="J23"/>
  <c i="14" r="J24"/>
  <c i="13" r="J25"/>
  <c i="12" r="J27"/>
  <c i="12" r="J26"/>
  <c i="17" r="U24"/>
  <c i="16" r="U25"/>
  <c i="15" r="U27"/>
  <c i="14" r="U32"/>
  <c i="14" r="U23"/>
  <c i="13" r="U24"/>
  <c i="12" r="U25"/>
  <c i="17" r="J31"/>
  <c i="14" r="J26"/>
  <c i="13" r="J31"/>
  <c i="17" r="U31"/>
  <c i="17" r="U22"/>
  <c i="14" r="U26"/>
  <c i="13" r="U31"/>
  <c i="13" r="U22"/>
  <c i="11" r="J25"/>
  <c i="7" r="U22"/>
  <c i="11" r="U24"/>
  <c i="11" r="J26"/>
  <c i="7" r="U24"/>
  <c i="11" r="U31"/>
  <c i="11" r="U22"/>
  <c i="11" r="U39" s="1"/>
  <c i="7" r="J22"/>
  <c i="12" r="U33"/>
  <c i="16" r="U27"/>
  <c i="14" r="U24"/>
  <c i="12" r="U27"/>
  <c i="15" r="U26"/>
  <c i="14" r="U31"/>
  <c i="14" r="U22"/>
  <c i="11" r="J27"/>
  <c i="7" r="U25"/>
  <c i="7" r="U27"/>
  <c i="11" r="U25"/>
  <c i="7" r="J32"/>
  <c i="11" r="J31"/>
  <c i="16" r="U33"/>
  <c i="11" r="J33"/>
  <c i="13" r="J33"/>
  <c i="15" r="J33"/>
  <c i="17" r="J33"/>
  <c i="7" r="J33"/>
  <c i="17" r="J32"/>
  <c i="17" r="J23"/>
  <c i="16" r="J24"/>
  <c i="15" r="J25"/>
  <c i="14" r="J27"/>
  <c i="13" r="J32"/>
  <c i="13" r="J23"/>
  <c i="12" r="J24"/>
  <c i="17" r="U27"/>
  <c i="16" r="U32"/>
  <c i="16" r="U23"/>
  <c i="15" r="U24"/>
  <c i="14" r="U25"/>
  <c i="13" r="U27"/>
  <c i="12" r="U32"/>
  <c i="12" r="U23"/>
  <c i="16" r="J26"/>
  <c i="15" r="J31"/>
  <c i="15" r="J22"/>
  <c i="16" r="U26"/>
  <c i="15" r="U31"/>
  <c i="15" r="U22"/>
  <c i="12" r="U26"/>
  <c i="11" r="J32"/>
  <c i="11" r="J23"/>
  <c i="7" r="J23"/>
  <c i="11" r="U27"/>
  <c i="7" r="J25"/>
  <c i="7" r="U23"/>
  <c i="7" r="U32"/>
  <c i="7" r="J24"/>
  <c i="18" r="D26"/>
  <c i="18" r="D27"/>
  <c i="18" r="D25"/>
  <c i="18" r="H31"/>
  <c i="18" r="P26"/>
  <c i="18" r="P22"/>
  <c i="18" r="H24"/>
  <c i="18" r="H23"/>
  <c i="18" r="D32"/>
  <c i="18" r="H27"/>
  <c i="18" r="P32"/>
  <c i="18" r="P27"/>
  <c i="18" r="P25"/>
  <c i="18" r="P24"/>
  <c i="18" r="P23"/>
  <c i="18" r="D31"/>
  <c i="18" r="H26"/>
  <c i="18" r="H25"/>
  <c i="18" r="D24"/>
  <c i="18" r="D23"/>
  <c i="18" r="D22"/>
  <c i="18" r="H32"/>
  <c i="18" r="P31"/>
  <c i="18" r="H22"/>
  <c i="7" r="R50"/>
  <c i="7" r="O40"/>
  <c i="7" r="R43"/>
  <c i="7" r="Q48"/>
  <c i="7" r="S43"/>
  <c i="7" r="P48"/>
  <c i="7" r="N50"/>
  <c i="7" r="M41"/>
  <c i="7" r="P40"/>
  <c i="7" r="O50"/>
  <c i="7" r="N41"/>
  <c i="7" r="O49"/>
  <c i="7" r="S42"/>
  <c i="7" r="P49"/>
  <c i="7" r="T42"/>
  <c i="7" r="Q44"/>
  <c i="7" r="P39"/>
  <c i="7" r="M42"/>
  <c i="7" r="O41"/>
  <c i="7" r="M43"/>
  <c i="7" r="N42"/>
  <c i="7" r="P41"/>
  <c i="7" r="S49"/>
  <c i="7" r="O42"/>
  <c i="7" r="S50"/>
  <c i="7" r="M48"/>
  <c i="7" r="N44"/>
  <c i="7" r="O43"/>
  <c i="7" r="P42"/>
  <c i="7" r="T40"/>
  <c i="7" r="T50"/>
  <c i="7" r="M49"/>
  <c i="7" r="N48"/>
  <c i="7" r="O44"/>
  <c i="7" r="P43"/>
  <c i="7" r="M40"/>
  <c i="7" r="N39"/>
  <c i="7" r="N49"/>
  <c i="7" r="O48"/>
  <c i="7" r="P44"/>
  <c i="7" r="N40"/>
  <c i="7" r="O39"/>
  <c i="17" r="M50"/>
  <c i="14" r="S50"/>
  <c i="18" r="U16"/>
  <c i="18" r="J16"/>
  <c i="17" r="S50"/>
  <c i="17" r="O49"/>
  <c i="17" r="M49"/>
  <c i="17" r="O48"/>
  <c i="17" r="M48"/>
  <c i="17" r="O44"/>
  <c i="17" r="M44"/>
  <c i="17" r="O43"/>
  <c i="17" r="M43"/>
  <c i="17" r="O42"/>
  <c i="17" r="M42"/>
  <c i="17" r="O41"/>
  <c i="17" r="M41"/>
  <c i="17" r="O40"/>
  <c i="17" r="M40"/>
  <c i="17" r="O39"/>
  <c i="17" r="M39"/>
  <c i="17" r="T49"/>
  <c i="17" r="P49"/>
  <c i="17" r="N49"/>
  <c i="17" r="T48"/>
  <c i="17" r="P48"/>
  <c i="17" r="N48"/>
  <c i="17" r="T44"/>
  <c i="17" r="P44"/>
  <c i="17" r="N44"/>
  <c i="17" r="T43"/>
  <c i="17" r="P43"/>
  <c i="17" r="N43"/>
  <c i="17" r="T42"/>
  <c i="17" r="P42"/>
  <c i="17" r="N42"/>
  <c i="17" r="T41"/>
  <c i="17" r="P41"/>
  <c i="17" r="N41"/>
  <c i="17" r="T40"/>
  <c i="17" r="P40"/>
  <c i="17" r="N40"/>
  <c i="17" r="T39"/>
  <c i="17" r="P39"/>
  <c i="17" r="N39"/>
  <c i="17" r="N50"/>
  <c i="17" r="O50"/>
  <c i="16" r="S49"/>
  <c i="16" r="Q49"/>
  <c i="16" r="O49"/>
  <c i="16" r="S48"/>
  <c i="16" r="Q48"/>
  <c i="16" r="O48"/>
  <c i="16" r="S44"/>
  <c i="16" r="Q44"/>
  <c i="16" r="O44"/>
  <c i="16" r="S43"/>
  <c i="16" r="Q43"/>
  <c i="16" r="O43"/>
  <c i="16" r="S42"/>
  <c i="16" r="Q42"/>
  <c i="16" r="O42"/>
  <c i="16" r="S41"/>
  <c i="16" r="Q41"/>
  <c i="16" r="O41"/>
  <c i="16" r="S40"/>
  <c i="16" r="Q40"/>
  <c i="16" r="O40"/>
  <c i="16" r="S39"/>
  <c i="16" r="Q39"/>
  <c i="16" r="O39"/>
  <c i="16" r="R49"/>
  <c i="16" r="P49"/>
  <c i="16" r="N49"/>
  <c i="16" r="R48"/>
  <c i="16" r="P48"/>
  <c i="16" r="N48"/>
  <c i="16" r="R44"/>
  <c i="16" r="P44"/>
  <c i="16" r="N44"/>
  <c i="16" r="R43"/>
  <c i="16" r="P43"/>
  <c i="16" r="N43"/>
  <c i="16" r="R42"/>
  <c i="16" r="P42"/>
  <c i="16" r="N42"/>
  <c i="16" r="R41"/>
  <c i="16" r="P41"/>
  <c i="16" r="N41"/>
  <c i="16" r="R40"/>
  <c i="16" r="P40"/>
  <c i="16" r="N40"/>
  <c i="16" r="R39"/>
  <c i="16" r="P39"/>
  <c i="16" r="N39"/>
  <c i="16" r="S50"/>
  <c i="16" r="O50"/>
  <c i="16" r="T50"/>
  <c i="15" r="O49"/>
  <c i="15" r="O48"/>
  <c i="15" r="O44"/>
  <c i="15" r="O43"/>
  <c i="15" r="O42"/>
  <c i="15" r="O41"/>
  <c i="15" r="O40"/>
  <c i="15" r="O39"/>
  <c i="15" r="P49"/>
  <c i="15" r="N49"/>
  <c i="15" r="P48"/>
  <c i="15" r="N48"/>
  <c i="15" r="P44"/>
  <c i="15" r="N44"/>
  <c i="15" r="P43"/>
  <c i="15" r="N43"/>
  <c i="15" r="P42"/>
  <c i="15" r="N42"/>
  <c i="15" r="P41"/>
  <c i="15" r="N41"/>
  <c i="15" r="P40"/>
  <c i="15" r="N40"/>
  <c i="15" r="P39"/>
  <c i="15" r="N39"/>
  <c i="15" r="S50"/>
  <c i="15" r="O50"/>
  <c i="15" r="T50"/>
  <c i="15" r="P50"/>
  <c i="14" r="S49"/>
  <c i="14" r="S48"/>
  <c i="14" r="S44"/>
  <c i="14" r="S43"/>
  <c i="14" r="S42"/>
  <c i="14" r="S41"/>
  <c i="14" r="S40"/>
  <c i="14" r="S39"/>
  <c i="14" r="R49"/>
  <c i="14" r="R48"/>
  <c i="14" r="R44"/>
  <c i="14" r="R43"/>
  <c i="14" r="R42"/>
  <c i="14" r="R41"/>
  <c i="14" r="R40"/>
  <c i="14" r="R39"/>
  <c i="14" r="R50"/>
  <c i="14" r="N50"/>
  <c i="14" r="M50"/>
  <c i="13" r="T50"/>
  <c i="13" r="P50"/>
  <c i="13" r="S50"/>
  <c i="12" r="S49"/>
  <c i="12" r="O49"/>
  <c i="12" r="S48"/>
  <c i="12" r="O48"/>
  <c i="12" r="S44"/>
  <c i="12" r="O44"/>
  <c i="12" r="S43"/>
  <c i="12" r="O43"/>
  <c i="12" r="S42"/>
  <c i="12" r="O42"/>
  <c i="12" r="S41"/>
  <c i="12" r="O41"/>
  <c i="12" r="S40"/>
  <c i="12" r="O40"/>
  <c i="12" r="S39"/>
  <c i="12" r="O39"/>
  <c i="12" r="R49"/>
  <c i="12" r="R48"/>
  <c i="12" r="R44"/>
  <c i="12" r="R43"/>
  <c i="12" r="R42"/>
  <c i="12" r="R41"/>
  <c i="12" r="R40"/>
  <c i="12" r="R39"/>
  <c i="12" r="S50"/>
  <c i="12" r="O50"/>
  <c i="12" r="T50"/>
  <c i="12" r="P50"/>
  <c i="11" r="Q49"/>
  <c i="11" r="M49"/>
  <c i="11" r="Q48"/>
  <c i="11" r="M48"/>
  <c i="11" r="Q44"/>
  <c i="11" r="M44"/>
  <c i="11" r="Q43"/>
  <c i="11" r="M43"/>
  <c i="11" r="Q42"/>
  <c i="11" r="M42"/>
  <c i="11" r="Q41"/>
  <c i="11" r="M41"/>
  <c i="11" r="Q40"/>
  <c i="11" r="M40"/>
  <c i="11" r="Q39"/>
  <c i="11" r="M39"/>
  <c i="11" r="S50"/>
  <c i="11" r="O50"/>
  <c i="11" r="R50"/>
  <c i="7" r="M39"/>
  <c i="18" l="1" r="P48"/>
  <c i="18" r="AA48" s="1"/>
  <c i="18" r="P41"/>
  <c i="18" r="AA41" s="1"/>
  <c i="11" r="U45"/>
  <c i="18" r="T46"/>
  <c i="18" r="AE46" s="1"/>
  <c i="18" r="R45"/>
  <c i="18" r="AC45" s="1"/>
  <c i="18" r="P40"/>
  <c i="18" r="AA40" s="1"/>
  <c i="18" r="P43"/>
  <c i="18" r="AA43" s="1"/>
  <c i="18" r="P39"/>
  <c i="18" r="AA39" s="1"/>
  <c i="18" r="P44"/>
  <c i="18" r="AA44" s="1"/>
  <c i="18" r="R47"/>
  <c i="18" r="AC47" s="1"/>
  <c i="18" r="M45"/>
  <c i="18" r="X45" s="1"/>
  <c i="15" r="U41"/>
  <c i="18" r="T47"/>
  <c i="18" r="AE47" s="1"/>
  <c i="18" r="T45"/>
  <c i="18" r="AE45" s="1"/>
  <c i="18" r="Q45"/>
  <c i="18" r="AB45" s="1"/>
  <c i="18" r="Q46"/>
  <c i="18" r="AB46" s="1"/>
  <c i="18" r="P46"/>
  <c i="18" r="AA46" s="1"/>
  <c i="18" r="P42"/>
  <c i="18" r="AA42" s="1"/>
  <c i="18" r="M46"/>
  <c i="18" r="X46" s="1"/>
  <c i="18" r="R46"/>
  <c i="18" r="AC46" s="1"/>
  <c i="18" r="P45"/>
  <c i="18" r="AA45" s="1"/>
  <c i="18" r="N46"/>
  <c i="18" r="Y46" s="1"/>
  <c i="17" r="U48"/>
  <c i="18" r="P49"/>
  <c i="18" r="AA49" s="1"/>
  <c i="18" r="O45"/>
  <c i="18" r="Z45" s="1"/>
  <c i="18" r="M47"/>
  <c i="18" r="X47" s="1"/>
  <c i="18" r="N45"/>
  <c i="18" r="Y45" s="1"/>
  <c i="16" r="U49"/>
  <c i="16" r="U45"/>
  <c i="18" r="N47"/>
  <c i="18" r="Y47" s="1"/>
  <c i="18" r="Q47"/>
  <c i="18" r="AB47" s="1"/>
  <c i="12" r="U42"/>
  <c i="12" r="U39"/>
  <c i="15" r="U47"/>
  <c i="18" r="S47"/>
  <c i="18" r="AD47" s="1"/>
  <c i="18" r="S45"/>
  <c i="18" r="AD45" s="1"/>
  <c i="18" r="S46"/>
  <c i="18" r="AD46" s="1"/>
  <c i="7" r="U44"/>
  <c i="7" r="U45"/>
  <c i="13" r="U46"/>
  <c i="15" r="U46"/>
  <c i="17" r="U47"/>
  <c i="11" r="U46"/>
  <c i="15" r="U45"/>
  <c i="15" r="U42"/>
  <c i="18" r="O47"/>
  <c i="18" r="Z47" s="1"/>
  <c i="12" r="U46"/>
  <c i="18" r="U33"/>
  <c i="18" r="U30"/>
  <c i="18" r="U28"/>
  <c i="18" r="J33"/>
  <c i="18" r="J29"/>
  <c i="18" r="J28"/>
  <c i="18" r="J30"/>
  <c i="11" r="U40"/>
  <c i="17" r="U39"/>
  <c i="16" r="U39"/>
  <c i="13" r="U49"/>
  <c i="13" r="U45"/>
  <c i="18" r="O46"/>
  <c i="18" r="Z46" s="1"/>
  <c i="16" r="U47"/>
  <c i="18" r="U29"/>
  <c i="11" r="U43"/>
  <c i="13" r="U44"/>
  <c i="12" r="U45"/>
  <c i="14" r="U45"/>
  <c i="17" r="U46"/>
  <c i="14" r="U42"/>
  <c i="7" r="U50"/>
  <c i="17" r="U50"/>
  <c i="11" r="U50"/>
  <c i="16" r="U40"/>
  <c i="16" r="U44"/>
  <c i="14" r="U43"/>
  <c i="17" r="U49"/>
  <c i="15" r="U40"/>
  <c i="12" r="U44"/>
  <c i="14" r="U41"/>
  <c i="11" r="U49"/>
  <c i="13" r="U40"/>
  <c i="16" r="U41"/>
  <c i="13" r="U41"/>
  <c i="16" r="U42"/>
  <c i="17" r="U42"/>
  <c i="7" r="U40"/>
  <c i="15" r="U39"/>
  <c i="7" r="U48"/>
  <c i="16" r="U48"/>
  <c i="17" r="U41"/>
  <c i="18" r="U24"/>
  <c i="18" r="J26"/>
  <c i="18" r="U22"/>
  <c i="18" r="U27"/>
  <c i="18" r="J24"/>
  <c i="18" r="J27"/>
  <c i="18" r="J22"/>
  <c i="18" r="U23"/>
  <c i="18" r="U32"/>
  <c i="18" r="J31"/>
  <c i="18" r="U31"/>
  <c i="18" r="U25"/>
  <c i="18" r="J23"/>
  <c i="18" r="J25"/>
  <c i="18" r="J32"/>
  <c i="18" r="U26"/>
  <c i="7" r="U49"/>
  <c i="7" r="U43"/>
  <c i="7" r="T39"/>
  <c i="7" r="U42"/>
  <c i="7" r="Q43"/>
  <c i="7" r="M50"/>
  <c i="7" r="S40"/>
  <c i="7" r="Q50"/>
  <c i="7" r="T43"/>
  <c i="7" r="P50"/>
  <c i="7" r="M44"/>
  <c i="7" r="S48"/>
  <c i="7" r="R48"/>
  <c i="7" r="N43"/>
  <c i="7" r="S39"/>
  <c i="7" r="R39"/>
  <c i="7" r="Q39"/>
  <c i="7" r="R42"/>
  <c i="7" r="Q42"/>
  <c i="7" r="U39"/>
  <c i="7" r="R49"/>
  <c i="7" r="Q49"/>
  <c i="7" r="R44"/>
  <c i="7" r="T48"/>
  <c i="7" r="R41"/>
  <c i="7" r="Q41"/>
  <c i="7" r="R40"/>
  <c i="7" r="Q40"/>
  <c i="7" r="T41"/>
  <c i="7" r="S41"/>
  <c i="7" r="T49"/>
  <c i="7" r="T44"/>
  <c i="7" r="S44"/>
  <c i="7" r="U41"/>
  <c i="17" r="Q50"/>
  <c i="17" r="S39"/>
  <c i="17" r="S40"/>
  <c i="17" r="S41"/>
  <c i="17" r="S42"/>
  <c i="17" r="S43"/>
  <c i="17" r="S44"/>
  <c i="17" r="S48"/>
  <c i="17" r="S49"/>
  <c i="17" r="U44"/>
  <c i="17" r="R50"/>
  <c i="17" r="R39"/>
  <c i="17" r="R40"/>
  <c i="17" r="R41"/>
  <c i="17" r="R42"/>
  <c i="17" r="R43"/>
  <c i="17" r="R44"/>
  <c i="17" r="R48"/>
  <c i="17" r="R49"/>
  <c i="17" r="Q39"/>
  <c i="17" r="Q40"/>
  <c i="17" r="Q41"/>
  <c i="17" r="Q42"/>
  <c i="17" r="Q43"/>
  <c i="17" r="Q44"/>
  <c i="17" r="Q48"/>
  <c i="17" r="Q49"/>
  <c i="16" r="P50"/>
  <c i="16" r="M39"/>
  <c i="16" r="M40"/>
  <c i="16" r="M41"/>
  <c i="16" r="M42"/>
  <c i="16" r="M43"/>
  <c i="16" r="M44"/>
  <c i="16" r="M48"/>
  <c i="16" r="M49"/>
  <c i="16" r="U50"/>
  <c i="16" r="T39"/>
  <c i="16" r="T40"/>
  <c i="16" r="T41"/>
  <c i="16" r="T42"/>
  <c i="16" r="T43"/>
  <c i="16" r="T44"/>
  <c i="16" r="T48"/>
  <c i="16" r="T49"/>
  <c i="15" r="U48"/>
  <c i="15" r="S39"/>
  <c i="15" r="S40"/>
  <c i="15" r="S41"/>
  <c i="15" r="S42"/>
  <c i="15" r="S43"/>
  <c i="15" r="S44"/>
  <c i="15" r="S48"/>
  <c i="15" r="S49"/>
  <c i="15" r="U44"/>
  <c i="15" r="R39"/>
  <c i="15" r="R40"/>
  <c i="15" r="R41"/>
  <c i="15" r="R42"/>
  <c i="15" r="R43"/>
  <c i="15" r="R44"/>
  <c i="15" r="R48"/>
  <c i="15" r="R49"/>
  <c i="15" r="Q39"/>
  <c i="15" r="Q40"/>
  <c i="15" r="Q41"/>
  <c i="15" r="Q42"/>
  <c i="15" r="Q43"/>
  <c i="15" r="Q44"/>
  <c i="15" r="Q48"/>
  <c i="15" r="Q49"/>
  <c i="15" r="M39"/>
  <c i="15" r="M40"/>
  <c i="15" r="M41"/>
  <c i="15" r="M42"/>
  <c i="15" r="M43"/>
  <c i="15" r="M44"/>
  <c i="15" r="M48"/>
  <c i="15" r="M49"/>
  <c i="15" r="U50"/>
  <c i="15" r="U49"/>
  <c i="15" r="T39"/>
  <c i="15" r="T40"/>
  <c i="15" r="T41"/>
  <c i="15" r="T42"/>
  <c i="15" r="T43"/>
  <c i="15" r="T44"/>
  <c i="15" r="T48"/>
  <c i="15" r="T49"/>
  <c i="14" r="U39"/>
  <c i="14" r="M39"/>
  <c i="14" r="M40"/>
  <c i="14" r="M41"/>
  <c i="14" r="M42"/>
  <c i="14" r="M43"/>
  <c i="14" r="M44"/>
  <c i="14" r="M48"/>
  <c i="14" r="M49"/>
  <c i="14" r="U50"/>
  <c i="14" r="Q39"/>
  <c i="14" r="Q40"/>
  <c i="14" r="Q41"/>
  <c i="14" r="Q42"/>
  <c i="14" r="Q43"/>
  <c i="14" r="Q44"/>
  <c i="14" r="Q48"/>
  <c i="14" r="Q49"/>
  <c i="14" r="U48"/>
  <c i="14" r="N39"/>
  <c i="14" r="N40"/>
  <c i="14" r="N41"/>
  <c i="14" r="N42"/>
  <c i="14" r="N43"/>
  <c i="14" r="N44"/>
  <c i="14" r="N48"/>
  <c i="14" r="N49"/>
  <c i="14" r="U44"/>
  <c i="14" r="O39"/>
  <c i="14" r="O40"/>
  <c i="14" r="O41"/>
  <c i="14" r="O42"/>
  <c i="14" r="O43"/>
  <c i="14" r="O44"/>
  <c i="14" r="O48"/>
  <c i="14" r="O49"/>
  <c i="14" r="U49"/>
  <c i="13" r="U39"/>
  <c i="13" r="U48"/>
  <c i="13" r="O39"/>
  <c i="13" r="O40"/>
  <c i="13" r="O41"/>
  <c i="13" r="O42"/>
  <c i="13" r="O43"/>
  <c i="13" r="O44"/>
  <c i="13" r="O48"/>
  <c i="13" r="O49"/>
  <c i="13" r="S39"/>
  <c i="13" r="S40"/>
  <c i="13" r="S41"/>
  <c i="13" r="S42"/>
  <c i="13" r="S43"/>
  <c i="13" r="S44"/>
  <c i="13" r="S48"/>
  <c i="13" r="S49"/>
  <c i="13" r="O50"/>
  <c i="13" r="U42"/>
  <c i="12" r="U49"/>
  <c i="12" r="U41"/>
  <c i="12" r="N39"/>
  <c i="12" r="N40"/>
  <c i="12" r="N41"/>
  <c i="12" r="N42"/>
  <c i="12" r="N43"/>
  <c i="12" r="N44"/>
  <c i="12" r="N48"/>
  <c i="12" r="N49"/>
  <c i="12" r="U48"/>
  <c i="12" r="Q39"/>
  <c i="12" r="Q40"/>
  <c i="12" r="Q41"/>
  <c i="12" r="Q42"/>
  <c i="12" r="Q43"/>
  <c i="12" r="Q44"/>
  <c i="12" r="Q48"/>
  <c i="12" r="Q49"/>
  <c i="12" r="U40"/>
  <c i="12" r="P39"/>
  <c i="12" r="P40"/>
  <c i="12" r="P41"/>
  <c i="12" r="P42"/>
  <c i="12" r="P43"/>
  <c i="12" r="P44"/>
  <c i="12" r="P48"/>
  <c i="12" r="P49"/>
  <c i="12" r="M39"/>
  <c i="12" r="M40"/>
  <c i="12" r="M41"/>
  <c i="12" r="M42"/>
  <c i="12" r="M43"/>
  <c i="12" r="M44"/>
  <c i="12" r="M48"/>
  <c i="12" r="M49"/>
  <c i="12" r="U50"/>
  <c i="12" r="T39"/>
  <c i="12" r="T40"/>
  <c i="12" r="T41"/>
  <c i="12" r="T42"/>
  <c i="12" r="T43"/>
  <c i="12" r="T44"/>
  <c i="12" r="T48"/>
  <c i="12" r="T49"/>
  <c i="11" r="U41"/>
  <c i="18" r="S39"/>
  <c i="18" r="AD39" s="1"/>
  <c i="11" r="O39"/>
  <c i="11" r="O40"/>
  <c i="11" r="O41"/>
  <c i="11" r="O42"/>
  <c i="11" r="O43"/>
  <c i="11" r="O44"/>
  <c i="11" r="O48"/>
  <c i="11" r="O49"/>
  <c i="11" r="N39"/>
  <c i="11" r="N40"/>
  <c i="11" r="N41"/>
  <c i="11" r="N42"/>
  <c i="11" r="N43"/>
  <c i="11" r="N44"/>
  <c i="11" r="N48"/>
  <c i="11" r="N49"/>
  <c i="18" r="O50"/>
  <c i="18" r="Z50" s="1"/>
  <c i="11" r="R39"/>
  <c i="11" r="R40"/>
  <c i="11" r="R41"/>
  <c i="11" r="R42"/>
  <c i="11" r="R43"/>
  <c i="11" r="R44"/>
  <c i="11" r="R48"/>
  <c i="11" r="R49"/>
  <c i="11" r="N50"/>
  <c i="11" r="U44"/>
  <c i="11" r="U48"/>
  <c i="11" r="S39"/>
  <c i="11" r="S40"/>
  <c i="11" r="S41"/>
  <c i="11" r="S42"/>
  <c i="11" r="S43"/>
  <c i="11" r="S44"/>
  <c i="11" r="S48"/>
  <c i="11" r="S49"/>
  <c i="11" r="P50"/>
  <c i="11" r="M50"/>
  <c i="17" r="U40"/>
  <c i="17" r="T50"/>
  <c i="17" r="P50"/>
  <c i="16" r="U43"/>
  <c i="16" r="N50"/>
  <c i="16" r="Q50"/>
  <c i="16" r="R50"/>
  <c i="16" r="M50"/>
  <c i="15" r="U43"/>
  <c i="15" r="N50"/>
  <c i="15" r="Q50"/>
  <c i="15" r="R50"/>
  <c i="15" r="M50"/>
  <c i="14" r="P50"/>
  <c i="14" r="Q50"/>
  <c i="14" r="P39"/>
  <c i="14" r="T39"/>
  <c i="14" r="P40"/>
  <c i="14" r="T40"/>
  <c i="14" r="P41"/>
  <c i="14" r="T41"/>
  <c i="14" r="P42"/>
  <c i="14" r="T42"/>
  <c i="14" r="P43"/>
  <c i="14" r="T43"/>
  <c i="14" r="P44"/>
  <c i="14" r="T44"/>
  <c i="14" r="P48"/>
  <c i="14" r="T48"/>
  <c i="14" r="P49"/>
  <c i="14" r="T49"/>
  <c i="14" r="U40"/>
  <c i="14" r="T50"/>
  <c i="14" r="O50"/>
  <c i="13" r="M50"/>
  <c i="13" r="R50"/>
  <c i="13" r="P39"/>
  <c i="13" r="T39"/>
  <c i="13" r="P40"/>
  <c i="13" r="T40"/>
  <c i="13" r="P41"/>
  <c i="13" r="T41"/>
  <c i="13" r="P42"/>
  <c i="13" r="T42"/>
  <c i="13" r="P43"/>
  <c i="13" r="T43"/>
  <c i="13" r="P44"/>
  <c i="13" r="T44"/>
  <c i="13" r="P48"/>
  <c i="13" r="T48"/>
  <c i="13" r="P49"/>
  <c i="13" r="T49"/>
  <c i="13" r="Q50"/>
  <c i="13" r="U43"/>
  <c i="13" r="N50"/>
  <c i="13" r="N39"/>
  <c i="13" r="R39"/>
  <c i="13" r="N40"/>
  <c i="13" r="R40"/>
  <c i="13" r="N41"/>
  <c i="13" r="R41"/>
  <c i="13" r="N42"/>
  <c i="13" r="R42"/>
  <c i="13" r="N43"/>
  <c i="13" r="R43"/>
  <c i="13" r="N44"/>
  <c i="13" r="R44"/>
  <c i="13" r="N48"/>
  <c i="13" r="R48"/>
  <c i="13" r="N49"/>
  <c i="13" r="R49"/>
  <c i="13" r="M39"/>
  <c i="13" r="Q39"/>
  <c i="13" r="M40"/>
  <c i="13" r="Q40"/>
  <c i="13" r="M41"/>
  <c i="13" r="Q41"/>
  <c i="13" r="M42"/>
  <c i="13" r="Q42"/>
  <c i="13" r="M43"/>
  <c i="13" r="Q43"/>
  <c i="13" r="M44"/>
  <c i="13" r="Q44"/>
  <c i="13" r="M48"/>
  <c i="13" r="Q48"/>
  <c i="13" r="M49"/>
  <c i="13" r="Q49"/>
  <c i="13" r="U50"/>
  <c i="12" r="U43"/>
  <c i="12" r="N50"/>
  <c i="12" r="Q50"/>
  <c i="12" r="R50"/>
  <c i="12" r="M50"/>
  <c i="11" r="P39"/>
  <c i="11" r="T39"/>
  <c i="11" r="P40"/>
  <c i="11" r="T40"/>
  <c i="11" r="P41"/>
  <c i="11" r="T41"/>
  <c i="11" r="P42"/>
  <c i="11" r="T42"/>
  <c i="11" r="P43"/>
  <c i="11" r="T43"/>
  <c i="11" r="P44"/>
  <c i="11" r="T44"/>
  <c i="11" r="P48"/>
  <c i="11" r="T48"/>
  <c i="11" r="P49"/>
  <c i="11" r="T49"/>
  <c i="11" r="U42"/>
  <c i="11" r="T50"/>
  <c i="11" r="Q50"/>
  <c i="18" l="1" r="U43"/>
  <c i="18" r="AF43" s="1"/>
  <c i="18" r="U46"/>
  <c i="18" r="AF46" s="1"/>
  <c i="18" r="U50"/>
  <c i="18" r="AF50" s="1"/>
  <c i="18" r="U47"/>
  <c i="18" r="AF47" s="1"/>
  <c i="18" r="U45"/>
  <c i="18" r="AF45" s="1"/>
  <c i="18" r="M50"/>
  <c i="18" r="X50" s="1"/>
  <c i="18" r="T42"/>
  <c i="18" r="AE42" s="1"/>
  <c i="18" r="N41"/>
  <c i="18" r="Y41" s="1"/>
  <c i="18" r="T50"/>
  <c i="18" r="AE50" s="1"/>
  <c i="18" r="U40"/>
  <c i="18" r="AF40" s="1"/>
  <c i="18" r="U41"/>
  <c i="18" r="AF41" s="1"/>
  <c i="18" r="T43"/>
  <c i="18" r="AE43" s="1"/>
  <c i="18" r="M40"/>
  <c i="18" r="X40" s="1"/>
  <c i="18" r="T41"/>
  <c i="18" r="AE41" s="1"/>
  <c i="18" r="M39"/>
  <c i="18" r="X39" s="1"/>
  <c i="18" r="U39"/>
  <c i="18" r="AF39" s="1"/>
  <c i="18" r="T48"/>
  <c i="18" r="AE48" s="1"/>
  <c i="18" r="O40"/>
  <c i="18" r="Z40" s="1"/>
  <c i="18" r="T39"/>
  <c i="18" r="AE39" s="1"/>
  <c i="18" r="M48"/>
  <c i="18" r="X48" s="1"/>
  <c i="18" r="U42"/>
  <c i="18" r="AF42" s="1"/>
  <c i="18" r="Q48"/>
  <c i="18" r="AB48" s="1"/>
  <c i="18" r="Q49"/>
  <c i="18" r="AB49" s="1"/>
  <c i="18" r="S49"/>
  <c i="18" r="AD49" s="1"/>
  <c i="18" r="U49"/>
  <c i="18" r="AF49" s="1"/>
  <c i="18" r="T44"/>
  <c i="18" r="AE44" s="1"/>
  <c i="18" r="T49"/>
  <c i="18" r="AE49" s="1"/>
  <c i="18" r="N42"/>
  <c i="18" r="Y42" s="1"/>
  <c i="18" r="N43"/>
  <c i="18" r="Y43" s="1"/>
  <c i="18" r="Q39"/>
  <c i="18" r="AB39" s="1"/>
  <c i="18" r="M41"/>
  <c i="18" r="X41" s="1"/>
  <c i="18" r="T40"/>
  <c i="18" r="AE40" s="1"/>
  <c i="18" r="U48"/>
  <c i="18" r="AF48" s="1"/>
  <c i="18" r="U44"/>
  <c i="18" r="AF44" s="1"/>
  <c i="18" r="M43"/>
  <c i="18" r="X43" s="1"/>
  <c i="18" r="Q42"/>
  <c i="18" r="AB42" s="1"/>
  <c i="18" r="S40"/>
  <c i="18" r="AD40" s="1"/>
  <c i="18" r="N49"/>
  <c i="18" r="Y49" s="1"/>
  <c i="18" r="N40"/>
  <c i="18" r="Y40" s="1"/>
  <c i="18" r="R48"/>
  <c i="18" r="AC48" s="1"/>
  <c i="18" r="R39"/>
  <c i="18" r="AC39" s="1"/>
  <c i="18" r="S43"/>
  <c i="18" r="AD43" s="1"/>
  <c i="18" r="N50"/>
  <c i="18" r="Y50" s="1"/>
  <c i="18" r="O48"/>
  <c i="18" r="Z48" s="1"/>
  <c i="18" r="S50"/>
  <c i="18" r="AD50" s="1"/>
  <c i="18" r="R40"/>
  <c i="18" r="AC40" s="1"/>
  <c i="18" r="S44"/>
  <c i="18" r="AD44" s="1"/>
  <c i="18" r="R50"/>
  <c i="18" r="AC50" s="1"/>
  <c i="18" r="O39"/>
  <c i="18" r="Z39" s="1"/>
  <c i="18" r="Q43"/>
  <c i="18" r="AB43" s="1"/>
  <c i="18" r="N44"/>
  <c i="18" r="Y44" s="1"/>
  <c i="18" r="R41"/>
  <c i="18" r="AC41" s="1"/>
  <c i="18" r="S42"/>
  <c i="18" r="AD42" s="1"/>
  <c i="18" r="M44"/>
  <c i="18" r="X44" s="1"/>
  <c i="18" r="N48"/>
  <c i="18" r="Y48" s="1"/>
  <c i="18" r="N39"/>
  <c i="18" r="Y39" s="1"/>
  <c i="18" r="Q40"/>
  <c i="18" r="AB40" s="1"/>
  <c i="18" r="M49"/>
  <c i="18" r="X49" s="1"/>
  <c i="18" r="S41"/>
  <c i="18" r="AD41" s="1"/>
  <c i="18" r="R49"/>
  <c i="18" r="AC49" s="1"/>
  <c i="18" r="R42"/>
  <c i="18" r="AC42" s="1"/>
  <c i="18" r="O49"/>
  <c i="18" r="Z49" s="1"/>
  <c i="18" r="O42"/>
  <c i="18" r="Z42" s="1"/>
  <c i="18" r="R43"/>
  <c i="18" r="AC43" s="1"/>
  <c i="18" r="S48"/>
  <c i="18" r="AD48" s="1"/>
  <c i="18" r="O43"/>
  <c i="18" r="Z43" s="1"/>
  <c i="18" r="Q44"/>
  <c i="18" r="AB44" s="1"/>
  <c i="18" r="Q41"/>
  <c i="18" r="AB41" s="1"/>
  <c i="18" r="Q50"/>
  <c i="18" r="AB50" s="1"/>
  <c i="18" r="R44"/>
  <c i="18" r="AC44" s="1"/>
  <c i="18" r="M42"/>
  <c i="18" r="X42" s="1"/>
  <c i="18" r="O44"/>
  <c i="18" r="Z44" s="1"/>
  <c i="18" r="O41"/>
  <c i="18" r="Z41" s="1"/>
</calcChain>
</file>

<file path=xl/sharedStrings.xml><?xml version="1.0" encoding="utf-8"?>
<sst xmlns="http://schemas.openxmlformats.org/spreadsheetml/2006/main" count="1105" uniqueCount="60">
  <si>
    <t>Mode</t>
  </si>
  <si>
    <t>Drive Alone</t>
  </si>
  <si>
    <t>Shared Ride 2</t>
  </si>
  <si>
    <t>Shared Ride 3+</t>
  </si>
  <si>
    <t>Bike</t>
  </si>
  <si>
    <t>Walk</t>
  </si>
  <si>
    <t>Work Tour Mode</t>
  </si>
  <si>
    <t>Total</t>
  </si>
  <si>
    <t>Table X. Estimated-Observed Workbased Tour Mode Share Difference</t>
  </si>
  <si>
    <t>Shared Ride 2 - Driver</t>
  </si>
  <si>
    <t>Shared Ride 3+ - Driver</t>
  </si>
  <si>
    <t>DA</t>
  </si>
  <si>
    <t>SR2</t>
  </si>
  <si>
    <t>SR3+</t>
  </si>
  <si>
    <t>D-Trans</t>
  </si>
  <si>
    <t>W-Trans</t>
  </si>
  <si>
    <t>Sch Bus</t>
  </si>
  <si>
    <t>Table X. Estimated-Observed Work Tour Mode Share Difference</t>
  </si>
  <si>
    <t>Table X. Estimated-Observed School Tour Mode Share Difference</t>
  </si>
  <si>
    <t>Table X. Estimated-Observed Escort Tour Mode Share Difference</t>
  </si>
  <si>
    <t>Table X. Estimated-Observed Personal Business Tour Mode Share Difference</t>
  </si>
  <si>
    <t>Table X. Estimated-Observed Shop Tour Mode Share Difference</t>
  </si>
  <si>
    <t>Table X. Estimated-Observed Meal Tour Mode Share Difference</t>
  </si>
  <si>
    <t>Table X. Estimated-Observed Social/Recreational Tour Mode Share Difference</t>
  </si>
  <si>
    <t>School Bus</t>
  </si>
  <si>
    <t>Table X. Estimated Work Tour Mode Shares: DaySim</t>
  </si>
  <si>
    <t>Table X. Estimated Work Tour Modes: DaySim</t>
  </si>
  <si>
    <t>Table X. Estimated Workbased Tour Mode Shares: DaySim</t>
  </si>
  <si>
    <t>Table X. Estimated Workbased Tour Modes: DaySim</t>
  </si>
  <si>
    <t>Table X. Estimated School Tour Modes: DaySim</t>
  </si>
  <si>
    <t>Table X. Estimated School Tour Mode Shares: DaySim</t>
  </si>
  <si>
    <t>Table X. Estimated Escort Tour Modes: DaySim</t>
  </si>
  <si>
    <t>Table X. Estimated Escort Tour Mode Shares: DaySim</t>
  </si>
  <si>
    <t>Table X. Estimated Personal Business Tour Modes: DaySim</t>
  </si>
  <si>
    <t>Table X. Estimated Personal Business Tour Mode Shares: DaySim</t>
  </si>
  <si>
    <t>Table X. Estimated Shop Tour Modes: DaySim</t>
  </si>
  <si>
    <t>Table X. Estimated Shop Tour Mode Shares: DaySim</t>
  </si>
  <si>
    <t>Table X. Estimated Meal Tour Mode Shares: DaySim</t>
  </si>
  <si>
    <t>Table X. Estimated Meal Tour Modes: DaySim</t>
  </si>
  <si>
    <t>Table X. Estimated Social/Recreational Tour Modes: DaySim</t>
  </si>
  <si>
    <t>Table X. Estimated Social/Recreational Tour Mode Shares: DaySim</t>
  </si>
  <si>
    <t>Workbased Tour Mode</t>
  </si>
  <si>
    <t>School Tour Mode</t>
  </si>
  <si>
    <t>Escort Tour Mode</t>
  </si>
  <si>
    <t>Personal Business Tour Mode</t>
  </si>
  <si>
    <t>Meal Tour Mode</t>
  </si>
  <si>
    <t>SocRec Tour Mode</t>
  </si>
  <si>
    <t>All Purposes Tour Mode</t>
  </si>
  <si>
    <t>TRIP MODE CHOICE ALL PURPOSES: EST-OBS</t>
  </si>
  <si>
    <t>For work-based tours, it is based on Work tour mode</t>
  </si>
  <si>
    <t>This set of summaries is just a crosstabulations from the trip file based on tour mode</t>
  </si>
  <si>
    <t>Transit - localbus</t>
  </si>
  <si>
    <t>Transit - lightrail</t>
  </si>
  <si>
    <t>Transit - premium bus</t>
  </si>
  <si>
    <t>Transit - commuter rail</t>
  </si>
  <si>
    <t>Transit - ferry</t>
  </si>
  <si>
    <t>SR3</t>
  </si>
  <si>
    <t>Shop Tour Mode</t>
  </si>
  <si>
    <t>Table X. Observed Work Tour Modes: Survey</t>
  </si>
  <si>
    <t>Table X. Observed Work Tour Mode Shares: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</si>
</sst>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%"/>
    <numFmt numFmtId="165" formatCode="mm/dd/yyyy\ hh:mm:ss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5" fontId="5" numFmtId="0">
      <alignment wrapText="1"/>
    </xf>
    <xf borderId="0" fillId="0" fontId="5" numFmtId="165">
      <alignment wrapText="1"/>
    </xf>
    <xf borderId="0" fillId="0" fontId="5" numFmtId="0">
      <alignment wrapText="1"/>
    </xf>
    <xf borderId="0" fillId="0" fontId="5" numFmtId="0">
      <alignment wrapText="1"/>
    </xf>
    <xf borderId="0" fillId="0" fontId="5" numFmtId="0">
      <alignment wrapText="1"/>
    </xf>
    <xf borderId="0" fillId="0" fontId="5" numFmtId="165">
      <alignment wrapText="1"/>
    </xf>
  </cellStyleXfs>
  <cellXfs count="33">
    <xf borderId="0" fillId="0" fontId="0" numFmtId="0" xfId="0"/>
    <xf applyBorder="1" applyFont="1" borderId="1" fillId="0" fontId="1" numFmtId="0" xfId="0"/>
    <xf applyBorder="1" borderId="1" fillId="0" fontId="0" numFmtId="0" xfId="0"/>
    <xf applyBorder="1" applyFont="1" borderId="0" fillId="0" fontId="1" numFmtId="0" xfId="0"/>
    <xf applyBorder="1" borderId="2" fillId="0" fontId="0" numFmtId="0" xfId="0"/>
    <xf applyAlignment="1" applyBorder="1" borderId="2" fillId="0" fontId="0" numFmtId="0" xfId="0">
      <alignment horizontal="center"/>
    </xf>
    <xf applyNumberFormat="1" borderId="0" fillId="0" fontId="0" numFmtId="3" xfId="0"/>
    <xf applyAlignment="1" applyBorder="1" borderId="0" fillId="0" fontId="0" numFmtId="0" xfId="0">
      <alignment horizontal="center"/>
    </xf>
    <xf applyBorder="1" applyNumberFormat="1" borderId="0" fillId="0" fontId="0" numFmtId="3" xfId="0"/>
    <xf applyBorder="1" applyFill="1" applyNumberFormat="1" borderId="1" fillId="0" fontId="0" numFmtId="3" xfId="0"/>
    <xf applyBorder="1" applyNumberFormat="1" borderId="2" fillId="0" fontId="0" numFmtId="3" xfId="0"/>
    <xf applyAlignment="1" applyBorder="1" borderId="0" fillId="0" fontId="0" numFmtId="0" xfId="0">
      <alignment horizontal="center"/>
    </xf>
    <xf applyBorder="1" applyFill="1" borderId="3" fillId="0" fontId="0" numFmtId="0" xfId="0"/>
    <xf applyNumberFormat="1" borderId="0" fillId="0" fontId="0" numFmtId="164" xfId="0"/>
    <xf applyBorder="1" applyNumberFormat="1" borderId="2" fillId="0" fontId="0" numFmtId="164" xfId="0"/>
    <xf applyBorder="1" applyNumberFormat="1" borderId="3" fillId="0" fontId="0" numFmtId="164" xfId="0"/>
    <xf applyBorder="1" applyNumberFormat="1" borderId="3" fillId="0" fontId="0" numFmtId="3" xfId="0"/>
    <xf applyBorder="1" applyNumberFormat="1" borderId="0" fillId="0" fontId="0" numFmtId="164" xfId="0"/>
    <xf applyBorder="1" applyFill="1" applyFont="1" borderId="1" fillId="2" fontId="1" numFmtId="0" xfId="0"/>
    <xf applyBorder="1" applyFill="1" borderId="1" fillId="2" fontId="0" numFmtId="0" xfId="0"/>
    <xf applyBorder="1" applyFill="1" borderId="2" fillId="2" fontId="0" numFmtId="0" xfId="0"/>
    <xf applyFill="1" borderId="0" fillId="2" fontId="0" numFmtId="0" xfId="0"/>
    <xf applyFill="1" applyNumberFormat="1" borderId="0" fillId="2" fontId="0" numFmtId="164" xfId="0"/>
    <xf applyBorder="1" applyFill="1" applyFont="1" borderId="0" fillId="3" fontId="3" numFmtId="0" xfId="0"/>
    <xf applyAlignment="1" applyBorder="1" applyFill="1" applyFont="1" borderId="0" fillId="3" fontId="4" numFmtId="0" xfId="0">
      <alignment horizontal="center"/>
    </xf>
    <xf applyBorder="1" applyFill="1" applyFont="1" borderId="2" fillId="3" fontId="4" numFmtId="0" xfId="0"/>
    <xf applyAlignment="1" applyBorder="1" applyFill="1" applyFont="1" borderId="2" fillId="3" fontId="4" numFmtId="0" xfId="0">
      <alignment horizontal="center"/>
    </xf>
    <xf applyFill="1" borderId="0" fillId="4" fontId="0" numFmtId="0" xfId="0"/>
    <xf applyBorder="1" applyFill="1" applyNumberFormat="1" borderId="1" fillId="4" fontId="0" numFmtId="3" xfId="0"/>
    <xf applyBorder="1" applyFill="1" applyNumberFormat="1" borderId="3" fillId="4" fontId="0" numFmtId="164" xfId="0"/>
    <xf applyAlignment="1" applyBorder="1" applyFill="1" applyFont="1" borderId="0" fillId="3" fontId="4" numFmtId="0" xfId="0">
      <alignment horizontal="center"/>
    </xf>
    <xf applyAlignment="1" applyBorder="1" borderId="0" fillId="0" fontId="0" numFmtId="0" xfId="0">
      <alignment horizontal="center"/>
    </xf>
    <xf applyAlignment="1" applyBorder="1" applyFont="1" borderId="0" fillId="0" fontId="0" numFmtId="0" xfId="0">
      <alignment horizontal="center"/>
    </xf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theme/theme1.xml" Type="http://schemas.openxmlformats.org/officeDocument/2006/relationships/theme"/>
<Relationship Id="rId12" Target="styles.xml" Type="http://schemas.openxmlformats.org/officeDocument/2006/relationships/styles"/>
<Relationship Id="rId13" Target="sharedStrings.xml" Type="http://schemas.openxmlformats.org/officeDocument/2006/relationships/sharedStrings"/>
<Relationship Id="rId14" Target="calcChain.xml" Type="http://schemas.openxmlformats.org/officeDocument/2006/relationships/calcChain"/>
<Relationship Id="rId15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2:AG50"/>
  <sheetViews>
    <sheetView tabSelected="1" workbookViewId="0">
      <selection activeCell="U8" sqref="U8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  <col min="24" max="24" customWidth="true" width="25.0" collapsed="true"/>
    <col min="25" max="33" customWidth="true" width="10.7109375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26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47</v>
      </c>
      <c r="C3" s="32"/>
      <c r="D3" s="32"/>
      <c r="E3" s="32"/>
      <c r="F3" s="32"/>
      <c r="G3" s="32"/>
      <c r="H3" s="32"/>
      <c r="I3" s="32"/>
      <c r="J3" s="11"/>
      <c r="L3" s="3"/>
      <c r="M3" s="31" t="s">
        <v>47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>
        <f>SUM(Work!B5,Workbased!B5,School!B5,Escort!B5,Personal_Business!B5,Shop!B5,Meal!B5,SocRec!B5)</f>
        <v>5487901.7843119791</v>
      </c>
      <c r="C5" s="6">
        <f>SUM(Work!C5,Workbased!C5,School!C5,Escort!C5,Personal_Business!C5,Shop!C5,Meal!C5,SocRec!C5)</f>
        <v>872301.60612653592</v>
      </c>
      <c r="D5" s="6">
        <f>SUM(Work!D5,Workbased!D5,School!D5,Escort!D5,Personal_Business!D5,Shop!D5,Meal!D5,SocRec!D5)</f>
        <v>367911.12524327164</v>
      </c>
      <c r="E5" s="6">
        <f>SUM(Work!E5,Workbased!E5,School!E5,Escort!E5,Personal_Business!E5,Shop!E5,Meal!E5,SocRec!E5)</f>
        <v>113555.85728768079</v>
      </c>
      <c r="F5" s="6">
        <f>SUM(Work!F5,Workbased!F5,School!F5,Escort!F5,Personal_Business!F5,Shop!F5,Meal!F5,SocRec!F5)</f>
        <v>17623.451196402697</v>
      </c>
      <c r="G5" s="6">
        <f>SUM(Work!G5,Workbased!G5,School!G5,Escort!G5,Personal_Business!G5,Shop!G5,Meal!G5,SocRec!G5)</f>
        <v>0</v>
      </c>
      <c r="H5" s="6">
        <f>SUM(Work!H5,Workbased!H5,School!H5,Escort!H5,Personal_Business!H5,Shop!H5,Meal!H5,SocRec!H5)</f>
        <v>0</v>
      </c>
      <c r="I5" s="6">
        <f>SUM(Work!I5,Workbased!I5,School!I5,Escort!I5,Personal_Business!I5,Shop!I5,Meal!I5,SocRec!I5)</f>
        <v>1686.3203314759999</v>
      </c>
      <c r="J5" s="6">
        <f>SUM(B5:I5)</f>
        <v>6860980.1444973452</v>
      </c>
      <c r="K5" s="6"/>
      <c r="L5" t="s">
        <v>1</v>
      </c>
      <c r="M5" s="6">
        <f>SUM(Work!M5,Workbased!M5,School!M5,Escort!M5,Personal_Business!M5,Shop!M5,Meal!M5,SocRec!M5)</f>
        <v>5681952.1003364511</v>
      </c>
      <c r="N5" s="6">
        <f>SUM(Work!N5,Workbased!N5,School!N5,Escort!N5,Personal_Business!N5,Shop!N5,Meal!N5,SocRec!N5)</f>
        <v>872896.757063061</v>
      </c>
      <c r="O5" s="6">
        <f>SUM(Work!O5,Workbased!O5,School!O5,Escort!O5,Personal_Business!O5,Shop!O5,Meal!O5,SocRec!O5)</f>
        <v>372678.28607434593</v>
      </c>
      <c r="P5" s="6">
        <f>SUM(Work!P5,Workbased!P5,School!P5,Escort!P5,Personal_Business!P5,Shop!P5,Meal!P5,SocRec!P5)</f>
        <v>90122.93919468332</v>
      </c>
      <c r="Q5" s="6">
        <f>SUM(Work!Q5,Workbased!Q5,School!Q5,Escort!Q5,Personal_Business!Q5,Shop!Q5,Meal!Q5,SocRec!Q5)</f>
        <v>20018.171484665811</v>
      </c>
      <c r="R5" s="6">
        <f>SUM(Work!R5,Workbased!R5,School!R5,Escort!R5,Personal_Business!R5,Shop!R5,Meal!R5,SocRec!R5)</f>
        <v>0</v>
      </c>
      <c r="S5" s="6">
        <f>SUM(Work!S5,Workbased!S5,School!S5,Escort!S5,Personal_Business!S5,Shop!S5,Meal!S5,SocRec!S5)</f>
        <v>0</v>
      </c>
      <c r="T5" s="6">
        <f>SUM(Work!T5,Workbased!T5,School!T5,Escort!T5,Personal_Business!T5,Shop!T5,Meal!T5,SocRec!T5)</f>
        <v>1323.4637388917638</v>
      </c>
      <c r="U5" s="6">
        <f ref="U5:U15" si="0" t="shared">SUM(M5:T5)</f>
        <v>7038991.7178920992</v>
      </c>
    </row>
    <row r="6" spans="1:21" x14ac:dyDescent="0.25">
      <c r="A6" t="s">
        <v>12</v>
      </c>
      <c r="B6" s="6">
        <f>SUM(Work!B6,Workbased!B6,School!B6,Escort!B6,Personal_Business!B6,Shop!B6,Meal!B6,SocRec!B6)</f>
        <v>0</v>
      </c>
      <c r="C6" s="6">
        <f>SUM(Work!C6,Workbased!C6,School!C6,Escort!C6,Personal_Business!C6,Shop!C6,Meal!C6,SocRec!C6)</f>
        <v>2988044.8520134166</v>
      </c>
      <c r="D6" s="6">
        <f>SUM(Work!D6,Workbased!D6,School!D6,Escort!D6,Personal_Business!D6,Shop!D6,Meal!D6,SocRec!D6)</f>
        <v>578286.39053844463</v>
      </c>
      <c r="E6" s="6">
        <f>SUM(Work!E6,Workbased!E6,School!E6,Escort!E6,Personal_Business!E6,Shop!E6,Meal!E6,SocRec!E6)</f>
        <v>5197.0034058516994</v>
      </c>
      <c r="F6" s="6">
        <f>SUM(Work!F6,Workbased!F6,School!F6,Escort!F6,Personal_Business!F6,Shop!F6,Meal!F6,SocRec!F6)</f>
        <v>76570.990121661715</v>
      </c>
      <c r="G6" s="6">
        <f>SUM(Work!G6,Workbased!G6,School!G6,Escort!G6,Personal_Business!G6,Shop!G6,Meal!G6,SocRec!G6)</f>
        <v>0</v>
      </c>
      <c r="H6" s="6">
        <f>SUM(Work!H6,Workbased!H6,School!H6,Escort!H6,Personal_Business!H6,Shop!H6,Meal!H6,SocRec!H6)</f>
        <v>0</v>
      </c>
      <c r="I6" s="6">
        <f>SUM(Work!I6,Workbased!I6,School!I6,Escort!I6,Personal_Business!I6,Shop!I6,Meal!I6,SocRec!I6)</f>
        <v>45050.370104024005</v>
      </c>
      <c r="J6" s="6">
        <f ref="J6:J15" si="1" t="shared">SUM(B6:I6)</f>
        <v>3693149.606183399</v>
      </c>
      <c r="K6" s="6"/>
      <c r="L6" t="s">
        <v>12</v>
      </c>
      <c r="M6" s="6">
        <f>SUM(Work!M6,Workbased!M6,School!M6,Escort!M6,Personal_Business!M6,Shop!M6,Meal!M6,SocRec!M6)</f>
        <v>0</v>
      </c>
      <c r="N6" s="6">
        <f>SUM(Work!N6,Workbased!N6,School!N6,Escort!N6,Personal_Business!N6,Shop!N6,Meal!N6,SocRec!N6)</f>
        <v>3114273.0606877715</v>
      </c>
      <c r="O6" s="6">
        <f>SUM(Work!O6,Workbased!O6,School!O6,Escort!O6,Personal_Business!O6,Shop!O6,Meal!O6,SocRec!O6)</f>
        <v>567491.33601770864</v>
      </c>
      <c r="P6" s="6">
        <f>SUM(Work!P6,Workbased!P6,School!P6,Escort!P6,Personal_Business!P6,Shop!P6,Meal!P6,SocRec!P6)</f>
        <v>3394.3715472643617</v>
      </c>
      <c r="Q6" s="6">
        <f>SUM(Work!Q6,Workbased!Q6,School!Q6,Escort!Q6,Personal_Business!Q6,Shop!Q6,Meal!Q6,SocRec!Q6)</f>
        <v>45530.890179421229</v>
      </c>
      <c r="R6" s="6">
        <f>SUM(Work!R6,Workbased!R6,School!R6,Escort!R6,Personal_Business!R6,Shop!R6,Meal!R6,SocRec!R6)</f>
        <v>0</v>
      </c>
      <c r="S6" s="6">
        <f>SUM(Work!S6,Workbased!S6,School!S6,Escort!S6,Personal_Business!S6,Shop!S6,Meal!S6,SocRec!S6)</f>
        <v>0</v>
      </c>
      <c r="T6" s="6">
        <f>SUM(Work!T6,Workbased!T6,School!T6,Escort!T6,Personal_Business!T6,Shop!T6,Meal!T6,SocRec!T6)</f>
        <v>57086.775252520281</v>
      </c>
      <c r="U6" s="6">
        <f si="0" t="shared"/>
        <v>3787776.4336846862</v>
      </c>
    </row>
    <row r="7" spans="1:21" x14ac:dyDescent="0.25">
      <c r="A7" t="s">
        <v>56</v>
      </c>
      <c r="B7" s="6">
        <f>SUM(Work!B7,Workbased!B7,School!B7,Escort!B7,Personal_Business!B7,Shop!B7,Meal!B7,SocRec!B7)</f>
        <v>0</v>
      </c>
      <c r="C7" s="6">
        <f>SUM(Work!C7,Workbased!C7,School!C7,Escort!C7,Personal_Business!C7,Shop!C7,Meal!C7,SocRec!C7)</f>
        <v>0</v>
      </c>
      <c r="D7" s="6">
        <f>SUM(Work!D7,Workbased!D7,School!D7,Escort!D7,Personal_Business!D7,Shop!D7,Meal!D7,SocRec!D7)</f>
        <v>2542495.5579287075</v>
      </c>
      <c r="E7" s="6">
        <f>SUM(Work!E7,Workbased!E7,School!E7,Escort!E7,Personal_Business!E7,Shop!E7,Meal!E7,SocRec!E7)</f>
        <v>4202.0137338710001</v>
      </c>
      <c r="F7" s="6">
        <f>SUM(Work!F7,Workbased!F7,School!F7,Escort!F7,Personal_Business!F7,Shop!F7,Meal!F7,SocRec!F7)</f>
        <v>20670.845848217003</v>
      </c>
      <c r="G7" s="6">
        <f>SUM(Work!G7,Workbased!G7,School!G7,Escort!G7,Personal_Business!G7,Shop!G7,Meal!G7,SocRec!G7)</f>
        <v>0</v>
      </c>
      <c r="H7" s="6">
        <f>SUM(Work!H7,Workbased!H7,School!H7,Escort!H7,Personal_Business!H7,Shop!H7,Meal!H7,SocRec!H7)</f>
        <v>0</v>
      </c>
      <c r="I7" s="6">
        <f>SUM(Work!I7,Workbased!I7,School!I7,Escort!I7,Personal_Business!I7,Shop!I7,Meal!I7,SocRec!I7)</f>
        <v>71299.33425</v>
      </c>
      <c r="J7" s="6">
        <f si="1" t="shared"/>
        <v>2638667.7517607952</v>
      </c>
      <c r="K7" s="6"/>
      <c r="L7" t="s">
        <v>56</v>
      </c>
      <c r="M7" s="6">
        <f>SUM(Work!M7,Workbased!M7,School!M7,Escort!M7,Personal_Business!M7,Shop!M7,Meal!M7,SocRec!M7)</f>
        <v>0</v>
      </c>
      <c r="N7" s="6">
        <f>SUM(Work!N7,Workbased!N7,School!N7,Escort!N7,Personal_Business!N7,Shop!N7,Meal!N7,SocRec!N7)</f>
        <v>0</v>
      </c>
      <c r="O7" s="6">
        <f>SUM(Work!O7,Workbased!O7,School!O7,Escort!O7,Personal_Business!O7,Shop!O7,Meal!O7,SocRec!O7)</f>
        <v>2466036.6223867517</v>
      </c>
      <c r="P7" s="6">
        <f>SUM(Work!P7,Workbased!P7,School!P7,Escort!P7,Personal_Business!P7,Shop!P7,Meal!P7,SocRec!P7)</f>
        <v>3263.1331898904514</v>
      </c>
      <c r="Q7" s="6">
        <f>SUM(Work!Q7,Workbased!Q7,School!Q7,Escort!Q7,Personal_Business!Q7,Shop!Q7,Meal!Q7,SocRec!Q7)</f>
        <v>20628.331350602024</v>
      </c>
      <c r="R7" s="6">
        <f>SUM(Work!R7,Workbased!R7,School!R7,Escort!R7,Personal_Business!R7,Shop!R7,Meal!R7,SocRec!R7)</f>
        <v>0</v>
      </c>
      <c r="S7" s="6">
        <f>SUM(Work!S7,Workbased!S7,School!S7,Escort!S7,Personal_Business!S7,Shop!S7,Meal!S7,SocRec!S7)</f>
        <v>6.74226403823178</v>
      </c>
      <c r="T7" s="6">
        <f>SUM(Work!T7,Workbased!T7,School!T7,Escort!T7,Personal_Business!T7,Shop!T7,Meal!T7,SocRec!T7)</f>
        <v>57201.129948394584</v>
      </c>
      <c r="U7" s="6">
        <f si="0" t="shared"/>
        <v>2547135.9591396772</v>
      </c>
    </row>
    <row r="8" spans="1:21" x14ac:dyDescent="0.25">
      <c r="A8" t="s">
        <v>51</v>
      </c>
      <c r="B8" s="6">
        <f>SUM(Work!B8,Workbased!B8,School!B8,Escort!B8,Personal_Business!B8,Shop!B8,Meal!B8,SocRec!B8)</f>
        <v>0</v>
      </c>
      <c r="C8" s="6">
        <f>SUM(Work!C8,Workbased!C8,School!C8,Escort!C8,Personal_Business!C8,Shop!C8,Meal!C8,SocRec!C8)</f>
        <v>0</v>
      </c>
      <c r="D8" s="6">
        <f>SUM(Work!D8,Workbased!D8,School!D8,Escort!D8,Personal_Business!D8,Shop!D8,Meal!D8,SocRec!D8)</f>
        <v>0</v>
      </c>
      <c r="E8" s="6">
        <f>SUM(Work!E8,Workbased!E8,School!E8,Escort!E8,Personal_Business!E8,Shop!E8,Meal!E8,SocRec!E8)</f>
        <v>111303.5389245945</v>
      </c>
      <c r="F8" s="6">
        <f>SUM(Work!F8,Workbased!F8,School!F8,Escort!F8,Personal_Business!F8,Shop!F8,Meal!F8,SocRec!F8)</f>
        <v>694175.94818319683</v>
      </c>
      <c r="G8" s="6">
        <f>SUM(Work!G8,Workbased!G8,School!G8,Escort!G8,Personal_Business!G8,Shop!G8,Meal!G8,SocRec!G8)</f>
        <v>0</v>
      </c>
      <c r="H8" s="6">
        <f>SUM(Work!H8,Workbased!H8,School!H8,Escort!H8,Personal_Business!H8,Shop!H8,Meal!H8,SocRec!H8)</f>
        <v>0</v>
      </c>
      <c r="I8" s="6">
        <f>SUM(Work!I8,Workbased!I8,School!I8,Escort!I8,Personal_Business!I8,Shop!I8,Meal!I8,SocRec!I8)</f>
        <v>10298.046276788</v>
      </c>
      <c r="J8" s="6">
        <f si="1" t="shared"/>
        <v>815777.53338457935</v>
      </c>
      <c r="K8" s="6"/>
      <c r="L8" t="s">
        <v>51</v>
      </c>
      <c r="M8" s="6">
        <f>SUM(Work!M8,Workbased!M8,School!M8,Escort!M8,Personal_Business!M8,Shop!M8,Meal!M8,SocRec!M8)</f>
        <v>0</v>
      </c>
      <c r="N8" s="6">
        <f>SUM(Work!N8,Workbased!N8,School!N8,Escort!N8,Personal_Business!N8,Shop!N8,Meal!N8,SocRec!N8)</f>
        <v>0</v>
      </c>
      <c r="O8" s="6">
        <f>SUM(Work!O8,Workbased!O8,School!O8,Escort!O8,Personal_Business!O8,Shop!O8,Meal!O8,SocRec!O8)</f>
        <v>0</v>
      </c>
      <c r="P8" s="6">
        <f>SUM(Work!P8,Workbased!P8,School!P8,Escort!P8,Personal_Business!P8,Shop!P8,Meal!P8,SocRec!P8)</f>
        <v>73655.707402495987</v>
      </c>
      <c r="Q8" s="6">
        <f>SUM(Work!Q8,Workbased!Q8,School!Q8,Escort!Q8,Personal_Business!Q8,Shop!Q8,Meal!Q8,SocRec!Q8)</f>
        <v>341364.18941090093</v>
      </c>
      <c r="R8" s="6">
        <f>SUM(Work!R8,Workbased!R8,School!R8,Escort!R8,Personal_Business!R8,Shop!R8,Meal!R8,SocRec!R8)</f>
        <v>0</v>
      </c>
      <c r="S8" s="6">
        <f>SUM(Work!S8,Workbased!S8,School!S8,Escort!S8,Personal_Business!S8,Shop!S8,Meal!S8,SocRec!S8)</f>
        <v>0</v>
      </c>
      <c r="T8" s="6">
        <f>SUM(Work!T8,Workbased!T8,School!T8,Escort!T8,Personal_Business!T8,Shop!T8,Meal!T8,SocRec!T8)</f>
        <v>171.5360868862808</v>
      </c>
      <c r="U8" s="6">
        <f si="0" t="shared"/>
        <v>415191.43290028325</v>
      </c>
    </row>
    <row r="9" spans="1:21" x14ac:dyDescent="0.25">
      <c r="A9" t="s">
        <v>52</v>
      </c>
      <c r="B9" s="6">
        <f>SUM(Work!B9,Workbased!B9,School!B9,Escort!B9,Personal_Business!B9,Shop!B9,Meal!B9,SocRec!B9)</f>
        <v>0</v>
      </c>
      <c r="C9" s="6">
        <f>SUM(Work!C9,Workbased!C9,School!C9,Escort!C9,Personal_Business!C9,Shop!C9,Meal!C9,SocRec!C9)</f>
        <v>0</v>
      </c>
      <c r="D9" s="6">
        <f>SUM(Work!D9,Workbased!D9,School!D9,Escort!D9,Personal_Business!D9,Shop!D9,Meal!D9,SocRec!D9)</f>
        <v>0</v>
      </c>
      <c r="E9" s="6">
        <f>SUM(Work!E9,Workbased!E9,School!E9,Escort!E9,Personal_Business!E9,Shop!E9,Meal!E9,SocRec!E9)</f>
        <v>0</v>
      </c>
      <c r="F9" s="6">
        <f>SUM(Work!F9,Workbased!F9,School!F9,Escort!F9,Personal_Business!F9,Shop!F9,Meal!F9,SocRec!F9)</f>
        <v>2479.7092862560999</v>
      </c>
      <c r="G9" s="6">
        <f>SUM(Work!G9,Workbased!G9,School!G9,Escort!G9,Personal_Business!G9,Shop!G9,Meal!G9,SocRec!G9)</f>
        <v>0</v>
      </c>
      <c r="H9" s="6">
        <f>SUM(Work!H9,Workbased!H9,School!H9,Escort!H9,Personal_Business!H9,Shop!H9,Meal!H9,SocRec!H9)</f>
        <v>0</v>
      </c>
      <c r="I9" s="6">
        <f>SUM(Work!I9,Workbased!I9,School!I9,Escort!I9,Personal_Business!I9,Shop!I9,Meal!I9,SocRec!I9)</f>
        <v>0</v>
      </c>
      <c r="J9" s="6">
        <f si="1" t="shared"/>
        <v>2479.7092862560999</v>
      </c>
      <c r="K9" s="6"/>
      <c r="L9" t="s">
        <v>52</v>
      </c>
      <c r="M9" s="6">
        <f>SUM(Work!M9,Workbased!M9,School!M9,Escort!M9,Personal_Business!M9,Shop!M9,Meal!M9,SocRec!M9)</f>
        <v>0</v>
      </c>
      <c r="N9" s="6">
        <f>SUM(Work!N9,Workbased!N9,School!N9,Escort!N9,Personal_Business!N9,Shop!N9,Meal!N9,SocRec!N9)</f>
        <v>0</v>
      </c>
      <c r="O9" s="6">
        <f>SUM(Work!O9,Workbased!O9,School!O9,Escort!O9,Personal_Business!O9,Shop!O9,Meal!O9,SocRec!O9)</f>
        <v>0</v>
      </c>
      <c r="P9" s="6">
        <f>SUM(Work!P9,Workbased!P9,School!P9,Escort!P9,Personal_Business!P9,Shop!P9,Meal!P9,SocRec!P9)</f>
        <v>0</v>
      </c>
      <c r="Q9" s="6">
        <f>SUM(Work!Q9,Workbased!Q9,School!Q9,Escort!Q9,Personal_Business!Q9,Shop!Q9,Meal!Q9,SocRec!Q9)</f>
        <v>0</v>
      </c>
      <c r="R9" s="6">
        <f>SUM(Work!R9,Workbased!R9,School!R9,Escort!R9,Personal_Business!R9,Shop!R9,Meal!R9,SocRec!R9)</f>
        <v>0</v>
      </c>
      <c r="S9" s="6">
        <f>SUM(Work!S9,Workbased!S9,School!S9,Escort!S9,Personal_Business!S9,Shop!S9,Meal!S9,SocRec!S9)</f>
        <v>0</v>
      </c>
      <c r="T9" s="6">
        <f>SUM(Work!T9,Workbased!T9,School!T9,Escort!T9,Personal_Business!T9,Shop!T9,Meal!T9,SocRec!T9)</f>
        <v>0</v>
      </c>
      <c r="U9" s="6">
        <f si="0" t="shared"/>
        <v>0</v>
      </c>
    </row>
    <row r="10" spans="1:21" x14ac:dyDescent="0.25">
      <c r="A10" t="s">
        <v>53</v>
      </c>
      <c r="B10" s="6">
        <f>SUM(Work!B10,Workbased!B10,School!B10,Escort!B10,Personal_Business!B10,Shop!B10,Meal!B10,SocRec!B10)</f>
        <v>0</v>
      </c>
      <c r="C10" s="6">
        <f>SUM(Work!C10,Workbased!C10,School!C10,Escort!C10,Personal_Business!C10,Shop!C10,Meal!C10,SocRec!C10)</f>
        <v>0</v>
      </c>
      <c r="D10" s="6">
        <f>SUM(Work!D10,Workbased!D10,School!D10,Escort!D10,Personal_Business!D10,Shop!D10,Meal!D10,SocRec!D10)</f>
        <v>0</v>
      </c>
      <c r="E10" s="6">
        <f>SUM(Work!E10,Workbased!E10,School!E10,Escort!E10,Personal_Business!E10,Shop!E10,Meal!E10,SocRec!E10)</f>
        <v>0</v>
      </c>
      <c r="F10" s="6">
        <f>SUM(Work!F10,Workbased!F10,School!F10,Escort!F10,Personal_Business!F10,Shop!F10,Meal!F10,SocRec!F10)</f>
        <v>0</v>
      </c>
      <c r="G10" s="6">
        <f>SUM(Work!G10,Workbased!G10,School!G10,Escort!G10,Personal_Business!G10,Shop!G10,Meal!G10,SocRec!G10)</f>
        <v>0</v>
      </c>
      <c r="H10" s="6">
        <f>SUM(Work!H10,Workbased!H10,School!H10,Escort!H10,Personal_Business!H10,Shop!H10,Meal!H10,SocRec!H10)</f>
        <v>0</v>
      </c>
      <c r="I10" s="6">
        <f>SUM(Work!I10,Workbased!I10,School!I10,Escort!I10,Personal_Business!I10,Shop!I10,Meal!I10,SocRec!I10)</f>
        <v>0</v>
      </c>
      <c r="J10" s="6">
        <f si="1" t="shared"/>
        <v>0</v>
      </c>
      <c r="K10" s="6"/>
      <c r="L10" t="s">
        <v>53</v>
      </c>
      <c r="M10" s="6">
        <f>SUM(Work!M10,Workbased!M10,School!M10,Escort!M10,Personal_Business!M10,Shop!M10,Meal!M10,SocRec!M10)</f>
        <v>0</v>
      </c>
      <c r="N10" s="6">
        <f>SUM(Work!N10,Workbased!N10,School!N10,Escort!N10,Personal_Business!N10,Shop!N10,Meal!N10,SocRec!N10)</f>
        <v>0</v>
      </c>
      <c r="O10" s="6">
        <f>SUM(Work!O10,Workbased!O10,School!O10,Escort!O10,Personal_Business!O10,Shop!O10,Meal!O10,SocRec!O10)</f>
        <v>0</v>
      </c>
      <c r="P10" s="6">
        <f>SUM(Work!P10,Workbased!P10,School!P10,Escort!P10,Personal_Business!P10,Shop!P10,Meal!P10,SocRec!P10)</f>
        <v>0</v>
      </c>
      <c r="Q10" s="6">
        <f>SUM(Work!Q10,Workbased!Q10,School!Q10,Escort!Q10,Personal_Business!Q10,Shop!Q10,Meal!Q10,SocRec!Q10)</f>
        <v>0</v>
      </c>
      <c r="R10" s="6">
        <f>SUM(Work!R10,Workbased!R10,School!R10,Escort!R10,Personal_Business!R10,Shop!R10,Meal!R10,SocRec!R10)</f>
        <v>0</v>
      </c>
      <c r="S10" s="6">
        <f>SUM(Work!S10,Workbased!S10,School!S10,Escort!S10,Personal_Business!S10,Shop!S10,Meal!S10,SocRec!S10)</f>
        <v>0</v>
      </c>
      <c r="T10" s="6">
        <f>SUM(Work!T10,Workbased!T10,School!T10,Escort!T10,Personal_Business!T10,Shop!T10,Meal!T10,SocRec!T10)</f>
        <v>0</v>
      </c>
      <c r="U10" s="6">
        <f si="0" t="shared"/>
        <v>0</v>
      </c>
    </row>
    <row r="11" spans="1:21" x14ac:dyDescent="0.25">
      <c r="A11" t="s">
        <v>54</v>
      </c>
      <c r="B11" s="6">
        <f>SUM(Work!B11,Workbased!B11,School!B11,Escort!B11,Personal_Business!B11,Shop!B11,Meal!B11,SocRec!B11)</f>
        <v>0</v>
      </c>
      <c r="C11" s="6">
        <f>SUM(Work!C11,Workbased!C11,School!C11,Escort!C11,Personal_Business!C11,Shop!C11,Meal!C11,SocRec!C11)</f>
        <v>0</v>
      </c>
      <c r="D11" s="6">
        <f>SUM(Work!D11,Workbased!D11,School!D11,Escort!D11,Personal_Business!D11,Shop!D11,Meal!D11,SocRec!D11)</f>
        <v>0</v>
      </c>
      <c r="E11" s="6">
        <f>SUM(Work!E11,Workbased!E11,School!E11,Escort!E11,Personal_Business!E11,Shop!E11,Meal!E11,SocRec!E11)</f>
        <v>0</v>
      </c>
      <c r="F11" s="6">
        <f>SUM(Work!F11,Workbased!F11,School!F11,Escort!F11,Personal_Business!F11,Shop!F11,Meal!F11,SocRec!F11)</f>
        <v>0</v>
      </c>
      <c r="G11" s="6">
        <f>SUM(Work!G11,Workbased!G11,School!G11,Escort!G11,Personal_Business!G11,Shop!G11,Meal!G11,SocRec!G11)</f>
        <v>0</v>
      </c>
      <c r="H11" s="6">
        <f>SUM(Work!H11,Workbased!H11,School!H11,Escort!H11,Personal_Business!H11,Shop!H11,Meal!H11,SocRec!H11)</f>
        <v>0</v>
      </c>
      <c r="I11" s="6">
        <f>SUM(Work!I11,Workbased!I11,School!I11,Escort!I11,Personal_Business!I11,Shop!I11,Meal!I11,SocRec!I11)</f>
        <v>0</v>
      </c>
      <c r="J11" s="6">
        <f si="1" t="shared"/>
        <v>0</v>
      </c>
      <c r="K11" s="6"/>
      <c r="L11" t="s">
        <v>54</v>
      </c>
      <c r="M11" s="6">
        <f>SUM(Work!M11,Workbased!M11,School!M11,Escort!M11,Personal_Business!M11,Shop!M11,Meal!M11,SocRec!M11)</f>
        <v>0</v>
      </c>
      <c r="N11" s="6">
        <f>SUM(Work!N11,Workbased!N11,School!N11,Escort!N11,Personal_Business!N11,Shop!N11,Meal!N11,SocRec!N11)</f>
        <v>0</v>
      </c>
      <c r="O11" s="6">
        <f>SUM(Work!O11,Workbased!O11,School!O11,Escort!O11,Personal_Business!O11,Shop!O11,Meal!O11,SocRec!O11)</f>
        <v>0</v>
      </c>
      <c r="P11" s="6">
        <f>SUM(Work!P11,Workbased!P11,School!P11,Escort!P11,Personal_Business!P11,Shop!P11,Meal!P11,SocRec!P11)</f>
        <v>0</v>
      </c>
      <c r="Q11" s="6">
        <f>SUM(Work!Q11,Workbased!Q11,School!Q11,Escort!Q11,Personal_Business!Q11,Shop!Q11,Meal!Q11,SocRec!Q11)</f>
        <v>0</v>
      </c>
      <c r="R11" s="6">
        <f>SUM(Work!R11,Workbased!R11,School!R11,Escort!R11,Personal_Business!R11,Shop!R11,Meal!R11,SocRec!R11)</f>
        <v>0</v>
      </c>
      <c r="S11" s="6">
        <f>SUM(Work!S11,Workbased!S11,School!S11,Escort!S11,Personal_Business!S11,Shop!S11,Meal!S11,SocRec!S11)</f>
        <v>0</v>
      </c>
      <c r="T11" s="6">
        <f>SUM(Work!T11,Workbased!T11,School!T11,Escort!T11,Personal_Business!T11,Shop!T11,Meal!T11,SocRec!T11)</f>
        <v>0</v>
      </c>
      <c r="U11" s="6">
        <f si="0" t="shared"/>
        <v>0</v>
      </c>
    </row>
    <row r="12" spans="1:21" x14ac:dyDescent="0.25">
      <c r="A12" t="s">
        <v>55</v>
      </c>
      <c r="B12" s="6">
        <f>SUM(Work!B12,Workbased!B12,School!B12,Escort!B12,Personal_Business!B12,Shop!B12,Meal!B12,SocRec!B12)</f>
        <v>0</v>
      </c>
      <c r="C12" s="6">
        <f>SUM(Work!C12,Workbased!C12,School!C12,Escort!C12,Personal_Business!C12,Shop!C12,Meal!C12,SocRec!C12)</f>
        <v>0</v>
      </c>
      <c r="D12" s="6">
        <f>SUM(Work!D12,Workbased!D12,School!D12,Escort!D12,Personal_Business!D12,Shop!D12,Meal!D12,SocRec!D12)</f>
        <v>0</v>
      </c>
      <c r="E12" s="6">
        <f>SUM(Work!E12,Workbased!E12,School!E12,Escort!E12,Personal_Business!E12,Shop!E12,Meal!E12,SocRec!E12)</f>
        <v>0</v>
      </c>
      <c r="F12" s="6">
        <f>SUM(Work!F12,Workbased!F12,School!F12,Escort!F12,Personal_Business!F12,Shop!F12,Meal!F12,SocRec!F12)</f>
        <v>0</v>
      </c>
      <c r="G12" s="6">
        <f>SUM(Work!G12,Workbased!G12,School!G12,Escort!G12,Personal_Business!G12,Shop!G12,Meal!G12,SocRec!G12)</f>
        <v>0</v>
      </c>
      <c r="H12" s="6">
        <f>SUM(Work!H12,Workbased!H12,School!H12,Escort!H12,Personal_Business!H12,Shop!H12,Meal!H12,SocRec!H12)</f>
        <v>0</v>
      </c>
      <c r="I12" s="6">
        <f>SUM(Work!I12,Workbased!I12,School!I12,Escort!I12,Personal_Business!I12,Shop!I12,Meal!I12,SocRec!I12)</f>
        <v>0</v>
      </c>
      <c r="J12" s="6">
        <f si="1" t="shared"/>
        <v>0</v>
      </c>
      <c r="K12" s="6"/>
      <c r="L12" t="s">
        <v>55</v>
      </c>
      <c r="M12" s="6">
        <f>SUM(Work!M12,Workbased!M12,School!M12,Escort!M12,Personal_Business!M12,Shop!M12,Meal!M12,SocRec!M12)</f>
        <v>0</v>
      </c>
      <c r="N12" s="6">
        <f>SUM(Work!N12,Workbased!N12,School!N12,Escort!N12,Personal_Business!N12,Shop!N12,Meal!N12,SocRec!N12)</f>
        <v>0</v>
      </c>
      <c r="O12" s="6">
        <f>SUM(Work!O12,Workbased!O12,School!O12,Escort!O12,Personal_Business!O12,Shop!O12,Meal!O12,SocRec!O12)</f>
        <v>0</v>
      </c>
      <c r="P12" s="6">
        <f>SUM(Work!P12,Workbased!P12,School!P12,Escort!P12,Personal_Business!P12,Shop!P12,Meal!P12,SocRec!P12)</f>
        <v>0</v>
      </c>
      <c r="Q12" s="6">
        <f>SUM(Work!Q12,Workbased!Q12,School!Q12,Escort!Q12,Personal_Business!Q12,Shop!Q12,Meal!Q12,SocRec!Q12)</f>
        <v>0</v>
      </c>
      <c r="R12" s="6">
        <f>SUM(Work!R12,Workbased!R12,School!R12,Escort!R12,Personal_Business!R12,Shop!R12,Meal!R12,SocRec!R12)</f>
        <v>0</v>
      </c>
      <c r="S12" s="6">
        <f>SUM(Work!S12,Workbased!S12,School!S12,Escort!S12,Personal_Business!S12,Shop!S12,Meal!S12,SocRec!S12)</f>
        <v>0</v>
      </c>
      <c r="T12" s="6">
        <f>SUM(Work!T12,Workbased!T12,School!T12,Escort!T12,Personal_Business!T12,Shop!T12,Meal!T12,SocRec!T12)</f>
        <v>0</v>
      </c>
      <c r="U12" s="6">
        <f si="0" t="shared"/>
        <v>0</v>
      </c>
    </row>
    <row r="13" spans="1:21" x14ac:dyDescent="0.25">
      <c r="A13" t="s">
        <v>24</v>
      </c>
      <c r="B13" s="6">
        <f>SUM(Work!B13,Workbased!B13,School!B13,Escort!B13,Personal_Business!B13,Shop!B13,Meal!B13,SocRec!B13)</f>
        <v>0</v>
      </c>
      <c r="C13" s="6">
        <f>SUM(Work!C13,Workbased!C13,School!C13,Escort!C13,Personal_Business!C13,Shop!C13,Meal!C13,SocRec!C13)</f>
        <v>0</v>
      </c>
      <c r="D13" s="6">
        <f>SUM(Work!D13,Workbased!D13,School!D13,Escort!D13,Personal_Business!D13,Shop!D13,Meal!D13,SocRec!D13)</f>
        <v>0</v>
      </c>
      <c r="E13" s="6">
        <f>SUM(Work!E13,Workbased!E13,School!E13,Escort!E13,Personal_Business!E13,Shop!E13,Meal!E13,SocRec!E13)</f>
        <v>0</v>
      </c>
      <c r="F13" s="6">
        <f>SUM(Work!F13,Workbased!F13,School!F13,Escort!F13,Personal_Business!F13,Shop!F13,Meal!F13,SocRec!F13)</f>
        <v>0</v>
      </c>
      <c r="G13" s="6">
        <f>SUM(Work!G13,Workbased!G13,School!G13,Escort!G13,Personal_Business!G13,Shop!G13,Meal!G13,SocRec!G13)</f>
        <v>0</v>
      </c>
      <c r="H13" s="6">
        <f>SUM(Work!H13,Workbased!H13,School!H13,Escort!H13,Personal_Business!H13,Shop!H13,Meal!H13,SocRec!H13)</f>
        <v>0</v>
      </c>
      <c r="I13" s="6">
        <f>SUM(Work!I13,Workbased!I13,School!I13,Escort!I13,Personal_Business!I13,Shop!I13,Meal!I13,SocRec!I13)</f>
        <v>364497.70098569803</v>
      </c>
      <c r="J13" s="6">
        <f si="1" t="shared"/>
        <v>364497.70098569803</v>
      </c>
      <c r="K13" s="6"/>
      <c r="L13" t="s">
        <v>24</v>
      </c>
      <c r="M13" s="6">
        <f>SUM(Work!M13,Workbased!M13,School!M13,Escort!M13,Personal_Business!M13,Shop!M13,Meal!M13,SocRec!M13)</f>
        <v>0</v>
      </c>
      <c r="N13" s="6">
        <f>SUM(Work!N13,Workbased!N13,School!N13,Escort!N13,Personal_Business!N13,Shop!N13,Meal!N13,SocRec!N13)</f>
        <v>0</v>
      </c>
      <c r="O13" s="6">
        <f>SUM(Work!O13,Workbased!O13,School!O13,Escort!O13,Personal_Business!O13,Shop!O13,Meal!O13,SocRec!O13)</f>
        <v>0</v>
      </c>
      <c r="P13" s="6">
        <f>SUM(Work!P13,Workbased!P13,School!P13,Escort!P13,Personal_Business!P13,Shop!P13,Meal!P13,SocRec!P13)</f>
        <v>0</v>
      </c>
      <c r="Q13" s="6">
        <f>SUM(Work!Q13,Workbased!Q13,School!Q13,Escort!Q13,Personal_Business!Q13,Shop!Q13,Meal!Q13,SocRec!Q13)</f>
        <v>0</v>
      </c>
      <c r="R13" s="6">
        <f>SUM(Work!R13,Workbased!R13,School!R13,Escort!R13,Personal_Business!R13,Shop!R13,Meal!R13,SocRec!R13)</f>
        <v>0</v>
      </c>
      <c r="S13" s="6">
        <f>SUM(Work!S13,Workbased!S13,School!S13,Escort!S13,Personal_Business!S13,Shop!S13,Meal!S13,SocRec!S13)</f>
        <v>0</v>
      </c>
      <c r="T13" s="6">
        <f>SUM(Work!T13,Workbased!T13,School!T13,Escort!T13,Personal_Business!T13,Shop!T13,Meal!T13,SocRec!T13)</f>
        <v>357661.90717613394</v>
      </c>
      <c r="U13" s="6">
        <f si="0" t="shared"/>
        <v>357661.90717613394</v>
      </c>
    </row>
    <row r="14" spans="1:21" x14ac:dyDescent="0.25">
      <c r="A14" t="s">
        <v>4</v>
      </c>
      <c r="B14" s="6">
        <f>SUM(Work!B14,Workbased!B14,School!B14,Escort!B14,Personal_Business!B14,Shop!B14,Meal!B14,SocRec!B14)</f>
        <v>4132.9028970809995</v>
      </c>
      <c r="C14" s="6">
        <f>SUM(Work!C14,Workbased!C14,School!C14,Escort!C14,Personal_Business!C14,Shop!C14,Meal!C14,SocRec!C14)</f>
        <v>13935.6750388237</v>
      </c>
      <c r="D14" s="6">
        <f>SUM(Work!D14,Workbased!D14,School!D14,Escort!D14,Personal_Business!D14,Shop!D14,Meal!D14,SocRec!D14)</f>
        <v>10855.267749194001</v>
      </c>
      <c r="E14" s="6">
        <f>SUM(Work!E14,Workbased!E14,School!E14,Escort!E14,Personal_Business!E14,Shop!E14,Meal!E14,SocRec!E14)</f>
        <v>243.46345759299999</v>
      </c>
      <c r="F14" s="6">
        <f>SUM(Work!F14,Workbased!F14,School!F14,Escort!F14,Personal_Business!F14,Shop!F14,Meal!F14,SocRec!F14)</f>
        <v>8626.2684275047995</v>
      </c>
      <c r="G14" s="6">
        <f>SUM(Work!G14,Workbased!G14,School!G14,Escort!G14,Personal_Business!G14,Shop!G14,Meal!G14,SocRec!G14)</f>
        <v>185644.45009706359</v>
      </c>
      <c r="H14" s="6">
        <f>SUM(Work!H14,Workbased!H14,School!H14,Escort!H14,Personal_Business!H14,Shop!H14,Meal!H14,SocRec!H14)</f>
        <v>0</v>
      </c>
      <c r="I14" s="6">
        <f>SUM(Work!I14,Workbased!I14,School!I14,Escort!I14,Personal_Business!I14,Shop!I14,Meal!I14,SocRec!I14)</f>
        <v>3038.6592608359997</v>
      </c>
      <c r="J14" s="6">
        <f si="1" t="shared"/>
        <v>226476.68692809608</v>
      </c>
      <c r="K14" s="6"/>
      <c r="L14" t="s">
        <v>4</v>
      </c>
      <c r="M14" s="6">
        <f>SUM(Work!M14,Workbased!M14,School!M14,Escort!M14,Personal_Business!M14,Shop!M14,Meal!M14,SocRec!M14)</f>
        <v>6848.1633540931443</v>
      </c>
      <c r="N14" s="6">
        <f>SUM(Work!N14,Workbased!N14,School!N14,Escort!N14,Personal_Business!N14,Shop!N14,Meal!N14,SocRec!N14)</f>
        <v>15987.853741870391</v>
      </c>
      <c r="O14" s="6">
        <f>SUM(Work!O14,Workbased!O14,School!O14,Escort!O14,Personal_Business!O14,Shop!O14,Meal!O14,SocRec!O14)</f>
        <v>13877.749156849208</v>
      </c>
      <c r="P14" s="6">
        <f>SUM(Work!P14,Workbased!P14,School!P14,Escort!P14,Personal_Business!P14,Shop!P14,Meal!P14,SocRec!P14)</f>
        <v>0</v>
      </c>
      <c r="Q14" s="6">
        <f>SUM(Work!Q14,Workbased!Q14,School!Q14,Escort!Q14,Personal_Business!Q14,Shop!Q14,Meal!Q14,SocRec!Q14)</f>
        <v>6431.3400474870259</v>
      </c>
      <c r="R14" s="6">
        <f>SUM(Work!R14,Workbased!R14,School!R14,Escort!R14,Personal_Business!R14,Shop!R14,Meal!R14,SocRec!R14)</f>
        <v>193755.44906440214</v>
      </c>
      <c r="S14" s="6">
        <f>SUM(Work!S14,Workbased!S14,School!S14,Escort!S14,Personal_Business!S14,Shop!S14,Meal!S14,SocRec!S14)</f>
        <v>0</v>
      </c>
      <c r="T14" s="6">
        <f>SUM(Work!T14,Workbased!T14,School!T14,Escort!T14,Personal_Business!T14,Shop!T14,Meal!T14,SocRec!T14)</f>
        <v>2922.4200073426232</v>
      </c>
      <c r="U14" s="6">
        <f si="0" t="shared"/>
        <v>239822.97537204452</v>
      </c>
    </row>
    <row r="15" spans="1:21" x14ac:dyDescent="0.25">
      <c r="A15" s="4" t="s">
        <v>5</v>
      </c>
      <c r="B15" s="6">
        <f>SUM(Work!B15,Workbased!B15,School!B15,Escort!B15,Personal_Business!B15,Shop!B15,Meal!B15,SocRec!B15)</f>
        <v>85641.759489933291</v>
      </c>
      <c r="C15" s="6">
        <f>SUM(Work!C15,Workbased!C15,School!C15,Escort!C15,Personal_Business!C15,Shop!C15,Meal!C15,SocRec!C15)</f>
        <v>67616.464220790906</v>
      </c>
      <c r="D15" s="6">
        <f>SUM(Work!D15,Workbased!D15,School!D15,Escort!D15,Personal_Business!D15,Shop!D15,Meal!D15,SocRec!D15)</f>
        <v>101851.0916785708</v>
      </c>
      <c r="E15" s="6">
        <f>SUM(Work!E15,Workbased!E15,School!E15,Escort!E15,Personal_Business!E15,Shop!E15,Meal!E15,SocRec!E15)</f>
        <v>13792.823585942398</v>
      </c>
      <c r="F15" s="6">
        <f>SUM(Work!F15,Workbased!F15,School!F15,Escort!F15,Personal_Business!F15,Shop!F15,Meal!F15,SocRec!F15)</f>
        <v>208431.68388148418</v>
      </c>
      <c r="G15" s="6">
        <f>SUM(Work!G15,Workbased!G15,School!G15,Escort!G15,Personal_Business!G15,Shop!G15,Meal!G15,SocRec!G15)</f>
        <v>14163.596324916802</v>
      </c>
      <c r="H15" s="6">
        <f>SUM(Work!H15,Workbased!H15,School!H15,Escort!H15,Personal_Business!H15,Shop!H15,Meal!H15,SocRec!H15)</f>
        <v>1579513.8918783711</v>
      </c>
      <c r="I15" s="6">
        <f>SUM(Work!I15,Workbased!I15,School!I15,Escort!I15,Personal_Business!I15,Shop!I15,Meal!I15,SocRec!I15)</f>
        <v>13143.316485361</v>
      </c>
      <c r="J15" s="6">
        <f si="1" t="shared"/>
        <v>2084154.6275453705</v>
      </c>
      <c r="K15" s="6"/>
      <c r="L15" s="4" t="s">
        <v>5</v>
      </c>
      <c r="M15" s="6">
        <f>SUM(Work!M15,Workbased!M15,School!M15,Escort!M15,Personal_Business!M15,Shop!M15,Meal!M15,SocRec!M15)</f>
        <v>113107.70951645527</v>
      </c>
      <c r="N15" s="6">
        <f>SUM(Work!N15,Workbased!N15,School!N15,Escort!N15,Personal_Business!N15,Shop!N15,Meal!N15,SocRec!N15)</f>
        <v>133838.87507017766</v>
      </c>
      <c r="O15" s="6">
        <f>SUM(Work!O15,Workbased!O15,School!O15,Escort!O15,Personal_Business!O15,Shop!O15,Meal!O15,SocRec!O15)</f>
        <v>107320.80521270503</v>
      </c>
      <c r="P15" s="6">
        <f>SUM(Work!P15,Workbased!P15,School!P15,Escort!P15,Personal_Business!P15,Shop!P15,Meal!P15,SocRec!P15)</f>
        <v>0</v>
      </c>
      <c r="Q15" s="6">
        <f>SUM(Work!Q15,Workbased!Q15,School!Q15,Escort!Q15,Personal_Business!Q15,Shop!Q15,Meal!Q15,SocRec!Q15)</f>
        <v>109200.18236632424</v>
      </c>
      <c r="R15" s="6">
        <f>SUM(Work!R15,Workbased!R15,School!R15,Escort!R15,Personal_Business!R15,Shop!R15,Meal!R15,SocRec!R15)</f>
        <v>17074.605470017359</v>
      </c>
      <c r="S15" s="6">
        <f>SUM(Work!S15,Workbased!S15,School!S15,Escort!S15,Personal_Business!S15,Shop!S15,Meal!S15,SocRec!S15)</f>
        <v>1708267.2228559577</v>
      </c>
      <c r="T15" s="6">
        <f>SUM(Work!T15,Workbased!T15,School!T15,Escort!T15,Personal_Business!T15,Shop!T15,Meal!T15,SocRec!T15)</f>
        <v>33263.718261917755</v>
      </c>
      <c r="U15" s="6">
        <f si="0" t="shared"/>
        <v>2222073.1187535548</v>
      </c>
    </row>
    <row ht="15.75" r="16" spans="1:21" thickBot="1" x14ac:dyDescent="0.3">
      <c r="A16" s="12" t="s">
        <v>7</v>
      </c>
      <c r="B16" s="16">
        <f ref="B16:J16" si="2" t="shared">SUM(B5:B15)</f>
        <v>5577676.4466989934</v>
      </c>
      <c r="C16" s="16">
        <f si="2" t="shared"/>
        <v>3941898.5973995673</v>
      </c>
      <c r="D16" s="16">
        <f si="2" t="shared"/>
        <v>3601399.4331381889</v>
      </c>
      <c r="E16" s="16">
        <f si="2" t="shared"/>
        <v>248294.70039553338</v>
      </c>
      <c r="F16" s="16">
        <f si="2" t="shared"/>
        <v>1028578.8969447233</v>
      </c>
      <c r="G16" s="16">
        <f si="2" t="shared"/>
        <v>199808.0464219804</v>
      </c>
      <c r="H16" s="16">
        <f si="2" t="shared"/>
        <v>1579513.8918783711</v>
      </c>
      <c r="I16" s="16">
        <f si="2" t="shared"/>
        <v>509013.74769418308</v>
      </c>
      <c r="J16" s="16">
        <f si="2" t="shared"/>
        <v>16686183.760571539</v>
      </c>
      <c r="L16" s="9" t="s">
        <v>7</v>
      </c>
      <c r="M16" s="16">
        <f ref="M16:U16" si="3" t="shared">SUM(M5:M15)</f>
        <v>5801907.9732069997</v>
      </c>
      <c r="N16" s="16">
        <f si="3" t="shared"/>
        <v>4136996.5465628803</v>
      </c>
      <c r="O16" s="16">
        <f si="3" t="shared"/>
        <v>3527404.7988483603</v>
      </c>
      <c r="P16" s="16">
        <f si="3" t="shared"/>
        <v>170436.15133433411</v>
      </c>
      <c r="Q16" s="16">
        <f si="3" t="shared"/>
        <v>543173.10483940132</v>
      </c>
      <c r="R16" s="16">
        <f si="3" t="shared"/>
        <v>210830.0545344195</v>
      </c>
      <c r="S16" s="16">
        <f si="3" t="shared"/>
        <v>1708273.9651199959</v>
      </c>
      <c r="T16" s="16">
        <f si="3" t="shared"/>
        <v>509630.95047208725</v>
      </c>
      <c r="U16" s="16">
        <f si="3" t="shared"/>
        <v>16608653.544918478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25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47</v>
      </c>
      <c r="C20" s="32"/>
      <c r="D20" s="32"/>
      <c r="E20" s="32"/>
      <c r="F20" s="32"/>
      <c r="G20" s="32"/>
      <c r="H20" s="32"/>
      <c r="I20" s="32"/>
      <c r="J20" s="11"/>
      <c r="L20" s="3"/>
      <c r="M20" s="31" t="s">
        <v>47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D33" si="4" t="shared">B5/B$16</f>
        <v>0.98390464860324678</v>
      </c>
      <c r="C22" s="13">
        <f si="4" t="shared"/>
        <v>0.22128971219655039</v>
      </c>
      <c r="D22" s="13">
        <f si="4" t="shared"/>
        <v>0.10215782283352033</v>
      </c>
      <c r="E22" s="13">
        <f ref="E22:E33" si="5" t="shared">IF(E$16&gt;0,E5/E$16,0)</f>
        <v>0.45734305688678151</v>
      </c>
      <c r="F22" s="13">
        <f ref="F22:J33" si="6" t="shared">F5/F$16</f>
        <v>1.713378647836462E-2</v>
      </c>
      <c r="G22" s="13">
        <f si="6" t="shared"/>
        <v>0</v>
      </c>
      <c r="H22" s="13">
        <f si="6" t="shared"/>
        <v>0</v>
      </c>
      <c r="I22" s="13">
        <f si="6" t="shared"/>
        <v>3.3129170658257857E-3</v>
      </c>
      <c r="J22" s="13">
        <f si="6" t="shared"/>
        <v>0.41117730950017661</v>
      </c>
      <c r="K22" s="6"/>
      <c r="L22" t="s">
        <v>1</v>
      </c>
      <c r="M22" s="13">
        <f ref="M22:P22" si="7" t="shared">M5/M$16</f>
        <v>0.97932475430074029</v>
      </c>
      <c r="N22" s="13">
        <f si="7" t="shared"/>
        <v>0.21099770020071332</v>
      </c>
      <c r="O22" s="13">
        <f si="7" t="shared"/>
        <v>0.10565225918953766</v>
      </c>
      <c r="P22" s="13">
        <f si="7" t="shared"/>
        <v>0.52877830489081334</v>
      </c>
      <c r="Q22" s="13">
        <f ref="Q22:U33" si="8" t="shared">Q5/Q$16</f>
        <v>3.6854128649437705E-2</v>
      </c>
      <c r="R22" s="13">
        <f si="8" t="shared"/>
        <v>0</v>
      </c>
      <c r="S22" s="13">
        <f si="8" t="shared"/>
        <v>0</v>
      </c>
      <c r="T22" s="13">
        <f si="8" t="shared"/>
        <v>2.5969061291622841E-3</v>
      </c>
      <c r="U22" s="13">
        <f si="8" t="shared"/>
        <v>0.42381471194248155</v>
      </c>
    </row>
    <row r="23" spans="1:21" x14ac:dyDescent="0.25">
      <c r="A23" t="s">
        <v>12</v>
      </c>
      <c r="B23" s="13">
        <f si="4" t="shared"/>
        <v>0</v>
      </c>
      <c r="C23" s="13">
        <f si="4" t="shared"/>
        <v>0.7580217446447256</v>
      </c>
      <c r="D23" s="13">
        <f si="4" t="shared"/>
        <v>0.16057268883239015</v>
      </c>
      <c r="E23" s="13">
        <f si="5" t="shared"/>
        <v>2.093078667234087E-2</v>
      </c>
      <c r="F23" s="13">
        <f si="6" t="shared"/>
        <v>7.4443477645815145E-2</v>
      </c>
      <c r="G23" s="13">
        <f si="6" t="shared"/>
        <v>0</v>
      </c>
      <c r="H23" s="13">
        <f si="6" t="shared"/>
        <v>0</v>
      </c>
      <c r="I23" s="13">
        <f si="6" t="shared"/>
        <v>8.8505212890812521E-2</v>
      </c>
      <c r="J23" s="13">
        <f si="6" t="shared"/>
        <v>0.22132979350917206</v>
      </c>
      <c r="K23" s="6"/>
      <c r="L23" t="s">
        <v>12</v>
      </c>
      <c r="M23" s="13">
        <f ref="M23:P23" si="9" t="shared">M6/M$16</f>
        <v>0</v>
      </c>
      <c r="N23" s="13">
        <f si="9" t="shared"/>
        <v>0.75278599477565122</v>
      </c>
      <c r="O23" s="13">
        <f si="9" t="shared"/>
        <v>0.16088069512265368</v>
      </c>
      <c r="P23" s="13">
        <f si="9" t="shared"/>
        <v>1.991579556737251E-2</v>
      </c>
      <c r="Q23" s="13">
        <f si="8" t="shared"/>
        <v>8.3823903970509067E-2</v>
      </c>
      <c r="R23" s="13">
        <f si="8" t="shared"/>
        <v>0</v>
      </c>
      <c r="S23" s="13">
        <f si="8" t="shared"/>
        <v>0</v>
      </c>
      <c r="T23" s="13">
        <f si="8" t="shared"/>
        <v>0.11201591112085912</v>
      </c>
      <c r="U23" s="13">
        <f si="8" t="shared"/>
        <v>0.22806041582121991</v>
      </c>
    </row>
    <row r="24" spans="1:21" x14ac:dyDescent="0.25">
      <c r="A24" t="s">
        <v>56</v>
      </c>
      <c r="B24" s="13">
        <f si="4" t="shared"/>
        <v>0</v>
      </c>
      <c r="C24" s="13">
        <f si="4" t="shared"/>
        <v>0</v>
      </c>
      <c r="D24" s="13">
        <f si="4" t="shared"/>
        <v>0.70597433168173374</v>
      </c>
      <c r="E24" s="13">
        <f si="5" t="shared"/>
        <v>1.692349344217655E-2</v>
      </c>
      <c r="F24" s="13">
        <f si="6" t="shared"/>
        <v>2.0096509766647362E-2</v>
      </c>
      <c r="G24" s="13">
        <f si="6" t="shared"/>
        <v>0</v>
      </c>
      <c r="H24" s="13">
        <f si="6" t="shared"/>
        <v>0</v>
      </c>
      <c r="I24" s="13">
        <f si="6" t="shared"/>
        <v>0.14007349422875873</v>
      </c>
      <c r="J24" s="13">
        <f si="6" t="shared"/>
        <v>0.15813488510151796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0.69910791729712229</v>
      </c>
      <c r="P24" s="13">
        <f si="10" t="shared"/>
        <v>1.9145780776810454E-2</v>
      </c>
      <c r="Q24" s="13">
        <f si="8" t="shared"/>
        <v>3.7977453535187743E-2</v>
      </c>
      <c r="R24" s="13">
        <f si="8" t="shared"/>
        <v>0</v>
      </c>
      <c r="S24" s="13">
        <f si="8" t="shared"/>
        <v>3.9468283050009348E-6</v>
      </c>
      <c r="T24" s="13">
        <f si="8" t="shared"/>
        <v>0.11224029838730824</v>
      </c>
      <c r="U24" s="13">
        <f si="8" t="shared"/>
        <v>0.15336197797436685</v>
      </c>
    </row>
    <row r="25" spans="1:21" x14ac:dyDescent="0.25">
      <c r="A25" t="s">
        <v>51</v>
      </c>
      <c r="B25" s="13">
        <f si="4" t="shared"/>
        <v>0</v>
      </c>
      <c r="C25" s="13">
        <f si="4" t="shared"/>
        <v>0</v>
      </c>
      <c r="D25" s="13">
        <f si="4" t="shared"/>
        <v>0</v>
      </c>
      <c r="E25" s="13">
        <f si="5" t="shared"/>
        <v>0.44827190732338629</v>
      </c>
      <c r="F25" s="13">
        <f si="6" t="shared"/>
        <v>0.67488838264635564</v>
      </c>
      <c r="G25" s="13">
        <f si="6" t="shared"/>
        <v>0</v>
      </c>
      <c r="H25" s="13">
        <f si="6" t="shared"/>
        <v>0</v>
      </c>
      <c r="I25" s="13">
        <f si="6" t="shared"/>
        <v>2.0231371595438901E-2</v>
      </c>
      <c r="J25" s="13">
        <f si="6" t="shared"/>
        <v>4.888940126095298E-2</v>
      </c>
      <c r="K25" s="6"/>
      <c r="L25" t="s">
        <v>51</v>
      </c>
      <c r="M25" s="13">
        <f ref="M25:P25" si="11" t="shared">M8/M$16</f>
        <v>0</v>
      </c>
      <c r="N25" s="13">
        <f si="11" t="shared"/>
        <v>0</v>
      </c>
      <c r="O25" s="13">
        <f si="11" t="shared"/>
        <v>0</v>
      </c>
      <c r="P25" s="13">
        <f si="11" t="shared"/>
        <v>0.43216011876500382</v>
      </c>
      <c r="Q25" s="13">
        <f si="8" t="shared"/>
        <v>0.62846298237065923</v>
      </c>
      <c r="R25" s="13">
        <f si="8" t="shared"/>
        <v>0</v>
      </c>
      <c r="S25" s="13">
        <f si="8" t="shared"/>
        <v>0</v>
      </c>
      <c r="T25" s="13">
        <f si="8" t="shared"/>
        <v>3.3658883301216594E-4</v>
      </c>
      <c r="U25" s="13">
        <f si="8" t="shared"/>
        <v>2.4998500436979355E-2</v>
      </c>
    </row>
    <row r="26" spans="1:21" x14ac:dyDescent="0.25">
      <c r="A26" t="s">
        <v>52</v>
      </c>
      <c r="B26" s="13">
        <f si="4" t="shared"/>
        <v>0</v>
      </c>
      <c r="C26" s="13">
        <f si="4" t="shared"/>
        <v>0</v>
      </c>
      <c r="D26" s="13">
        <f si="4" t="shared"/>
        <v>0</v>
      </c>
      <c r="E26" s="13">
        <f si="5" t="shared"/>
        <v>0</v>
      </c>
      <c r="F26" s="13">
        <f si="6" t="shared"/>
        <v>2.4108109680470737E-3</v>
      </c>
      <c r="G26" s="13">
        <f si="6" t="shared"/>
        <v>0</v>
      </c>
      <c r="H26" s="13">
        <f si="6" t="shared"/>
        <v>0</v>
      </c>
      <c r="I26" s="13">
        <f si="6" t="shared"/>
        <v>0</v>
      </c>
      <c r="J26" s="13">
        <f si="6" t="shared"/>
        <v>1.4860853277401306E-4</v>
      </c>
      <c r="K26" s="6"/>
      <c r="L26" t="s">
        <v>52</v>
      </c>
      <c r="M26" s="13">
        <f ref="M26:P26" si="12" t="shared">M9/M$16</f>
        <v>0</v>
      </c>
      <c r="N26" s="13">
        <f si="12" t="shared"/>
        <v>0</v>
      </c>
      <c r="O26" s="13">
        <f si="12" t="shared"/>
        <v>0</v>
      </c>
      <c r="P26" s="13">
        <f si="12" t="shared"/>
        <v>0</v>
      </c>
      <c r="Q26" s="13">
        <f si="8" t="shared"/>
        <v>0</v>
      </c>
      <c r="R26" s="13">
        <f si="8" t="shared"/>
        <v>0</v>
      </c>
      <c r="S26" s="13">
        <f si="8" t="shared"/>
        <v>0</v>
      </c>
      <c r="T26" s="13">
        <f si="8" t="shared"/>
        <v>0</v>
      </c>
      <c r="U26" s="13">
        <f si="8" t="shared"/>
        <v>0</v>
      </c>
    </row>
    <row r="27" spans="1:21" x14ac:dyDescent="0.25">
      <c r="A27" t="s">
        <v>53</v>
      </c>
      <c r="B27" s="13">
        <f si="4" t="shared"/>
        <v>0</v>
      </c>
      <c r="C27" s="13">
        <f si="4" t="shared"/>
        <v>0</v>
      </c>
      <c r="D27" s="13">
        <f si="4" t="shared"/>
        <v>0</v>
      </c>
      <c r="E27" s="13">
        <f si="5" t="shared"/>
        <v>0</v>
      </c>
      <c r="F27" s="13">
        <f si="6" t="shared"/>
        <v>0</v>
      </c>
      <c r="G27" s="13">
        <f si="6" t="shared"/>
        <v>0</v>
      </c>
      <c r="H27" s="13">
        <f si="6" t="shared"/>
        <v>0</v>
      </c>
      <c r="I27" s="13">
        <f si="6" t="shared"/>
        <v>0</v>
      </c>
      <c r="J27" s="13">
        <f si="6" t="shared"/>
        <v>0</v>
      </c>
      <c r="K27" s="6"/>
      <c r="L27" t="s">
        <v>53</v>
      </c>
      <c r="M27" s="13">
        <f ref="M27:P27" si="13" t="shared">M10/M$16</f>
        <v>0</v>
      </c>
      <c r="N27" s="13">
        <f si="13" t="shared"/>
        <v>0</v>
      </c>
      <c r="O27" s="13">
        <f si="13" t="shared"/>
        <v>0</v>
      </c>
      <c r="P27" s="13">
        <f si="13" t="shared"/>
        <v>0</v>
      </c>
      <c r="Q27" s="13">
        <f si="8" t="shared"/>
        <v>0</v>
      </c>
      <c r="R27" s="13">
        <f si="8" t="shared"/>
        <v>0</v>
      </c>
      <c r="S27" s="13">
        <f si="8" t="shared"/>
        <v>0</v>
      </c>
      <c r="T27" s="13">
        <f si="8" t="shared"/>
        <v>0</v>
      </c>
      <c r="U27" s="13">
        <f si="8" t="shared"/>
        <v>0</v>
      </c>
    </row>
    <row r="28" spans="1:21" x14ac:dyDescent="0.25">
      <c r="A28" t="s">
        <v>54</v>
      </c>
      <c r="B28" s="13">
        <f si="4" t="shared"/>
        <v>0</v>
      </c>
      <c r="C28" s="13">
        <f si="4" t="shared"/>
        <v>0</v>
      </c>
      <c r="D28" s="13">
        <f si="4" t="shared"/>
        <v>0</v>
      </c>
      <c r="E28" s="13">
        <f si="5" t="shared"/>
        <v>0</v>
      </c>
      <c r="F28" s="13">
        <f si="6" t="shared"/>
        <v>0</v>
      </c>
      <c r="G28" s="13">
        <f si="6" t="shared"/>
        <v>0</v>
      </c>
      <c r="H28" s="13">
        <f si="6" t="shared"/>
        <v>0</v>
      </c>
      <c r="I28" s="13">
        <f si="6" t="shared"/>
        <v>0</v>
      </c>
      <c r="J28" s="13">
        <f si="6" t="shared"/>
        <v>0</v>
      </c>
      <c r="K28" s="6"/>
      <c r="L28" t="s">
        <v>54</v>
      </c>
      <c r="M28" s="13">
        <f ref="M28:P28" si="14" t="shared">M11/M$16</f>
        <v>0</v>
      </c>
      <c r="N28" s="13">
        <f si="14" t="shared"/>
        <v>0</v>
      </c>
      <c r="O28" s="13">
        <f si="14" t="shared"/>
        <v>0</v>
      </c>
      <c r="P28" s="13">
        <f si="14" t="shared"/>
        <v>0</v>
      </c>
      <c r="Q28" s="13">
        <f si="8" t="shared"/>
        <v>0</v>
      </c>
      <c r="R28" s="13">
        <f si="8" t="shared"/>
        <v>0</v>
      </c>
      <c r="S28" s="13">
        <f si="8" t="shared"/>
        <v>0</v>
      </c>
      <c r="T28" s="13">
        <f si="8" t="shared"/>
        <v>0</v>
      </c>
      <c r="U28" s="13">
        <f si="8" t="shared"/>
        <v>0</v>
      </c>
    </row>
    <row r="29" spans="1:21" x14ac:dyDescent="0.25">
      <c r="A29" t="s">
        <v>55</v>
      </c>
      <c r="B29" s="13">
        <f si="4" t="shared"/>
        <v>0</v>
      </c>
      <c r="C29" s="13">
        <f si="4" t="shared"/>
        <v>0</v>
      </c>
      <c r="D29" s="13">
        <f si="4" t="shared"/>
        <v>0</v>
      </c>
      <c r="E29" s="13">
        <f si="5" t="shared"/>
        <v>0</v>
      </c>
      <c r="F29" s="13">
        <f si="6" t="shared"/>
        <v>0</v>
      </c>
      <c r="G29" s="13">
        <f si="6" t="shared"/>
        <v>0</v>
      </c>
      <c r="H29" s="13">
        <f si="6" t="shared"/>
        <v>0</v>
      </c>
      <c r="I29" s="13">
        <f si="6" t="shared"/>
        <v>0</v>
      </c>
      <c r="J29" s="13">
        <f si="6" t="shared"/>
        <v>0</v>
      </c>
      <c r="K29" s="6"/>
      <c r="L29" t="s">
        <v>55</v>
      </c>
      <c r="M29" s="13">
        <f ref="M29:P29" si="15" t="shared">M12/M$16</f>
        <v>0</v>
      </c>
      <c r="N29" s="13">
        <f si="15" t="shared"/>
        <v>0</v>
      </c>
      <c r="O29" s="13">
        <f si="15" t="shared"/>
        <v>0</v>
      </c>
      <c r="P29" s="13">
        <f si="15" t="shared"/>
        <v>0</v>
      </c>
      <c r="Q29" s="13">
        <f si="8" t="shared"/>
        <v>0</v>
      </c>
      <c r="R29" s="13">
        <f si="8" t="shared"/>
        <v>0</v>
      </c>
      <c r="S29" s="13">
        <f si="8" t="shared"/>
        <v>0</v>
      </c>
      <c r="T29" s="13">
        <f si="8" t="shared"/>
        <v>0</v>
      </c>
      <c r="U29" s="13">
        <f si="8" t="shared"/>
        <v>0</v>
      </c>
    </row>
    <row r="30" spans="1:21" x14ac:dyDescent="0.25">
      <c r="A30" t="s">
        <v>24</v>
      </c>
      <c r="B30" s="13">
        <f si="4" t="shared"/>
        <v>0</v>
      </c>
      <c r="C30" s="13">
        <f si="4" t="shared"/>
        <v>0</v>
      </c>
      <c r="D30" s="13">
        <f si="4" t="shared"/>
        <v>0</v>
      </c>
      <c r="E30" s="13">
        <f si="5" t="shared"/>
        <v>0</v>
      </c>
      <c r="F30" s="13">
        <f si="6" t="shared"/>
        <v>0</v>
      </c>
      <c r="G30" s="13">
        <f si="6" t="shared"/>
        <v>0</v>
      </c>
      <c r="H30" s="13">
        <f si="6" t="shared"/>
        <v>0</v>
      </c>
      <c r="I30" s="13">
        <f si="6" t="shared"/>
        <v>0.71608616198847597</v>
      </c>
      <c r="J30" s="13">
        <f si="6" t="shared"/>
        <v>2.1844281845138518E-2</v>
      </c>
      <c r="K30" s="6"/>
      <c r="L30" t="s">
        <v>24</v>
      </c>
      <c r="M30" s="13">
        <f ref="M30:P30" si="16" t="shared">M13/M$16</f>
        <v>0</v>
      </c>
      <c r="N30" s="13">
        <f si="16" t="shared"/>
        <v>0</v>
      </c>
      <c r="O30" s="13">
        <f si="16" t="shared"/>
        <v>0</v>
      </c>
      <c r="P30" s="13">
        <f si="16" t="shared"/>
        <v>0</v>
      </c>
      <c r="Q30" s="13">
        <f si="8" t="shared"/>
        <v>0</v>
      </c>
      <c r="R30" s="13">
        <f si="8" t="shared"/>
        <v>0</v>
      </c>
      <c r="S30" s="13">
        <f si="8" t="shared"/>
        <v>0</v>
      </c>
      <c r="T30" s="13">
        <f si="8" t="shared"/>
        <v>0.70180570243000429</v>
      </c>
      <c r="U30" s="13">
        <f si="8" t="shared"/>
        <v>2.1534672043632512E-2</v>
      </c>
    </row>
    <row r="31" spans="1:21" x14ac:dyDescent="0.25">
      <c r="A31" t="s">
        <v>4</v>
      </c>
      <c r="B31" s="13">
        <f si="4" t="shared"/>
        <v>7.4097214791420064E-4</v>
      </c>
      <c r="C31" s="13">
        <f si="4" t="shared"/>
        <v>3.5352697930933412E-3</v>
      </c>
      <c r="D31" s="13">
        <f si="4" t="shared"/>
        <v>3.0141804458870959E-3</v>
      </c>
      <c r="E31" s="13">
        <f si="5" t="shared"/>
        <v>9.805423039845908E-4</v>
      </c>
      <c r="F31" s="13">
        <f si="6" t="shared"/>
        <v>8.3865889657352959E-3</v>
      </c>
      <c r="G31" s="13">
        <f si="6" t="shared"/>
        <v>0.92911398425364555</v>
      </c>
      <c r="H31" s="13">
        <f si="6" t="shared"/>
        <v>0</v>
      </c>
      <c r="I31" s="13">
        <f si="6" t="shared"/>
        <v>5.9696997863044653E-3</v>
      </c>
      <c r="J31" s="13">
        <f si="6" t="shared"/>
        <v>1.3572707227595505E-2</v>
      </c>
      <c r="K31" s="6"/>
      <c r="L31" t="s">
        <v>4</v>
      </c>
      <c r="M31" s="13">
        <f ref="M31:P31" si="17" t="shared">M14/M$16</f>
        <v>1.1803295374069555E-3</v>
      </c>
      <c r="N31" s="13">
        <f si="17" t="shared"/>
        <v>3.8646040821942425E-3</v>
      </c>
      <c r="O31" s="13">
        <f si="17" t="shared"/>
        <v>3.9342661101385542E-3</v>
      </c>
      <c r="P31" s="13">
        <f si="17" t="shared"/>
        <v>0</v>
      </c>
      <c r="Q31" s="13">
        <f si="8" t="shared"/>
        <v>1.1840313870821281E-2</v>
      </c>
      <c r="R31" s="13">
        <f si="8" t="shared"/>
        <v>0.91901246950903859</v>
      </c>
      <c r="S31" s="13">
        <f si="8" t="shared"/>
        <v>0</v>
      </c>
      <c r="T31" s="13">
        <f si="8" t="shared"/>
        <v>5.7343848615071221E-3</v>
      </c>
      <c r="U31" s="13">
        <f si="8" t="shared"/>
        <v>1.4439639837355743E-2</v>
      </c>
    </row>
    <row r="32" spans="1:21" x14ac:dyDescent="0.25">
      <c r="A32" s="4" t="s">
        <v>5</v>
      </c>
      <c r="B32" s="14">
        <f si="4" t="shared"/>
        <v>1.5354379248839039E-2</v>
      </c>
      <c r="C32" s="14">
        <f si="4" t="shared"/>
        <v>1.7153273365630672E-2</v>
      </c>
      <c r="D32" s="14">
        <f si="4" t="shared"/>
        <v>2.8280976206468647E-2</v>
      </c>
      <c r="E32" s="13">
        <f si="5" t="shared"/>
        <v>5.5550213371330259E-2</v>
      </c>
      <c r="F32" s="14">
        <f si="6" t="shared"/>
        <v>0.20264044352903487</v>
      </c>
      <c r="G32" s="14">
        <f si="6" t="shared"/>
        <v>7.0886015746354336E-2</v>
      </c>
      <c r="H32" s="14">
        <f si="6" t="shared"/>
        <v>1</v>
      </c>
      <c r="I32" s="14">
        <f si="6" t="shared"/>
        <v>2.5821142444383528E-2</v>
      </c>
      <c r="J32" s="14">
        <f si="6" t="shared"/>
        <v>0.12490301302267233</v>
      </c>
      <c r="K32" s="6"/>
      <c r="L32" s="4" t="s">
        <v>5</v>
      </c>
      <c r="M32" s="14">
        <f ref="M32:P32" si="18" t="shared">M15/M$16</f>
        <v>1.9494916161852716E-2</v>
      </c>
      <c r="N32" s="14">
        <f si="18" t="shared"/>
        <v>3.2351700941441283E-2</v>
      </c>
      <c r="O32" s="14">
        <f si="18" t="shared"/>
        <v>3.0424862280547874E-2</v>
      </c>
      <c r="P32" s="14">
        <f si="18" t="shared"/>
        <v>0</v>
      </c>
      <c r="Q32" s="14">
        <f si="8" t="shared"/>
        <v>0.20104121760338484</v>
      </c>
      <c r="R32" s="14">
        <f si="8" t="shared"/>
        <v>8.0987530490961426E-2</v>
      </c>
      <c r="S32" s="14">
        <f si="8" t="shared"/>
        <v>0.99999605317169504</v>
      </c>
      <c r="T32" s="14">
        <f si="8" t="shared"/>
        <v>6.5270208238146679E-2</v>
      </c>
      <c r="U32" s="14">
        <f si="8" t="shared"/>
        <v>0.13379008194396422</v>
      </c>
    </row>
    <row ht="15.75" r="33" spans="1:32" thickBot="1" x14ac:dyDescent="0.3">
      <c r="A33" s="12" t="s">
        <v>7</v>
      </c>
      <c r="B33" s="15">
        <f si="4" t="shared"/>
        <v>1</v>
      </c>
      <c r="C33" s="15">
        <f si="4" t="shared"/>
        <v>1</v>
      </c>
      <c r="D33" s="15">
        <f si="4" t="shared"/>
        <v>1</v>
      </c>
      <c r="E33" s="15">
        <f si="5" t="shared"/>
        <v>1</v>
      </c>
      <c r="F33" s="15">
        <f si="6" t="shared"/>
        <v>1</v>
      </c>
      <c r="G33" s="15">
        <f si="6" t="shared"/>
        <v>1</v>
      </c>
      <c r="H33" s="15">
        <f si="6" t="shared"/>
        <v>1</v>
      </c>
      <c r="I33" s="15">
        <f si="6" t="shared"/>
        <v>1</v>
      </c>
      <c r="J33" s="15">
        <f si="6" t="shared"/>
        <v>1</v>
      </c>
      <c r="L33" s="9" t="s">
        <v>7</v>
      </c>
      <c r="M33" s="15">
        <f ref="M33:P33" si="19" t="shared">M16/M$16</f>
        <v>1</v>
      </c>
      <c r="N33" s="15">
        <f si="19" t="shared"/>
        <v>1</v>
      </c>
      <c r="O33" s="15">
        <f si="19" t="shared"/>
        <v>1</v>
      </c>
      <c r="P33" s="15">
        <f si="19" t="shared"/>
        <v>1</v>
      </c>
      <c r="Q33" s="15">
        <f si="8" t="shared"/>
        <v>1</v>
      </c>
      <c r="R33" s="15">
        <f si="8" t="shared"/>
        <v>1</v>
      </c>
      <c r="S33" s="15">
        <f si="8" t="shared"/>
        <v>1</v>
      </c>
      <c r="T33" s="15">
        <f si="8" t="shared"/>
        <v>1</v>
      </c>
      <c r="U33" s="15">
        <f si="8" t="shared"/>
        <v>1</v>
      </c>
    </row>
    <row ht="15.75" r="36" spans="1:32" thickBot="1" x14ac:dyDescent="0.3">
      <c r="L36" s="1" t="s">
        <v>17</v>
      </c>
      <c r="M36" s="1"/>
      <c r="N36" s="2"/>
      <c r="O36" s="2"/>
      <c r="P36" s="2"/>
      <c r="Q36" s="2"/>
      <c r="R36" s="2"/>
      <c r="S36" s="2"/>
      <c r="T36" s="2"/>
      <c r="U36" s="2"/>
      <c r="W36" s="18" t="s">
        <v>48</v>
      </c>
      <c r="X36" s="18"/>
      <c r="Y36" s="19"/>
      <c r="Z36" s="19"/>
      <c r="AA36" s="19"/>
      <c r="AB36" s="19"/>
      <c r="AC36" s="19"/>
      <c r="AD36" s="19"/>
      <c r="AE36" s="19"/>
      <c r="AF36" s="19"/>
    </row>
    <row r="37" spans="1:32" x14ac:dyDescent="0.25">
      <c r="L37" s="3"/>
      <c r="M37" s="31" t="s">
        <v>47</v>
      </c>
      <c r="N37" s="32"/>
      <c r="O37" s="32"/>
      <c r="P37" s="32"/>
      <c r="Q37" s="32"/>
      <c r="R37" s="32"/>
      <c r="S37" s="32"/>
      <c r="T37" s="32"/>
      <c r="U37" s="32"/>
      <c r="W37" s="23"/>
      <c r="X37" s="30" t="s">
        <v>47</v>
      </c>
      <c r="Y37" s="30"/>
      <c r="Z37" s="30"/>
      <c r="AA37" s="30"/>
      <c r="AB37" s="30"/>
      <c r="AC37" s="30"/>
      <c r="AD37" s="30"/>
      <c r="AE37" s="30"/>
      <c r="AF37" s="24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  <c r="W38" s="25" t="s">
        <v>0</v>
      </c>
      <c r="X38" s="26" t="s">
        <v>11</v>
      </c>
      <c r="Y38" s="26" t="s">
        <v>12</v>
      </c>
      <c r="Z38" s="26" t="s">
        <v>13</v>
      </c>
      <c r="AA38" s="26" t="s">
        <v>14</v>
      </c>
      <c r="AB38" s="26" t="s">
        <v>15</v>
      </c>
      <c r="AC38" s="5" t="s">
        <v>4</v>
      </c>
      <c r="AD38" s="5" t="s">
        <v>5</v>
      </c>
      <c r="AE38" s="5" t="s">
        <v>16</v>
      </c>
      <c r="AF38" s="26" t="s">
        <v>7</v>
      </c>
    </row>
    <row r="39" spans="1:32" x14ac:dyDescent="0.25">
      <c r="L39" t="s">
        <v>1</v>
      </c>
      <c r="M39" s="13">
        <f ref="M39:P44" si="20" t="shared">M22-B22</f>
        <v>-4.5798943025064931E-3</v>
      </c>
      <c r="N39" s="13">
        <f si="20" t="shared"/>
        <v>-1.0292011995837069E-2</v>
      </c>
      <c r="O39" s="13">
        <f si="20" t="shared"/>
        <v>3.4944363560173303E-3</v>
      </c>
      <c r="P39" s="13">
        <f si="20" t="shared"/>
        <v>7.1435248004031837E-2</v>
      </c>
      <c r="Q39" s="13">
        <f ref="Q39:Q50" si="21" t="shared">Q22-F22</f>
        <v>1.9720342171073085E-2</v>
      </c>
      <c r="R39" s="13">
        <f ref="R39:R50" si="22" t="shared">R22-G22</f>
        <v>0</v>
      </c>
      <c r="S39" s="13">
        <f ref="S39:S50" si="23" t="shared">S22-H22</f>
        <v>0</v>
      </c>
      <c r="T39" s="13">
        <f ref="T39:T50" si="24" t="shared">T22-I22</f>
        <v>-7.1601093666350153E-4</v>
      </c>
      <c r="U39" s="13">
        <f ref="U39:U50" si="25" t="shared">U22-J22</f>
        <v>1.2637402442304935E-2</v>
      </c>
      <c r="W39" s="21" t="s">
        <v>1</v>
      </c>
      <c r="X39" s="22">
        <f>M39</f>
        <v>-4.5798943025064931E-3</v>
      </c>
      <c r="Y39" s="22">
        <f ref="Y39:AF39" si="26" t="shared">N39</f>
        <v>-1.0292011995837069E-2</v>
      </c>
      <c r="Z39" s="22">
        <f si="26" t="shared"/>
        <v>3.4944363560173303E-3</v>
      </c>
      <c r="AA39" s="22">
        <f si="26" t="shared"/>
        <v>7.1435248004031837E-2</v>
      </c>
      <c r="AB39" s="22">
        <f si="26" t="shared"/>
        <v>1.9720342171073085E-2</v>
      </c>
      <c r="AC39" s="22">
        <f si="26" t="shared"/>
        <v>0</v>
      </c>
      <c r="AD39" s="22">
        <f si="26" t="shared"/>
        <v>0</v>
      </c>
      <c r="AE39" s="22">
        <f si="26" t="shared"/>
        <v>-7.1601093666350153E-4</v>
      </c>
      <c r="AF39" s="22">
        <f si="26" t="shared"/>
        <v>1.2637402442304935E-2</v>
      </c>
    </row>
    <row r="40" spans="1:32" x14ac:dyDescent="0.25">
      <c r="L40" t="s">
        <v>9</v>
      </c>
      <c r="M40" s="13">
        <f si="20" t="shared"/>
        <v>0</v>
      </c>
      <c r="N40" s="13">
        <f si="20" t="shared"/>
        <v>-5.2357498690743798E-3</v>
      </c>
      <c r="O40" s="13">
        <f si="20" t="shared"/>
        <v>3.0800629026353499E-4</v>
      </c>
      <c r="P40" s="13">
        <f si="20" t="shared"/>
        <v>-1.0149911049683602E-3</v>
      </c>
      <c r="Q40" s="13">
        <f si="21" t="shared"/>
        <v>9.3804263246939218E-3</v>
      </c>
      <c r="R40" s="13">
        <f si="22" t="shared"/>
        <v>0</v>
      </c>
      <c r="S40" s="13">
        <f si="23" t="shared"/>
        <v>0</v>
      </c>
      <c r="T40" s="13">
        <f si="24" t="shared"/>
        <v>2.3510698230046603E-2</v>
      </c>
      <c r="U40" s="13">
        <f si="25" t="shared"/>
        <v>6.7306223120478514E-3</v>
      </c>
      <c r="W40" s="27" t="s">
        <v>9</v>
      </c>
      <c r="X40" s="22">
        <f ref="X40:X49" si="27" t="shared">M40</f>
        <v>0</v>
      </c>
      <c r="Y40" s="22">
        <f ref="Y40:Y50" si="28" t="shared">N40</f>
        <v>-5.2357498690743798E-3</v>
      </c>
      <c r="Z40" s="22">
        <f ref="Z40:Z50" si="29" t="shared">O40</f>
        <v>3.0800629026353499E-4</v>
      </c>
      <c r="AA40" s="22">
        <f ref="AA40:AA50" si="30" t="shared">P40</f>
        <v>-1.0149911049683602E-3</v>
      </c>
      <c r="AB40" s="22">
        <f ref="AB40:AB50" si="31" t="shared">Q40</f>
        <v>9.3804263246939218E-3</v>
      </c>
      <c r="AC40" s="22">
        <f ref="AC40:AC50" si="32" t="shared">R40</f>
        <v>0</v>
      </c>
      <c r="AD40" s="22">
        <f ref="AD40:AD50" si="33" t="shared">S40</f>
        <v>0</v>
      </c>
      <c r="AE40" s="22">
        <f ref="AE40:AE50" si="34" t="shared">T40</f>
        <v>2.3510698230046603E-2</v>
      </c>
      <c r="AF40" s="22">
        <f ref="AF40:AF50" si="35" t="shared">U40</f>
        <v>6.7306223120478514E-3</v>
      </c>
    </row>
    <row r="41" spans="1:32" x14ac:dyDescent="0.25">
      <c r="L41" t="s">
        <v>10</v>
      </c>
      <c r="M41" s="13">
        <f si="20" t="shared"/>
        <v>0</v>
      </c>
      <c r="N41" s="13">
        <f si="20" t="shared"/>
        <v>0</v>
      </c>
      <c r="O41" s="13">
        <f si="20" t="shared"/>
        <v>-6.8664143846114412E-3</v>
      </c>
      <c r="P41" s="13">
        <f si="20" t="shared"/>
        <v>2.2222873346339038E-3</v>
      </c>
      <c r="Q41" s="13">
        <f si="21" t="shared"/>
        <v>1.788094376854038E-2</v>
      </c>
      <c r="R41" s="13">
        <f si="22" t="shared"/>
        <v>0</v>
      </c>
      <c r="S41" s="13">
        <f si="23" t="shared"/>
        <v>3.9468283050009348E-6</v>
      </c>
      <c r="T41" s="13">
        <f si="24" t="shared"/>
        <v>-2.7833195841450484E-2</v>
      </c>
      <c r="U41" s="13">
        <f si="25" t="shared"/>
        <v>-4.7729071271511159E-3</v>
      </c>
      <c r="W41" s="27" t="s">
        <v>10</v>
      </c>
      <c r="X41" s="22">
        <f si="27" t="shared"/>
        <v>0</v>
      </c>
      <c r="Y41" s="22">
        <f si="28" t="shared"/>
        <v>0</v>
      </c>
      <c r="Z41" s="22">
        <f si="29" t="shared"/>
        <v>-6.8664143846114412E-3</v>
      </c>
      <c r="AA41" s="22">
        <f si="30" t="shared"/>
        <v>2.2222873346339038E-3</v>
      </c>
      <c r="AB41" s="22">
        <f si="31" t="shared"/>
        <v>1.788094376854038E-2</v>
      </c>
      <c r="AC41" s="22">
        <f si="32" t="shared"/>
        <v>0</v>
      </c>
      <c r="AD41" s="22">
        <f si="33" t="shared"/>
        <v>3.9468283050009348E-6</v>
      </c>
      <c r="AE41" s="22">
        <f si="34" t="shared"/>
        <v>-2.7833195841450484E-2</v>
      </c>
      <c r="AF41" s="22">
        <f si="35" t="shared"/>
        <v>-4.7729071271511159E-3</v>
      </c>
    </row>
    <row r="42" spans="1:32" x14ac:dyDescent="0.25">
      <c r="L42" t="s">
        <v>51</v>
      </c>
      <c r="M42" s="13">
        <f si="20" t="shared"/>
        <v>0</v>
      </c>
      <c r="N42" s="13">
        <f si="20" t="shared"/>
        <v>0</v>
      </c>
      <c r="O42" s="13">
        <f si="20" t="shared"/>
        <v>0</v>
      </c>
      <c r="P42" s="13">
        <f si="20" t="shared"/>
        <v>-1.6111788558382467E-2</v>
      </c>
      <c r="Q42" s="13">
        <f si="21" t="shared"/>
        <v>-4.6425400275696416E-2</v>
      </c>
      <c r="R42" s="13">
        <f si="22" t="shared"/>
        <v>0</v>
      </c>
      <c r="S42" s="13">
        <f si="23" t="shared"/>
        <v>0</v>
      </c>
      <c r="T42" s="13">
        <f si="24" t="shared"/>
        <v>-1.9894782762426736E-2</v>
      </c>
      <c r="U42" s="13">
        <f si="25" t="shared"/>
        <v>-2.3890900823973625E-2</v>
      </c>
      <c r="W42" t="s">
        <v>51</v>
      </c>
      <c r="X42" s="22">
        <f si="27" t="shared"/>
        <v>0</v>
      </c>
      <c r="Y42" s="22">
        <f si="28" t="shared"/>
        <v>0</v>
      </c>
      <c r="Z42" s="22">
        <f si="29" t="shared"/>
        <v>0</v>
      </c>
      <c r="AA42" s="22">
        <f si="30" t="shared"/>
        <v>-1.6111788558382467E-2</v>
      </c>
      <c r="AB42" s="22">
        <f si="31" t="shared"/>
        <v>-4.6425400275696416E-2</v>
      </c>
      <c r="AC42" s="22">
        <f si="32" t="shared"/>
        <v>0</v>
      </c>
      <c r="AD42" s="22">
        <f si="33" t="shared"/>
        <v>0</v>
      </c>
      <c r="AE42" s="22">
        <f si="34" t="shared"/>
        <v>-1.9894782762426736E-2</v>
      </c>
      <c r="AF42" s="22">
        <f si="35" t="shared"/>
        <v>-2.3890900823973625E-2</v>
      </c>
    </row>
    <row r="43" spans="1:32" x14ac:dyDescent="0.25">
      <c r="L43" t="s">
        <v>52</v>
      </c>
      <c r="M43" s="13">
        <f si="20" t="shared"/>
        <v>0</v>
      </c>
      <c r="N43" s="13">
        <f si="20" t="shared"/>
        <v>0</v>
      </c>
      <c r="O43" s="13">
        <f si="20" t="shared"/>
        <v>0</v>
      </c>
      <c r="P43" s="13">
        <f si="20" t="shared"/>
        <v>0</v>
      </c>
      <c r="Q43" s="13">
        <f si="21" t="shared"/>
        <v>-2.4108109680470737E-3</v>
      </c>
      <c r="R43" s="13">
        <f si="22" t="shared"/>
        <v>0</v>
      </c>
      <c r="S43" s="13">
        <f si="23" t="shared"/>
        <v>0</v>
      </c>
      <c r="T43" s="13">
        <f si="24" t="shared"/>
        <v>0</v>
      </c>
      <c r="U43" s="13">
        <f si="25" t="shared"/>
        <v>-1.4860853277401306E-4</v>
      </c>
      <c r="W43" t="s">
        <v>52</v>
      </c>
      <c r="X43" s="22">
        <f si="27" t="shared"/>
        <v>0</v>
      </c>
      <c r="Y43" s="22">
        <f si="28" t="shared"/>
        <v>0</v>
      </c>
      <c r="Z43" s="22">
        <f si="29" t="shared"/>
        <v>0</v>
      </c>
      <c r="AA43" s="22">
        <f si="30" t="shared"/>
        <v>0</v>
      </c>
      <c r="AB43" s="22">
        <f si="31" t="shared"/>
        <v>-2.4108109680470737E-3</v>
      </c>
      <c r="AC43" s="22">
        <f si="32" t="shared"/>
        <v>0</v>
      </c>
      <c r="AD43" s="22">
        <f si="33" t="shared"/>
        <v>0</v>
      </c>
      <c r="AE43" s="22">
        <f si="34" t="shared"/>
        <v>0</v>
      </c>
      <c r="AF43" s="22">
        <f si="35" t="shared"/>
        <v>-1.4860853277401306E-4</v>
      </c>
    </row>
    <row r="44" spans="1:32" x14ac:dyDescent="0.25">
      <c r="L44" t="s">
        <v>53</v>
      </c>
      <c r="M44" s="13">
        <f si="20" t="shared"/>
        <v>0</v>
      </c>
      <c r="N44" s="13">
        <f si="20" t="shared"/>
        <v>0</v>
      </c>
      <c r="O44" s="13">
        <f si="20" t="shared"/>
        <v>0</v>
      </c>
      <c r="P44" s="13">
        <f si="20" t="shared"/>
        <v>0</v>
      </c>
      <c r="Q44" s="13">
        <f si="21" t="shared"/>
        <v>0</v>
      </c>
      <c r="R44" s="13">
        <f si="22" t="shared"/>
        <v>0</v>
      </c>
      <c r="S44" s="13">
        <f si="23" t="shared"/>
        <v>0</v>
      </c>
      <c r="T44" s="13">
        <f si="24" t="shared"/>
        <v>0</v>
      </c>
      <c r="U44" s="13">
        <f si="25" t="shared"/>
        <v>0</v>
      </c>
      <c r="W44" t="s">
        <v>53</v>
      </c>
      <c r="X44" s="22">
        <f si="27" t="shared"/>
        <v>0</v>
      </c>
      <c r="Y44" s="22">
        <f si="28" t="shared"/>
        <v>0</v>
      </c>
      <c r="Z44" s="22">
        <f si="29" t="shared"/>
        <v>0</v>
      </c>
      <c r="AA44" s="22">
        <f si="30" t="shared"/>
        <v>0</v>
      </c>
      <c r="AB44" s="22">
        <f si="31" t="shared"/>
        <v>0</v>
      </c>
      <c r="AC44" s="22">
        <f si="32" t="shared"/>
        <v>0</v>
      </c>
      <c r="AD44" s="22">
        <f si="33" t="shared"/>
        <v>0</v>
      </c>
      <c r="AE44" s="22">
        <f si="34" t="shared"/>
        <v>0</v>
      </c>
      <c r="AF44" s="22">
        <f si="35" t="shared"/>
        <v>0</v>
      </c>
    </row>
    <row r="45" spans="1:32" x14ac:dyDescent="0.25">
      <c r="L45" t="s">
        <v>54</v>
      </c>
      <c r="M45" s="13">
        <f ref="M45:M47" si="36" t="shared">M28-B28</f>
        <v>0</v>
      </c>
      <c r="N45" s="13">
        <f ref="N45:N47" si="37" t="shared">N28-C28</f>
        <v>0</v>
      </c>
      <c r="O45" s="13">
        <f ref="O45:O47" si="38" t="shared">O28-D28</f>
        <v>0</v>
      </c>
      <c r="P45" s="13">
        <f ref="P45:P47" si="39" t="shared">P28-E28</f>
        <v>0</v>
      </c>
      <c r="Q45" s="13">
        <f si="21" t="shared"/>
        <v>0</v>
      </c>
      <c r="R45" s="13">
        <f si="22" t="shared"/>
        <v>0</v>
      </c>
      <c r="S45" s="13">
        <f si="23" t="shared"/>
        <v>0</v>
      </c>
      <c r="T45" s="13">
        <f si="24" t="shared"/>
        <v>0</v>
      </c>
      <c r="U45" s="13">
        <f si="25" t="shared"/>
        <v>0</v>
      </c>
      <c r="W45" t="s">
        <v>54</v>
      </c>
      <c r="X45" s="22">
        <f si="27" t="shared"/>
        <v>0</v>
      </c>
      <c r="Y45" s="22">
        <f si="28" t="shared"/>
        <v>0</v>
      </c>
      <c r="Z45" s="22">
        <f si="29" t="shared"/>
        <v>0</v>
      </c>
      <c r="AA45" s="22">
        <f si="30" t="shared"/>
        <v>0</v>
      </c>
      <c r="AB45" s="22">
        <f si="31" t="shared"/>
        <v>0</v>
      </c>
      <c r="AC45" s="22">
        <f si="32" t="shared"/>
        <v>0</v>
      </c>
      <c r="AD45" s="22">
        <f si="33" t="shared"/>
        <v>0</v>
      </c>
      <c r="AE45" s="22">
        <f si="34" t="shared"/>
        <v>0</v>
      </c>
      <c r="AF45" s="22">
        <f si="35" t="shared"/>
        <v>0</v>
      </c>
    </row>
    <row r="46" spans="1:32" x14ac:dyDescent="0.25">
      <c r="L46" t="s">
        <v>55</v>
      </c>
      <c r="M46" s="13">
        <f si="36" t="shared"/>
        <v>0</v>
      </c>
      <c r="N46" s="13">
        <f si="37" t="shared"/>
        <v>0</v>
      </c>
      <c r="O46" s="13">
        <f si="38" t="shared"/>
        <v>0</v>
      </c>
      <c r="P46" s="13">
        <f si="39" t="shared"/>
        <v>0</v>
      </c>
      <c r="Q46" s="13">
        <f si="21" t="shared"/>
        <v>0</v>
      </c>
      <c r="R46" s="13">
        <f si="22" t="shared"/>
        <v>0</v>
      </c>
      <c r="S46" s="13">
        <f si="23" t="shared"/>
        <v>0</v>
      </c>
      <c r="T46" s="13">
        <f si="24" t="shared"/>
        <v>0</v>
      </c>
      <c r="U46" s="13">
        <f si="25" t="shared"/>
        <v>0</v>
      </c>
      <c r="W46" t="s">
        <v>55</v>
      </c>
      <c r="X46" s="22">
        <f si="27" t="shared"/>
        <v>0</v>
      </c>
      <c r="Y46" s="22">
        <f si="28" t="shared"/>
        <v>0</v>
      </c>
      <c r="Z46" s="22">
        <f si="29" t="shared"/>
        <v>0</v>
      </c>
      <c r="AA46" s="22">
        <f si="30" t="shared"/>
        <v>0</v>
      </c>
      <c r="AB46" s="22">
        <f si="31" t="shared"/>
        <v>0</v>
      </c>
      <c r="AC46" s="22">
        <f si="32" t="shared"/>
        <v>0</v>
      </c>
      <c r="AD46" s="22">
        <f si="33" t="shared"/>
        <v>0</v>
      </c>
      <c r="AE46" s="22">
        <f si="34" t="shared"/>
        <v>0</v>
      </c>
      <c r="AF46" s="22">
        <f si="35" t="shared"/>
        <v>0</v>
      </c>
    </row>
    <row r="47" spans="1:32" x14ac:dyDescent="0.25">
      <c r="L47" t="s">
        <v>24</v>
      </c>
      <c r="M47" s="13">
        <f si="36" t="shared"/>
        <v>0</v>
      </c>
      <c r="N47" s="13">
        <f si="37" t="shared"/>
        <v>0</v>
      </c>
      <c r="O47" s="13">
        <f si="38" t="shared"/>
        <v>0</v>
      </c>
      <c r="P47" s="13">
        <f si="39" t="shared"/>
        <v>0</v>
      </c>
      <c r="Q47" s="13">
        <f si="21" t="shared"/>
        <v>0</v>
      </c>
      <c r="R47" s="13">
        <f si="22" t="shared"/>
        <v>0</v>
      </c>
      <c r="S47" s="13">
        <f si="23" t="shared"/>
        <v>0</v>
      </c>
      <c r="T47" s="13">
        <f si="24" t="shared"/>
        <v>-1.4280459558471681E-2</v>
      </c>
      <c r="U47" s="13">
        <f si="25" t="shared"/>
        <v>-3.0960980150600628E-4</v>
      </c>
      <c r="W47" s="21" t="s">
        <v>24</v>
      </c>
      <c r="X47" s="22">
        <f si="27" t="shared"/>
        <v>0</v>
      </c>
      <c r="Y47" s="22">
        <f si="28" t="shared"/>
        <v>0</v>
      </c>
      <c r="Z47" s="22">
        <f si="29" t="shared"/>
        <v>0</v>
      </c>
      <c r="AA47" s="22">
        <f si="30" t="shared"/>
        <v>0</v>
      </c>
      <c r="AB47" s="22">
        <f si="31" t="shared"/>
        <v>0</v>
      </c>
      <c r="AC47" s="22">
        <f si="32" t="shared"/>
        <v>0</v>
      </c>
      <c r="AD47" s="22">
        <f si="33" t="shared"/>
        <v>0</v>
      </c>
      <c r="AE47" s="22">
        <f si="34" t="shared"/>
        <v>-1.4280459558471681E-2</v>
      </c>
      <c r="AF47" s="22">
        <f si="35" t="shared"/>
        <v>-3.0960980150600628E-4</v>
      </c>
    </row>
    <row r="48" spans="1:32" x14ac:dyDescent="0.25">
      <c r="L48" t="s">
        <v>4</v>
      </c>
      <c r="M48" s="13">
        <f ref="M48:P50" si="40" t="shared">M31-B31</f>
        <v>4.3935738949275481E-4</v>
      </c>
      <c r="N48" s="13">
        <f si="40" t="shared"/>
        <v>3.2933428910090134E-4</v>
      </c>
      <c r="O48" s="13">
        <f si="40" t="shared"/>
        <v>9.2008566425145826E-4</v>
      </c>
      <c r="P48" s="13">
        <f si="40" t="shared"/>
        <v>-9.805423039845908E-4</v>
      </c>
      <c r="Q48" s="13">
        <f si="21" t="shared"/>
        <v>3.4537249050859854E-3</v>
      </c>
      <c r="R48" s="13">
        <f si="22" t="shared"/>
        <v>-1.0101514744606965E-2</v>
      </c>
      <c r="S48" s="13">
        <f si="23" t="shared"/>
        <v>0</v>
      </c>
      <c r="T48" s="13">
        <f si="24" t="shared"/>
        <v>-2.3531492479734323E-4</v>
      </c>
      <c r="U48" s="13">
        <f si="25" t="shared"/>
        <v>8.6693260976023791E-4</v>
      </c>
      <c r="W48" s="27" t="s">
        <v>4</v>
      </c>
      <c r="X48" s="22">
        <f si="27" t="shared"/>
        <v>4.3935738949275481E-4</v>
      </c>
      <c r="Y48" s="22">
        <f si="28" t="shared"/>
        <v>3.2933428910090134E-4</v>
      </c>
      <c r="Z48" s="22">
        <f si="29" t="shared"/>
        <v>9.2008566425145826E-4</v>
      </c>
      <c r="AA48" s="22">
        <f si="30" t="shared"/>
        <v>-9.805423039845908E-4</v>
      </c>
      <c r="AB48" s="22">
        <f si="31" t="shared"/>
        <v>3.4537249050859854E-3</v>
      </c>
      <c r="AC48" s="22">
        <f si="32" t="shared"/>
        <v>-1.0101514744606965E-2</v>
      </c>
      <c r="AD48" s="22">
        <f si="33" t="shared"/>
        <v>0</v>
      </c>
      <c r="AE48" s="22">
        <f si="34" t="shared"/>
        <v>-2.3531492479734323E-4</v>
      </c>
      <c r="AF48" s="22">
        <f si="35" t="shared"/>
        <v>8.6693260976023791E-4</v>
      </c>
    </row>
    <row r="49" spans="12:32" x14ac:dyDescent="0.25">
      <c r="L49" s="4" t="s">
        <v>5</v>
      </c>
      <c r="M49" s="17">
        <f si="40" t="shared"/>
        <v>4.140536913013677E-3</v>
      </c>
      <c r="N49" s="17">
        <f si="40" t="shared"/>
        <v>1.5198427575810611E-2</v>
      </c>
      <c r="O49" s="17">
        <f si="40" t="shared"/>
        <v>2.1438860740792265E-3</v>
      </c>
      <c r="P49" s="17">
        <f si="40" t="shared"/>
        <v>-5.5550213371330259E-2</v>
      </c>
      <c r="Q49" s="17">
        <f si="21" t="shared"/>
        <v>-1.5992259256500385E-3</v>
      </c>
      <c r="R49" s="17">
        <f si="22" t="shared"/>
        <v>1.010151474460709E-2</v>
      </c>
      <c r="S49" s="17">
        <f si="23" t="shared"/>
        <v>-3.9468283049570729E-6</v>
      </c>
      <c r="T49" s="17">
        <f si="24" t="shared"/>
        <v>3.9449065793763151E-2</v>
      </c>
      <c r="U49" s="13">
        <f si="25" t="shared"/>
        <v>8.887068921291888E-3</v>
      </c>
      <c r="W49" s="20" t="s">
        <v>5</v>
      </c>
      <c r="X49" s="22">
        <f si="27" t="shared"/>
        <v>4.140536913013677E-3</v>
      </c>
      <c r="Y49" s="22">
        <f si="28" t="shared"/>
        <v>1.5198427575810611E-2</v>
      </c>
      <c r="Z49" s="22">
        <f si="29" t="shared"/>
        <v>2.1438860740792265E-3</v>
      </c>
      <c r="AA49" s="22">
        <f si="30" t="shared"/>
        <v>-5.5550213371330259E-2</v>
      </c>
      <c r="AB49" s="22">
        <f si="31" t="shared"/>
        <v>-1.5992259256500385E-3</v>
      </c>
      <c r="AC49" s="22">
        <f si="32" t="shared"/>
        <v>1.010151474460709E-2</v>
      </c>
      <c r="AD49" s="22">
        <f si="33" t="shared"/>
        <v>-3.9468283049570729E-6</v>
      </c>
      <c r="AE49" s="22">
        <f si="34" t="shared"/>
        <v>3.9449065793763151E-2</v>
      </c>
      <c r="AF49" s="22">
        <f si="35" t="shared"/>
        <v>8.887068921291888E-3</v>
      </c>
    </row>
    <row ht="15.75" r="50" spans="12:32" thickBot="1" x14ac:dyDescent="0.3">
      <c r="L50" s="9" t="s">
        <v>7</v>
      </c>
      <c r="M50" s="15">
        <f si="40" t="shared"/>
        <v>0</v>
      </c>
      <c r="N50" s="15">
        <f si="40" t="shared"/>
        <v>0</v>
      </c>
      <c r="O50" s="15">
        <f si="40" t="shared"/>
        <v>0</v>
      </c>
      <c r="P50" s="15">
        <f si="40" t="shared"/>
        <v>0</v>
      </c>
      <c r="Q50" s="15">
        <f si="21" t="shared"/>
        <v>0</v>
      </c>
      <c r="R50" s="15">
        <f si="22" t="shared"/>
        <v>0</v>
      </c>
      <c r="S50" s="15">
        <f si="23" t="shared"/>
        <v>0</v>
      </c>
      <c r="T50" s="15">
        <f si="24" t="shared"/>
        <v>0</v>
      </c>
      <c r="U50" s="15">
        <f si="25" t="shared"/>
        <v>0</v>
      </c>
      <c r="W50" s="28" t="s">
        <v>7</v>
      </c>
      <c r="X50" s="29">
        <f>M50</f>
        <v>0</v>
      </c>
      <c r="Y50" s="29">
        <f si="28" t="shared"/>
        <v>0</v>
      </c>
      <c r="Z50" s="29">
        <f si="29" t="shared"/>
        <v>0</v>
      </c>
      <c r="AA50" s="29">
        <f si="30" t="shared"/>
        <v>0</v>
      </c>
      <c r="AB50" s="29">
        <f si="31" t="shared"/>
        <v>0</v>
      </c>
      <c r="AC50" s="29">
        <f si="32" t="shared"/>
        <v>0</v>
      </c>
      <c r="AD50" s="29">
        <f si="33" t="shared"/>
        <v>0</v>
      </c>
      <c r="AE50" s="29">
        <f si="34" t="shared"/>
        <v>0</v>
      </c>
      <c r="AF50" s="29">
        <f si="35" t="shared"/>
        <v>0</v>
      </c>
    </row>
  </sheetData>
  <mergeCells count="6">
    <mergeCell ref="X37:AE37"/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2:AF50"/>
  <sheetViews>
    <sheetView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28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41</v>
      </c>
      <c r="C3" s="31"/>
      <c r="D3" s="31"/>
      <c r="E3" s="31"/>
      <c r="F3" s="31"/>
      <c r="G3" s="31"/>
      <c r="H3" s="31"/>
      <c r="I3" s="31"/>
      <c r="J3" s="7"/>
      <c r="L3" s="3"/>
      <c r="M3" s="31" t="s">
        <v>41</v>
      </c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164820.2649660987</v>
      </c>
      <c r="C5" s="6" t="n">
        <v>5896.5215928702</v>
      </c>
      <c r="D5" s="6" t="n">
        <v>1862.7626499472</v>
      </c>
      <c r="E5" s="6" t="n">
        <v>0.0</v>
      </c>
      <c r="F5" s="6" t="n">
        <v>18.7005063981</v>
      </c>
      <c r="G5" s="6" t="n">
        <v>0.0</v>
      </c>
      <c r="H5" s="6" t="n">
        <v>0.0</v>
      </c>
      <c r="I5" s="6" t="n">
        <v>0.0</v>
      </c>
      <c r="J5" s="6">
        <f>SUM(B5:I5)</f>
        <v>172598.24971531422</v>
      </c>
      <c r="K5" s="6"/>
      <c r="L5" t="s">
        <v>1</v>
      </c>
      <c r="M5" s="6" t="n">
        <v>193488.35753994033</v>
      </c>
      <c r="N5" s="6" t="n">
        <v>4333.515503645716</v>
      </c>
      <c r="O5" s="6" t="n">
        <v>866.8598768941026</v>
      </c>
      <c r="P5" s="6" t="n">
        <v>0.0</v>
      </c>
      <c r="Q5" s="6" t="n">
        <v>86.25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178527.82869257487</v>
      </c>
    </row>
    <row r="6" spans="1:21" x14ac:dyDescent="0.25">
      <c r="A6" t="s">
        <v>12</v>
      </c>
      <c r="B6" s="6" t="n">
        <v>0.0</v>
      </c>
      <c r="C6" s="6" t="n">
        <v>31299.6789399114</v>
      </c>
      <c r="D6" s="6" t="n">
        <v>149.8888510751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31449.567790986497</v>
      </c>
      <c r="K6" s="6"/>
      <c r="L6" t="s">
        <v>12</v>
      </c>
      <c r="M6" s="6" t="n">
        <v>0.0</v>
      </c>
      <c r="N6" s="6" t="n">
        <v>44074.33141823157</v>
      </c>
      <c r="O6" s="6" t="n">
        <v>2793.1934285325246</v>
      </c>
      <c r="P6" s="6" t="n">
        <v>0.0</v>
      </c>
      <c r="Q6" s="6" t="n">
        <v>521.6520713690363</v>
      </c>
      <c r="R6" s="6" t="n">
        <v>0.0</v>
      </c>
      <c r="S6" s="6" t="n">
        <v>0.0</v>
      </c>
      <c r="T6" s="6" t="n">
        <v>0.0</v>
      </c>
      <c r="U6" s="6">
        <f si="0" t="shared"/>
        <v>42504.639854260757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13503.06476497</v>
      </c>
      <c r="E7" s="6" t="n">
        <v>0.0</v>
      </c>
      <c r="F7" s="6" t="n">
        <v>1519.928687362</v>
      </c>
      <c r="G7" s="6" t="n">
        <v>0.0</v>
      </c>
      <c r="H7" s="6" t="n">
        <v>0.0</v>
      </c>
      <c r="I7" s="6" t="n">
        <v>0.0</v>
      </c>
      <c r="J7" s="6">
        <f si="1" t="shared"/>
        <v>15022.993452332001</v>
      </c>
      <c r="K7" s="6"/>
      <c r="L7" t="s">
        <v>56</v>
      </c>
      <c r="M7" s="6" t="n">
        <v>0.0</v>
      </c>
      <c r="N7" s="6" t="n">
        <v>0.0</v>
      </c>
      <c r="O7" s="6" t="n">
        <v>15046.916874231256</v>
      </c>
      <c r="P7" s="6" t="n">
        <v>0.0</v>
      </c>
      <c r="Q7" s="6" t="n">
        <v>244.38839547549233</v>
      </c>
      <c r="R7" s="6" t="n">
        <v>0.0</v>
      </c>
      <c r="S7" s="6" t="n">
        <v>0.0</v>
      </c>
      <c r="T7" s="6" t="n">
        <v>0.0</v>
      </c>
      <c r="U7" s="6">
        <f si="0" t="shared"/>
        <v>13740.353416650882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6395.8677954755</v>
      </c>
      <c r="G8" s="6" t="n">
        <v>0.0</v>
      </c>
      <c r="H8" s="6" t="n">
        <v>0.0</v>
      </c>
      <c r="I8" s="6" t="n">
        <v>0.0</v>
      </c>
      <c r="J8" s="6">
        <f si="1" t="shared"/>
        <v>6395.8677954755003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3165.163044949123</v>
      </c>
      <c r="R8" s="6" t="n">
        <v>0.0</v>
      </c>
      <c r="S8" s="6" t="n">
        <v>0.0</v>
      </c>
      <c r="T8" s="6" t="n">
        <v>0.0</v>
      </c>
      <c r="U8" s="6">
        <f si="0" t="shared"/>
        <v>2586.1252697008117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236.004091738</v>
      </c>
      <c r="G9" s="6" t="n">
        <v>0.0</v>
      </c>
      <c r="H9" s="6" t="n">
        <v>0.0</v>
      </c>
      <c r="I9" s="6" t="n">
        <v>0.0</v>
      </c>
      <c r="J9" s="6">
        <f si="1" t="shared"/>
        <v>236.004091738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1949.997832852</v>
      </c>
      <c r="J13" s="6">
        <f si="1" t="shared"/>
        <v>1949.9978328520001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982.882297674</v>
      </c>
      <c r="H14" s="6" t="n">
        <v>0.0</v>
      </c>
      <c r="I14" s="6" t="n">
        <v>0.0</v>
      </c>
      <c r="J14" s="6">
        <f si="1" t="shared"/>
        <v>982.88229767400003</v>
      </c>
      <c r="K14" s="6"/>
      <c r="L14" t="s">
        <v>4</v>
      </c>
      <c r="M14" s="6" t="n">
        <v>127.64999999999999</v>
      </c>
      <c r="N14" s="6" t="n">
        <v>34.58854466858778</v>
      </c>
      <c r="O14" s="6" t="n">
        <v>14.95</v>
      </c>
      <c r="P14" s="6" t="n">
        <v>0.0</v>
      </c>
      <c r="Q14" s="6" t="n">
        <v>20.515132057848938</v>
      </c>
      <c r="R14" s="6" t="n">
        <v>932.6143849375454</v>
      </c>
      <c r="S14" s="6" t="n">
        <v>0.0</v>
      </c>
      <c r="T14" s="6" t="n">
        <v>0.0</v>
      </c>
      <c r="U14" s="6">
        <f si="0" t="shared"/>
        <v>917.43954192568299</v>
      </c>
    </row>
    <row r="15" spans="1:21" x14ac:dyDescent="0.25">
      <c r="A15" s="4" t="s">
        <v>5</v>
      </c>
      <c r="B15" s="10" t="n">
        <v>1357.3149762110002</v>
      </c>
      <c r="C15" s="10" t="n">
        <v>639.8890130484</v>
      </c>
      <c r="D15" s="10" t="n">
        <v>0.0</v>
      </c>
      <c r="E15" s="10" t="n">
        <v>0.0</v>
      </c>
      <c r="F15" s="10" t="n">
        <v>2902.9889422654</v>
      </c>
      <c r="G15" s="10" t="n">
        <v>0.0</v>
      </c>
      <c r="H15" s="10" t="n">
        <v>164414.0589106828</v>
      </c>
      <c r="I15" s="10" t="n">
        <v>0.0</v>
      </c>
      <c r="J15" s="6">
        <f si="1" t="shared"/>
        <v>169314.2518422076</v>
      </c>
      <c r="K15" s="6"/>
      <c r="L15" s="4" t="s">
        <v>5</v>
      </c>
      <c r="M15" s="8" t="n">
        <v>1953.3321742197481</v>
      </c>
      <c r="N15" s="8" t="n">
        <v>415.61764129054956</v>
      </c>
      <c r="O15" s="8" t="n">
        <v>109.52053062236571</v>
      </c>
      <c r="P15" s="8" t="n">
        <v>0.0</v>
      </c>
      <c r="Q15" s="8" t="n">
        <v>244.38839547549233</v>
      </c>
      <c r="R15" s="8" t="n">
        <v>56.349999999999994</v>
      </c>
      <c r="S15" s="8" t="n">
        <v>187257.40754877485</v>
      </c>
      <c r="T15" s="8" t="n">
        <v>0.0</v>
      </c>
      <c r="U15" s="6">
        <f si="0" t="shared"/>
        <v>161600.49548883873</v>
      </c>
    </row>
    <row ht="15.75" r="16" spans="1:21" thickBot="1" x14ac:dyDescent="0.3">
      <c r="A16" s="12" t="s">
        <v>7</v>
      </c>
      <c r="B16" s="16">
        <f ref="B16:J16" si="2" t="shared">SUM(B5:B15)</f>
        <v>166177.57994230971</v>
      </c>
      <c r="C16" s="16">
        <f si="2" t="shared"/>
        <v>37836.08954583</v>
      </c>
      <c r="D16" s="16">
        <f si="2" t="shared"/>
        <v>15515.716265992301</v>
      </c>
      <c r="E16" s="16">
        <f si="2" t="shared"/>
        <v>0</v>
      </c>
      <c r="F16" s="16">
        <f si="2" t="shared"/>
        <v>11073.490023239001</v>
      </c>
      <c r="G16" s="16">
        <f si="2" t="shared"/>
        <v>982.88229767400003</v>
      </c>
      <c r="H16" s="16">
        <f si="2" t="shared"/>
        <v>164414.0589106828</v>
      </c>
      <c r="I16" s="16">
        <f si="2" t="shared"/>
        <v>1949.9978328520001</v>
      </c>
      <c r="J16" s="16">
        <f si="2" t="shared"/>
        <v>397949.81481857982</v>
      </c>
      <c r="L16" s="9" t="s">
        <v>7</v>
      </c>
      <c r="M16" s="16">
        <f ref="M16:U16" si="3" t="shared">SUM(M5:M15)</f>
        <v>175225.10165246707</v>
      </c>
      <c r="N16" s="16">
        <f si="3" t="shared"/>
        <v>44226.392901280065</v>
      </c>
      <c r="O16" s="16">
        <f si="3" t="shared"/>
        <v>16851.647778201066</v>
      </c>
      <c r="P16" s="16">
        <f si="3" t="shared"/>
        <v>0</v>
      </c>
      <c r="Q16" s="16">
        <f si="3" t="shared"/>
        <v>3493.0241972628651</v>
      </c>
      <c r="R16" s="16">
        <f si="3" t="shared"/>
        <v>828.02583111129047</v>
      </c>
      <c r="S16" s="16">
        <f si="3" t="shared"/>
        <v>159252.68990362939</v>
      </c>
      <c r="T16" s="16">
        <f si="3" t="shared"/>
        <v>0</v>
      </c>
      <c r="U16" s="16">
        <f si="3" t="shared"/>
        <v>399876.8822639517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27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41</v>
      </c>
      <c r="C20" s="31"/>
      <c r="D20" s="31"/>
      <c r="E20" s="31"/>
      <c r="F20" s="31"/>
      <c r="G20" s="31"/>
      <c r="H20" s="31"/>
      <c r="I20" s="31"/>
      <c r="J20" s="7"/>
      <c r="L20" s="3"/>
      <c r="M20" s="31" t="s">
        <v>41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0.9918321413954746</v>
      </c>
      <c r="C22" s="13">
        <f si="4" t="shared"/>
        <v>0.15584384284025643</v>
      </c>
      <c r="D22" s="13">
        <f si="4" t="shared"/>
        <v>0.12005650387085548</v>
      </c>
      <c r="E22" s="13" t="e">
        <f si="4" t="shared"/>
        <v>#DIV/0!</v>
      </c>
      <c r="F22" s="13">
        <f si="4" t="shared"/>
        <v>1.6887635568239843E-3</v>
      </c>
      <c r="G22" s="13">
        <f si="4" t="shared"/>
        <v>0</v>
      </c>
      <c r="H22" s="13">
        <f si="4" t="shared"/>
        <v>0</v>
      </c>
      <c r="I22" s="13">
        <f si="4" t="shared"/>
        <v>0</v>
      </c>
      <c r="J22" s="13">
        <f si="4" t="shared"/>
        <v>0.43371863307437281</v>
      </c>
      <c r="K22" s="6"/>
      <c r="L22" t="s">
        <v>1</v>
      </c>
      <c r="M22" s="13">
        <f ref="M22:P22" si="5" t="shared">M5/M$16</f>
        <v>0.98979446018971939</v>
      </c>
      <c r="N22" s="13">
        <f si="5" t="shared"/>
        <v>9.5782309009696295E-2</v>
      </c>
      <c r="O22" s="13">
        <f si="5" t="shared"/>
        <v>4.8294878669470291E-2</v>
      </c>
      <c r="P22" s="13" t="e">
        <f si="5" t="shared"/>
        <v>#DIV/0!</v>
      </c>
      <c r="Q22" s="13">
        <f ref="Q22:U33" si="6" t="shared">Q5/Q$16</f>
        <v>1.1748980934967233E-2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0.44645698866565581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0.82724402324925272</v>
      </c>
      <c r="D23" s="13">
        <f si="7" t="shared"/>
        <v>9.6604532143726926E-3</v>
      </c>
      <c r="E23" s="13" t="e">
        <f si="7" t="shared"/>
        <v>#DIV/0!</v>
      </c>
      <c r="F23" s="13">
        <f si="7" t="shared"/>
        <v>0</v>
      </c>
      <c r="G23" s="13">
        <f si="7" t="shared"/>
        <v>0</v>
      </c>
      <c r="H23" s="13">
        <f si="7" t="shared"/>
        <v>0</v>
      </c>
      <c r="I23" s="13">
        <f si="7" t="shared"/>
        <v>0</v>
      </c>
      <c r="J23" s="13">
        <f si="7" t="shared"/>
        <v>7.9028979584583922E-2</v>
      </c>
      <c r="K23" s="6"/>
      <c r="L23" t="s">
        <v>12</v>
      </c>
      <c r="M23" s="13">
        <f ref="M23:P23" si="8" t="shared">M6/M$16</f>
        <v>0</v>
      </c>
      <c r="N23" s="13">
        <f si="8" t="shared"/>
        <v>0.8966240121300465</v>
      </c>
      <c r="O23" s="13">
        <f si="8" t="shared"/>
        <v>0.14214906676721564</v>
      </c>
      <c r="P23" s="13" t="e">
        <f si="8" t="shared"/>
        <v>#DIV/0!</v>
      </c>
      <c r="Q23" s="13">
        <f si="6" t="shared"/>
        <v>0.13018747601876246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0.1062943164246344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0.87028304291477177</v>
      </c>
      <c r="E24" s="13" t="e">
        <f si="9" t="shared"/>
        <v>#DIV/0!</v>
      </c>
      <c r="F24" s="13">
        <f si="9" t="shared"/>
        <v>0.13725832453655112</v>
      </c>
      <c r="G24" s="13">
        <f si="9" t="shared"/>
        <v>0</v>
      </c>
      <c r="H24" s="13">
        <f si="9" t="shared"/>
        <v>0</v>
      </c>
      <c r="I24" s="13">
        <f si="9" t="shared"/>
        <v>0</v>
      </c>
      <c r="J24" s="13">
        <f si="9" t="shared"/>
        <v>3.77509748539041E-2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0.8013261826286121</v>
      </c>
      <c r="P24" s="13" t="e">
        <f si="10" t="shared"/>
        <v>#DIV/0!</v>
      </c>
      <c r="Q24" s="13">
        <f si="6" t="shared"/>
        <v>6.775986027481784E-2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3.4361459804473304E-2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 t="e">
        <f si="11" t="shared"/>
        <v>#DIV/0!</v>
      </c>
      <c r="F25" s="13">
        <f si="11" t="shared"/>
        <v>0.5775837411740139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1.6072046165899821E-2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0.74036855276505109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6.4673037737494306E-3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 t="e">
        <f si="13" t="shared"/>
        <v>#DIV/0!</v>
      </c>
      <c r="F26" s="13">
        <f si="13" t="shared"/>
        <v>2.1312530308215213E-2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5.9304988455790891E-4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 t="e">
        <f si="15" t="shared"/>
        <v>#DIV/0!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0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 t="e">
        <f si="17" t="shared"/>
        <v>#DIV/0!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 t="e">
        <f si="19" t="shared"/>
        <v>#DIV/0!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 t="e">
        <f si="21" t="shared"/>
        <v>#DIV/0!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1</v>
      </c>
      <c r="J30" s="13">
        <f si="21" t="shared"/>
        <v>4.9001099139623396E-3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0</v>
      </c>
      <c r="E31" s="13" t="e">
        <f si="23" t="shared"/>
        <v>#DIV/0!</v>
      </c>
      <c r="F31" s="13">
        <f si="23" t="shared"/>
        <v>0</v>
      </c>
      <c r="G31" s="13">
        <f si="23" t="shared"/>
        <v>1</v>
      </c>
      <c r="H31" s="13">
        <f si="23" t="shared"/>
        <v>0</v>
      </c>
      <c r="I31" s="13">
        <f si="23" t="shared"/>
        <v>0</v>
      </c>
      <c r="J31" s="13">
        <f si="23" t="shared"/>
        <v>2.469864945463245E-3</v>
      </c>
      <c r="K31" s="6"/>
      <c r="L31" t="s">
        <v>4</v>
      </c>
      <c r="M31" s="13">
        <f ref="M31:P31" si="24" t="shared">M14/M$16</f>
        <v>4.4767097707942117E-4</v>
      </c>
      <c r="N31" s="13">
        <f si="24" t="shared"/>
        <v>5.3078687361602977E-4</v>
      </c>
      <c r="O31" s="13">
        <f si="24" t="shared"/>
        <v>5.4862245101346672E-4</v>
      </c>
      <c r="P31" s="13" t="e">
        <f si="24" t="shared"/>
        <v>#DIV/0!</v>
      </c>
      <c r="Q31" s="13">
        <f si="6" t="shared"/>
        <v>3.4327177141033438E-3</v>
      </c>
      <c r="R31" s="13">
        <f si="6" t="shared"/>
        <v>0.95925244412877952</v>
      </c>
      <c r="S31" s="13">
        <f si="6" t="shared"/>
        <v>0</v>
      </c>
      <c r="T31" s="13" t="e">
        <f si="6" t="shared"/>
        <v>#DIV/0!</v>
      </c>
      <c r="U31" s="13">
        <f si="6" t="shared"/>
        <v>2.2943050289166186E-3</v>
      </c>
    </row>
    <row r="32" spans="1:21" x14ac:dyDescent="0.25">
      <c r="A32" s="4" t="s">
        <v>5</v>
      </c>
      <c r="B32" s="14">
        <f ref="B32:J32" si="25" t="shared">B15/B$16</f>
        <v>8.1678586045253899E-3</v>
      </c>
      <c r="C32" s="14">
        <f si="25" t="shared"/>
        <v>1.6912133910490852E-2</v>
      </c>
      <c r="D32" s="14">
        <f si="25" t="shared"/>
        <v>0</v>
      </c>
      <c r="E32" s="14" t="e">
        <f si="25" t="shared"/>
        <v>#DIV/0!</v>
      </c>
      <c r="F32" s="14">
        <f si="25" t="shared"/>
        <v>0.26215664042439568</v>
      </c>
      <c r="G32" s="14">
        <f si="25" t="shared"/>
        <v>0</v>
      </c>
      <c r="H32" s="14">
        <f si="25" t="shared"/>
        <v>1</v>
      </c>
      <c r="I32" s="14">
        <f si="25" t="shared"/>
        <v>0</v>
      </c>
      <c r="J32" s="14">
        <f si="25" t="shared"/>
        <v>0.42546634157725588</v>
      </c>
      <c r="K32" s="6"/>
      <c r="L32" s="4" t="s">
        <v>5</v>
      </c>
      <c r="M32" s="14">
        <f ref="M32:P32" si="26" t="shared">M15/M$16</f>
        <v>9.7578688332011533E-3</v>
      </c>
      <c r="N32" s="14">
        <f si="26" t="shared"/>
        <v>7.0628919866413137E-3</v>
      </c>
      <c r="O32" s="14">
        <f si="26" t="shared"/>
        <v>7.681249483688625E-3</v>
      </c>
      <c r="P32" s="14" t="e">
        <f si="26" t="shared"/>
        <v>#DIV/0!</v>
      </c>
      <c r="Q32" s="14">
        <f si="6" t="shared"/>
        <v>4.6502412292298116E-2</v>
      </c>
      <c r="R32" s="14">
        <f si="6" t="shared"/>
        <v>4.074755587122051E-2</v>
      </c>
      <c r="S32" s="14">
        <f si="6" t="shared"/>
        <v>1</v>
      </c>
      <c r="T32" s="14" t="e">
        <f si="6" t="shared"/>
        <v>#DIV/0!</v>
      </c>
      <c r="U32" s="14">
        <f si="6" t="shared"/>
        <v>0.40412562630257048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 t="e">
        <f si="27" t="shared"/>
        <v>#DIV/0!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8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41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1" si="29" t="shared">M22-B22</f>
        <v>-2.0376812057552041E-3</v>
      </c>
      <c r="N39" s="13">
        <f si="29" t="shared"/>
        <v>-6.0061533830560135E-2</v>
      </c>
      <c r="O39" s="13">
        <f si="29" t="shared"/>
        <v>-7.1761625201385182E-2</v>
      </c>
      <c r="P39" s="13" t="e">
        <f si="29" t="shared"/>
        <v>#DIV/0!</v>
      </c>
      <c r="Q39" s="13">
        <f ref="Q39:Q50" si="30" t="shared">Q22-F22</f>
        <v>1.0060217378143249E-2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1.2738355591283002E-2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9</v>
      </c>
      <c r="M40" s="13">
        <f si="29" t="shared"/>
        <v>0</v>
      </c>
      <c r="N40" s="13">
        <f si="29" t="shared"/>
        <v>6.9379988880793775E-2</v>
      </c>
      <c r="O40" s="13">
        <f si="29" t="shared"/>
        <v>0.13248861355284294</v>
      </c>
      <c r="P40" s="13" t="e">
        <f si="29" t="shared"/>
        <v>#DIV/0!</v>
      </c>
      <c r="Q40" s="13">
        <f si="30" t="shared"/>
        <v>0.13018747601876246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2.7265336840050475E-2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10</v>
      </c>
      <c r="M41" s="13">
        <f si="29" t="shared"/>
        <v>0</v>
      </c>
      <c r="N41" s="13">
        <f si="29" t="shared"/>
        <v>0</v>
      </c>
      <c r="O41" s="13">
        <f si="29" t="shared"/>
        <v>-6.895686028615966E-2</v>
      </c>
      <c r="P41" s="13" t="e">
        <f si="29" t="shared"/>
        <v>#DIV/0!</v>
      </c>
      <c r="Q41" s="13">
        <f si="30" t="shared"/>
        <v>-6.9498464261733284E-2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-3.3895150494307955E-3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ref="M42:P42" si="35" t="shared">M25-B25</f>
        <v>0</v>
      </c>
      <c r="N42" s="13">
        <f si="35" t="shared"/>
        <v>0</v>
      </c>
      <c r="O42" s="13">
        <f si="35" t="shared"/>
        <v>0</v>
      </c>
      <c r="P42" s="13" t="e">
        <f si="35" t="shared"/>
        <v>#DIV/0!</v>
      </c>
      <c r="Q42" s="13">
        <f si="30" t="shared"/>
        <v>0.16278481159103719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-9.6047423921503915E-3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ref="M43:P43" si="36" t="shared">M26-B26</f>
        <v>0</v>
      </c>
      <c r="N43" s="13">
        <f si="36" t="shared"/>
        <v>0</v>
      </c>
      <c r="O43" s="13">
        <f si="36" t="shared"/>
        <v>0</v>
      </c>
      <c r="P43" s="13" t="e">
        <f si="36" t="shared"/>
        <v>#DIV/0!</v>
      </c>
      <c r="Q43" s="13">
        <f si="30" t="shared"/>
        <v>-2.1312530308215213E-2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-5.9304988455790891E-4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ref="M44:P44" si="37" t="shared">M27-B27</f>
        <v>0</v>
      </c>
      <c r="N44" s="13">
        <f si="37" t="shared"/>
        <v>0</v>
      </c>
      <c r="O44" s="13">
        <f si="37" t="shared"/>
        <v>0</v>
      </c>
      <c r="P44" s="13" t="e">
        <f si="37" t="shared"/>
        <v>#DIV/0!</v>
      </c>
      <c r="Q44" s="13">
        <f si="30" t="shared"/>
        <v>0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8" t="shared">M28-B28</f>
        <v>0</v>
      </c>
      <c r="N45" s="13">
        <f ref="N45:N47" si="39" t="shared">N28-C28</f>
        <v>0</v>
      </c>
      <c r="O45" s="13">
        <f ref="O45:O47" si="40" t="shared">O28-D28</f>
        <v>0</v>
      </c>
      <c r="P45" s="13" t="e">
        <f ref="P45:P47" si="41" t="shared">P28-E28</f>
        <v>#DIV/0!</v>
      </c>
      <c r="Q45" s="13">
        <f si="30" t="shared"/>
        <v>0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8" t="shared"/>
        <v>0</v>
      </c>
      <c r="N46" s="13">
        <f si="39" t="shared"/>
        <v>0</v>
      </c>
      <c r="O46" s="13">
        <f si="40" t="shared"/>
        <v>0</v>
      </c>
      <c r="P46" s="13" t="e">
        <f si="41" t="shared"/>
        <v>#DIV/0!</v>
      </c>
      <c r="Q46" s="13">
        <f si="30" t="shared"/>
        <v>0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8" t="shared"/>
        <v>0</v>
      </c>
      <c r="N47" s="13">
        <f si="39" t="shared"/>
        <v>0</v>
      </c>
      <c r="O47" s="13">
        <f si="40" t="shared"/>
        <v>0</v>
      </c>
      <c r="P47" s="13" t="e">
        <f si="41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-4.9001099139623396E-3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48" si="42" t="shared">M31-B31</f>
        <v>4.4767097707942117E-4</v>
      </c>
      <c r="N48" s="13">
        <f si="42" t="shared"/>
        <v>5.3078687361602977E-4</v>
      </c>
      <c r="O48" s="13">
        <f si="42" t="shared"/>
        <v>5.4862245101346672E-4</v>
      </c>
      <c r="P48" s="13" t="e">
        <f si="42" t="shared"/>
        <v>#DIV/0!</v>
      </c>
      <c r="Q48" s="13">
        <f si="30" t="shared"/>
        <v>3.4327177141033438E-3</v>
      </c>
      <c r="R48" s="13">
        <f si="31" t="shared"/>
        <v>-4.0747555871220476E-2</v>
      </c>
      <c r="S48" s="13">
        <f si="32" t="shared"/>
        <v>0</v>
      </c>
      <c r="T48" s="13" t="e">
        <f si="33" t="shared"/>
        <v>#DIV/0!</v>
      </c>
      <c r="U48" s="13">
        <f si="34" t="shared"/>
        <v>-1.755599165466264E-4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ref="M49:P49" si="43" t="shared">M32-B32</f>
        <v>1.5900102286757634E-3</v>
      </c>
      <c r="N49" s="17">
        <f si="43" t="shared"/>
        <v>-9.8492419238495384E-3</v>
      </c>
      <c r="O49" s="17">
        <f si="43" t="shared"/>
        <v>7.681249483688625E-3</v>
      </c>
      <c r="P49" s="17" t="e">
        <f si="43" t="shared"/>
        <v>#DIV/0!</v>
      </c>
      <c r="Q49" s="17">
        <f si="30" t="shared"/>
        <v>-0.21565422813209756</v>
      </c>
      <c r="R49" s="17">
        <f si="31" t="shared"/>
        <v>4.074755587122051E-2</v>
      </c>
      <c r="S49" s="17">
        <f si="32" t="shared"/>
        <v>0</v>
      </c>
      <c r="T49" s="17" t="e">
        <f si="33" t="shared"/>
        <v>#DIV/0!</v>
      </c>
      <c r="U49" s="13">
        <f si="34" t="shared"/>
        <v>-2.1340715274685396E-2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ref="M50:P50" si="44" t="shared">M33-B33</f>
        <v>0</v>
      </c>
      <c r="N50" s="15">
        <f si="44" t="shared"/>
        <v>0</v>
      </c>
      <c r="O50" s="15">
        <f si="44" t="shared"/>
        <v>0</v>
      </c>
      <c r="P50" s="15" t="e">
        <f si="44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2:AF50"/>
  <sheetViews>
    <sheetView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26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6</v>
      </c>
      <c r="C3" s="31"/>
      <c r="D3" s="31"/>
      <c r="E3" s="31"/>
      <c r="F3" s="31"/>
      <c r="G3" s="31"/>
      <c r="H3" s="31"/>
      <c r="I3" s="31"/>
      <c r="J3" s="11"/>
      <c r="L3" s="3"/>
      <c r="M3" s="32" t="s">
        <v>6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2845985.377555999</v>
      </c>
      <c r="C5" s="6" t="n">
        <v>377403.3926612289</v>
      </c>
      <c r="D5" s="6" t="n">
        <v>186826.0293168562</v>
      </c>
      <c r="E5" s="6" t="n">
        <v>91849.727162148</v>
      </c>
      <c r="F5" s="6" t="n">
        <v>14069.8411119452</v>
      </c>
      <c r="G5" s="6" t="n">
        <v>0.0</v>
      </c>
      <c r="H5" s="6" t="n">
        <v>0.0</v>
      </c>
      <c r="I5" s="6" t="n">
        <v>1404.502706476</v>
      </c>
      <c r="J5" s="6">
        <f>SUM(B5:I5)</f>
        <v>3517538.8705146527</v>
      </c>
      <c r="K5" s="6"/>
      <c r="L5" t="s">
        <v>1</v>
      </c>
      <c r="M5" s="6" t="n">
        <v>3415959.0214326666</v>
      </c>
      <c r="N5" s="6" t="n">
        <v>522875.484270899</v>
      </c>
      <c r="O5" s="6" t="n">
        <v>185651.54795958442</v>
      </c>
      <c r="P5" s="6" t="n">
        <v>105457.16626491079</v>
      </c>
      <c r="Q5" s="6" t="n">
        <v>21340.39707379631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3753101.5363454269</v>
      </c>
    </row>
    <row r="6" spans="1:21" x14ac:dyDescent="0.25">
      <c r="A6" t="s">
        <v>12</v>
      </c>
      <c r="B6" s="6" t="n">
        <v>0.0</v>
      </c>
      <c r="C6" s="6" t="n">
        <v>451123.8174558835</v>
      </c>
      <c r="D6" s="6" t="n">
        <v>86027.1797256781</v>
      </c>
      <c r="E6" s="6" t="n">
        <v>4704.1750873482</v>
      </c>
      <c r="F6" s="6" t="n">
        <v>48257.4264838357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590112.59875274543</v>
      </c>
      <c r="K6" s="6"/>
      <c r="L6" t="s">
        <v>12</v>
      </c>
      <c r="M6" s="6" t="n">
        <v>0.0</v>
      </c>
      <c r="N6" s="6" t="n">
        <v>626697.7522520968</v>
      </c>
      <c r="O6" s="6" t="n">
        <v>100135.83442344455</v>
      </c>
      <c r="P6" s="6" t="n">
        <v>4056.380857824026</v>
      </c>
      <c r="Q6" s="6" t="n">
        <v>30887.07688200656</v>
      </c>
      <c r="R6" s="6" t="n">
        <v>0.0</v>
      </c>
      <c r="S6" s="6" t="n">
        <v>0.0</v>
      </c>
      <c r="T6" s="6" t="n">
        <v>0.0</v>
      </c>
      <c r="U6" s="6">
        <f si="0" t="shared"/>
        <v>667263.18958940881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207253.5522849683</v>
      </c>
      <c r="E7" s="6" t="n">
        <v>3815.516210835</v>
      </c>
      <c r="F7" s="6" t="n">
        <v>10656.7754784813</v>
      </c>
      <c r="G7" s="6" t="n">
        <v>0.0</v>
      </c>
      <c r="H7" s="6" t="n">
        <v>0.0</v>
      </c>
      <c r="I7" s="6" t="n">
        <v>0.0</v>
      </c>
      <c r="J7" s="6">
        <f si="1" t="shared"/>
        <v>221725.84397428459</v>
      </c>
      <c r="K7" s="6"/>
      <c r="L7" t="s">
        <v>56</v>
      </c>
      <c r="M7" s="6" t="n">
        <v>0.0</v>
      </c>
      <c r="N7" s="6" t="n">
        <v>0.0</v>
      </c>
      <c r="O7" s="6" t="n">
        <v>335383.35671011795</v>
      </c>
      <c r="P7" s="6" t="n">
        <v>2464.4056152724684</v>
      </c>
      <c r="Q7" s="6" t="n">
        <v>13934.330954875435</v>
      </c>
      <c r="R7" s="6" t="n">
        <v>0.0</v>
      </c>
      <c r="S7" s="6" t="n">
        <v>3.4499999999999997</v>
      </c>
      <c r="T7" s="6" t="n">
        <v>0.0</v>
      </c>
      <c r="U7" s="6">
        <f si="0" t="shared"/>
        <v>303679.39864187996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91643.0365607317</v>
      </c>
      <c r="F8" s="6" t="n">
        <v>376735.1926677049</v>
      </c>
      <c r="G8" s="6" t="n">
        <v>0.0</v>
      </c>
      <c r="H8" s="6" t="n">
        <v>0.0</v>
      </c>
      <c r="I8" s="6" t="n">
        <v>0.0</v>
      </c>
      <c r="J8" s="6">
        <f si="1" t="shared"/>
        <v>468378.2292284366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84181.32935814679</v>
      </c>
      <c r="Q8" s="6" t="n">
        <v>259254.04455597582</v>
      </c>
      <c r="R8" s="6" t="n">
        <v>0.0</v>
      </c>
      <c r="S8" s="6" t="n">
        <v>0.0</v>
      </c>
      <c r="T8" s="6" t="n">
        <v>0.0</v>
      </c>
      <c r="U8" s="6">
        <f si="0" t="shared"/>
        <v>287333.17549802549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2053.6406139154</v>
      </c>
      <c r="G9" s="6" t="n">
        <v>0.0</v>
      </c>
      <c r="H9" s="6" t="n">
        <v>0.0</v>
      </c>
      <c r="I9" s="6" t="n">
        <v>0.0</v>
      </c>
      <c r="J9" s="6">
        <f si="1" t="shared"/>
        <v>2053.6406139154001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3710.067183186</v>
      </c>
      <c r="J13" s="6">
        <f si="1" t="shared"/>
        <v>3710.067183186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377.852839859</v>
      </c>
      <c r="C14" s="6" t="n">
        <v>4567.8014431551</v>
      </c>
      <c r="D14" s="6" t="n">
        <v>337.724647725</v>
      </c>
      <c r="E14" s="6" t="n">
        <v>243.463457593</v>
      </c>
      <c r="F14" s="6" t="n">
        <v>5584.6387331914</v>
      </c>
      <c r="G14" s="6" t="n">
        <v>95044.7554352582</v>
      </c>
      <c r="H14" s="6" t="n">
        <v>0.0</v>
      </c>
      <c r="I14" s="6" t="n">
        <v>0.0</v>
      </c>
      <c r="J14" s="6">
        <f si="1" t="shared"/>
        <v>106156.23655678169</v>
      </c>
      <c r="K14" s="6"/>
      <c r="L14" t="s">
        <v>4</v>
      </c>
      <c r="M14" s="6" t="n">
        <v>3370.6516974967653</v>
      </c>
      <c r="N14" s="6" t="n">
        <v>4455.22411781536</v>
      </c>
      <c r="O14" s="6" t="n">
        <v>2554.087444545463</v>
      </c>
      <c r="P14" s="6" t="n">
        <v>0.0</v>
      </c>
      <c r="Q14" s="6" t="n">
        <v>4655.176316165542</v>
      </c>
      <c r="R14" s="6" t="n">
        <v>109701.95331529638</v>
      </c>
      <c r="S14" s="6" t="n">
        <v>0.0</v>
      </c>
      <c r="T14" s="6" t="n">
        <v>0.0</v>
      </c>
      <c r="U14" s="6">
        <f si="0" t="shared"/>
        <v>109417.63008035148</v>
      </c>
    </row>
    <row r="15" spans="1:21" x14ac:dyDescent="0.25">
      <c r="A15" s="4" t="s">
        <v>5</v>
      </c>
      <c r="B15" s="10" t="n">
        <v>45690.289298823904</v>
      </c>
      <c r="C15" s="10" t="n">
        <v>14140.2595746126</v>
      </c>
      <c r="D15" s="10" t="n">
        <v>13080.9868921558</v>
      </c>
      <c r="E15" s="10" t="n">
        <v>12213.7495786514</v>
      </c>
      <c r="F15" s="10" t="n">
        <v>106914.1949820079</v>
      </c>
      <c r="G15" s="10" t="n">
        <v>7699.8421964706</v>
      </c>
      <c r="H15" s="10" t="n">
        <v>96621.9896857204</v>
      </c>
      <c r="I15" s="10" t="n">
        <v>0.0</v>
      </c>
      <c r="J15" s="6">
        <f si="1" t="shared"/>
        <v>296361.3122084426</v>
      </c>
      <c r="K15" s="6"/>
      <c r="L15" s="4" t="s">
        <v>5</v>
      </c>
      <c r="M15" s="8" t="n">
        <v>78393.07412641312</v>
      </c>
      <c r="N15" s="8" t="n">
        <v>60307.47570109858</v>
      </c>
      <c r="O15" s="8" t="n">
        <v>32374.895749907137</v>
      </c>
      <c r="P15" s="8" t="n">
        <v>0.0</v>
      </c>
      <c r="Q15" s="8" t="n">
        <v>94612.27606594887</v>
      </c>
      <c r="R15" s="8" t="n">
        <v>14018.89134035405</v>
      </c>
      <c r="S15" s="8" t="n">
        <v>244042.03646659764</v>
      </c>
      <c r="T15" s="8" t="n">
        <v>0.0</v>
      </c>
      <c r="U15" s="6">
        <f si="0" t="shared"/>
        <v>457886.17081170483</v>
      </c>
    </row>
    <row ht="15.75" r="16" spans="1:21" thickBot="1" x14ac:dyDescent="0.3">
      <c r="A16" s="12" t="s">
        <v>7</v>
      </c>
      <c r="B16" s="16">
        <f ref="B16:J16" si="2" t="shared">SUM(B5:B15)</f>
        <v>2892053.5196946822</v>
      </c>
      <c r="C16" s="16">
        <f si="2" t="shared"/>
        <v>847235.27113488014</v>
      </c>
      <c r="D16" s="16">
        <f si="2" t="shared"/>
        <v>493525.47286738333</v>
      </c>
      <c r="E16" s="16">
        <f si="2" t="shared"/>
        <v>204469.66805730731</v>
      </c>
      <c r="F16" s="16">
        <f si="2" t="shared"/>
        <v>564271.71007108176</v>
      </c>
      <c r="G16" s="16">
        <f si="2" t="shared"/>
        <v>102744.5976317288</v>
      </c>
      <c r="H16" s="16">
        <f si="2" t="shared"/>
        <v>96621.9896857204</v>
      </c>
      <c r="I16" s="16">
        <f si="2" t="shared"/>
        <v>5114.5698896619997</v>
      </c>
      <c r="J16" s="16">
        <f si="2" t="shared"/>
        <v>5206036.799032446</v>
      </c>
      <c r="L16" s="9" t="s">
        <v>7</v>
      </c>
      <c r="M16" s="16">
        <f ref="M16:U16" si="3" t="shared">SUM(M5:M15)</f>
        <v>3089255.4340631496</v>
      </c>
      <c r="N16" s="16">
        <f si="3" t="shared"/>
        <v>1072157.7949455588</v>
      </c>
      <c r="O16" s="16">
        <f si="3" t="shared"/>
        <v>571562.05240049667</v>
      </c>
      <c r="P16" s="16">
        <f si="3" t="shared"/>
        <v>170436.15133433411</v>
      </c>
      <c r="Q16" s="16">
        <f si="3" t="shared"/>
        <v>347735.99408472521</v>
      </c>
      <c r="R16" s="16">
        <f si="3" t="shared"/>
        <v>108411.23440407004</v>
      </c>
      <c r="S16" s="16">
        <f si="3" t="shared"/>
        <v>219122.43973446259</v>
      </c>
      <c r="T16" s="16">
        <f si="3" t="shared"/>
        <v>0</v>
      </c>
      <c r="U16" s="16">
        <f si="3" t="shared"/>
        <v>5578681.1009667981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25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6</v>
      </c>
      <c r="C20" s="31"/>
      <c r="D20" s="31"/>
      <c r="E20" s="31"/>
      <c r="F20" s="31"/>
      <c r="G20" s="31"/>
      <c r="H20" s="31"/>
      <c r="I20" s="31"/>
      <c r="J20" s="11"/>
      <c r="L20" s="3"/>
      <c r="M20" s="32" t="s">
        <v>6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0.98407078505810408</v>
      </c>
      <c r="C22" s="13">
        <f si="4" t="shared"/>
        <v>0.44545288129434607</v>
      </c>
      <c r="D22" s="13">
        <f si="4" t="shared"/>
        <v>0.37855397459303741</v>
      </c>
      <c r="E22" s="13">
        <f si="4" t="shared"/>
        <v>0.4492095479726852</v>
      </c>
      <c r="F22" s="13">
        <f si="4" t="shared"/>
        <v>2.4934514456116913E-2</v>
      </c>
      <c r="G22" s="13">
        <f si="4" t="shared"/>
        <v>0</v>
      </c>
      <c r="H22" s="13">
        <f si="4" t="shared"/>
        <v>0</v>
      </c>
      <c r="I22" s="13">
        <f si="4" t="shared"/>
        <v>0.27460817561900941</v>
      </c>
      <c r="J22" s="13">
        <f si="4" t="shared"/>
        <v>0.6756653873765156</v>
      </c>
      <c r="K22" s="6"/>
      <c r="L22" t="s">
        <v>1</v>
      </c>
      <c r="M22" s="13">
        <f ref="M22:P22" si="5" t="shared">M5/M$16</f>
        <v>0.97680496403572481</v>
      </c>
      <c r="N22" s="13">
        <f si="5" t="shared"/>
        <v>0.43231778039789581</v>
      </c>
      <c r="O22" s="13">
        <f si="5" t="shared"/>
        <v>0.28808838326867275</v>
      </c>
      <c r="P22" s="13">
        <f si="5" t="shared"/>
        <v>0.52877830489081334</v>
      </c>
      <c r="Q22" s="13">
        <f ref="Q22:U33" si="6" t="shared">Q5/Q$16</f>
        <v>4.9478019288332051E-2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0.67275785591956594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0.53246581301035611</v>
      </c>
      <c r="D23" s="13">
        <f si="7" t="shared"/>
        <v>0.17431152889811366</v>
      </c>
      <c r="E23" s="13">
        <f si="7" t="shared"/>
        <v>2.3006713572938098E-2</v>
      </c>
      <c r="F23" s="13">
        <f si="7" t="shared"/>
        <v>8.5521612412142137E-2</v>
      </c>
      <c r="G23" s="13">
        <f si="7" t="shared"/>
        <v>0</v>
      </c>
      <c r="H23" s="13">
        <f si="7" t="shared"/>
        <v>0</v>
      </c>
      <c r="I23" s="13">
        <f si="7" t="shared"/>
        <v>0</v>
      </c>
      <c r="J23" s="13">
        <f si="7" t="shared"/>
        <v>0.11335159960114366</v>
      </c>
      <c r="K23" s="6"/>
      <c r="L23" t="s">
        <v>12</v>
      </c>
      <c r="M23" s="13">
        <f ref="M23:P23" si="8" t="shared">M6/M$16</f>
        <v>0</v>
      </c>
      <c r="N23" s="13">
        <f si="8" t="shared"/>
        <v>0.51524841228178442</v>
      </c>
      <c r="O23" s="13">
        <f si="8" t="shared"/>
        <v>0.15225064317989895</v>
      </c>
      <c r="P23" s="13">
        <f si="8" t="shared"/>
        <v>1.991579556737251E-2</v>
      </c>
      <c r="Q23" s="13">
        <f si="6" t="shared"/>
        <v>7.0227203398902455E-2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0.11960948789020591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0.4199449950998983</v>
      </c>
      <c r="E24" s="13">
        <f si="9" t="shared"/>
        <v>1.8660548760540924E-2</v>
      </c>
      <c r="F24" s="13">
        <f si="9" t="shared"/>
        <v>1.8885893601043473E-2</v>
      </c>
      <c r="G24" s="13">
        <f si="9" t="shared"/>
        <v>0</v>
      </c>
      <c r="H24" s="13">
        <f si="9" t="shared"/>
        <v>0</v>
      </c>
      <c r="I24" s="13">
        <f si="9" t="shared"/>
        <v>0</v>
      </c>
      <c r="J24" s="13">
        <f si="9" t="shared"/>
        <v>4.2590141509467022E-2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0.50592480544285956</v>
      </c>
      <c r="P24" s="13">
        <f si="10" t="shared"/>
        <v>1.9145780776810454E-2</v>
      </c>
      <c r="Q24" s="13">
        <f si="6" t="shared"/>
        <v>3.2340912405704775E-2</v>
      </c>
      <c r="R24" s="13">
        <f si="6" t="shared"/>
        <v>0</v>
      </c>
      <c r="S24" s="13">
        <f si="6" t="shared"/>
        <v>1.2531659218759632E-5</v>
      </c>
      <c r="T24" s="13" t="e">
        <f si="6" t="shared"/>
        <v>#DIV/0!</v>
      </c>
      <c r="U24" s="13">
        <f si="6" t="shared"/>
        <v>5.4435697819194509E-2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0.44819868605179447</v>
      </c>
      <c r="F25" s="13">
        <f si="11" t="shared"/>
        <v>0.66764855643790344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8.9968290142606322E-2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>
        <f si="12" t="shared"/>
        <v>0.43216011876500382</v>
      </c>
      <c r="Q25" s="13">
        <f si="6" t="shared"/>
        <v>0.61448188203222753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5.1505574578950213E-2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3.6394534357511938E-3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3.9447293463178629E-4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>
        <f si="14" t="shared"/>
        <v>0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>
        <f si="16" t="shared"/>
        <v>0</v>
      </c>
      <c r="Q27" s="13">
        <f si="6" t="shared"/>
        <v>0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>
        <f si="18" t="shared"/>
        <v>0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>
        <f si="20" t="shared"/>
        <v>0</v>
      </c>
      <c r="Q29" s="13">
        <f si="6" t="shared"/>
        <v>0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0.72539182438099059</v>
      </c>
      <c r="J30" s="13">
        <f si="21" t="shared"/>
        <v>7.1264712993875199E-4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>
        <f si="22" t="shared"/>
        <v>0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1.3065209107848406E-4</v>
      </c>
      <c r="C31" s="13">
        <f si="23" t="shared"/>
        <v>5.3914203041104322E-3</v>
      </c>
      <c r="D31" s="13">
        <f si="23" t="shared"/>
        <v>6.8431046884534572E-4</v>
      </c>
      <c r="E31" s="13">
        <f si="23" t="shared"/>
        <v>1.1907069635617728E-3</v>
      </c>
      <c r="F31" s="13">
        <f si="23" t="shared"/>
        <v>9.8970737563431957E-3</v>
      </c>
      <c r="G31" s="13">
        <f si="23" t="shared"/>
        <v>0.92505842278861772</v>
      </c>
      <c r="H31" s="13">
        <f si="23" t="shared"/>
        <v>0</v>
      </c>
      <c r="I31" s="13">
        <f si="23" t="shared"/>
        <v>0</v>
      </c>
      <c r="J31" s="13">
        <f si="23" t="shared"/>
        <v>2.0390988510974619E-2</v>
      </c>
      <c r="K31" s="6"/>
      <c r="L31" t="s">
        <v>4</v>
      </c>
      <c r="M31" s="13">
        <f ref="M31:P31" si="24" t="shared">M14/M$16</f>
        <v>1.0338830052134429E-3</v>
      </c>
      <c r="N31" s="13">
        <f si="24" t="shared"/>
        <v>3.6889853563633187E-3</v>
      </c>
      <c r="O31" s="13">
        <f si="24" t="shared"/>
        <v>3.7111662069069917E-3</v>
      </c>
      <c r="P31" s="13">
        <f si="24" t="shared"/>
        <v>0</v>
      </c>
      <c r="Q31" s="13">
        <f si="6" t="shared"/>
        <v>1.1016045372486185E-2</v>
      </c>
      <c r="R31" s="13">
        <f si="6" t="shared"/>
        <v>0.88843827164213451</v>
      </c>
      <c r="S31" s="13">
        <f si="6" t="shared"/>
        <v>0</v>
      </c>
      <c r="T31" s="13" t="e">
        <f si="6" t="shared"/>
        <v>#DIV/0!</v>
      </c>
      <c r="U31" s="13">
        <f si="6" t="shared"/>
        <v>1.961353016959316E-2</v>
      </c>
    </row>
    <row r="32" spans="1:21" x14ac:dyDescent="0.25">
      <c r="A32" s="4" t="s">
        <v>5</v>
      </c>
      <c r="B32" s="14">
        <f ref="B32:J32" si="25" t="shared">B15/B$16</f>
        <v>1.5798562850817328E-2</v>
      </c>
      <c r="C32" s="14">
        <f si="25" t="shared"/>
        <v>1.6689885391187244E-2</v>
      </c>
      <c r="D32" s="14">
        <f si="25" t="shared"/>
        <v>2.6505190940105398E-2</v>
      </c>
      <c r="E32" s="14">
        <f si="25" t="shared"/>
        <v>5.9733796678479549E-2</v>
      </c>
      <c r="F32" s="14">
        <f si="25" t="shared"/>
        <v>0.18947289590069974</v>
      </c>
      <c r="G32" s="14">
        <f si="25" t="shared"/>
        <v>7.4941577211382199E-2</v>
      </c>
      <c r="H32" s="14">
        <f si="25" t="shared"/>
        <v>1</v>
      </c>
      <c r="I32" s="14">
        <f si="25" t="shared"/>
        <v>0</v>
      </c>
      <c r="J32" s="14">
        <f si="25" t="shared"/>
        <v>5.6926472794722086E-2</v>
      </c>
      <c r="K32" s="6"/>
      <c r="L32" s="4" t="s">
        <v>5</v>
      </c>
      <c r="M32" s="14">
        <f ref="M32:P32" si="26" t="shared">M15/M$16</f>
        <v>2.2161152959061778E-2</v>
      </c>
      <c r="N32" s="14">
        <f si="26" t="shared"/>
        <v>4.8744821963956513E-2</v>
      </c>
      <c r="O32" s="14">
        <f si="26" t="shared"/>
        <v>5.0025001901661814E-2</v>
      </c>
      <c r="P32" s="14">
        <f si="26" t="shared"/>
        <v>0</v>
      </c>
      <c r="Q32" s="14">
        <f si="6" t="shared"/>
        <v>0.2224559375023471</v>
      </c>
      <c r="R32" s="14">
        <f si="6" t="shared"/>
        <v>0.11156172835786544</v>
      </c>
      <c r="S32" s="14">
        <f si="6" t="shared"/>
        <v>0.99998746834078123</v>
      </c>
      <c r="T32" s="14" t="e">
        <f si="6" t="shared"/>
        <v>#DIV/0!</v>
      </c>
      <c r="U32" s="14">
        <f si="6" t="shared"/>
        <v>8.2077853622490107E-2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>
        <f si="28" t="shared"/>
        <v>1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17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2" t="s">
        <v>6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-7.2658210223792707E-3</v>
      </c>
      <c r="N39" s="13">
        <f si="29" t="shared"/>
        <v>-1.3135100896450258E-2</v>
      </c>
      <c r="O39" s="13">
        <f si="29" t="shared"/>
        <v>-9.0465591324364658E-2</v>
      </c>
      <c r="P39" s="13">
        <f si="29" t="shared"/>
        <v>7.9568756918128147E-2</v>
      </c>
      <c r="Q39" s="13">
        <f ref="Q39:Q50" si="30" t="shared">Q22-F22</f>
        <v>2.4543504832215138E-2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-2.9075314569496635E-3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9</v>
      </c>
      <c r="M40" s="13">
        <f si="29" t="shared"/>
        <v>0</v>
      </c>
      <c r="N40" s="13">
        <f si="29" t="shared"/>
        <v>-1.7217400728571697E-2</v>
      </c>
      <c r="O40" s="13">
        <f si="29" t="shared"/>
        <v>-2.2060885718214712E-2</v>
      </c>
      <c r="P40" s="13">
        <f si="29" t="shared"/>
        <v>-3.0909180055655877E-3</v>
      </c>
      <c r="Q40" s="13">
        <f si="30" t="shared"/>
        <v>-1.5294409013239682E-2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6.2578882890622495E-3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10</v>
      </c>
      <c r="M41" s="13">
        <f si="29" t="shared"/>
        <v>0</v>
      </c>
      <c r="N41" s="13">
        <f si="29" t="shared"/>
        <v>0</v>
      </c>
      <c r="O41" s="13">
        <f si="29" t="shared"/>
        <v>8.597981034296126E-2</v>
      </c>
      <c r="P41" s="13">
        <f si="29" t="shared"/>
        <v>4.852320162695295E-4</v>
      </c>
      <c r="Q41" s="13">
        <f si="30" t="shared"/>
        <v>1.3455018804661302E-2</v>
      </c>
      <c r="R41" s="13">
        <f si="31" t="shared"/>
        <v>0</v>
      </c>
      <c r="S41" s="13">
        <f si="32" t="shared"/>
        <v>1.2531659218759632E-5</v>
      </c>
      <c r="T41" s="13" t="e">
        <f si="33" t="shared"/>
        <v>#DIV/0!</v>
      </c>
      <c r="U41" s="13">
        <f si="34" t="shared"/>
        <v>1.1845556309727487E-2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>
        <f si="29" t="shared"/>
        <v>-1.603856728679065E-2</v>
      </c>
      <c r="Q42" s="13">
        <f si="30" t="shared"/>
        <v>-5.3166674405675907E-2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-3.8462715563656109E-2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>
        <f si="29" t="shared"/>
        <v>0</v>
      </c>
      <c r="Q43" s="13">
        <f si="30" t="shared"/>
        <v>-3.6394534357511938E-3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-3.9447293463178629E-4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>
        <f si="29" t="shared"/>
        <v>0</v>
      </c>
      <c r="Q44" s="13">
        <f si="30" t="shared"/>
        <v>0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>
        <f ref="P45:P47" si="38" t="shared">P28-E28</f>
        <v>0</v>
      </c>
      <c r="Q45" s="13">
        <f si="30" t="shared"/>
        <v>0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>
        <f si="38" t="shared"/>
        <v>0</v>
      </c>
      <c r="Q46" s="13">
        <f si="30" t="shared"/>
        <v>0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>
        <f si="38" t="shared"/>
        <v>0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-7.1264712993875199E-4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9.032309141349589E-4</v>
      </c>
      <c r="N48" s="13">
        <f si="39" t="shared"/>
        <v>-1.7024349477471135E-3</v>
      </c>
      <c r="O48" s="13">
        <f si="39" t="shared"/>
        <v>3.0268557380616458E-3</v>
      </c>
      <c r="P48" s="13">
        <f si="39" t="shared"/>
        <v>-1.1907069635617728E-3</v>
      </c>
      <c r="Q48" s="13">
        <f si="30" t="shared"/>
        <v>1.1189716161429889E-3</v>
      </c>
      <c r="R48" s="13">
        <f si="31" t="shared"/>
        <v>-3.6620151146483204E-2</v>
      </c>
      <c r="S48" s="13">
        <f si="32" t="shared"/>
        <v>0</v>
      </c>
      <c r="T48" s="13" t="e">
        <f si="33" t="shared"/>
        <v>#DIV/0!</v>
      </c>
      <c r="U48" s="13">
        <f si="34" t="shared"/>
        <v>-7.7745834138145953E-4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6.3625901082444494E-3</v>
      </c>
      <c r="N49" s="17">
        <f si="39" t="shared"/>
        <v>3.2054936572769269E-2</v>
      </c>
      <c r="O49" s="17">
        <f si="39" t="shared"/>
        <v>2.3519810961556416E-2</v>
      </c>
      <c r="P49" s="17">
        <f si="39" t="shared"/>
        <v>-5.9733796678479549E-2</v>
      </c>
      <c r="Q49" s="17">
        <f si="30" t="shared"/>
        <v>3.2983041601647362E-2</v>
      </c>
      <c r="R49" s="17">
        <f si="31" t="shared"/>
        <v>3.6620151146483246E-2</v>
      </c>
      <c r="S49" s="17">
        <f si="32" t="shared"/>
        <v>-1.2531659218772973E-5</v>
      </c>
      <c r="T49" s="17" t="e">
        <f si="33" t="shared"/>
        <v>#DIV/0!</v>
      </c>
      <c r="U49" s="13">
        <f si="34" t="shared"/>
        <v>2.5151380827768022E-2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>
        <f si="39" t="shared"/>
        <v>0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2:AF50"/>
  <sheetViews>
    <sheetView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29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42</v>
      </c>
      <c r="C3" s="32"/>
      <c r="D3" s="32"/>
      <c r="E3" s="32"/>
      <c r="F3" s="32"/>
      <c r="G3" s="32"/>
      <c r="H3" s="32"/>
      <c r="I3" s="32"/>
      <c r="J3" s="11"/>
      <c r="L3" s="3"/>
      <c r="M3" s="31" t="s">
        <v>42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222521.97658634812</v>
      </c>
      <c r="C5" s="6" t="n">
        <v>26014.6239466375</v>
      </c>
      <c r="D5" s="6" t="n">
        <v>7727.910904442</v>
      </c>
      <c r="E5" s="6" t="n">
        <v>14329.393111251</v>
      </c>
      <c r="F5" s="6" t="n">
        <v>532.922625</v>
      </c>
      <c r="G5" s="6" t="n">
        <v>0.0</v>
      </c>
      <c r="H5" s="6" t="n">
        <v>0.0</v>
      </c>
      <c r="I5" s="6" t="n">
        <v>281.817625</v>
      </c>
      <c r="J5" s="6">
        <f>SUM(B5:I5)</f>
        <v>271408.64479867864</v>
      </c>
      <c r="K5" s="6"/>
      <c r="L5" t="s">
        <v>1</v>
      </c>
      <c r="M5" s="6" t="n">
        <v>214111.8673360234</v>
      </c>
      <c r="N5" s="6" t="n">
        <v>15594.206608719755</v>
      </c>
      <c r="O5" s="6" t="n">
        <v>12109.538646431705</v>
      </c>
      <c r="P5" s="6" t="n">
        <v>0.0</v>
      </c>
      <c r="Q5" s="6" t="n">
        <v>1745.1861466774528</v>
      </c>
      <c r="R5" s="6" t="n">
        <v>0.0</v>
      </c>
      <c r="S5" s="6" t="n">
        <v>0.0</v>
      </c>
      <c r="T5" s="6" t="n">
        <v>1438.1340041482172</v>
      </c>
      <c r="U5" s="6">
        <f ref="U5:U15" si="0" t="shared">SUM(M5:T5)</f>
        <v>253067.99587232302</v>
      </c>
    </row>
    <row r="6" spans="1:21" x14ac:dyDescent="0.25">
      <c r="A6" t="s">
        <v>12</v>
      </c>
      <c r="B6" s="6" t="n">
        <v>0.0</v>
      </c>
      <c r="C6" s="6" t="n">
        <v>290332.4455015727</v>
      </c>
      <c r="D6" s="6" t="n">
        <v>120633.021810761</v>
      </c>
      <c r="E6" s="6" t="n">
        <v>230.48097940399998</v>
      </c>
      <c r="F6" s="6" t="n">
        <v>9840.1809882788</v>
      </c>
      <c r="G6" s="6" t="n">
        <v>0.0</v>
      </c>
      <c r="H6" s="6" t="n">
        <v>0.0</v>
      </c>
      <c r="I6" s="6" t="n">
        <v>44390.738604024</v>
      </c>
      <c r="J6" s="6">
        <f ref="J6:J15" si="1" t="shared">SUM(B6:I6)</f>
        <v>465426.86788404052</v>
      </c>
      <c r="K6" s="6"/>
      <c r="L6" t="s">
        <v>12</v>
      </c>
      <c r="M6" s="6" t="n">
        <v>0.0</v>
      </c>
      <c r="N6" s="6" t="n">
        <v>341962.34055687307</v>
      </c>
      <c r="O6" s="6" t="n">
        <v>112639.92514679246</v>
      </c>
      <c r="P6" s="6" t="n">
        <v>0.0</v>
      </c>
      <c r="Q6" s="6" t="n">
        <v>5765.580777830087</v>
      </c>
      <c r="R6" s="6" t="n">
        <v>0.0</v>
      </c>
      <c r="S6" s="6" t="n">
        <v>0.0</v>
      </c>
      <c r="T6" s="6" t="n">
        <v>61352.66778214828</v>
      </c>
      <c r="U6" s="6">
        <f si="0" t="shared"/>
        <v>490324.08131385496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478701.524821619</v>
      </c>
      <c r="E7" s="6" t="n">
        <v>9.9</v>
      </c>
      <c r="F7" s="6" t="n">
        <v>4825.156385366</v>
      </c>
      <c r="G7" s="6" t="n">
        <v>0.0</v>
      </c>
      <c r="H7" s="6" t="n">
        <v>0.0</v>
      </c>
      <c r="I7" s="6" t="n">
        <v>70380.923125</v>
      </c>
      <c r="J7" s="6">
        <f si="1" t="shared"/>
        <v>553917.50433198502</v>
      </c>
      <c r="K7" s="6"/>
      <c r="L7" t="s">
        <v>56</v>
      </c>
      <c r="M7" s="6" t="n">
        <v>0.0</v>
      </c>
      <c r="N7" s="6" t="n">
        <v>0.0</v>
      </c>
      <c r="O7" s="6" t="n">
        <v>492570.2942435799</v>
      </c>
      <c r="P7" s="6" t="n">
        <v>0.0</v>
      </c>
      <c r="Q7" s="6" t="n">
        <v>2876.231374205852</v>
      </c>
      <c r="R7" s="6" t="n">
        <v>0.0</v>
      </c>
      <c r="S7" s="6" t="n">
        <v>0.0</v>
      </c>
      <c r="T7" s="6" t="n">
        <v>60794.80876186446</v>
      </c>
      <c r="U7" s="6">
        <f si="0" t="shared"/>
        <v>521291.05314843589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12024.887139576</v>
      </c>
      <c r="F8" s="6" t="n">
        <v>90379.7974903167</v>
      </c>
      <c r="G8" s="6" t="n">
        <v>0.0</v>
      </c>
      <c r="H8" s="6" t="n">
        <v>0.0</v>
      </c>
      <c r="I8" s="6" t="n">
        <v>10298.046276788</v>
      </c>
      <c r="J8" s="6">
        <f si="1" t="shared"/>
        <v>112702.73090668069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34601.90418777915</v>
      </c>
      <c r="R8" s="6" t="n">
        <v>0.0</v>
      </c>
      <c r="S8" s="6" t="n">
        <v>0.0</v>
      </c>
      <c r="T8" s="6" t="n">
        <v>201.43443522862273</v>
      </c>
      <c r="U8" s="6">
        <f si="0" t="shared"/>
        <v>44716.167446683066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17.06375</v>
      </c>
      <c r="G9" s="6" t="n">
        <v>0.0</v>
      </c>
      <c r="H9" s="6" t="n">
        <v>0.0</v>
      </c>
      <c r="I9" s="6" t="n">
        <v>0.0</v>
      </c>
      <c r="J9" s="6">
        <f si="1" t="shared"/>
        <v>17.063749999999999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350566.746083824</v>
      </c>
      <c r="J13" s="6">
        <f si="1" t="shared"/>
        <v>350566.74608382402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386360.3503952061</v>
      </c>
      <c r="U13" s="6">
        <f si="0" t="shared"/>
        <v>357661.90717613394</v>
      </c>
    </row>
    <row r="14" spans="1:21" x14ac:dyDescent="0.25">
      <c r="A14" t="s">
        <v>4</v>
      </c>
      <c r="B14" s="6" t="n">
        <v>42.06125</v>
      </c>
      <c r="C14" s="6" t="n">
        <v>2965.13055716</v>
      </c>
      <c r="D14" s="6" t="n">
        <v>996.4035</v>
      </c>
      <c r="E14" s="6" t="n">
        <v>0.0</v>
      </c>
      <c r="F14" s="6" t="n">
        <v>1101.497262843</v>
      </c>
      <c r="G14" s="6" t="n">
        <v>22263.999937734</v>
      </c>
      <c r="H14" s="6" t="n">
        <v>0.0</v>
      </c>
      <c r="I14" s="6" t="n">
        <v>1548.13125</v>
      </c>
      <c r="J14" s="6">
        <f si="1" t="shared"/>
        <v>28917.223757736996</v>
      </c>
      <c r="K14" s="6"/>
      <c r="L14" t="s">
        <v>4</v>
      </c>
      <c r="M14" s="6" t="n">
        <v>501.6207068235102</v>
      </c>
      <c r="N14" s="6" t="n">
        <v>3441.0399970197564</v>
      </c>
      <c r="O14" s="6" t="n">
        <v>4117.053839716939</v>
      </c>
      <c r="P14" s="6" t="n">
        <v>0.0</v>
      </c>
      <c r="Q14" s="6" t="n">
        <v>979.5480366590422</v>
      </c>
      <c r="R14" s="6" t="n">
        <v>19987.26904255169</v>
      </c>
      <c r="S14" s="6" t="n">
        <v>0.0</v>
      </c>
      <c r="T14" s="6" t="n">
        <v>3174.4343258147906</v>
      </c>
      <c r="U14" s="6">
        <f si="0" t="shared"/>
        <v>33186.524693811203</v>
      </c>
    </row>
    <row r="15" spans="1:21" x14ac:dyDescent="0.25">
      <c r="A15" s="4" t="s">
        <v>5</v>
      </c>
      <c r="B15" s="10" t="n">
        <v>2353.9022836912</v>
      </c>
      <c r="C15" s="10" t="n">
        <v>17727.0157394805</v>
      </c>
      <c r="D15" s="10" t="n">
        <v>22397.770899834</v>
      </c>
      <c r="E15" s="10" t="n">
        <v>482.93125</v>
      </c>
      <c r="F15" s="10" t="n">
        <v>21523.8377664279</v>
      </c>
      <c r="G15" s="10" t="n">
        <v>1203.1604532640001</v>
      </c>
      <c r="H15" s="10" t="n">
        <v>136201.3825688781</v>
      </c>
      <c r="I15" s="10" t="n">
        <v>13143.316485361</v>
      </c>
      <c r="J15" s="6">
        <f si="1" t="shared"/>
        <v>215033.31744693671</v>
      </c>
      <c r="K15" s="6"/>
      <c r="L15" s="4" t="s">
        <v>5</v>
      </c>
      <c r="M15" s="8" t="n">
        <v>5616.07193948733</v>
      </c>
      <c r="N15" s="8" t="n">
        <v>26486.032201993406</v>
      </c>
      <c r="O15" s="8" t="n">
        <v>32763.28204372601</v>
      </c>
      <c r="P15" s="8" t="n">
        <v>0.0</v>
      </c>
      <c r="Q15" s="8" t="n">
        <v>10892.329949539373</v>
      </c>
      <c r="R15" s="8" t="n">
        <v>1623.8698015684556</v>
      </c>
      <c r="S15" s="8" t="n">
        <v>221816.45739207562</v>
      </c>
      <c r="T15" s="8" t="n">
        <v>36045.27955437031</v>
      </c>
      <c r="U15" s="6">
        <f si="0" t="shared"/>
        <v>331677.94054501847</v>
      </c>
    </row>
    <row ht="15.75" r="16" spans="1:21" thickBot="1" x14ac:dyDescent="0.3">
      <c r="A16" s="12" t="s">
        <v>7</v>
      </c>
      <c r="B16" s="16">
        <f ref="B16:J16" si="2" t="shared">SUM(B5:B15)</f>
        <v>224917.9401200393</v>
      </c>
      <c r="C16" s="16">
        <f si="2" t="shared"/>
        <v>337039.21574485069</v>
      </c>
      <c r="D16" s="16">
        <f si="2" t="shared"/>
        <v>630456.63193665596</v>
      </c>
      <c r="E16" s="16">
        <f si="2" t="shared"/>
        <v>27077.592480231</v>
      </c>
      <c r="F16" s="16">
        <f si="2" t="shared"/>
        <v>128220.4562682324</v>
      </c>
      <c r="G16" s="16">
        <f si="2" t="shared"/>
        <v>23467.160390998</v>
      </c>
      <c r="H16" s="16">
        <f si="2" t="shared"/>
        <v>136201.38256887809</v>
      </c>
      <c r="I16" s="16">
        <f si="2" t="shared"/>
        <v>490609.71944999701</v>
      </c>
      <c r="J16" s="16">
        <f si="2" t="shared"/>
        <v>1997990.0989598825</v>
      </c>
      <c r="L16" s="9" t="s">
        <v>7</v>
      </c>
      <c r="M16" s="16">
        <f ref="M16:U16" si="3" t="shared">SUM(M5:M15)</f>
        <v>229028.44128039465</v>
      </c>
      <c r="N16" s="16">
        <f si="3" t="shared"/>
        <v>364764.59206501843</v>
      </c>
      <c r="O16" s="16">
        <f si="3" t="shared"/>
        <v>614221.81855449756</v>
      </c>
      <c r="P16" s="16">
        <f si="3" t="shared"/>
        <v>0</v>
      </c>
      <c r="Q16" s="16">
        <f si="3" t="shared"/>
        <v>71387.242643974052</v>
      </c>
      <c r="R16" s="16">
        <f si="3" t="shared"/>
        <v>22970.963729460709</v>
      </c>
      <c r="S16" s="16">
        <f si="3" t="shared"/>
        <v>219921.66145082799</v>
      </c>
      <c r="T16" s="16">
        <f si="3" t="shared"/>
        <v>509630.95047208725</v>
      </c>
      <c r="U16" s="16">
        <f si="3" t="shared"/>
        <v>2031925.6701962608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30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42</v>
      </c>
      <c r="C20" s="32"/>
      <c r="D20" s="32"/>
      <c r="E20" s="32"/>
      <c r="F20" s="32"/>
      <c r="G20" s="32"/>
      <c r="H20" s="32"/>
      <c r="I20" s="32"/>
      <c r="J20" s="11"/>
      <c r="L20" s="3"/>
      <c r="M20" s="31" t="s">
        <v>42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0.98934738806334233</v>
      </c>
      <c r="C22" s="13">
        <f si="4" t="shared"/>
        <v>7.7185747922969866E-2</v>
      </c>
      <c r="D22" s="13">
        <f si="4" t="shared"/>
        <v>1.2257640752708346E-2</v>
      </c>
      <c r="E22" s="13">
        <f si="4" t="shared"/>
        <v>0.52919745807212015</v>
      </c>
      <c r="F22" s="13">
        <f si="4" t="shared"/>
        <v>4.1562995524298072E-3</v>
      </c>
      <c r="G22" s="13">
        <f si="4" t="shared"/>
        <v>0</v>
      </c>
      <c r="H22" s="13">
        <f si="4" t="shared"/>
        <v>0</v>
      </c>
      <c r="I22" s="13">
        <f si="4" t="shared"/>
        <v>5.7442324077055487E-4</v>
      </c>
      <c r="J22" s="13">
        <f si="4" t="shared"/>
        <v>0.13584083571783917</v>
      </c>
      <c r="K22" s="6"/>
      <c r="L22" t="s">
        <v>1</v>
      </c>
      <c r="M22" s="13">
        <f ref="M22:P22" si="5" t="shared">M5/M$16</f>
        <v>0.97271011267481333</v>
      </c>
      <c r="N22" s="13">
        <f si="5" t="shared"/>
        <v>4.2662470277796093E-2</v>
      </c>
      <c r="O22" s="13">
        <f si="5" t="shared"/>
        <v>1.8929900312210597E-2</v>
      </c>
      <c r="P22" s="13" t="e">
        <f si="5" t="shared"/>
        <v>#DIV/0!</v>
      </c>
      <c r="Q22" s="13">
        <f ref="Q22:U33" si="6" t="shared">Q5/Q$16</f>
        <v>2.489709339970074E-2</v>
      </c>
      <c r="R22" s="13">
        <f si="6" t="shared"/>
        <v>0</v>
      </c>
      <c r="S22" s="13">
        <f si="6" t="shared"/>
        <v>0</v>
      </c>
      <c r="T22" s="13">
        <f si="6" t="shared"/>
        <v>2.5969061291622841E-3</v>
      </c>
      <c r="U22" s="13">
        <f si="6" t="shared"/>
        <v>0.12454589239373089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0.86142036872458039</v>
      </c>
      <c r="D23" s="13">
        <f si="7" t="shared"/>
        <v>0.19134229969188649</v>
      </c>
      <c r="E23" s="13">
        <f si="7" t="shared"/>
        <v>8.5118711928422429E-3</v>
      </c>
      <c r="F23" s="13">
        <f si="7" t="shared"/>
        <v>7.6744236252704559E-2</v>
      </c>
      <c r="G23" s="13">
        <f si="7" t="shared"/>
        <v>0</v>
      </c>
      <c r="H23" s="13">
        <f si="7" t="shared"/>
        <v>0</v>
      </c>
      <c r="I23" s="13">
        <f si="7" t="shared"/>
        <v>9.0480756585476316E-2</v>
      </c>
      <c r="J23" s="13">
        <f si="7" t="shared"/>
        <v>0.23294753468815152</v>
      </c>
      <c r="K23" s="6"/>
      <c r="L23" t="s">
        <v>12</v>
      </c>
      <c r="M23" s="13">
        <f ref="M23:P23" si="8" t="shared">M6/M$16</f>
        <v>0</v>
      </c>
      <c r="N23" s="13">
        <f si="8" t="shared"/>
        <v>0.87779054181583449</v>
      </c>
      <c r="O23" s="13">
        <f si="8" t="shared"/>
        <v>0.17354373071623458</v>
      </c>
      <c r="P23" s="13" t="e">
        <f si="8" t="shared"/>
        <v>#DIV/0!</v>
      </c>
      <c r="Q23" s="13">
        <f si="6" t="shared"/>
        <v>9.0437045037453936E-2</v>
      </c>
      <c r="R23" s="13">
        <f si="6" t="shared"/>
        <v>0</v>
      </c>
      <c r="S23" s="13">
        <f si="6" t="shared"/>
        <v>0</v>
      </c>
      <c r="T23" s="13">
        <f si="6" t="shared"/>
        <v>0.11201591112085912</v>
      </c>
      <c r="U23" s="13">
        <f si="6" t="shared"/>
        <v>0.24131004815077475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0.75929334481125055</v>
      </c>
      <c r="E24" s="13">
        <f si="9" t="shared"/>
        <v>3.6561596113937611E-4</v>
      </c>
      <c r="F24" s="13">
        <f si="9" t="shared"/>
        <v>3.7631720599027918E-2</v>
      </c>
      <c r="G24" s="13">
        <f si="9" t="shared"/>
        <v>0</v>
      </c>
      <c r="H24" s="13">
        <f si="9" t="shared"/>
        <v>0</v>
      </c>
      <c r="I24" s="13">
        <f si="9" t="shared"/>
        <v>0.14345603100546245</v>
      </c>
      <c r="J24" s="13">
        <f si="9" t="shared"/>
        <v>0.27723736199711124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0.75070330407579111</v>
      </c>
      <c r="P24" s="13" t="e">
        <f si="10" t="shared"/>
        <v>#DIV/0!</v>
      </c>
      <c r="Q24" s="13">
        <f si="6" t="shared"/>
        <v>4.1906291165477186E-2</v>
      </c>
      <c r="R24" s="13">
        <f si="6" t="shared"/>
        <v>0</v>
      </c>
      <c r="S24" s="13">
        <f si="6" t="shared"/>
        <v>0</v>
      </c>
      <c r="T24" s="13">
        <f si="6" t="shared"/>
        <v>0.11224029838730824</v>
      </c>
      <c r="U24" s="13">
        <f si="6" t="shared"/>
        <v>0.25655025712534313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0.44408996657864669</v>
      </c>
      <c r="F25" s="13">
        <f si="11" t="shared"/>
        <v>0.70487814597419263</v>
      </c>
      <c r="G25" s="13">
        <f si="11" t="shared"/>
        <v>0</v>
      </c>
      <c r="H25" s="13">
        <f si="11" t="shared"/>
        <v>0</v>
      </c>
      <c r="I25" s="13">
        <f si="11" t="shared"/>
        <v>2.0990302206676071E-2</v>
      </c>
      <c r="J25" s="13">
        <f si="11" t="shared"/>
        <v>5.640805275529228E-2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0.62398587912901959</v>
      </c>
      <c r="R25" s="13">
        <f si="6" t="shared"/>
        <v>0</v>
      </c>
      <c r="S25" s="13">
        <f si="6" t="shared"/>
        <v>0</v>
      </c>
      <c r="T25" s="13">
        <f si="6" t="shared"/>
        <v>3.3658883301216594E-4</v>
      </c>
      <c r="U25" s="13">
        <f si="6" t="shared"/>
        <v>2.2006792916969248E-2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1.3308133894254182E-4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8.5404577374447847E-6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>
        <f si="6" t="shared"/>
        <v>0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0</v>
      </c>
      <c r="R27" s="13">
        <f si="6" t="shared"/>
        <v>0</v>
      </c>
      <c r="S27" s="13">
        <f si="6" t="shared"/>
        <v>0</v>
      </c>
      <c r="T27" s="13">
        <f si="6" t="shared"/>
        <v>0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>
        <f si="6" t="shared"/>
        <v>0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</v>
      </c>
      <c r="R29" s="13">
        <f si="6" t="shared"/>
        <v>0</v>
      </c>
      <c r="S29" s="13">
        <f si="6" t="shared"/>
        <v>0</v>
      </c>
      <c r="T29" s="13">
        <f si="6" t="shared"/>
        <v>0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0.71455320224155039</v>
      </c>
      <c r="J30" s="13">
        <f si="21" t="shared"/>
        <v>0.17545970136004313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>
        <f si="6" t="shared"/>
        <v>0.70180570243000429</v>
      </c>
      <c r="U30" s="13">
        <f si="6" t="shared"/>
        <v>0.17602115688689926</v>
      </c>
    </row>
    <row r="31" spans="1:21" x14ac:dyDescent="0.25">
      <c r="A31" t="s">
        <v>4</v>
      </c>
      <c r="B31" s="13">
        <f ref="B31:J31" si="23" t="shared">B14/B$16</f>
        <v>1.8700709235355703E-4</v>
      </c>
      <c r="C31" s="13">
        <f si="23" t="shared"/>
        <v>8.7975832444515817E-3</v>
      </c>
      <c r="D31" s="13">
        <f si="23" t="shared"/>
        <v>1.5804473290085273E-3</v>
      </c>
      <c r="E31" s="13">
        <f si="23" t="shared"/>
        <v>0</v>
      </c>
      <c r="F31" s="13">
        <f si="23" t="shared"/>
        <v>8.590651561391334E-3</v>
      </c>
      <c r="G31" s="13">
        <f si="23" t="shared"/>
        <v>0.94873003664620903</v>
      </c>
      <c r="H31" s="13">
        <f si="23" t="shared"/>
        <v>0</v>
      </c>
      <c r="I31" s="13">
        <f si="23" t="shared"/>
        <v>3.1555250306405428E-3</v>
      </c>
      <c r="J31" s="13">
        <f si="23" t="shared"/>
        <v>1.4473156685206188E-2</v>
      </c>
      <c r="K31" s="6"/>
      <c r="L31" t="s">
        <v>4</v>
      </c>
      <c r="M31" s="13">
        <f ref="M31:P31" si="24" t="shared">M14/M$16</f>
        <v>2.4841225974271959E-3</v>
      </c>
      <c r="N31" s="13">
        <f si="24" t="shared"/>
        <v>9.0032785249229471E-3</v>
      </c>
      <c r="O31" s="13">
        <f si="24" t="shared"/>
        <v>6.2087345584337069E-3</v>
      </c>
      <c r="P31" s="13" t="e">
        <f si="24" t="shared"/>
        <v>#DIV/0!</v>
      </c>
      <c r="Q31" s="13">
        <f si="6" t="shared"/>
        <v>1.8007874452218638E-2</v>
      </c>
      <c r="R31" s="13">
        <f si="6" t="shared"/>
        <v>0.92778083924620125</v>
      </c>
      <c r="S31" s="13">
        <f si="6" t="shared"/>
        <v>0</v>
      </c>
      <c r="T31" s="13">
        <f si="6" t="shared"/>
        <v>5.7343848615071221E-3</v>
      </c>
      <c r="U31" s="13">
        <f si="6" t="shared"/>
        <v>1.6332548567392115E-2</v>
      </c>
    </row>
    <row r="32" spans="1:21" x14ac:dyDescent="0.25">
      <c r="A32" s="4" t="s">
        <v>5</v>
      </c>
      <c r="B32" s="14">
        <f ref="B32:J32" si="25" t="shared">B15/B$16</f>
        <v>1.0465604844304177E-2</v>
      </c>
      <c r="C32" s="14">
        <f si="25" t="shared"/>
        <v>5.2596300107998144E-2</v>
      </c>
      <c r="D32" s="14">
        <f si="25" t="shared"/>
        <v>3.5526267415146133E-2</v>
      </c>
      <c r="E32" s="14">
        <f si="25" t="shared"/>
        <v>1.7835088195251547E-2</v>
      </c>
      <c r="F32" s="14">
        <f si="25" t="shared"/>
        <v>0.16786586472131121</v>
      </c>
      <c r="G32" s="14">
        <f si="25" t="shared"/>
        <v>5.1269963353790873E-2</v>
      </c>
      <c r="H32" s="14">
        <f si="25" t="shared"/>
        <v>1</v>
      </c>
      <c r="I32" s="14">
        <f si="25" t="shared"/>
        <v>2.6789759689423698E-2</v>
      </c>
      <c r="J32" s="14">
        <f si="25" t="shared"/>
        <v>0.10762481633861908</v>
      </c>
      <c r="K32" s="6"/>
      <c r="L32" s="4" t="s">
        <v>5</v>
      </c>
      <c r="M32" s="14">
        <f ref="M32:P32" si="26" t="shared">M15/M$16</f>
        <v>2.4805764727759454E-2</v>
      </c>
      <c r="N32" s="14">
        <f si="26" t="shared"/>
        <v>7.0543709381446468E-2</v>
      </c>
      <c r="O32" s="14">
        <f si="26" t="shared"/>
        <v>5.0614330337330031E-2</v>
      </c>
      <c r="P32" s="14" t="e">
        <f si="26" t="shared"/>
        <v>#DIV/0!</v>
      </c>
      <c r="Q32" s="14">
        <f si="6" t="shared"/>
        <v>0.20076581681612998</v>
      </c>
      <c r="R32" s="14">
        <f si="6" t="shared"/>
        <v>7.2219160753798819E-2</v>
      </c>
      <c r="S32" s="14">
        <f si="6" t="shared"/>
        <v>1</v>
      </c>
      <c r="T32" s="14">
        <f si="6" t="shared"/>
        <v>6.5270208238146679E-2</v>
      </c>
      <c r="U32" s="14">
        <f si="6" t="shared"/>
        <v>0.16323330395889046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>
        <f si="6" t="shared"/>
        <v>1</v>
      </c>
      <c r="U33" s="15">
        <f si="6" t="shared"/>
        <v>1</v>
      </c>
    </row>
    <row ht="15.75" r="36" spans="1:32" thickBot="1" x14ac:dyDescent="0.3">
      <c r="L36" s="1" t="s">
        <v>18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42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-1.6637275388528994E-2</v>
      </c>
      <c r="N39" s="13">
        <f si="29" t="shared"/>
        <v>-3.4523277645173774E-2</v>
      </c>
      <c r="O39" s="13">
        <f si="29" t="shared"/>
        <v>6.6722595595022516E-3</v>
      </c>
      <c r="P39" s="13" t="e">
        <f si="29" t="shared"/>
        <v>#DIV/0!</v>
      </c>
      <c r="Q39" s="13">
        <f ref="Q39:Q50" si="30" t="shared">Q22-F22</f>
        <v>2.0740793847270934E-2</v>
      </c>
      <c r="R39" s="13">
        <f ref="R39:R50" si="31" t="shared">R22-G22</f>
        <v>0</v>
      </c>
      <c r="S39" s="13">
        <f ref="S39:S50" si="32" t="shared">S22-H22</f>
        <v>0</v>
      </c>
      <c r="T39" s="13">
        <f ref="T39:T50" si="33" t="shared">T22-I22</f>
        <v>2.022482888391729E-3</v>
      </c>
      <c r="U39" s="13">
        <f ref="U39:U50" si="34" t="shared">U22-J22</f>
        <v>-1.1294943324108284E-2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1.6370173091254103E-2</v>
      </c>
      <c r="O40" s="13">
        <f si="29" t="shared"/>
        <v>-1.7798568975651907E-2</v>
      </c>
      <c r="P40" s="13" t="e">
        <f si="29" t="shared"/>
        <v>#DIV/0!</v>
      </c>
      <c r="Q40" s="13">
        <f si="30" t="shared"/>
        <v>1.3692808784749377E-2</v>
      </c>
      <c r="R40" s="13">
        <f si="31" t="shared"/>
        <v>0</v>
      </c>
      <c r="S40" s="13">
        <f si="32" t="shared"/>
        <v>0</v>
      </c>
      <c r="T40" s="13">
        <f si="33" t="shared"/>
        <v>2.1535154535382808E-2</v>
      </c>
      <c r="U40" s="13">
        <f si="34" t="shared"/>
        <v>8.3625134626232334E-3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-8.5900407354594366E-3</v>
      </c>
      <c r="P41" s="13" t="e">
        <f si="29" t="shared"/>
        <v>#DIV/0!</v>
      </c>
      <c r="Q41" s="13">
        <f si="30" t="shared"/>
        <v>4.2745705664492678E-3</v>
      </c>
      <c r="R41" s="13">
        <f si="31" t="shared"/>
        <v>0</v>
      </c>
      <c r="S41" s="13">
        <f si="32" t="shared"/>
        <v>0</v>
      </c>
      <c r="T41" s="13">
        <f si="33" t="shared"/>
        <v>-3.1215732618154204E-2</v>
      </c>
      <c r="U41" s="13">
        <f si="34" t="shared"/>
        <v>-2.0687104871768114E-2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-8.0892266845173033E-2</v>
      </c>
      <c r="R42" s="13">
        <f si="31" t="shared"/>
        <v>0</v>
      </c>
      <c r="S42" s="13">
        <f si="32" t="shared"/>
        <v>0</v>
      </c>
      <c r="T42" s="13">
        <f si="33" t="shared"/>
        <v>-2.0653713373663906E-2</v>
      </c>
      <c r="U42" s="13">
        <f si="34" t="shared"/>
        <v>-3.4401259838323033E-2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-1.3308133894254182E-4</v>
      </c>
      <c r="R43" s="13">
        <f si="31" t="shared"/>
        <v>0</v>
      </c>
      <c r="S43" s="13">
        <f si="32" t="shared"/>
        <v>0</v>
      </c>
      <c r="T43" s="13">
        <f si="33" t="shared"/>
        <v>0</v>
      </c>
      <c r="U43" s="13">
        <f si="34" t="shared"/>
        <v>-8.5404577374447847E-6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0</v>
      </c>
      <c r="R44" s="13">
        <f si="31" t="shared"/>
        <v>0</v>
      </c>
      <c r="S44" s="13">
        <f si="32" t="shared"/>
        <v>0</v>
      </c>
      <c r="T44" s="13">
        <f si="33" t="shared"/>
        <v>0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0</v>
      </c>
      <c r="R45" s="13">
        <f si="31" t="shared"/>
        <v>0</v>
      </c>
      <c r="S45" s="13">
        <f si="32" t="shared"/>
        <v>0</v>
      </c>
      <c r="T45" s="13">
        <f si="33" t="shared"/>
        <v>0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0</v>
      </c>
      <c r="R46" s="13">
        <f si="31" t="shared"/>
        <v>0</v>
      </c>
      <c r="S46" s="13">
        <f si="32" t="shared"/>
        <v>0</v>
      </c>
      <c r="T46" s="13">
        <f si="33" t="shared"/>
        <v>0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>
        <f si="33" t="shared"/>
        <v>-1.2747499811546104E-2</v>
      </c>
      <c r="U47" s="13">
        <f si="34" t="shared"/>
        <v>5.6145552685613054E-4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2.2971155050736389E-3</v>
      </c>
      <c r="N48" s="13">
        <f si="39" t="shared"/>
        <v>2.0569528047136541E-4</v>
      </c>
      <c r="O48" s="13">
        <f si="39" t="shared"/>
        <v>4.6282872294251794E-3</v>
      </c>
      <c r="P48" s="13" t="e">
        <f si="39" t="shared"/>
        <v>#DIV/0!</v>
      </c>
      <c r="Q48" s="13">
        <f si="30" t="shared"/>
        <v>9.4172228908273037E-3</v>
      </c>
      <c r="R48" s="13">
        <f si="31" t="shared"/>
        <v>-2.094919740000778E-2</v>
      </c>
      <c r="S48" s="13">
        <f si="32" t="shared"/>
        <v>0</v>
      </c>
      <c r="T48" s="13">
        <f si="33" t="shared"/>
        <v>2.5788598308665793E-3</v>
      </c>
      <c r="U48" s="13">
        <f si="34" t="shared"/>
        <v>1.8593918821859269E-3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1.4340159883455278E-2</v>
      </c>
      <c r="N49" s="17">
        <f si="39" t="shared"/>
        <v>1.7947409273448324E-2</v>
      </c>
      <c r="O49" s="17">
        <f si="39" t="shared"/>
        <v>1.5088062922183898E-2</v>
      </c>
      <c r="P49" s="17" t="e">
        <f si="39" t="shared"/>
        <v>#DIV/0!</v>
      </c>
      <c r="Q49" s="17">
        <f si="30" t="shared"/>
        <v>3.2899952094818774E-2</v>
      </c>
      <c r="R49" s="17">
        <f si="31" t="shared"/>
        <v>2.0949197400007946E-2</v>
      </c>
      <c r="S49" s="17">
        <f si="32" t="shared"/>
        <v>0</v>
      </c>
      <c r="T49" s="17">
        <f si="33" t="shared"/>
        <v>3.8480448548722984E-2</v>
      </c>
      <c r="U49" s="13">
        <f si="34" t="shared"/>
        <v>5.5608487620271388E-2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>
        <f si="33" t="shared"/>
        <v>0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2:AF50"/>
  <sheetViews>
    <sheetView workbookViewId="0" zoomScaleNormal="10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31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43</v>
      </c>
      <c r="C3" s="31"/>
      <c r="D3" s="31"/>
      <c r="E3" s="31"/>
      <c r="F3" s="31"/>
      <c r="G3" s="31"/>
      <c r="H3" s="31"/>
      <c r="I3" s="31"/>
      <c r="J3" s="11"/>
      <c r="L3" s="3"/>
      <c r="M3" s="31" t="s">
        <v>43</v>
      </c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52927.3605264524</v>
      </c>
      <c r="C5" s="6" t="n">
        <v>396390.4821353514</v>
      </c>
      <c r="D5" s="6" t="n">
        <v>146937.1248664695</v>
      </c>
      <c r="E5" s="6" t="n">
        <v>373.067856556</v>
      </c>
      <c r="F5" s="6" t="n">
        <v>298.0264508996</v>
      </c>
      <c r="G5" s="6" t="n">
        <v>0.0</v>
      </c>
      <c r="H5" s="6" t="n">
        <v>0.0</v>
      </c>
      <c r="I5" s="6" t="n">
        <v>0.0</v>
      </c>
      <c r="J5" s="6">
        <f>SUM(B5:I5)</f>
        <v>596926.06183572893</v>
      </c>
      <c r="K5" s="6"/>
      <c r="L5" t="s">
        <v>1</v>
      </c>
      <c r="M5" s="6" t="n">
        <v>20937.37218241389</v>
      </c>
      <c r="N5" s="6" t="n">
        <v>262786.9012291068</v>
      </c>
      <c r="O5" s="6" t="n">
        <v>169210.33144581062</v>
      </c>
      <c r="P5" s="6" t="n">
        <v>0.0</v>
      </c>
      <c r="Q5" s="6" t="n">
        <v>0.0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461102.71961385815</v>
      </c>
    </row>
    <row r="6" spans="1:21" x14ac:dyDescent="0.25">
      <c r="A6" t="s">
        <v>12</v>
      </c>
      <c r="B6" s="6" t="n">
        <v>0.0</v>
      </c>
      <c r="C6" s="6" t="n">
        <v>433849.1964675311</v>
      </c>
      <c r="D6" s="6" t="n">
        <v>251550.0097209555</v>
      </c>
      <c r="E6" s="6" t="n">
        <v>0.0</v>
      </c>
      <c r="F6" s="6" t="n">
        <v>688.3299841567</v>
      </c>
      <c r="G6" s="6" t="n">
        <v>0.0</v>
      </c>
      <c r="H6" s="6" t="n">
        <v>0.0</v>
      </c>
      <c r="I6" s="6" t="n">
        <v>659.6315</v>
      </c>
      <c r="J6" s="6">
        <f ref="J6:J15" si="1" t="shared">SUM(B6:I6)</f>
        <v>686747.16767264332</v>
      </c>
      <c r="K6" s="6"/>
      <c r="L6" t="s">
        <v>12</v>
      </c>
      <c r="M6" s="6" t="n">
        <v>0.0</v>
      </c>
      <c r="N6" s="6" t="n">
        <v>504075.23617462977</v>
      </c>
      <c r="O6" s="6" t="n">
        <v>142250.4191968749</v>
      </c>
      <c r="P6" s="6" t="n">
        <v>0.0</v>
      </c>
      <c r="Q6" s="6" t="n">
        <v>0.0</v>
      </c>
      <c r="R6" s="6" t="n">
        <v>0.0</v>
      </c>
      <c r="S6" s="6" t="n">
        <v>0.0</v>
      </c>
      <c r="T6" s="6" t="n">
        <v>0.0</v>
      </c>
      <c r="U6" s="6">
        <f si="0" t="shared"/>
        <v>649158.84333440033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532459.0305925972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>
        <f si="1" t="shared"/>
        <v>532459.03059259721</v>
      </c>
      <c r="K7" s="6"/>
      <c r="L7" t="s">
        <v>56</v>
      </c>
      <c r="M7" s="6" t="n">
        <v>0.0</v>
      </c>
      <c r="N7" s="6" t="n">
        <v>0.0</v>
      </c>
      <c r="O7" s="6" t="n">
        <v>558157.0623249295</v>
      </c>
      <c r="P7" s="6" t="n">
        <v>0.0</v>
      </c>
      <c r="Q7" s="6" t="n">
        <v>0.0</v>
      </c>
      <c r="R7" s="6" t="n">
        <v>0.0</v>
      </c>
      <c r="S7" s="6" t="n">
        <v>0.0</v>
      </c>
      <c r="T7" s="6" t="n">
        <v>0.0</v>
      </c>
      <c r="U7" s="6">
        <f si="0" t="shared"/>
        <v>532076.88836568722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373.067856556</v>
      </c>
      <c r="F8" s="6" t="n">
        <v>7070.435136692499</v>
      </c>
      <c r="G8" s="6" t="n">
        <v>0.0</v>
      </c>
      <c r="H8" s="6" t="n">
        <v>0.0</v>
      </c>
      <c r="I8" s="6" t="n">
        <v>0.0</v>
      </c>
      <c r="J8" s="6">
        <f si="1" t="shared"/>
        <v>7443.5029932484995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0.0</v>
      </c>
      <c r="R8" s="6" t="n">
        <v>0.0</v>
      </c>
      <c r="S8" s="6" t="n">
        <v>0.0</v>
      </c>
      <c r="T8" s="6" t="n">
        <v>0.0</v>
      </c>
      <c r="U8" s="6">
        <f si="0" t="shared"/>
        <v>0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1978.8944999999999</v>
      </c>
      <c r="J13" s="6">
        <f si="1" t="shared"/>
        <v>1978.8944999999999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5674.0894081838</v>
      </c>
      <c r="D14" s="6" t="n">
        <v>166.035106589</v>
      </c>
      <c r="E14" s="6" t="n">
        <v>0.0</v>
      </c>
      <c r="F14" s="6" t="n">
        <v>0.0</v>
      </c>
      <c r="G14" s="6" t="n">
        <v>5171.3558293273</v>
      </c>
      <c r="H14" s="6" t="n">
        <v>0.0</v>
      </c>
      <c r="I14" s="6" t="n">
        <v>0.0</v>
      </c>
      <c r="J14" s="6">
        <f si="1" t="shared"/>
        <v>11011.480344100099</v>
      </c>
      <c r="K14" s="6"/>
      <c r="L14" t="s">
        <v>4</v>
      </c>
      <c r="M14" s="6" t="n">
        <v>10.860088331008573</v>
      </c>
      <c r="N14" s="6" t="n">
        <v>5410.728759039425</v>
      </c>
      <c r="O14" s="6" t="n">
        <v>6434.5306024363545</v>
      </c>
      <c r="P14" s="6" t="n">
        <v>0.0</v>
      </c>
      <c r="Q14" s="6" t="n">
        <v>0.0</v>
      </c>
      <c r="R14" s="6" t="n">
        <v>5965.511799453021</v>
      </c>
      <c r="S14" s="6" t="n">
        <v>0.0</v>
      </c>
      <c r="T14" s="6" t="n">
        <v>0.0</v>
      </c>
      <c r="U14" s="6">
        <f si="0" t="shared"/>
        <v>18530.621560448169</v>
      </c>
    </row>
    <row r="15" spans="1:21" x14ac:dyDescent="0.25">
      <c r="A15" s="4" t="s">
        <v>5</v>
      </c>
      <c r="B15" s="10" t="n">
        <v>4326.086940846</v>
      </c>
      <c r="C15" s="10" t="n">
        <v>9552.7248647721</v>
      </c>
      <c r="D15" s="10" t="n">
        <v>32795.0383664672</v>
      </c>
      <c r="E15" s="10" t="n">
        <v>373.067856556</v>
      </c>
      <c r="F15" s="10" t="n">
        <v>234.56112695000002</v>
      </c>
      <c r="G15" s="10" t="n">
        <v>369.703052246</v>
      </c>
      <c r="H15" s="10" t="n">
        <v>71252.3229915978</v>
      </c>
      <c r="I15" s="10" t="n">
        <v>0.0</v>
      </c>
      <c r="J15" s="6">
        <f si="1" t="shared"/>
        <v>118903.50519943509</v>
      </c>
      <c r="K15" s="6"/>
      <c r="L15" s="4" t="s">
        <v>5</v>
      </c>
      <c r="M15" s="8" t="n">
        <v>54.83182961846455</v>
      </c>
      <c r="N15" s="8" t="n">
        <v>35337.02073291259</v>
      </c>
      <c r="O15" s="8" t="n">
        <v>38483.2866656937</v>
      </c>
      <c r="P15" s="8" t="n">
        <v>0.0</v>
      </c>
      <c r="Q15" s="8" t="n">
        <v>0.0</v>
      </c>
      <c r="R15" s="8" t="n">
        <v>160.90062755493642</v>
      </c>
      <c r="S15" s="8" t="n">
        <v>55080.96332636914</v>
      </c>
      <c r="T15" s="8" t="n">
        <v>0.0</v>
      </c>
      <c r="U15" s="6">
        <f si="0" t="shared"/>
        <v>131224.51084827317</v>
      </c>
    </row>
    <row ht="15.75" r="16" spans="1:21" thickBot="1" x14ac:dyDescent="0.3">
      <c r="A16" s="12" t="s">
        <v>7</v>
      </c>
      <c r="B16" s="16">
        <f ref="B16:J16" si="2" t="shared">SUM(B5:B15)</f>
        <v>57253.4474672984</v>
      </c>
      <c r="C16" s="16">
        <f si="2" t="shared"/>
        <v>845466.4928758383</v>
      </c>
      <c r="D16" s="16">
        <f si="2" t="shared"/>
        <v>963907.23865307844</v>
      </c>
      <c r="E16" s="16">
        <f si="2" t="shared"/>
        <v>1119.203569668</v>
      </c>
      <c r="F16" s="16">
        <f si="2" t="shared"/>
        <v>8291.3526986987999</v>
      </c>
      <c r="G16" s="16">
        <f si="2" t="shared"/>
        <v>5541.0588815732999</v>
      </c>
      <c r="H16" s="16">
        <f si="2" t="shared"/>
        <v>71252.322991597801</v>
      </c>
      <c r="I16" s="16">
        <f si="2" t="shared"/>
        <v>2638.5259999999998</v>
      </c>
      <c r="J16" s="16">
        <f si="2" t="shared"/>
        <v>1955469.6431377532</v>
      </c>
      <c r="L16" s="9" t="s">
        <v>7</v>
      </c>
      <c r="M16" s="16">
        <f ref="M16:U16" si="3" t="shared">SUM(M5:M15)</f>
        <v>22060.508610508914</v>
      </c>
      <c r="N16" s="16">
        <f si="3" t="shared"/>
        <v>828274.35618746676</v>
      </c>
      <c r="O16" s="16">
        <f si="3" t="shared"/>
        <v>877065.22450327408</v>
      </c>
      <c r="P16" s="16">
        <f si="3" t="shared"/>
        <v>0</v>
      </c>
      <c r="Q16" s="16">
        <f si="3" t="shared"/>
        <v>0</v>
      </c>
      <c r="R16" s="16">
        <f si="3" t="shared"/>
        <v>6733.6062466006297</v>
      </c>
      <c r="S16" s="16">
        <f si="3" t="shared"/>
        <v>57959.888174816631</v>
      </c>
      <c r="T16" s="16">
        <f si="3" t="shared"/>
        <v>0</v>
      </c>
      <c r="U16" s="16">
        <f si="3" t="shared"/>
        <v>1792093.5837226673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32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43</v>
      </c>
      <c r="C20" s="31"/>
      <c r="D20" s="31"/>
      <c r="E20" s="31"/>
      <c r="F20" s="31"/>
      <c r="G20" s="31"/>
      <c r="H20" s="31"/>
      <c r="I20" s="31"/>
      <c r="J20" s="11"/>
      <c r="L20" s="3"/>
      <c r="M20" s="31" t="s">
        <v>43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0.92443971267726821</v>
      </c>
      <c r="C22" s="13">
        <f si="4" t="shared"/>
        <v>0.46884233198531222</v>
      </c>
      <c r="D22" s="13">
        <f si="4" t="shared"/>
        <v>0.15243907190882078</v>
      </c>
      <c r="E22" s="13">
        <f si="4" t="shared"/>
        <v>0.33333333333333331</v>
      </c>
      <c r="F22" s="13">
        <f si="4" t="shared"/>
        <v>3.5944249597097785E-2</v>
      </c>
      <c r="G22" s="13">
        <f si="4" t="shared"/>
        <v>0</v>
      </c>
      <c r="H22" s="13">
        <f si="4" t="shared"/>
        <v>0</v>
      </c>
      <c r="I22" s="13">
        <f si="4" t="shared"/>
        <v>0</v>
      </c>
      <c r="J22" s="13">
        <f si="4" t="shared"/>
        <v>0.30525969243782242</v>
      </c>
      <c r="K22" s="6"/>
      <c r="L22" t="s">
        <v>1</v>
      </c>
      <c r="M22" s="13">
        <f ref="M22:P22" si="5" t="shared">M5/M$16</f>
        <v>0.9970056415777262</v>
      </c>
      <c r="N22" s="13">
        <f si="5" t="shared"/>
        <v>0.33290339575860739</v>
      </c>
      <c r="O22" s="13">
        <f si="5" t="shared"/>
        <v>0.18627226084702084</v>
      </c>
      <c r="P22" s="13" t="e">
        <f si="5" t="shared"/>
        <v>#DIV/0!</v>
      </c>
      <c r="Q22" s="13" t="e">
        <f ref="Q22:U33" si="6" t="shared">Q5/Q$16</f>
        <v>#DIV/0!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0.25729834859183082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0.51314771208945398</v>
      </c>
      <c r="D23" s="13">
        <f si="7" t="shared"/>
        <v>0.26096910535961992</v>
      </c>
      <c r="E23" s="13">
        <f si="7" t="shared"/>
        <v>0</v>
      </c>
      <c r="F23" s="13">
        <f si="7" t="shared"/>
        <v>8.3017814965792344E-2</v>
      </c>
      <c r="G23" s="13">
        <f si="7" t="shared"/>
        <v>0</v>
      </c>
      <c r="H23" s="13">
        <f si="7" t="shared"/>
        <v>0</v>
      </c>
      <c r="I23" s="13">
        <f si="7" t="shared"/>
        <v>0.25</v>
      </c>
      <c r="J23" s="13">
        <f si="7" t="shared"/>
        <v>0.35119295770334052</v>
      </c>
      <c r="K23" s="6"/>
      <c r="L23" t="s">
        <v>12</v>
      </c>
      <c r="M23" s="13">
        <f ref="M23:P23" si="8" t="shared">M6/M$16</f>
        <v>0</v>
      </c>
      <c r="N23" s="13">
        <f si="8" t="shared"/>
        <v>0.61628529691289524</v>
      </c>
      <c r="O23" s="13">
        <f si="8" t="shared"/>
        <v>0.15814734404117564</v>
      </c>
      <c r="P23" s="13" t="e">
        <f si="8" t="shared"/>
        <v>#DIV/0!</v>
      </c>
      <c r="Q23" s="13" t="e">
        <f si="6" t="shared"/>
        <v>#DIV/0!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0.36223490181016121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0.55239654734477561</v>
      </c>
      <c r="E24" s="13">
        <f si="9" t="shared"/>
        <v>0</v>
      </c>
      <c r="F24" s="13">
        <f si="9" t="shared"/>
        <v>0</v>
      </c>
      <c r="G24" s="13">
        <f si="9" t="shared"/>
        <v>0</v>
      </c>
      <c r="H24" s="13">
        <f si="9" t="shared"/>
        <v>0</v>
      </c>
      <c r="I24" s="13">
        <f si="9" t="shared"/>
        <v>0</v>
      </c>
      <c r="J24" s="13">
        <f si="9" t="shared"/>
        <v>0.27229214856959461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0.6066560085847994</v>
      </c>
      <c r="P24" s="13" t="e">
        <f si="10" t="shared"/>
        <v>#DIV/0!</v>
      </c>
      <c r="Q24" s="13" t="e">
        <f si="6" t="shared"/>
        <v>#DIV/0!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0.29690240130229045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0.33333333333333331</v>
      </c>
      <c r="F25" s="13">
        <f si="11" t="shared"/>
        <v>0.85274808509859856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3.8065039870957187E-3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 t="e">
        <f si="6" t="shared"/>
        <v>#DIV/0!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0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 t="e">
        <f si="6" t="shared"/>
        <v>#DIV/0!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 t="e">
        <f si="6" t="shared"/>
        <v>#DIV/0!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 t="e">
        <f si="6" t="shared"/>
        <v>#DIV/0!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 t="e">
        <f si="6" t="shared"/>
        <v>#DIV/0!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0.75</v>
      </c>
      <c r="J30" s="13">
        <f si="21" t="shared"/>
        <v>1.011979146260056E-3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 t="e">
        <f si="6" t="shared"/>
        <v>#DIV/0!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6.7111937090297826E-3</v>
      </c>
      <c r="D31" s="13">
        <f si="23" t="shared"/>
        <v>1.7225216279214808E-4</v>
      </c>
      <c r="E31" s="13">
        <f si="23" t="shared"/>
        <v>0</v>
      </c>
      <c r="F31" s="13">
        <f si="23" t="shared"/>
        <v>0</v>
      </c>
      <c r="G31" s="13">
        <f si="23" t="shared"/>
        <v>0.93327934964281978</v>
      </c>
      <c r="H31" s="13">
        <f si="23" t="shared"/>
        <v>0</v>
      </c>
      <c r="I31" s="13">
        <f si="23" t="shared"/>
        <v>0</v>
      </c>
      <c r="J31" s="13">
        <f si="23" t="shared"/>
        <v>5.6311180195214071E-3</v>
      </c>
      <c r="K31" s="6"/>
      <c r="L31" t="s">
        <v>4</v>
      </c>
      <c r="M31" s="13">
        <f ref="M31:P31" si="24" t="shared">M14/M$16</f>
        <v>4.5482667885493654E-4</v>
      </c>
      <c r="N31" s="13">
        <f si="24" t="shared"/>
        <v>7.0775857031577655E-3</v>
      </c>
      <c r="O31" s="13">
        <f si="24" t="shared"/>
        <v>6.9777120335159561E-3</v>
      </c>
      <c r="P31" s="13" t="e">
        <f si="24" t="shared"/>
        <v>#DIV/0!</v>
      </c>
      <c r="Q31" s="13" t="e">
        <f si="6" t="shared"/>
        <v>#DIV/0!</v>
      </c>
      <c r="R31" s="13">
        <f si="6" t="shared"/>
        <v>0.97102448528890251</v>
      </c>
      <c r="S31" s="13">
        <f si="6" t="shared"/>
        <v>0</v>
      </c>
      <c r="T31" s="13" t="e">
        <f si="6" t="shared"/>
        <v>#DIV/0!</v>
      </c>
      <c r="U31" s="13">
        <f si="6" t="shared"/>
        <v>1.0340208641311584E-2</v>
      </c>
    </row>
    <row r="32" spans="1:21" x14ac:dyDescent="0.25">
      <c r="A32" s="4" t="s">
        <v>5</v>
      </c>
      <c r="B32" s="14">
        <f ref="B32:J32" si="25" t="shared">B15/B$16</f>
        <v>7.5560287322731831E-2</v>
      </c>
      <c r="C32" s="14">
        <f si="25" t="shared"/>
        <v>1.1298762216204083E-2</v>
      </c>
      <c r="D32" s="14">
        <f si="25" t="shared"/>
        <v>3.4023023223991491E-2</v>
      </c>
      <c r="E32" s="14">
        <f si="25" t="shared"/>
        <v>0.33333333333333331</v>
      </c>
      <c r="F32" s="14">
        <f si="25" t="shared"/>
        <v>2.8289850338511204E-2</v>
      </c>
      <c r="G32" s="14">
        <f si="25" t="shared"/>
        <v>6.6720650357180181E-2</v>
      </c>
      <c r="H32" s="14">
        <f si="25" t="shared"/>
        <v>1</v>
      </c>
      <c r="I32" s="14">
        <f si="25" t="shared"/>
        <v>0</v>
      </c>
      <c r="J32" s="14">
        <f si="25" t="shared"/>
        <v>6.0805600136365261E-2</v>
      </c>
      <c r="K32" s="6"/>
      <c r="L32" s="4" t="s">
        <v>5</v>
      </c>
      <c r="M32" s="14">
        <f ref="M32:P32" si="26" t="shared">M15/M$16</f>
        <v>2.5395317434189165E-3</v>
      </c>
      <c r="N32" s="14">
        <f si="26" t="shared"/>
        <v>4.3733721625339672E-2</v>
      </c>
      <c r="O32" s="14">
        <f si="26" t="shared"/>
        <v>4.194667449348817E-2</v>
      </c>
      <c r="P32" s="14" t="e">
        <f si="26" t="shared"/>
        <v>#DIV/0!</v>
      </c>
      <c r="Q32" s="14" t="e">
        <f si="6" t="shared"/>
        <v>#DIV/0!</v>
      </c>
      <c r="R32" s="14">
        <f si="6" t="shared"/>
        <v>2.8975514711097515E-2</v>
      </c>
      <c r="S32" s="14">
        <f si="6" t="shared"/>
        <v>1</v>
      </c>
      <c r="T32" s="14" t="e">
        <f si="6" t="shared"/>
        <v>#DIV/0!</v>
      </c>
      <c r="U32" s="14">
        <f si="6" t="shared"/>
        <v>7.3224139654405801E-2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 t="e">
        <f si="6" t="shared"/>
        <v>#DIV/0!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19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43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16</v>
      </c>
      <c r="S38" s="5" t="s">
        <v>4</v>
      </c>
      <c r="T38" s="5" t="s">
        <v>5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7.2565928900457988E-2</v>
      </c>
      <c r="N39" s="13">
        <f si="29" t="shared"/>
        <v>-0.13593893622670483</v>
      </c>
      <c r="O39" s="13">
        <f si="29" t="shared"/>
        <v>3.3833188938200059E-2</v>
      </c>
      <c r="P39" s="13" t="e">
        <f si="29" t="shared"/>
        <v>#DIV/0!</v>
      </c>
      <c r="Q39" s="13" t="e">
        <f ref="Q39:Q50" si="30" t="shared">Q22-F22</f>
        <v>#DIV/0!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-4.79613438459916E-2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0.10313758482344126</v>
      </c>
      <c r="O40" s="13">
        <f si="29" t="shared"/>
        <v>-0.10282176131844428</v>
      </c>
      <c r="P40" s="13" t="e">
        <f si="29" t="shared"/>
        <v>#DIV/0!</v>
      </c>
      <c r="Q40" s="13" t="e">
        <f si="30" t="shared"/>
        <v>#DIV/0!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1.1041944106820689E-2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5.4259461240023787E-2</v>
      </c>
      <c r="P41" s="13" t="e">
        <f si="29" t="shared"/>
        <v>#DIV/0!</v>
      </c>
      <c r="Q41" s="13" t="e">
        <f si="30" t="shared"/>
        <v>#DIV/0!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2.4610252732695848E-2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 t="e">
        <f si="30" t="shared"/>
        <v>#DIV/0!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-3.8065039870957187E-3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 t="e">
        <f si="30" t="shared"/>
        <v>#DIV/0!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 t="e">
        <f si="30" t="shared"/>
        <v>#DIV/0!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 t="e">
        <f si="30" t="shared"/>
        <v>#DIV/0!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 t="e">
        <f si="30" t="shared"/>
        <v>#DIV/0!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 t="e">
        <f si="30" t="shared"/>
        <v>#DIV/0!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-1.011979146260056E-3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4.5482667885493654E-4</v>
      </c>
      <c r="N48" s="13">
        <f si="39" t="shared"/>
        <v>3.6639199412798282E-4</v>
      </c>
      <c r="O48" s="13">
        <f si="39" t="shared"/>
        <v>6.805459870723808E-3</v>
      </c>
      <c r="P48" s="13" t="e">
        <f si="39" t="shared"/>
        <v>#DIV/0!</v>
      </c>
      <c r="Q48" s="13" t="e">
        <f si="30" t="shared"/>
        <v>#DIV/0!</v>
      </c>
      <c r="R48" s="13">
        <f si="31" t="shared"/>
        <v>3.7745135646082728E-2</v>
      </c>
      <c r="S48" s="13">
        <f si="32" t="shared"/>
        <v>0</v>
      </c>
      <c r="T48" s="13" t="e">
        <f si="33" t="shared"/>
        <v>#DIV/0!</v>
      </c>
      <c r="U48" s="13">
        <f si="34" t="shared"/>
        <v>4.7090906217901766E-3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-7.302075557931291E-2</v>
      </c>
      <c r="N49" s="17">
        <f si="39" t="shared"/>
        <v>3.2434959409135586E-2</v>
      </c>
      <c r="O49" s="17">
        <f si="39" t="shared"/>
        <v>7.9236512694966788E-3</v>
      </c>
      <c r="P49" s="17" t="e">
        <f si="39" t="shared"/>
        <v>#DIV/0!</v>
      </c>
      <c r="Q49" s="17" t="e">
        <f si="30" t="shared"/>
        <v>#DIV/0!</v>
      </c>
      <c r="R49" s="17">
        <f si="31" t="shared"/>
        <v>-3.7745135646082666E-2</v>
      </c>
      <c r="S49" s="17">
        <f si="32" t="shared"/>
        <v>0</v>
      </c>
      <c r="T49" s="17" t="e">
        <f si="33" t="shared"/>
        <v>#DIV/0!</v>
      </c>
      <c r="U49" s="13">
        <f si="34" t="shared"/>
        <v>1.241853951804054E-2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 t="e">
        <f si="30" t="shared"/>
        <v>#DIV/0!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2:AF50"/>
  <sheetViews>
    <sheetView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33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44</v>
      </c>
      <c r="C3" s="31"/>
      <c r="D3" s="31"/>
      <c r="E3" s="31"/>
      <c r="F3" s="31"/>
      <c r="G3" s="31"/>
      <c r="H3" s="31"/>
      <c r="I3" s="31"/>
      <c r="J3" s="11"/>
      <c r="L3" s="3"/>
      <c r="M3" s="31" t="s">
        <v>44</v>
      </c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696165.8743531762</v>
      </c>
      <c r="C5" s="6" t="n">
        <v>28974.1597224348</v>
      </c>
      <c r="D5" s="6" t="n">
        <v>14622.1971247273</v>
      </c>
      <c r="E5" s="6" t="n">
        <v>3469.925244096</v>
      </c>
      <c r="F5" s="6" t="n">
        <v>1050.293716173</v>
      </c>
      <c r="G5" s="6" t="n">
        <v>0.0</v>
      </c>
      <c r="H5" s="6" t="n">
        <v>0.0</v>
      </c>
      <c r="I5" s="6" t="n">
        <v>0.0</v>
      </c>
      <c r="J5" s="6">
        <f>SUM(B5:I5)</f>
        <v>744282.45016060735</v>
      </c>
      <c r="K5" s="6"/>
      <c r="L5" t="s">
        <v>1</v>
      </c>
      <c r="M5" s="6" t="n">
        <v>566280.133825968</v>
      </c>
      <c r="N5" s="6" t="n">
        <v>30158.420815178164</v>
      </c>
      <c r="O5" s="6" t="n">
        <v>10386.872047145822</v>
      </c>
      <c r="P5" s="6" t="n">
        <v>0.0</v>
      </c>
      <c r="Q5" s="6" t="n">
        <v>315.0477484625522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769292.36674483574</v>
      </c>
    </row>
    <row r="6" spans="1:21" x14ac:dyDescent="0.25">
      <c r="A6" t="s">
        <v>12</v>
      </c>
      <c r="B6" s="6" t="n">
        <v>0.0</v>
      </c>
      <c r="C6" s="6" t="n">
        <v>462828.516870877</v>
      </c>
      <c r="D6" s="6" t="n">
        <v>40625.4632805012</v>
      </c>
      <c r="E6" s="6" t="n">
        <v>0.0</v>
      </c>
      <c r="F6" s="6" t="n">
        <v>8253.9479754855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511707.92812686373</v>
      </c>
      <c r="K6" s="6"/>
      <c r="L6" t="s">
        <v>12</v>
      </c>
      <c r="M6" s="6" t="n">
        <v>0.0</v>
      </c>
      <c r="N6" s="6" t="n">
        <v>397712.1906998275</v>
      </c>
      <c r="O6" s="6" t="n">
        <v>66533.22135530449</v>
      </c>
      <c r="P6" s="6" t="n">
        <v>0.0</v>
      </c>
      <c r="Q6" s="6" t="n">
        <v>3572.635891117412</v>
      </c>
      <c r="R6" s="6" t="n">
        <v>0.0</v>
      </c>
      <c r="S6" s="6" t="n">
        <v>0.0</v>
      </c>
      <c r="T6" s="6" t="n">
        <v>0.0</v>
      </c>
      <c r="U6" s="6">
        <f si="0" t="shared"/>
        <v>525277.01376715617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342634.8368082903</v>
      </c>
      <c r="E7" s="6" t="n">
        <v>376.597523036</v>
      </c>
      <c r="F7" s="6" t="n">
        <v>261.652913556</v>
      </c>
      <c r="G7" s="6" t="n">
        <v>0.0</v>
      </c>
      <c r="H7" s="6" t="n">
        <v>0.0</v>
      </c>
      <c r="I7" s="6" t="n">
        <v>918.411125</v>
      </c>
      <c r="J7" s="6">
        <f si="1" t="shared"/>
        <v>344191.49836988229</v>
      </c>
      <c r="K7" s="6"/>
      <c r="L7" t="s">
        <v>56</v>
      </c>
      <c r="M7" s="6" t="n">
        <v>0.0</v>
      </c>
      <c r="N7" s="6" t="n">
        <v>0.0</v>
      </c>
      <c r="O7" s="6" t="n">
        <v>320682.465094258</v>
      </c>
      <c r="P7" s="6" t="n">
        <v>0.0</v>
      </c>
      <c r="Q7" s="6" t="n">
        <v>1591.3341534437184</v>
      </c>
      <c r="R7" s="6" t="n">
        <v>0.0</v>
      </c>
      <c r="S7" s="6" t="n">
        <v>0.155841698841068</v>
      </c>
      <c r="T7" s="6" t="n">
        <v>0.0</v>
      </c>
      <c r="U7" s="6">
        <f si="0" t="shared"/>
        <v>313189.46613882738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2793.2312176259998</v>
      </c>
      <c r="F8" s="6" t="n">
        <v>75442.2594817482</v>
      </c>
      <c r="G8" s="6" t="n">
        <v>0.0</v>
      </c>
      <c r="H8" s="6" t="n">
        <v>0.0</v>
      </c>
      <c r="I8" s="6" t="n">
        <v>0.0</v>
      </c>
      <c r="J8" s="6">
        <f si="1" t="shared"/>
        <v>78235.490699374204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21436.316521791763</v>
      </c>
      <c r="R8" s="6" t="n">
        <v>0.0</v>
      </c>
      <c r="S8" s="6" t="n">
        <v>0.0</v>
      </c>
      <c r="T8" s="6" t="n">
        <v>0.0</v>
      </c>
      <c r="U8" s="6">
        <f si="0" t="shared"/>
        <v>32042.795773584639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4801.467375</v>
      </c>
      <c r="J13" s="6">
        <f si="1" t="shared"/>
        <v>4801.4673750000002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1493.612561511</v>
      </c>
      <c r="C14" s="6" t="n">
        <v>597.85108062</v>
      </c>
      <c r="D14" s="6" t="n">
        <v>0.0</v>
      </c>
      <c r="E14" s="6" t="n">
        <v>0.0</v>
      </c>
      <c r="F14" s="6" t="n">
        <v>1500.082466872</v>
      </c>
      <c r="G14" s="6" t="n">
        <v>14834.572279027601</v>
      </c>
      <c r="H14" s="6" t="n">
        <v>0.0</v>
      </c>
      <c r="I14" s="6" t="n">
        <v>0.0</v>
      </c>
      <c r="J14" s="6">
        <f si="1" t="shared"/>
        <v>18426.118388030602</v>
      </c>
      <c r="K14" s="6"/>
      <c r="L14" t="s">
        <v>4</v>
      </c>
      <c r="M14" s="6" t="n">
        <v>860.7332469098025</v>
      </c>
      <c r="N14" s="6" t="n">
        <v>931.2299586141577</v>
      </c>
      <c r="O14" s="6" t="n">
        <v>626.2584360734269</v>
      </c>
      <c r="P14" s="6" t="n">
        <v>0.0</v>
      </c>
      <c r="Q14" s="6" t="n">
        <v>341.51847699854534</v>
      </c>
      <c r="R14" s="6" t="n">
        <v>10885.280415918873</v>
      </c>
      <c r="S14" s="6" t="n">
        <v>0.0</v>
      </c>
      <c r="T14" s="6" t="n">
        <v>0.0</v>
      </c>
      <c r="U14" s="6">
        <f si="0" t="shared"/>
        <v>15723.47976460827</v>
      </c>
    </row>
    <row r="15" spans="1:21" x14ac:dyDescent="0.25">
      <c r="A15" s="4" t="s">
        <v>5</v>
      </c>
      <c r="B15" s="10" t="n">
        <v>10978.5246973767</v>
      </c>
      <c r="C15" s="10" t="n">
        <v>4407.4861800294</v>
      </c>
      <c r="D15" s="10" t="n">
        <v>4407.5817223416</v>
      </c>
      <c r="E15" s="10" t="n">
        <v>239.334385272</v>
      </c>
      <c r="F15" s="10" t="n">
        <v>19518.6900781032</v>
      </c>
      <c r="G15" s="10" t="n">
        <v>2685.77572214</v>
      </c>
      <c r="H15" s="10" t="n">
        <v>149584.7963929759</v>
      </c>
      <c r="I15" s="10" t="n">
        <v>0.0</v>
      </c>
      <c r="J15" s="6">
        <f si="1" t="shared"/>
        <v>191822.1891782388</v>
      </c>
      <c r="K15" s="6"/>
      <c r="L15" s="4" t="s">
        <v>5</v>
      </c>
      <c r="M15" s="8" t="n">
        <v>9797.759749431505</v>
      </c>
      <c r="N15" s="8" t="n">
        <v>6080.913693088214</v>
      </c>
      <c r="O15" s="8" t="n">
        <v>3839.4198805766255</v>
      </c>
      <c r="P15" s="8" t="n">
        <v>0.0</v>
      </c>
      <c r="Q15" s="8" t="n">
        <v>4694.302126404184</v>
      </c>
      <c r="R15" s="8" t="n">
        <v>644.44112808748</v>
      </c>
      <c r="S15" s="8" t="n">
        <v>159453.315742062</v>
      </c>
      <c r="T15" s="8" t="n">
        <v>0.0</v>
      </c>
      <c r="U15" s="6">
        <f si="0" t="shared"/>
        <v>221443.12842035163</v>
      </c>
    </row>
    <row ht="15.75" r="16" spans="1:21" thickBot="1" x14ac:dyDescent="0.3">
      <c r="A16" s="12" t="s">
        <v>7</v>
      </c>
      <c r="B16" s="16">
        <f ref="B16:J16" si="2" t="shared">SUM(B5:B15)</f>
        <v>708638.01161206386</v>
      </c>
      <c r="C16" s="16">
        <f si="2" t="shared"/>
        <v>496808.01385396125</v>
      </c>
      <c r="D16" s="16">
        <f si="2" t="shared"/>
        <v>402290.07893586037</v>
      </c>
      <c r="E16" s="16">
        <f si="2" t="shared"/>
        <v>6879.0883700299992</v>
      </c>
      <c r="F16" s="16">
        <f si="2" t="shared"/>
        <v>106026.92663193791</v>
      </c>
      <c r="G16" s="16">
        <f si="2" t="shared"/>
        <v>17520.3480011676</v>
      </c>
      <c r="H16" s="16">
        <f si="2" t="shared"/>
        <v>149584.7963929759</v>
      </c>
      <c r="I16" s="16">
        <f si="2" t="shared"/>
        <v>5719.8784999999998</v>
      </c>
      <c r="J16" s="16">
        <f si="2" t="shared"/>
        <v>1893467.1422979971</v>
      </c>
      <c r="L16" s="9" t="s">
        <v>7</v>
      </c>
      <c r="M16" s="16">
        <f ref="M16:U16" si="3" t="shared">SUM(M5:M15)</f>
        <v>736174.91897615138</v>
      </c>
      <c r="N16" s="16">
        <f si="3" t="shared"/>
        <v>499029.40364392492</v>
      </c>
      <c r="O16" s="16">
        <f si="3" t="shared"/>
        <v>391206.46578335727</v>
      </c>
      <c r="P16" s="16">
        <f si="3" t="shared"/>
        <v>0</v>
      </c>
      <c r="Q16" s="16">
        <f si="3" t="shared"/>
        <v>48275.572993141432</v>
      </c>
      <c r="R16" s="16">
        <f si="3" t="shared"/>
        <v>13203.399735572879</v>
      </c>
      <c r="S16" s="16">
        <f si="3" t="shared"/>
        <v>189078.48947721598</v>
      </c>
      <c r="T16" s="16">
        <f si="3" t="shared"/>
        <v>0</v>
      </c>
      <c r="U16" s="16">
        <f si="3" t="shared"/>
        <v>1876968.2506093637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34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44</v>
      </c>
      <c r="C20" s="31"/>
      <c r="D20" s="31"/>
      <c r="E20" s="31"/>
      <c r="F20" s="31"/>
      <c r="G20" s="31"/>
      <c r="H20" s="31"/>
      <c r="I20" s="31"/>
      <c r="J20" s="11"/>
      <c r="L20" s="3"/>
      <c r="M20" s="31" t="s">
        <v>44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0.98239984723580509</v>
      </c>
      <c r="C22" s="13">
        <f si="4" t="shared"/>
        <v>5.8320636774091716E-2</v>
      </c>
      <c r="D22" s="13">
        <f si="4" t="shared"/>
        <v>3.6347396792399171E-2</v>
      </c>
      <c r="E22" s="13">
        <f si="4" t="shared"/>
        <v>0.50441643680772597</v>
      </c>
      <c r="F22" s="13">
        <f si="4" t="shared"/>
        <v>9.9059149362971891E-3</v>
      </c>
      <c r="G22" s="13">
        <f si="4" t="shared"/>
        <v>0</v>
      </c>
      <c r="H22" s="13">
        <f si="4" t="shared"/>
        <v>0</v>
      </c>
      <c r="I22" s="13">
        <f si="4" t="shared"/>
        <v>0</v>
      </c>
      <c r="J22" s="13">
        <f si="4" t="shared"/>
        <v>0.39307914752474266</v>
      </c>
      <c r="K22" s="6"/>
      <c r="L22" t="s">
        <v>1</v>
      </c>
      <c r="M22" s="13">
        <f ref="M22:P22" si="5" t="shared">M5/M$16</f>
        <v>0.98116789836561358</v>
      </c>
      <c r="N22" s="13">
        <f si="5" t="shared"/>
        <v>7.3357411293308611E-2</v>
      </c>
      <c r="O22" s="13">
        <f si="5" t="shared"/>
        <v>2.5418374193501309E-2</v>
      </c>
      <c r="P22" s="13" t="e">
        <f si="5" t="shared"/>
        <v>#DIV/0!</v>
      </c>
      <c r="Q22" s="13">
        <f ref="Q22:U33" si="6" t="shared">Q5/Q$16</f>
        <v>8.9036979184089655E-3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0.40985901945602038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0.93160437022847087</v>
      </c>
      <c r="D23" s="13">
        <f si="7" t="shared"/>
        <v>0.10098549630645595</v>
      </c>
      <c r="E23" s="13">
        <f si="7" t="shared"/>
        <v>0</v>
      </c>
      <c r="F23" s="13">
        <f si="7" t="shared"/>
        <v>7.7847658492811667E-2</v>
      </c>
      <c r="G23" s="13">
        <f si="7" t="shared"/>
        <v>0</v>
      </c>
      <c r="H23" s="13">
        <f si="7" t="shared"/>
        <v>0</v>
      </c>
      <c r="I23" s="13">
        <f si="7" t="shared"/>
        <v>0</v>
      </c>
      <c r="J23" s="13">
        <f si="7" t="shared"/>
        <v>0.27024917237583107</v>
      </c>
      <c r="K23" s="6"/>
      <c r="L23" t="s">
        <v>12</v>
      </c>
      <c r="M23" s="13">
        <f ref="M23:P23" si="8" t="shared">M6/M$16</f>
        <v>0</v>
      </c>
      <c r="N23" s="13">
        <f si="8" t="shared"/>
        <v>0.91070204566607538</v>
      </c>
      <c r="O23" s="13">
        <f si="8" t="shared"/>
        <v>0.16784732562117996</v>
      </c>
      <c r="P23" s="13" t="e">
        <f si="8" t="shared"/>
        <v>#DIV/0!</v>
      </c>
      <c r="Q23" s="13">
        <f si="6" t="shared"/>
        <v>0.10661615501473372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0.27985396854561784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0.85171087916120025</v>
      </c>
      <c r="E24" s="13">
        <f si="9" t="shared"/>
        <v>5.47452660554145E-2</v>
      </c>
      <c r="F24" s="13">
        <f si="9" t="shared"/>
        <v>2.4677968311229322E-3</v>
      </c>
      <c r="G24" s="13">
        <f si="9" t="shared"/>
        <v>0</v>
      </c>
      <c r="H24" s="13">
        <f si="9" t="shared"/>
        <v>0</v>
      </c>
      <c r="I24" s="13">
        <f si="9" t="shared"/>
        <v>0.16056479608788893</v>
      </c>
      <c r="J24" s="13">
        <f si="9" t="shared"/>
        <v>0.18177843738664298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0.79491993376301606</v>
      </c>
      <c r="P24" s="13" t="e">
        <f si="10" t="shared"/>
        <v>#DIV/0!</v>
      </c>
      <c r="Q24" s="13">
        <f si="6" t="shared"/>
        <v>4.5730207587070276E-2</v>
      </c>
      <c r="R24" s="13">
        <f si="6" t="shared"/>
        <v>0</v>
      </c>
      <c r="S24" s="13">
        <f si="6" t="shared"/>
        <v>2.1135647462308794E-5</v>
      </c>
      <c r="T24" s="13" t="e">
        <f si="6" t="shared"/>
        <v>#DIV/0!</v>
      </c>
      <c r="U24" s="13">
        <f si="6" t="shared"/>
        <v>0.16685922419686611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0.40604671249685059</v>
      </c>
      <c r="F25" s="13">
        <f si="11" t="shared"/>
        <v>0.71153868058100578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4.1318641845785653E-2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0.66374760125865306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1.7071570477114807E-2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0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0.83943520391211113</v>
      </c>
      <c r="J30" s="13">
        <f si="21" t="shared"/>
        <v>2.5358070746201188E-3</v>
      </c>
      <c r="K30" s="6"/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2.1077228952384535E-3</v>
      </c>
      <c r="C31" s="13">
        <f si="23" t="shared"/>
        <v>1.2033845347666648E-3</v>
      </c>
      <c r="D31" s="13">
        <f si="23" t="shared"/>
        <v>0</v>
      </c>
      <c r="E31" s="13">
        <f si="23" t="shared"/>
        <v>0</v>
      </c>
      <c r="F31" s="13">
        <f si="23" t="shared"/>
        <v>1.4148127409930397E-2</v>
      </c>
      <c r="G31" s="13">
        <f si="23" t="shared"/>
        <v>0.84670534386868279</v>
      </c>
      <c r="H31" s="13">
        <f si="23" t="shared"/>
        <v>0</v>
      </c>
      <c r="I31" s="13">
        <f si="23" t="shared"/>
        <v>0</v>
      </c>
      <c r="J31" s="13">
        <f si="23" t="shared"/>
        <v>9.7314170266867336E-3</v>
      </c>
      <c r="K31" s="6"/>
      <c r="L31" t="s">
        <v>4</v>
      </c>
      <c r="M31" s="13">
        <f ref="M31:P31" si="24" t="shared">M14/M$16</f>
        <v>1.4435987401210681E-3</v>
      </c>
      <c r="N31" s="13">
        <f si="24" t="shared"/>
        <v>1.9536873383423949E-3</v>
      </c>
      <c r="O31" s="13">
        <f si="24" t="shared"/>
        <v>1.695354944072681E-3</v>
      </c>
      <c r="P31" s="13" t="e">
        <f si="24" t="shared"/>
        <v>#DIV/0!</v>
      </c>
      <c r="Q31" s="13">
        <f si="6" t="shared"/>
        <v>1.1995234350312212E-2</v>
      </c>
      <c r="R31" s="13">
        <f si="6" t="shared"/>
        <v>0.942445186357044</v>
      </c>
      <c r="S31" s="13">
        <f si="6" t="shared"/>
        <v>0</v>
      </c>
      <c r="T31" s="13" t="e">
        <f si="6" t="shared"/>
        <v>#DIV/0!</v>
      </c>
      <c r="U31" s="13">
        <f si="6" t="shared"/>
        <v>8.3770621903186647E-3</v>
      </c>
    </row>
    <row r="32" spans="1:21" x14ac:dyDescent="0.25">
      <c r="A32" s="4" t="s">
        <v>5</v>
      </c>
      <c r="B32" s="14">
        <f ref="B32:J32" si="25" t="shared">B15/B$16</f>
        <v>1.5492429868956527E-2</v>
      </c>
      <c r="C32" s="14">
        <f si="25" t="shared"/>
        <v>8.8716084626706496E-3</v>
      </c>
      <c r="D32" s="14">
        <f si="25" t="shared"/>
        <v>1.0956227739944658E-2</v>
      </c>
      <c r="E32" s="14">
        <f si="25" t="shared"/>
        <v>3.4791584640008963E-2</v>
      </c>
      <c r="F32" s="14">
        <f si="25" t="shared"/>
        <v>0.18409182174883199</v>
      </c>
      <c r="G32" s="14">
        <f si="25" t="shared"/>
        <v>0.15329465613131732</v>
      </c>
      <c r="H32" s="14">
        <f si="25" t="shared"/>
        <v>1</v>
      </c>
      <c r="I32" s="14">
        <f si="25" t="shared"/>
        <v>0</v>
      </c>
      <c r="J32" s="14">
        <f si="25" t="shared"/>
        <v>0.10130737676569065</v>
      </c>
      <c r="K32" s="6"/>
      <c r="L32" s="4" t="s">
        <v>5</v>
      </c>
      <c r="M32" s="14">
        <f ref="M32:P32" si="26" t="shared">M15/M$16</f>
        <v>1.7388502894265349E-2</v>
      </c>
      <c r="N32" s="14">
        <f si="26" t="shared"/>
        <v>1.3986855702273624E-2</v>
      </c>
      <c r="O32" s="14">
        <f si="26" t="shared"/>
        <v>1.0119011478229925E-2</v>
      </c>
      <c r="P32" s="14" t="e">
        <f si="26" t="shared"/>
        <v>#DIV/0!</v>
      </c>
      <c r="Q32" s="14">
        <f si="6" t="shared"/>
        <v>0.16300710387082176</v>
      </c>
      <c r="R32" s="14">
        <f si="6" t="shared"/>
        <v>5.7554813642956011E-2</v>
      </c>
      <c r="S32" s="14">
        <f si="6" t="shared"/>
        <v>0.99997886435253769</v>
      </c>
      <c r="T32" s="14" t="e">
        <f si="6" t="shared"/>
        <v>#DIV/0!</v>
      </c>
      <c r="U32" s="14">
        <f si="6" t="shared"/>
        <v>0.11797915513406229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20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44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-1.2319488701915127E-3</v>
      </c>
      <c r="N39" s="13">
        <f si="29" t="shared"/>
        <v>1.5036774519216894E-2</v>
      </c>
      <c r="O39" s="13">
        <f si="29" t="shared"/>
        <v>-1.0929022598897862E-2</v>
      </c>
      <c r="P39" s="13" t="e">
        <f si="29" t="shared"/>
        <v>#DIV/0!</v>
      </c>
      <c r="Q39" s="13">
        <f ref="Q39:Q50" si="30" t="shared">Q22-F22</f>
        <v>-1.0022170178882236E-3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1.6779871931277723E-2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-2.0902324562395491E-2</v>
      </c>
      <c r="O40" s="13">
        <f si="29" t="shared"/>
        <v>6.6861829314724008E-2</v>
      </c>
      <c r="P40" s="13" t="e">
        <f si="29" t="shared"/>
        <v>#DIV/0!</v>
      </c>
      <c r="Q40" s="13">
        <f si="30" t="shared"/>
        <v>2.8768496521922052E-2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9.6047961697867668E-3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-5.6790945398184189E-2</v>
      </c>
      <c r="P41" s="13" t="e">
        <f si="29" t="shared"/>
        <v>#DIV/0!</v>
      </c>
      <c r="Q41" s="13">
        <f si="30" t="shared"/>
        <v>4.3262410755947348E-2</v>
      </c>
      <c r="R41" s="13">
        <f si="31" t="shared"/>
        <v>0</v>
      </c>
      <c r="S41" s="13">
        <f si="32" t="shared"/>
        <v>2.1135647462308794E-5</v>
      </c>
      <c r="T41" s="13" t="e">
        <f si="33" t="shared"/>
        <v>#DIV/0!</v>
      </c>
      <c r="U41" s="13">
        <f si="34" t="shared"/>
        <v>-1.4919213189776875E-2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-4.7791079322352714E-2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-2.4247071368670846E-2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0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0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0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-2.5358070746201188E-3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-6.6412415511738539E-4</v>
      </c>
      <c r="N48" s="13">
        <f si="39" t="shared"/>
        <v>7.5030280357573005E-4</v>
      </c>
      <c r="O48" s="13">
        <f si="39" t="shared"/>
        <v>1.695354944072681E-3</v>
      </c>
      <c r="P48" s="13" t="e">
        <f si="39" t="shared"/>
        <v>#DIV/0!</v>
      </c>
      <c r="Q48" s="13">
        <f si="30" t="shared"/>
        <v>-2.1528930596181849E-3</v>
      </c>
      <c r="R48" s="13">
        <f si="31" t="shared"/>
        <v>9.5739842488361204E-2</v>
      </c>
      <c r="S48" s="13">
        <f si="32" t="shared"/>
        <v>0</v>
      </c>
      <c r="T48" s="13" t="e">
        <f si="33" t="shared"/>
        <v>#DIV/0!</v>
      </c>
      <c r="U48" s="13">
        <f si="34" t="shared"/>
        <v>-1.3543548363680689E-3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1.8960730253088226E-3</v>
      </c>
      <c r="N49" s="17">
        <f si="39" t="shared"/>
        <v>5.1152472396029745E-3</v>
      </c>
      <c r="O49" s="17">
        <f si="39" t="shared"/>
        <v>-8.3721626171473322E-4</v>
      </c>
      <c r="P49" s="17" t="e">
        <f si="39" t="shared"/>
        <v>#DIV/0!</v>
      </c>
      <c r="Q49" s="17">
        <f si="30" t="shared"/>
        <v>-2.1084717878010223E-2</v>
      </c>
      <c r="R49" s="17">
        <f si="31" t="shared"/>
        <v>-9.5739842488361315E-2</v>
      </c>
      <c r="S49" s="17">
        <f si="32" t="shared"/>
        <v>-2.1135647462311447E-5</v>
      </c>
      <c r="T49" s="17" t="e">
        <f si="33" t="shared"/>
        <v>#DIV/0!</v>
      </c>
      <c r="U49" s="13">
        <f si="34" t="shared"/>
        <v>1.6671778368371637E-2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2:AF50"/>
  <sheetViews>
    <sheetView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35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57</v>
      </c>
      <c r="C3" s="31"/>
      <c r="D3" s="31"/>
      <c r="E3" s="31"/>
      <c r="F3" s="31"/>
      <c r="G3" s="31"/>
      <c r="H3" s="31"/>
      <c r="I3" s="31"/>
      <c r="J3" s="11"/>
      <c r="L3" s="3"/>
      <c r="M3" s="32" t="s">
        <v>57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730719.5996859462</v>
      </c>
      <c r="C5" s="6" t="n">
        <v>8759.8979467271</v>
      </c>
      <c r="D5" s="6" t="n">
        <v>1391.45300628</v>
      </c>
      <c r="E5" s="6" t="n">
        <v>576.23121301</v>
      </c>
      <c r="F5" s="6" t="n">
        <v>482.690029647</v>
      </c>
      <c r="G5" s="6" t="n">
        <v>0.0</v>
      </c>
      <c r="H5" s="6" t="n">
        <v>0.0</v>
      </c>
      <c r="I5" s="6" t="n">
        <v>0.0</v>
      </c>
      <c r="J5" s="6">
        <f>SUM(B5:I5)</f>
        <v>741929.87188161036</v>
      </c>
      <c r="K5" s="6"/>
      <c r="L5" t="s">
        <v>1</v>
      </c>
      <c r="M5" s="6" t="n">
        <v>541048.5035991201</v>
      </c>
      <c r="N5" s="6" t="n">
        <v>17540.090697625987</v>
      </c>
      <c r="O5" s="6" t="n">
        <v>6106.26521425579</v>
      </c>
      <c r="P5" s="6" t="n">
        <v>0.0</v>
      </c>
      <c r="Q5" s="6" t="n">
        <v>147.02751661795864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687740.48717898468</v>
      </c>
    </row>
    <row r="6" spans="1:21" x14ac:dyDescent="0.25">
      <c r="A6" t="s">
        <v>12</v>
      </c>
      <c r="B6" s="6" t="n">
        <v>0.0</v>
      </c>
      <c r="C6" s="6" t="n">
        <v>496010.0588448719</v>
      </c>
      <c r="D6" s="6" t="n">
        <v>35227.769965072</v>
      </c>
      <c r="E6" s="6" t="n">
        <v>0.0</v>
      </c>
      <c r="F6" s="6" t="n">
        <v>835.830047376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532073.65885731985</v>
      </c>
      <c r="K6" s="6"/>
      <c r="L6" t="s">
        <v>12</v>
      </c>
      <c r="M6" s="6" t="n">
        <v>0.0</v>
      </c>
      <c r="N6" s="6" t="n">
        <v>381222.433613953</v>
      </c>
      <c r="O6" s="6" t="n">
        <v>61706.10617586206</v>
      </c>
      <c r="P6" s="6" t="n">
        <v>0.0</v>
      </c>
      <c r="Q6" s="6" t="n">
        <v>2937.591376869054</v>
      </c>
      <c r="R6" s="6" t="n">
        <v>0.0</v>
      </c>
      <c r="S6" s="6" t="n">
        <v>0.0</v>
      </c>
      <c r="T6" s="6" t="n">
        <v>0.0</v>
      </c>
      <c r="U6" s="6">
        <f si="0" t="shared"/>
        <v>489510.497661934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367822.1174735082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>
        <f si="1" t="shared"/>
        <v>367822.11747350817</v>
      </c>
      <c r="K7" s="6"/>
      <c r="L7" t="s">
        <v>56</v>
      </c>
      <c r="M7" s="6" t="n">
        <v>0.0</v>
      </c>
      <c r="N7" s="6" t="n">
        <v>0.0</v>
      </c>
      <c r="O7" s="6" t="n">
        <v>303850.16296552535</v>
      </c>
      <c r="P7" s="6" t="n">
        <v>0.0</v>
      </c>
      <c r="Q7" s="6" t="n">
        <v>1315.7472120278123</v>
      </c>
      <c r="R7" s="6" t="n">
        <v>0.0</v>
      </c>
      <c r="S7" s="6" t="n">
        <v>3.4499999999999997</v>
      </c>
      <c r="T7" s="6" t="n">
        <v>0.0</v>
      </c>
      <c r="U7" s="6">
        <f si="0" t="shared"/>
        <v>298531.03667853173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983.158032612</v>
      </c>
      <c r="F8" s="6" t="n">
        <v>77355.0619351658</v>
      </c>
      <c r="G8" s="6" t="n">
        <v>0.0</v>
      </c>
      <c r="H8" s="6" t="n">
        <v>0.0</v>
      </c>
      <c r="I8" s="6" t="n">
        <v>0.0</v>
      </c>
      <c r="J8" s="6">
        <f si="1" t="shared"/>
        <v>78338.219967777797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13319.763743617548</v>
      </c>
      <c r="R8" s="6" t="n">
        <v>0.0</v>
      </c>
      <c r="S8" s="6" t="n">
        <v>0.0</v>
      </c>
      <c r="T8" s="6" t="n">
        <v>0.0</v>
      </c>
      <c r="U8" s="6">
        <f si="0" t="shared"/>
        <v>20399.416304076534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65.3094393907</v>
      </c>
      <c r="G9" s="6" t="n">
        <v>0.0</v>
      </c>
      <c r="H9" s="6" t="n">
        <v>0.0</v>
      </c>
      <c r="I9" s="6" t="n">
        <v>0.0</v>
      </c>
      <c r="J9" s="6">
        <f si="1" t="shared"/>
        <v>65.309439390700007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1" t="shared"/>
        <v>0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284.563543833</v>
      </c>
      <c r="C14" s="6" t="n">
        <v>96.3867567495</v>
      </c>
      <c r="D14" s="6" t="n">
        <v>0.0</v>
      </c>
      <c r="E14" s="6" t="n">
        <v>0.0</v>
      </c>
      <c r="F14" s="6" t="n">
        <v>0.0</v>
      </c>
      <c r="G14" s="6" t="n">
        <v>7785.3744466986</v>
      </c>
      <c r="H14" s="6" t="n">
        <v>0.0</v>
      </c>
      <c r="I14" s="6" t="n">
        <v>0.0</v>
      </c>
      <c r="J14" s="6">
        <f si="1" t="shared"/>
        <v>8166.3247472810999</v>
      </c>
      <c r="K14" s="6"/>
      <c r="L14" t="s">
        <v>4</v>
      </c>
      <c r="M14" s="6" t="n">
        <v>892.3470132348425</v>
      </c>
      <c r="N14" s="6" t="n">
        <v>538.6018426586361</v>
      </c>
      <c r="O14" s="6" t="n">
        <v>331.49637243364947</v>
      </c>
      <c r="P14" s="6" t="n">
        <v>0.0</v>
      </c>
      <c r="Q14" s="6" t="n">
        <v>178.89714182151462</v>
      </c>
      <c r="R14" s="6" t="n">
        <v>11004.758438627216</v>
      </c>
      <c r="S14" s="6" t="n">
        <v>0.0</v>
      </c>
      <c r="T14" s="6" t="n">
        <v>0.0</v>
      </c>
      <c r="U14" s="6">
        <f si="0" t="shared"/>
        <v>16091.315942662568</v>
      </c>
    </row>
    <row r="15" spans="1:21" x14ac:dyDescent="0.25">
      <c r="A15" s="4" t="s">
        <v>5</v>
      </c>
      <c r="B15" s="10" t="n">
        <v>8246.9502218851</v>
      </c>
      <c r="C15" s="10" t="n">
        <v>7917.644623086</v>
      </c>
      <c r="D15" s="10" t="n">
        <v>12535.3637717784</v>
      </c>
      <c r="E15" s="10" t="n">
        <v>169.304393408</v>
      </c>
      <c r="F15" s="10" t="n">
        <v>41665.3345938309</v>
      </c>
      <c r="G15" s="10" t="n">
        <v>96.3164214546</v>
      </c>
      <c r="H15" s="10" t="n">
        <v>175896.8382713744</v>
      </c>
      <c r="I15" s="10" t="n">
        <v>0.0</v>
      </c>
      <c r="J15" s="6">
        <f si="1" t="shared"/>
        <v>246527.7522968174</v>
      </c>
      <c r="K15" s="6"/>
      <c r="L15" s="4" t="s">
        <v>5</v>
      </c>
      <c r="M15" s="8" t="n">
        <v>11361.184581525134</v>
      </c>
      <c r="N15" s="8" t="n">
        <v>3864.8659561144104</v>
      </c>
      <c r="O15" s="8" t="n">
        <v>2290.8358753314806</v>
      </c>
      <c r="P15" s="8" t="n">
        <v>0.0</v>
      </c>
      <c r="Q15" s="8" t="n">
        <v>2695.521220360755</v>
      </c>
      <c r="R15" s="8" t="n">
        <v>707.7118381162517</v>
      </c>
      <c r="S15" s="8" t="n">
        <v>194705.41610578954</v>
      </c>
      <c r="T15" s="8" t="n">
        <v>0.0</v>
      </c>
      <c r="U15" s="6">
        <f si="0" t="shared"/>
        <v>266307.02033827861</v>
      </c>
    </row>
    <row ht="15.75" r="16" spans="1:21" thickBot="1" x14ac:dyDescent="0.3">
      <c r="A16" s="12" t="s">
        <v>7</v>
      </c>
      <c r="B16" s="16">
        <f ref="B16:J16" si="2" t="shared">SUM(B5:B15)</f>
        <v>739251.11345166434</v>
      </c>
      <c r="C16" s="16">
        <f si="2" t="shared"/>
        <v>512783.98817143444</v>
      </c>
      <c r="D16" s="16">
        <f si="2" t="shared"/>
        <v>416976.70421663858</v>
      </c>
      <c r="E16" s="16">
        <f si="2" t="shared"/>
        <v>1728.6936390300002</v>
      </c>
      <c r="F16" s="16">
        <f si="2" t="shared"/>
        <v>120404.22604541038</v>
      </c>
      <c r="G16" s="16">
        <f si="2" t="shared"/>
        <v>7881.6908681532004</v>
      </c>
      <c r="H16" s="16">
        <f si="2" t="shared"/>
        <v>175896.83827137441</v>
      </c>
      <c r="I16" s="16">
        <f si="2" t="shared"/>
        <v>0</v>
      </c>
      <c r="J16" s="16">
        <f si="2" t="shared"/>
        <v>1974923.2546637056</v>
      </c>
      <c r="L16" s="9" t="s">
        <v>7</v>
      </c>
      <c r="M16" s="16">
        <f ref="M16:U16" si="3" t="shared">SUM(M5:M15)</f>
        <v>676186.6521330023</v>
      </c>
      <c r="N16" s="16">
        <f si="3" t="shared"/>
        <v>450016.9011167881</v>
      </c>
      <c r="O16" s="16">
        <f si="3" t="shared"/>
        <v>366200.87549495086</v>
      </c>
      <c r="P16" s="16">
        <f si="3" t="shared"/>
        <v>0</v>
      </c>
      <c r="Q16" s="16">
        <f si="3" t="shared"/>
        <v>31361.144893247932</v>
      </c>
      <c r="R16" s="16">
        <f si="3" t="shared"/>
        <v>14756.42798863118</v>
      </c>
      <c r="S16" s="16">
        <f si="3" t="shared"/>
        <v>240057.77247784767</v>
      </c>
      <c r="T16" s="16">
        <f si="3" t="shared"/>
        <v>0</v>
      </c>
      <c r="U16" s="16">
        <f si="3" t="shared"/>
        <v>1778579.7741044681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36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57</v>
      </c>
      <c r="C20" s="31"/>
      <c r="D20" s="31"/>
      <c r="E20" s="31"/>
      <c r="F20" s="31"/>
      <c r="G20" s="31"/>
      <c r="H20" s="31"/>
      <c r="I20" s="31"/>
      <c r="J20" s="11"/>
      <c r="L20" s="3"/>
      <c r="M20" s="32" t="s">
        <v>57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0.98845924800047535</v>
      </c>
      <c r="C22" s="13">
        <f si="4" t="shared"/>
        <v>1.7083017701009968E-2</v>
      </c>
      <c r="D22" s="13">
        <f si="4" t="shared"/>
        <v>3.3370041832290853E-3</v>
      </c>
      <c r="E22" s="13">
        <f si="4" t="shared"/>
        <v>0.33333333333333331</v>
      </c>
      <c r="F22" s="13">
        <f si="4" t="shared"/>
        <v>4.008912689368177E-3</v>
      </c>
      <c r="G22" s="13">
        <f si="4" t="shared"/>
        <v>0</v>
      </c>
      <c r="H22" s="13">
        <f si="4" t="shared"/>
        <v>0</v>
      </c>
      <c r="I22" s="13" t="e">
        <f si="4" t="shared"/>
        <v>#DIV/0!</v>
      </c>
      <c r="J22" s="13">
        <f si="4" t="shared"/>
        <v>0.37567529276369166</v>
      </c>
      <c r="K22" s="6"/>
      <c r="L22" t="s">
        <v>1</v>
      </c>
      <c r="M22" s="13">
        <f ref="M22:P22" si="5" t="shared">M5/M$16</f>
        <v>0.978016183779291</v>
      </c>
      <c r="N22" s="13">
        <f si="5" t="shared"/>
        <v>4.4826136601739695E-2</v>
      </c>
      <c r="O22" s="13">
        <f si="5" t="shared"/>
        <v>1.6415368481910067E-2</v>
      </c>
      <c r="P22" s="13" t="e">
        <f si="5" t="shared"/>
        <v>#DIV/0!</v>
      </c>
      <c r="Q22" s="13">
        <f ref="Q22:U33" si="6" t="shared">Q5/Q$16</f>
        <v>7.4983469503679834E-3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0.386679584009814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0.96728850800045907</v>
      </c>
      <c r="D23" s="13">
        <f si="7" t="shared"/>
        <v>8.4483784366930853E-2</v>
      </c>
      <c r="E23" s="13">
        <f si="7" t="shared"/>
        <v>0</v>
      </c>
      <c r="F23" s="13">
        <f si="7" t="shared"/>
        <v>6.9418663682183981E-3</v>
      </c>
      <c r="G23" s="13">
        <f si="7" t="shared"/>
        <v>0</v>
      </c>
      <c r="H23" s="13">
        <f si="7" t="shared"/>
        <v>0</v>
      </c>
      <c r="I23" s="13" t="e">
        <f si="7" t="shared"/>
        <v>#DIV/0!</v>
      </c>
      <c r="J23" s="13">
        <f si="7" t="shared"/>
        <v>0.26941485326118281</v>
      </c>
      <c r="K23" s="6"/>
      <c r="L23" t="s">
        <v>12</v>
      </c>
      <c r="M23" s="13">
        <f ref="M23:P23" si="8" t="shared">M6/M$16</f>
        <v>0</v>
      </c>
      <c r="N23" s="13">
        <f si="8" t="shared"/>
        <v>0.94391457679752411</v>
      </c>
      <c r="O23" s="13">
        <f si="8" t="shared"/>
        <v>0.16498022896843997</v>
      </c>
      <c r="P23" s="13" t="e">
        <f si="8" t="shared"/>
        <v>#DIV/0!</v>
      </c>
      <c r="Q23" s="13">
        <f si="6" t="shared"/>
        <v>0.13765698349478991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0.27522549440235661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0.88211670760965977</v>
      </c>
      <c r="E24" s="13">
        <f si="9" t="shared"/>
        <v>0</v>
      </c>
      <c r="F24" s="13">
        <f si="9" t="shared"/>
        <v>0</v>
      </c>
      <c r="G24" s="13">
        <f si="9" t="shared"/>
        <v>0</v>
      </c>
      <c r="H24" s="13">
        <f si="9" t="shared"/>
        <v>0</v>
      </c>
      <c r="I24" s="13" t="e">
        <f si="9" t="shared"/>
        <v>#DIV/0!</v>
      </c>
      <c r="J24" s="13">
        <f si="9" t="shared"/>
        <v>0.18624628405428431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0.81075520857156314</v>
      </c>
      <c r="P24" s="13" t="e">
        <f si="10" t="shared"/>
        <v>#DIV/0!</v>
      </c>
      <c r="Q24" s="13">
        <f si="6" t="shared"/>
        <v>5.2031566229112154E-2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0.16784798805487652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0.5687289004913948</v>
      </c>
      <c r="F25" s="13">
        <f si="11" t="shared"/>
        <v>0.64246135269364535</v>
      </c>
      <c r="G25" s="13">
        <f si="11" t="shared"/>
        <v>0</v>
      </c>
      <c r="H25" s="13">
        <f si="11" t="shared"/>
        <v>0</v>
      </c>
      <c r="I25" s="13" t="e">
        <f si="11" t="shared"/>
        <v>#DIV/0!</v>
      </c>
      <c r="J25" s="13">
        <f si="11" t="shared"/>
        <v>3.966646287787897E-2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0.65046784399980684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1.1469497517674086E-2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5.4241816533971644E-4</v>
      </c>
      <c r="G26" s="13">
        <f si="13" t="shared"/>
        <v>0</v>
      </c>
      <c r="H26" s="13">
        <f si="13" t="shared"/>
        <v>0</v>
      </c>
      <c r="I26" s="13" t="e">
        <f si="13" t="shared"/>
        <v>#DIV/0!</v>
      </c>
      <c r="J26" s="13">
        <f si="13" t="shared"/>
        <v>3.3069355599755213E-5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 t="e">
        <f si="15" t="shared"/>
        <v>#DIV/0!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0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 t="e">
        <f si="17" t="shared"/>
        <v>#DIV/0!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 t="e">
        <f si="19" t="shared"/>
        <v>#DIV/0!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 t="e">
        <f si="21" t="shared"/>
        <v>#DIV/0!</v>
      </c>
      <c r="J30" s="13">
        <f si="21" t="shared"/>
        <v>0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3.8493488701604246E-4</v>
      </c>
      <c r="C31" s="13">
        <f si="23" t="shared"/>
        <v>1.8796756328763503E-4</v>
      </c>
      <c r="D31" s="13">
        <f si="23" t="shared"/>
        <v>0</v>
      </c>
      <c r="E31" s="13">
        <f si="23" t="shared"/>
        <v>0</v>
      </c>
      <c r="F31" s="13">
        <f si="23" t="shared"/>
        <v>0</v>
      </c>
      <c r="G31" s="13">
        <f si="23" t="shared"/>
        <v>0.98777972606819975</v>
      </c>
      <c r="H31" s="13">
        <f si="23" t="shared"/>
        <v>0</v>
      </c>
      <c r="I31" s="13" t="e">
        <f si="23" t="shared"/>
        <v>#DIV/0!</v>
      </c>
      <c r="J31" s="13">
        <f si="23" t="shared"/>
        <v>4.1350086531193745E-3</v>
      </c>
      <c r="K31" s="6"/>
      <c r="L31" t="s">
        <v>4</v>
      </c>
      <c r="M31" s="13">
        <f ref="M31:P31" si="24" t="shared">M14/M$16</f>
        <v>1.3092195028677972E-3</v>
      </c>
      <c r="N31" s="13">
        <f si="24" t="shared"/>
        <v>1.2738172584253779E-3</v>
      </c>
      <c r="O31" s="13">
        <f si="24" t="shared"/>
        <v>9.9398516564508008E-4</v>
      </c>
      <c r="P31" s="13" t="e">
        <f si="24" t="shared"/>
        <v>#DIV/0!</v>
      </c>
      <c r="Q31" s="13">
        <f si="6" t="shared"/>
        <v>1.053341595694174E-2</v>
      </c>
      <c r="R31" s="13">
        <f si="6" t="shared"/>
        <v>0.94456881324460085</v>
      </c>
      <c r="S31" s="13">
        <f si="6" t="shared"/>
        <v>0</v>
      </c>
      <c r="T31" s="13" t="e">
        <f si="6" t="shared"/>
        <v>#DIV/0!</v>
      </c>
      <c r="U31" s="13">
        <f si="6" t="shared"/>
        <v>9.0472837805460251E-3</v>
      </c>
    </row>
    <row r="32" spans="1:21" x14ac:dyDescent="0.25">
      <c r="A32" s="4" t="s">
        <v>5</v>
      </c>
      <c r="B32" s="14">
        <f ref="B32:J32" si="25" t="shared">B15/B$16</f>
        <v>1.1155817112508581E-2</v>
      </c>
      <c r="C32" s="14">
        <f si="25" t="shared"/>
        <v>1.544050673524339E-2</v>
      </c>
      <c r="D32" s="14">
        <f si="25" t="shared"/>
        <v>3.0062503840180246E-2</v>
      </c>
      <c r="E32" s="14">
        <f si="25" t="shared"/>
        <v>9.7937766175271876E-2</v>
      </c>
      <c r="F32" s="14">
        <f si="25" t="shared"/>
        <v>0.34604545008342852</v>
      </c>
      <c r="G32" s="14">
        <f si="25" t="shared"/>
        <v>1.222027393180017E-2</v>
      </c>
      <c r="H32" s="14">
        <f si="25" t="shared"/>
        <v>1</v>
      </c>
      <c r="I32" s="14" t="e">
        <f si="25" t="shared"/>
        <v>#DIV/0!</v>
      </c>
      <c r="J32" s="14">
        <f si="25" t="shared"/>
        <v>0.12482902903424301</v>
      </c>
      <c r="K32" s="6"/>
      <c r="L32" s="4" t="s">
        <v>5</v>
      </c>
      <c r="M32" s="14">
        <f ref="M32:P32" si="26" t="shared">M15/M$16</f>
        <v>2.0674596717841241E-2</v>
      </c>
      <c r="N32" s="14">
        <f si="26" t="shared"/>
        <v>9.9854693423107772E-3</v>
      </c>
      <c r="O32" s="14">
        <f si="26" t="shared"/>
        <v>6.8552088124418185E-3</v>
      </c>
      <c r="P32" s="14" t="e">
        <f si="26" t="shared"/>
        <v>#DIV/0!</v>
      </c>
      <c r="Q32" s="14">
        <f si="6" t="shared"/>
        <v>0.14181184336898137</v>
      </c>
      <c r="R32" s="14">
        <f si="6" t="shared"/>
        <v>5.5431186755399216E-2</v>
      </c>
      <c r="S32" s="14">
        <f si="6" t="shared"/>
        <v>1</v>
      </c>
      <c r="T32" s="14" t="e">
        <f si="6" t="shared"/>
        <v>#DIV/0!</v>
      </c>
      <c r="U32" s="14">
        <f si="6" t="shared"/>
        <v>0.14973015223473277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 t="e">
        <f si="27" t="shared"/>
        <v>#DIV/0!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21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2" t="s">
        <v>57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-1.0443064221184351E-2</v>
      </c>
      <c r="N39" s="13">
        <f si="29" t="shared"/>
        <v>2.7743118900729728E-2</v>
      </c>
      <c r="O39" s="13">
        <f si="29" t="shared"/>
        <v>1.3078364298680981E-2</v>
      </c>
      <c r="P39" s="13" t="e">
        <f si="29" t="shared"/>
        <v>#DIV/0!</v>
      </c>
      <c r="Q39" s="13">
        <f ref="Q39:Q50" si="30" t="shared">Q22-F22</f>
        <v>3.4894342609998064E-3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1.1004291246122344E-2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-2.3373931202934961E-2</v>
      </c>
      <c r="O40" s="13">
        <f si="29" t="shared"/>
        <v>8.0496444601509121E-2</v>
      </c>
      <c r="P40" s="13" t="e">
        <f si="29" t="shared"/>
        <v>#DIV/0!</v>
      </c>
      <c r="Q40" s="13">
        <f si="30" t="shared"/>
        <v>0.13071511712657152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5.8106411411738002E-3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-7.1361499038096632E-2</v>
      </c>
      <c r="P41" s="13" t="e">
        <f si="29" t="shared"/>
        <v>#DIV/0!</v>
      </c>
      <c r="Q41" s="13">
        <f si="30" t="shared"/>
        <v>5.2031566229112154E-2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-1.8398295999407788E-2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8.0064913061614895E-3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-2.8196965360204884E-2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-5.4241816533971644E-4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-3.3069355599755213E-5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0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0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0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9.2428461585175484E-4</v>
      </c>
      <c r="N48" s="13">
        <f si="39" t="shared"/>
        <v>1.0858496951377428E-3</v>
      </c>
      <c r="O48" s="13">
        <f si="39" t="shared"/>
        <v>9.9398516564508008E-4</v>
      </c>
      <c r="P48" s="13" t="e">
        <f si="39" t="shared"/>
        <v>#DIV/0!</v>
      </c>
      <c r="Q48" s="13">
        <f si="30" t="shared"/>
        <v>1.053341595694174E-2</v>
      </c>
      <c r="R48" s="13">
        <f si="31" t="shared"/>
        <v>-4.3210912823598902E-2</v>
      </c>
      <c r="S48" s="13">
        <f si="32" t="shared"/>
        <v>0</v>
      </c>
      <c r="T48" s="13" t="e">
        <f si="33" t="shared"/>
        <v>#DIV/0!</v>
      </c>
      <c r="U48" s="13">
        <f si="34" t="shared"/>
        <v>4.9122751274266506E-3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9.5187796053326605E-3</v>
      </c>
      <c r="N49" s="17">
        <f si="39" t="shared"/>
        <v>-5.4550373929326129E-3</v>
      </c>
      <c r="O49" s="17">
        <f si="39" t="shared"/>
        <v>-2.3207295027738425E-2</v>
      </c>
      <c r="P49" s="17" t="e">
        <f si="39" t="shared"/>
        <v>#DIV/0!</v>
      </c>
      <c r="Q49" s="17">
        <f si="30" t="shared"/>
        <v>-0.20423360671444715</v>
      </c>
      <c r="R49" s="17">
        <f si="31" t="shared"/>
        <v>4.3210912823599047E-2</v>
      </c>
      <c r="S49" s="17">
        <f si="32" t="shared"/>
        <v>0</v>
      </c>
      <c r="T49" s="17" t="e">
        <f si="33" t="shared"/>
        <v>#DIV/0!</v>
      </c>
      <c r="U49" s="13">
        <f si="34" t="shared"/>
        <v>2.4901123200489761E-2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AF50"/>
  <sheetViews>
    <sheetView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38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45</v>
      </c>
      <c r="C3" s="32"/>
      <c r="D3" s="32"/>
      <c r="E3" s="32"/>
      <c r="F3" s="32"/>
      <c r="G3" s="32"/>
      <c r="H3" s="32"/>
      <c r="I3" s="32"/>
      <c r="J3" s="11"/>
      <c r="L3" s="3"/>
      <c r="M3" s="31" t="s">
        <v>45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140661.5331899269</v>
      </c>
      <c r="C5" s="6" t="n">
        <v>6655.039925576</v>
      </c>
      <c r="D5" s="6" t="n">
        <v>368.204446166</v>
      </c>
      <c r="E5" s="6" t="n">
        <v>576.648224778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148261.42578644693</v>
      </c>
      <c r="K5" s="6"/>
      <c r="L5" t="s">
        <v>1</v>
      </c>
      <c r="M5" s="6" t="n">
        <v>103936.70043953418</v>
      </c>
      <c r="N5" s="6" t="n">
        <v>11091.571005017766</v>
      </c>
      <c r="O5" s="6" t="n">
        <v>3516.0174651459224</v>
      </c>
      <c r="P5" s="6" t="n">
        <v>0.0</v>
      </c>
      <c r="Q5" s="6" t="n">
        <v>92.7847075733511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135975.24208952417</v>
      </c>
    </row>
    <row r="6" spans="1:21" x14ac:dyDescent="0.25">
      <c r="A6" t="s">
        <v>12</v>
      </c>
      <c r="B6" s="6" t="n">
        <v>0.0</v>
      </c>
      <c r="C6" s="6" t="n">
        <v>227764.4292491815</v>
      </c>
      <c r="D6" s="6" t="n">
        <v>1344.7482971880002</v>
      </c>
      <c r="E6" s="6" t="n">
        <v>0.0</v>
      </c>
      <c r="F6" s="6" t="n">
        <v>287.3385349642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229396.51608133368</v>
      </c>
      <c r="K6" s="6"/>
      <c r="L6" t="s">
        <v>12</v>
      </c>
      <c r="M6" s="6" t="n">
        <v>0.0</v>
      </c>
      <c r="N6" s="6" t="n">
        <v>168735.79766151868</v>
      </c>
      <c r="O6" s="6" t="n">
        <v>23696.51329889275</v>
      </c>
      <c r="P6" s="6" t="n">
        <v>0.0</v>
      </c>
      <c r="Q6" s="6" t="n">
        <v>1185.308067366129</v>
      </c>
      <c r="R6" s="6" t="n">
        <v>0.0</v>
      </c>
      <c r="S6" s="6" t="n">
        <v>0.0</v>
      </c>
      <c r="T6" s="6" t="n">
        <v>0.0</v>
      </c>
      <c r="U6" s="6">
        <f si="0" t="shared"/>
        <v>208764.82193465694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102340.0135417199</v>
      </c>
      <c r="E7" s="6" t="n">
        <v>0.0</v>
      </c>
      <c r="F7" s="6" t="n">
        <v>248.97111705</v>
      </c>
      <c r="G7" s="6" t="n">
        <v>0.0</v>
      </c>
      <c r="H7" s="6" t="n">
        <v>0.0</v>
      </c>
      <c r="I7" s="6" t="n">
        <v>0.0</v>
      </c>
      <c r="J7" s="6">
        <f si="1" t="shared"/>
        <v>102588.9846587699</v>
      </c>
      <c r="K7" s="6"/>
      <c r="L7" t="s">
        <v>56</v>
      </c>
      <c r="M7" s="6" t="n">
        <v>0.0</v>
      </c>
      <c r="N7" s="6" t="n">
        <v>0.0</v>
      </c>
      <c r="O7" s="6" t="n">
        <v>119279.30647047983</v>
      </c>
      <c r="P7" s="6" t="n">
        <v>0.0</v>
      </c>
      <c r="Q7" s="6" t="n">
        <v>499.2230873511141</v>
      </c>
      <c r="R7" s="6" t="n">
        <v>0.0</v>
      </c>
      <c r="S7" s="6" t="n">
        <v>0.0</v>
      </c>
      <c r="T7" s="6" t="n">
        <v>0.0</v>
      </c>
      <c r="U7" s="6">
        <f si="0" t="shared"/>
        <v>115296.22373750198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864.9723371670001</v>
      </c>
      <c r="F8" s="6" t="n">
        <v>25218.636807620398</v>
      </c>
      <c r="G8" s="6" t="n">
        <v>0.0</v>
      </c>
      <c r="H8" s="6" t="n">
        <v>0.0</v>
      </c>
      <c r="I8" s="6" t="n">
        <v>0.0</v>
      </c>
      <c r="J8" s="6">
        <f si="1" t="shared"/>
        <v>26083.609144787399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5256.104203465284</v>
      </c>
      <c r="R8" s="6" t="n">
        <v>0.0</v>
      </c>
      <c r="S8" s="6" t="n">
        <v>0.0</v>
      </c>
      <c r="T8" s="6" t="n">
        <v>0.0</v>
      </c>
      <c r="U8" s="6">
        <f si="0" t="shared"/>
        <v>7024.9607670353389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1" t="shared"/>
        <v>0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9355.10449488</v>
      </c>
      <c r="E14" s="6" t="n">
        <v>0.0</v>
      </c>
      <c r="F14" s="6" t="n">
        <v>154.9843497444</v>
      </c>
      <c r="G14" s="6" t="n">
        <v>7262.5157185103</v>
      </c>
      <c r="H14" s="6" t="n">
        <v>0.0</v>
      </c>
      <c r="I14" s="6" t="n">
        <v>0.0</v>
      </c>
      <c r="J14" s="6">
        <f si="1" t="shared"/>
        <v>16772.604563134701</v>
      </c>
      <c r="K14" s="6"/>
      <c r="L14" t="s">
        <v>4</v>
      </c>
      <c r="M14" s="6" t="n">
        <v>172.76313982811928</v>
      </c>
      <c r="N14" s="6" t="n">
        <v>225.19399325068767</v>
      </c>
      <c r="O14" s="6" t="n">
        <v>150.0069122080625</v>
      </c>
      <c r="P14" s="6" t="n">
        <v>0.0</v>
      </c>
      <c r="Q14" s="6" t="n">
        <v>69.95629283275812</v>
      </c>
      <c r="R14" s="6" t="n">
        <v>1524.1474336295016</v>
      </c>
      <c r="S14" s="6" t="n">
        <v>0.0</v>
      </c>
      <c r="T14" s="6" t="n">
        <v>0.0</v>
      </c>
      <c r="U14" s="6">
        <f si="0" t="shared"/>
        <v>2378.522734123444</v>
      </c>
    </row>
    <row r="15" spans="1:21" x14ac:dyDescent="0.25">
      <c r="A15" s="4" t="s">
        <v>5</v>
      </c>
      <c r="B15" s="10" t="n">
        <v>229.46485907099998</v>
      </c>
      <c r="C15" s="10" t="n">
        <v>2618.0333936714</v>
      </c>
      <c r="D15" s="10" t="n">
        <v>3365.515560164</v>
      </c>
      <c r="E15" s="10" t="n">
        <v>0.0</v>
      </c>
      <c r="F15" s="10" t="n">
        <v>3753.8568361770003</v>
      </c>
      <c r="G15" s="10" t="n">
        <v>1578.8049141098</v>
      </c>
      <c r="H15" s="10" t="n">
        <v>75599.4289508704</v>
      </c>
      <c r="I15" s="10" t="n">
        <v>0.0</v>
      </c>
      <c r="J15" s="6">
        <f si="1" t="shared"/>
        <v>87145.104514063598</v>
      </c>
      <c r="K15" s="6"/>
      <c r="L15" s="4" t="s">
        <v>5</v>
      </c>
      <c r="M15" s="8" t="n">
        <v>2137.668186944212</v>
      </c>
      <c r="N15" s="8" t="n">
        <v>1893.054087495856</v>
      </c>
      <c r="O15" s="8" t="n">
        <v>1008.8373757620285</v>
      </c>
      <c r="P15" s="8" t="n">
        <v>0.0</v>
      </c>
      <c r="Q15" s="8" t="n">
        <v>919.2863413801463</v>
      </c>
      <c r="R15" s="8" t="n">
        <v>101.16110445051628</v>
      </c>
      <c r="S15" s="8" t="n">
        <v>86797.86913349123</v>
      </c>
      <c r="T15" s="8" t="n">
        <v>0.0</v>
      </c>
      <c r="U15" s="6">
        <f si="0" t="shared"/>
        <v>103552.99030609285</v>
      </c>
    </row>
    <row ht="15.75" r="16" spans="1:21" thickBot="1" x14ac:dyDescent="0.3">
      <c r="A16" s="12" t="s">
        <v>7</v>
      </c>
      <c r="B16" s="16">
        <f ref="B16:J16" si="2" t="shared">SUM(B5:B15)</f>
        <v>140890.99804899792</v>
      </c>
      <c r="C16" s="16">
        <f si="2" t="shared"/>
        <v>237037.5025684289</v>
      </c>
      <c r="D16" s="16">
        <f si="2" t="shared"/>
        <v>116773.58634011791</v>
      </c>
      <c r="E16" s="16">
        <f si="2" t="shared"/>
        <v>1441.6205619450002</v>
      </c>
      <c r="F16" s="16">
        <f si="2" t="shared"/>
        <v>29663.787645556</v>
      </c>
      <c r="G16" s="16">
        <f si="2" t="shared"/>
        <v>8841.3206326200998</v>
      </c>
      <c r="H16" s="16">
        <f si="2" t="shared"/>
        <v>75599.428950870395</v>
      </c>
      <c r="I16" s="16">
        <f si="2" t="shared"/>
        <v>0</v>
      </c>
      <c r="J16" s="16">
        <f si="2" t="shared"/>
        <v>610248.24474853626</v>
      </c>
      <c r="L16" s="9" t="s">
        <v>7</v>
      </c>
      <c r="M16" s="16">
        <f ref="M16:U16" si="3" t="shared">SUM(M5:M15)</f>
        <v>123008.55064493994</v>
      </c>
      <c r="N16" s="16">
        <f si="3" t="shared"/>
        <v>199144.95175971577</v>
      </c>
      <c r="O16" s="16">
        <f si="3" t="shared"/>
        <v>142006.7761018126</v>
      </c>
      <c r="P16" s="16">
        <f si="3" t="shared"/>
        <v>0</v>
      </c>
      <c r="Q16" s="16">
        <f si="3" t="shared"/>
        <v>10956.736766428763</v>
      </c>
      <c r="R16" s="16">
        <f si="3" t="shared"/>
        <v>1819.6482170964182</v>
      </c>
      <c r="S16" s="16">
        <f si="3" t="shared"/>
        <v>96056.098078941257</v>
      </c>
      <c r="T16" s="16">
        <f si="3" t="shared"/>
        <v>0</v>
      </c>
      <c r="U16" s="16">
        <f si="3" t="shared"/>
        <v>572992.76156893477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37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45</v>
      </c>
      <c r="C20" s="32"/>
      <c r="D20" s="32"/>
      <c r="E20" s="32"/>
      <c r="F20" s="32"/>
      <c r="G20" s="32"/>
      <c r="H20" s="32"/>
      <c r="I20" s="32"/>
      <c r="J20" s="11"/>
      <c r="L20" s="3"/>
      <c r="M20" s="31" t="s">
        <v>45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0.99837133058713079</v>
      </c>
      <c r="C22" s="13">
        <f si="4" t="shared"/>
        <v>2.8075894546074193E-2</v>
      </c>
      <c r="D22" s="13">
        <f si="4" t="shared"/>
        <v>3.1531483934522471E-3</v>
      </c>
      <c r="E22" s="13">
        <f si="4" t="shared"/>
        <v>0.39999999999999991</v>
      </c>
      <c r="F22" s="13">
        <f si="4" t="shared"/>
        <v>0</v>
      </c>
      <c r="G22" s="13">
        <f si="4" t="shared"/>
        <v>0</v>
      </c>
      <c r="H22" s="13">
        <f si="4" t="shared"/>
        <v>0</v>
      </c>
      <c r="I22" s="13" t="e">
        <f si="4" t="shared"/>
        <v>#DIV/0!</v>
      </c>
      <c r="J22" s="13">
        <f si="4" t="shared"/>
        <v>0.24295264601300198</v>
      </c>
      <c r="K22" s="6"/>
      <c r="L22" t="s">
        <v>1</v>
      </c>
      <c r="M22" s="13">
        <f ref="M22:P22" si="5" t="shared">M5/M$16</f>
        <v>0.97854968118790198</v>
      </c>
      <c r="N22" s="13">
        <f si="5" t="shared"/>
        <v>6.2450452236497526E-2</v>
      </c>
      <c r="O22" s="13">
        <f si="5" t="shared"/>
        <v>2.1517364147375723E-2</v>
      </c>
      <c r="P22" s="13" t="e">
        <f si="5" t="shared"/>
        <v>#DIV/0!</v>
      </c>
      <c r="Q22" s="13">
        <f ref="Q22:U33" si="6" t="shared">Q5/Q$16</f>
        <v>1.030966282690539E-2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0.23730708520157362</v>
      </c>
    </row>
    <row r="23" spans="1:21" x14ac:dyDescent="0.25">
      <c r="A23" t="s">
        <v>9</v>
      </c>
      <c r="B23" s="13">
        <f ref="B23:J23" si="7" t="shared">B6/B$16</f>
        <v>0</v>
      </c>
      <c r="C23" s="13">
        <f si="7" t="shared"/>
        <v>0.96087929876593936</v>
      </c>
      <c r="D23" s="13">
        <f si="7" t="shared"/>
        <v>1.1515860215779019E-2</v>
      </c>
      <c r="E23" s="13">
        <f si="7" t="shared"/>
        <v>0</v>
      </c>
      <c r="F23" s="13">
        <f si="7" t="shared"/>
        <v>9.6865086278773594E-3</v>
      </c>
      <c r="G23" s="13">
        <f si="7" t="shared"/>
        <v>0</v>
      </c>
      <c r="H23" s="13">
        <f si="7" t="shared"/>
        <v>0</v>
      </c>
      <c r="I23" s="13" t="e">
        <f si="7" t="shared"/>
        <v>#DIV/0!</v>
      </c>
      <c r="J23" s="13">
        <f si="7" t="shared"/>
        <v>0.37590688388765564</v>
      </c>
      <c r="K23" s="6"/>
      <c r="L23" t="s">
        <v>12</v>
      </c>
      <c r="M23" s="13">
        <f ref="M23:P23" si="8" t="shared">M6/M$16</f>
        <v>0</v>
      </c>
      <c r="N23" s="13">
        <f si="8" t="shared"/>
        <v>0.92465411234697892</v>
      </c>
      <c r="O23" s="13">
        <f si="8" t="shared"/>
        <v>0.16338713807693522</v>
      </c>
      <c r="P23" s="13" t="e">
        <f si="8" t="shared"/>
        <v>#DIV/0!</v>
      </c>
      <c r="Q23" s="13">
        <f si="6" t="shared"/>
        <v>0.12983268945973053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0.36434111551955645</v>
      </c>
    </row>
    <row r="24" spans="1:21" x14ac:dyDescent="0.25">
      <c r="A24" t="s">
        <v>10</v>
      </c>
      <c r="B24" s="13">
        <f ref="B24:J24" si="9" t="shared">B7/B$16</f>
        <v>0</v>
      </c>
      <c r="C24" s="13">
        <f si="9" t="shared"/>
        <v>0</v>
      </c>
      <c r="D24" s="13">
        <f si="9" t="shared"/>
        <v>0.87639693829083587</v>
      </c>
      <c r="E24" s="13">
        <f si="9" t="shared"/>
        <v>0</v>
      </c>
      <c r="F24" s="13">
        <f si="9" t="shared"/>
        <v>8.3930993582102091E-3</v>
      </c>
      <c r="G24" s="13">
        <f si="9" t="shared"/>
        <v>0</v>
      </c>
      <c r="H24" s="13">
        <f si="9" t="shared"/>
        <v>0</v>
      </c>
      <c r="I24" s="13" t="e">
        <f si="9" t="shared"/>
        <v>#DIV/0!</v>
      </c>
      <c r="J24" s="13">
        <f si="9" t="shared"/>
        <v>0.16811024946256672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0.80669425496745462</v>
      </c>
      <c r="P24" s="13" t="e">
        <f si="10" t="shared"/>
        <v>#DIV/0!</v>
      </c>
      <c r="Q24" s="13">
        <f si="6" t="shared"/>
        <v>6.7554172880012156E-2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0.20121759203694772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0.6</v>
      </c>
      <c r="F25" s="13">
        <f si="11" t="shared"/>
        <v>0.85014891250404634</v>
      </c>
      <c r="G25" s="13">
        <f si="11" t="shared"/>
        <v>0</v>
      </c>
      <c r="H25" s="13">
        <f si="11" t="shared"/>
        <v>0</v>
      </c>
      <c r="I25" s="13" t="e">
        <f si="11" t="shared"/>
        <v>#DIV/0!</v>
      </c>
      <c r="J25" s="13">
        <f si="11" t="shared"/>
        <v>4.2742620514272217E-2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0.6411544711523679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1.2260121310782371E-2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 t="e">
        <f si="13" t="shared"/>
        <v>#DIV/0!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 t="e">
        <f si="15" t="shared"/>
        <v>#DIV/0!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0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 t="e">
        <f si="17" t="shared"/>
        <v>#DIV/0!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 t="e">
        <f si="19" t="shared"/>
        <v>#DIV/0!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 t="e">
        <f si="21" t="shared"/>
        <v>#DIV/0!</v>
      </c>
      <c r="J30" s="13">
        <f si="21" t="shared"/>
        <v>0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8.0113189875252011E-2</v>
      </c>
      <c r="E31" s="13">
        <f si="23" t="shared"/>
        <v>0</v>
      </c>
      <c r="F31" s="13">
        <f si="23" t="shared"/>
        <v>5.2246985987178399E-3</v>
      </c>
      <c r="G31" s="13">
        <f si="23" t="shared"/>
        <v>0.82142883628891472</v>
      </c>
      <c r="H31" s="13">
        <f si="23" t="shared"/>
        <v>0</v>
      </c>
      <c r="I31" s="13" t="e">
        <f si="23" t="shared"/>
        <v>#DIV/0!</v>
      </c>
      <c r="J31" s="13">
        <f si="23" t="shared"/>
        <v>2.7484887842727269E-2</v>
      </c>
      <c r="K31" s="6"/>
      <c r="L31" t="s">
        <v>4</v>
      </c>
      <c r="M31" s="13">
        <f ref="M31:P31" si="24" t="shared">M14/M$16</f>
        <v>1.5694886520661766E-3</v>
      </c>
      <c r="N31" s="13">
        <f si="24" t="shared"/>
        <v>1.3209558300986233E-3</v>
      </c>
      <c r="O31" s="13">
        <f si="24" t="shared"/>
        <v>8.8476242711250323E-4</v>
      </c>
      <c r="P31" s="13" t="e">
        <f si="24" t="shared"/>
        <v>#DIV/0!</v>
      </c>
      <c r="Q31" s="13">
        <f si="6" t="shared"/>
        <v>8.4167189074081331E-3</v>
      </c>
      <c r="R31" s="13">
        <f si="6" t="shared"/>
        <v>0.93674067070037537</v>
      </c>
      <c r="S31" s="13">
        <f si="6" t="shared"/>
        <v>0</v>
      </c>
      <c r="T31" s="13" t="e">
        <f si="6" t="shared"/>
        <v>#DIV/0!</v>
      </c>
      <c r="U31" s="13">
        <f si="6" t="shared"/>
        <v>4.151051974218163E-3</v>
      </c>
    </row>
    <row r="32" spans="1:21" x14ac:dyDescent="0.25">
      <c r="A32" s="4" t="s">
        <v>5</v>
      </c>
      <c r="B32" s="14">
        <f ref="B32:J32" si="25" t="shared">B15/B$16</f>
        <v>1.6286694128690789E-3</v>
      </c>
      <c r="C32" s="14">
        <f si="25" t="shared"/>
        <v>1.1044806687986497E-2</v>
      </c>
      <c r="D32" s="14">
        <f si="25" t="shared"/>
        <v>2.8820863224680863E-2</v>
      </c>
      <c r="E32" s="14">
        <f si="25" t="shared"/>
        <v>0</v>
      </c>
      <c r="F32" s="14">
        <f si="25" t="shared"/>
        <v>0.12654678091114821</v>
      </c>
      <c r="G32" s="14">
        <f si="25" t="shared"/>
        <v>0.17857116371108528</v>
      </c>
      <c r="H32" s="14">
        <f si="25" t="shared"/>
        <v>1</v>
      </c>
      <c r="I32" s="14" t="e">
        <f si="25" t="shared"/>
        <v>#DIV/0!</v>
      </c>
      <c r="J32" s="14">
        <f si="25" t="shared"/>
        <v>0.14280271227977609</v>
      </c>
      <c r="K32" s="6"/>
      <c r="L32" s="4" t="s">
        <v>5</v>
      </c>
      <c r="M32" s="14">
        <f ref="M32:P32" si="26" t="shared">M15/M$16</f>
        <v>1.9880830160031893E-2</v>
      </c>
      <c r="N32" s="14">
        <f si="26" t="shared"/>
        <v>1.1574479586425001E-2</v>
      </c>
      <c r="O32" s="14">
        <f si="26" t="shared"/>
        <v>7.516480381121883E-3</v>
      </c>
      <c r="P32" s="14" t="e">
        <f si="26" t="shared"/>
        <v>#DIV/0!</v>
      </c>
      <c r="Q32" s="14">
        <f si="6" t="shared"/>
        <v>0.14273228477357597</v>
      </c>
      <c r="R32" s="14">
        <f si="6" t="shared"/>
        <v>6.3259329299624578E-2</v>
      </c>
      <c r="S32" s="14">
        <f si="6" t="shared"/>
        <v>1</v>
      </c>
      <c r="T32" s="14" t="e">
        <f si="6" t="shared"/>
        <v>#DIV/0!</v>
      </c>
      <c r="U32" s="14">
        <f si="6" t="shared"/>
        <v>0.18072303395692155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 t="e">
        <f si="27" t="shared"/>
        <v>#DIV/0!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22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45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-1.9821649399228813E-2</v>
      </c>
      <c r="N39" s="13">
        <f si="29" t="shared"/>
        <v>3.437455769042333E-2</v>
      </c>
      <c r="O39" s="13">
        <f si="29" t="shared"/>
        <v>1.8364215753923475E-2</v>
      </c>
      <c r="P39" s="13" t="e">
        <f si="29" t="shared"/>
        <v>#DIV/0!</v>
      </c>
      <c r="Q39" s="13">
        <f ref="Q39:Q50" si="30" t="shared">Q22-F22</f>
        <v>1.030966282690539E-2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-5.6455608114283629E-3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-3.6225186418960442E-2</v>
      </c>
      <c r="O40" s="13">
        <f si="29" t="shared"/>
        <v>0.1518712778611562</v>
      </c>
      <c r="P40" s="13" t="e">
        <f si="29" t="shared"/>
        <v>#DIV/0!</v>
      </c>
      <c r="Q40" s="13">
        <f si="30" t="shared"/>
        <v>0.12014618083185317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-1.1565768368099194E-2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-6.9702683323381254E-2</v>
      </c>
      <c r="P41" s="13" t="e">
        <f si="29" t="shared"/>
        <v>#DIV/0!</v>
      </c>
      <c r="Q41" s="13">
        <f si="30" t="shared"/>
        <v>5.9161073521801943E-2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3.3107342574380999E-2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-0.20899444135167844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-3.0482499203489846E-2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0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0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0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1.5694886520661766E-3</v>
      </c>
      <c r="N48" s="13">
        <f si="39" t="shared"/>
        <v>1.3209558300986233E-3</v>
      </c>
      <c r="O48" s="13">
        <f si="39" t="shared"/>
        <v>-7.9228427448139502E-2</v>
      </c>
      <c r="P48" s="13" t="e">
        <f si="39" t="shared"/>
        <v>#DIV/0!</v>
      </c>
      <c r="Q48" s="13">
        <f si="30" t="shared"/>
        <v>3.1920203086902932E-3</v>
      </c>
      <c r="R48" s="13">
        <f si="31" t="shared"/>
        <v>0.11531183441146065</v>
      </c>
      <c r="S48" s="13">
        <f si="32" t="shared"/>
        <v>0</v>
      </c>
      <c r="T48" s="13" t="e">
        <f si="33" t="shared"/>
        <v>#DIV/0!</v>
      </c>
      <c r="U48" s="13">
        <f si="34" t="shared"/>
        <v>-2.3333835868509106E-2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1.8252160747162814E-2</v>
      </c>
      <c r="N49" s="17">
        <f si="39" t="shared"/>
        <v>5.2967289843850428E-4</v>
      </c>
      <c r="O49" s="17">
        <f si="39" t="shared"/>
        <v>-2.130438284355898E-2</v>
      </c>
      <c r="P49" s="17" t="e">
        <f si="39" t="shared"/>
        <v>#DIV/0!</v>
      </c>
      <c r="Q49" s="17">
        <f si="30" t="shared"/>
        <v>1.6185503862427758E-2</v>
      </c>
      <c r="R49" s="17">
        <f si="31" t="shared"/>
        <v>-0.1153118344114607</v>
      </c>
      <c r="S49" s="17">
        <f si="32" t="shared"/>
        <v>0</v>
      </c>
      <c r="T49" s="17" t="e">
        <f si="33" t="shared"/>
        <v>#DIV/0!</v>
      </c>
      <c r="U49" s="13">
        <f si="34" t="shared"/>
        <v>3.7920321677145458E-2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2:AF50"/>
  <sheetViews>
    <sheetView workbookViewId="0"/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39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46</v>
      </c>
      <c r="C3" s="31"/>
      <c r="D3" s="31"/>
      <c r="E3" s="31"/>
      <c r="F3" s="31"/>
      <c r="G3" s="31"/>
      <c r="H3" s="31"/>
      <c r="I3" s="31"/>
      <c r="J3" s="11"/>
      <c r="L3" s="3"/>
      <c r="M3" s="31" t="s">
        <v>46</v>
      </c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634099.7974480316</v>
      </c>
      <c r="C5" s="6" t="n">
        <v>22207.48819571</v>
      </c>
      <c r="D5" s="6" t="n">
        <v>8175.4429283835</v>
      </c>
      <c r="E5" s="6" t="n">
        <v>2380.8644758418</v>
      </c>
      <c r="F5" s="6" t="n">
        <v>1170.9767563398</v>
      </c>
      <c r="G5" s="6" t="n">
        <v>0.0</v>
      </c>
      <c r="H5" s="6" t="n">
        <v>0.0</v>
      </c>
      <c r="I5" s="6" t="n">
        <v>0.0</v>
      </c>
      <c r="J5" s="6">
        <f>SUM(B5:I5)</f>
        <v>668034.56980430661</v>
      </c>
      <c r="K5" s="6"/>
      <c r="L5" t="s">
        <v>1</v>
      </c>
      <c r="M5" s="6" t="n">
        <v>662407.826841836</v>
      </c>
      <c r="N5" s="6" t="n">
        <v>41324.02168703618</v>
      </c>
      <c r="O5" s="6" t="n">
        <v>14168.661479254404</v>
      </c>
      <c r="P5" s="6" t="n">
        <v>0.0</v>
      </c>
      <c r="Q5" s="6" t="n">
        <v>243.32093489889894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800183.54135457182</v>
      </c>
    </row>
    <row r="6" spans="1:21" x14ac:dyDescent="0.25">
      <c r="A6" t="s">
        <v>12</v>
      </c>
      <c r="B6" s="6" t="n">
        <v>0.0</v>
      </c>
      <c r="C6" s="6" t="n">
        <v>594836.7086835876</v>
      </c>
      <c r="D6" s="6" t="n">
        <v>42728.3088872137</v>
      </c>
      <c r="E6" s="6" t="n">
        <v>262.3473390995</v>
      </c>
      <c r="F6" s="6" t="n">
        <v>8407.9361075648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646235.30101746565</v>
      </c>
      <c r="K6" s="6"/>
      <c r="L6" t="s">
        <v>12</v>
      </c>
      <c r="M6" s="6" t="n">
        <v>0.0</v>
      </c>
      <c r="N6" s="6" t="n">
        <v>602703.1719616505</v>
      </c>
      <c r="O6" s="6" t="n">
        <v>86303.45712153948</v>
      </c>
      <c r="P6" s="6" t="n">
        <v>0.0</v>
      </c>
      <c r="Q6" s="6" t="n">
        <v>2802.4346713931855</v>
      </c>
      <c r="R6" s="6" t="n">
        <v>0.0</v>
      </c>
      <c r="S6" s="6" t="n">
        <v>0.0</v>
      </c>
      <c r="T6" s="6" t="n">
        <v>0.0</v>
      </c>
      <c r="U6" s="6">
        <f si="0" t="shared"/>
        <v>714973.3462290141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497781.4176410345</v>
      </c>
      <c r="E7" s="6" t="n">
        <v>0.0</v>
      </c>
      <c r="F7" s="6" t="n">
        <v>3158.3612664017</v>
      </c>
      <c r="G7" s="6" t="n">
        <v>0.0</v>
      </c>
      <c r="H7" s="6" t="n">
        <v>0.0</v>
      </c>
      <c r="I7" s="6" t="n">
        <v>0.0</v>
      </c>
      <c r="J7" s="6">
        <f si="1" t="shared"/>
        <v>500939.77890743624</v>
      </c>
      <c r="K7" s="6"/>
      <c r="L7" t="s">
        <v>56</v>
      </c>
      <c r="M7" s="6" t="n">
        <v>0.0</v>
      </c>
      <c r="N7" s="6" t="n">
        <v>0.0</v>
      </c>
      <c r="O7" s="6" t="n">
        <v>473328.75529543275</v>
      </c>
      <c r="P7" s="6" t="n">
        <v>0.0</v>
      </c>
      <c r="Q7" s="6" t="n">
        <v>1204.671164540566</v>
      </c>
      <c r="R7" s="6" t="n">
        <v>0.0</v>
      </c>
      <c r="S7" s="6" t="n">
        <v>0.0</v>
      </c>
      <c r="T7" s="6" t="n">
        <v>0.0</v>
      </c>
      <c r="U7" s="6">
        <f si="0" t="shared"/>
        <v>449331.5390121619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2621.1857803258</v>
      </c>
      <c r="F8" s="6" t="n">
        <v>35578.6968684728</v>
      </c>
      <c r="G8" s="6" t="n">
        <v>0.0</v>
      </c>
      <c r="H8" s="6" t="n">
        <v>0.0</v>
      </c>
      <c r="I8" s="6" t="n">
        <v>0.0</v>
      </c>
      <c r="J8" s="6">
        <f si="1" t="shared"/>
        <v>38199.882648798601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17236.57793059825</v>
      </c>
      <c r="R8" s="6" t="n">
        <v>0.0</v>
      </c>
      <c r="S8" s="6" t="n">
        <v>0.0</v>
      </c>
      <c r="T8" s="6" t="n">
        <v>0.0</v>
      </c>
      <c r="U8" s="6">
        <f si="0" t="shared"/>
        <v>21088.791841177299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107.691391212</v>
      </c>
      <c r="G9" s="6" t="n">
        <v>0.0</v>
      </c>
      <c r="H9" s="6" t="n">
        <v>0.0</v>
      </c>
      <c r="I9" s="6" t="n">
        <v>0.0</v>
      </c>
      <c r="J9" s="6">
        <f si="1" t="shared"/>
        <v>107.691391212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1490.528010836</v>
      </c>
      <c r="J13" s="6">
        <f si="1" t="shared"/>
        <v>1490.528010836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1934.812701878</v>
      </c>
      <c r="C14" s="6" t="n">
        <v>34.4157929553</v>
      </c>
      <c r="D14" s="6" t="n">
        <v>0.0</v>
      </c>
      <c r="E14" s="6" t="n">
        <v>0.0</v>
      </c>
      <c r="F14" s="6" t="n">
        <v>285.065614854</v>
      </c>
      <c r="G14" s="6" t="n">
        <v>32298.9941528336</v>
      </c>
      <c r="H14" s="6" t="n">
        <v>0.0</v>
      </c>
      <c r="I14" s="6" t="n">
        <v>1490.528010836</v>
      </c>
      <c r="J14" s="6">
        <f si="1" t="shared"/>
        <v>36043.816273356904</v>
      </c>
      <c r="K14" s="6"/>
      <c r="L14" t="s">
        <v>4</v>
      </c>
      <c r="M14" s="6" t="n">
        <v>775.4852337010577</v>
      </c>
      <c r="N14" s="6" t="n">
        <v>1098.365418108169</v>
      </c>
      <c r="O14" s="6" t="n">
        <v>651.0074779911205</v>
      </c>
      <c r="P14" s="6" t="n">
        <v>0.0</v>
      </c>
      <c r="Q14" s="6" t="n">
        <v>247.35551249376115</v>
      </c>
      <c r="R14" s="6" t="n">
        <v>39327.208248112016</v>
      </c>
      <c r="S14" s="6" t="n">
        <v>0.0</v>
      </c>
      <c r="T14" s="6" t="n">
        <v>0.0</v>
      </c>
      <c r="U14" s="6">
        <f si="0" t="shared"/>
        <v>43577.441054113711</v>
      </c>
    </row>
    <row r="15" spans="1:21" x14ac:dyDescent="0.25">
      <c r="A15" s="4" t="s">
        <v>5</v>
      </c>
      <c r="B15" s="10" t="n">
        <v>12459.2262120284</v>
      </c>
      <c r="C15" s="10" t="n">
        <v>10613.4108320905</v>
      </c>
      <c r="D15" s="10" t="n">
        <v>13268.8344658298</v>
      </c>
      <c r="E15" s="10" t="n">
        <v>314.436122055</v>
      </c>
      <c r="F15" s="10" t="n">
        <v>11918.2195557219</v>
      </c>
      <c r="G15" s="10" t="n">
        <v>529.9935652318001</v>
      </c>
      <c r="H15" s="10" t="n">
        <v>709943.0741062714</v>
      </c>
      <c r="I15" s="10" t="n">
        <v>0.0</v>
      </c>
      <c r="J15" s="6">
        <f si="1" t="shared"/>
        <v>759047.1948592288</v>
      </c>
      <c r="K15" s="6"/>
      <c r="L15" s="4" t="s">
        <v>5</v>
      </c>
      <c r="M15" s="8" t="n">
        <v>7180.748715466748</v>
      </c>
      <c r="N15" s="8" t="n">
        <v>5171.095785570601</v>
      </c>
      <c r="O15" s="8" t="n">
        <v>3354.987375923962</v>
      </c>
      <c r="P15" s="8" t="n">
        <v>0.0</v>
      </c>
      <c r="Q15" s="8" t="n">
        <v>2437.5868860293153</v>
      </c>
      <c r="R15" s="8" t="n">
        <v>1448.5851147133824</v>
      </c>
      <c r="S15" s="8" t="n">
        <v>503712.2596607395</v>
      </c>
      <c r="T15" s="8" t="n">
        <v>0.0</v>
      </c>
      <c r="U15" s="6">
        <f si="0" t="shared"/>
        <v>548380.8619949969</v>
      </c>
    </row>
    <row ht="15.75" r="16" spans="1:21" thickBot="1" x14ac:dyDescent="0.3">
      <c r="A16" s="12" t="s">
        <v>7</v>
      </c>
      <c r="B16" s="16">
        <f ref="B16:J16" si="2" t="shared">SUM(B5:B15)</f>
        <v>648493.83636193804</v>
      </c>
      <c r="C16" s="16">
        <f si="2" t="shared"/>
        <v>627692.02350434347</v>
      </c>
      <c r="D16" s="16">
        <f si="2" t="shared"/>
        <v>561954.00392246153</v>
      </c>
      <c r="E16" s="16">
        <f si="2" t="shared"/>
        <v>5578.8337173220998</v>
      </c>
      <c r="F16" s="16">
        <f si="2" t="shared"/>
        <v>60626.947560567001</v>
      </c>
      <c r="G16" s="16">
        <f si="2" t="shared"/>
        <v>32828.9877180654</v>
      </c>
      <c r="H16" s="16">
        <f si="2" t="shared"/>
        <v>709943.07410627138</v>
      </c>
      <c r="I16" s="16">
        <f si="2" t="shared"/>
        <v>2981.056021672</v>
      </c>
      <c r="J16" s="16">
        <f si="2" t="shared"/>
        <v>2650098.7629126403</v>
      </c>
      <c r="L16" s="9" t="s">
        <v>7</v>
      </c>
      <c r="M16" s="16">
        <f ref="M16:U16" si="3" t="shared">SUM(M5:M15)</f>
        <v>750968.36584638595</v>
      </c>
      <c r="N16" s="16">
        <f si="3" t="shared"/>
        <v>679382.15394312784</v>
      </c>
      <c r="O16" s="16">
        <f si="3" t="shared"/>
        <v>548289.9382317703</v>
      </c>
      <c r="P16" s="16">
        <f si="3" t="shared"/>
        <v>0</v>
      </c>
      <c r="Q16" s="16">
        <f si="3" t="shared"/>
        <v>29963.389260620948</v>
      </c>
      <c r="R16" s="16">
        <f si="3" t="shared"/>
        <v>42106.748381876336</v>
      </c>
      <c r="S16" s="16">
        <f si="3" t="shared"/>
        <v>526824.92582225462</v>
      </c>
      <c r="T16" s="16">
        <f si="3" t="shared"/>
        <v>0</v>
      </c>
      <c r="U16" s="16">
        <f si="3" t="shared"/>
        <v>2577535.5214860355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40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46</v>
      </c>
      <c r="C20" s="31"/>
      <c r="D20" s="31"/>
      <c r="E20" s="31"/>
      <c r="F20" s="31"/>
      <c r="G20" s="31"/>
      <c r="H20" s="31"/>
      <c r="I20" s="31"/>
      <c r="J20" s="11"/>
      <c r="L20" s="3"/>
      <c r="M20" s="31" t="s">
        <v>46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0.97780389248623045</v>
      </c>
      <c r="C22" s="13">
        <f si="4" t="shared"/>
        <v>3.5379592800507093E-2</v>
      </c>
      <c r="D22" s="13">
        <f si="4" t="shared"/>
        <v>1.4548242153839246E-2</v>
      </c>
      <c r="E22" s="13">
        <f si="4" t="shared"/>
        <v>0.42676742066165052</v>
      </c>
      <c r="F22" s="13">
        <f si="4" t="shared"/>
        <v>1.9314460045509976E-2</v>
      </c>
      <c r="G22" s="13">
        <f si="4" t="shared"/>
        <v>0</v>
      </c>
      <c r="H22" s="13">
        <f si="4" t="shared"/>
        <v>0</v>
      </c>
      <c r="I22" s="13">
        <f si="4" t="shared"/>
        <v>0</v>
      </c>
      <c r="J22" s="13">
        <f si="4" t="shared"/>
        <v>0.25207912216452294</v>
      </c>
      <c r="K22" s="6"/>
      <c r="L22" t="s">
        <v>1</v>
      </c>
      <c r="M22" s="13">
        <f ref="M22:P22" si="5" t="shared">M5/M$16</f>
        <v>0.98824379083764502</v>
      </c>
      <c r="N22" s="13">
        <f si="5" t="shared"/>
        <v>6.5697857490828113E-2</v>
      </c>
      <c r="O22" s="13">
        <f si="5" t="shared"/>
        <v>2.4062458611426696E-2</v>
      </c>
      <c r="P22" s="13" t="e">
        <f si="5" t="shared"/>
        <v>#DIV/0!</v>
      </c>
      <c r="Q22" s="13">
        <f ref="Q22:U33" si="6" t="shared">Q5/Q$16</f>
        <v>7.2275139562239243E-3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0.31044520422098359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0.94765695023918284</v>
      </c>
      <c r="D23" s="13">
        <f si="7" t="shared"/>
        <v>7.6035242366756683E-2</v>
      </c>
      <c r="E23" s="13">
        <f si="7" t="shared"/>
        <v>4.7025481022121153E-2</v>
      </c>
      <c r="F23" s="13">
        <f si="7" t="shared"/>
        <v>0.13868315074192342</v>
      </c>
      <c r="G23" s="13">
        <f si="7" t="shared"/>
        <v>0</v>
      </c>
      <c r="H23" s="13">
        <f si="7" t="shared"/>
        <v>0</v>
      </c>
      <c r="I23" s="13">
        <f si="7" t="shared"/>
        <v>0</v>
      </c>
      <c r="J23" s="13">
        <f si="7" t="shared"/>
        <v>0.24385328956842678</v>
      </c>
      <c r="K23" s="6"/>
      <c r="L23" t="s">
        <v>12</v>
      </c>
      <c r="M23" s="13">
        <f ref="M23:P23" si="8" t="shared">M6/M$16</f>
        <v>0</v>
      </c>
      <c r="N23" s="13">
        <f si="8" t="shared"/>
        <v>0.92461361119065533</v>
      </c>
      <c r="O23" s="13">
        <f si="8" t="shared"/>
        <v>0.15228142692428723</v>
      </c>
      <c r="P23" s="13" t="e">
        <f si="8" t="shared"/>
        <v>#DIV/0!</v>
      </c>
      <c r="Q23" s="13">
        <f si="6" t="shared"/>
        <v>0.1105677766354602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0.27738641825460003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0.88580455725290719</v>
      </c>
      <c r="E24" s="13">
        <f si="9" t="shared"/>
        <v>0</v>
      </c>
      <c r="F24" s="13">
        <f si="9" t="shared"/>
        <v>5.2095007145897647E-2</v>
      </c>
      <c r="G24" s="13">
        <f si="9" t="shared"/>
        <v>0</v>
      </c>
      <c r="H24" s="13">
        <f si="9" t="shared"/>
        <v>0</v>
      </c>
      <c r="I24" s="13">
        <f si="9" t="shared"/>
        <v>0</v>
      </c>
      <c r="J24" s="13">
        <f si="9" t="shared"/>
        <v>0.18902683398745074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0.81664304216392181</v>
      </c>
      <c r="P24" s="13" t="e">
        <f si="10" t="shared"/>
        <v>#DIV/0!</v>
      </c>
      <c r="Q24" s="13">
        <f si="6" t="shared"/>
        <v>5.2543317213092237E-2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0.17432603169445643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0.46984475844603546</v>
      </c>
      <c r="F25" s="13">
        <f si="11" t="shared"/>
        <v>0.58684625071927432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1.4414512841330603E-2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0.70381863873099992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8.181765746925149E-3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1.7762957817464766E-3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4.0636746342856964E-5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0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0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0.5</v>
      </c>
      <c r="J30" s="13">
        <f si="21" t="shared"/>
        <v>5.6244243863493124E-4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2.9835483290517207E-3</v>
      </c>
      <c r="C31" s="13">
        <f si="23" t="shared"/>
        <v>5.482910673798271E-5</v>
      </c>
      <c r="D31" s="13">
        <f si="23" t="shared"/>
        <v>0</v>
      </c>
      <c r="E31" s="13">
        <f si="23" t="shared"/>
        <v>0</v>
      </c>
      <c r="F31" s="13">
        <f si="23" t="shared"/>
        <v>4.7019621855317103E-3</v>
      </c>
      <c r="G31" s="13">
        <f si="23" t="shared"/>
        <v>0.98385592727429261</v>
      </c>
      <c r="H31" s="13">
        <f si="23" t="shared"/>
        <v>0</v>
      </c>
      <c r="I31" s="13">
        <f si="23" t="shared"/>
        <v>0.5</v>
      </c>
      <c r="J31" s="13">
        <f si="23" t="shared"/>
        <v>1.3600933209652262E-2</v>
      </c>
      <c r="K31" s="6"/>
      <c r="L31" t="s">
        <v>4</v>
      </c>
      <c r="M31" s="13">
        <f ref="M31:P31" si="24" t="shared">M14/M$16</f>
        <v>1.1395214655681592E-3</v>
      </c>
      <c r="N31" s="13">
        <f si="24" t="shared"/>
        <v>1.5480185547987562E-3</v>
      </c>
      <c r="O31" s="13">
        <f si="24" t="shared"/>
        <v>1.2056013217358985E-3</v>
      </c>
      <c r="P31" s="13" t="e">
        <f si="24" t="shared"/>
        <v>#DIV/0!</v>
      </c>
      <c r="Q31" s="13">
        <f si="6" t="shared"/>
        <v>1.0062443815010482E-2</v>
      </c>
      <c r="R31" s="13">
        <f si="6" t="shared"/>
        <v>0.96676846040950493</v>
      </c>
      <c r="S31" s="13">
        <f si="6" t="shared"/>
        <v>0</v>
      </c>
      <c r="T31" s="13" t="e">
        <f si="6" t="shared"/>
        <v>#DIV/0!</v>
      </c>
      <c r="U31" s="13">
        <f si="6" t="shared"/>
        <v>1.6906630651976371E-2</v>
      </c>
    </row>
    <row r="32" spans="1:21" x14ac:dyDescent="0.25">
      <c r="A32" s="4" t="s">
        <v>5</v>
      </c>
      <c r="B32" s="14">
        <f ref="B32:J32" si="25" t="shared">B15/B$16</f>
        <v>1.9212559184717745E-2</v>
      </c>
      <c r="C32" s="14">
        <f si="25" t="shared"/>
        <v>1.6908627853571979E-2</v>
      </c>
      <c r="D32" s="14">
        <f si="25" t="shared"/>
        <v>2.3611958226496834E-2</v>
      </c>
      <c r="E32" s="14">
        <f si="25" t="shared"/>
        <v>5.6362339870192929E-2</v>
      </c>
      <c r="F32" s="14">
        <f si="25" t="shared"/>
        <v>0.1965828733801164</v>
      </c>
      <c r="G32" s="14">
        <f si="25" t="shared"/>
        <v>1.6144072725707316E-2</v>
      </c>
      <c r="H32" s="14">
        <f si="25" t="shared"/>
        <v>1</v>
      </c>
      <c r="I32" s="14">
        <f si="25" t="shared"/>
        <v>0</v>
      </c>
      <c r="J32" s="14">
        <f si="25" t="shared"/>
        <v>0.28642222904363906</v>
      </c>
      <c r="K32" s="6"/>
      <c r="L32" s="4" t="s">
        <v>5</v>
      </c>
      <c r="M32" s="14">
        <f ref="M32:P32" si="26" t="shared">M15/M$16</f>
        <v>1.0616687696786907E-2</v>
      </c>
      <c r="N32" s="14">
        <f si="26" t="shared"/>
        <v>8.1405127637176507E-3</v>
      </c>
      <c r="O32" s="14">
        <f si="26" t="shared"/>
        <v>5.8074709786281771E-3</v>
      </c>
      <c r="P32" s="14" t="e">
        <f si="26" t="shared"/>
        <v>#DIV/0!</v>
      </c>
      <c r="Q32" s="14">
        <f si="6" t="shared"/>
        <v>0.11578030964921322</v>
      </c>
      <c r="R32" s="14">
        <f si="6" t="shared"/>
        <v>3.3231539590495088E-2</v>
      </c>
      <c r="S32" s="14">
        <f si="6" t="shared"/>
        <v>1</v>
      </c>
      <c r="T32" s="14" t="e">
        <f si="6" t="shared"/>
        <v>#DIV/0!</v>
      </c>
      <c r="U32" s="14">
        <f si="6" t="shared"/>
        <v>0.21275394943105846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23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46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1.0439898351414567E-2</v>
      </c>
      <c r="N39" s="13">
        <f si="29" t="shared"/>
        <v>3.031826469032102E-2</v>
      </c>
      <c r="O39" s="13">
        <f si="29" t="shared"/>
        <v>9.5142164575874495E-3</v>
      </c>
      <c r="P39" s="13" t="e">
        <f si="29" t="shared"/>
        <v>#DIV/0!</v>
      </c>
      <c r="Q39" s="13">
        <f ref="Q39:Q50" si="30" t="shared">Q22-F22</f>
        <v>-1.2086946089286052E-2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5.8366082056460655E-2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-2.3043339048527511E-2</v>
      </c>
      <c r="O40" s="13">
        <f si="29" t="shared"/>
        <v>7.6246184557530544E-2</v>
      </c>
      <c r="P40" s="13" t="e">
        <f si="29" t="shared"/>
        <v>#DIV/0!</v>
      </c>
      <c r="Q40" s="13">
        <f si="30" t="shared"/>
        <v>-2.8115374106463212E-2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3.3533128686173252E-2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-6.9161515088985381E-2</v>
      </c>
      <c r="P41" s="13" t="e">
        <f si="29" t="shared"/>
        <v>#DIV/0!</v>
      </c>
      <c r="Q41" s="13">
        <f si="30" t="shared"/>
        <v>4.4831006719459054E-4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-1.4700802292994308E-2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0.1169723880117256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-6.2327470944054542E-3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-1.7762957817464766E-3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-4.0636746342856964E-5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0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0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0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-5.6244243863493124E-4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-1.8440268634835615E-3</v>
      </c>
      <c r="N48" s="13">
        <f si="39" t="shared"/>
        <v>1.4931894480607734E-3</v>
      </c>
      <c r="O48" s="13">
        <f si="39" t="shared"/>
        <v>1.2056013217358985E-3</v>
      </c>
      <c r="P48" s="13" t="e">
        <f si="39" t="shared"/>
        <v>#DIV/0!</v>
      </c>
      <c r="Q48" s="13">
        <f si="30" t="shared"/>
        <v>5.3604816294787715E-3</v>
      </c>
      <c r="R48" s="13">
        <f si="31" t="shared"/>
        <v>-1.7087466864787682E-2</v>
      </c>
      <c r="S48" s="13">
        <f si="32" t="shared"/>
        <v>0</v>
      </c>
      <c r="T48" s="13" t="e">
        <f si="33" t="shared"/>
        <v>#DIV/0!</v>
      </c>
      <c r="U48" s="13">
        <f si="34" t="shared"/>
        <v>3.3056974423241094E-3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-8.5958714879308378E-3</v>
      </c>
      <c r="N49" s="17">
        <f si="39" t="shared"/>
        <v>-8.7681150898543288E-3</v>
      </c>
      <c r="O49" s="17">
        <f si="39" t="shared"/>
        <v>-1.7804487247868657E-2</v>
      </c>
      <c r="P49" s="17" t="e">
        <f si="39" t="shared"/>
        <v>#DIV/0!</v>
      </c>
      <c r="Q49" s="17">
        <f si="30" t="shared"/>
        <v>-8.0802563730903179E-2</v>
      </c>
      <c r="R49" s="17">
        <f si="31" t="shared"/>
        <v>1.7087466864787772E-2</v>
      </c>
      <c r="S49" s="17">
        <f si="32" t="shared"/>
        <v>0</v>
      </c>
      <c r="T49" s="17" t="e">
        <f si="33" t="shared"/>
        <v>#DIV/0!</v>
      </c>
      <c r="U49" s="13">
        <f si="34" t="shared"/>
        <v>-7.3668279612580601E-2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B2:B3"/>
  <sheetViews>
    <sheetView workbookViewId="0"/>
  </sheetViews>
  <sheetFormatPr defaultRowHeight="15" x14ac:dyDescent="0.25"/>
  <sheetData>
    <row r="2" spans="2:2" x14ac:dyDescent="0.25">
      <c r="B2" t="s">
        <v>50</v>
      </c>
    </row>
    <row r="3" spans="2:2" x14ac:dyDescent="0.25">
      <c r="B3" t="s">
        <v>49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baseType="lpstr" size="34">
      <vt:lpstr>All Purposes</vt:lpstr>
      <vt:lpstr>Workbased</vt:lpstr>
      <vt:lpstr>Work</vt:lpstr>
      <vt:lpstr>School</vt:lpstr>
      <vt:lpstr>Escort</vt:lpstr>
      <vt:lpstr>Personal_Business</vt:lpstr>
      <vt:lpstr>Shop</vt:lpstr>
      <vt:lpstr>Meal</vt:lpstr>
      <vt:lpstr>SocRec</vt:lpstr>
      <vt:lpstr>Documentation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purp1</vt:lpstr>
      <vt:lpstr>purp2</vt:lpstr>
      <vt:lpstr>purp3</vt:lpstr>
      <vt:lpstr>purp4</vt:lpstr>
      <vt:lpstr>purp5</vt:lpstr>
      <vt:lpstr>purp6</vt:lpstr>
      <vt:lpstr>purp7</vt:lpstr>
      <vt:lpstr>purp8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2011-03-29T15:31:17Z</dcterms:created>
  <dc:creator>Bhargava Sana</dc:creator>
  <cp:lastModifiedBy>Nagendra Dhakar</cp:lastModifiedBy>
  <dcterms:modified xsi:type="dcterms:W3CDTF">2017-07-14T02:43:18Z</dcterms:modified>
</cp:coreProperties>
</file>