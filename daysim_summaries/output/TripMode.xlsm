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927" codeName="{DF908ECD-C663-F43C-BE37-009161E9072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Projects\Clients\bkr\tasks\calibration\daysim_summaries\bkrcast_all\output\"/>
    </mc:Choice>
  </mc:AlternateContent>
  <bookViews>
    <workbookView xWindow="240" yWindow="30" windowWidth="18885" windowHeight="7320"/>
  </bookViews>
  <sheets>
    <sheet name="All Purposes" sheetId="18" r:id="rId1"/>
    <sheet name="Workbased" sheetId="7" r:id="rId2"/>
    <sheet name="Work" sheetId="11" r:id="rId3"/>
    <sheet name="School" sheetId="12" r:id="rId4"/>
    <sheet name="Escort" sheetId="13" r:id="rId5"/>
    <sheet name="Personal_Business" sheetId="14" r:id="rId6"/>
    <sheet name="Shop" sheetId="15" r:id="rId7"/>
    <sheet name="Meal" sheetId="16" r:id="rId8"/>
    <sheet name="SocRec" sheetId="17" r:id="rId9"/>
    <sheet name="Documentation" sheetId="19" r:id="rId10"/>
  </sheets>
  <definedNames>
    <definedName name="out1">Work!$B$5:$I$15</definedName>
    <definedName name="out10">Shop!$M$5:$T$15</definedName>
    <definedName name="out11">Meal!$B$5:$I$15</definedName>
    <definedName name="out12">Meal!$M$5:$T$15</definedName>
    <definedName name="out13">SocRec!$B$5:$I$15</definedName>
    <definedName name="out14">SocRec!$M$5:$T$15</definedName>
    <definedName name="out15">Workbased!$B$5:$I$15</definedName>
    <definedName name="out16">Workbased!$M$5:$T$15</definedName>
    <definedName name="out2">Work!$M$5:$T$15</definedName>
    <definedName name="out3">School!$B$5:$I$15</definedName>
    <definedName name="out4">School!$M$5:$T$15</definedName>
    <definedName name="out5">Escort!$B$5:$I$15</definedName>
    <definedName name="out6">Escort!$M$5:$T$15</definedName>
    <definedName name="out7">Personal_Business!$B$5:$I$15</definedName>
    <definedName name="out8">Personal_Business!$M$5:$T$15</definedName>
    <definedName name="out9">Shop!$B$5:$I$15</definedName>
    <definedName name="purp1">Work!$M$5:$T$16</definedName>
    <definedName name="purp2">School!$M$5:$T$16</definedName>
    <definedName name="purp3">Escort!$M$5:$T$16</definedName>
    <definedName name="purp4">Personal_Business!$M$5:$T$16</definedName>
    <definedName name="purp5">Shop!$M$5:$T$16</definedName>
    <definedName name="purp6">Meal!$M$5:$T$16</definedName>
    <definedName name="purp7">SocRec!$M$5:$T$16</definedName>
    <definedName name="purp8">Workbased!$M$5:$T$16</definedName>
  </definedNames>
  <calcPr calcId="171027"/>
</workbook>
</file>

<file path=xl/calcChain.xml><?xml version="1.0" encoding="utf-8"?>
<calcChain xmlns="http://schemas.openxmlformats.org/spreadsheetml/2006/main">
  <c r="B6" i="18" l="1"/>
  <c r="J11" i="7" l="1"/>
  <c r="J12" i="7"/>
  <c r="J13" i="7"/>
  <c r="J11" i="11"/>
  <c r="J12" i="11"/>
  <c r="J13" i="11"/>
  <c r="J11" i="12"/>
  <c r="J12" i="12"/>
  <c r="J13" i="12"/>
  <c r="J11" i="13"/>
  <c r="J12" i="13"/>
  <c r="J13" i="13"/>
  <c r="J11" i="14"/>
  <c r="J12" i="14"/>
  <c r="J13" i="14"/>
  <c r="J11" i="15"/>
  <c r="J12" i="15"/>
  <c r="J13" i="15"/>
  <c r="J11" i="16"/>
  <c r="J12" i="16"/>
  <c r="J13" i="16"/>
  <c r="J11" i="17"/>
  <c r="J12" i="17"/>
  <c r="J13" i="17"/>
  <c r="I13" i="18"/>
  <c r="H13" i="18"/>
  <c r="G13" i="18"/>
  <c r="F13" i="18"/>
  <c r="E13" i="18"/>
  <c r="D13" i="18"/>
  <c r="C13" i="18"/>
  <c r="B13" i="18"/>
  <c r="I12" i="18"/>
  <c r="H12" i="18"/>
  <c r="G12" i="18"/>
  <c r="F12" i="18"/>
  <c r="E12" i="18"/>
  <c r="D12" i="18"/>
  <c r="C12" i="18"/>
  <c r="B12" i="18"/>
  <c r="I11" i="18"/>
  <c r="H11" i="18"/>
  <c r="G11" i="18"/>
  <c r="F11" i="18"/>
  <c r="E11" i="18"/>
  <c r="D11" i="18"/>
  <c r="C11" i="18"/>
  <c r="B11" i="18"/>
  <c r="T13" i="18"/>
  <c r="S13" i="18"/>
  <c r="R13" i="18"/>
  <c r="Q13" i="18"/>
  <c r="P13" i="18"/>
  <c r="O13" i="18"/>
  <c r="N13" i="18"/>
  <c r="M13" i="18"/>
  <c r="T12" i="18"/>
  <c r="S12" i="18"/>
  <c r="R12" i="18"/>
  <c r="Q12" i="18"/>
  <c r="P12" i="18"/>
  <c r="O12" i="18"/>
  <c r="N12" i="18"/>
  <c r="M12" i="18"/>
  <c r="U11" i="7"/>
  <c r="U12" i="7"/>
  <c r="U13" i="7"/>
  <c r="U11" i="11"/>
  <c r="U12" i="11"/>
  <c r="U13" i="11"/>
  <c r="U11" i="12"/>
  <c r="U12" i="12"/>
  <c r="U13" i="12"/>
  <c r="U11" i="13"/>
  <c r="U12" i="13"/>
  <c r="U13" i="13"/>
  <c r="U11" i="14"/>
  <c r="U12" i="14"/>
  <c r="U13" i="14"/>
  <c r="U11" i="15"/>
  <c r="U12" i="15"/>
  <c r="U13" i="15"/>
  <c r="U11" i="16"/>
  <c r="U12" i="16"/>
  <c r="U13" i="16"/>
  <c r="U11" i="17"/>
  <c r="U12" i="17"/>
  <c r="U13" i="17"/>
  <c r="O11" i="18"/>
  <c r="P11" i="18"/>
  <c r="Q11" i="18"/>
  <c r="R11" i="18"/>
  <c r="S11" i="18"/>
  <c r="T11" i="18"/>
  <c r="N11" i="18"/>
  <c r="M11" i="18"/>
  <c r="T15" i="18"/>
  <c r="S15" i="18"/>
  <c r="R15" i="18"/>
  <c r="Q15" i="18"/>
  <c r="P15" i="18"/>
  <c r="O15" i="18"/>
  <c r="N15" i="18"/>
  <c r="M15" i="18"/>
  <c r="T14" i="18"/>
  <c r="S14" i="18"/>
  <c r="R14" i="18"/>
  <c r="Q14" i="18"/>
  <c r="P14" i="18"/>
  <c r="O14" i="18"/>
  <c r="N14" i="18"/>
  <c r="M14" i="18"/>
  <c r="T10" i="18"/>
  <c r="S10" i="18"/>
  <c r="R10" i="18"/>
  <c r="Q10" i="18"/>
  <c r="P10" i="18"/>
  <c r="O10" i="18"/>
  <c r="N10" i="18"/>
  <c r="M10" i="18"/>
  <c r="T9" i="18"/>
  <c r="S9" i="18"/>
  <c r="R9" i="18"/>
  <c r="Q9" i="18"/>
  <c r="P9" i="18"/>
  <c r="O9" i="18"/>
  <c r="N9" i="18"/>
  <c r="M9" i="18"/>
  <c r="T8" i="18"/>
  <c r="S8" i="18"/>
  <c r="R8" i="18"/>
  <c r="Q8" i="18"/>
  <c r="P8" i="18"/>
  <c r="O8" i="18"/>
  <c r="N8" i="18"/>
  <c r="M8" i="18"/>
  <c r="T7" i="18"/>
  <c r="S7" i="18"/>
  <c r="R7" i="18"/>
  <c r="Q7" i="18"/>
  <c r="P7" i="18"/>
  <c r="O7" i="18"/>
  <c r="N7" i="18"/>
  <c r="M7" i="18"/>
  <c r="T6" i="18"/>
  <c r="S6" i="18"/>
  <c r="R6" i="18"/>
  <c r="Q6" i="18"/>
  <c r="P6" i="18"/>
  <c r="O6" i="18"/>
  <c r="N6" i="18"/>
  <c r="M6" i="18"/>
  <c r="T5" i="18"/>
  <c r="S5" i="18"/>
  <c r="R5" i="18"/>
  <c r="Q5" i="18"/>
  <c r="P5" i="18"/>
  <c r="O5" i="18"/>
  <c r="N5" i="18"/>
  <c r="M5" i="18"/>
  <c r="I15" i="18"/>
  <c r="H15" i="18"/>
  <c r="G15" i="18"/>
  <c r="F15" i="18"/>
  <c r="E15" i="18"/>
  <c r="D15" i="18"/>
  <c r="C15" i="18"/>
  <c r="B15" i="18"/>
  <c r="I14" i="18"/>
  <c r="H14" i="18"/>
  <c r="G14" i="18"/>
  <c r="F14" i="18"/>
  <c r="E14" i="18"/>
  <c r="D14" i="18"/>
  <c r="C14" i="18"/>
  <c r="B14" i="18"/>
  <c r="I10" i="18"/>
  <c r="H10" i="18"/>
  <c r="G10" i="18"/>
  <c r="F10" i="18"/>
  <c r="E10" i="18"/>
  <c r="D10" i="18"/>
  <c r="C10" i="18"/>
  <c r="B10" i="18"/>
  <c r="I9" i="18"/>
  <c r="H9" i="18"/>
  <c r="G9" i="18"/>
  <c r="F9" i="18"/>
  <c r="E9" i="18"/>
  <c r="D9" i="18"/>
  <c r="C9" i="18"/>
  <c r="B9" i="18"/>
  <c r="I8" i="18"/>
  <c r="H8" i="18"/>
  <c r="G8" i="18"/>
  <c r="F8" i="18"/>
  <c r="E8" i="18"/>
  <c r="D8" i="18"/>
  <c r="C8" i="18"/>
  <c r="B8" i="18"/>
  <c r="I7" i="18"/>
  <c r="H7" i="18"/>
  <c r="G7" i="18"/>
  <c r="F7" i="18"/>
  <c r="E7" i="18"/>
  <c r="D7" i="18"/>
  <c r="C7" i="18"/>
  <c r="B7" i="18"/>
  <c r="I6" i="18"/>
  <c r="H6" i="18"/>
  <c r="G6" i="18"/>
  <c r="F6" i="18"/>
  <c r="E6" i="18"/>
  <c r="D6" i="18"/>
  <c r="C6" i="18"/>
  <c r="I5" i="18"/>
  <c r="H5" i="18"/>
  <c r="G5" i="18"/>
  <c r="F5" i="18"/>
  <c r="E5" i="18"/>
  <c r="D5" i="18"/>
  <c r="C5" i="18"/>
  <c r="B5" i="18"/>
  <c r="T16" i="17"/>
  <c r="T30" i="17" s="1"/>
  <c r="S16" i="17"/>
  <c r="S29" i="17" s="1"/>
  <c r="R16" i="17"/>
  <c r="R30" i="17" s="1"/>
  <c r="Q16" i="17"/>
  <c r="Q30" i="17" s="1"/>
  <c r="P16" i="17"/>
  <c r="P30" i="17" s="1"/>
  <c r="O16" i="17"/>
  <c r="O30" i="17" s="1"/>
  <c r="N16" i="17"/>
  <c r="N30" i="17" s="1"/>
  <c r="M16" i="17"/>
  <c r="M30" i="17" s="1"/>
  <c r="I16" i="17"/>
  <c r="I30" i="17" s="1"/>
  <c r="H16" i="17"/>
  <c r="H30" i="17" s="1"/>
  <c r="G16" i="17"/>
  <c r="G30" i="17" s="1"/>
  <c r="F16" i="17"/>
  <c r="F30" i="17" s="1"/>
  <c r="E16" i="17"/>
  <c r="E30" i="17" s="1"/>
  <c r="D16" i="17"/>
  <c r="D30" i="17" s="1"/>
  <c r="C16" i="17"/>
  <c r="C30" i="17" s="1"/>
  <c r="B16" i="17"/>
  <c r="B29" i="17" s="1"/>
  <c r="U15" i="17"/>
  <c r="J15" i="17"/>
  <c r="U14" i="17"/>
  <c r="J14" i="17"/>
  <c r="U10" i="17"/>
  <c r="J10" i="17"/>
  <c r="U9" i="17"/>
  <c r="J9" i="17"/>
  <c r="U8" i="17"/>
  <c r="J8" i="17"/>
  <c r="U7" i="17"/>
  <c r="J7" i="17"/>
  <c r="U6" i="17"/>
  <c r="J6" i="17"/>
  <c r="U5" i="17"/>
  <c r="J5" i="17"/>
  <c r="T16" i="16"/>
  <c r="T30" i="16" s="1"/>
  <c r="S16" i="16"/>
  <c r="S30" i="16" s="1"/>
  <c r="R16" i="16"/>
  <c r="R30" i="16" s="1"/>
  <c r="Q16" i="16"/>
  <c r="Q30" i="16" s="1"/>
  <c r="P16" i="16"/>
  <c r="P30" i="16" s="1"/>
  <c r="O16" i="16"/>
  <c r="O29" i="16" s="1"/>
  <c r="N16" i="16"/>
  <c r="N30" i="16" s="1"/>
  <c r="M16" i="16"/>
  <c r="M30" i="16" s="1"/>
  <c r="I16" i="16"/>
  <c r="I30" i="16" s="1"/>
  <c r="H16" i="16"/>
  <c r="H30" i="16" s="1"/>
  <c r="G16" i="16"/>
  <c r="G30" i="16" s="1"/>
  <c r="F16" i="16"/>
  <c r="F30" i="16" s="1"/>
  <c r="E16" i="16"/>
  <c r="E30" i="16" s="1"/>
  <c r="D16" i="16"/>
  <c r="D30" i="16" s="1"/>
  <c r="C16" i="16"/>
  <c r="C30" i="16" s="1"/>
  <c r="B16" i="16"/>
  <c r="B29" i="16" s="1"/>
  <c r="U15" i="16"/>
  <c r="J15" i="16"/>
  <c r="U14" i="16"/>
  <c r="J14" i="16"/>
  <c r="U10" i="16"/>
  <c r="J10" i="16"/>
  <c r="U9" i="16"/>
  <c r="J9" i="16"/>
  <c r="U8" i="16"/>
  <c r="J8" i="16"/>
  <c r="U7" i="16"/>
  <c r="J7" i="16"/>
  <c r="U6" i="16"/>
  <c r="J6" i="16"/>
  <c r="U5" i="16"/>
  <c r="J5" i="16"/>
  <c r="T16" i="15"/>
  <c r="T30" i="15" s="1"/>
  <c r="S16" i="15"/>
  <c r="S29" i="15" s="1"/>
  <c r="R16" i="15"/>
  <c r="R30" i="15" s="1"/>
  <c r="Q16" i="15"/>
  <c r="Q30" i="15" s="1"/>
  <c r="P16" i="15"/>
  <c r="P30" i="15" s="1"/>
  <c r="O16" i="15"/>
  <c r="O30" i="15" s="1"/>
  <c r="N16" i="15"/>
  <c r="N30" i="15" s="1"/>
  <c r="M16" i="15"/>
  <c r="M30" i="15" s="1"/>
  <c r="I16" i="15"/>
  <c r="I30" i="15" s="1"/>
  <c r="H16" i="15"/>
  <c r="H30" i="15" s="1"/>
  <c r="G16" i="15"/>
  <c r="G30" i="15" s="1"/>
  <c r="F16" i="15"/>
  <c r="F30" i="15" s="1"/>
  <c r="E16" i="15"/>
  <c r="E30" i="15" s="1"/>
  <c r="D16" i="15"/>
  <c r="D30" i="15" s="1"/>
  <c r="C16" i="15"/>
  <c r="C30" i="15" s="1"/>
  <c r="B16" i="15"/>
  <c r="B29" i="15" s="1"/>
  <c r="U15" i="15"/>
  <c r="J15" i="15"/>
  <c r="U14" i="15"/>
  <c r="J14" i="15"/>
  <c r="U10" i="15"/>
  <c r="J10" i="15"/>
  <c r="U9" i="15"/>
  <c r="J9" i="15"/>
  <c r="U8" i="15"/>
  <c r="J8" i="15"/>
  <c r="U7" i="15"/>
  <c r="J7" i="15"/>
  <c r="U6" i="15"/>
  <c r="J6" i="15"/>
  <c r="U5" i="15"/>
  <c r="J5" i="15"/>
  <c r="T16" i="14"/>
  <c r="T30" i="14" s="1"/>
  <c r="S16" i="14"/>
  <c r="S30" i="14" s="1"/>
  <c r="R16" i="14"/>
  <c r="R30" i="14" s="1"/>
  <c r="Q16" i="14"/>
  <c r="Q30" i="14" s="1"/>
  <c r="P16" i="14"/>
  <c r="P30" i="14" s="1"/>
  <c r="O16" i="14"/>
  <c r="O29" i="14" s="1"/>
  <c r="N16" i="14"/>
  <c r="N30" i="14" s="1"/>
  <c r="M16" i="14"/>
  <c r="M30" i="14" s="1"/>
  <c r="I16" i="14"/>
  <c r="I30" i="14" s="1"/>
  <c r="H16" i="14"/>
  <c r="H30" i="14" s="1"/>
  <c r="G16" i="14"/>
  <c r="G30" i="14" s="1"/>
  <c r="F16" i="14"/>
  <c r="F30" i="14" s="1"/>
  <c r="E16" i="14"/>
  <c r="E30" i="14" s="1"/>
  <c r="D16" i="14"/>
  <c r="D30" i="14" s="1"/>
  <c r="C16" i="14"/>
  <c r="C30" i="14" s="1"/>
  <c r="B16" i="14"/>
  <c r="B29" i="14" s="1"/>
  <c r="U15" i="14"/>
  <c r="J15" i="14"/>
  <c r="U14" i="14"/>
  <c r="J14" i="14"/>
  <c r="U10" i="14"/>
  <c r="J10" i="14"/>
  <c r="U9" i="14"/>
  <c r="J9" i="14"/>
  <c r="U8" i="14"/>
  <c r="J8" i="14"/>
  <c r="U7" i="14"/>
  <c r="J7" i="14"/>
  <c r="U6" i="14"/>
  <c r="J6" i="14"/>
  <c r="U5" i="14"/>
  <c r="J5" i="14"/>
  <c r="T16" i="13"/>
  <c r="T30" i="13" s="1"/>
  <c r="S16" i="13"/>
  <c r="S29" i="13" s="1"/>
  <c r="R16" i="13"/>
  <c r="R30" i="13" s="1"/>
  <c r="Q16" i="13"/>
  <c r="Q30" i="13" s="1"/>
  <c r="P16" i="13"/>
  <c r="P30" i="13" s="1"/>
  <c r="O16" i="13"/>
  <c r="O30" i="13" s="1"/>
  <c r="N16" i="13"/>
  <c r="N30" i="13" s="1"/>
  <c r="M16" i="13"/>
  <c r="M30" i="13" s="1"/>
  <c r="I16" i="13"/>
  <c r="I30" i="13" s="1"/>
  <c r="H16" i="13"/>
  <c r="H30" i="13" s="1"/>
  <c r="G16" i="13"/>
  <c r="G30" i="13" s="1"/>
  <c r="F16" i="13"/>
  <c r="F30" i="13" s="1"/>
  <c r="E16" i="13"/>
  <c r="E30" i="13" s="1"/>
  <c r="D16" i="13"/>
  <c r="D30" i="13" s="1"/>
  <c r="C16" i="13"/>
  <c r="C30" i="13" s="1"/>
  <c r="B16" i="13"/>
  <c r="B29" i="13" s="1"/>
  <c r="U15" i="13"/>
  <c r="J15" i="13"/>
  <c r="U14" i="13"/>
  <c r="J14" i="13"/>
  <c r="U10" i="13"/>
  <c r="J10" i="13"/>
  <c r="U9" i="13"/>
  <c r="J9" i="13"/>
  <c r="U8" i="13"/>
  <c r="J8" i="13"/>
  <c r="U7" i="13"/>
  <c r="J7" i="13"/>
  <c r="U6" i="13"/>
  <c r="J6" i="13"/>
  <c r="U5" i="13"/>
  <c r="J5" i="13"/>
  <c r="T16" i="12"/>
  <c r="T30" i="12" s="1"/>
  <c r="S16" i="12"/>
  <c r="S30" i="12" s="1"/>
  <c r="R16" i="12"/>
  <c r="R30" i="12" s="1"/>
  <c r="Q16" i="12"/>
  <c r="Q30" i="12" s="1"/>
  <c r="P16" i="12"/>
  <c r="P30" i="12" s="1"/>
  <c r="O16" i="12"/>
  <c r="O29" i="12" s="1"/>
  <c r="N16" i="12"/>
  <c r="N30" i="12" s="1"/>
  <c r="M16" i="12"/>
  <c r="M30" i="12" s="1"/>
  <c r="I16" i="12"/>
  <c r="I30" i="12" s="1"/>
  <c r="H16" i="12"/>
  <c r="H30" i="12" s="1"/>
  <c r="G16" i="12"/>
  <c r="G30" i="12" s="1"/>
  <c r="F16" i="12"/>
  <c r="F30" i="12" s="1"/>
  <c r="E16" i="12"/>
  <c r="E30" i="12" s="1"/>
  <c r="D16" i="12"/>
  <c r="D30" i="12" s="1"/>
  <c r="C16" i="12"/>
  <c r="C30" i="12" s="1"/>
  <c r="B16" i="12"/>
  <c r="B29" i="12" s="1"/>
  <c r="U15" i="12"/>
  <c r="J15" i="12"/>
  <c r="U14" i="12"/>
  <c r="J14" i="12"/>
  <c r="U10" i="12"/>
  <c r="J10" i="12"/>
  <c r="U9" i="12"/>
  <c r="J9" i="12"/>
  <c r="U8" i="12"/>
  <c r="J8" i="12"/>
  <c r="U7" i="12"/>
  <c r="J7" i="12"/>
  <c r="U6" i="12"/>
  <c r="J6" i="12"/>
  <c r="U5" i="12"/>
  <c r="J5" i="12"/>
  <c r="T16" i="11"/>
  <c r="T31" i="11" s="1"/>
  <c r="S16" i="11"/>
  <c r="S32" i="11" s="1"/>
  <c r="R16" i="11"/>
  <c r="R33" i="11" s="1"/>
  <c r="Q16" i="11"/>
  <c r="Q30" i="11" s="1"/>
  <c r="P16" i="11"/>
  <c r="P31" i="11" s="1"/>
  <c r="O16" i="11"/>
  <c r="O32" i="11" s="1"/>
  <c r="N16" i="11"/>
  <c r="N33" i="11" s="1"/>
  <c r="M16" i="11"/>
  <c r="M30" i="11" s="1"/>
  <c r="I16" i="11"/>
  <c r="I31" i="11" s="1"/>
  <c r="H16" i="11"/>
  <c r="H32" i="11" s="1"/>
  <c r="G16" i="11"/>
  <c r="G33" i="11" s="1"/>
  <c r="F16" i="11"/>
  <c r="F30" i="11" s="1"/>
  <c r="E16" i="11"/>
  <c r="E31" i="11" s="1"/>
  <c r="D16" i="11"/>
  <c r="D32" i="11" s="1"/>
  <c r="C16" i="11"/>
  <c r="C33" i="11" s="1"/>
  <c r="B16" i="11"/>
  <c r="B29" i="11" s="1"/>
  <c r="U15" i="11"/>
  <c r="J15" i="11"/>
  <c r="U14" i="11"/>
  <c r="J14" i="11"/>
  <c r="U10" i="11"/>
  <c r="J10" i="11"/>
  <c r="U9" i="11"/>
  <c r="J9" i="11"/>
  <c r="U8" i="11"/>
  <c r="J8" i="11"/>
  <c r="U7" i="11"/>
  <c r="J7" i="11"/>
  <c r="U6" i="11"/>
  <c r="J6" i="11"/>
  <c r="U5" i="11"/>
  <c r="J5" i="11"/>
  <c r="R16" i="7"/>
  <c r="R33" i="7" s="1"/>
  <c r="U8" i="7"/>
  <c r="U7" i="7"/>
  <c r="J8" i="7"/>
  <c r="J7" i="7"/>
  <c r="G16" i="7"/>
  <c r="G33" i="7" s="1"/>
  <c r="J15" i="7"/>
  <c r="J14" i="7"/>
  <c r="J10" i="7"/>
  <c r="J9" i="7"/>
  <c r="J6" i="7"/>
  <c r="J5" i="7"/>
  <c r="U15" i="7"/>
  <c r="U14" i="7"/>
  <c r="U10" i="7"/>
  <c r="U9" i="7"/>
  <c r="U6" i="7"/>
  <c r="U5" i="7"/>
  <c r="T16" i="7"/>
  <c r="T31" i="7" s="1"/>
  <c r="S16" i="7"/>
  <c r="S32" i="7" s="1"/>
  <c r="Q16" i="7"/>
  <c r="Q30" i="7" s="1"/>
  <c r="P16" i="7"/>
  <c r="P31" i="7" s="1"/>
  <c r="O16" i="7"/>
  <c r="O32" i="7" s="1"/>
  <c r="N16" i="7"/>
  <c r="N33" i="7" s="1"/>
  <c r="M16" i="7"/>
  <c r="M30" i="7" s="1"/>
  <c r="I16" i="7"/>
  <c r="I31" i="7" s="1"/>
  <c r="H16" i="7"/>
  <c r="H32" i="7" s="1"/>
  <c r="F16" i="7"/>
  <c r="F30" i="7" s="1"/>
  <c r="E16" i="7"/>
  <c r="E31" i="7" s="1"/>
  <c r="D16" i="7"/>
  <c r="D32" i="7" s="1"/>
  <c r="C16" i="7"/>
  <c r="C33" i="7" s="1"/>
  <c r="B16" i="7"/>
  <c r="B29" i="7" s="1"/>
  <c r="I16" i="18" l="1"/>
  <c r="I33" i="18" s="1"/>
  <c r="R16" i="18"/>
  <c r="R33" i="18" s="1"/>
  <c r="U13" i="18"/>
  <c r="N16" i="18"/>
  <c r="N33" i="18" s="1"/>
  <c r="F16" i="18"/>
  <c r="F33" i="18" s="1"/>
  <c r="M16" i="18"/>
  <c r="M33" i="18" s="1"/>
  <c r="E16" i="18"/>
  <c r="E30" i="18" s="1"/>
  <c r="B16" i="18"/>
  <c r="B33" i="18" s="1"/>
  <c r="O29" i="17"/>
  <c r="O28" i="14"/>
  <c r="O30" i="12"/>
  <c r="O47" i="12" s="1"/>
  <c r="O29" i="15"/>
  <c r="O28" i="12"/>
  <c r="Q47" i="7"/>
  <c r="O30" i="16"/>
  <c r="O47" i="16" s="1"/>
  <c r="O29" i="13"/>
  <c r="O28" i="7"/>
  <c r="O28" i="16"/>
  <c r="O30" i="14"/>
  <c r="O47" i="14" s="1"/>
  <c r="O29" i="11"/>
  <c r="C16" i="18"/>
  <c r="C33" i="18" s="1"/>
  <c r="G16" i="18"/>
  <c r="G33" i="18" s="1"/>
  <c r="S28" i="17"/>
  <c r="S30" i="17"/>
  <c r="S47" i="17" s="1"/>
  <c r="S29" i="16"/>
  <c r="S28" i="15"/>
  <c r="S30" i="15"/>
  <c r="S47" i="15" s="1"/>
  <c r="S29" i="14"/>
  <c r="S28" i="13"/>
  <c r="S30" i="13"/>
  <c r="S47" i="13" s="1"/>
  <c r="S29" i="12"/>
  <c r="S28" i="11"/>
  <c r="S30" i="11"/>
  <c r="J11" i="18"/>
  <c r="J12" i="18"/>
  <c r="J13" i="18"/>
  <c r="U11" i="18"/>
  <c r="O28" i="17"/>
  <c r="O28" i="15"/>
  <c r="O28" i="13"/>
  <c r="O28" i="11"/>
  <c r="O30" i="11"/>
  <c r="O30" i="7"/>
  <c r="S28" i="16"/>
  <c r="S28" i="14"/>
  <c r="S28" i="12"/>
  <c r="S29" i="11"/>
  <c r="O29" i="7"/>
  <c r="Q47" i="11"/>
  <c r="Q47" i="12"/>
  <c r="Q47" i="13"/>
  <c r="Q47" i="14"/>
  <c r="Q47" i="15"/>
  <c r="Q47" i="16"/>
  <c r="Q47" i="17"/>
  <c r="S47" i="16"/>
  <c r="S47" i="14"/>
  <c r="S47" i="12"/>
  <c r="P47" i="12"/>
  <c r="T47" i="12"/>
  <c r="P47" i="13"/>
  <c r="T47" i="13"/>
  <c r="P47" i="14"/>
  <c r="T47" i="14"/>
  <c r="P47" i="15"/>
  <c r="T47" i="15"/>
  <c r="P47" i="16"/>
  <c r="T47" i="16"/>
  <c r="P47" i="17"/>
  <c r="T47" i="17"/>
  <c r="N47" i="12"/>
  <c r="R47" i="12"/>
  <c r="N47" i="13"/>
  <c r="R47" i="13"/>
  <c r="N47" i="14"/>
  <c r="R47" i="14"/>
  <c r="N47" i="15"/>
  <c r="R47" i="15"/>
  <c r="N47" i="16"/>
  <c r="R47" i="16"/>
  <c r="N47" i="17"/>
  <c r="R47" i="17"/>
  <c r="O47" i="17"/>
  <c r="O47" i="15"/>
  <c r="O47" i="13"/>
  <c r="S16" i="18"/>
  <c r="S33" i="18" s="1"/>
  <c r="S29" i="7"/>
  <c r="F28" i="17"/>
  <c r="B30" i="17"/>
  <c r="M47" i="17" s="1"/>
  <c r="F28" i="16"/>
  <c r="B30" i="16"/>
  <c r="M47" i="16" s="1"/>
  <c r="F28" i="15"/>
  <c r="B30" i="15"/>
  <c r="M47" i="15" s="1"/>
  <c r="F28" i="14"/>
  <c r="B30" i="14"/>
  <c r="M47" i="14" s="1"/>
  <c r="F28" i="13"/>
  <c r="B30" i="13"/>
  <c r="M47" i="13" s="1"/>
  <c r="F28" i="12"/>
  <c r="B30" i="12"/>
  <c r="M47" i="12" s="1"/>
  <c r="F28" i="11"/>
  <c r="B30" i="11"/>
  <c r="M47" i="11" s="1"/>
  <c r="F28" i="7"/>
  <c r="B30" i="7"/>
  <c r="M47" i="7" s="1"/>
  <c r="M28" i="17"/>
  <c r="Q28" i="17"/>
  <c r="M29" i="17"/>
  <c r="M46" i="17" s="1"/>
  <c r="Q29" i="17"/>
  <c r="M28" i="16"/>
  <c r="Q28" i="16"/>
  <c r="M29" i="16"/>
  <c r="M46" i="16" s="1"/>
  <c r="Q29" i="16"/>
  <c r="M28" i="15"/>
  <c r="Q28" i="15"/>
  <c r="M29" i="15"/>
  <c r="M46" i="15" s="1"/>
  <c r="Q29" i="15"/>
  <c r="M28" i="14"/>
  <c r="Q28" i="14"/>
  <c r="M29" i="14"/>
  <c r="M46" i="14" s="1"/>
  <c r="Q29" i="14"/>
  <c r="M28" i="13"/>
  <c r="Q28" i="13"/>
  <c r="M29" i="13"/>
  <c r="M46" i="13" s="1"/>
  <c r="Q29" i="13"/>
  <c r="M28" i="12"/>
  <c r="Q28" i="12"/>
  <c r="M29" i="12"/>
  <c r="M46" i="12" s="1"/>
  <c r="Q29" i="12"/>
  <c r="M28" i="11"/>
  <c r="Q28" i="11"/>
  <c r="M29" i="11"/>
  <c r="M46" i="11" s="1"/>
  <c r="Q29" i="11"/>
  <c r="M28" i="7"/>
  <c r="Q28" i="7"/>
  <c r="M29" i="7"/>
  <c r="M46" i="7" s="1"/>
  <c r="Q29" i="7"/>
  <c r="D28" i="17"/>
  <c r="H28" i="17"/>
  <c r="D29" i="17"/>
  <c r="H29" i="17"/>
  <c r="S46" i="17" s="1"/>
  <c r="D28" i="16"/>
  <c r="H28" i="16"/>
  <c r="D29" i="16"/>
  <c r="O46" i="16" s="1"/>
  <c r="H29" i="16"/>
  <c r="D28" i="15"/>
  <c r="H28" i="15"/>
  <c r="D29" i="15"/>
  <c r="H29" i="15"/>
  <c r="S46" i="15" s="1"/>
  <c r="D28" i="14"/>
  <c r="H28" i="14"/>
  <c r="D29" i="14"/>
  <c r="O46" i="14" s="1"/>
  <c r="H29" i="14"/>
  <c r="D28" i="13"/>
  <c r="H28" i="13"/>
  <c r="D29" i="13"/>
  <c r="H29" i="13"/>
  <c r="S46" i="13" s="1"/>
  <c r="D28" i="12"/>
  <c r="H28" i="12"/>
  <c r="D29" i="12"/>
  <c r="O46" i="12" s="1"/>
  <c r="H29" i="12"/>
  <c r="D28" i="11"/>
  <c r="H28" i="11"/>
  <c r="D29" i="11"/>
  <c r="H29" i="11"/>
  <c r="D30" i="11"/>
  <c r="H30" i="11"/>
  <c r="D28" i="7"/>
  <c r="H28" i="7"/>
  <c r="D29" i="7"/>
  <c r="H29" i="7"/>
  <c r="D30" i="7"/>
  <c r="H30" i="7"/>
  <c r="S28" i="7"/>
  <c r="B28" i="17"/>
  <c r="F29" i="17"/>
  <c r="B28" i="16"/>
  <c r="F29" i="16"/>
  <c r="B28" i="15"/>
  <c r="F29" i="15"/>
  <c r="B28" i="14"/>
  <c r="F29" i="14"/>
  <c r="B28" i="13"/>
  <c r="F29" i="13"/>
  <c r="B28" i="12"/>
  <c r="F29" i="12"/>
  <c r="B28" i="11"/>
  <c r="F29" i="11"/>
  <c r="B28" i="7"/>
  <c r="F29" i="7"/>
  <c r="U12" i="18"/>
  <c r="P28" i="17"/>
  <c r="T28" i="17"/>
  <c r="P29" i="17"/>
  <c r="T29" i="17"/>
  <c r="P28" i="16"/>
  <c r="T28" i="16"/>
  <c r="P29" i="16"/>
  <c r="T29" i="16"/>
  <c r="P28" i="15"/>
  <c r="T28" i="15"/>
  <c r="P29" i="15"/>
  <c r="T29" i="15"/>
  <c r="P28" i="14"/>
  <c r="T28" i="14"/>
  <c r="P29" i="14"/>
  <c r="T29" i="14"/>
  <c r="P28" i="13"/>
  <c r="T28" i="13"/>
  <c r="P29" i="13"/>
  <c r="T29" i="13"/>
  <c r="P28" i="12"/>
  <c r="T28" i="12"/>
  <c r="P29" i="12"/>
  <c r="T29" i="12"/>
  <c r="P28" i="11"/>
  <c r="T28" i="11"/>
  <c r="P29" i="11"/>
  <c r="T29" i="11"/>
  <c r="P30" i="11"/>
  <c r="T30" i="11"/>
  <c r="P28" i="7"/>
  <c r="T28" i="7"/>
  <c r="P29" i="7"/>
  <c r="T29" i="7"/>
  <c r="P30" i="7"/>
  <c r="T30" i="7"/>
  <c r="C28" i="17"/>
  <c r="G28" i="17"/>
  <c r="C29" i="17"/>
  <c r="G29" i="17"/>
  <c r="C28" i="16"/>
  <c r="G28" i="16"/>
  <c r="C29" i="16"/>
  <c r="G29" i="16"/>
  <c r="C28" i="15"/>
  <c r="G28" i="15"/>
  <c r="C29" i="15"/>
  <c r="G29" i="15"/>
  <c r="C28" i="14"/>
  <c r="G28" i="14"/>
  <c r="C29" i="14"/>
  <c r="G29" i="14"/>
  <c r="C28" i="13"/>
  <c r="G28" i="13"/>
  <c r="C29" i="13"/>
  <c r="G29" i="13"/>
  <c r="C28" i="12"/>
  <c r="G28" i="12"/>
  <c r="C29" i="12"/>
  <c r="G29" i="12"/>
  <c r="C28" i="11"/>
  <c r="G28" i="11"/>
  <c r="C29" i="11"/>
  <c r="G29" i="11"/>
  <c r="C30" i="11"/>
  <c r="G30" i="11"/>
  <c r="C28" i="7"/>
  <c r="G28" i="7"/>
  <c r="C29" i="7"/>
  <c r="G29" i="7"/>
  <c r="C30" i="7"/>
  <c r="G30" i="7"/>
  <c r="S30" i="7"/>
  <c r="N28" i="17"/>
  <c r="R28" i="17"/>
  <c r="N29" i="17"/>
  <c r="R29" i="17"/>
  <c r="N28" i="16"/>
  <c r="R28" i="16"/>
  <c r="N29" i="16"/>
  <c r="R29" i="16"/>
  <c r="N28" i="15"/>
  <c r="R28" i="15"/>
  <c r="N29" i="15"/>
  <c r="R29" i="15"/>
  <c r="N28" i="14"/>
  <c r="R28" i="14"/>
  <c r="N29" i="14"/>
  <c r="R29" i="14"/>
  <c r="N28" i="13"/>
  <c r="R28" i="13"/>
  <c r="N29" i="13"/>
  <c r="R29" i="13"/>
  <c r="N28" i="12"/>
  <c r="R28" i="12"/>
  <c r="N29" i="12"/>
  <c r="R29" i="12"/>
  <c r="N28" i="11"/>
  <c r="R28" i="11"/>
  <c r="N29" i="11"/>
  <c r="R29" i="11"/>
  <c r="N30" i="11"/>
  <c r="R30" i="11"/>
  <c r="N28" i="7"/>
  <c r="R28" i="7"/>
  <c r="N29" i="7"/>
  <c r="R29" i="7"/>
  <c r="N30" i="7"/>
  <c r="R30" i="7"/>
  <c r="E28" i="17"/>
  <c r="I28" i="17"/>
  <c r="E29" i="17"/>
  <c r="I29" i="17"/>
  <c r="E28" i="16"/>
  <c r="I28" i="16"/>
  <c r="E29" i="16"/>
  <c r="I29" i="16"/>
  <c r="E28" i="15"/>
  <c r="I28" i="15"/>
  <c r="E29" i="15"/>
  <c r="I29" i="15"/>
  <c r="E28" i="14"/>
  <c r="I28" i="14"/>
  <c r="E29" i="14"/>
  <c r="I29" i="14"/>
  <c r="E28" i="13"/>
  <c r="I28" i="13"/>
  <c r="E29" i="13"/>
  <c r="I29" i="13"/>
  <c r="E28" i="12"/>
  <c r="I28" i="12"/>
  <c r="E29" i="12"/>
  <c r="I29" i="12"/>
  <c r="E28" i="11"/>
  <c r="I28" i="11"/>
  <c r="E29" i="11"/>
  <c r="I29" i="11"/>
  <c r="E30" i="11"/>
  <c r="I30" i="11"/>
  <c r="E28" i="7"/>
  <c r="I28" i="7"/>
  <c r="E29" i="7"/>
  <c r="I29" i="7"/>
  <c r="E30" i="7"/>
  <c r="I30" i="7"/>
  <c r="T16" i="18"/>
  <c r="T33" i="18" s="1"/>
  <c r="Q16" i="18"/>
  <c r="Q33" i="18" s="1"/>
  <c r="O16" i="18"/>
  <c r="O33" i="18" s="1"/>
  <c r="C31" i="12"/>
  <c r="C25" i="12"/>
  <c r="C23" i="12"/>
  <c r="C32" i="12"/>
  <c r="C26" i="12"/>
  <c r="C33" i="12"/>
  <c r="C27" i="12"/>
  <c r="C24" i="12"/>
  <c r="C22" i="12"/>
  <c r="G31" i="12"/>
  <c r="G25" i="12"/>
  <c r="G23" i="12"/>
  <c r="G22" i="12"/>
  <c r="G32" i="12"/>
  <c r="G26" i="12"/>
  <c r="G33" i="12"/>
  <c r="G27" i="12"/>
  <c r="G24" i="12"/>
  <c r="N31" i="12"/>
  <c r="N25" i="12"/>
  <c r="N23" i="12"/>
  <c r="N32" i="12"/>
  <c r="N26" i="12"/>
  <c r="N33" i="12"/>
  <c r="N27" i="12"/>
  <c r="N24" i="12"/>
  <c r="N22" i="12"/>
  <c r="R31" i="12"/>
  <c r="R25" i="12"/>
  <c r="R23" i="12"/>
  <c r="R32" i="12"/>
  <c r="R26" i="12"/>
  <c r="R33" i="12"/>
  <c r="R27" i="12"/>
  <c r="R24" i="12"/>
  <c r="R22" i="12"/>
  <c r="C33" i="13"/>
  <c r="C27" i="13"/>
  <c r="C32" i="13"/>
  <c r="C25" i="13"/>
  <c r="C23" i="13"/>
  <c r="C31" i="13"/>
  <c r="C26" i="13"/>
  <c r="C24" i="13"/>
  <c r="C22" i="13"/>
  <c r="G33" i="13"/>
  <c r="G27" i="13"/>
  <c r="G31" i="13"/>
  <c r="G26" i="13"/>
  <c r="G25" i="13"/>
  <c r="G23" i="13"/>
  <c r="G24" i="13"/>
  <c r="G32" i="13"/>
  <c r="G22" i="13"/>
  <c r="N33" i="13"/>
  <c r="N27" i="13"/>
  <c r="N24" i="13"/>
  <c r="N23" i="13"/>
  <c r="N32" i="13"/>
  <c r="N22" i="13"/>
  <c r="N31" i="13"/>
  <c r="N26" i="13"/>
  <c r="N25" i="13"/>
  <c r="R33" i="13"/>
  <c r="R27" i="13"/>
  <c r="R24" i="13"/>
  <c r="R32" i="13"/>
  <c r="R22" i="13"/>
  <c r="R31" i="13"/>
  <c r="R26" i="13"/>
  <c r="R25" i="13"/>
  <c r="R23" i="13"/>
  <c r="C33" i="14"/>
  <c r="C27" i="14"/>
  <c r="C24" i="14"/>
  <c r="C31" i="14"/>
  <c r="C25" i="14"/>
  <c r="C32" i="14"/>
  <c r="C23" i="14"/>
  <c r="C22" i="14"/>
  <c r="C26" i="14"/>
  <c r="G33" i="14"/>
  <c r="G27" i="14"/>
  <c r="G24" i="14"/>
  <c r="G31" i="14"/>
  <c r="G25" i="14"/>
  <c r="G23" i="14"/>
  <c r="G26" i="14"/>
  <c r="G22" i="14"/>
  <c r="G32" i="14"/>
  <c r="N33" i="14"/>
  <c r="N27" i="14"/>
  <c r="N24" i="14"/>
  <c r="N31" i="14"/>
  <c r="N25" i="14"/>
  <c r="N23" i="14"/>
  <c r="N26" i="14"/>
  <c r="N22" i="14"/>
  <c r="N32" i="14"/>
  <c r="R33" i="14"/>
  <c r="R27" i="14"/>
  <c r="R24" i="14"/>
  <c r="R31" i="14"/>
  <c r="R25" i="14"/>
  <c r="R23" i="14"/>
  <c r="R22" i="14"/>
  <c r="R32" i="14"/>
  <c r="R26" i="14"/>
  <c r="C33" i="15"/>
  <c r="C27" i="15"/>
  <c r="C24" i="15"/>
  <c r="C31" i="15"/>
  <c r="C25" i="15"/>
  <c r="C23" i="15"/>
  <c r="C22" i="15"/>
  <c r="C32" i="15"/>
  <c r="C26" i="15"/>
  <c r="G33" i="15"/>
  <c r="G27" i="15"/>
  <c r="G24" i="15"/>
  <c r="G31" i="15"/>
  <c r="G25" i="15"/>
  <c r="G23" i="15"/>
  <c r="G26" i="15"/>
  <c r="G22" i="15"/>
  <c r="G32" i="15"/>
  <c r="N24" i="15"/>
  <c r="N32" i="15"/>
  <c r="N26" i="15"/>
  <c r="N23" i="15"/>
  <c r="N25" i="15"/>
  <c r="N27" i="15"/>
  <c r="N31" i="15"/>
  <c r="N22" i="15"/>
  <c r="N33" i="15"/>
  <c r="R24" i="15"/>
  <c r="R32" i="15"/>
  <c r="R26" i="15"/>
  <c r="R23" i="15"/>
  <c r="R31" i="15"/>
  <c r="R22" i="15"/>
  <c r="R33" i="15"/>
  <c r="R25" i="15"/>
  <c r="R27" i="15"/>
  <c r="C33" i="16"/>
  <c r="C27" i="16"/>
  <c r="C24" i="16"/>
  <c r="C31" i="16"/>
  <c r="C25" i="16"/>
  <c r="C23" i="16"/>
  <c r="C22" i="16"/>
  <c r="C32" i="16"/>
  <c r="C26" i="16"/>
  <c r="G33" i="16"/>
  <c r="G27" i="16"/>
  <c r="G24" i="16"/>
  <c r="G31" i="16"/>
  <c r="G25" i="16"/>
  <c r="G23" i="16"/>
  <c r="G26" i="16"/>
  <c r="G22" i="16"/>
  <c r="G32" i="16"/>
  <c r="N33" i="16"/>
  <c r="N27" i="16"/>
  <c r="N24" i="16"/>
  <c r="N31" i="16"/>
  <c r="N25" i="16"/>
  <c r="N23" i="16"/>
  <c r="N26" i="16"/>
  <c r="N22" i="16"/>
  <c r="N32" i="16"/>
  <c r="R33" i="16"/>
  <c r="R27" i="16"/>
  <c r="R24" i="16"/>
  <c r="R31" i="16"/>
  <c r="R25" i="16"/>
  <c r="R23" i="16"/>
  <c r="R22" i="16"/>
  <c r="R32" i="16"/>
  <c r="R26" i="16"/>
  <c r="C33" i="17"/>
  <c r="C27" i="17"/>
  <c r="C24" i="17"/>
  <c r="C31" i="17"/>
  <c r="C25" i="17"/>
  <c r="C23" i="17"/>
  <c r="C22" i="17"/>
  <c r="C32" i="17"/>
  <c r="C26" i="17"/>
  <c r="G33" i="17"/>
  <c r="G27" i="17"/>
  <c r="G24" i="17"/>
  <c r="G31" i="17"/>
  <c r="G25" i="17"/>
  <c r="G23" i="17"/>
  <c r="G26" i="17"/>
  <c r="G22" i="17"/>
  <c r="G32" i="17"/>
  <c r="N33" i="17"/>
  <c r="N27" i="17"/>
  <c r="N24" i="17"/>
  <c r="N31" i="17"/>
  <c r="N25" i="17"/>
  <c r="N23" i="17"/>
  <c r="N26" i="17"/>
  <c r="N22" i="17"/>
  <c r="N32" i="17"/>
  <c r="R33" i="17"/>
  <c r="R27" i="17"/>
  <c r="R24" i="17"/>
  <c r="R31" i="17"/>
  <c r="R25" i="17"/>
  <c r="R23" i="17"/>
  <c r="R22" i="17"/>
  <c r="R32" i="17"/>
  <c r="R26" i="17"/>
  <c r="E22" i="7"/>
  <c r="I22" i="7"/>
  <c r="D23" i="7"/>
  <c r="H23" i="7"/>
  <c r="B24" i="7"/>
  <c r="F24" i="7"/>
  <c r="D25" i="7"/>
  <c r="H25" i="7"/>
  <c r="C26" i="7"/>
  <c r="G26" i="7"/>
  <c r="B27" i="7"/>
  <c r="F27" i="7"/>
  <c r="D31" i="7"/>
  <c r="H31" i="7"/>
  <c r="C32" i="7"/>
  <c r="G32" i="7"/>
  <c r="B33" i="7"/>
  <c r="F33" i="7"/>
  <c r="P22" i="7"/>
  <c r="T22" i="7"/>
  <c r="O23" i="7"/>
  <c r="S23" i="7"/>
  <c r="M24" i="7"/>
  <c r="Q24" i="7"/>
  <c r="O25" i="7"/>
  <c r="S25" i="7"/>
  <c r="N26" i="7"/>
  <c r="R26" i="7"/>
  <c r="M27" i="7"/>
  <c r="Q27" i="7"/>
  <c r="O31" i="7"/>
  <c r="S31" i="7"/>
  <c r="N32" i="7"/>
  <c r="R32" i="7"/>
  <c r="M33" i="7"/>
  <c r="Q33" i="7"/>
  <c r="E22" i="11"/>
  <c r="I22" i="11"/>
  <c r="D23" i="11"/>
  <c r="H23" i="11"/>
  <c r="B24" i="11"/>
  <c r="F24" i="11"/>
  <c r="D25" i="11"/>
  <c r="H25" i="11"/>
  <c r="C26" i="11"/>
  <c r="G26" i="11"/>
  <c r="B27" i="11"/>
  <c r="F27" i="11"/>
  <c r="D31" i="11"/>
  <c r="H31" i="11"/>
  <c r="C32" i="11"/>
  <c r="G32" i="11"/>
  <c r="B33" i="11"/>
  <c r="F33" i="11"/>
  <c r="P22" i="11"/>
  <c r="T22" i="11"/>
  <c r="O23" i="11"/>
  <c r="S23" i="11"/>
  <c r="M24" i="11"/>
  <c r="Q24" i="11"/>
  <c r="O25" i="11"/>
  <c r="S25" i="11"/>
  <c r="N26" i="11"/>
  <c r="R26" i="11"/>
  <c r="M27" i="11"/>
  <c r="Q27" i="11"/>
  <c r="O31" i="11"/>
  <c r="S31" i="11"/>
  <c r="N32" i="11"/>
  <c r="R32" i="11"/>
  <c r="M33" i="11"/>
  <c r="Q33" i="11"/>
  <c r="F32" i="12"/>
  <c r="F26" i="12"/>
  <c r="F33" i="12"/>
  <c r="F27" i="12"/>
  <c r="F24" i="12"/>
  <c r="F23" i="12"/>
  <c r="F22" i="12"/>
  <c r="F25" i="12"/>
  <c r="F31" i="12"/>
  <c r="M32" i="12"/>
  <c r="M26" i="12"/>
  <c r="M33" i="12"/>
  <c r="M27" i="12"/>
  <c r="M24" i="12"/>
  <c r="M22" i="12"/>
  <c r="M31" i="12"/>
  <c r="M25" i="12"/>
  <c r="M23" i="12"/>
  <c r="Q32" i="12"/>
  <c r="Q26" i="12"/>
  <c r="Q33" i="12"/>
  <c r="Q27" i="12"/>
  <c r="Q24" i="12"/>
  <c r="Q22" i="12"/>
  <c r="Q31" i="12"/>
  <c r="Q25" i="12"/>
  <c r="Q23" i="12"/>
  <c r="B31" i="13"/>
  <c r="B26" i="13"/>
  <c r="B24" i="13"/>
  <c r="B33" i="13"/>
  <c r="B22" i="13"/>
  <c r="B32" i="13"/>
  <c r="B27" i="13"/>
  <c r="B25" i="13"/>
  <c r="B23" i="13"/>
  <c r="F33" i="13"/>
  <c r="F24" i="13"/>
  <c r="F32" i="13"/>
  <c r="F27" i="13"/>
  <c r="F22" i="13"/>
  <c r="F31" i="13"/>
  <c r="F26" i="13"/>
  <c r="F25" i="13"/>
  <c r="F23" i="13"/>
  <c r="M22" i="13"/>
  <c r="M32" i="13"/>
  <c r="M27" i="13"/>
  <c r="M31" i="13"/>
  <c r="M26" i="13"/>
  <c r="M24" i="13"/>
  <c r="M25" i="13"/>
  <c r="M33" i="13"/>
  <c r="M23" i="13"/>
  <c r="Q22" i="13"/>
  <c r="Q31" i="13"/>
  <c r="Q26" i="13"/>
  <c r="Q24" i="13"/>
  <c r="Q25" i="13"/>
  <c r="Q33" i="13"/>
  <c r="Q23" i="13"/>
  <c r="Q32" i="13"/>
  <c r="Q27" i="13"/>
  <c r="B22" i="14"/>
  <c r="B32" i="14"/>
  <c r="B26" i="14"/>
  <c r="B31" i="14"/>
  <c r="B23" i="14"/>
  <c r="B33" i="14"/>
  <c r="B25" i="14"/>
  <c r="B24" i="14"/>
  <c r="B27" i="14"/>
  <c r="F22" i="14"/>
  <c r="F32" i="14"/>
  <c r="F26" i="14"/>
  <c r="F25" i="14"/>
  <c r="F27" i="14"/>
  <c r="F24" i="14"/>
  <c r="F31" i="14"/>
  <c r="F33" i="14"/>
  <c r="F23" i="14"/>
  <c r="M22" i="14"/>
  <c r="M32" i="14"/>
  <c r="M26" i="14"/>
  <c r="M25" i="14"/>
  <c r="M27" i="14"/>
  <c r="M31" i="14"/>
  <c r="M23" i="14"/>
  <c r="M33" i="14"/>
  <c r="M24" i="14"/>
  <c r="Q22" i="14"/>
  <c r="Q32" i="14"/>
  <c r="Q26" i="14"/>
  <c r="Q31" i="14"/>
  <c r="Q23" i="14"/>
  <c r="Q33" i="14"/>
  <c r="Q24" i="14"/>
  <c r="Q25" i="14"/>
  <c r="Q27" i="14"/>
  <c r="B22" i="15"/>
  <c r="B32" i="15"/>
  <c r="B26" i="15"/>
  <c r="B31" i="15"/>
  <c r="B23" i="15"/>
  <c r="B33" i="15"/>
  <c r="B24" i="15"/>
  <c r="B25" i="15"/>
  <c r="B27" i="15"/>
  <c r="F22" i="15"/>
  <c r="F32" i="15"/>
  <c r="F26" i="15"/>
  <c r="F25" i="15"/>
  <c r="F27" i="15"/>
  <c r="F31" i="15"/>
  <c r="F23" i="15"/>
  <c r="F33" i="15"/>
  <c r="F24" i="15"/>
  <c r="M31" i="15"/>
  <c r="M25" i="15"/>
  <c r="M22" i="15"/>
  <c r="M33" i="15"/>
  <c r="M27" i="15"/>
  <c r="M26" i="15"/>
  <c r="M32" i="15"/>
  <c r="M23" i="15"/>
  <c r="M24" i="15"/>
  <c r="Q31" i="15"/>
  <c r="Q25" i="15"/>
  <c r="Q22" i="15"/>
  <c r="Q33" i="15"/>
  <c r="Q27" i="15"/>
  <c r="Q32" i="15"/>
  <c r="Q23" i="15"/>
  <c r="Q24" i="15"/>
  <c r="Q26" i="15"/>
  <c r="B22" i="16"/>
  <c r="B32" i="16"/>
  <c r="B26" i="16"/>
  <c r="B31" i="16"/>
  <c r="B23" i="16"/>
  <c r="B33" i="16"/>
  <c r="B24" i="16"/>
  <c r="B25" i="16"/>
  <c r="B27" i="16"/>
  <c r="F22" i="16"/>
  <c r="F32" i="16"/>
  <c r="F26" i="16"/>
  <c r="F25" i="16"/>
  <c r="F27" i="16"/>
  <c r="F31" i="16"/>
  <c r="F23" i="16"/>
  <c r="F33" i="16"/>
  <c r="F24" i="16"/>
  <c r="M22" i="16"/>
  <c r="M32" i="16"/>
  <c r="M26" i="16"/>
  <c r="M25" i="16"/>
  <c r="M27" i="16"/>
  <c r="M31" i="16"/>
  <c r="M23" i="16"/>
  <c r="M33" i="16"/>
  <c r="M24" i="16"/>
  <c r="Q22" i="16"/>
  <c r="Q32" i="16"/>
  <c r="Q26" i="16"/>
  <c r="Q31" i="16"/>
  <c r="Q23" i="16"/>
  <c r="Q33" i="16"/>
  <c r="Q24" i="16"/>
  <c r="Q25" i="16"/>
  <c r="Q27" i="16"/>
  <c r="B22" i="17"/>
  <c r="B32" i="17"/>
  <c r="B26" i="17"/>
  <c r="B31" i="17"/>
  <c r="B23" i="17"/>
  <c r="B33" i="17"/>
  <c r="B24" i="17"/>
  <c r="B25" i="17"/>
  <c r="B27" i="17"/>
  <c r="F22" i="17"/>
  <c r="F32" i="17"/>
  <c r="F26" i="17"/>
  <c r="F25" i="17"/>
  <c r="F27" i="17"/>
  <c r="F31" i="17"/>
  <c r="F23" i="17"/>
  <c r="F33" i="17"/>
  <c r="F24" i="17"/>
  <c r="M22" i="17"/>
  <c r="M32" i="17"/>
  <c r="M26" i="17"/>
  <c r="M25" i="17"/>
  <c r="M27" i="17"/>
  <c r="M31" i="17"/>
  <c r="M23" i="17"/>
  <c r="M33" i="17"/>
  <c r="M24" i="17"/>
  <c r="Q22" i="17"/>
  <c r="Q32" i="17"/>
  <c r="Q26" i="17"/>
  <c r="Q31" i="17"/>
  <c r="Q23" i="17"/>
  <c r="Q33" i="17"/>
  <c r="Q24" i="17"/>
  <c r="Q25" i="17"/>
  <c r="Q27" i="17"/>
  <c r="D22" i="7"/>
  <c r="H22" i="7"/>
  <c r="C23" i="7"/>
  <c r="G23" i="7"/>
  <c r="E24" i="7"/>
  <c r="I24" i="7"/>
  <c r="C25" i="7"/>
  <c r="G25" i="7"/>
  <c r="B26" i="7"/>
  <c r="F26" i="7"/>
  <c r="E27" i="7"/>
  <c r="I27" i="7"/>
  <c r="C31" i="7"/>
  <c r="G31" i="7"/>
  <c r="B32" i="7"/>
  <c r="F32" i="7"/>
  <c r="E33" i="7"/>
  <c r="I33" i="7"/>
  <c r="O22" i="7"/>
  <c r="S22" i="7"/>
  <c r="N23" i="7"/>
  <c r="R23" i="7"/>
  <c r="P24" i="7"/>
  <c r="T24" i="7"/>
  <c r="N25" i="7"/>
  <c r="R25" i="7"/>
  <c r="M26" i="7"/>
  <c r="Q26" i="7"/>
  <c r="P27" i="7"/>
  <c r="T27" i="7"/>
  <c r="N31" i="7"/>
  <c r="R31" i="7"/>
  <c r="M32" i="7"/>
  <c r="Q32" i="7"/>
  <c r="P33" i="7"/>
  <c r="T33" i="7"/>
  <c r="D22" i="11"/>
  <c r="H22" i="11"/>
  <c r="C23" i="11"/>
  <c r="G23" i="11"/>
  <c r="E24" i="11"/>
  <c r="I24" i="11"/>
  <c r="C25" i="11"/>
  <c r="G25" i="11"/>
  <c r="B26" i="11"/>
  <c r="F26" i="11"/>
  <c r="E27" i="11"/>
  <c r="I27" i="11"/>
  <c r="C31" i="11"/>
  <c r="G31" i="11"/>
  <c r="B32" i="11"/>
  <c r="F32" i="11"/>
  <c r="E33" i="11"/>
  <c r="I33" i="11"/>
  <c r="O22" i="11"/>
  <c r="S22" i="11"/>
  <c r="N23" i="11"/>
  <c r="R23" i="11"/>
  <c r="P24" i="11"/>
  <c r="T24" i="11"/>
  <c r="N25" i="11"/>
  <c r="R25" i="11"/>
  <c r="M26" i="11"/>
  <c r="Q26" i="11"/>
  <c r="P27" i="11"/>
  <c r="T27" i="11"/>
  <c r="N31" i="11"/>
  <c r="R31" i="11"/>
  <c r="M32" i="11"/>
  <c r="Q32" i="11"/>
  <c r="P33" i="11"/>
  <c r="T33" i="11"/>
  <c r="B32" i="12"/>
  <c r="B26" i="12"/>
  <c r="B24" i="12"/>
  <c r="B33" i="12"/>
  <c r="B27" i="12"/>
  <c r="B22" i="12"/>
  <c r="B23" i="12"/>
  <c r="B31" i="12"/>
  <c r="B25" i="12"/>
  <c r="E33" i="12"/>
  <c r="E27" i="12"/>
  <c r="E24" i="12"/>
  <c r="E22" i="12"/>
  <c r="E31" i="12"/>
  <c r="E25" i="12"/>
  <c r="E23" i="12"/>
  <c r="E32" i="12"/>
  <c r="E26" i="12"/>
  <c r="I33" i="12"/>
  <c r="I27" i="12"/>
  <c r="I24" i="12"/>
  <c r="I22" i="12"/>
  <c r="I31" i="12"/>
  <c r="I25" i="12"/>
  <c r="I23" i="12"/>
  <c r="I26" i="12"/>
  <c r="I32" i="12"/>
  <c r="P33" i="12"/>
  <c r="P27" i="12"/>
  <c r="P24" i="12"/>
  <c r="P22" i="12"/>
  <c r="P31" i="12"/>
  <c r="P25" i="12"/>
  <c r="P23" i="12"/>
  <c r="P32" i="12"/>
  <c r="P26" i="12"/>
  <c r="T33" i="12"/>
  <c r="T27" i="12"/>
  <c r="T24" i="12"/>
  <c r="T22" i="12"/>
  <c r="T31" i="12"/>
  <c r="T25" i="12"/>
  <c r="T23" i="12"/>
  <c r="T32" i="12"/>
  <c r="T26" i="12"/>
  <c r="E31" i="13"/>
  <c r="E33" i="13"/>
  <c r="E24" i="13"/>
  <c r="E32" i="13"/>
  <c r="E27" i="13"/>
  <c r="E22" i="13"/>
  <c r="E26" i="13"/>
  <c r="E25" i="13"/>
  <c r="E23" i="13"/>
  <c r="I31" i="13"/>
  <c r="I32" i="13"/>
  <c r="I27" i="13"/>
  <c r="I24" i="13"/>
  <c r="I26" i="13"/>
  <c r="I22" i="13"/>
  <c r="I25" i="13"/>
  <c r="I23" i="13"/>
  <c r="I33" i="13"/>
  <c r="P31" i="13"/>
  <c r="P25" i="13"/>
  <c r="P23" i="13"/>
  <c r="P33" i="13"/>
  <c r="P32" i="13"/>
  <c r="P27" i="13"/>
  <c r="P26" i="13"/>
  <c r="P24" i="13"/>
  <c r="P22" i="13"/>
  <c r="T31" i="13"/>
  <c r="T25" i="13"/>
  <c r="T23" i="13"/>
  <c r="T33" i="13"/>
  <c r="T32" i="13"/>
  <c r="T27" i="13"/>
  <c r="T26" i="13"/>
  <c r="T24" i="13"/>
  <c r="T22" i="13"/>
  <c r="E31" i="14"/>
  <c r="E25" i="14"/>
  <c r="E23" i="14"/>
  <c r="E33" i="14"/>
  <c r="E27" i="14"/>
  <c r="E26" i="14"/>
  <c r="E24" i="14"/>
  <c r="E22" i="14"/>
  <c r="E32" i="14"/>
  <c r="I31" i="14"/>
  <c r="I25" i="14"/>
  <c r="I23" i="14"/>
  <c r="I33" i="14"/>
  <c r="I27" i="14"/>
  <c r="I32" i="14"/>
  <c r="I26" i="14"/>
  <c r="I24" i="14"/>
  <c r="I22" i="14"/>
  <c r="P31" i="14"/>
  <c r="P25" i="14"/>
  <c r="P23" i="14"/>
  <c r="P33" i="14"/>
  <c r="P27" i="14"/>
  <c r="P24" i="14"/>
  <c r="P32" i="14"/>
  <c r="P26" i="14"/>
  <c r="P22" i="14"/>
  <c r="T31" i="14"/>
  <c r="T25" i="14"/>
  <c r="T23" i="14"/>
  <c r="T33" i="14"/>
  <c r="T27" i="14"/>
  <c r="T24" i="14"/>
  <c r="T26" i="14"/>
  <c r="T22" i="14"/>
  <c r="T32" i="14"/>
  <c r="E31" i="15"/>
  <c r="E25" i="15"/>
  <c r="E23" i="15"/>
  <c r="E33" i="15"/>
  <c r="E27" i="15"/>
  <c r="E24" i="15"/>
  <c r="E26" i="15"/>
  <c r="E22" i="15"/>
  <c r="E32" i="15"/>
  <c r="I31" i="15"/>
  <c r="I25" i="15"/>
  <c r="I23" i="15"/>
  <c r="I33" i="15"/>
  <c r="I27" i="15"/>
  <c r="I24" i="15"/>
  <c r="I32" i="15"/>
  <c r="I26" i="15"/>
  <c r="I22" i="15"/>
  <c r="P32" i="15"/>
  <c r="P26" i="15"/>
  <c r="P23" i="15"/>
  <c r="P24" i="15"/>
  <c r="P33" i="15"/>
  <c r="P25" i="15"/>
  <c r="P27" i="15"/>
  <c r="P31" i="15"/>
  <c r="P22" i="15"/>
  <c r="T32" i="15"/>
  <c r="T26" i="15"/>
  <c r="T23" i="15"/>
  <c r="T24" i="15"/>
  <c r="T27" i="15"/>
  <c r="T31" i="15"/>
  <c r="T22" i="15"/>
  <c r="T33" i="15"/>
  <c r="T25" i="15"/>
  <c r="E31" i="16"/>
  <c r="E25" i="16"/>
  <c r="E23" i="16"/>
  <c r="E33" i="16"/>
  <c r="E27" i="16"/>
  <c r="E24" i="16"/>
  <c r="E26" i="16"/>
  <c r="E22" i="16"/>
  <c r="E32" i="16"/>
  <c r="I31" i="16"/>
  <c r="I25" i="16"/>
  <c r="I23" i="16"/>
  <c r="I33" i="16"/>
  <c r="I27" i="16"/>
  <c r="I24" i="16"/>
  <c r="I32" i="16"/>
  <c r="I26" i="16"/>
  <c r="I22" i="16"/>
  <c r="P31" i="16"/>
  <c r="P25" i="16"/>
  <c r="P23" i="16"/>
  <c r="P33" i="16"/>
  <c r="P27" i="16"/>
  <c r="P24" i="16"/>
  <c r="P32" i="16"/>
  <c r="P26" i="16"/>
  <c r="P22" i="16"/>
  <c r="T31" i="16"/>
  <c r="T25" i="16"/>
  <c r="T23" i="16"/>
  <c r="T33" i="16"/>
  <c r="T27" i="16"/>
  <c r="T24" i="16"/>
  <c r="T26" i="16"/>
  <c r="T22" i="16"/>
  <c r="T32" i="16"/>
  <c r="E31" i="17"/>
  <c r="E25" i="17"/>
  <c r="E23" i="17"/>
  <c r="E33" i="17"/>
  <c r="E27" i="17"/>
  <c r="E24" i="17"/>
  <c r="E26" i="17"/>
  <c r="E22" i="17"/>
  <c r="E32" i="17"/>
  <c r="I31" i="17"/>
  <c r="I25" i="17"/>
  <c r="I23" i="17"/>
  <c r="I33" i="17"/>
  <c r="I27" i="17"/>
  <c r="I24" i="17"/>
  <c r="I32" i="17"/>
  <c r="I26" i="17"/>
  <c r="I22" i="17"/>
  <c r="P31" i="17"/>
  <c r="P25" i="17"/>
  <c r="P23" i="17"/>
  <c r="P33" i="17"/>
  <c r="P27" i="17"/>
  <c r="P24" i="17"/>
  <c r="P32" i="17"/>
  <c r="P26" i="17"/>
  <c r="P22" i="17"/>
  <c r="T31" i="17"/>
  <c r="T25" i="17"/>
  <c r="T23" i="17"/>
  <c r="T33" i="17"/>
  <c r="T27" i="17"/>
  <c r="T24" i="17"/>
  <c r="T26" i="17"/>
  <c r="T22" i="17"/>
  <c r="T32" i="17"/>
  <c r="C22" i="7"/>
  <c r="G22" i="7"/>
  <c r="B23" i="7"/>
  <c r="F23" i="7"/>
  <c r="D24" i="7"/>
  <c r="H24" i="7"/>
  <c r="B25" i="7"/>
  <c r="F25" i="7"/>
  <c r="E26" i="7"/>
  <c r="I26" i="7"/>
  <c r="D27" i="7"/>
  <c r="H27" i="7"/>
  <c r="B31" i="7"/>
  <c r="F31" i="7"/>
  <c r="E32" i="7"/>
  <c r="I32" i="7"/>
  <c r="D33" i="7"/>
  <c r="H33" i="7"/>
  <c r="N22" i="7"/>
  <c r="R22" i="7"/>
  <c r="M23" i="7"/>
  <c r="Q23" i="7"/>
  <c r="O24" i="7"/>
  <c r="S24" i="7"/>
  <c r="M25" i="7"/>
  <c r="Q25" i="7"/>
  <c r="P26" i="7"/>
  <c r="T26" i="7"/>
  <c r="O27" i="7"/>
  <c r="S27" i="7"/>
  <c r="M31" i="7"/>
  <c r="Q31" i="7"/>
  <c r="P32" i="7"/>
  <c r="T32" i="7"/>
  <c r="O33" i="7"/>
  <c r="S33" i="7"/>
  <c r="C22" i="11"/>
  <c r="G22" i="11"/>
  <c r="B23" i="11"/>
  <c r="F23" i="11"/>
  <c r="D24" i="11"/>
  <c r="H24" i="11"/>
  <c r="B25" i="11"/>
  <c r="F25" i="11"/>
  <c r="E26" i="11"/>
  <c r="I26" i="11"/>
  <c r="D27" i="11"/>
  <c r="H27" i="11"/>
  <c r="B31" i="11"/>
  <c r="F31" i="11"/>
  <c r="E32" i="11"/>
  <c r="I32" i="11"/>
  <c r="D33" i="11"/>
  <c r="H33" i="11"/>
  <c r="N22" i="11"/>
  <c r="R22" i="11"/>
  <c r="M23" i="11"/>
  <c r="Q23" i="11"/>
  <c r="O24" i="11"/>
  <c r="S24" i="11"/>
  <c r="M25" i="11"/>
  <c r="Q25" i="11"/>
  <c r="P26" i="11"/>
  <c r="T26" i="11"/>
  <c r="O27" i="11"/>
  <c r="S27" i="11"/>
  <c r="M31" i="11"/>
  <c r="Q31" i="11"/>
  <c r="P32" i="11"/>
  <c r="T32" i="11"/>
  <c r="O33" i="11"/>
  <c r="S33" i="11"/>
  <c r="D22" i="12"/>
  <c r="D31" i="12"/>
  <c r="D25" i="12"/>
  <c r="D23" i="12"/>
  <c r="D32" i="12"/>
  <c r="D26" i="12"/>
  <c r="D33" i="12"/>
  <c r="D27" i="12"/>
  <c r="D24" i="12"/>
  <c r="H22" i="12"/>
  <c r="H23" i="12"/>
  <c r="H31" i="12"/>
  <c r="H25" i="12"/>
  <c r="H24" i="12"/>
  <c r="H32" i="12"/>
  <c r="H26" i="12"/>
  <c r="H33" i="12"/>
  <c r="H27" i="12"/>
  <c r="O22" i="12"/>
  <c r="O31" i="12"/>
  <c r="O25" i="12"/>
  <c r="O23" i="12"/>
  <c r="O32" i="12"/>
  <c r="O26" i="12"/>
  <c r="O33" i="12"/>
  <c r="O27" i="12"/>
  <c r="O24" i="12"/>
  <c r="S22" i="12"/>
  <c r="S31" i="12"/>
  <c r="S25" i="12"/>
  <c r="S23" i="12"/>
  <c r="S32" i="12"/>
  <c r="S26" i="12"/>
  <c r="S33" i="12"/>
  <c r="S27" i="12"/>
  <c r="S24" i="12"/>
  <c r="D32" i="13"/>
  <c r="D26" i="13"/>
  <c r="D27" i="13"/>
  <c r="D22" i="13"/>
  <c r="D25" i="13"/>
  <c r="D23" i="13"/>
  <c r="D31" i="13"/>
  <c r="D33" i="13"/>
  <c r="D24" i="13"/>
  <c r="H32" i="13"/>
  <c r="H26" i="13"/>
  <c r="H22" i="13"/>
  <c r="H31" i="13"/>
  <c r="H25" i="13"/>
  <c r="H23" i="13"/>
  <c r="H33" i="13"/>
  <c r="H27" i="13"/>
  <c r="H24" i="13"/>
  <c r="O32" i="13"/>
  <c r="O26" i="13"/>
  <c r="O33" i="13"/>
  <c r="O25" i="13"/>
  <c r="O27" i="13"/>
  <c r="O23" i="13"/>
  <c r="O24" i="13"/>
  <c r="O22" i="13"/>
  <c r="O31" i="13"/>
  <c r="S32" i="13"/>
  <c r="S26" i="13"/>
  <c r="S27" i="13"/>
  <c r="S23" i="13"/>
  <c r="S24" i="13"/>
  <c r="S22" i="13"/>
  <c r="S31" i="13"/>
  <c r="S33" i="13"/>
  <c r="S25" i="13"/>
  <c r="D32" i="14"/>
  <c r="D26" i="14"/>
  <c r="D27" i="14"/>
  <c r="D31" i="14"/>
  <c r="D33" i="14"/>
  <c r="D23" i="14"/>
  <c r="D25" i="14"/>
  <c r="D24" i="14"/>
  <c r="D22" i="14"/>
  <c r="H32" i="14"/>
  <c r="H26" i="14"/>
  <c r="H33" i="14"/>
  <c r="H25" i="14"/>
  <c r="H23" i="14"/>
  <c r="H27" i="14"/>
  <c r="H24" i="14"/>
  <c r="H22" i="14"/>
  <c r="H31" i="14"/>
  <c r="O32" i="14"/>
  <c r="O26" i="14"/>
  <c r="O22" i="14"/>
  <c r="O33" i="14"/>
  <c r="O24" i="14"/>
  <c r="O25" i="14"/>
  <c r="O27" i="14"/>
  <c r="O31" i="14"/>
  <c r="O23" i="14"/>
  <c r="S32" i="14"/>
  <c r="S26" i="14"/>
  <c r="S22" i="14"/>
  <c r="S27" i="14"/>
  <c r="S31" i="14"/>
  <c r="S23" i="14"/>
  <c r="S33" i="14"/>
  <c r="S24" i="14"/>
  <c r="S25" i="14"/>
  <c r="D32" i="15"/>
  <c r="D26" i="15"/>
  <c r="D22" i="15"/>
  <c r="D27" i="15"/>
  <c r="D31" i="15"/>
  <c r="D23" i="15"/>
  <c r="D33" i="15"/>
  <c r="D24" i="15"/>
  <c r="D25" i="15"/>
  <c r="H32" i="15"/>
  <c r="H26" i="15"/>
  <c r="H22" i="15"/>
  <c r="H33" i="15"/>
  <c r="H24" i="15"/>
  <c r="H25" i="15"/>
  <c r="H27" i="15"/>
  <c r="H31" i="15"/>
  <c r="H23" i="15"/>
  <c r="O33" i="15"/>
  <c r="O27" i="15"/>
  <c r="O31" i="15"/>
  <c r="O25" i="15"/>
  <c r="O22" i="15"/>
  <c r="O24" i="15"/>
  <c r="O26" i="15"/>
  <c r="O32" i="15"/>
  <c r="O23" i="15"/>
  <c r="S33" i="15"/>
  <c r="S27" i="15"/>
  <c r="S31" i="15"/>
  <c r="S25" i="15"/>
  <c r="S22" i="15"/>
  <c r="S32" i="15"/>
  <c r="S23" i="15"/>
  <c r="S24" i="15"/>
  <c r="S26" i="15"/>
  <c r="D32" i="16"/>
  <c r="D26" i="16"/>
  <c r="D22" i="16"/>
  <c r="D27" i="16"/>
  <c r="D31" i="16"/>
  <c r="D23" i="16"/>
  <c r="D33" i="16"/>
  <c r="D24" i="16"/>
  <c r="D25" i="16"/>
  <c r="H32" i="16"/>
  <c r="H26" i="16"/>
  <c r="H22" i="16"/>
  <c r="H33" i="16"/>
  <c r="H24" i="16"/>
  <c r="H25" i="16"/>
  <c r="H27" i="16"/>
  <c r="H31" i="16"/>
  <c r="H23" i="16"/>
  <c r="O32" i="16"/>
  <c r="O26" i="16"/>
  <c r="O22" i="16"/>
  <c r="O33" i="16"/>
  <c r="O24" i="16"/>
  <c r="O25" i="16"/>
  <c r="O27" i="16"/>
  <c r="O31" i="16"/>
  <c r="O23" i="16"/>
  <c r="S32" i="16"/>
  <c r="S26" i="16"/>
  <c r="S22" i="16"/>
  <c r="S27" i="16"/>
  <c r="S31" i="16"/>
  <c r="S23" i="16"/>
  <c r="S33" i="16"/>
  <c r="S24" i="16"/>
  <c r="S25" i="16"/>
  <c r="D32" i="17"/>
  <c r="D26" i="17"/>
  <c r="D22" i="17"/>
  <c r="D27" i="17"/>
  <c r="D31" i="17"/>
  <c r="D23" i="17"/>
  <c r="D33" i="17"/>
  <c r="D24" i="17"/>
  <c r="D25" i="17"/>
  <c r="H32" i="17"/>
  <c r="H26" i="17"/>
  <c r="H22" i="17"/>
  <c r="H33" i="17"/>
  <c r="H24" i="17"/>
  <c r="H25" i="17"/>
  <c r="H27" i="17"/>
  <c r="H31" i="17"/>
  <c r="H23" i="17"/>
  <c r="O32" i="17"/>
  <c r="O26" i="17"/>
  <c r="O22" i="17"/>
  <c r="O33" i="17"/>
  <c r="O24" i="17"/>
  <c r="O25" i="17"/>
  <c r="O27" i="17"/>
  <c r="O31" i="17"/>
  <c r="O23" i="17"/>
  <c r="S32" i="17"/>
  <c r="S26" i="17"/>
  <c r="S22" i="17"/>
  <c r="S27" i="17"/>
  <c r="S31" i="17"/>
  <c r="S23" i="17"/>
  <c r="S33" i="17"/>
  <c r="S24" i="17"/>
  <c r="S25" i="17"/>
  <c r="B22" i="7"/>
  <c r="F22" i="7"/>
  <c r="E23" i="7"/>
  <c r="I23" i="7"/>
  <c r="C24" i="7"/>
  <c r="G24" i="7"/>
  <c r="E25" i="7"/>
  <c r="I25" i="7"/>
  <c r="D26" i="7"/>
  <c r="H26" i="7"/>
  <c r="C27" i="7"/>
  <c r="G27" i="7"/>
  <c r="M22" i="7"/>
  <c r="Q22" i="7"/>
  <c r="P23" i="7"/>
  <c r="T23" i="7"/>
  <c r="N24" i="7"/>
  <c r="R24" i="7"/>
  <c r="P25" i="7"/>
  <c r="T25" i="7"/>
  <c r="O26" i="7"/>
  <c r="S26" i="7"/>
  <c r="N27" i="7"/>
  <c r="R27" i="7"/>
  <c r="B22" i="11"/>
  <c r="F22" i="11"/>
  <c r="E23" i="11"/>
  <c r="I23" i="11"/>
  <c r="C24" i="11"/>
  <c r="G24" i="11"/>
  <c r="E25" i="11"/>
  <c r="I25" i="11"/>
  <c r="D26" i="11"/>
  <c r="H26" i="11"/>
  <c r="C27" i="11"/>
  <c r="G27" i="11"/>
  <c r="M22" i="11"/>
  <c r="Q22" i="11"/>
  <c r="P23" i="11"/>
  <c r="T23" i="11"/>
  <c r="N24" i="11"/>
  <c r="R24" i="11"/>
  <c r="P25" i="11"/>
  <c r="T25" i="11"/>
  <c r="O26" i="11"/>
  <c r="S26" i="11"/>
  <c r="N27" i="11"/>
  <c r="R27" i="11"/>
  <c r="J16" i="7"/>
  <c r="J29" i="7" s="1"/>
  <c r="U5" i="18"/>
  <c r="U14" i="18"/>
  <c r="P16" i="18"/>
  <c r="P33" i="18" s="1"/>
  <c r="D16" i="18"/>
  <c r="D33" i="18" s="1"/>
  <c r="U6" i="18"/>
  <c r="U7" i="18"/>
  <c r="U8" i="18"/>
  <c r="U9" i="18"/>
  <c r="U10" i="18"/>
  <c r="U15" i="18"/>
  <c r="J6" i="18"/>
  <c r="J7" i="18"/>
  <c r="J8" i="18"/>
  <c r="J9" i="18"/>
  <c r="J10" i="18"/>
  <c r="J14" i="18"/>
  <c r="J15" i="18"/>
  <c r="H16" i="18"/>
  <c r="H33" i="18" s="1"/>
  <c r="J5" i="18"/>
  <c r="J16" i="17"/>
  <c r="J28" i="17" s="1"/>
  <c r="U16" i="17"/>
  <c r="U26" i="17" s="1"/>
  <c r="J16" i="16"/>
  <c r="J29" i="16" s="1"/>
  <c r="U16" i="16"/>
  <c r="J16" i="15"/>
  <c r="U16" i="15"/>
  <c r="J16" i="14"/>
  <c r="J29" i="14" s="1"/>
  <c r="U16" i="14"/>
  <c r="U30" i="14" s="1"/>
  <c r="J16" i="13"/>
  <c r="J30" i="13" s="1"/>
  <c r="U16" i="13"/>
  <c r="U26" i="13" s="1"/>
  <c r="J16" i="12"/>
  <c r="J30" i="12" s="1"/>
  <c r="U16" i="12"/>
  <c r="J16" i="11"/>
  <c r="J22" i="11" s="1"/>
  <c r="U16" i="11"/>
  <c r="U30" i="11" s="1"/>
  <c r="U16" i="7"/>
  <c r="U30" i="7" s="1"/>
  <c r="S45" i="13" l="1"/>
  <c r="N32" i="18"/>
  <c r="N22" i="18"/>
  <c r="G27" i="18"/>
  <c r="M31" i="18"/>
  <c r="M25" i="18"/>
  <c r="N25" i="18"/>
  <c r="B32" i="18"/>
  <c r="E23" i="18"/>
  <c r="E24" i="18"/>
  <c r="I22" i="18"/>
  <c r="F26" i="18"/>
  <c r="M23" i="18"/>
  <c r="R32" i="18"/>
  <c r="G32" i="18"/>
  <c r="M27" i="18"/>
  <c r="R27" i="18"/>
  <c r="R22" i="18"/>
  <c r="B31" i="18"/>
  <c r="N31" i="18"/>
  <c r="Q23" i="18"/>
  <c r="B23" i="18"/>
  <c r="N23" i="18"/>
  <c r="B22" i="18"/>
  <c r="Q25" i="18"/>
  <c r="B25" i="18"/>
  <c r="N27" i="18"/>
  <c r="N24" i="18"/>
  <c r="E22" i="18"/>
  <c r="E27" i="18"/>
  <c r="S32" i="18"/>
  <c r="M26" i="18"/>
  <c r="M22" i="18"/>
  <c r="E26" i="18"/>
  <c r="S45" i="12"/>
  <c r="Q45" i="12"/>
  <c r="F22" i="18"/>
  <c r="M32" i="18"/>
  <c r="S23" i="18"/>
  <c r="F32" i="18"/>
  <c r="F25" i="18"/>
  <c r="F23" i="18"/>
  <c r="R31" i="18"/>
  <c r="R25" i="18"/>
  <c r="R24" i="18"/>
  <c r="R23" i="18"/>
  <c r="I32" i="18"/>
  <c r="E33" i="18"/>
  <c r="P50" i="18" s="1"/>
  <c r="AA50" i="18" s="1"/>
  <c r="E31" i="18"/>
  <c r="B24" i="18"/>
  <c r="F31" i="18"/>
  <c r="I31" i="18"/>
  <c r="F27" i="18"/>
  <c r="I26" i="18"/>
  <c r="B27" i="18"/>
  <c r="I25" i="18"/>
  <c r="B26" i="18"/>
  <c r="I27" i="18"/>
  <c r="I30" i="18"/>
  <c r="I29" i="18"/>
  <c r="I28" i="18"/>
  <c r="F24" i="18"/>
  <c r="I24" i="18"/>
  <c r="I23" i="18"/>
  <c r="C27" i="18"/>
  <c r="C24" i="18"/>
  <c r="O45" i="7"/>
  <c r="O22" i="18"/>
  <c r="S47" i="11"/>
  <c r="Q45" i="7"/>
  <c r="Q32" i="18"/>
  <c r="Q26" i="18"/>
  <c r="R30" i="18"/>
  <c r="R29" i="18"/>
  <c r="Q45" i="16"/>
  <c r="E29" i="18"/>
  <c r="F29" i="18"/>
  <c r="R26" i="18"/>
  <c r="E25" i="18"/>
  <c r="R28" i="18"/>
  <c r="M24" i="18"/>
  <c r="N26" i="18"/>
  <c r="E32" i="18"/>
  <c r="B29" i="18"/>
  <c r="E28" i="18"/>
  <c r="S45" i="17"/>
  <c r="O45" i="17"/>
  <c r="N30" i="18"/>
  <c r="M28" i="18"/>
  <c r="N29" i="18"/>
  <c r="N28" i="18"/>
  <c r="O47" i="11"/>
  <c r="S46" i="11"/>
  <c r="S46" i="12"/>
  <c r="M30" i="18"/>
  <c r="O45" i="12"/>
  <c r="M29" i="18"/>
  <c r="B30" i="18"/>
  <c r="B28" i="18"/>
  <c r="S45" i="14"/>
  <c r="Q45" i="14"/>
  <c r="F30" i="18"/>
  <c r="O45" i="14"/>
  <c r="F28" i="18"/>
  <c r="S45" i="15"/>
  <c r="O46" i="11"/>
  <c r="O46" i="13"/>
  <c r="O46" i="15"/>
  <c r="O46" i="17"/>
  <c r="N46" i="11"/>
  <c r="N46" i="12"/>
  <c r="N46" i="13"/>
  <c r="N46" i="14"/>
  <c r="N46" i="15"/>
  <c r="N46" i="16"/>
  <c r="N46" i="17"/>
  <c r="T46" i="11"/>
  <c r="T46" i="12"/>
  <c r="T46" i="13"/>
  <c r="T46" i="14"/>
  <c r="T46" i="15"/>
  <c r="T46" i="16"/>
  <c r="T46" i="17"/>
  <c r="N47" i="7"/>
  <c r="N45" i="7"/>
  <c r="T47" i="7"/>
  <c r="T45" i="7"/>
  <c r="G22" i="18"/>
  <c r="S31" i="18"/>
  <c r="S25" i="18"/>
  <c r="G31" i="18"/>
  <c r="G23" i="18"/>
  <c r="N46" i="7"/>
  <c r="N47" i="11"/>
  <c r="N45" i="11"/>
  <c r="N45" i="12"/>
  <c r="N45" i="13"/>
  <c r="N45" i="14"/>
  <c r="S46" i="16"/>
  <c r="S30" i="18"/>
  <c r="O45" i="11"/>
  <c r="G29" i="18"/>
  <c r="S27" i="18"/>
  <c r="G25" i="18"/>
  <c r="G24" i="18"/>
  <c r="O45" i="15"/>
  <c r="O45" i="16"/>
  <c r="S26" i="18"/>
  <c r="S24" i="18"/>
  <c r="S22" i="18"/>
  <c r="G26" i="18"/>
  <c r="O47" i="7"/>
  <c r="T25" i="18"/>
  <c r="N45" i="15"/>
  <c r="N45" i="16"/>
  <c r="N45" i="17"/>
  <c r="O46" i="7"/>
  <c r="O45" i="13"/>
  <c r="U28" i="11"/>
  <c r="U28" i="17"/>
  <c r="U45" i="17" s="1"/>
  <c r="D28" i="18"/>
  <c r="U29" i="13"/>
  <c r="C29" i="18"/>
  <c r="P29" i="18"/>
  <c r="C22" i="18"/>
  <c r="C32" i="18"/>
  <c r="C25" i="18"/>
  <c r="C23" i="18"/>
  <c r="C31" i="18"/>
  <c r="R46" i="7"/>
  <c r="R47" i="11"/>
  <c r="R45" i="11"/>
  <c r="R45" i="12"/>
  <c r="R45" i="13"/>
  <c r="R45" i="14"/>
  <c r="R45" i="15"/>
  <c r="R45" i="16"/>
  <c r="R45" i="17"/>
  <c r="S45" i="11"/>
  <c r="S45" i="16"/>
  <c r="S29" i="18"/>
  <c r="D30" i="18"/>
  <c r="G28" i="18"/>
  <c r="C28" i="18"/>
  <c r="G30" i="18"/>
  <c r="J29" i="15"/>
  <c r="C26" i="18"/>
  <c r="S46" i="14"/>
  <c r="Q46" i="7"/>
  <c r="Q46" i="12"/>
  <c r="Q46" i="14"/>
  <c r="Q46" i="16"/>
  <c r="J28" i="7"/>
  <c r="S28" i="18"/>
  <c r="C30" i="18"/>
  <c r="U30" i="12"/>
  <c r="U47" i="12" s="1"/>
  <c r="U30" i="16"/>
  <c r="U26" i="11"/>
  <c r="U29" i="11"/>
  <c r="U29" i="15"/>
  <c r="T27" i="18"/>
  <c r="T46" i="7"/>
  <c r="T47" i="11"/>
  <c r="T45" i="11"/>
  <c r="T45" i="12"/>
  <c r="T45" i="13"/>
  <c r="T45" i="14"/>
  <c r="T45" i="15"/>
  <c r="T45" i="16"/>
  <c r="T45" i="17"/>
  <c r="S45" i="7"/>
  <c r="Q45" i="11"/>
  <c r="Q45" i="13"/>
  <c r="Q45" i="15"/>
  <c r="Q45" i="17"/>
  <c r="Q30" i="18"/>
  <c r="U30" i="13"/>
  <c r="U47" i="13" s="1"/>
  <c r="U29" i="17"/>
  <c r="O29" i="18"/>
  <c r="U29" i="14"/>
  <c r="U46" i="14" s="1"/>
  <c r="T28" i="18"/>
  <c r="J30" i="11"/>
  <c r="U47" i="11" s="1"/>
  <c r="D29" i="18"/>
  <c r="T29" i="18"/>
  <c r="Q28" i="18"/>
  <c r="U26" i="7"/>
  <c r="U28" i="7"/>
  <c r="J31" i="12"/>
  <c r="J28" i="12"/>
  <c r="J30" i="14"/>
  <c r="U47" i="14" s="1"/>
  <c r="J22" i="16"/>
  <c r="J28" i="16"/>
  <c r="T30" i="18"/>
  <c r="T32" i="18"/>
  <c r="T26" i="18"/>
  <c r="T24" i="18"/>
  <c r="P47" i="7"/>
  <c r="P45" i="7"/>
  <c r="P46" i="11"/>
  <c r="P46" i="12"/>
  <c r="P46" i="13"/>
  <c r="P46" i="14"/>
  <c r="P46" i="15"/>
  <c r="P46" i="16"/>
  <c r="P46" i="17"/>
  <c r="S46" i="7"/>
  <c r="J29" i="11"/>
  <c r="J30" i="16"/>
  <c r="U29" i="12"/>
  <c r="U30" i="17"/>
  <c r="J28" i="15"/>
  <c r="U28" i="13"/>
  <c r="P28" i="18"/>
  <c r="J30" i="15"/>
  <c r="H29" i="18"/>
  <c r="P30" i="18"/>
  <c r="P47" i="18" s="1"/>
  <c r="AA47" i="18" s="1"/>
  <c r="U28" i="16"/>
  <c r="U28" i="14"/>
  <c r="J22" i="13"/>
  <c r="J29" i="13"/>
  <c r="J22" i="17"/>
  <c r="J29" i="17"/>
  <c r="J27" i="7"/>
  <c r="J30" i="7"/>
  <c r="U47" i="7" s="1"/>
  <c r="Q46" i="11"/>
  <c r="Q46" i="13"/>
  <c r="Q46" i="15"/>
  <c r="Q46" i="17"/>
  <c r="U29" i="16"/>
  <c r="U46" i="16" s="1"/>
  <c r="U28" i="12"/>
  <c r="T23" i="18"/>
  <c r="R47" i="7"/>
  <c r="R45" i="7"/>
  <c r="R46" i="11"/>
  <c r="R46" i="12"/>
  <c r="R46" i="13"/>
  <c r="R46" i="14"/>
  <c r="R46" i="15"/>
  <c r="R46" i="16"/>
  <c r="R46" i="17"/>
  <c r="S47" i="7"/>
  <c r="P46" i="7"/>
  <c r="P47" i="11"/>
  <c r="P45" i="11"/>
  <c r="P45" i="12"/>
  <c r="P45" i="13"/>
  <c r="P45" i="14"/>
  <c r="P45" i="15"/>
  <c r="P45" i="16"/>
  <c r="P45" i="17"/>
  <c r="O30" i="18"/>
  <c r="M45" i="7"/>
  <c r="M45" i="11"/>
  <c r="M45" i="12"/>
  <c r="M45" i="13"/>
  <c r="M45" i="14"/>
  <c r="M45" i="15"/>
  <c r="M45" i="16"/>
  <c r="M45" i="17"/>
  <c r="J28" i="14"/>
  <c r="Q29" i="18"/>
  <c r="U28" i="15"/>
  <c r="J28" i="11"/>
  <c r="J30" i="17"/>
  <c r="J29" i="12"/>
  <c r="U29" i="7"/>
  <c r="U46" i="7" s="1"/>
  <c r="U30" i="15"/>
  <c r="J28" i="13"/>
  <c r="H30" i="18"/>
  <c r="H28" i="18"/>
  <c r="O28" i="18"/>
  <c r="Q31" i="18"/>
  <c r="Q22" i="18"/>
  <c r="Q27" i="18"/>
  <c r="Q24" i="18"/>
  <c r="T31" i="18"/>
  <c r="T22" i="18"/>
  <c r="O32" i="18"/>
  <c r="O31" i="18"/>
  <c r="O27" i="18"/>
  <c r="O26" i="18"/>
  <c r="O25" i="18"/>
  <c r="O24" i="18"/>
  <c r="O23" i="18"/>
  <c r="J24" i="15"/>
  <c r="J23" i="12"/>
  <c r="U25" i="13"/>
  <c r="J26" i="15"/>
  <c r="J23" i="16"/>
  <c r="J32" i="12"/>
  <c r="U23" i="15"/>
  <c r="J32" i="16"/>
  <c r="J27" i="13"/>
  <c r="U32" i="15"/>
  <c r="J22" i="14"/>
  <c r="J27" i="17"/>
  <c r="J25" i="14"/>
  <c r="U25" i="17"/>
  <c r="J22" i="12"/>
  <c r="J31" i="14"/>
  <c r="J24" i="17"/>
  <c r="J25" i="16"/>
  <c r="J27" i="15"/>
  <c r="J32" i="14"/>
  <c r="J23" i="14"/>
  <c r="J24" i="13"/>
  <c r="J25" i="12"/>
  <c r="U32" i="17"/>
  <c r="U23" i="17"/>
  <c r="U24" i="16"/>
  <c r="U25" i="15"/>
  <c r="U27" i="14"/>
  <c r="U32" i="13"/>
  <c r="U23" i="13"/>
  <c r="U24" i="12"/>
  <c r="J26" i="17"/>
  <c r="U43" i="17" s="1"/>
  <c r="J31" i="16"/>
  <c r="J26" i="13"/>
  <c r="U31" i="16"/>
  <c r="U22" i="16"/>
  <c r="U31" i="12"/>
  <c r="U22" i="12"/>
  <c r="J24" i="11"/>
  <c r="J31" i="7"/>
  <c r="U32" i="11"/>
  <c r="U23" i="11"/>
  <c r="U31" i="7"/>
  <c r="J26" i="7"/>
  <c r="U33" i="14"/>
  <c r="U33" i="11"/>
  <c r="U33" i="13"/>
  <c r="U33" i="15"/>
  <c r="U33" i="17"/>
  <c r="U33" i="7"/>
  <c r="J33" i="12"/>
  <c r="J33" i="14"/>
  <c r="J33" i="16"/>
  <c r="J25" i="17"/>
  <c r="J27" i="16"/>
  <c r="J32" i="15"/>
  <c r="J23" i="15"/>
  <c r="J24" i="14"/>
  <c r="J25" i="13"/>
  <c r="J27" i="12"/>
  <c r="J26" i="12"/>
  <c r="U24" i="17"/>
  <c r="U25" i="16"/>
  <c r="U27" i="15"/>
  <c r="U32" i="14"/>
  <c r="U23" i="14"/>
  <c r="U24" i="13"/>
  <c r="U25" i="12"/>
  <c r="J31" i="17"/>
  <c r="J26" i="14"/>
  <c r="J31" i="13"/>
  <c r="U31" i="17"/>
  <c r="U22" i="17"/>
  <c r="U26" i="14"/>
  <c r="U31" i="13"/>
  <c r="U22" i="13"/>
  <c r="J25" i="11"/>
  <c r="U22" i="7"/>
  <c r="U24" i="11"/>
  <c r="J26" i="11"/>
  <c r="U24" i="7"/>
  <c r="U31" i="11"/>
  <c r="U22" i="11"/>
  <c r="U39" i="11" s="1"/>
  <c r="J22" i="7"/>
  <c r="U33" i="12"/>
  <c r="U27" i="16"/>
  <c r="U24" i="14"/>
  <c r="U27" i="12"/>
  <c r="U26" i="15"/>
  <c r="U31" i="14"/>
  <c r="U22" i="14"/>
  <c r="J27" i="11"/>
  <c r="U25" i="7"/>
  <c r="U27" i="7"/>
  <c r="U25" i="11"/>
  <c r="J32" i="7"/>
  <c r="J31" i="11"/>
  <c r="U33" i="16"/>
  <c r="J33" i="11"/>
  <c r="J33" i="13"/>
  <c r="J33" i="15"/>
  <c r="J33" i="17"/>
  <c r="J33" i="7"/>
  <c r="J32" i="17"/>
  <c r="J23" i="17"/>
  <c r="J24" i="16"/>
  <c r="J25" i="15"/>
  <c r="J27" i="14"/>
  <c r="J32" i="13"/>
  <c r="J23" i="13"/>
  <c r="J24" i="12"/>
  <c r="U27" i="17"/>
  <c r="U32" i="16"/>
  <c r="U23" i="16"/>
  <c r="U24" i="15"/>
  <c r="U25" i="14"/>
  <c r="U27" i="13"/>
  <c r="U32" i="12"/>
  <c r="U23" i="12"/>
  <c r="J26" i="16"/>
  <c r="J31" i="15"/>
  <c r="J22" i="15"/>
  <c r="U26" i="16"/>
  <c r="U31" i="15"/>
  <c r="U22" i="15"/>
  <c r="U26" i="12"/>
  <c r="J32" i="11"/>
  <c r="J23" i="11"/>
  <c r="J23" i="7"/>
  <c r="U27" i="11"/>
  <c r="J25" i="7"/>
  <c r="U23" i="7"/>
  <c r="U32" i="7"/>
  <c r="J24" i="7"/>
  <c r="D26" i="18"/>
  <c r="D27" i="18"/>
  <c r="D25" i="18"/>
  <c r="H31" i="18"/>
  <c r="P26" i="18"/>
  <c r="P22" i="18"/>
  <c r="H24" i="18"/>
  <c r="H23" i="18"/>
  <c r="D32" i="18"/>
  <c r="H27" i="18"/>
  <c r="P32" i="18"/>
  <c r="P27" i="18"/>
  <c r="P25" i="18"/>
  <c r="P24" i="18"/>
  <c r="P23" i="18"/>
  <c r="D31" i="18"/>
  <c r="H26" i="18"/>
  <c r="H25" i="18"/>
  <c r="D24" i="18"/>
  <c r="D23" i="18"/>
  <c r="D22" i="18"/>
  <c r="H32" i="18"/>
  <c r="P31" i="18"/>
  <c r="H22" i="18"/>
  <c r="R50" i="7"/>
  <c r="O40" i="7"/>
  <c r="R43" i="7"/>
  <c r="Q48" i="7"/>
  <c r="S43" i="7"/>
  <c r="P48" i="7"/>
  <c r="N50" i="7"/>
  <c r="M41" i="7"/>
  <c r="P40" i="7"/>
  <c r="O50" i="7"/>
  <c r="N41" i="7"/>
  <c r="O49" i="7"/>
  <c r="S42" i="7"/>
  <c r="P49" i="7"/>
  <c r="T42" i="7"/>
  <c r="Q44" i="7"/>
  <c r="P39" i="7"/>
  <c r="M42" i="7"/>
  <c r="O41" i="7"/>
  <c r="M43" i="7"/>
  <c r="N42" i="7"/>
  <c r="P41" i="7"/>
  <c r="S49" i="7"/>
  <c r="O42" i="7"/>
  <c r="S50" i="7"/>
  <c r="M48" i="7"/>
  <c r="N44" i="7"/>
  <c r="O43" i="7"/>
  <c r="P42" i="7"/>
  <c r="T40" i="7"/>
  <c r="T50" i="7"/>
  <c r="M49" i="7"/>
  <c r="N48" i="7"/>
  <c r="O44" i="7"/>
  <c r="P43" i="7"/>
  <c r="M40" i="7"/>
  <c r="N39" i="7"/>
  <c r="N49" i="7"/>
  <c r="O48" i="7"/>
  <c r="P44" i="7"/>
  <c r="N40" i="7"/>
  <c r="O39" i="7"/>
  <c r="M50" i="17"/>
  <c r="S50" i="14"/>
  <c r="U16" i="18"/>
  <c r="J16" i="18"/>
  <c r="S50" i="17"/>
  <c r="O49" i="17"/>
  <c r="M49" i="17"/>
  <c r="O48" i="17"/>
  <c r="M48" i="17"/>
  <c r="O44" i="17"/>
  <c r="M44" i="17"/>
  <c r="O43" i="17"/>
  <c r="M43" i="17"/>
  <c r="O42" i="17"/>
  <c r="M42" i="17"/>
  <c r="O41" i="17"/>
  <c r="M41" i="17"/>
  <c r="O40" i="17"/>
  <c r="M40" i="17"/>
  <c r="O39" i="17"/>
  <c r="M39" i="17"/>
  <c r="T49" i="17"/>
  <c r="P49" i="17"/>
  <c r="N49" i="17"/>
  <c r="T48" i="17"/>
  <c r="P48" i="17"/>
  <c r="N48" i="17"/>
  <c r="T44" i="17"/>
  <c r="P44" i="17"/>
  <c r="N44" i="17"/>
  <c r="T43" i="17"/>
  <c r="P43" i="17"/>
  <c r="N43" i="17"/>
  <c r="T42" i="17"/>
  <c r="P42" i="17"/>
  <c r="N42" i="17"/>
  <c r="T41" i="17"/>
  <c r="P41" i="17"/>
  <c r="N41" i="17"/>
  <c r="T40" i="17"/>
  <c r="P40" i="17"/>
  <c r="N40" i="17"/>
  <c r="T39" i="17"/>
  <c r="P39" i="17"/>
  <c r="N39" i="17"/>
  <c r="N50" i="17"/>
  <c r="O50" i="17"/>
  <c r="S49" i="16"/>
  <c r="Q49" i="16"/>
  <c r="O49" i="16"/>
  <c r="S48" i="16"/>
  <c r="Q48" i="16"/>
  <c r="O48" i="16"/>
  <c r="S44" i="16"/>
  <c r="Q44" i="16"/>
  <c r="O44" i="16"/>
  <c r="S43" i="16"/>
  <c r="Q43" i="16"/>
  <c r="O43" i="16"/>
  <c r="S42" i="16"/>
  <c r="Q42" i="16"/>
  <c r="O42" i="16"/>
  <c r="S41" i="16"/>
  <c r="Q41" i="16"/>
  <c r="O41" i="16"/>
  <c r="S40" i="16"/>
  <c r="Q40" i="16"/>
  <c r="O40" i="16"/>
  <c r="S39" i="16"/>
  <c r="Q39" i="16"/>
  <c r="O39" i="16"/>
  <c r="R49" i="16"/>
  <c r="P49" i="16"/>
  <c r="N49" i="16"/>
  <c r="R48" i="16"/>
  <c r="P48" i="16"/>
  <c r="N48" i="16"/>
  <c r="R44" i="16"/>
  <c r="P44" i="16"/>
  <c r="N44" i="16"/>
  <c r="R43" i="16"/>
  <c r="P43" i="16"/>
  <c r="N43" i="16"/>
  <c r="R42" i="16"/>
  <c r="P42" i="16"/>
  <c r="N42" i="16"/>
  <c r="R41" i="16"/>
  <c r="P41" i="16"/>
  <c r="N41" i="16"/>
  <c r="R40" i="16"/>
  <c r="P40" i="16"/>
  <c r="N40" i="16"/>
  <c r="R39" i="16"/>
  <c r="P39" i="16"/>
  <c r="N39" i="16"/>
  <c r="S50" i="16"/>
  <c r="O50" i="16"/>
  <c r="T50" i="16"/>
  <c r="O49" i="15"/>
  <c r="O48" i="15"/>
  <c r="O44" i="15"/>
  <c r="O43" i="15"/>
  <c r="O42" i="15"/>
  <c r="O41" i="15"/>
  <c r="O40" i="15"/>
  <c r="O39" i="15"/>
  <c r="P49" i="15"/>
  <c r="N49" i="15"/>
  <c r="P48" i="15"/>
  <c r="N48" i="15"/>
  <c r="P44" i="15"/>
  <c r="N44" i="15"/>
  <c r="P43" i="15"/>
  <c r="N43" i="15"/>
  <c r="P42" i="15"/>
  <c r="N42" i="15"/>
  <c r="P41" i="15"/>
  <c r="N41" i="15"/>
  <c r="P40" i="15"/>
  <c r="N40" i="15"/>
  <c r="P39" i="15"/>
  <c r="N39" i="15"/>
  <c r="S50" i="15"/>
  <c r="O50" i="15"/>
  <c r="T50" i="15"/>
  <c r="P50" i="15"/>
  <c r="S49" i="14"/>
  <c r="S48" i="14"/>
  <c r="S44" i="14"/>
  <c r="S43" i="14"/>
  <c r="S42" i="14"/>
  <c r="S41" i="14"/>
  <c r="S40" i="14"/>
  <c r="S39" i="14"/>
  <c r="R49" i="14"/>
  <c r="R48" i="14"/>
  <c r="R44" i="14"/>
  <c r="R43" i="14"/>
  <c r="R42" i="14"/>
  <c r="R41" i="14"/>
  <c r="R40" i="14"/>
  <c r="R39" i="14"/>
  <c r="R50" i="14"/>
  <c r="N50" i="14"/>
  <c r="M50" i="14"/>
  <c r="T50" i="13"/>
  <c r="P50" i="13"/>
  <c r="S50" i="13"/>
  <c r="S49" i="12"/>
  <c r="O49" i="12"/>
  <c r="S48" i="12"/>
  <c r="O48" i="12"/>
  <c r="S44" i="12"/>
  <c r="O44" i="12"/>
  <c r="S43" i="12"/>
  <c r="O43" i="12"/>
  <c r="S42" i="12"/>
  <c r="O42" i="12"/>
  <c r="S41" i="12"/>
  <c r="O41" i="12"/>
  <c r="S40" i="12"/>
  <c r="O40" i="12"/>
  <c r="S39" i="12"/>
  <c r="O39" i="12"/>
  <c r="R49" i="12"/>
  <c r="R48" i="12"/>
  <c r="R44" i="12"/>
  <c r="R43" i="12"/>
  <c r="R42" i="12"/>
  <c r="R41" i="12"/>
  <c r="R40" i="12"/>
  <c r="R39" i="12"/>
  <c r="S50" i="12"/>
  <c r="O50" i="12"/>
  <c r="T50" i="12"/>
  <c r="P50" i="12"/>
  <c r="Q49" i="11"/>
  <c r="M49" i="11"/>
  <c r="Q48" i="11"/>
  <c r="M48" i="11"/>
  <c r="Q44" i="11"/>
  <c r="M44" i="11"/>
  <c r="Q43" i="11"/>
  <c r="M43" i="11"/>
  <c r="Q42" i="11"/>
  <c r="M42" i="11"/>
  <c r="Q41" i="11"/>
  <c r="M41" i="11"/>
  <c r="Q40" i="11"/>
  <c r="M40" i="11"/>
  <c r="Q39" i="11"/>
  <c r="M39" i="11"/>
  <c r="S50" i="11"/>
  <c r="O50" i="11"/>
  <c r="R50" i="11"/>
  <c r="M39" i="7"/>
  <c r="P48" i="18" l="1"/>
  <c r="AA48" i="18" s="1"/>
  <c r="P41" i="18"/>
  <c r="AA41" i="18" s="1"/>
  <c r="U45" i="11"/>
  <c r="T46" i="18"/>
  <c r="AE46" i="18" s="1"/>
  <c r="R45" i="18"/>
  <c r="AC45" i="18" s="1"/>
  <c r="P40" i="18"/>
  <c r="AA40" i="18" s="1"/>
  <c r="P43" i="18"/>
  <c r="AA43" i="18" s="1"/>
  <c r="P39" i="18"/>
  <c r="AA39" i="18" s="1"/>
  <c r="P44" i="18"/>
  <c r="AA44" i="18" s="1"/>
  <c r="R47" i="18"/>
  <c r="AC47" i="18" s="1"/>
  <c r="M45" i="18"/>
  <c r="X45" i="18" s="1"/>
  <c r="U41" i="15"/>
  <c r="T47" i="18"/>
  <c r="AE47" i="18" s="1"/>
  <c r="T45" i="18"/>
  <c r="AE45" i="18" s="1"/>
  <c r="Q45" i="18"/>
  <c r="AB45" i="18" s="1"/>
  <c r="Q46" i="18"/>
  <c r="AB46" i="18" s="1"/>
  <c r="P46" i="18"/>
  <c r="AA46" i="18" s="1"/>
  <c r="P42" i="18"/>
  <c r="AA42" i="18" s="1"/>
  <c r="M46" i="18"/>
  <c r="X46" i="18" s="1"/>
  <c r="R46" i="18"/>
  <c r="AC46" i="18" s="1"/>
  <c r="P45" i="18"/>
  <c r="AA45" i="18" s="1"/>
  <c r="N46" i="18"/>
  <c r="Y46" i="18" s="1"/>
  <c r="U48" i="17"/>
  <c r="P49" i="18"/>
  <c r="AA49" i="18" s="1"/>
  <c r="O45" i="18"/>
  <c r="Z45" i="18" s="1"/>
  <c r="M47" i="18"/>
  <c r="X47" i="18" s="1"/>
  <c r="N45" i="18"/>
  <c r="Y45" i="18" s="1"/>
  <c r="U49" i="16"/>
  <c r="U45" i="16"/>
  <c r="N47" i="18"/>
  <c r="Y47" i="18" s="1"/>
  <c r="Q47" i="18"/>
  <c r="AB47" i="18" s="1"/>
  <c r="U42" i="12"/>
  <c r="U39" i="12"/>
  <c r="U47" i="15"/>
  <c r="S47" i="18"/>
  <c r="AD47" i="18" s="1"/>
  <c r="S45" i="18"/>
  <c r="AD45" i="18" s="1"/>
  <c r="S46" i="18"/>
  <c r="AD46" i="18" s="1"/>
  <c r="U44" i="7"/>
  <c r="U45" i="7"/>
  <c r="U46" i="13"/>
  <c r="U46" i="15"/>
  <c r="U47" i="17"/>
  <c r="U46" i="11"/>
  <c r="U45" i="15"/>
  <c r="U42" i="15"/>
  <c r="O47" i="18"/>
  <c r="Z47" i="18" s="1"/>
  <c r="U46" i="12"/>
  <c r="U33" i="18"/>
  <c r="U30" i="18"/>
  <c r="U28" i="18"/>
  <c r="J33" i="18"/>
  <c r="J29" i="18"/>
  <c r="J28" i="18"/>
  <c r="J30" i="18"/>
  <c r="U40" i="11"/>
  <c r="U39" i="17"/>
  <c r="U39" i="16"/>
  <c r="U49" i="13"/>
  <c r="U45" i="13"/>
  <c r="O46" i="18"/>
  <c r="Z46" i="18" s="1"/>
  <c r="U47" i="16"/>
  <c r="U29" i="18"/>
  <c r="U43" i="11"/>
  <c r="U44" i="13"/>
  <c r="U45" i="12"/>
  <c r="U45" i="14"/>
  <c r="U46" i="17"/>
  <c r="U42" i="14"/>
  <c r="U50" i="7"/>
  <c r="U50" i="17"/>
  <c r="U50" i="11"/>
  <c r="U40" i="16"/>
  <c r="U44" i="16"/>
  <c r="U43" i="14"/>
  <c r="U49" i="17"/>
  <c r="U40" i="15"/>
  <c r="U44" i="12"/>
  <c r="U41" i="14"/>
  <c r="U49" i="11"/>
  <c r="U40" i="13"/>
  <c r="U41" i="16"/>
  <c r="U41" i="13"/>
  <c r="U42" i="16"/>
  <c r="U42" i="17"/>
  <c r="U40" i="7"/>
  <c r="U39" i="15"/>
  <c r="U48" i="7"/>
  <c r="U48" i="16"/>
  <c r="U41" i="17"/>
  <c r="U24" i="18"/>
  <c r="J26" i="18"/>
  <c r="U22" i="18"/>
  <c r="U27" i="18"/>
  <c r="J24" i="18"/>
  <c r="J27" i="18"/>
  <c r="J22" i="18"/>
  <c r="U23" i="18"/>
  <c r="U32" i="18"/>
  <c r="J31" i="18"/>
  <c r="U31" i="18"/>
  <c r="U25" i="18"/>
  <c r="J23" i="18"/>
  <c r="J25" i="18"/>
  <c r="J32" i="18"/>
  <c r="U26" i="18"/>
  <c r="U49" i="7"/>
  <c r="U43" i="7"/>
  <c r="T39" i="7"/>
  <c r="U42" i="7"/>
  <c r="Q43" i="7"/>
  <c r="M50" i="7"/>
  <c r="S40" i="7"/>
  <c r="Q50" i="7"/>
  <c r="T43" i="7"/>
  <c r="P50" i="7"/>
  <c r="M44" i="7"/>
  <c r="S48" i="7"/>
  <c r="R48" i="7"/>
  <c r="N43" i="7"/>
  <c r="S39" i="7"/>
  <c r="R39" i="7"/>
  <c r="Q39" i="7"/>
  <c r="R42" i="7"/>
  <c r="Q42" i="7"/>
  <c r="U39" i="7"/>
  <c r="R49" i="7"/>
  <c r="Q49" i="7"/>
  <c r="R44" i="7"/>
  <c r="T48" i="7"/>
  <c r="R41" i="7"/>
  <c r="Q41" i="7"/>
  <c r="R40" i="7"/>
  <c r="Q40" i="7"/>
  <c r="T41" i="7"/>
  <c r="S41" i="7"/>
  <c r="T49" i="7"/>
  <c r="T44" i="7"/>
  <c r="S44" i="7"/>
  <c r="U41" i="7"/>
  <c r="Q50" i="17"/>
  <c r="S39" i="17"/>
  <c r="S40" i="17"/>
  <c r="S41" i="17"/>
  <c r="S42" i="17"/>
  <c r="S43" i="17"/>
  <c r="S44" i="17"/>
  <c r="S48" i="17"/>
  <c r="S49" i="17"/>
  <c r="U44" i="17"/>
  <c r="R50" i="17"/>
  <c r="R39" i="17"/>
  <c r="R40" i="17"/>
  <c r="R41" i="17"/>
  <c r="R42" i="17"/>
  <c r="R43" i="17"/>
  <c r="R44" i="17"/>
  <c r="R48" i="17"/>
  <c r="R49" i="17"/>
  <c r="Q39" i="17"/>
  <c r="Q40" i="17"/>
  <c r="Q41" i="17"/>
  <c r="Q42" i="17"/>
  <c r="Q43" i="17"/>
  <c r="Q44" i="17"/>
  <c r="Q48" i="17"/>
  <c r="Q49" i="17"/>
  <c r="P50" i="16"/>
  <c r="M39" i="16"/>
  <c r="M40" i="16"/>
  <c r="M41" i="16"/>
  <c r="M42" i="16"/>
  <c r="M43" i="16"/>
  <c r="M44" i="16"/>
  <c r="M48" i="16"/>
  <c r="M49" i="16"/>
  <c r="U50" i="16"/>
  <c r="T39" i="16"/>
  <c r="T40" i="16"/>
  <c r="T41" i="16"/>
  <c r="T42" i="16"/>
  <c r="T43" i="16"/>
  <c r="T44" i="16"/>
  <c r="T48" i="16"/>
  <c r="T49" i="16"/>
  <c r="U48" i="15"/>
  <c r="S39" i="15"/>
  <c r="S40" i="15"/>
  <c r="S41" i="15"/>
  <c r="S42" i="15"/>
  <c r="S43" i="15"/>
  <c r="S44" i="15"/>
  <c r="S48" i="15"/>
  <c r="S49" i="15"/>
  <c r="U44" i="15"/>
  <c r="R39" i="15"/>
  <c r="R40" i="15"/>
  <c r="R41" i="15"/>
  <c r="R42" i="15"/>
  <c r="R43" i="15"/>
  <c r="R44" i="15"/>
  <c r="R48" i="15"/>
  <c r="R49" i="15"/>
  <c r="Q39" i="15"/>
  <c r="Q40" i="15"/>
  <c r="Q41" i="15"/>
  <c r="Q42" i="15"/>
  <c r="Q43" i="15"/>
  <c r="Q44" i="15"/>
  <c r="Q48" i="15"/>
  <c r="Q49" i="15"/>
  <c r="M39" i="15"/>
  <c r="M40" i="15"/>
  <c r="M41" i="15"/>
  <c r="M42" i="15"/>
  <c r="M43" i="15"/>
  <c r="M44" i="15"/>
  <c r="M48" i="15"/>
  <c r="M49" i="15"/>
  <c r="U50" i="15"/>
  <c r="U49" i="15"/>
  <c r="T39" i="15"/>
  <c r="T40" i="15"/>
  <c r="T41" i="15"/>
  <c r="T42" i="15"/>
  <c r="T43" i="15"/>
  <c r="T44" i="15"/>
  <c r="T48" i="15"/>
  <c r="T49" i="15"/>
  <c r="U39" i="14"/>
  <c r="M39" i="14"/>
  <c r="M40" i="14"/>
  <c r="M41" i="14"/>
  <c r="M42" i="14"/>
  <c r="M43" i="14"/>
  <c r="M44" i="14"/>
  <c r="M48" i="14"/>
  <c r="M49" i="14"/>
  <c r="U50" i="14"/>
  <c r="Q39" i="14"/>
  <c r="Q40" i="14"/>
  <c r="Q41" i="14"/>
  <c r="Q42" i="14"/>
  <c r="Q43" i="14"/>
  <c r="Q44" i="14"/>
  <c r="Q48" i="14"/>
  <c r="Q49" i="14"/>
  <c r="U48" i="14"/>
  <c r="N39" i="14"/>
  <c r="N40" i="14"/>
  <c r="N41" i="14"/>
  <c r="N42" i="14"/>
  <c r="N43" i="14"/>
  <c r="N44" i="14"/>
  <c r="N48" i="14"/>
  <c r="N49" i="14"/>
  <c r="U44" i="14"/>
  <c r="O39" i="14"/>
  <c r="O40" i="14"/>
  <c r="O41" i="14"/>
  <c r="O42" i="14"/>
  <c r="O43" i="14"/>
  <c r="O44" i="14"/>
  <c r="O48" i="14"/>
  <c r="O49" i="14"/>
  <c r="U49" i="14"/>
  <c r="U39" i="13"/>
  <c r="U48" i="13"/>
  <c r="O39" i="13"/>
  <c r="O40" i="13"/>
  <c r="O41" i="13"/>
  <c r="O42" i="13"/>
  <c r="O43" i="13"/>
  <c r="O44" i="13"/>
  <c r="O48" i="13"/>
  <c r="O49" i="13"/>
  <c r="S39" i="13"/>
  <c r="S40" i="13"/>
  <c r="S41" i="13"/>
  <c r="S42" i="13"/>
  <c r="S43" i="13"/>
  <c r="S44" i="13"/>
  <c r="S48" i="13"/>
  <c r="S49" i="13"/>
  <c r="O50" i="13"/>
  <c r="U42" i="13"/>
  <c r="U49" i="12"/>
  <c r="U41" i="12"/>
  <c r="N39" i="12"/>
  <c r="N40" i="12"/>
  <c r="N41" i="12"/>
  <c r="N42" i="12"/>
  <c r="N43" i="12"/>
  <c r="N44" i="12"/>
  <c r="N48" i="12"/>
  <c r="N49" i="12"/>
  <c r="U48" i="12"/>
  <c r="Q39" i="12"/>
  <c r="Q40" i="12"/>
  <c r="Q41" i="12"/>
  <c r="Q42" i="12"/>
  <c r="Q43" i="12"/>
  <c r="Q44" i="12"/>
  <c r="Q48" i="12"/>
  <c r="Q49" i="12"/>
  <c r="U40" i="12"/>
  <c r="P39" i="12"/>
  <c r="P40" i="12"/>
  <c r="P41" i="12"/>
  <c r="P42" i="12"/>
  <c r="P43" i="12"/>
  <c r="P44" i="12"/>
  <c r="P48" i="12"/>
  <c r="P49" i="12"/>
  <c r="M39" i="12"/>
  <c r="M40" i="12"/>
  <c r="M41" i="12"/>
  <c r="M42" i="12"/>
  <c r="M43" i="12"/>
  <c r="M44" i="12"/>
  <c r="M48" i="12"/>
  <c r="M49" i="12"/>
  <c r="U50" i="12"/>
  <c r="T39" i="12"/>
  <c r="T40" i="12"/>
  <c r="T41" i="12"/>
  <c r="T42" i="12"/>
  <c r="T43" i="12"/>
  <c r="T44" i="12"/>
  <c r="T48" i="12"/>
  <c r="T49" i="12"/>
  <c r="U41" i="11"/>
  <c r="S39" i="18"/>
  <c r="AD39" i="18" s="1"/>
  <c r="O39" i="11"/>
  <c r="O40" i="11"/>
  <c r="O41" i="11"/>
  <c r="O42" i="11"/>
  <c r="O43" i="11"/>
  <c r="O44" i="11"/>
  <c r="O48" i="11"/>
  <c r="O49" i="11"/>
  <c r="N39" i="11"/>
  <c r="N40" i="11"/>
  <c r="N41" i="11"/>
  <c r="N42" i="11"/>
  <c r="N43" i="11"/>
  <c r="N44" i="11"/>
  <c r="N48" i="11"/>
  <c r="N49" i="11"/>
  <c r="O50" i="18"/>
  <c r="Z50" i="18" s="1"/>
  <c r="R39" i="11"/>
  <c r="R40" i="11"/>
  <c r="R41" i="11"/>
  <c r="R42" i="11"/>
  <c r="R43" i="11"/>
  <c r="R44" i="11"/>
  <c r="R48" i="11"/>
  <c r="R49" i="11"/>
  <c r="N50" i="11"/>
  <c r="U44" i="11"/>
  <c r="U48" i="11"/>
  <c r="S39" i="11"/>
  <c r="S40" i="11"/>
  <c r="S41" i="11"/>
  <c r="S42" i="11"/>
  <c r="S43" i="11"/>
  <c r="S44" i="11"/>
  <c r="S48" i="11"/>
  <c r="S49" i="11"/>
  <c r="P50" i="11"/>
  <c r="M50" i="11"/>
  <c r="U40" i="17"/>
  <c r="T50" i="17"/>
  <c r="P50" i="17"/>
  <c r="U43" i="16"/>
  <c r="N50" i="16"/>
  <c r="Q50" i="16"/>
  <c r="R50" i="16"/>
  <c r="M50" i="16"/>
  <c r="U43" i="15"/>
  <c r="N50" i="15"/>
  <c r="Q50" i="15"/>
  <c r="R50" i="15"/>
  <c r="M50" i="15"/>
  <c r="P50" i="14"/>
  <c r="Q50" i="14"/>
  <c r="P39" i="14"/>
  <c r="T39" i="14"/>
  <c r="P40" i="14"/>
  <c r="T40" i="14"/>
  <c r="P41" i="14"/>
  <c r="T41" i="14"/>
  <c r="P42" i="14"/>
  <c r="T42" i="14"/>
  <c r="P43" i="14"/>
  <c r="T43" i="14"/>
  <c r="P44" i="14"/>
  <c r="T44" i="14"/>
  <c r="P48" i="14"/>
  <c r="T48" i="14"/>
  <c r="P49" i="14"/>
  <c r="T49" i="14"/>
  <c r="U40" i="14"/>
  <c r="T50" i="14"/>
  <c r="O50" i="14"/>
  <c r="M50" i="13"/>
  <c r="R50" i="13"/>
  <c r="P39" i="13"/>
  <c r="T39" i="13"/>
  <c r="P40" i="13"/>
  <c r="T40" i="13"/>
  <c r="P41" i="13"/>
  <c r="T41" i="13"/>
  <c r="P42" i="13"/>
  <c r="T42" i="13"/>
  <c r="P43" i="13"/>
  <c r="T43" i="13"/>
  <c r="P44" i="13"/>
  <c r="T44" i="13"/>
  <c r="P48" i="13"/>
  <c r="T48" i="13"/>
  <c r="P49" i="13"/>
  <c r="T49" i="13"/>
  <c r="Q50" i="13"/>
  <c r="U43" i="13"/>
  <c r="N50" i="13"/>
  <c r="N39" i="13"/>
  <c r="R39" i="13"/>
  <c r="N40" i="13"/>
  <c r="R40" i="13"/>
  <c r="N41" i="13"/>
  <c r="R41" i="13"/>
  <c r="N42" i="13"/>
  <c r="R42" i="13"/>
  <c r="N43" i="13"/>
  <c r="R43" i="13"/>
  <c r="N44" i="13"/>
  <c r="R44" i="13"/>
  <c r="N48" i="13"/>
  <c r="R48" i="13"/>
  <c r="N49" i="13"/>
  <c r="R49" i="13"/>
  <c r="M39" i="13"/>
  <c r="Q39" i="13"/>
  <c r="M40" i="13"/>
  <c r="Q40" i="13"/>
  <c r="M41" i="13"/>
  <c r="Q41" i="13"/>
  <c r="M42" i="13"/>
  <c r="Q42" i="13"/>
  <c r="M43" i="13"/>
  <c r="Q43" i="13"/>
  <c r="M44" i="13"/>
  <c r="Q44" i="13"/>
  <c r="M48" i="13"/>
  <c r="Q48" i="13"/>
  <c r="M49" i="13"/>
  <c r="Q49" i="13"/>
  <c r="U50" i="13"/>
  <c r="U43" i="12"/>
  <c r="N50" i="12"/>
  <c r="Q50" i="12"/>
  <c r="R50" i="12"/>
  <c r="M50" i="12"/>
  <c r="P39" i="11"/>
  <c r="T39" i="11"/>
  <c r="P40" i="11"/>
  <c r="T40" i="11"/>
  <c r="P41" i="11"/>
  <c r="T41" i="11"/>
  <c r="P42" i="11"/>
  <c r="T42" i="11"/>
  <c r="P43" i="11"/>
  <c r="T43" i="11"/>
  <c r="P44" i="11"/>
  <c r="T44" i="11"/>
  <c r="P48" i="11"/>
  <c r="T48" i="11"/>
  <c r="P49" i="11"/>
  <c r="T49" i="11"/>
  <c r="U42" i="11"/>
  <c r="T50" i="11"/>
  <c r="Q50" i="11"/>
  <c r="U43" i="18" l="1"/>
  <c r="AF43" i="18" s="1"/>
  <c r="U46" i="18"/>
  <c r="AF46" i="18" s="1"/>
  <c r="U50" i="18"/>
  <c r="AF50" i="18" s="1"/>
  <c r="U47" i="18"/>
  <c r="AF47" i="18" s="1"/>
  <c r="U45" i="18"/>
  <c r="AF45" i="18" s="1"/>
  <c r="M50" i="18"/>
  <c r="X50" i="18" s="1"/>
  <c r="T42" i="18"/>
  <c r="AE42" i="18" s="1"/>
  <c r="N41" i="18"/>
  <c r="Y41" i="18" s="1"/>
  <c r="T50" i="18"/>
  <c r="AE50" i="18" s="1"/>
  <c r="U40" i="18"/>
  <c r="AF40" i="18" s="1"/>
  <c r="U41" i="18"/>
  <c r="AF41" i="18" s="1"/>
  <c r="T43" i="18"/>
  <c r="AE43" i="18" s="1"/>
  <c r="M40" i="18"/>
  <c r="X40" i="18" s="1"/>
  <c r="T41" i="18"/>
  <c r="AE41" i="18" s="1"/>
  <c r="M39" i="18"/>
  <c r="X39" i="18" s="1"/>
  <c r="U39" i="18"/>
  <c r="AF39" i="18" s="1"/>
  <c r="T48" i="18"/>
  <c r="AE48" i="18" s="1"/>
  <c r="O40" i="18"/>
  <c r="Z40" i="18" s="1"/>
  <c r="T39" i="18"/>
  <c r="AE39" i="18" s="1"/>
  <c r="M48" i="18"/>
  <c r="X48" i="18" s="1"/>
  <c r="U42" i="18"/>
  <c r="AF42" i="18" s="1"/>
  <c r="Q48" i="18"/>
  <c r="AB48" i="18" s="1"/>
  <c r="Q49" i="18"/>
  <c r="AB49" i="18" s="1"/>
  <c r="S49" i="18"/>
  <c r="AD49" i="18" s="1"/>
  <c r="U49" i="18"/>
  <c r="AF49" i="18" s="1"/>
  <c r="T44" i="18"/>
  <c r="AE44" i="18" s="1"/>
  <c r="T49" i="18"/>
  <c r="AE49" i="18" s="1"/>
  <c r="N42" i="18"/>
  <c r="Y42" i="18" s="1"/>
  <c r="N43" i="18"/>
  <c r="Y43" i="18" s="1"/>
  <c r="Q39" i="18"/>
  <c r="AB39" i="18" s="1"/>
  <c r="M41" i="18"/>
  <c r="X41" i="18" s="1"/>
  <c r="T40" i="18"/>
  <c r="AE40" i="18" s="1"/>
  <c r="U48" i="18"/>
  <c r="AF48" i="18" s="1"/>
  <c r="U44" i="18"/>
  <c r="AF44" i="18" s="1"/>
  <c r="M43" i="18"/>
  <c r="X43" i="18" s="1"/>
  <c r="Q42" i="18"/>
  <c r="AB42" i="18" s="1"/>
  <c r="S40" i="18"/>
  <c r="AD40" i="18" s="1"/>
  <c r="N49" i="18"/>
  <c r="Y49" i="18" s="1"/>
  <c r="N40" i="18"/>
  <c r="Y40" i="18" s="1"/>
  <c r="R48" i="18"/>
  <c r="AC48" i="18" s="1"/>
  <c r="R39" i="18"/>
  <c r="AC39" i="18" s="1"/>
  <c r="S43" i="18"/>
  <c r="AD43" i="18" s="1"/>
  <c r="N50" i="18"/>
  <c r="Y50" i="18" s="1"/>
  <c r="O48" i="18"/>
  <c r="Z48" i="18" s="1"/>
  <c r="S50" i="18"/>
  <c r="AD50" i="18" s="1"/>
  <c r="R40" i="18"/>
  <c r="AC40" i="18" s="1"/>
  <c r="S44" i="18"/>
  <c r="AD44" i="18" s="1"/>
  <c r="R50" i="18"/>
  <c r="AC50" i="18" s="1"/>
  <c r="O39" i="18"/>
  <c r="Z39" i="18" s="1"/>
  <c r="Q43" i="18"/>
  <c r="AB43" i="18" s="1"/>
  <c r="N44" i="18"/>
  <c r="Y44" i="18" s="1"/>
  <c r="R41" i="18"/>
  <c r="AC41" i="18" s="1"/>
  <c r="S42" i="18"/>
  <c r="AD42" i="18" s="1"/>
  <c r="M44" i="18"/>
  <c r="X44" i="18" s="1"/>
  <c r="N48" i="18"/>
  <c r="Y48" i="18" s="1"/>
  <c r="N39" i="18"/>
  <c r="Y39" i="18" s="1"/>
  <c r="Q40" i="18"/>
  <c r="AB40" i="18" s="1"/>
  <c r="M49" i="18"/>
  <c r="X49" i="18" s="1"/>
  <c r="S41" i="18"/>
  <c r="AD41" i="18" s="1"/>
  <c r="R49" i="18"/>
  <c r="AC49" i="18" s="1"/>
  <c r="R42" i="18"/>
  <c r="AC42" i="18" s="1"/>
  <c r="O49" i="18"/>
  <c r="Z49" i="18" s="1"/>
  <c r="O42" i="18"/>
  <c r="Z42" i="18" s="1"/>
  <c r="R43" i="18"/>
  <c r="AC43" i="18" s="1"/>
  <c r="S48" i="18"/>
  <c r="AD48" i="18" s="1"/>
  <c r="O43" i="18"/>
  <c r="Z43" i="18" s="1"/>
  <c r="Q44" i="18"/>
  <c r="AB44" i="18" s="1"/>
  <c r="Q41" i="18"/>
  <c r="AB41" i="18" s="1"/>
  <c r="Q50" i="18"/>
  <c r="AB50" i="18" s="1"/>
  <c r="R44" i="18"/>
  <c r="AC44" i="18" s="1"/>
  <c r="M42" i="18"/>
  <c r="X42" i="18" s="1"/>
  <c r="O44" i="18"/>
  <c r="Z44" i="18" s="1"/>
  <c r="O41" i="18"/>
  <c r="Z41" i="18" s="1"/>
</calcChain>
</file>

<file path=xl/sharedStrings.xml><?xml version="1.0" encoding="utf-8"?>
<sst xmlns="http://schemas.openxmlformats.org/spreadsheetml/2006/main" count="1105" uniqueCount="60">
  <si>
    <t>Mode</t>
  </si>
  <si>
    <t>Drive Alone</t>
  </si>
  <si>
    <t>Shared Ride 2</t>
  </si>
  <si>
    <t>Shared Ride 3+</t>
  </si>
  <si>
    <t>Bike</t>
  </si>
  <si>
    <t>Walk</t>
  </si>
  <si>
    <t>Work Tour Mode</t>
  </si>
  <si>
    <t>Total</t>
  </si>
  <si>
    <t>Table X. Estimated-Observed Workbased Tour Mode Share Difference</t>
  </si>
  <si>
    <t>Shared Ride 2 - Driver</t>
  </si>
  <si>
    <t>Shared Ride 3+ - Driver</t>
  </si>
  <si>
    <t>DA</t>
  </si>
  <si>
    <t>SR2</t>
  </si>
  <si>
    <t>SR3+</t>
  </si>
  <si>
    <t>D-Trans</t>
  </si>
  <si>
    <t>W-Trans</t>
  </si>
  <si>
    <t>Sch Bus</t>
  </si>
  <si>
    <t>Table X. Estimated-Observed Work Tour Mode Share Difference</t>
  </si>
  <si>
    <t>Table X. Estimated-Observed School Tour Mode Share Difference</t>
  </si>
  <si>
    <t>Table X. Estimated-Observed Escort Tour Mode Share Difference</t>
  </si>
  <si>
    <t>Table X. Estimated-Observed Personal Business Tour Mode Share Difference</t>
  </si>
  <si>
    <t>Table X. Estimated-Observed Shop Tour Mode Share Difference</t>
  </si>
  <si>
    <t>Table X. Estimated-Observed Meal Tour Mode Share Difference</t>
  </si>
  <si>
    <t>Table X. Estimated-Observed Social/Recreational Tour Mode Share Difference</t>
  </si>
  <si>
    <t>School Bus</t>
  </si>
  <si>
    <t>Table X. Estimated Work Tour Mode Shares: DaySim</t>
  </si>
  <si>
    <t>Table X. Estimated Work Tour Modes: DaySim</t>
  </si>
  <si>
    <t>Table X. Estimated Workbased Tour Mode Shares: DaySim</t>
  </si>
  <si>
    <t>Table X. Estimated Workbased Tour Modes: DaySim</t>
  </si>
  <si>
    <t>Table X. Estimated School Tour Modes: DaySim</t>
  </si>
  <si>
    <t>Table X. Estimated School Tour Mode Shares: DaySim</t>
  </si>
  <si>
    <t>Table X. Estimated Escort Tour Modes: DaySim</t>
  </si>
  <si>
    <t>Table X. Estimated Escort Tour Mode Shares: DaySim</t>
  </si>
  <si>
    <t>Table X. Estimated Personal Business Tour Modes: DaySim</t>
  </si>
  <si>
    <t>Table X. Estimated Personal Business Tour Mode Shares: DaySim</t>
  </si>
  <si>
    <t>Table X. Estimated Shop Tour Modes: DaySim</t>
  </si>
  <si>
    <t>Table X. Estimated Shop Tour Mode Shares: DaySim</t>
  </si>
  <si>
    <t>Table X. Estimated Meal Tour Mode Shares: DaySim</t>
  </si>
  <si>
    <t>Table X. Estimated Meal Tour Modes: DaySim</t>
  </si>
  <si>
    <t>Table X. Estimated Social/Recreational Tour Modes: DaySim</t>
  </si>
  <si>
    <t>Table X. Estimated Social/Recreational Tour Mode Shares: DaySim</t>
  </si>
  <si>
    <t>Workbased Tour Mode</t>
  </si>
  <si>
    <t>School Tour Mode</t>
  </si>
  <si>
    <t>Escort Tour Mode</t>
  </si>
  <si>
    <t>Personal Business Tour Mode</t>
  </si>
  <si>
    <t>Meal Tour Mode</t>
  </si>
  <si>
    <t>SocRec Tour Mode</t>
  </si>
  <si>
    <t>All Purposes Tour Mode</t>
  </si>
  <si>
    <t>TRIP MODE CHOICE ALL PURPOSES: EST-OBS</t>
  </si>
  <si>
    <t>For work-based tours, it is based on Work tour mode</t>
  </si>
  <si>
    <t>This set of summaries is just a crosstabulations from the trip file based on tour mode</t>
  </si>
  <si>
    <t>Transit - localbus</t>
  </si>
  <si>
    <t>Transit - lightrail</t>
  </si>
  <si>
    <t>Transit - premium bus</t>
  </si>
  <si>
    <t>Transit - commuter rail</t>
  </si>
  <si>
    <t>Transit - ferry</t>
  </si>
  <si>
    <t>SR3</t>
  </si>
  <si>
    <t>Shop Tour Mode</t>
  </si>
  <si>
    <t>Table X. Observed Work Tour Modes: Survey</t>
  </si>
  <si>
    <t>Table X. Observed Work Tour Mode Shares: Survey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</si>
</sst>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%"/>
    <numFmt numFmtId="165" formatCode="mm/dd/yyyy\ hh:mm:ss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22"/>
      </patternFill>
    </fill>
  </fills>
  <borders count="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8">
    <xf numFmtId="0" fontId="0" fillId="0" borderId="0"/>
    <xf numFmtId="0" fontId="2" fillId="0" borderId="0">
      <alignment wrapText="1"/>
    </xf>
    <xf numFmtId="0" fontId="5" fillId="5" borderId="0">
      <alignment wrapText="1"/>
    </xf>
    <xf numFmtId="165" fontId="5" fillId="0" borderId="0">
      <alignment wrapText="1"/>
    </xf>
    <xf numFmtId="0" fontId="5" fillId="0" borderId="0">
      <alignment wrapText="1"/>
    </xf>
    <xf numFmtId="0" fontId="5" fillId="0" borderId="0">
      <alignment wrapText="1"/>
    </xf>
    <xf numFmtId="0" fontId="5" fillId="0" borderId="0">
      <alignment wrapText="1"/>
    </xf>
    <xf numFmtId="165" fontId="5" fillId="0" borderId="0">
      <alignment wrapText="1"/>
    </xf>
  </cellStyleXfs>
  <cellXfs count="33">
    <xf numFmtId="0" fontId="0" fillId="0" borderId="0" xfId="0"/>
    <xf numFmtId="0" fontId="1" fillId="0" borderId="1" xfId="0" applyFont="1" applyBorder="1"/>
    <xf numFmtId="0" fontId="0" fillId="0" borderId="1" xfId="0" applyBorder="1"/>
    <xf numFmtId="0" fontId="1" fillId="0" borderId="0" xfId="0" applyFont="1" applyBorder="1"/>
    <xf numFmtId="0" fontId="0" fillId="0" borderId="2" xfId="0" applyBorder="1"/>
    <xf numFmtId="0" fontId="0" fillId="0" borderId="2" xfId="0" applyBorder="1" applyAlignment="1">
      <alignment horizontal="center"/>
    </xf>
    <xf numFmtId="3" fontId="0" fillId="0" borderId="0" xfId="0" applyNumberFormat="1"/>
    <xf numFmtId="0" fontId="0" fillId="0" borderId="0" xfId="0" applyBorder="1" applyAlignment="1">
      <alignment horizontal="center"/>
    </xf>
    <xf numFmtId="3" fontId="0" fillId="0" borderId="0" xfId="0" applyNumberFormat="1" applyBorder="1"/>
    <xf numFmtId="3" fontId="0" fillId="0" borderId="1" xfId="0" applyNumberFormat="1" applyFill="1" applyBorder="1"/>
    <xf numFmtId="3" fontId="0" fillId="0" borderId="2" xfId="0" applyNumberFormat="1" applyBorder="1"/>
    <xf numFmtId="0" fontId="0" fillId="0" borderId="0" xfId="0" applyBorder="1" applyAlignment="1">
      <alignment horizontal="center"/>
    </xf>
    <xf numFmtId="0" fontId="0" fillId="0" borderId="3" xfId="0" applyFill="1" applyBorder="1"/>
    <xf numFmtId="164" fontId="0" fillId="0" borderId="0" xfId="0" applyNumberFormat="1"/>
    <xf numFmtId="164" fontId="0" fillId="0" borderId="2" xfId="0" applyNumberFormat="1" applyBorder="1"/>
    <xf numFmtId="164" fontId="0" fillId="0" borderId="3" xfId="0" applyNumberFormat="1" applyBorder="1"/>
    <xf numFmtId="3" fontId="0" fillId="0" borderId="3" xfId="0" applyNumberFormat="1" applyBorder="1"/>
    <xf numFmtId="164" fontId="0" fillId="0" borderId="0" xfId="0" applyNumberFormat="1" applyBorder="1"/>
    <xf numFmtId="0" fontId="1" fillId="2" borderId="1" xfId="0" applyFont="1" applyFill="1" applyBorder="1"/>
    <xf numFmtId="0" fontId="0" fillId="2" borderId="1" xfId="0" applyFill="1" applyBorder="1"/>
    <xf numFmtId="0" fontId="0" fillId="2" borderId="2" xfId="0" applyFill="1" applyBorder="1"/>
    <xf numFmtId="0" fontId="0" fillId="2" borderId="0" xfId="0" applyFill="1"/>
    <xf numFmtId="164" fontId="0" fillId="2" borderId="0" xfId="0" applyNumberFormat="1" applyFill="1"/>
    <xf numFmtId="0" fontId="3" fillId="3" borderId="0" xfId="0" applyFont="1" applyFill="1" applyBorder="1"/>
    <xf numFmtId="0" fontId="4" fillId="3" borderId="0" xfId="0" applyFont="1" applyFill="1" applyBorder="1" applyAlignment="1">
      <alignment horizontal="center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/>
    </xf>
    <xf numFmtId="0" fontId="0" fillId="4" borderId="0" xfId="0" applyFill="1"/>
    <xf numFmtId="3" fontId="0" fillId="4" borderId="1" xfId="0" applyNumberFormat="1" applyFill="1" applyBorder="1"/>
    <xf numFmtId="164" fontId="0" fillId="4" borderId="3" xfId="0" applyNumberFormat="1" applyFill="1" applyBorder="1"/>
    <xf numFmtId="0" fontId="4" fillId="3" borderId="0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Font="1" applyBorder="1" applyAlignment="1">
      <alignment horizontal="center"/>
    </xf>
  </cellXfs>
  <cellStyles count="8">
    <cellStyle name="Normal" xfId="0" builtin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AG50"/>
  <sheetViews>
    <sheetView tabSelected="1" workbookViewId="0">
      <selection activeCell="U8" sqref="U8"/>
    </sheetView>
  </sheetViews>
  <sheetFormatPr defaultRowHeight="15" x14ac:dyDescent="0.25"/>
  <cols>
    <col min="1" max="1" width="25" customWidth="1" collapsed="1"/>
    <col min="2" max="10" width="10.7109375" customWidth="1" collapsed="1"/>
    <col min="11" max="11" width="3.7109375" customWidth="1" collapsed="1"/>
    <col min="12" max="12" width="25" customWidth="1" collapsed="1"/>
    <col min="13" max="22" width="10.7109375" customWidth="1" collapsed="1"/>
    <col min="23" max="23" width="17" customWidth="1" collapsed="1"/>
    <col min="24" max="24" width="25" customWidth="1" collapsed="1"/>
    <col min="25" max="33" width="10.7109375" customWidth="1" collapsed="1"/>
  </cols>
  <sheetData>
    <row r="2" spans="1:21" ht="15.75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26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31" t="s">
        <v>47</v>
      </c>
      <c r="C3" s="32"/>
      <c r="D3" s="32"/>
      <c r="E3" s="32"/>
      <c r="F3" s="32"/>
      <c r="G3" s="32"/>
      <c r="H3" s="32"/>
      <c r="I3" s="32"/>
      <c r="J3" s="11"/>
      <c r="L3" s="3"/>
      <c r="M3" s="31" t="s">
        <v>47</v>
      </c>
      <c r="N3" s="32"/>
      <c r="O3" s="32"/>
      <c r="P3" s="32"/>
      <c r="Q3" s="32"/>
      <c r="R3" s="32"/>
      <c r="S3" s="32"/>
      <c r="T3" s="32"/>
      <c r="U3" s="32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>
        <f>SUM(Work!B5,Workbased!B5,School!B5,Escort!B5,Personal_Business!B5,Shop!B5,Meal!B5,SocRec!B5)</f>
        <v>5487901.7843119791</v>
      </c>
      <c r="C5" s="6">
        <f>SUM(Work!C5,Workbased!C5,School!C5,Escort!C5,Personal_Business!C5,Shop!C5,Meal!C5,SocRec!C5)</f>
        <v>872301.60612653592</v>
      </c>
      <c r="D5" s="6">
        <f>SUM(Work!D5,Workbased!D5,School!D5,Escort!D5,Personal_Business!D5,Shop!D5,Meal!D5,SocRec!D5)</f>
        <v>367911.12524327164</v>
      </c>
      <c r="E5" s="6">
        <f>SUM(Work!E5,Workbased!E5,School!E5,Escort!E5,Personal_Business!E5,Shop!E5,Meal!E5,SocRec!E5)</f>
        <v>113555.85728768079</v>
      </c>
      <c r="F5" s="6">
        <f>SUM(Work!F5,Workbased!F5,School!F5,Escort!F5,Personal_Business!F5,Shop!F5,Meal!F5,SocRec!F5)</f>
        <v>17623.451196402697</v>
      </c>
      <c r="G5" s="6">
        <f>SUM(Work!G5,Workbased!G5,School!G5,Escort!G5,Personal_Business!G5,Shop!G5,Meal!G5,SocRec!G5)</f>
        <v>0</v>
      </c>
      <c r="H5" s="6">
        <f>SUM(Work!H5,Workbased!H5,School!H5,Escort!H5,Personal_Business!H5,Shop!H5,Meal!H5,SocRec!H5)</f>
        <v>0</v>
      </c>
      <c r="I5" s="6">
        <f>SUM(Work!I5,Workbased!I5,School!I5,Escort!I5,Personal_Business!I5,Shop!I5,Meal!I5,SocRec!I5)</f>
        <v>1686.3203314759999</v>
      </c>
      <c r="J5" s="6">
        <f>SUM(B5:I5)</f>
        <v>6860980.1444973452</v>
      </c>
      <c r="K5" s="6"/>
      <c r="L5" t="s">
        <v>1</v>
      </c>
      <c r="M5" s="6">
        <f>SUM(Work!M5,Workbased!M5,School!M5,Escort!M5,Personal_Business!M5,Shop!M5,Meal!M5,SocRec!M5)</f>
        <v>5602289.8285473948</v>
      </c>
      <c r="N5" s="6">
        <f>SUM(Work!N5,Workbased!N5,School!N5,Escort!N5,Personal_Business!N5,Shop!N5,Meal!N5,SocRec!N5)</f>
        <v>807013.91434236814</v>
      </c>
      <c r="O5" s="6">
        <f>SUM(Work!O5,Workbased!O5,School!O5,Escort!O5,Personal_Business!O5,Shop!O5,Meal!O5,SocRec!O5)</f>
        <v>348499.88972678612</v>
      </c>
      <c r="P5" s="6">
        <f>SUM(Work!P5,Workbased!P5,School!P5,Escort!P5,Personal_Business!P5,Shop!P5,Meal!P5,SocRec!P5)</f>
        <v>88313.292349294963</v>
      </c>
      <c r="Q5" s="6">
        <f>SUM(Work!Q5,Workbased!Q5,School!Q5,Escort!Q5,Personal_Business!Q5,Shop!Q5,Meal!Q5,SocRec!Q5)</f>
        <v>19590.514806575156</v>
      </c>
      <c r="R5" s="6">
        <f>SUM(Work!R5,Workbased!R5,School!R5,Escort!R5,Personal_Business!R5,Shop!R5,Meal!R5,SocRec!R5)</f>
        <v>0</v>
      </c>
      <c r="S5" s="6">
        <f>SUM(Work!S5,Workbased!S5,School!S5,Escort!S5,Personal_Business!S5,Shop!S5,Meal!S5,SocRec!S5)</f>
        <v>0</v>
      </c>
      <c r="T5" s="6">
        <f>SUM(Work!T5,Workbased!T5,School!T5,Escort!T5,Personal_Business!T5,Shop!T5,Meal!T5,SocRec!T5)</f>
        <v>1447.5003057232034</v>
      </c>
      <c r="U5" s="6">
        <f t="shared" ref="U5:U15" si="0">SUM(M5:T5)</f>
        <v>6867154.9400781421</v>
      </c>
    </row>
    <row r="6" spans="1:21" x14ac:dyDescent="0.25">
      <c r="A6" t="s">
        <v>12</v>
      </c>
      <c r="B6" s="6">
        <f>SUM(Work!B6,Workbased!B6,School!B6,Escort!B6,Personal_Business!B6,Shop!B6,Meal!B6,SocRec!B6)</f>
        <v>0</v>
      </c>
      <c r="C6" s="6">
        <f>SUM(Work!C6,Workbased!C6,School!C6,Escort!C6,Personal_Business!C6,Shop!C6,Meal!C6,SocRec!C6)</f>
        <v>2988044.8520134166</v>
      </c>
      <c r="D6" s="6">
        <f>SUM(Work!D6,Workbased!D6,School!D6,Escort!D6,Personal_Business!D6,Shop!D6,Meal!D6,SocRec!D6)</f>
        <v>578286.39053844463</v>
      </c>
      <c r="E6" s="6">
        <f>SUM(Work!E6,Workbased!E6,School!E6,Escort!E6,Personal_Business!E6,Shop!E6,Meal!E6,SocRec!E6)</f>
        <v>5197.0034058516994</v>
      </c>
      <c r="F6" s="6">
        <f>SUM(Work!F6,Workbased!F6,School!F6,Escort!F6,Personal_Business!F6,Shop!F6,Meal!F6,SocRec!F6)</f>
        <v>76570.990121661715</v>
      </c>
      <c r="G6" s="6">
        <f>SUM(Work!G6,Workbased!G6,School!G6,Escort!G6,Personal_Business!G6,Shop!G6,Meal!G6,SocRec!G6)</f>
        <v>0</v>
      </c>
      <c r="H6" s="6">
        <f>SUM(Work!H6,Workbased!H6,School!H6,Escort!H6,Personal_Business!H6,Shop!H6,Meal!H6,SocRec!H6)</f>
        <v>0</v>
      </c>
      <c r="I6" s="6">
        <f>SUM(Work!I6,Workbased!I6,School!I6,Escort!I6,Personal_Business!I6,Shop!I6,Meal!I6,SocRec!I6)</f>
        <v>45050.370104024005</v>
      </c>
      <c r="J6" s="6">
        <f t="shared" ref="J6:J15" si="1">SUM(B6:I6)</f>
        <v>3693149.606183399</v>
      </c>
      <c r="K6" s="6"/>
      <c r="L6" t="s">
        <v>12</v>
      </c>
      <c r="M6" s="6">
        <f>SUM(Work!M6,Workbased!M6,School!M6,Escort!M6,Personal_Business!M6,Shop!M6,Meal!M6,SocRec!M6)</f>
        <v>0</v>
      </c>
      <c r="N6" s="6">
        <f>SUM(Work!N6,Workbased!N6,School!N6,Escort!N6,Personal_Business!N6,Shop!N6,Meal!N6,SocRec!N6)</f>
        <v>3181283.4887720197</v>
      </c>
      <c r="O6" s="6">
        <f>SUM(Work!O6,Workbased!O6,School!O6,Escort!O6,Personal_Business!O6,Shop!O6,Meal!O6,SocRec!O6)</f>
        <v>607010.80575362989</v>
      </c>
      <c r="P6" s="6">
        <f>SUM(Work!P6,Workbased!P6,School!P6,Escort!P6,Personal_Business!P6,Shop!P6,Meal!P6,SocRec!P6)</f>
        <v>3014.7777969039339</v>
      </c>
      <c r="Q6" s="6">
        <f>SUM(Work!Q6,Workbased!Q6,School!Q6,Escort!Q6,Personal_Business!Q6,Shop!Q6,Meal!Q6,SocRec!Q6)</f>
        <v>47142.257020304118</v>
      </c>
      <c r="R6" s="6">
        <f>SUM(Work!R6,Workbased!R6,School!R6,Escort!R6,Personal_Business!R6,Shop!R6,Meal!R6,SocRec!R6)</f>
        <v>0</v>
      </c>
      <c r="S6" s="6">
        <f>SUM(Work!S6,Workbased!S6,School!S6,Escort!S6,Personal_Business!S6,Shop!S6,Meal!S6,SocRec!S6)</f>
        <v>0</v>
      </c>
      <c r="T6" s="6">
        <f>SUM(Work!T6,Workbased!T6,School!T6,Escort!T6,Personal_Business!T6,Shop!T6,Meal!T6,SocRec!T6)</f>
        <v>63146.248268645038</v>
      </c>
      <c r="U6" s="6">
        <f t="shared" si="0"/>
        <v>3901597.5776115027</v>
      </c>
    </row>
    <row r="7" spans="1:21" x14ac:dyDescent="0.25">
      <c r="A7" t="s">
        <v>56</v>
      </c>
      <c r="B7" s="6">
        <f>SUM(Work!B7,Workbased!B7,School!B7,Escort!B7,Personal_Business!B7,Shop!B7,Meal!B7,SocRec!B7)</f>
        <v>0</v>
      </c>
      <c r="C7" s="6">
        <f>SUM(Work!C7,Workbased!C7,School!C7,Escort!C7,Personal_Business!C7,Shop!C7,Meal!C7,SocRec!C7)</f>
        <v>0</v>
      </c>
      <c r="D7" s="6">
        <f>SUM(Work!D7,Workbased!D7,School!D7,Escort!D7,Personal_Business!D7,Shop!D7,Meal!D7,SocRec!D7)</f>
        <v>2542495.5579287075</v>
      </c>
      <c r="E7" s="6">
        <f>SUM(Work!E7,Workbased!E7,School!E7,Escort!E7,Personal_Business!E7,Shop!E7,Meal!E7,SocRec!E7)</f>
        <v>4202.0137338710001</v>
      </c>
      <c r="F7" s="6">
        <f>SUM(Work!F7,Workbased!F7,School!F7,Escort!F7,Personal_Business!F7,Shop!F7,Meal!F7,SocRec!F7)</f>
        <v>20670.845848217003</v>
      </c>
      <c r="G7" s="6">
        <f>SUM(Work!G7,Workbased!G7,School!G7,Escort!G7,Personal_Business!G7,Shop!G7,Meal!G7,SocRec!G7)</f>
        <v>0</v>
      </c>
      <c r="H7" s="6">
        <f>SUM(Work!H7,Workbased!H7,School!H7,Escort!H7,Personal_Business!H7,Shop!H7,Meal!H7,SocRec!H7)</f>
        <v>0</v>
      </c>
      <c r="I7" s="6">
        <f>SUM(Work!I7,Workbased!I7,School!I7,Escort!I7,Personal_Business!I7,Shop!I7,Meal!I7,SocRec!I7)</f>
        <v>71299.33425</v>
      </c>
      <c r="J7" s="6">
        <f t="shared" si="1"/>
        <v>2638667.7517607952</v>
      </c>
      <c r="K7" s="6"/>
      <c r="L7" t="s">
        <v>56</v>
      </c>
      <c r="M7" s="6">
        <f>SUM(Work!M7,Workbased!M7,School!M7,Escort!M7,Personal_Business!M7,Shop!M7,Meal!M7,SocRec!M7)</f>
        <v>0</v>
      </c>
      <c r="N7" s="6">
        <f>SUM(Work!N7,Workbased!N7,School!N7,Escort!N7,Personal_Business!N7,Shop!N7,Meal!N7,SocRec!N7)</f>
        <v>0</v>
      </c>
      <c r="O7" s="6">
        <f>SUM(Work!O7,Workbased!O7,School!O7,Escort!O7,Personal_Business!O7,Shop!O7,Meal!O7,SocRec!O7)</f>
        <v>2583441.9221439413</v>
      </c>
      <c r="P7" s="6">
        <f>SUM(Work!P7,Workbased!P7,School!P7,Escort!P7,Personal_Business!P7,Shop!P7,Meal!P7,SocRec!P7)</f>
        <v>3358.2747474615931</v>
      </c>
      <c r="Q7" s="6">
        <f>SUM(Work!Q7,Workbased!Q7,School!Q7,Escort!Q7,Personal_Business!Q7,Shop!Q7,Meal!Q7,SocRec!Q7)</f>
        <v>20695.59042235979</v>
      </c>
      <c r="R7" s="6">
        <f>SUM(Work!R7,Workbased!R7,School!R7,Escort!R7,Personal_Business!R7,Shop!R7,Meal!R7,SocRec!R7)</f>
        <v>0</v>
      </c>
      <c r="S7" s="6">
        <f>SUM(Work!S7,Workbased!S7,School!S7,Escort!S7,Personal_Business!S7,Shop!S7,Meal!S7,SocRec!S7)</f>
        <v>6.9982839735768803</v>
      </c>
      <c r="T7" s="6">
        <f>SUM(Work!T7,Workbased!T7,School!T7,Escort!T7,Personal_Business!T7,Shop!T7,Meal!T7,SocRec!T7)</f>
        <v>61534.238444265582</v>
      </c>
      <c r="U7" s="6">
        <f t="shared" si="0"/>
        <v>2669037.0240420015</v>
      </c>
    </row>
    <row r="8" spans="1:21" x14ac:dyDescent="0.25">
      <c r="A8" t="s">
        <v>51</v>
      </c>
      <c r="B8" s="6">
        <f>SUM(Work!B8,Workbased!B8,School!B8,Escort!B8,Personal_Business!B8,Shop!B8,Meal!B8,SocRec!B8)</f>
        <v>0</v>
      </c>
      <c r="C8" s="6">
        <f>SUM(Work!C8,Workbased!C8,School!C8,Escort!C8,Personal_Business!C8,Shop!C8,Meal!C8,SocRec!C8)</f>
        <v>0</v>
      </c>
      <c r="D8" s="6">
        <f>SUM(Work!D8,Workbased!D8,School!D8,Escort!D8,Personal_Business!D8,Shop!D8,Meal!D8,SocRec!D8)</f>
        <v>0</v>
      </c>
      <c r="E8" s="6">
        <f>SUM(Work!E8,Workbased!E8,School!E8,Escort!E8,Personal_Business!E8,Shop!E8,Meal!E8,SocRec!E8)</f>
        <v>111303.5389245945</v>
      </c>
      <c r="F8" s="6">
        <f>SUM(Work!F8,Workbased!F8,School!F8,Escort!F8,Personal_Business!F8,Shop!F8,Meal!F8,SocRec!F8)</f>
        <v>694175.94818319683</v>
      </c>
      <c r="G8" s="6">
        <f>SUM(Work!G8,Workbased!G8,School!G8,Escort!G8,Personal_Business!G8,Shop!G8,Meal!G8,SocRec!G8)</f>
        <v>0</v>
      </c>
      <c r="H8" s="6">
        <f>SUM(Work!H8,Workbased!H8,School!H8,Escort!H8,Personal_Business!H8,Shop!H8,Meal!H8,SocRec!H8)</f>
        <v>0</v>
      </c>
      <c r="I8" s="6">
        <f>SUM(Work!I8,Workbased!I8,School!I8,Escort!I8,Personal_Business!I8,Shop!I8,Meal!I8,SocRec!I8)</f>
        <v>10298.046276788</v>
      </c>
      <c r="J8" s="6">
        <f t="shared" si="1"/>
        <v>815777.53338457935</v>
      </c>
      <c r="K8" s="6"/>
      <c r="L8" t="s">
        <v>51</v>
      </c>
      <c r="M8" s="6">
        <f>SUM(Work!M8,Workbased!M8,School!M8,Escort!M8,Personal_Business!M8,Shop!M8,Meal!M8,SocRec!M8)</f>
        <v>0</v>
      </c>
      <c r="N8" s="6">
        <f>SUM(Work!N8,Workbased!N8,School!N8,Escort!N8,Personal_Business!N8,Shop!N8,Meal!N8,SocRec!N8)</f>
        <v>0</v>
      </c>
      <c r="O8" s="6">
        <f>SUM(Work!O8,Workbased!O8,School!O8,Escort!O8,Personal_Business!O8,Shop!O8,Meal!O8,SocRec!O8)</f>
        <v>0</v>
      </c>
      <c r="P8" s="6">
        <f>SUM(Work!P8,Workbased!P8,School!P8,Escort!P8,Personal_Business!P8,Shop!P8,Meal!P8,SocRec!P8)</f>
        <v>73651.287978604596</v>
      </c>
      <c r="Q8" s="6">
        <f>SUM(Work!Q8,Workbased!Q8,School!Q8,Escort!Q8,Personal_Business!Q8,Shop!Q8,Meal!Q8,SocRec!Q8)</f>
        <v>346687.5493792714</v>
      </c>
      <c r="R8" s="6">
        <f>SUM(Work!R8,Workbased!R8,School!R8,Escort!R8,Personal_Business!R8,Shop!R8,Meal!R8,SocRec!R8)</f>
        <v>0</v>
      </c>
      <c r="S8" s="6">
        <f>SUM(Work!S8,Workbased!S8,School!S8,Escort!S8,Personal_Business!S8,Shop!S8,Meal!S8,SocRec!S8)</f>
        <v>0</v>
      </c>
      <c r="T8" s="6">
        <f>SUM(Work!T8,Workbased!T8,School!T8,Escort!T8,Personal_Business!T8,Shop!T8,Meal!T8,SocRec!T8)</f>
        <v>196.45909637983232</v>
      </c>
      <c r="U8" s="6">
        <f t="shared" si="0"/>
        <v>420535.29645425582</v>
      </c>
    </row>
    <row r="9" spans="1:21" x14ac:dyDescent="0.25">
      <c r="A9" t="s">
        <v>52</v>
      </c>
      <c r="B9" s="6">
        <f>SUM(Work!B9,Workbased!B9,School!B9,Escort!B9,Personal_Business!B9,Shop!B9,Meal!B9,SocRec!B9)</f>
        <v>0</v>
      </c>
      <c r="C9" s="6">
        <f>SUM(Work!C9,Workbased!C9,School!C9,Escort!C9,Personal_Business!C9,Shop!C9,Meal!C9,SocRec!C9)</f>
        <v>0</v>
      </c>
      <c r="D9" s="6">
        <f>SUM(Work!D9,Workbased!D9,School!D9,Escort!D9,Personal_Business!D9,Shop!D9,Meal!D9,SocRec!D9)</f>
        <v>0</v>
      </c>
      <c r="E9" s="6">
        <f>SUM(Work!E9,Workbased!E9,School!E9,Escort!E9,Personal_Business!E9,Shop!E9,Meal!E9,SocRec!E9)</f>
        <v>0</v>
      </c>
      <c r="F9" s="6">
        <f>SUM(Work!F9,Workbased!F9,School!F9,Escort!F9,Personal_Business!F9,Shop!F9,Meal!F9,SocRec!F9)</f>
        <v>2479.7092862560999</v>
      </c>
      <c r="G9" s="6">
        <f>SUM(Work!G9,Workbased!G9,School!G9,Escort!G9,Personal_Business!G9,Shop!G9,Meal!G9,SocRec!G9)</f>
        <v>0</v>
      </c>
      <c r="H9" s="6">
        <f>SUM(Work!H9,Workbased!H9,School!H9,Escort!H9,Personal_Business!H9,Shop!H9,Meal!H9,SocRec!H9)</f>
        <v>0</v>
      </c>
      <c r="I9" s="6">
        <f>SUM(Work!I9,Workbased!I9,School!I9,Escort!I9,Personal_Business!I9,Shop!I9,Meal!I9,SocRec!I9)</f>
        <v>0</v>
      </c>
      <c r="J9" s="6">
        <f t="shared" si="1"/>
        <v>2479.7092862560999</v>
      </c>
      <c r="K9" s="6"/>
      <c r="L9" t="s">
        <v>52</v>
      </c>
      <c r="M9" s="6">
        <f>SUM(Work!M9,Workbased!M9,School!M9,Escort!M9,Personal_Business!M9,Shop!M9,Meal!M9,SocRec!M9)</f>
        <v>0</v>
      </c>
      <c r="N9" s="6">
        <f>SUM(Work!N9,Workbased!N9,School!N9,Escort!N9,Personal_Business!N9,Shop!N9,Meal!N9,SocRec!N9)</f>
        <v>0</v>
      </c>
      <c r="O9" s="6">
        <f>SUM(Work!O9,Workbased!O9,School!O9,Escort!O9,Personal_Business!O9,Shop!O9,Meal!O9,SocRec!O9)</f>
        <v>0</v>
      </c>
      <c r="P9" s="6">
        <f>SUM(Work!P9,Workbased!P9,School!P9,Escort!P9,Personal_Business!P9,Shop!P9,Meal!P9,SocRec!P9)</f>
        <v>0</v>
      </c>
      <c r="Q9" s="6">
        <f>SUM(Work!Q9,Workbased!Q9,School!Q9,Escort!Q9,Personal_Business!Q9,Shop!Q9,Meal!Q9,SocRec!Q9)</f>
        <v>0</v>
      </c>
      <c r="R9" s="6">
        <f>SUM(Work!R9,Workbased!R9,School!R9,Escort!R9,Personal_Business!R9,Shop!R9,Meal!R9,SocRec!R9)</f>
        <v>0</v>
      </c>
      <c r="S9" s="6">
        <f>SUM(Work!S9,Workbased!S9,School!S9,Escort!S9,Personal_Business!S9,Shop!S9,Meal!S9,SocRec!S9)</f>
        <v>0</v>
      </c>
      <c r="T9" s="6">
        <f>SUM(Work!T9,Workbased!T9,School!T9,Escort!T9,Personal_Business!T9,Shop!T9,Meal!T9,SocRec!T9)</f>
        <v>0</v>
      </c>
      <c r="U9" s="6">
        <f t="shared" si="0"/>
        <v>0</v>
      </c>
    </row>
    <row r="10" spans="1:21" x14ac:dyDescent="0.25">
      <c r="A10" t="s">
        <v>53</v>
      </c>
      <c r="B10" s="6">
        <f>SUM(Work!B10,Workbased!B10,School!B10,Escort!B10,Personal_Business!B10,Shop!B10,Meal!B10,SocRec!B10)</f>
        <v>0</v>
      </c>
      <c r="C10" s="6">
        <f>SUM(Work!C10,Workbased!C10,School!C10,Escort!C10,Personal_Business!C10,Shop!C10,Meal!C10,SocRec!C10)</f>
        <v>0</v>
      </c>
      <c r="D10" s="6">
        <f>SUM(Work!D10,Workbased!D10,School!D10,Escort!D10,Personal_Business!D10,Shop!D10,Meal!D10,SocRec!D10)</f>
        <v>0</v>
      </c>
      <c r="E10" s="6">
        <f>SUM(Work!E10,Workbased!E10,School!E10,Escort!E10,Personal_Business!E10,Shop!E10,Meal!E10,SocRec!E10)</f>
        <v>0</v>
      </c>
      <c r="F10" s="6">
        <f>SUM(Work!F10,Workbased!F10,School!F10,Escort!F10,Personal_Business!F10,Shop!F10,Meal!F10,SocRec!F10)</f>
        <v>0</v>
      </c>
      <c r="G10" s="6">
        <f>SUM(Work!G10,Workbased!G10,School!G10,Escort!G10,Personal_Business!G10,Shop!G10,Meal!G10,SocRec!G10)</f>
        <v>0</v>
      </c>
      <c r="H10" s="6">
        <f>SUM(Work!H10,Workbased!H10,School!H10,Escort!H10,Personal_Business!H10,Shop!H10,Meal!H10,SocRec!H10)</f>
        <v>0</v>
      </c>
      <c r="I10" s="6">
        <f>SUM(Work!I10,Workbased!I10,School!I10,Escort!I10,Personal_Business!I10,Shop!I10,Meal!I10,SocRec!I10)</f>
        <v>0</v>
      </c>
      <c r="J10" s="6">
        <f t="shared" si="1"/>
        <v>0</v>
      </c>
      <c r="K10" s="6"/>
      <c r="L10" t="s">
        <v>53</v>
      </c>
      <c r="M10" s="6">
        <f>SUM(Work!M10,Workbased!M10,School!M10,Escort!M10,Personal_Business!M10,Shop!M10,Meal!M10,SocRec!M10)</f>
        <v>0</v>
      </c>
      <c r="N10" s="6">
        <f>SUM(Work!N10,Workbased!N10,School!N10,Escort!N10,Personal_Business!N10,Shop!N10,Meal!N10,SocRec!N10)</f>
        <v>0</v>
      </c>
      <c r="O10" s="6">
        <f>SUM(Work!O10,Workbased!O10,School!O10,Escort!O10,Personal_Business!O10,Shop!O10,Meal!O10,SocRec!O10)</f>
        <v>0</v>
      </c>
      <c r="P10" s="6">
        <f>SUM(Work!P10,Workbased!P10,School!P10,Escort!P10,Personal_Business!P10,Shop!P10,Meal!P10,SocRec!P10)</f>
        <v>0</v>
      </c>
      <c r="Q10" s="6">
        <f>SUM(Work!Q10,Workbased!Q10,School!Q10,Escort!Q10,Personal_Business!Q10,Shop!Q10,Meal!Q10,SocRec!Q10)</f>
        <v>0</v>
      </c>
      <c r="R10" s="6">
        <f>SUM(Work!R10,Workbased!R10,School!R10,Escort!R10,Personal_Business!R10,Shop!R10,Meal!R10,SocRec!R10)</f>
        <v>0</v>
      </c>
      <c r="S10" s="6">
        <f>SUM(Work!S10,Workbased!S10,School!S10,Escort!S10,Personal_Business!S10,Shop!S10,Meal!S10,SocRec!S10)</f>
        <v>0</v>
      </c>
      <c r="T10" s="6">
        <f>SUM(Work!T10,Workbased!T10,School!T10,Escort!T10,Personal_Business!T10,Shop!T10,Meal!T10,SocRec!T10)</f>
        <v>0</v>
      </c>
      <c r="U10" s="6">
        <f t="shared" si="0"/>
        <v>0</v>
      </c>
    </row>
    <row r="11" spans="1:21" x14ac:dyDescent="0.25">
      <c r="A11" t="s">
        <v>54</v>
      </c>
      <c r="B11" s="6">
        <f>SUM(Work!B11,Workbased!B11,School!B11,Escort!B11,Personal_Business!B11,Shop!B11,Meal!B11,SocRec!B11)</f>
        <v>0</v>
      </c>
      <c r="C11" s="6">
        <f>SUM(Work!C11,Workbased!C11,School!C11,Escort!C11,Personal_Business!C11,Shop!C11,Meal!C11,SocRec!C11)</f>
        <v>0</v>
      </c>
      <c r="D11" s="6">
        <f>SUM(Work!D11,Workbased!D11,School!D11,Escort!D11,Personal_Business!D11,Shop!D11,Meal!D11,SocRec!D11)</f>
        <v>0</v>
      </c>
      <c r="E11" s="6">
        <f>SUM(Work!E11,Workbased!E11,School!E11,Escort!E11,Personal_Business!E11,Shop!E11,Meal!E11,SocRec!E11)</f>
        <v>0</v>
      </c>
      <c r="F11" s="6">
        <f>SUM(Work!F11,Workbased!F11,School!F11,Escort!F11,Personal_Business!F11,Shop!F11,Meal!F11,SocRec!F11)</f>
        <v>0</v>
      </c>
      <c r="G11" s="6">
        <f>SUM(Work!G11,Workbased!G11,School!G11,Escort!G11,Personal_Business!G11,Shop!G11,Meal!G11,SocRec!G11)</f>
        <v>0</v>
      </c>
      <c r="H11" s="6">
        <f>SUM(Work!H11,Workbased!H11,School!H11,Escort!H11,Personal_Business!H11,Shop!H11,Meal!H11,SocRec!H11)</f>
        <v>0</v>
      </c>
      <c r="I11" s="6">
        <f>SUM(Work!I11,Workbased!I11,School!I11,Escort!I11,Personal_Business!I11,Shop!I11,Meal!I11,SocRec!I11)</f>
        <v>0</v>
      </c>
      <c r="J11" s="6">
        <f t="shared" si="1"/>
        <v>0</v>
      </c>
      <c r="K11" s="6"/>
      <c r="L11" t="s">
        <v>54</v>
      </c>
      <c r="M11" s="6">
        <f>SUM(Work!M11,Workbased!M11,School!M11,Escort!M11,Personal_Business!M11,Shop!M11,Meal!M11,SocRec!M11)</f>
        <v>0</v>
      </c>
      <c r="N11" s="6">
        <f>SUM(Work!N11,Workbased!N11,School!N11,Escort!N11,Personal_Business!N11,Shop!N11,Meal!N11,SocRec!N11)</f>
        <v>0</v>
      </c>
      <c r="O11" s="6">
        <f>SUM(Work!O11,Workbased!O11,School!O11,Escort!O11,Personal_Business!O11,Shop!O11,Meal!O11,SocRec!O11)</f>
        <v>0</v>
      </c>
      <c r="P11" s="6">
        <f>SUM(Work!P11,Workbased!P11,School!P11,Escort!P11,Personal_Business!P11,Shop!P11,Meal!P11,SocRec!P11)</f>
        <v>0</v>
      </c>
      <c r="Q11" s="6">
        <f>SUM(Work!Q11,Workbased!Q11,School!Q11,Escort!Q11,Personal_Business!Q11,Shop!Q11,Meal!Q11,SocRec!Q11)</f>
        <v>0</v>
      </c>
      <c r="R11" s="6">
        <f>SUM(Work!R11,Workbased!R11,School!R11,Escort!R11,Personal_Business!R11,Shop!R11,Meal!R11,SocRec!R11)</f>
        <v>0</v>
      </c>
      <c r="S11" s="6">
        <f>SUM(Work!S11,Workbased!S11,School!S11,Escort!S11,Personal_Business!S11,Shop!S11,Meal!S11,SocRec!S11)</f>
        <v>0</v>
      </c>
      <c r="T11" s="6">
        <f>SUM(Work!T11,Workbased!T11,School!T11,Escort!T11,Personal_Business!T11,Shop!T11,Meal!T11,SocRec!T11)</f>
        <v>0</v>
      </c>
      <c r="U11" s="6">
        <f t="shared" si="0"/>
        <v>0</v>
      </c>
    </row>
    <row r="12" spans="1:21" x14ac:dyDescent="0.25">
      <c r="A12" t="s">
        <v>55</v>
      </c>
      <c r="B12" s="6">
        <f>SUM(Work!B12,Workbased!B12,School!B12,Escort!B12,Personal_Business!B12,Shop!B12,Meal!B12,SocRec!B12)</f>
        <v>0</v>
      </c>
      <c r="C12" s="6">
        <f>SUM(Work!C12,Workbased!C12,School!C12,Escort!C12,Personal_Business!C12,Shop!C12,Meal!C12,SocRec!C12)</f>
        <v>0</v>
      </c>
      <c r="D12" s="6">
        <f>SUM(Work!D12,Workbased!D12,School!D12,Escort!D12,Personal_Business!D12,Shop!D12,Meal!D12,SocRec!D12)</f>
        <v>0</v>
      </c>
      <c r="E12" s="6">
        <f>SUM(Work!E12,Workbased!E12,School!E12,Escort!E12,Personal_Business!E12,Shop!E12,Meal!E12,SocRec!E12)</f>
        <v>0</v>
      </c>
      <c r="F12" s="6">
        <f>SUM(Work!F12,Workbased!F12,School!F12,Escort!F12,Personal_Business!F12,Shop!F12,Meal!F12,SocRec!F12)</f>
        <v>0</v>
      </c>
      <c r="G12" s="6">
        <f>SUM(Work!G12,Workbased!G12,School!G12,Escort!G12,Personal_Business!G12,Shop!G12,Meal!G12,SocRec!G12)</f>
        <v>0</v>
      </c>
      <c r="H12" s="6">
        <f>SUM(Work!H12,Workbased!H12,School!H12,Escort!H12,Personal_Business!H12,Shop!H12,Meal!H12,SocRec!H12)</f>
        <v>0</v>
      </c>
      <c r="I12" s="6">
        <f>SUM(Work!I12,Workbased!I12,School!I12,Escort!I12,Personal_Business!I12,Shop!I12,Meal!I12,SocRec!I12)</f>
        <v>0</v>
      </c>
      <c r="J12" s="6">
        <f t="shared" si="1"/>
        <v>0</v>
      </c>
      <c r="K12" s="6"/>
      <c r="L12" t="s">
        <v>55</v>
      </c>
      <c r="M12" s="6">
        <f>SUM(Work!M12,Workbased!M12,School!M12,Escort!M12,Personal_Business!M12,Shop!M12,Meal!M12,SocRec!M12)</f>
        <v>0</v>
      </c>
      <c r="N12" s="6">
        <f>SUM(Work!N12,Workbased!N12,School!N12,Escort!N12,Personal_Business!N12,Shop!N12,Meal!N12,SocRec!N12)</f>
        <v>0</v>
      </c>
      <c r="O12" s="6">
        <f>SUM(Work!O12,Workbased!O12,School!O12,Escort!O12,Personal_Business!O12,Shop!O12,Meal!O12,SocRec!O12)</f>
        <v>0</v>
      </c>
      <c r="P12" s="6">
        <f>SUM(Work!P12,Workbased!P12,School!P12,Escort!P12,Personal_Business!P12,Shop!P12,Meal!P12,SocRec!P12)</f>
        <v>0</v>
      </c>
      <c r="Q12" s="6">
        <f>SUM(Work!Q12,Workbased!Q12,School!Q12,Escort!Q12,Personal_Business!Q12,Shop!Q12,Meal!Q12,SocRec!Q12)</f>
        <v>0</v>
      </c>
      <c r="R12" s="6">
        <f>SUM(Work!R12,Workbased!R12,School!R12,Escort!R12,Personal_Business!R12,Shop!R12,Meal!R12,SocRec!R12)</f>
        <v>0</v>
      </c>
      <c r="S12" s="6">
        <f>SUM(Work!S12,Workbased!S12,School!S12,Escort!S12,Personal_Business!S12,Shop!S12,Meal!S12,SocRec!S12)</f>
        <v>0</v>
      </c>
      <c r="T12" s="6">
        <f>SUM(Work!T12,Workbased!T12,School!T12,Escort!T12,Personal_Business!T12,Shop!T12,Meal!T12,SocRec!T12)</f>
        <v>0</v>
      </c>
      <c r="U12" s="6">
        <f t="shared" si="0"/>
        <v>0</v>
      </c>
    </row>
    <row r="13" spans="1:21" x14ac:dyDescent="0.25">
      <c r="A13" t="s">
        <v>24</v>
      </c>
      <c r="B13" s="6">
        <f>SUM(Work!B13,Workbased!B13,School!B13,Escort!B13,Personal_Business!B13,Shop!B13,Meal!B13,SocRec!B13)</f>
        <v>0</v>
      </c>
      <c r="C13" s="6">
        <f>SUM(Work!C13,Workbased!C13,School!C13,Escort!C13,Personal_Business!C13,Shop!C13,Meal!C13,SocRec!C13)</f>
        <v>0</v>
      </c>
      <c r="D13" s="6">
        <f>SUM(Work!D13,Workbased!D13,School!D13,Escort!D13,Personal_Business!D13,Shop!D13,Meal!D13,SocRec!D13)</f>
        <v>0</v>
      </c>
      <c r="E13" s="6">
        <f>SUM(Work!E13,Workbased!E13,School!E13,Escort!E13,Personal_Business!E13,Shop!E13,Meal!E13,SocRec!E13)</f>
        <v>0</v>
      </c>
      <c r="F13" s="6">
        <f>SUM(Work!F13,Workbased!F13,School!F13,Escort!F13,Personal_Business!F13,Shop!F13,Meal!F13,SocRec!F13)</f>
        <v>0</v>
      </c>
      <c r="G13" s="6">
        <f>SUM(Work!G13,Workbased!G13,School!G13,Escort!G13,Personal_Business!G13,Shop!G13,Meal!G13,SocRec!G13)</f>
        <v>0</v>
      </c>
      <c r="H13" s="6">
        <f>SUM(Work!H13,Workbased!H13,School!H13,Escort!H13,Personal_Business!H13,Shop!H13,Meal!H13,SocRec!H13)</f>
        <v>0</v>
      </c>
      <c r="I13" s="6">
        <f>SUM(Work!I13,Workbased!I13,School!I13,Escort!I13,Personal_Business!I13,Shop!I13,Meal!I13,SocRec!I13)</f>
        <v>364497.70098569803</v>
      </c>
      <c r="J13" s="6">
        <f t="shared" si="1"/>
        <v>364497.70098569803</v>
      </c>
      <c r="K13" s="6"/>
      <c r="L13" t="s">
        <v>24</v>
      </c>
      <c r="M13" s="6">
        <f>SUM(Work!M13,Workbased!M13,School!M13,Escort!M13,Personal_Business!M13,Shop!M13,Meal!M13,SocRec!M13)</f>
        <v>0</v>
      </c>
      <c r="N13" s="6">
        <f>SUM(Work!N13,Workbased!N13,School!N13,Escort!N13,Personal_Business!N13,Shop!N13,Meal!N13,SocRec!N13)</f>
        <v>0</v>
      </c>
      <c r="O13" s="6">
        <f>SUM(Work!O13,Workbased!O13,School!O13,Escort!O13,Personal_Business!O13,Shop!O13,Meal!O13,SocRec!O13)</f>
        <v>0</v>
      </c>
      <c r="P13" s="6">
        <f>SUM(Work!P13,Workbased!P13,School!P13,Escort!P13,Personal_Business!P13,Shop!P13,Meal!P13,SocRec!P13)</f>
        <v>0</v>
      </c>
      <c r="Q13" s="6">
        <f>SUM(Work!Q13,Workbased!Q13,School!Q13,Escort!Q13,Personal_Business!Q13,Shop!Q13,Meal!Q13,SocRec!Q13)</f>
        <v>0</v>
      </c>
      <c r="R13" s="6">
        <f>SUM(Work!R13,Workbased!R13,School!R13,Escort!R13,Personal_Business!R13,Shop!R13,Meal!R13,SocRec!R13)</f>
        <v>0</v>
      </c>
      <c r="S13" s="6">
        <f>SUM(Work!S13,Workbased!S13,School!S13,Escort!S13,Personal_Business!S13,Shop!S13,Meal!S13,SocRec!S13)</f>
        <v>0</v>
      </c>
      <c r="T13" s="6">
        <f>SUM(Work!T13,Workbased!T13,School!T13,Escort!T13,Personal_Business!T13,Shop!T13,Meal!T13,SocRec!T13)</f>
        <v>354120.28867917665</v>
      </c>
      <c r="U13" s="6">
        <f t="shared" si="0"/>
        <v>354120.28867917665</v>
      </c>
    </row>
    <row r="14" spans="1:21" x14ac:dyDescent="0.25">
      <c r="A14" t="s">
        <v>4</v>
      </c>
      <c r="B14" s="6">
        <f>SUM(Work!B14,Workbased!B14,School!B14,Escort!B14,Personal_Business!B14,Shop!B14,Meal!B14,SocRec!B14)</f>
        <v>4132.9028970809995</v>
      </c>
      <c r="C14" s="6">
        <f>SUM(Work!C14,Workbased!C14,School!C14,Escort!C14,Personal_Business!C14,Shop!C14,Meal!C14,SocRec!C14)</f>
        <v>13935.6750388237</v>
      </c>
      <c r="D14" s="6">
        <f>SUM(Work!D14,Workbased!D14,School!D14,Escort!D14,Personal_Business!D14,Shop!D14,Meal!D14,SocRec!D14)</f>
        <v>10855.267749194001</v>
      </c>
      <c r="E14" s="6">
        <f>SUM(Work!E14,Workbased!E14,School!E14,Escort!E14,Personal_Business!E14,Shop!E14,Meal!E14,SocRec!E14)</f>
        <v>243.46345759299999</v>
      </c>
      <c r="F14" s="6">
        <f>SUM(Work!F14,Workbased!F14,School!F14,Escort!F14,Personal_Business!F14,Shop!F14,Meal!F14,SocRec!F14)</f>
        <v>8626.2684275047995</v>
      </c>
      <c r="G14" s="6">
        <f>SUM(Work!G14,Workbased!G14,School!G14,Escort!G14,Personal_Business!G14,Shop!G14,Meal!G14,SocRec!G14)</f>
        <v>185644.45009706359</v>
      </c>
      <c r="H14" s="6">
        <f>SUM(Work!H14,Workbased!H14,School!H14,Escort!H14,Personal_Business!H14,Shop!H14,Meal!H14,SocRec!H14)</f>
        <v>0</v>
      </c>
      <c r="I14" s="6">
        <f>SUM(Work!I14,Workbased!I14,School!I14,Escort!I14,Personal_Business!I14,Shop!I14,Meal!I14,SocRec!I14)</f>
        <v>3038.6592608359997</v>
      </c>
      <c r="J14" s="6">
        <f t="shared" si="1"/>
        <v>226476.68692809608</v>
      </c>
      <c r="K14" s="6"/>
      <c r="L14" t="s">
        <v>4</v>
      </c>
      <c r="M14" s="6">
        <f>SUM(Work!M14,Workbased!M14,School!M14,Escort!M14,Personal_Business!M14,Shop!M14,Meal!M14,SocRec!M14)</f>
        <v>6294.2985598800324</v>
      </c>
      <c r="N14" s="6">
        <f>SUM(Work!N14,Workbased!N14,School!N14,Escort!N14,Personal_Business!N14,Shop!N14,Meal!N14,SocRec!N14)</f>
        <v>16659.854298895472</v>
      </c>
      <c r="O14" s="6">
        <f>SUM(Work!O14,Workbased!O14,School!O14,Escort!O14,Personal_Business!O14,Shop!O14,Meal!O14,SocRec!O14)</f>
        <v>15180.459443498168</v>
      </c>
      <c r="P14" s="6">
        <f>SUM(Work!P14,Workbased!P14,School!P14,Escort!P14,Personal_Business!P14,Shop!P14,Meal!P14,SocRec!P14)</f>
        <v>0</v>
      </c>
      <c r="Q14" s="6">
        <f>SUM(Work!Q14,Workbased!Q14,School!Q14,Escort!Q14,Personal_Business!Q14,Shop!Q14,Meal!Q14,SocRec!Q14)</f>
        <v>6351.9611708291759</v>
      </c>
      <c r="R14" s="6">
        <f>SUM(Work!R14,Workbased!R14,School!R14,Escort!R14,Personal_Business!R14,Shop!R14,Meal!R14,SocRec!R14)</f>
        <v>199008.85615778802</v>
      </c>
      <c r="S14" s="6">
        <f>SUM(Work!S14,Workbased!S14,School!S14,Escort!S14,Personal_Business!S14,Shop!S14,Meal!S14,SocRec!S14)</f>
        <v>0</v>
      </c>
      <c r="T14" s="6">
        <f>SUM(Work!T14,Workbased!T14,School!T14,Escort!T14,Personal_Business!T14,Shop!T14,Meal!T14,SocRec!T14)</f>
        <v>3274.3507346248575</v>
      </c>
      <c r="U14" s="6">
        <f t="shared" si="0"/>
        <v>246769.78036551573</v>
      </c>
    </row>
    <row r="15" spans="1:21" x14ac:dyDescent="0.25">
      <c r="A15" s="4" t="s">
        <v>5</v>
      </c>
      <c r="B15" s="6">
        <f>SUM(Work!B15,Workbased!B15,School!B15,Escort!B15,Personal_Business!B15,Shop!B15,Meal!B15,SocRec!B15)</f>
        <v>85641.759489933291</v>
      </c>
      <c r="C15" s="6">
        <f>SUM(Work!C15,Workbased!C15,School!C15,Escort!C15,Personal_Business!C15,Shop!C15,Meal!C15,SocRec!C15)</f>
        <v>67616.464220790906</v>
      </c>
      <c r="D15" s="6">
        <f>SUM(Work!D15,Workbased!D15,School!D15,Escort!D15,Personal_Business!D15,Shop!D15,Meal!D15,SocRec!D15)</f>
        <v>101851.0916785708</v>
      </c>
      <c r="E15" s="6">
        <f>SUM(Work!E15,Workbased!E15,School!E15,Escort!E15,Personal_Business!E15,Shop!E15,Meal!E15,SocRec!E15)</f>
        <v>13792.823585942398</v>
      </c>
      <c r="F15" s="6">
        <f>SUM(Work!F15,Workbased!F15,School!F15,Escort!F15,Personal_Business!F15,Shop!F15,Meal!F15,SocRec!F15)</f>
        <v>208431.68388148418</v>
      </c>
      <c r="G15" s="6">
        <f>SUM(Work!G15,Workbased!G15,School!G15,Escort!G15,Personal_Business!G15,Shop!G15,Meal!G15,SocRec!G15)</f>
        <v>14163.596324916802</v>
      </c>
      <c r="H15" s="6">
        <f>SUM(Work!H15,Workbased!H15,School!H15,Escort!H15,Personal_Business!H15,Shop!H15,Meal!H15,SocRec!H15)</f>
        <v>1579513.8918783711</v>
      </c>
      <c r="I15" s="6">
        <f>SUM(Work!I15,Workbased!I15,School!I15,Escort!I15,Personal_Business!I15,Shop!I15,Meal!I15,SocRec!I15)</f>
        <v>13143.316485361</v>
      </c>
      <c r="J15" s="6">
        <f t="shared" si="1"/>
        <v>2084154.6275453705</v>
      </c>
      <c r="K15" s="6"/>
      <c r="L15" s="4" t="s">
        <v>5</v>
      </c>
      <c r="M15" s="6">
        <f>SUM(Work!M15,Workbased!M15,School!M15,Escort!M15,Personal_Business!M15,Shop!M15,Meal!M15,SocRec!M15)</f>
        <v>106315.78876265814</v>
      </c>
      <c r="N15" s="6">
        <f>SUM(Work!N15,Workbased!N15,School!N15,Escort!N15,Personal_Business!N15,Shop!N15,Meal!N15,SocRec!N15)</f>
        <v>132683.03739631461</v>
      </c>
      <c r="O15" s="6">
        <f>SUM(Work!O15,Workbased!O15,School!O15,Escort!O15,Personal_Business!O15,Shop!O15,Meal!O15,SocRec!O15)</f>
        <v>111976.35612488123</v>
      </c>
      <c r="P15" s="6">
        <f>SUM(Work!P15,Workbased!P15,School!P15,Escort!P15,Personal_Business!P15,Shop!P15,Meal!P15,SocRec!P15)</f>
        <v>0</v>
      </c>
      <c r="Q15" s="6">
        <f>SUM(Work!Q15,Workbased!Q15,School!Q15,Escort!Q15,Personal_Business!Q15,Shop!Q15,Meal!Q15,SocRec!Q15)</f>
        <v>100801.3898113522</v>
      </c>
      <c r="R15" s="6">
        <f>SUM(Work!R15,Workbased!R15,School!R15,Escort!R15,Personal_Business!R15,Shop!R15,Meal!R15,SocRec!R15)</f>
        <v>16552.564408906812</v>
      </c>
      <c r="S15" s="6">
        <f>SUM(Work!S15,Workbased!S15,School!S15,Escort!S15,Personal_Business!S15,Shop!S15,Meal!S15,SocRec!S15)</f>
        <v>1623606.8853480041</v>
      </c>
      <c r="T15" s="6">
        <f>SUM(Work!T15,Workbased!T15,School!T15,Escort!T15,Personal_Business!T15,Shop!T15,Meal!T15,SocRec!T15)</f>
        <v>38049.500871380078</v>
      </c>
      <c r="U15" s="6">
        <f t="shared" si="0"/>
        <v>2129985.5227234969</v>
      </c>
    </row>
    <row r="16" spans="1:21" ht="15.75" thickBot="1" x14ac:dyDescent="0.3">
      <c r="A16" s="12" t="s">
        <v>7</v>
      </c>
      <c r="B16" s="16">
        <f t="shared" ref="B16:J16" si="2">SUM(B5:B15)</f>
        <v>5577676.4466989934</v>
      </c>
      <c r="C16" s="16">
        <f t="shared" si="2"/>
        <v>3941898.5973995673</v>
      </c>
      <c r="D16" s="16">
        <f t="shared" si="2"/>
        <v>3601399.4331381889</v>
      </c>
      <c r="E16" s="16">
        <f t="shared" si="2"/>
        <v>248294.70039553338</v>
      </c>
      <c r="F16" s="16">
        <f t="shared" si="2"/>
        <v>1028578.8969447233</v>
      </c>
      <c r="G16" s="16">
        <f t="shared" si="2"/>
        <v>199808.0464219804</v>
      </c>
      <c r="H16" s="16">
        <f t="shared" si="2"/>
        <v>1579513.8918783711</v>
      </c>
      <c r="I16" s="16">
        <f t="shared" si="2"/>
        <v>509013.74769418308</v>
      </c>
      <c r="J16" s="16">
        <f t="shared" si="2"/>
        <v>16686183.760571539</v>
      </c>
      <c r="L16" s="9" t="s">
        <v>7</v>
      </c>
      <c r="M16" s="16">
        <f t="shared" ref="M16:U16" si="3">SUM(M5:M15)</f>
        <v>5714899.9158699326</v>
      </c>
      <c r="N16" s="16">
        <f t="shared" si="3"/>
        <v>4137640.294809598</v>
      </c>
      <c r="O16" s="16">
        <f t="shared" si="3"/>
        <v>3666109.4331927365</v>
      </c>
      <c r="P16" s="16">
        <f t="shared" si="3"/>
        <v>168337.63287226507</v>
      </c>
      <c r="Q16" s="16">
        <f t="shared" si="3"/>
        <v>541269.26261069183</v>
      </c>
      <c r="R16" s="16">
        <f t="shared" si="3"/>
        <v>215561.42056669484</v>
      </c>
      <c r="S16" s="16">
        <f t="shared" si="3"/>
        <v>1623613.8836319777</v>
      </c>
      <c r="T16" s="16">
        <f t="shared" si="3"/>
        <v>521768.5864001952</v>
      </c>
      <c r="U16" s="16">
        <f t="shared" si="3"/>
        <v>16589200.429954093</v>
      </c>
    </row>
    <row r="19" spans="1:21" ht="15.75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25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31" t="s">
        <v>47</v>
      </c>
      <c r="C20" s="32"/>
      <c r="D20" s="32"/>
      <c r="E20" s="32"/>
      <c r="F20" s="32"/>
      <c r="G20" s="32"/>
      <c r="H20" s="32"/>
      <c r="I20" s="32"/>
      <c r="J20" s="11"/>
      <c r="L20" s="3"/>
      <c r="M20" s="31" t="s">
        <v>47</v>
      </c>
      <c r="N20" s="32"/>
      <c r="O20" s="32"/>
      <c r="P20" s="32"/>
      <c r="Q20" s="32"/>
      <c r="R20" s="32"/>
      <c r="S20" s="32"/>
      <c r="T20" s="32"/>
      <c r="U20" s="32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t="shared" ref="B22:D33" si="4">B5/B$16</f>
        <v>0.98390464860324678</v>
      </c>
      <c r="C22" s="13">
        <f t="shared" si="4"/>
        <v>0.22128971219655039</v>
      </c>
      <c r="D22" s="13">
        <f t="shared" si="4"/>
        <v>0.10215782283352033</v>
      </c>
      <c r="E22" s="13">
        <f t="shared" ref="E22:E33" si="5">IF(E$16&gt;0,E5/E$16,0)</f>
        <v>0.45734305688678151</v>
      </c>
      <c r="F22" s="13">
        <f t="shared" ref="F22:J33" si="6">F5/F$16</f>
        <v>1.713378647836462E-2</v>
      </c>
      <c r="G22" s="13">
        <f t="shared" si="6"/>
        <v>0</v>
      </c>
      <c r="H22" s="13">
        <f t="shared" si="6"/>
        <v>0</v>
      </c>
      <c r="I22" s="13">
        <f t="shared" si="6"/>
        <v>3.3129170658257857E-3</v>
      </c>
      <c r="J22" s="13">
        <f t="shared" si="6"/>
        <v>0.41117730950017661</v>
      </c>
      <c r="K22" s="6"/>
      <c r="L22" t="s">
        <v>1</v>
      </c>
      <c r="M22" s="13">
        <f t="shared" ref="M22:P22" si="7">M5/M$16</f>
        <v>0.98029535267803614</v>
      </c>
      <c r="N22" s="13">
        <f t="shared" si="7"/>
        <v>0.19504206669553051</v>
      </c>
      <c r="O22" s="13">
        <f t="shared" si="7"/>
        <v>9.5059870982434097E-2</v>
      </c>
      <c r="P22" s="13">
        <f t="shared" si="7"/>
        <v>0.52462002014907305</v>
      </c>
      <c r="Q22" s="13">
        <f t="shared" ref="Q22:U33" si="8">Q5/Q$16</f>
        <v>3.6193658424431251E-2</v>
      </c>
      <c r="R22" s="13">
        <f t="shared" si="8"/>
        <v>0</v>
      </c>
      <c r="S22" s="13">
        <f t="shared" si="8"/>
        <v>0</v>
      </c>
      <c r="T22" s="13">
        <f t="shared" si="8"/>
        <v>2.7742189611487541E-3</v>
      </c>
      <c r="U22" s="13">
        <f t="shared" si="8"/>
        <v>0.4139533408541225</v>
      </c>
    </row>
    <row r="23" spans="1:21" x14ac:dyDescent="0.25">
      <c r="A23" t="s">
        <v>12</v>
      </c>
      <c r="B23" s="13">
        <f t="shared" si="4"/>
        <v>0</v>
      </c>
      <c r="C23" s="13">
        <f t="shared" si="4"/>
        <v>0.7580217446447256</v>
      </c>
      <c r="D23" s="13">
        <f t="shared" si="4"/>
        <v>0.16057268883239015</v>
      </c>
      <c r="E23" s="13">
        <f t="shared" si="5"/>
        <v>2.093078667234087E-2</v>
      </c>
      <c r="F23" s="13">
        <f t="shared" si="6"/>
        <v>7.4443477645815145E-2</v>
      </c>
      <c r="G23" s="13">
        <f t="shared" si="6"/>
        <v>0</v>
      </c>
      <c r="H23" s="13">
        <f t="shared" si="6"/>
        <v>0</v>
      </c>
      <c r="I23" s="13">
        <f t="shared" si="6"/>
        <v>8.8505212890812521E-2</v>
      </c>
      <c r="J23" s="13">
        <f t="shared" si="6"/>
        <v>0.22132979350917206</v>
      </c>
      <c r="K23" s="6"/>
      <c r="L23" t="s">
        <v>12</v>
      </c>
      <c r="M23" s="13">
        <f t="shared" ref="M23:P23" si="9">M6/M$16</f>
        <v>0</v>
      </c>
      <c r="N23" s="13">
        <f t="shared" si="9"/>
        <v>0.76886419845696452</v>
      </c>
      <c r="O23" s="13">
        <f t="shared" si="9"/>
        <v>0.16557356424164271</v>
      </c>
      <c r="P23" s="13">
        <f t="shared" si="9"/>
        <v>1.7909113639441237E-2</v>
      </c>
      <c r="Q23" s="13">
        <f t="shared" si="8"/>
        <v>8.7095758574806059E-2</v>
      </c>
      <c r="R23" s="13">
        <f t="shared" si="8"/>
        <v>0</v>
      </c>
      <c r="S23" s="13">
        <f t="shared" si="8"/>
        <v>0</v>
      </c>
      <c r="T23" s="13">
        <f t="shared" si="8"/>
        <v>0.12102347652683718</v>
      </c>
      <c r="U23" s="13">
        <f t="shared" si="8"/>
        <v>0.23518900709443652</v>
      </c>
    </row>
    <row r="24" spans="1:21" x14ac:dyDescent="0.25">
      <c r="A24" t="s">
        <v>56</v>
      </c>
      <c r="B24" s="13">
        <f t="shared" si="4"/>
        <v>0</v>
      </c>
      <c r="C24" s="13">
        <f t="shared" si="4"/>
        <v>0</v>
      </c>
      <c r="D24" s="13">
        <f t="shared" si="4"/>
        <v>0.70597433168173374</v>
      </c>
      <c r="E24" s="13">
        <f t="shared" si="5"/>
        <v>1.692349344217655E-2</v>
      </c>
      <c r="F24" s="13">
        <f t="shared" si="6"/>
        <v>2.0096509766647362E-2</v>
      </c>
      <c r="G24" s="13">
        <f t="shared" si="6"/>
        <v>0</v>
      </c>
      <c r="H24" s="13">
        <f t="shared" si="6"/>
        <v>0</v>
      </c>
      <c r="I24" s="13">
        <f t="shared" si="6"/>
        <v>0.14007349422875873</v>
      </c>
      <c r="J24" s="13">
        <f t="shared" si="6"/>
        <v>0.15813488510151796</v>
      </c>
      <c r="K24" s="6"/>
      <c r="L24" t="s">
        <v>56</v>
      </c>
      <c r="M24" s="13">
        <f t="shared" ref="M24:P24" si="10">M7/M$16</f>
        <v>0</v>
      </c>
      <c r="N24" s="13">
        <f t="shared" si="10"/>
        <v>0</v>
      </c>
      <c r="O24" s="13">
        <f t="shared" si="10"/>
        <v>0.70468216217268698</v>
      </c>
      <c r="P24" s="13">
        <f t="shared" si="10"/>
        <v>1.9949637464665188E-2</v>
      </c>
      <c r="Q24" s="13">
        <f t="shared" si="8"/>
        <v>3.823529590898847E-2</v>
      </c>
      <c r="R24" s="13">
        <f t="shared" si="8"/>
        <v>0</v>
      </c>
      <c r="S24" s="13">
        <f t="shared" si="8"/>
        <v>4.3103129654951699E-6</v>
      </c>
      <c r="T24" s="13">
        <f t="shared" si="8"/>
        <v>0.11793396545546146</v>
      </c>
      <c r="U24" s="13">
        <f t="shared" si="8"/>
        <v>0.16089003417082637</v>
      </c>
    </row>
    <row r="25" spans="1:21" x14ac:dyDescent="0.25">
      <c r="A25" t="s">
        <v>51</v>
      </c>
      <c r="B25" s="13">
        <f t="shared" si="4"/>
        <v>0</v>
      </c>
      <c r="C25" s="13">
        <f t="shared" si="4"/>
        <v>0</v>
      </c>
      <c r="D25" s="13">
        <f t="shared" si="4"/>
        <v>0</v>
      </c>
      <c r="E25" s="13">
        <f t="shared" si="5"/>
        <v>0.44827190732338629</v>
      </c>
      <c r="F25" s="13">
        <f t="shared" si="6"/>
        <v>0.67488838264635564</v>
      </c>
      <c r="G25" s="13">
        <f t="shared" si="6"/>
        <v>0</v>
      </c>
      <c r="H25" s="13">
        <f t="shared" si="6"/>
        <v>0</v>
      </c>
      <c r="I25" s="13">
        <f t="shared" si="6"/>
        <v>2.0231371595438901E-2</v>
      </c>
      <c r="J25" s="13">
        <f t="shared" si="6"/>
        <v>4.888940126095298E-2</v>
      </c>
      <c r="K25" s="6"/>
      <c r="L25" t="s">
        <v>51</v>
      </c>
      <c r="M25" s="13">
        <f t="shared" ref="M25:P25" si="11">M8/M$16</f>
        <v>0</v>
      </c>
      <c r="N25" s="13">
        <f t="shared" si="11"/>
        <v>0</v>
      </c>
      <c r="O25" s="13">
        <f t="shared" si="11"/>
        <v>0</v>
      </c>
      <c r="P25" s="13">
        <f t="shared" si="11"/>
        <v>0.43752122874682065</v>
      </c>
      <c r="Q25" s="13">
        <f t="shared" si="8"/>
        <v>0.64050847392867116</v>
      </c>
      <c r="R25" s="13">
        <f t="shared" si="8"/>
        <v>0</v>
      </c>
      <c r="S25" s="13">
        <f t="shared" si="8"/>
        <v>0</v>
      </c>
      <c r="T25" s="13">
        <f t="shared" si="8"/>
        <v>3.7652534380279592E-4</v>
      </c>
      <c r="U25" s="13">
        <f t="shared" si="8"/>
        <v>2.5349943671481672E-2</v>
      </c>
    </row>
    <row r="26" spans="1:21" x14ac:dyDescent="0.25">
      <c r="A26" t="s">
        <v>52</v>
      </c>
      <c r="B26" s="13">
        <f t="shared" si="4"/>
        <v>0</v>
      </c>
      <c r="C26" s="13">
        <f t="shared" si="4"/>
        <v>0</v>
      </c>
      <c r="D26" s="13">
        <f t="shared" si="4"/>
        <v>0</v>
      </c>
      <c r="E26" s="13">
        <f t="shared" si="5"/>
        <v>0</v>
      </c>
      <c r="F26" s="13">
        <f t="shared" si="6"/>
        <v>2.4108109680470737E-3</v>
      </c>
      <c r="G26" s="13">
        <f t="shared" si="6"/>
        <v>0</v>
      </c>
      <c r="H26" s="13">
        <f t="shared" si="6"/>
        <v>0</v>
      </c>
      <c r="I26" s="13">
        <f t="shared" si="6"/>
        <v>0</v>
      </c>
      <c r="J26" s="13">
        <f t="shared" si="6"/>
        <v>1.4860853277401306E-4</v>
      </c>
      <c r="K26" s="6"/>
      <c r="L26" t="s">
        <v>52</v>
      </c>
      <c r="M26" s="13">
        <f t="shared" ref="M26:P26" si="12">M9/M$16</f>
        <v>0</v>
      </c>
      <c r="N26" s="13">
        <f t="shared" si="12"/>
        <v>0</v>
      </c>
      <c r="O26" s="13">
        <f t="shared" si="12"/>
        <v>0</v>
      </c>
      <c r="P26" s="13">
        <f t="shared" si="12"/>
        <v>0</v>
      </c>
      <c r="Q26" s="13">
        <f t="shared" si="8"/>
        <v>0</v>
      </c>
      <c r="R26" s="13">
        <f t="shared" si="8"/>
        <v>0</v>
      </c>
      <c r="S26" s="13">
        <f t="shared" si="8"/>
        <v>0</v>
      </c>
      <c r="T26" s="13">
        <f t="shared" si="8"/>
        <v>0</v>
      </c>
      <c r="U26" s="13">
        <f t="shared" si="8"/>
        <v>0</v>
      </c>
    </row>
    <row r="27" spans="1:21" x14ac:dyDescent="0.25">
      <c r="A27" t="s">
        <v>53</v>
      </c>
      <c r="B27" s="13">
        <f t="shared" si="4"/>
        <v>0</v>
      </c>
      <c r="C27" s="13">
        <f t="shared" si="4"/>
        <v>0</v>
      </c>
      <c r="D27" s="13">
        <f t="shared" si="4"/>
        <v>0</v>
      </c>
      <c r="E27" s="13">
        <f t="shared" si="5"/>
        <v>0</v>
      </c>
      <c r="F27" s="13">
        <f t="shared" si="6"/>
        <v>0</v>
      </c>
      <c r="G27" s="13">
        <f t="shared" si="6"/>
        <v>0</v>
      </c>
      <c r="H27" s="13">
        <f t="shared" si="6"/>
        <v>0</v>
      </c>
      <c r="I27" s="13">
        <f t="shared" si="6"/>
        <v>0</v>
      </c>
      <c r="J27" s="13">
        <f t="shared" si="6"/>
        <v>0</v>
      </c>
      <c r="K27" s="6"/>
      <c r="L27" t="s">
        <v>53</v>
      </c>
      <c r="M27" s="13">
        <f t="shared" ref="M27:P27" si="13">M10/M$16</f>
        <v>0</v>
      </c>
      <c r="N27" s="13">
        <f t="shared" si="13"/>
        <v>0</v>
      </c>
      <c r="O27" s="13">
        <f t="shared" si="13"/>
        <v>0</v>
      </c>
      <c r="P27" s="13">
        <f t="shared" si="13"/>
        <v>0</v>
      </c>
      <c r="Q27" s="13">
        <f t="shared" si="8"/>
        <v>0</v>
      </c>
      <c r="R27" s="13">
        <f t="shared" si="8"/>
        <v>0</v>
      </c>
      <c r="S27" s="13">
        <f t="shared" si="8"/>
        <v>0</v>
      </c>
      <c r="T27" s="13">
        <f t="shared" si="8"/>
        <v>0</v>
      </c>
      <c r="U27" s="13">
        <f t="shared" si="8"/>
        <v>0</v>
      </c>
    </row>
    <row r="28" spans="1:21" x14ac:dyDescent="0.25">
      <c r="A28" t="s">
        <v>54</v>
      </c>
      <c r="B28" s="13">
        <f t="shared" si="4"/>
        <v>0</v>
      </c>
      <c r="C28" s="13">
        <f t="shared" si="4"/>
        <v>0</v>
      </c>
      <c r="D28" s="13">
        <f t="shared" si="4"/>
        <v>0</v>
      </c>
      <c r="E28" s="13">
        <f t="shared" si="5"/>
        <v>0</v>
      </c>
      <c r="F28" s="13">
        <f t="shared" si="6"/>
        <v>0</v>
      </c>
      <c r="G28" s="13">
        <f t="shared" si="6"/>
        <v>0</v>
      </c>
      <c r="H28" s="13">
        <f t="shared" si="6"/>
        <v>0</v>
      </c>
      <c r="I28" s="13">
        <f t="shared" si="6"/>
        <v>0</v>
      </c>
      <c r="J28" s="13">
        <f t="shared" si="6"/>
        <v>0</v>
      </c>
      <c r="K28" s="6"/>
      <c r="L28" t="s">
        <v>54</v>
      </c>
      <c r="M28" s="13">
        <f t="shared" ref="M28:P28" si="14">M11/M$16</f>
        <v>0</v>
      </c>
      <c r="N28" s="13">
        <f t="shared" si="14"/>
        <v>0</v>
      </c>
      <c r="O28" s="13">
        <f t="shared" si="14"/>
        <v>0</v>
      </c>
      <c r="P28" s="13">
        <f t="shared" si="14"/>
        <v>0</v>
      </c>
      <c r="Q28" s="13">
        <f t="shared" si="8"/>
        <v>0</v>
      </c>
      <c r="R28" s="13">
        <f t="shared" si="8"/>
        <v>0</v>
      </c>
      <c r="S28" s="13">
        <f t="shared" si="8"/>
        <v>0</v>
      </c>
      <c r="T28" s="13">
        <f t="shared" si="8"/>
        <v>0</v>
      </c>
      <c r="U28" s="13">
        <f t="shared" si="8"/>
        <v>0</v>
      </c>
    </row>
    <row r="29" spans="1:21" x14ac:dyDescent="0.25">
      <c r="A29" t="s">
        <v>55</v>
      </c>
      <c r="B29" s="13">
        <f t="shared" si="4"/>
        <v>0</v>
      </c>
      <c r="C29" s="13">
        <f t="shared" si="4"/>
        <v>0</v>
      </c>
      <c r="D29" s="13">
        <f t="shared" si="4"/>
        <v>0</v>
      </c>
      <c r="E29" s="13">
        <f t="shared" si="5"/>
        <v>0</v>
      </c>
      <c r="F29" s="13">
        <f t="shared" si="6"/>
        <v>0</v>
      </c>
      <c r="G29" s="13">
        <f t="shared" si="6"/>
        <v>0</v>
      </c>
      <c r="H29" s="13">
        <f t="shared" si="6"/>
        <v>0</v>
      </c>
      <c r="I29" s="13">
        <f t="shared" si="6"/>
        <v>0</v>
      </c>
      <c r="J29" s="13">
        <f t="shared" si="6"/>
        <v>0</v>
      </c>
      <c r="K29" s="6"/>
      <c r="L29" t="s">
        <v>55</v>
      </c>
      <c r="M29" s="13">
        <f t="shared" ref="M29:P29" si="15">M12/M$16</f>
        <v>0</v>
      </c>
      <c r="N29" s="13">
        <f t="shared" si="15"/>
        <v>0</v>
      </c>
      <c r="O29" s="13">
        <f t="shared" si="15"/>
        <v>0</v>
      </c>
      <c r="P29" s="13">
        <f t="shared" si="15"/>
        <v>0</v>
      </c>
      <c r="Q29" s="13">
        <f t="shared" si="8"/>
        <v>0</v>
      </c>
      <c r="R29" s="13">
        <f t="shared" si="8"/>
        <v>0</v>
      </c>
      <c r="S29" s="13">
        <f t="shared" si="8"/>
        <v>0</v>
      </c>
      <c r="T29" s="13">
        <f t="shared" si="8"/>
        <v>0</v>
      </c>
      <c r="U29" s="13">
        <f t="shared" si="8"/>
        <v>0</v>
      </c>
    </row>
    <row r="30" spans="1:21" x14ac:dyDescent="0.25">
      <c r="A30" t="s">
        <v>24</v>
      </c>
      <c r="B30" s="13">
        <f t="shared" si="4"/>
        <v>0</v>
      </c>
      <c r="C30" s="13">
        <f t="shared" si="4"/>
        <v>0</v>
      </c>
      <c r="D30" s="13">
        <f t="shared" si="4"/>
        <v>0</v>
      </c>
      <c r="E30" s="13">
        <f t="shared" si="5"/>
        <v>0</v>
      </c>
      <c r="F30" s="13">
        <f t="shared" si="6"/>
        <v>0</v>
      </c>
      <c r="G30" s="13">
        <f t="shared" si="6"/>
        <v>0</v>
      </c>
      <c r="H30" s="13">
        <f t="shared" si="6"/>
        <v>0</v>
      </c>
      <c r="I30" s="13">
        <f t="shared" si="6"/>
        <v>0.71608616198847597</v>
      </c>
      <c r="J30" s="13">
        <f t="shared" si="6"/>
        <v>2.1844281845138518E-2</v>
      </c>
      <c r="K30" s="6"/>
      <c r="L30" t="s">
        <v>24</v>
      </c>
      <c r="M30" s="13">
        <f t="shared" ref="M30:P30" si="16">M13/M$16</f>
        <v>0</v>
      </c>
      <c r="N30" s="13">
        <f t="shared" si="16"/>
        <v>0</v>
      </c>
      <c r="O30" s="13">
        <f t="shared" si="16"/>
        <v>0</v>
      </c>
      <c r="P30" s="13">
        <f t="shared" si="16"/>
        <v>0</v>
      </c>
      <c r="Q30" s="13">
        <f t="shared" si="8"/>
        <v>0</v>
      </c>
      <c r="R30" s="13">
        <f t="shared" si="8"/>
        <v>0</v>
      </c>
      <c r="S30" s="13">
        <f t="shared" si="8"/>
        <v>0</v>
      </c>
      <c r="T30" s="13">
        <f t="shared" si="8"/>
        <v>0.67869223619293795</v>
      </c>
      <c r="U30" s="13">
        <f t="shared" si="8"/>
        <v>2.1346434999951147E-2</v>
      </c>
    </row>
    <row r="31" spans="1:21" x14ac:dyDescent="0.25">
      <c r="A31" t="s">
        <v>4</v>
      </c>
      <c r="B31" s="13">
        <f t="shared" si="4"/>
        <v>7.4097214791420064E-4</v>
      </c>
      <c r="C31" s="13">
        <f t="shared" si="4"/>
        <v>3.5352697930933412E-3</v>
      </c>
      <c r="D31" s="13">
        <f t="shared" si="4"/>
        <v>3.0141804458870959E-3</v>
      </c>
      <c r="E31" s="13">
        <f t="shared" si="5"/>
        <v>9.805423039845908E-4</v>
      </c>
      <c r="F31" s="13">
        <f t="shared" si="6"/>
        <v>8.3865889657352959E-3</v>
      </c>
      <c r="G31" s="13">
        <f t="shared" si="6"/>
        <v>0.92911398425364555</v>
      </c>
      <c r="H31" s="13">
        <f t="shared" si="6"/>
        <v>0</v>
      </c>
      <c r="I31" s="13">
        <f t="shared" si="6"/>
        <v>5.9696997863044653E-3</v>
      </c>
      <c r="J31" s="13">
        <f t="shared" si="6"/>
        <v>1.3572707227595505E-2</v>
      </c>
      <c r="K31" s="6"/>
      <c r="L31" t="s">
        <v>4</v>
      </c>
      <c r="M31" s="13">
        <f t="shared" ref="M31:P31" si="17">M14/M$16</f>
        <v>1.1013838654288844E-3</v>
      </c>
      <c r="N31" s="13">
        <f t="shared" si="17"/>
        <v>4.0264143598451952E-3</v>
      </c>
      <c r="O31" s="13">
        <f t="shared" si="17"/>
        <v>4.1407545846982065E-3</v>
      </c>
      <c r="P31" s="13">
        <f t="shared" si="17"/>
        <v>0</v>
      </c>
      <c r="Q31" s="13">
        <f t="shared" si="8"/>
        <v>1.1735307377684639E-2</v>
      </c>
      <c r="R31" s="13">
        <f t="shared" si="8"/>
        <v>0.92321184205693496</v>
      </c>
      <c r="S31" s="13">
        <f t="shared" si="8"/>
        <v>0</v>
      </c>
      <c r="T31" s="13">
        <f t="shared" si="8"/>
        <v>6.2754846113204652E-3</v>
      </c>
      <c r="U31" s="13">
        <f t="shared" si="8"/>
        <v>1.4875326957888749E-2</v>
      </c>
    </row>
    <row r="32" spans="1:21" x14ac:dyDescent="0.25">
      <c r="A32" s="4" t="s">
        <v>5</v>
      </c>
      <c r="B32" s="14">
        <f t="shared" si="4"/>
        <v>1.5354379248839039E-2</v>
      </c>
      <c r="C32" s="14">
        <f t="shared" si="4"/>
        <v>1.7153273365630672E-2</v>
      </c>
      <c r="D32" s="14">
        <f t="shared" si="4"/>
        <v>2.8280976206468647E-2</v>
      </c>
      <c r="E32" s="13">
        <f t="shared" si="5"/>
        <v>5.5550213371330259E-2</v>
      </c>
      <c r="F32" s="14">
        <f t="shared" si="6"/>
        <v>0.20264044352903487</v>
      </c>
      <c r="G32" s="14">
        <f t="shared" si="6"/>
        <v>7.0886015746354336E-2</v>
      </c>
      <c r="H32" s="14">
        <f t="shared" si="6"/>
        <v>1</v>
      </c>
      <c r="I32" s="14">
        <f t="shared" si="6"/>
        <v>2.5821142444383528E-2</v>
      </c>
      <c r="J32" s="14">
        <f t="shared" si="6"/>
        <v>0.12490301302267233</v>
      </c>
      <c r="K32" s="6"/>
      <c r="L32" s="4" t="s">
        <v>5</v>
      </c>
      <c r="M32" s="14">
        <f t="shared" ref="M32:P32" si="18">M15/M$16</f>
        <v>1.8603263456535013E-2</v>
      </c>
      <c r="N32" s="14">
        <f t="shared" si="18"/>
        <v>3.2067320487659812E-2</v>
      </c>
      <c r="O32" s="14">
        <f t="shared" si="18"/>
        <v>3.0543648018538119E-2</v>
      </c>
      <c r="P32" s="14">
        <f t="shared" si="18"/>
        <v>0</v>
      </c>
      <c r="Q32" s="14">
        <f t="shared" si="8"/>
        <v>0.18623150578541839</v>
      </c>
      <c r="R32" s="14">
        <f t="shared" si="8"/>
        <v>7.6788157943064941E-2</v>
      </c>
      <c r="S32" s="14">
        <f t="shared" si="8"/>
        <v>0.99999568968703445</v>
      </c>
      <c r="T32" s="14">
        <f t="shared" si="8"/>
        <v>7.2924092908491445E-2</v>
      </c>
      <c r="U32" s="14">
        <f t="shared" si="8"/>
        <v>0.12839591225129293</v>
      </c>
    </row>
    <row r="33" spans="1:32" ht="15.75" thickBot="1" x14ac:dyDescent="0.3">
      <c r="A33" s="12" t="s">
        <v>7</v>
      </c>
      <c r="B33" s="15">
        <f t="shared" si="4"/>
        <v>1</v>
      </c>
      <c r="C33" s="15">
        <f t="shared" si="4"/>
        <v>1</v>
      </c>
      <c r="D33" s="15">
        <f t="shared" si="4"/>
        <v>1</v>
      </c>
      <c r="E33" s="15">
        <f t="shared" si="5"/>
        <v>1</v>
      </c>
      <c r="F33" s="15">
        <f t="shared" si="6"/>
        <v>1</v>
      </c>
      <c r="G33" s="15">
        <f t="shared" si="6"/>
        <v>1</v>
      </c>
      <c r="H33" s="15">
        <f t="shared" si="6"/>
        <v>1</v>
      </c>
      <c r="I33" s="15">
        <f t="shared" si="6"/>
        <v>1</v>
      </c>
      <c r="J33" s="15">
        <f t="shared" si="6"/>
        <v>1</v>
      </c>
      <c r="L33" s="9" t="s">
        <v>7</v>
      </c>
      <c r="M33" s="15">
        <f t="shared" ref="M33:P33" si="19">M16/M$16</f>
        <v>1</v>
      </c>
      <c r="N33" s="15">
        <f t="shared" si="19"/>
        <v>1</v>
      </c>
      <c r="O33" s="15">
        <f t="shared" si="19"/>
        <v>1</v>
      </c>
      <c r="P33" s="15">
        <f t="shared" si="19"/>
        <v>1</v>
      </c>
      <c r="Q33" s="15">
        <f t="shared" si="8"/>
        <v>1</v>
      </c>
      <c r="R33" s="15">
        <f t="shared" si="8"/>
        <v>1</v>
      </c>
      <c r="S33" s="15">
        <f t="shared" si="8"/>
        <v>1</v>
      </c>
      <c r="T33" s="15">
        <f t="shared" si="8"/>
        <v>1</v>
      </c>
      <c r="U33" s="15">
        <f t="shared" si="8"/>
        <v>1</v>
      </c>
    </row>
    <row r="36" spans="1:32" ht="15.75" thickBot="1" x14ac:dyDescent="0.3">
      <c r="L36" s="1" t="s">
        <v>17</v>
      </c>
      <c r="M36" s="1"/>
      <c r="N36" s="2"/>
      <c r="O36" s="2"/>
      <c r="P36" s="2"/>
      <c r="Q36" s="2"/>
      <c r="R36" s="2"/>
      <c r="S36" s="2"/>
      <c r="T36" s="2"/>
      <c r="U36" s="2"/>
      <c r="W36" s="18" t="s">
        <v>48</v>
      </c>
      <c r="X36" s="18"/>
      <c r="Y36" s="19"/>
      <c r="Z36" s="19"/>
      <c r="AA36" s="19"/>
      <c r="AB36" s="19"/>
      <c r="AC36" s="19"/>
      <c r="AD36" s="19"/>
      <c r="AE36" s="19"/>
      <c r="AF36" s="19"/>
    </row>
    <row r="37" spans="1:32" x14ac:dyDescent="0.25">
      <c r="L37" s="3"/>
      <c r="M37" s="31" t="s">
        <v>47</v>
      </c>
      <c r="N37" s="32"/>
      <c r="O37" s="32"/>
      <c r="P37" s="32"/>
      <c r="Q37" s="32"/>
      <c r="R37" s="32"/>
      <c r="S37" s="32"/>
      <c r="T37" s="32"/>
      <c r="U37" s="32"/>
      <c r="W37" s="23"/>
      <c r="X37" s="30" t="s">
        <v>47</v>
      </c>
      <c r="Y37" s="30"/>
      <c r="Z37" s="30"/>
      <c r="AA37" s="30"/>
      <c r="AB37" s="30"/>
      <c r="AC37" s="30"/>
      <c r="AD37" s="30"/>
      <c r="AE37" s="30"/>
      <c r="AF37" s="24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  <c r="W38" s="25" t="s">
        <v>0</v>
      </c>
      <c r="X38" s="26" t="s">
        <v>11</v>
      </c>
      <c r="Y38" s="26" t="s">
        <v>12</v>
      </c>
      <c r="Z38" s="26" t="s">
        <v>13</v>
      </c>
      <c r="AA38" s="26" t="s">
        <v>14</v>
      </c>
      <c r="AB38" s="26" t="s">
        <v>15</v>
      </c>
      <c r="AC38" s="5" t="s">
        <v>4</v>
      </c>
      <c r="AD38" s="5" t="s">
        <v>5</v>
      </c>
      <c r="AE38" s="5" t="s">
        <v>16</v>
      </c>
      <c r="AF38" s="26" t="s">
        <v>7</v>
      </c>
    </row>
    <row r="39" spans="1:32" x14ac:dyDescent="0.25">
      <c r="L39" t="s">
        <v>1</v>
      </c>
      <c r="M39" s="13">
        <f t="shared" ref="M39:P44" si="20">M22-B22</f>
        <v>-3.6092959252106427E-3</v>
      </c>
      <c r="N39" s="13">
        <f t="shared" si="20"/>
        <v>-2.6247645501019878E-2</v>
      </c>
      <c r="O39" s="13">
        <f t="shared" si="20"/>
        <v>-7.0979518510862344E-3</v>
      </c>
      <c r="P39" s="13">
        <f t="shared" si="20"/>
        <v>6.7276963262291545E-2</v>
      </c>
      <c r="Q39" s="13">
        <f t="shared" ref="Q39:Q50" si="21">Q22-F22</f>
        <v>1.905987194606663E-2</v>
      </c>
      <c r="R39" s="13">
        <f t="shared" ref="R39:R50" si="22">R22-G22</f>
        <v>0</v>
      </c>
      <c r="S39" s="13">
        <f t="shared" ref="S39:S50" si="23">S22-H22</f>
        <v>0</v>
      </c>
      <c r="T39" s="13">
        <f t="shared" ref="T39:T50" si="24">T22-I22</f>
        <v>-5.3869810467703158E-4</v>
      </c>
      <c r="U39" s="13">
        <f t="shared" ref="U39:U50" si="25">U22-J22</f>
        <v>2.7760313539458847E-3</v>
      </c>
      <c r="W39" s="21" t="s">
        <v>1</v>
      </c>
      <c r="X39" s="22">
        <f>M39</f>
        <v>-3.6092959252106427E-3</v>
      </c>
      <c r="Y39" s="22">
        <f t="shared" ref="Y39:AF39" si="26">N39</f>
        <v>-2.6247645501019878E-2</v>
      </c>
      <c r="Z39" s="22">
        <f t="shared" si="26"/>
        <v>-7.0979518510862344E-3</v>
      </c>
      <c r="AA39" s="22">
        <f t="shared" si="26"/>
        <v>6.7276963262291545E-2</v>
      </c>
      <c r="AB39" s="22">
        <f t="shared" si="26"/>
        <v>1.905987194606663E-2</v>
      </c>
      <c r="AC39" s="22">
        <f t="shared" si="26"/>
        <v>0</v>
      </c>
      <c r="AD39" s="22">
        <f t="shared" si="26"/>
        <v>0</v>
      </c>
      <c r="AE39" s="22">
        <f t="shared" si="26"/>
        <v>-5.3869810467703158E-4</v>
      </c>
      <c r="AF39" s="22">
        <f t="shared" si="26"/>
        <v>2.7760313539458847E-3</v>
      </c>
    </row>
    <row r="40" spans="1:32" x14ac:dyDescent="0.25">
      <c r="L40" t="s">
        <v>9</v>
      </c>
      <c r="M40" s="13">
        <f t="shared" si="20"/>
        <v>0</v>
      </c>
      <c r="N40" s="13">
        <f t="shared" si="20"/>
        <v>1.0842453812238917E-2</v>
      </c>
      <c r="O40" s="13">
        <f t="shared" si="20"/>
        <v>5.0008754092525642E-3</v>
      </c>
      <c r="P40" s="13">
        <f t="shared" si="20"/>
        <v>-3.0216730328996334E-3</v>
      </c>
      <c r="Q40" s="13">
        <f t="shared" si="21"/>
        <v>1.2652280928990914E-2</v>
      </c>
      <c r="R40" s="13">
        <f t="shared" si="22"/>
        <v>0</v>
      </c>
      <c r="S40" s="13">
        <f t="shared" si="23"/>
        <v>0</v>
      </c>
      <c r="T40" s="13">
        <f t="shared" si="24"/>
        <v>3.2518263636024655E-2</v>
      </c>
      <c r="U40" s="13">
        <f t="shared" si="25"/>
        <v>1.3859213585264457E-2</v>
      </c>
      <c r="W40" s="27" t="s">
        <v>9</v>
      </c>
      <c r="X40" s="22">
        <f t="shared" ref="X40:X49" si="27">M40</f>
        <v>0</v>
      </c>
      <c r="Y40" s="22">
        <f t="shared" ref="Y40:Y50" si="28">N40</f>
        <v>1.0842453812238917E-2</v>
      </c>
      <c r="Z40" s="22">
        <f t="shared" ref="Z40:Z50" si="29">O40</f>
        <v>5.0008754092525642E-3</v>
      </c>
      <c r="AA40" s="22">
        <f t="shared" ref="AA40:AA50" si="30">P40</f>
        <v>-3.0216730328996334E-3</v>
      </c>
      <c r="AB40" s="22">
        <f t="shared" ref="AB40:AB50" si="31">Q40</f>
        <v>1.2652280928990914E-2</v>
      </c>
      <c r="AC40" s="22">
        <f t="shared" ref="AC40:AC50" si="32">R40</f>
        <v>0</v>
      </c>
      <c r="AD40" s="22">
        <f t="shared" ref="AD40:AD50" si="33">S40</f>
        <v>0</v>
      </c>
      <c r="AE40" s="22">
        <f t="shared" ref="AE40:AE50" si="34">T40</f>
        <v>3.2518263636024655E-2</v>
      </c>
      <c r="AF40" s="22">
        <f t="shared" ref="AF40:AF50" si="35">U40</f>
        <v>1.3859213585264457E-2</v>
      </c>
    </row>
    <row r="41" spans="1:32" x14ac:dyDescent="0.25">
      <c r="L41" t="s">
        <v>10</v>
      </c>
      <c r="M41" s="13">
        <f t="shared" si="20"/>
        <v>0</v>
      </c>
      <c r="N41" s="13">
        <f t="shared" si="20"/>
        <v>0</v>
      </c>
      <c r="O41" s="13">
        <f t="shared" si="20"/>
        <v>-1.2921695090467589E-3</v>
      </c>
      <c r="P41" s="13">
        <f t="shared" si="20"/>
        <v>3.0261440224886374E-3</v>
      </c>
      <c r="Q41" s="13">
        <f t="shared" si="21"/>
        <v>1.8138786142341108E-2</v>
      </c>
      <c r="R41" s="13">
        <f t="shared" si="22"/>
        <v>0</v>
      </c>
      <c r="S41" s="13">
        <f t="shared" si="23"/>
        <v>4.3103129654951699E-6</v>
      </c>
      <c r="T41" s="13">
        <f t="shared" si="24"/>
        <v>-2.2139528773297265E-2</v>
      </c>
      <c r="U41" s="13">
        <f t="shared" si="25"/>
        <v>2.7551490693084046E-3</v>
      </c>
      <c r="W41" s="27" t="s">
        <v>10</v>
      </c>
      <c r="X41" s="22">
        <f t="shared" si="27"/>
        <v>0</v>
      </c>
      <c r="Y41" s="22">
        <f t="shared" si="28"/>
        <v>0</v>
      </c>
      <c r="Z41" s="22">
        <f t="shared" si="29"/>
        <v>-1.2921695090467589E-3</v>
      </c>
      <c r="AA41" s="22">
        <f t="shared" si="30"/>
        <v>3.0261440224886374E-3</v>
      </c>
      <c r="AB41" s="22">
        <f t="shared" si="31"/>
        <v>1.8138786142341108E-2</v>
      </c>
      <c r="AC41" s="22">
        <f t="shared" si="32"/>
        <v>0</v>
      </c>
      <c r="AD41" s="22">
        <f t="shared" si="33"/>
        <v>4.3103129654951699E-6</v>
      </c>
      <c r="AE41" s="22">
        <f t="shared" si="34"/>
        <v>-2.2139528773297265E-2</v>
      </c>
      <c r="AF41" s="22">
        <f t="shared" si="35"/>
        <v>2.7551490693084046E-3</v>
      </c>
    </row>
    <row r="42" spans="1:32" x14ac:dyDescent="0.25">
      <c r="L42" t="s">
        <v>51</v>
      </c>
      <c r="M42" s="13">
        <f t="shared" si="20"/>
        <v>0</v>
      </c>
      <c r="N42" s="13">
        <f t="shared" si="20"/>
        <v>0</v>
      </c>
      <c r="O42" s="13">
        <f t="shared" si="20"/>
        <v>0</v>
      </c>
      <c r="P42" s="13">
        <f t="shared" si="20"/>
        <v>-1.0750678576565642E-2</v>
      </c>
      <c r="Q42" s="13">
        <f t="shared" si="21"/>
        <v>-3.4379908717684482E-2</v>
      </c>
      <c r="R42" s="13">
        <f t="shared" si="22"/>
        <v>0</v>
      </c>
      <c r="S42" s="13">
        <f t="shared" si="23"/>
        <v>0</v>
      </c>
      <c r="T42" s="13">
        <f t="shared" si="24"/>
        <v>-1.9854846251636107E-2</v>
      </c>
      <c r="U42" s="13">
        <f t="shared" si="25"/>
        <v>-2.3539457589471308E-2</v>
      </c>
      <c r="W42" t="s">
        <v>51</v>
      </c>
      <c r="X42" s="22">
        <f t="shared" si="27"/>
        <v>0</v>
      </c>
      <c r="Y42" s="22">
        <f t="shared" si="28"/>
        <v>0</v>
      </c>
      <c r="Z42" s="22">
        <f t="shared" si="29"/>
        <v>0</v>
      </c>
      <c r="AA42" s="22">
        <f t="shared" si="30"/>
        <v>-1.0750678576565642E-2</v>
      </c>
      <c r="AB42" s="22">
        <f t="shared" si="31"/>
        <v>-3.4379908717684482E-2</v>
      </c>
      <c r="AC42" s="22">
        <f t="shared" si="32"/>
        <v>0</v>
      </c>
      <c r="AD42" s="22">
        <f t="shared" si="33"/>
        <v>0</v>
      </c>
      <c r="AE42" s="22">
        <f t="shared" si="34"/>
        <v>-1.9854846251636107E-2</v>
      </c>
      <c r="AF42" s="22">
        <f t="shared" si="35"/>
        <v>-2.3539457589471308E-2</v>
      </c>
    </row>
    <row r="43" spans="1:32" x14ac:dyDescent="0.25">
      <c r="L43" t="s">
        <v>52</v>
      </c>
      <c r="M43" s="13">
        <f t="shared" si="20"/>
        <v>0</v>
      </c>
      <c r="N43" s="13">
        <f t="shared" si="20"/>
        <v>0</v>
      </c>
      <c r="O43" s="13">
        <f t="shared" si="20"/>
        <v>0</v>
      </c>
      <c r="P43" s="13">
        <f t="shared" si="20"/>
        <v>0</v>
      </c>
      <c r="Q43" s="13">
        <f t="shared" si="21"/>
        <v>-2.4108109680470737E-3</v>
      </c>
      <c r="R43" s="13">
        <f t="shared" si="22"/>
        <v>0</v>
      </c>
      <c r="S43" s="13">
        <f t="shared" si="23"/>
        <v>0</v>
      </c>
      <c r="T43" s="13">
        <f t="shared" si="24"/>
        <v>0</v>
      </c>
      <c r="U43" s="13">
        <f t="shared" si="25"/>
        <v>-1.4860853277401306E-4</v>
      </c>
      <c r="W43" t="s">
        <v>52</v>
      </c>
      <c r="X43" s="22">
        <f t="shared" si="27"/>
        <v>0</v>
      </c>
      <c r="Y43" s="22">
        <f t="shared" si="28"/>
        <v>0</v>
      </c>
      <c r="Z43" s="22">
        <f t="shared" si="29"/>
        <v>0</v>
      </c>
      <c r="AA43" s="22">
        <f t="shared" si="30"/>
        <v>0</v>
      </c>
      <c r="AB43" s="22">
        <f t="shared" si="31"/>
        <v>-2.4108109680470737E-3</v>
      </c>
      <c r="AC43" s="22">
        <f t="shared" si="32"/>
        <v>0</v>
      </c>
      <c r="AD43" s="22">
        <f t="shared" si="33"/>
        <v>0</v>
      </c>
      <c r="AE43" s="22">
        <f t="shared" si="34"/>
        <v>0</v>
      </c>
      <c r="AF43" s="22">
        <f t="shared" si="35"/>
        <v>-1.4860853277401306E-4</v>
      </c>
    </row>
    <row r="44" spans="1:32" x14ac:dyDescent="0.25">
      <c r="L44" t="s">
        <v>53</v>
      </c>
      <c r="M44" s="13">
        <f t="shared" si="20"/>
        <v>0</v>
      </c>
      <c r="N44" s="13">
        <f t="shared" si="20"/>
        <v>0</v>
      </c>
      <c r="O44" s="13">
        <f t="shared" si="20"/>
        <v>0</v>
      </c>
      <c r="P44" s="13">
        <f t="shared" si="20"/>
        <v>0</v>
      </c>
      <c r="Q44" s="13">
        <f t="shared" si="21"/>
        <v>0</v>
      </c>
      <c r="R44" s="13">
        <f t="shared" si="22"/>
        <v>0</v>
      </c>
      <c r="S44" s="13">
        <f t="shared" si="23"/>
        <v>0</v>
      </c>
      <c r="T44" s="13">
        <f t="shared" si="24"/>
        <v>0</v>
      </c>
      <c r="U44" s="13">
        <f t="shared" si="25"/>
        <v>0</v>
      </c>
      <c r="W44" t="s">
        <v>53</v>
      </c>
      <c r="X44" s="22">
        <f t="shared" si="27"/>
        <v>0</v>
      </c>
      <c r="Y44" s="22">
        <f t="shared" si="28"/>
        <v>0</v>
      </c>
      <c r="Z44" s="22">
        <f t="shared" si="29"/>
        <v>0</v>
      </c>
      <c r="AA44" s="22">
        <f t="shared" si="30"/>
        <v>0</v>
      </c>
      <c r="AB44" s="22">
        <f t="shared" si="31"/>
        <v>0</v>
      </c>
      <c r="AC44" s="22">
        <f t="shared" si="32"/>
        <v>0</v>
      </c>
      <c r="AD44" s="22">
        <f t="shared" si="33"/>
        <v>0</v>
      </c>
      <c r="AE44" s="22">
        <f t="shared" si="34"/>
        <v>0</v>
      </c>
      <c r="AF44" s="22">
        <f t="shared" si="35"/>
        <v>0</v>
      </c>
    </row>
    <row r="45" spans="1:32" x14ac:dyDescent="0.25">
      <c r="L45" t="s">
        <v>54</v>
      </c>
      <c r="M45" s="13">
        <f t="shared" ref="M45:M47" si="36">M28-B28</f>
        <v>0</v>
      </c>
      <c r="N45" s="13">
        <f t="shared" ref="N45:N47" si="37">N28-C28</f>
        <v>0</v>
      </c>
      <c r="O45" s="13">
        <f t="shared" ref="O45:O47" si="38">O28-D28</f>
        <v>0</v>
      </c>
      <c r="P45" s="13">
        <f t="shared" ref="P45:P47" si="39">P28-E28</f>
        <v>0</v>
      </c>
      <c r="Q45" s="13">
        <f t="shared" si="21"/>
        <v>0</v>
      </c>
      <c r="R45" s="13">
        <f t="shared" si="22"/>
        <v>0</v>
      </c>
      <c r="S45" s="13">
        <f t="shared" si="23"/>
        <v>0</v>
      </c>
      <c r="T45" s="13">
        <f t="shared" si="24"/>
        <v>0</v>
      </c>
      <c r="U45" s="13">
        <f t="shared" si="25"/>
        <v>0</v>
      </c>
      <c r="W45" t="s">
        <v>54</v>
      </c>
      <c r="X45" s="22">
        <f t="shared" si="27"/>
        <v>0</v>
      </c>
      <c r="Y45" s="22">
        <f t="shared" si="28"/>
        <v>0</v>
      </c>
      <c r="Z45" s="22">
        <f t="shared" si="29"/>
        <v>0</v>
      </c>
      <c r="AA45" s="22">
        <f t="shared" si="30"/>
        <v>0</v>
      </c>
      <c r="AB45" s="22">
        <f t="shared" si="31"/>
        <v>0</v>
      </c>
      <c r="AC45" s="22">
        <f t="shared" si="32"/>
        <v>0</v>
      </c>
      <c r="AD45" s="22">
        <f t="shared" si="33"/>
        <v>0</v>
      </c>
      <c r="AE45" s="22">
        <f t="shared" si="34"/>
        <v>0</v>
      </c>
      <c r="AF45" s="22">
        <f t="shared" si="35"/>
        <v>0</v>
      </c>
    </row>
    <row r="46" spans="1:32" x14ac:dyDescent="0.25">
      <c r="L46" t="s">
        <v>55</v>
      </c>
      <c r="M46" s="13">
        <f t="shared" si="36"/>
        <v>0</v>
      </c>
      <c r="N46" s="13">
        <f t="shared" si="37"/>
        <v>0</v>
      </c>
      <c r="O46" s="13">
        <f t="shared" si="38"/>
        <v>0</v>
      </c>
      <c r="P46" s="13">
        <f t="shared" si="39"/>
        <v>0</v>
      </c>
      <c r="Q46" s="13">
        <f t="shared" si="21"/>
        <v>0</v>
      </c>
      <c r="R46" s="13">
        <f t="shared" si="22"/>
        <v>0</v>
      </c>
      <c r="S46" s="13">
        <f t="shared" si="23"/>
        <v>0</v>
      </c>
      <c r="T46" s="13">
        <f t="shared" si="24"/>
        <v>0</v>
      </c>
      <c r="U46" s="13">
        <f t="shared" si="25"/>
        <v>0</v>
      </c>
      <c r="W46" t="s">
        <v>55</v>
      </c>
      <c r="X46" s="22">
        <f t="shared" si="27"/>
        <v>0</v>
      </c>
      <c r="Y46" s="22">
        <f t="shared" si="28"/>
        <v>0</v>
      </c>
      <c r="Z46" s="22">
        <f t="shared" si="29"/>
        <v>0</v>
      </c>
      <c r="AA46" s="22">
        <f t="shared" si="30"/>
        <v>0</v>
      </c>
      <c r="AB46" s="22">
        <f t="shared" si="31"/>
        <v>0</v>
      </c>
      <c r="AC46" s="22">
        <f t="shared" si="32"/>
        <v>0</v>
      </c>
      <c r="AD46" s="22">
        <f t="shared" si="33"/>
        <v>0</v>
      </c>
      <c r="AE46" s="22">
        <f t="shared" si="34"/>
        <v>0</v>
      </c>
      <c r="AF46" s="22">
        <f t="shared" si="35"/>
        <v>0</v>
      </c>
    </row>
    <row r="47" spans="1:32" x14ac:dyDescent="0.25">
      <c r="L47" t="s">
        <v>24</v>
      </c>
      <c r="M47" s="13">
        <f t="shared" si="36"/>
        <v>0</v>
      </c>
      <c r="N47" s="13">
        <f t="shared" si="37"/>
        <v>0</v>
      </c>
      <c r="O47" s="13">
        <f t="shared" si="38"/>
        <v>0</v>
      </c>
      <c r="P47" s="13">
        <f t="shared" si="39"/>
        <v>0</v>
      </c>
      <c r="Q47" s="13">
        <f t="shared" si="21"/>
        <v>0</v>
      </c>
      <c r="R47" s="13">
        <f t="shared" si="22"/>
        <v>0</v>
      </c>
      <c r="S47" s="13">
        <f t="shared" si="23"/>
        <v>0</v>
      </c>
      <c r="T47" s="13">
        <f t="shared" si="24"/>
        <v>-3.7393925795538019E-2</v>
      </c>
      <c r="U47" s="13">
        <f t="shared" si="25"/>
        <v>-4.9784684518737118E-4</v>
      </c>
      <c r="W47" s="21" t="s">
        <v>24</v>
      </c>
      <c r="X47" s="22">
        <f t="shared" si="27"/>
        <v>0</v>
      </c>
      <c r="Y47" s="22">
        <f t="shared" si="28"/>
        <v>0</v>
      </c>
      <c r="Z47" s="22">
        <f t="shared" si="29"/>
        <v>0</v>
      </c>
      <c r="AA47" s="22">
        <f t="shared" si="30"/>
        <v>0</v>
      </c>
      <c r="AB47" s="22">
        <f t="shared" si="31"/>
        <v>0</v>
      </c>
      <c r="AC47" s="22">
        <f t="shared" si="32"/>
        <v>0</v>
      </c>
      <c r="AD47" s="22">
        <f t="shared" si="33"/>
        <v>0</v>
      </c>
      <c r="AE47" s="22">
        <f t="shared" si="34"/>
        <v>-3.7393925795538019E-2</v>
      </c>
      <c r="AF47" s="22">
        <f t="shared" si="35"/>
        <v>-4.9784684518737118E-4</v>
      </c>
    </row>
    <row r="48" spans="1:32" x14ac:dyDescent="0.25">
      <c r="L48" t="s">
        <v>4</v>
      </c>
      <c r="M48" s="13">
        <f t="shared" ref="M48:P50" si="40">M31-B31</f>
        <v>3.6041171751468378E-4</v>
      </c>
      <c r="N48" s="13">
        <f t="shared" si="40"/>
        <v>4.91144566751854E-4</v>
      </c>
      <c r="O48" s="13">
        <f t="shared" si="40"/>
        <v>1.1265741388111106E-3</v>
      </c>
      <c r="P48" s="13">
        <f t="shared" si="40"/>
        <v>-9.805423039845908E-4</v>
      </c>
      <c r="Q48" s="13">
        <f t="shared" si="21"/>
        <v>3.3487184119493432E-3</v>
      </c>
      <c r="R48" s="13">
        <f t="shared" si="22"/>
        <v>-5.9021421967105914E-3</v>
      </c>
      <c r="S48" s="13">
        <f t="shared" si="23"/>
        <v>0</v>
      </c>
      <c r="T48" s="13">
        <f t="shared" si="24"/>
        <v>3.0578482501599988E-4</v>
      </c>
      <c r="U48" s="13">
        <f t="shared" si="25"/>
        <v>1.3026197302932439E-3</v>
      </c>
      <c r="W48" s="27" t="s">
        <v>4</v>
      </c>
      <c r="X48" s="22">
        <f t="shared" si="27"/>
        <v>3.6041171751468378E-4</v>
      </c>
      <c r="Y48" s="22">
        <f t="shared" si="28"/>
        <v>4.91144566751854E-4</v>
      </c>
      <c r="Z48" s="22">
        <f t="shared" si="29"/>
        <v>1.1265741388111106E-3</v>
      </c>
      <c r="AA48" s="22">
        <f t="shared" si="30"/>
        <v>-9.805423039845908E-4</v>
      </c>
      <c r="AB48" s="22">
        <f t="shared" si="31"/>
        <v>3.3487184119493432E-3</v>
      </c>
      <c r="AC48" s="22">
        <f t="shared" si="32"/>
        <v>-5.9021421967105914E-3</v>
      </c>
      <c r="AD48" s="22">
        <f t="shared" si="33"/>
        <v>0</v>
      </c>
      <c r="AE48" s="22">
        <f t="shared" si="34"/>
        <v>3.0578482501599988E-4</v>
      </c>
      <c r="AF48" s="22">
        <f t="shared" si="35"/>
        <v>1.3026197302932439E-3</v>
      </c>
    </row>
    <row r="49" spans="12:32" x14ac:dyDescent="0.25">
      <c r="L49" s="4" t="s">
        <v>5</v>
      </c>
      <c r="M49" s="17">
        <f t="shared" si="40"/>
        <v>3.2488842076959738E-3</v>
      </c>
      <c r="N49" s="17">
        <f t="shared" si="40"/>
        <v>1.491404712202914E-2</v>
      </c>
      <c r="O49" s="17">
        <f t="shared" si="40"/>
        <v>2.2626718120694715E-3</v>
      </c>
      <c r="P49" s="17">
        <f t="shared" si="40"/>
        <v>-5.5550213371330259E-2</v>
      </c>
      <c r="Q49" s="17">
        <f t="shared" si="21"/>
        <v>-1.6408937743616486E-2</v>
      </c>
      <c r="R49" s="17">
        <f t="shared" si="22"/>
        <v>5.9021421967106052E-3</v>
      </c>
      <c r="S49" s="17">
        <f t="shared" si="23"/>
        <v>-4.3103129655497341E-6</v>
      </c>
      <c r="T49" s="17">
        <f t="shared" si="24"/>
        <v>4.7102950464107916E-2</v>
      </c>
      <c r="U49" s="13">
        <f t="shared" si="25"/>
        <v>3.4928992286206023E-3</v>
      </c>
      <c r="W49" s="20" t="s">
        <v>5</v>
      </c>
      <c r="X49" s="22">
        <f t="shared" si="27"/>
        <v>3.2488842076959738E-3</v>
      </c>
      <c r="Y49" s="22">
        <f t="shared" si="28"/>
        <v>1.491404712202914E-2</v>
      </c>
      <c r="Z49" s="22">
        <f t="shared" si="29"/>
        <v>2.2626718120694715E-3</v>
      </c>
      <c r="AA49" s="22">
        <f t="shared" si="30"/>
        <v>-5.5550213371330259E-2</v>
      </c>
      <c r="AB49" s="22">
        <f t="shared" si="31"/>
        <v>-1.6408937743616486E-2</v>
      </c>
      <c r="AC49" s="22">
        <f t="shared" si="32"/>
        <v>5.9021421967106052E-3</v>
      </c>
      <c r="AD49" s="22">
        <f t="shared" si="33"/>
        <v>-4.3103129655497341E-6</v>
      </c>
      <c r="AE49" s="22">
        <f t="shared" si="34"/>
        <v>4.7102950464107916E-2</v>
      </c>
      <c r="AF49" s="22">
        <f t="shared" si="35"/>
        <v>3.4928992286206023E-3</v>
      </c>
    </row>
    <row r="50" spans="12:32" ht="15.75" thickBot="1" x14ac:dyDescent="0.3">
      <c r="L50" s="9" t="s">
        <v>7</v>
      </c>
      <c r="M50" s="15">
        <f t="shared" si="40"/>
        <v>0</v>
      </c>
      <c r="N50" s="15">
        <f t="shared" si="40"/>
        <v>0</v>
      </c>
      <c r="O50" s="15">
        <f t="shared" si="40"/>
        <v>0</v>
      </c>
      <c r="P50" s="15">
        <f t="shared" si="40"/>
        <v>0</v>
      </c>
      <c r="Q50" s="15">
        <f t="shared" si="21"/>
        <v>0</v>
      </c>
      <c r="R50" s="15">
        <f t="shared" si="22"/>
        <v>0</v>
      </c>
      <c r="S50" s="15">
        <f t="shared" si="23"/>
        <v>0</v>
      </c>
      <c r="T50" s="15">
        <f t="shared" si="24"/>
        <v>0</v>
      </c>
      <c r="U50" s="15">
        <f t="shared" si="25"/>
        <v>0</v>
      </c>
      <c r="W50" s="28" t="s">
        <v>7</v>
      </c>
      <c r="X50" s="29">
        <f>M50</f>
        <v>0</v>
      </c>
      <c r="Y50" s="29">
        <f t="shared" si="28"/>
        <v>0</v>
      </c>
      <c r="Z50" s="29">
        <f t="shared" si="29"/>
        <v>0</v>
      </c>
      <c r="AA50" s="29">
        <f t="shared" si="30"/>
        <v>0</v>
      </c>
      <c r="AB50" s="29">
        <f t="shared" si="31"/>
        <v>0</v>
      </c>
      <c r="AC50" s="29">
        <f t="shared" si="32"/>
        <v>0</v>
      </c>
      <c r="AD50" s="29">
        <f t="shared" si="33"/>
        <v>0</v>
      </c>
      <c r="AE50" s="29">
        <f t="shared" si="34"/>
        <v>0</v>
      </c>
      <c r="AF50" s="29">
        <f t="shared" si="35"/>
        <v>0</v>
      </c>
    </row>
  </sheetData>
  <mergeCells count="6">
    <mergeCell ref="X37:AE37"/>
    <mergeCell ref="B3:I3"/>
    <mergeCell ref="M3:U3"/>
    <mergeCell ref="B20:I20"/>
    <mergeCell ref="M20:U20"/>
    <mergeCell ref="M37:U37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AF50"/>
  <sheetViews>
    <sheetView workbookViewId="0"/>
  </sheetViews>
  <sheetFormatPr defaultRowHeight="15" x14ac:dyDescent="0.25"/>
  <cols>
    <col min="1" max="1" width="25" customWidth="1" collapsed="1"/>
    <col min="2" max="10" width="10.7109375" customWidth="1" collapsed="1"/>
    <col min="11" max="11" width="3.7109375" customWidth="1" collapsed="1"/>
    <col min="12" max="12" width="25" customWidth="1" collapsed="1"/>
    <col min="13" max="22" width="10.7109375" customWidth="1" collapsed="1"/>
    <col min="23" max="23" width="17" customWidth="1" collapsed="1"/>
  </cols>
  <sheetData>
    <row r="2" spans="1:21" ht="15.75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28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31" t="s">
        <v>41</v>
      </c>
      <c r="C3" s="31"/>
      <c r="D3" s="31"/>
      <c r="E3" s="31"/>
      <c r="F3" s="31"/>
      <c r="G3" s="31"/>
      <c r="H3" s="31"/>
      <c r="I3" s="31"/>
      <c r="J3" s="7"/>
      <c r="L3" s="3"/>
      <c r="M3" s="31" t="s">
        <v>41</v>
      </c>
      <c r="N3" s="31"/>
      <c r="O3" s="31"/>
      <c r="P3" s="31"/>
      <c r="Q3" s="31"/>
      <c r="R3" s="31"/>
      <c r="S3" s="31"/>
      <c r="T3" s="31"/>
      <c r="U3" s="31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>
        <v>164820.26496609871</v>
      </c>
      <c r="C5" s="6">
        <v>5896.5215928702</v>
      </c>
      <c r="D5" s="6">
        <v>1862.7626499472001</v>
      </c>
      <c r="E5" s="6">
        <v>0</v>
      </c>
      <c r="F5" s="6">
        <v>18.7005063981</v>
      </c>
      <c r="G5" s="6">
        <v>0</v>
      </c>
      <c r="H5" s="6">
        <v>0</v>
      </c>
      <c r="I5" s="6">
        <v>0</v>
      </c>
      <c r="J5" s="6">
        <f>SUM(B5:I5)</f>
        <v>172598.24971531422</v>
      </c>
      <c r="K5" s="6"/>
      <c r="L5" t="s">
        <v>1</v>
      </c>
      <c r="M5" s="6">
        <v>167942.74860409246</v>
      </c>
      <c r="N5" s="6">
        <v>3472.5236153776959</v>
      </c>
      <c r="O5" s="6">
        <v>605.20056438958375</v>
      </c>
      <c r="P5" s="6">
        <v>0</v>
      </c>
      <c r="Q5" s="6">
        <v>67.990225903885275</v>
      </c>
      <c r="R5" s="6">
        <v>0</v>
      </c>
      <c r="S5" s="6">
        <v>0</v>
      </c>
      <c r="T5" s="6">
        <v>0</v>
      </c>
      <c r="U5" s="6">
        <f t="shared" ref="U5:U15" si="0">SUM(M5:T5)</f>
        <v>172088.46300976363</v>
      </c>
    </row>
    <row r="6" spans="1:21" x14ac:dyDescent="0.25">
      <c r="A6" t="s">
        <v>12</v>
      </c>
      <c r="B6" s="6">
        <v>0</v>
      </c>
      <c r="C6" s="6">
        <v>31299.678939911399</v>
      </c>
      <c r="D6" s="6">
        <v>149.88885107510001</v>
      </c>
      <c r="E6" s="6">
        <v>0</v>
      </c>
      <c r="F6" s="6">
        <v>0</v>
      </c>
      <c r="G6" s="6">
        <v>0</v>
      </c>
      <c r="H6" s="6">
        <v>0</v>
      </c>
      <c r="I6" s="6">
        <v>0</v>
      </c>
      <c r="J6" s="6">
        <f t="shared" ref="J6:J15" si="1">SUM(B6:I6)</f>
        <v>31449.567790986497</v>
      </c>
      <c r="K6" s="6"/>
      <c r="L6" t="s">
        <v>12</v>
      </c>
      <c r="M6" s="6">
        <v>0</v>
      </c>
      <c r="N6" s="6">
        <v>37181.387716775847</v>
      </c>
      <c r="O6" s="6">
        <v>2085.8028890253322</v>
      </c>
      <c r="P6" s="6">
        <v>0</v>
      </c>
      <c r="Q6" s="6">
        <v>425.15262944952548</v>
      </c>
      <c r="R6" s="6">
        <v>0</v>
      </c>
      <c r="S6" s="6">
        <v>0</v>
      </c>
      <c r="T6" s="6">
        <v>0</v>
      </c>
      <c r="U6" s="6">
        <f t="shared" si="0"/>
        <v>39692.343235250708</v>
      </c>
    </row>
    <row r="7" spans="1:21" x14ac:dyDescent="0.25">
      <c r="A7" t="s">
        <v>56</v>
      </c>
      <c r="B7" s="6">
        <v>0</v>
      </c>
      <c r="C7" s="6">
        <v>0</v>
      </c>
      <c r="D7" s="6">
        <v>13503.06476497</v>
      </c>
      <c r="E7" s="6">
        <v>0</v>
      </c>
      <c r="F7" s="6">
        <v>1519.9286873619999</v>
      </c>
      <c r="G7" s="6">
        <v>0</v>
      </c>
      <c r="H7" s="6">
        <v>0</v>
      </c>
      <c r="I7" s="6">
        <v>0</v>
      </c>
      <c r="J7" s="6">
        <f t="shared" si="1"/>
        <v>15022.993452332001</v>
      </c>
      <c r="K7" s="6"/>
      <c r="L7" t="s">
        <v>56</v>
      </c>
      <c r="M7" s="6">
        <v>0</v>
      </c>
      <c r="N7" s="6">
        <v>0</v>
      </c>
      <c r="O7" s="6">
        <v>12561.440288810269</v>
      </c>
      <c r="P7" s="6">
        <v>0</v>
      </c>
      <c r="Q7" s="6">
        <v>205.90767510658915</v>
      </c>
      <c r="R7" s="6">
        <v>0</v>
      </c>
      <c r="S7" s="6">
        <v>0</v>
      </c>
      <c r="T7" s="6">
        <v>0</v>
      </c>
      <c r="U7" s="6">
        <f t="shared" si="0"/>
        <v>12767.347963916858</v>
      </c>
    </row>
    <row r="8" spans="1:21" x14ac:dyDescent="0.25">
      <c r="A8" t="s">
        <v>51</v>
      </c>
      <c r="B8" s="6">
        <v>0</v>
      </c>
      <c r="C8" s="6">
        <v>0</v>
      </c>
      <c r="D8" s="6">
        <v>0</v>
      </c>
      <c r="E8" s="6">
        <v>0</v>
      </c>
      <c r="F8" s="6">
        <v>6395.8677954755003</v>
      </c>
      <c r="G8" s="6">
        <v>0</v>
      </c>
      <c r="H8" s="6">
        <v>0</v>
      </c>
      <c r="I8" s="6">
        <v>0</v>
      </c>
      <c r="J8" s="6">
        <f t="shared" si="1"/>
        <v>6395.8677954755003</v>
      </c>
      <c r="K8" s="6"/>
      <c r="L8" t="s">
        <v>51</v>
      </c>
      <c r="M8" s="6">
        <v>0</v>
      </c>
      <c r="N8" s="6">
        <v>0</v>
      </c>
      <c r="O8" s="6">
        <v>0</v>
      </c>
      <c r="P8" s="6">
        <v>0</v>
      </c>
      <c r="Q8" s="6">
        <v>2415.9985330605209</v>
      </c>
      <c r="R8" s="6">
        <v>0</v>
      </c>
      <c r="S8" s="6">
        <v>0</v>
      </c>
      <c r="T8" s="6">
        <v>0</v>
      </c>
      <c r="U8" s="6">
        <f t="shared" si="0"/>
        <v>2415.9985330605209</v>
      </c>
    </row>
    <row r="9" spans="1:21" x14ac:dyDescent="0.25">
      <c r="A9" t="s">
        <v>52</v>
      </c>
      <c r="B9" s="6">
        <v>0</v>
      </c>
      <c r="C9" s="6">
        <v>0</v>
      </c>
      <c r="D9" s="6">
        <v>0</v>
      </c>
      <c r="E9" s="6">
        <v>0</v>
      </c>
      <c r="F9" s="6">
        <v>236.004091738</v>
      </c>
      <c r="G9" s="6">
        <v>0</v>
      </c>
      <c r="H9" s="6">
        <v>0</v>
      </c>
      <c r="I9" s="6">
        <v>0</v>
      </c>
      <c r="J9" s="6">
        <f t="shared" si="1"/>
        <v>236.004091738</v>
      </c>
      <c r="K9" s="6"/>
      <c r="L9" t="s">
        <v>52</v>
      </c>
      <c r="M9" s="6">
        <v>0</v>
      </c>
      <c r="N9" s="6">
        <v>0</v>
      </c>
      <c r="O9" s="6">
        <v>0</v>
      </c>
      <c r="P9" s="6">
        <v>0</v>
      </c>
      <c r="Q9" s="6">
        <v>0</v>
      </c>
      <c r="R9" s="6">
        <v>0</v>
      </c>
      <c r="S9" s="6">
        <v>0</v>
      </c>
      <c r="T9" s="6">
        <v>0</v>
      </c>
      <c r="U9" s="6">
        <f t="shared" si="0"/>
        <v>0</v>
      </c>
    </row>
    <row r="10" spans="1:21" x14ac:dyDescent="0.25">
      <c r="A10" t="s">
        <v>53</v>
      </c>
      <c r="B10" s="6">
        <v>0</v>
      </c>
      <c r="C10" s="6">
        <v>0</v>
      </c>
      <c r="D10" s="6">
        <v>0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f t="shared" si="1"/>
        <v>0</v>
      </c>
      <c r="K10" s="6"/>
      <c r="L10" t="s">
        <v>53</v>
      </c>
      <c r="M10" s="6">
        <v>0</v>
      </c>
      <c r="N10" s="6">
        <v>0</v>
      </c>
      <c r="O10" s="6">
        <v>0</v>
      </c>
      <c r="P10" s="6">
        <v>0</v>
      </c>
      <c r="Q10" s="6">
        <v>0</v>
      </c>
      <c r="R10" s="6">
        <v>0</v>
      </c>
      <c r="S10" s="6">
        <v>0</v>
      </c>
      <c r="T10" s="6">
        <v>0</v>
      </c>
      <c r="U10" s="6">
        <f t="shared" si="0"/>
        <v>0</v>
      </c>
    </row>
    <row r="11" spans="1:21" x14ac:dyDescent="0.25">
      <c r="A11" t="s">
        <v>54</v>
      </c>
      <c r="B11" s="6">
        <v>0</v>
      </c>
      <c r="C11" s="6">
        <v>0</v>
      </c>
      <c r="D11" s="6">
        <v>0</v>
      </c>
      <c r="E11" s="6">
        <v>0</v>
      </c>
      <c r="F11" s="6">
        <v>0</v>
      </c>
      <c r="G11" s="6">
        <v>0</v>
      </c>
      <c r="H11" s="6">
        <v>0</v>
      </c>
      <c r="I11" s="6">
        <v>0</v>
      </c>
      <c r="J11" s="6">
        <f t="shared" si="1"/>
        <v>0</v>
      </c>
      <c r="K11" s="6"/>
      <c r="L11" t="s">
        <v>54</v>
      </c>
      <c r="M11" s="6">
        <v>0</v>
      </c>
      <c r="N11" s="6">
        <v>0</v>
      </c>
      <c r="O11" s="6">
        <v>0</v>
      </c>
      <c r="P11" s="6">
        <v>0</v>
      </c>
      <c r="Q11" s="6">
        <v>0</v>
      </c>
      <c r="R11" s="6">
        <v>0</v>
      </c>
      <c r="S11" s="6">
        <v>0</v>
      </c>
      <c r="T11" s="6">
        <v>0</v>
      </c>
      <c r="U11" s="6">
        <f t="shared" si="0"/>
        <v>0</v>
      </c>
    </row>
    <row r="12" spans="1:21" x14ac:dyDescent="0.25">
      <c r="A12" t="s">
        <v>55</v>
      </c>
      <c r="B12" s="6">
        <v>0</v>
      </c>
      <c r="C12" s="6">
        <v>0</v>
      </c>
      <c r="D12" s="6">
        <v>0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f t="shared" si="1"/>
        <v>0</v>
      </c>
      <c r="K12" s="6"/>
      <c r="L12" t="s">
        <v>55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R12" s="6">
        <v>0</v>
      </c>
      <c r="S12" s="6">
        <v>0</v>
      </c>
      <c r="T12" s="6">
        <v>0</v>
      </c>
      <c r="U12" s="6">
        <f t="shared" si="0"/>
        <v>0</v>
      </c>
    </row>
    <row r="13" spans="1:21" x14ac:dyDescent="0.25">
      <c r="A13" t="s">
        <v>24</v>
      </c>
      <c r="B13" s="6">
        <v>0</v>
      </c>
      <c r="C13" s="6">
        <v>0</v>
      </c>
      <c r="D13" s="6">
        <v>0</v>
      </c>
      <c r="E13" s="6">
        <v>0</v>
      </c>
      <c r="F13" s="6">
        <v>0</v>
      </c>
      <c r="G13" s="6">
        <v>0</v>
      </c>
      <c r="H13" s="6">
        <v>0</v>
      </c>
      <c r="I13" s="6">
        <v>1949.9978328520001</v>
      </c>
      <c r="J13" s="6">
        <f t="shared" si="1"/>
        <v>1949.9978328520001</v>
      </c>
      <c r="K13" s="6"/>
      <c r="L13" t="s">
        <v>24</v>
      </c>
      <c r="M13" s="6">
        <v>0</v>
      </c>
      <c r="N13" s="6">
        <v>0</v>
      </c>
      <c r="O13" s="6">
        <v>0</v>
      </c>
      <c r="P13" s="6">
        <v>0</v>
      </c>
      <c r="Q13" s="6">
        <v>0</v>
      </c>
      <c r="R13" s="6">
        <v>0</v>
      </c>
      <c r="S13" s="6">
        <v>0</v>
      </c>
      <c r="T13" s="6">
        <v>0</v>
      </c>
      <c r="U13" s="6">
        <f t="shared" si="0"/>
        <v>0</v>
      </c>
    </row>
    <row r="14" spans="1:21" x14ac:dyDescent="0.25">
      <c r="A14" t="s">
        <v>4</v>
      </c>
      <c r="B14" s="6">
        <v>0</v>
      </c>
      <c r="C14" s="6">
        <v>0</v>
      </c>
      <c r="D14" s="6">
        <v>0</v>
      </c>
      <c r="E14" s="6">
        <v>0</v>
      </c>
      <c r="F14" s="6">
        <v>0</v>
      </c>
      <c r="G14" s="6">
        <v>982.88229767400003</v>
      </c>
      <c r="H14" s="6">
        <v>0</v>
      </c>
      <c r="I14" s="6">
        <v>0</v>
      </c>
      <c r="J14" s="6">
        <f t="shared" si="1"/>
        <v>982.88229767400003</v>
      </c>
      <c r="K14" s="6"/>
      <c r="L14" t="s">
        <v>4</v>
      </c>
      <c r="M14" s="6">
        <v>67.325731927391374</v>
      </c>
      <c r="N14" s="6">
        <v>24.007238149708371</v>
      </c>
      <c r="O14" s="6">
        <v>8.75</v>
      </c>
      <c r="P14" s="6">
        <v>0</v>
      </c>
      <c r="Q14" s="6">
        <v>13.039280228220321</v>
      </c>
      <c r="R14" s="6">
        <v>713.30170156719271</v>
      </c>
      <c r="S14" s="6">
        <v>0</v>
      </c>
      <c r="T14" s="6">
        <v>0</v>
      </c>
      <c r="U14" s="6">
        <f t="shared" si="0"/>
        <v>826.42395187251282</v>
      </c>
    </row>
    <row r="15" spans="1:21" x14ac:dyDescent="0.25">
      <c r="A15" s="4" t="s">
        <v>5</v>
      </c>
      <c r="B15" s="10">
        <v>1357.3149762110002</v>
      </c>
      <c r="C15" s="10">
        <v>639.88901304839999</v>
      </c>
      <c r="D15" s="10">
        <v>0</v>
      </c>
      <c r="E15" s="10">
        <v>0</v>
      </c>
      <c r="F15" s="10">
        <v>2902.9889422654001</v>
      </c>
      <c r="G15" s="10">
        <v>0</v>
      </c>
      <c r="H15" s="10">
        <v>164414.0589106828</v>
      </c>
      <c r="I15" s="10">
        <v>0</v>
      </c>
      <c r="J15" s="6">
        <f t="shared" si="1"/>
        <v>169314.2518422076</v>
      </c>
      <c r="K15" s="6"/>
      <c r="L15" s="4" t="s">
        <v>5</v>
      </c>
      <c r="M15" s="8">
        <v>1624.9435282532263</v>
      </c>
      <c r="N15" s="8">
        <v>325.10058431708546</v>
      </c>
      <c r="O15" s="8">
        <v>138.90120986543889</v>
      </c>
      <c r="P15" s="8">
        <v>0</v>
      </c>
      <c r="Q15" s="8">
        <v>146.79072024453023</v>
      </c>
      <c r="R15" s="8">
        <v>21.987899384827259</v>
      </c>
      <c r="S15" s="8">
        <v>139942.84975293107</v>
      </c>
      <c r="T15" s="8">
        <v>0</v>
      </c>
      <c r="U15" s="6">
        <f t="shared" si="0"/>
        <v>142200.57369499619</v>
      </c>
    </row>
    <row r="16" spans="1:21" ht="15.75" thickBot="1" x14ac:dyDescent="0.3">
      <c r="A16" s="12" t="s">
        <v>7</v>
      </c>
      <c r="B16" s="16">
        <f t="shared" ref="B16:J16" si="2">SUM(B5:B15)</f>
        <v>166177.57994230971</v>
      </c>
      <c r="C16" s="16">
        <f t="shared" si="2"/>
        <v>37836.08954583</v>
      </c>
      <c r="D16" s="16">
        <f t="shared" si="2"/>
        <v>15515.716265992301</v>
      </c>
      <c r="E16" s="16">
        <f t="shared" si="2"/>
        <v>0</v>
      </c>
      <c r="F16" s="16">
        <f t="shared" si="2"/>
        <v>11073.490023239001</v>
      </c>
      <c r="G16" s="16">
        <f t="shared" si="2"/>
        <v>982.88229767400003</v>
      </c>
      <c r="H16" s="16">
        <f t="shared" si="2"/>
        <v>164414.0589106828</v>
      </c>
      <c r="I16" s="16">
        <f t="shared" si="2"/>
        <v>1949.9978328520001</v>
      </c>
      <c r="J16" s="16">
        <f t="shared" si="2"/>
        <v>397949.81481857982</v>
      </c>
      <c r="L16" s="9" t="s">
        <v>7</v>
      </c>
      <c r="M16" s="16">
        <f t="shared" ref="M16:U16" si="3">SUM(M5:M15)</f>
        <v>169635.01786427308</v>
      </c>
      <c r="N16" s="16">
        <f t="shared" si="3"/>
        <v>41003.019154620335</v>
      </c>
      <c r="O16" s="16">
        <f t="shared" si="3"/>
        <v>15400.094952090623</v>
      </c>
      <c r="P16" s="16">
        <f t="shared" si="3"/>
        <v>0</v>
      </c>
      <c r="Q16" s="16">
        <f t="shared" si="3"/>
        <v>3274.8790639932713</v>
      </c>
      <c r="R16" s="16">
        <f t="shared" si="3"/>
        <v>735.28960095202001</v>
      </c>
      <c r="S16" s="16">
        <f t="shared" si="3"/>
        <v>139942.84975293107</v>
      </c>
      <c r="T16" s="16">
        <f t="shared" si="3"/>
        <v>0</v>
      </c>
      <c r="U16" s="16">
        <f t="shared" si="3"/>
        <v>369991.15038886038</v>
      </c>
    </row>
    <row r="19" spans="1:21" ht="15.75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27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31" t="s">
        <v>41</v>
      </c>
      <c r="C20" s="31"/>
      <c r="D20" s="31"/>
      <c r="E20" s="31"/>
      <c r="F20" s="31"/>
      <c r="G20" s="31"/>
      <c r="H20" s="31"/>
      <c r="I20" s="31"/>
      <c r="J20" s="7"/>
      <c r="L20" s="3"/>
      <c r="M20" s="31" t="s">
        <v>41</v>
      </c>
      <c r="N20" s="31"/>
      <c r="O20" s="31"/>
      <c r="P20" s="31"/>
      <c r="Q20" s="31"/>
      <c r="R20" s="31"/>
      <c r="S20" s="31"/>
      <c r="T20" s="31"/>
      <c r="U20" s="31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t="shared" ref="B22:J22" si="4">B5/B$16</f>
        <v>0.9918321413954746</v>
      </c>
      <c r="C22" s="13">
        <f t="shared" si="4"/>
        <v>0.15584384284025643</v>
      </c>
      <c r="D22" s="13">
        <f t="shared" si="4"/>
        <v>0.12005650387085548</v>
      </c>
      <c r="E22" s="13" t="e">
        <f t="shared" si="4"/>
        <v>#DIV/0!</v>
      </c>
      <c r="F22" s="13">
        <f t="shared" si="4"/>
        <v>1.6887635568239843E-3</v>
      </c>
      <c r="G22" s="13">
        <f t="shared" si="4"/>
        <v>0</v>
      </c>
      <c r="H22" s="13">
        <f t="shared" si="4"/>
        <v>0</v>
      </c>
      <c r="I22" s="13">
        <f t="shared" si="4"/>
        <v>0</v>
      </c>
      <c r="J22" s="13">
        <f t="shared" si="4"/>
        <v>0.43371863307437281</v>
      </c>
      <c r="K22" s="6"/>
      <c r="L22" t="s">
        <v>1</v>
      </c>
      <c r="M22" s="13">
        <f t="shared" ref="M22:P22" si="5">M5/M$16</f>
        <v>0.99002405705209628</v>
      </c>
      <c r="N22" s="13">
        <f t="shared" si="5"/>
        <v>8.4689461580450529E-2</v>
      </c>
      <c r="O22" s="13">
        <f t="shared" si="5"/>
        <v>3.9298495643848311E-2</v>
      </c>
      <c r="P22" s="13" t="e">
        <f t="shared" si="5"/>
        <v>#DIV/0!</v>
      </c>
      <c r="Q22" s="13">
        <f t="shared" ref="Q22:U33" si="6">Q5/Q$16</f>
        <v>2.0761140968967692E-2</v>
      </c>
      <c r="R22" s="13">
        <f t="shared" si="6"/>
        <v>0</v>
      </c>
      <c r="S22" s="13">
        <f t="shared" si="6"/>
        <v>0</v>
      </c>
      <c r="T22" s="13" t="e">
        <f t="shared" si="6"/>
        <v>#DIV/0!</v>
      </c>
      <c r="U22" s="13">
        <f t="shared" si="6"/>
        <v>0.46511507864147239</v>
      </c>
    </row>
    <row r="23" spans="1:21" x14ac:dyDescent="0.25">
      <c r="A23" t="s">
        <v>12</v>
      </c>
      <c r="B23" s="13">
        <f t="shared" ref="B23:J23" si="7">B6/B$16</f>
        <v>0</v>
      </c>
      <c r="C23" s="13">
        <f t="shared" si="7"/>
        <v>0.82724402324925272</v>
      </c>
      <c r="D23" s="13">
        <f t="shared" si="7"/>
        <v>9.6604532143726926E-3</v>
      </c>
      <c r="E23" s="13" t="e">
        <f t="shared" si="7"/>
        <v>#DIV/0!</v>
      </c>
      <c r="F23" s="13">
        <f t="shared" si="7"/>
        <v>0</v>
      </c>
      <c r="G23" s="13">
        <f t="shared" si="7"/>
        <v>0</v>
      </c>
      <c r="H23" s="13">
        <f t="shared" si="7"/>
        <v>0</v>
      </c>
      <c r="I23" s="13">
        <f t="shared" si="7"/>
        <v>0</v>
      </c>
      <c r="J23" s="13">
        <f t="shared" si="7"/>
        <v>7.9028979584583922E-2</v>
      </c>
      <c r="K23" s="6"/>
      <c r="L23" t="s">
        <v>12</v>
      </c>
      <c r="M23" s="13">
        <f t="shared" ref="M23:P23" si="8">M6/M$16</f>
        <v>0</v>
      </c>
      <c r="N23" s="13">
        <f t="shared" si="8"/>
        <v>0.90679634044914337</v>
      </c>
      <c r="O23" s="13">
        <f t="shared" si="8"/>
        <v>0.13544091094984945</v>
      </c>
      <c r="P23" s="13" t="e">
        <f t="shared" si="8"/>
        <v>#DIV/0!</v>
      </c>
      <c r="Q23" s="13">
        <f t="shared" si="6"/>
        <v>0.12982239073314342</v>
      </c>
      <c r="R23" s="13">
        <f t="shared" si="6"/>
        <v>0</v>
      </c>
      <c r="S23" s="13">
        <f t="shared" si="6"/>
        <v>0</v>
      </c>
      <c r="T23" s="13" t="e">
        <f t="shared" si="6"/>
        <v>#DIV/0!</v>
      </c>
      <c r="U23" s="13">
        <f t="shared" si="6"/>
        <v>0.10727916922751825</v>
      </c>
    </row>
    <row r="24" spans="1:21" x14ac:dyDescent="0.25">
      <c r="A24" t="s">
        <v>56</v>
      </c>
      <c r="B24" s="13">
        <f t="shared" ref="B24:J24" si="9">B7/B$16</f>
        <v>0</v>
      </c>
      <c r="C24" s="13">
        <f t="shared" si="9"/>
        <v>0</v>
      </c>
      <c r="D24" s="13">
        <f t="shared" si="9"/>
        <v>0.87028304291477177</v>
      </c>
      <c r="E24" s="13" t="e">
        <f t="shared" si="9"/>
        <v>#DIV/0!</v>
      </c>
      <c r="F24" s="13">
        <f t="shared" si="9"/>
        <v>0.13725832453655112</v>
      </c>
      <c r="G24" s="13">
        <f t="shared" si="9"/>
        <v>0</v>
      </c>
      <c r="H24" s="13">
        <f t="shared" si="9"/>
        <v>0</v>
      </c>
      <c r="I24" s="13">
        <f t="shared" si="9"/>
        <v>0</v>
      </c>
      <c r="J24" s="13">
        <f t="shared" si="9"/>
        <v>3.77509748539041E-2</v>
      </c>
      <c r="K24" s="6"/>
      <c r="L24" t="s">
        <v>56</v>
      </c>
      <c r="M24" s="13">
        <f t="shared" ref="M24:P24" si="10">M7/M$16</f>
        <v>0</v>
      </c>
      <c r="N24" s="13">
        <f t="shared" si="10"/>
        <v>0</v>
      </c>
      <c r="O24" s="13">
        <f t="shared" si="10"/>
        <v>0.81567291162091204</v>
      </c>
      <c r="P24" s="13" t="e">
        <f t="shared" si="10"/>
        <v>#DIV/0!</v>
      </c>
      <c r="Q24" s="13">
        <f t="shared" si="6"/>
        <v>6.2874894334422421E-2</v>
      </c>
      <c r="R24" s="13">
        <f t="shared" si="6"/>
        <v>0</v>
      </c>
      <c r="S24" s="13">
        <f t="shared" si="6"/>
        <v>0</v>
      </c>
      <c r="T24" s="13" t="e">
        <f t="shared" si="6"/>
        <v>#DIV/0!</v>
      </c>
      <c r="U24" s="13">
        <f t="shared" si="6"/>
        <v>3.4507171186387527E-2</v>
      </c>
    </row>
    <row r="25" spans="1:21" x14ac:dyDescent="0.25">
      <c r="A25" t="s">
        <v>51</v>
      </c>
      <c r="B25" s="13">
        <f t="shared" ref="B25:J25" si="11">B8/B$16</f>
        <v>0</v>
      </c>
      <c r="C25" s="13">
        <f t="shared" si="11"/>
        <v>0</v>
      </c>
      <c r="D25" s="13">
        <f t="shared" si="11"/>
        <v>0</v>
      </c>
      <c r="E25" s="13" t="e">
        <f t="shared" si="11"/>
        <v>#DIV/0!</v>
      </c>
      <c r="F25" s="13">
        <f t="shared" si="11"/>
        <v>0.5775837411740139</v>
      </c>
      <c r="G25" s="13">
        <f t="shared" si="11"/>
        <v>0</v>
      </c>
      <c r="H25" s="13">
        <f t="shared" si="11"/>
        <v>0</v>
      </c>
      <c r="I25" s="13">
        <f t="shared" si="11"/>
        <v>0</v>
      </c>
      <c r="J25" s="13">
        <f t="shared" si="11"/>
        <v>1.6072046165899821E-2</v>
      </c>
      <c r="K25" s="6"/>
      <c r="L25" t="s">
        <v>51</v>
      </c>
      <c r="M25" s="13">
        <f t="shared" ref="M25:P25" si="12">M8/M$16</f>
        <v>0</v>
      </c>
      <c r="N25" s="13">
        <f t="shared" si="12"/>
        <v>0</v>
      </c>
      <c r="O25" s="13">
        <f t="shared" si="12"/>
        <v>0</v>
      </c>
      <c r="P25" s="13" t="e">
        <f t="shared" si="12"/>
        <v>#DIV/0!</v>
      </c>
      <c r="Q25" s="13">
        <f t="shared" si="6"/>
        <v>0.73773671816587272</v>
      </c>
      <c r="R25" s="13">
        <f t="shared" si="6"/>
        <v>0</v>
      </c>
      <c r="S25" s="13">
        <f t="shared" si="6"/>
        <v>0</v>
      </c>
      <c r="T25" s="13" t="e">
        <f t="shared" si="6"/>
        <v>#DIV/0!</v>
      </c>
      <c r="U25" s="13">
        <f t="shared" si="6"/>
        <v>6.5298819458825125E-3</v>
      </c>
    </row>
    <row r="26" spans="1:21" x14ac:dyDescent="0.25">
      <c r="A26" t="s">
        <v>52</v>
      </c>
      <c r="B26" s="13">
        <f t="shared" ref="B26:J26" si="13">B9/B$16</f>
        <v>0</v>
      </c>
      <c r="C26" s="13">
        <f t="shared" si="13"/>
        <v>0</v>
      </c>
      <c r="D26" s="13">
        <f t="shared" si="13"/>
        <v>0</v>
      </c>
      <c r="E26" s="13" t="e">
        <f t="shared" si="13"/>
        <v>#DIV/0!</v>
      </c>
      <c r="F26" s="13">
        <f t="shared" si="13"/>
        <v>2.1312530308215213E-2</v>
      </c>
      <c r="G26" s="13">
        <f t="shared" si="13"/>
        <v>0</v>
      </c>
      <c r="H26" s="13">
        <f t="shared" si="13"/>
        <v>0</v>
      </c>
      <c r="I26" s="13">
        <f t="shared" si="13"/>
        <v>0</v>
      </c>
      <c r="J26" s="13">
        <f t="shared" si="13"/>
        <v>5.9304988455790891E-4</v>
      </c>
      <c r="K26" s="6"/>
      <c r="L26" t="s">
        <v>52</v>
      </c>
      <c r="M26" s="13">
        <f t="shared" ref="M26:P26" si="14">M9/M$16</f>
        <v>0</v>
      </c>
      <c r="N26" s="13">
        <f t="shared" si="14"/>
        <v>0</v>
      </c>
      <c r="O26" s="13">
        <f t="shared" si="14"/>
        <v>0</v>
      </c>
      <c r="P26" s="13" t="e">
        <f t="shared" si="14"/>
        <v>#DIV/0!</v>
      </c>
      <c r="Q26" s="13">
        <f t="shared" si="6"/>
        <v>0</v>
      </c>
      <c r="R26" s="13">
        <f t="shared" si="6"/>
        <v>0</v>
      </c>
      <c r="S26" s="13">
        <f t="shared" si="6"/>
        <v>0</v>
      </c>
      <c r="T26" s="13" t="e">
        <f t="shared" si="6"/>
        <v>#DIV/0!</v>
      </c>
      <c r="U26" s="13">
        <f t="shared" si="6"/>
        <v>0</v>
      </c>
    </row>
    <row r="27" spans="1:21" x14ac:dyDescent="0.25">
      <c r="A27" t="s">
        <v>53</v>
      </c>
      <c r="B27" s="13">
        <f t="shared" ref="B27:J27" si="15">B10/B$16</f>
        <v>0</v>
      </c>
      <c r="C27" s="13">
        <f t="shared" si="15"/>
        <v>0</v>
      </c>
      <c r="D27" s="13">
        <f t="shared" si="15"/>
        <v>0</v>
      </c>
      <c r="E27" s="13" t="e">
        <f t="shared" si="15"/>
        <v>#DIV/0!</v>
      </c>
      <c r="F27" s="13">
        <f t="shared" si="15"/>
        <v>0</v>
      </c>
      <c r="G27" s="13">
        <f t="shared" si="15"/>
        <v>0</v>
      </c>
      <c r="H27" s="13">
        <f t="shared" si="15"/>
        <v>0</v>
      </c>
      <c r="I27" s="13">
        <f t="shared" si="15"/>
        <v>0</v>
      </c>
      <c r="J27" s="13">
        <f t="shared" si="15"/>
        <v>0</v>
      </c>
      <c r="K27" s="6"/>
      <c r="L27" t="s">
        <v>53</v>
      </c>
      <c r="M27" s="13">
        <f t="shared" ref="M27:P27" si="16">M10/M$16</f>
        <v>0</v>
      </c>
      <c r="N27" s="13">
        <f t="shared" si="16"/>
        <v>0</v>
      </c>
      <c r="O27" s="13">
        <f t="shared" si="16"/>
        <v>0</v>
      </c>
      <c r="P27" s="13" t="e">
        <f t="shared" si="16"/>
        <v>#DIV/0!</v>
      </c>
      <c r="Q27" s="13">
        <f t="shared" si="6"/>
        <v>0</v>
      </c>
      <c r="R27" s="13">
        <f t="shared" si="6"/>
        <v>0</v>
      </c>
      <c r="S27" s="13">
        <f t="shared" si="6"/>
        <v>0</v>
      </c>
      <c r="T27" s="13" t="e">
        <f t="shared" si="6"/>
        <v>#DIV/0!</v>
      </c>
      <c r="U27" s="13">
        <f t="shared" si="6"/>
        <v>0</v>
      </c>
    </row>
    <row r="28" spans="1:21" x14ac:dyDescent="0.25">
      <c r="A28" t="s">
        <v>54</v>
      </c>
      <c r="B28" s="13">
        <f t="shared" ref="B28:J28" si="17">B11/B$16</f>
        <v>0</v>
      </c>
      <c r="C28" s="13">
        <f t="shared" si="17"/>
        <v>0</v>
      </c>
      <c r="D28" s="13">
        <f t="shared" si="17"/>
        <v>0</v>
      </c>
      <c r="E28" s="13" t="e">
        <f t="shared" si="17"/>
        <v>#DIV/0!</v>
      </c>
      <c r="F28" s="13">
        <f t="shared" si="17"/>
        <v>0</v>
      </c>
      <c r="G28" s="13">
        <f t="shared" si="17"/>
        <v>0</v>
      </c>
      <c r="H28" s="13">
        <f t="shared" si="17"/>
        <v>0</v>
      </c>
      <c r="I28" s="13">
        <f t="shared" si="17"/>
        <v>0</v>
      </c>
      <c r="J28" s="13">
        <f t="shared" si="17"/>
        <v>0</v>
      </c>
      <c r="K28" s="6"/>
      <c r="L28" t="s">
        <v>54</v>
      </c>
      <c r="M28" s="13">
        <f t="shared" ref="M28:P28" si="18">M11/M$16</f>
        <v>0</v>
      </c>
      <c r="N28" s="13">
        <f t="shared" si="18"/>
        <v>0</v>
      </c>
      <c r="O28" s="13">
        <f t="shared" si="18"/>
        <v>0</v>
      </c>
      <c r="P28" s="13" t="e">
        <f t="shared" si="18"/>
        <v>#DIV/0!</v>
      </c>
      <c r="Q28" s="13">
        <f t="shared" si="6"/>
        <v>0</v>
      </c>
      <c r="R28" s="13">
        <f t="shared" si="6"/>
        <v>0</v>
      </c>
      <c r="S28" s="13">
        <f t="shared" si="6"/>
        <v>0</v>
      </c>
      <c r="T28" s="13" t="e">
        <f t="shared" si="6"/>
        <v>#DIV/0!</v>
      </c>
      <c r="U28" s="13">
        <f t="shared" si="6"/>
        <v>0</v>
      </c>
    </row>
    <row r="29" spans="1:21" x14ac:dyDescent="0.25">
      <c r="A29" t="s">
        <v>55</v>
      </c>
      <c r="B29" s="13">
        <f t="shared" ref="B29:J29" si="19">B12/B$16</f>
        <v>0</v>
      </c>
      <c r="C29" s="13">
        <f t="shared" si="19"/>
        <v>0</v>
      </c>
      <c r="D29" s="13">
        <f t="shared" si="19"/>
        <v>0</v>
      </c>
      <c r="E29" s="13" t="e">
        <f t="shared" si="19"/>
        <v>#DIV/0!</v>
      </c>
      <c r="F29" s="13">
        <f t="shared" si="19"/>
        <v>0</v>
      </c>
      <c r="G29" s="13">
        <f t="shared" si="19"/>
        <v>0</v>
      </c>
      <c r="H29" s="13">
        <f t="shared" si="19"/>
        <v>0</v>
      </c>
      <c r="I29" s="13">
        <f t="shared" si="19"/>
        <v>0</v>
      </c>
      <c r="J29" s="13">
        <f t="shared" si="19"/>
        <v>0</v>
      </c>
      <c r="K29" s="6"/>
      <c r="L29" t="s">
        <v>55</v>
      </c>
      <c r="M29" s="13">
        <f t="shared" ref="M29:P29" si="20">M12/M$16</f>
        <v>0</v>
      </c>
      <c r="N29" s="13">
        <f t="shared" si="20"/>
        <v>0</v>
      </c>
      <c r="O29" s="13">
        <f t="shared" si="20"/>
        <v>0</v>
      </c>
      <c r="P29" s="13" t="e">
        <f t="shared" si="20"/>
        <v>#DIV/0!</v>
      </c>
      <c r="Q29" s="13">
        <f t="shared" si="6"/>
        <v>0</v>
      </c>
      <c r="R29" s="13">
        <f t="shared" si="6"/>
        <v>0</v>
      </c>
      <c r="S29" s="13">
        <f t="shared" si="6"/>
        <v>0</v>
      </c>
      <c r="T29" s="13" t="e">
        <f t="shared" si="6"/>
        <v>#DIV/0!</v>
      </c>
      <c r="U29" s="13">
        <f t="shared" si="6"/>
        <v>0</v>
      </c>
    </row>
    <row r="30" spans="1:21" x14ac:dyDescent="0.25">
      <c r="A30" t="s">
        <v>24</v>
      </c>
      <c r="B30" s="13">
        <f t="shared" ref="B30:J30" si="21">B13/B$16</f>
        <v>0</v>
      </c>
      <c r="C30" s="13">
        <f t="shared" si="21"/>
        <v>0</v>
      </c>
      <c r="D30" s="13">
        <f t="shared" si="21"/>
        <v>0</v>
      </c>
      <c r="E30" s="13" t="e">
        <f t="shared" si="21"/>
        <v>#DIV/0!</v>
      </c>
      <c r="F30" s="13">
        <f t="shared" si="21"/>
        <v>0</v>
      </c>
      <c r="G30" s="13">
        <f t="shared" si="21"/>
        <v>0</v>
      </c>
      <c r="H30" s="13">
        <f t="shared" si="21"/>
        <v>0</v>
      </c>
      <c r="I30" s="13">
        <f t="shared" si="21"/>
        <v>1</v>
      </c>
      <c r="J30" s="13">
        <f t="shared" si="21"/>
        <v>4.9001099139623396E-3</v>
      </c>
      <c r="K30" s="6"/>
      <c r="L30" t="s">
        <v>24</v>
      </c>
      <c r="M30" s="13">
        <f t="shared" ref="M30:P30" si="22">M13/M$16</f>
        <v>0</v>
      </c>
      <c r="N30" s="13">
        <f t="shared" si="22"/>
        <v>0</v>
      </c>
      <c r="O30" s="13">
        <f t="shared" si="22"/>
        <v>0</v>
      </c>
      <c r="P30" s="13" t="e">
        <f t="shared" si="22"/>
        <v>#DIV/0!</v>
      </c>
      <c r="Q30" s="13">
        <f t="shared" si="6"/>
        <v>0</v>
      </c>
      <c r="R30" s="13">
        <f t="shared" si="6"/>
        <v>0</v>
      </c>
      <c r="S30" s="13">
        <f t="shared" si="6"/>
        <v>0</v>
      </c>
      <c r="T30" s="13" t="e">
        <f t="shared" si="6"/>
        <v>#DIV/0!</v>
      </c>
      <c r="U30" s="13">
        <f t="shared" si="6"/>
        <v>0</v>
      </c>
    </row>
    <row r="31" spans="1:21" x14ac:dyDescent="0.25">
      <c r="A31" t="s">
        <v>4</v>
      </c>
      <c r="B31" s="13">
        <f t="shared" ref="B31:J31" si="23">B14/B$16</f>
        <v>0</v>
      </c>
      <c r="C31" s="13">
        <f t="shared" si="23"/>
        <v>0</v>
      </c>
      <c r="D31" s="13">
        <f t="shared" si="23"/>
        <v>0</v>
      </c>
      <c r="E31" s="13" t="e">
        <f t="shared" si="23"/>
        <v>#DIV/0!</v>
      </c>
      <c r="F31" s="13">
        <f t="shared" si="23"/>
        <v>0</v>
      </c>
      <c r="G31" s="13">
        <f t="shared" si="23"/>
        <v>1</v>
      </c>
      <c r="H31" s="13">
        <f t="shared" si="23"/>
        <v>0</v>
      </c>
      <c r="I31" s="13">
        <f t="shared" si="23"/>
        <v>0</v>
      </c>
      <c r="J31" s="13">
        <f t="shared" si="23"/>
        <v>2.469864945463245E-3</v>
      </c>
      <c r="K31" s="6"/>
      <c r="L31" t="s">
        <v>4</v>
      </c>
      <c r="M31" s="13">
        <f t="shared" ref="M31:P31" si="24">M14/M$16</f>
        <v>3.9688581269970721E-4</v>
      </c>
      <c r="N31" s="13">
        <f t="shared" si="24"/>
        <v>5.854992789476862E-4</v>
      </c>
      <c r="O31" s="13">
        <f t="shared" si="24"/>
        <v>5.6817831495332136E-4</v>
      </c>
      <c r="P31" s="13" t="e">
        <f t="shared" si="24"/>
        <v>#DIV/0!</v>
      </c>
      <c r="Q31" s="13">
        <f t="shared" si="6"/>
        <v>3.9816066405581052E-3</v>
      </c>
      <c r="R31" s="13">
        <f t="shared" si="6"/>
        <v>0.97009627314685487</v>
      </c>
      <c r="S31" s="13">
        <f t="shared" si="6"/>
        <v>0</v>
      </c>
      <c r="T31" s="13" t="e">
        <f t="shared" si="6"/>
        <v>#DIV/0!</v>
      </c>
      <c r="U31" s="13">
        <f t="shared" si="6"/>
        <v>2.2336316720114576E-3</v>
      </c>
    </row>
    <row r="32" spans="1:21" x14ac:dyDescent="0.25">
      <c r="A32" s="4" t="s">
        <v>5</v>
      </c>
      <c r="B32" s="14">
        <f t="shared" ref="B32:J32" si="25">B15/B$16</f>
        <v>8.1678586045253899E-3</v>
      </c>
      <c r="C32" s="14">
        <f t="shared" si="25"/>
        <v>1.6912133910490852E-2</v>
      </c>
      <c r="D32" s="14">
        <f t="shared" si="25"/>
        <v>0</v>
      </c>
      <c r="E32" s="14" t="e">
        <f t="shared" si="25"/>
        <v>#DIV/0!</v>
      </c>
      <c r="F32" s="14">
        <f t="shared" si="25"/>
        <v>0.26215664042439568</v>
      </c>
      <c r="G32" s="14">
        <f t="shared" si="25"/>
        <v>0</v>
      </c>
      <c r="H32" s="14">
        <f t="shared" si="25"/>
        <v>1</v>
      </c>
      <c r="I32" s="14">
        <f t="shared" si="25"/>
        <v>0</v>
      </c>
      <c r="J32" s="14">
        <f t="shared" si="25"/>
        <v>0.42546634157725588</v>
      </c>
      <c r="K32" s="6"/>
      <c r="L32" s="4" t="s">
        <v>5</v>
      </c>
      <c r="M32" s="14">
        <f t="shared" ref="M32:P32" si="26">M15/M$16</f>
        <v>9.5790571352040201E-3</v>
      </c>
      <c r="N32" s="14">
        <f t="shared" si="26"/>
        <v>7.9286986914584856E-3</v>
      </c>
      <c r="O32" s="14">
        <f t="shared" si="26"/>
        <v>9.0195034704368821E-3</v>
      </c>
      <c r="P32" s="14" t="e">
        <f t="shared" si="26"/>
        <v>#DIV/0!</v>
      </c>
      <c r="Q32" s="14">
        <f t="shared" si="6"/>
        <v>4.4823249157035693E-2</v>
      </c>
      <c r="R32" s="14">
        <f t="shared" si="6"/>
        <v>2.9903726853145091E-2</v>
      </c>
      <c r="S32" s="14">
        <f t="shared" si="6"/>
        <v>1</v>
      </c>
      <c r="T32" s="14" t="e">
        <f t="shared" si="6"/>
        <v>#DIV/0!</v>
      </c>
      <c r="U32" s="14">
        <f t="shared" si="6"/>
        <v>0.38433506732672795</v>
      </c>
    </row>
    <row r="33" spans="1:32" ht="15.75" thickBot="1" x14ac:dyDescent="0.3">
      <c r="A33" s="12" t="s">
        <v>7</v>
      </c>
      <c r="B33" s="15">
        <f t="shared" ref="B33:J33" si="27">B16/B$16</f>
        <v>1</v>
      </c>
      <c r="C33" s="15">
        <f t="shared" si="27"/>
        <v>1</v>
      </c>
      <c r="D33" s="15">
        <f t="shared" si="27"/>
        <v>1</v>
      </c>
      <c r="E33" s="15" t="e">
        <f t="shared" si="27"/>
        <v>#DIV/0!</v>
      </c>
      <c r="F33" s="15">
        <f t="shared" si="27"/>
        <v>1</v>
      </c>
      <c r="G33" s="15">
        <f t="shared" si="27"/>
        <v>1</v>
      </c>
      <c r="H33" s="15">
        <f t="shared" si="27"/>
        <v>1</v>
      </c>
      <c r="I33" s="15">
        <f t="shared" si="27"/>
        <v>1</v>
      </c>
      <c r="J33" s="15">
        <f t="shared" si="27"/>
        <v>1</v>
      </c>
      <c r="L33" s="9" t="s">
        <v>7</v>
      </c>
      <c r="M33" s="15">
        <f t="shared" ref="M33:P33" si="28">M16/M$16</f>
        <v>1</v>
      </c>
      <c r="N33" s="15">
        <f t="shared" si="28"/>
        <v>1</v>
      </c>
      <c r="O33" s="15">
        <f t="shared" si="28"/>
        <v>1</v>
      </c>
      <c r="P33" s="15" t="e">
        <f t="shared" si="28"/>
        <v>#DIV/0!</v>
      </c>
      <c r="Q33" s="15">
        <f t="shared" si="6"/>
        <v>1</v>
      </c>
      <c r="R33" s="15">
        <f t="shared" si="6"/>
        <v>1</v>
      </c>
      <c r="S33" s="15">
        <f t="shared" si="6"/>
        <v>1</v>
      </c>
      <c r="T33" s="15" t="e">
        <f t="shared" si="6"/>
        <v>#DIV/0!</v>
      </c>
      <c r="U33" s="15">
        <f t="shared" si="6"/>
        <v>1</v>
      </c>
    </row>
    <row r="36" spans="1:32" ht="15.75" thickBot="1" x14ac:dyDescent="0.3">
      <c r="L36" s="1" t="s">
        <v>8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25">
      <c r="L37" s="3"/>
      <c r="M37" s="31" t="s">
        <v>41</v>
      </c>
      <c r="N37" s="31"/>
      <c r="O37" s="31"/>
      <c r="P37" s="31"/>
      <c r="Q37" s="31"/>
      <c r="R37" s="31"/>
      <c r="S37" s="31"/>
      <c r="T37" s="31"/>
      <c r="U37" s="31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</row>
    <row r="39" spans="1:32" x14ac:dyDescent="0.25">
      <c r="L39" t="s">
        <v>1</v>
      </c>
      <c r="M39" s="13">
        <f t="shared" ref="M39:P41" si="29">M22-B22</f>
        <v>-1.8080843433783134E-3</v>
      </c>
      <c r="N39" s="13">
        <f t="shared" si="29"/>
        <v>-7.1154381259805902E-2</v>
      </c>
      <c r="O39" s="13">
        <f t="shared" si="29"/>
        <v>-8.0758008227007169E-2</v>
      </c>
      <c r="P39" s="13" t="e">
        <f t="shared" si="29"/>
        <v>#DIV/0!</v>
      </c>
      <c r="Q39" s="13">
        <f t="shared" ref="Q39:Q50" si="30">Q22-F22</f>
        <v>1.9072377412143706E-2</v>
      </c>
      <c r="R39" s="13">
        <f t="shared" ref="R39:R50" si="31">R22-G22</f>
        <v>0</v>
      </c>
      <c r="S39" s="13">
        <f t="shared" ref="S39:S50" si="32">S22-H22</f>
        <v>0</v>
      </c>
      <c r="T39" s="13" t="e">
        <f t="shared" ref="T39:T50" si="33">T22-I22</f>
        <v>#DIV/0!</v>
      </c>
      <c r="U39" s="13">
        <f t="shared" ref="U39:U50" si="34">U22-J22</f>
        <v>3.1396445567099585E-2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25">
      <c r="L40" t="s">
        <v>9</v>
      </c>
      <c r="M40" s="13">
        <f t="shared" si="29"/>
        <v>0</v>
      </c>
      <c r="N40" s="13">
        <f t="shared" si="29"/>
        <v>7.9552317199890643E-2</v>
      </c>
      <c r="O40" s="13">
        <f t="shared" si="29"/>
        <v>0.12578045773547675</v>
      </c>
      <c r="P40" s="13" t="e">
        <f t="shared" si="29"/>
        <v>#DIV/0!</v>
      </c>
      <c r="Q40" s="13">
        <f t="shared" si="30"/>
        <v>0.12982239073314342</v>
      </c>
      <c r="R40" s="13">
        <f t="shared" si="31"/>
        <v>0</v>
      </c>
      <c r="S40" s="13">
        <f t="shared" si="32"/>
        <v>0</v>
      </c>
      <c r="T40" s="13" t="e">
        <f t="shared" si="33"/>
        <v>#DIV/0!</v>
      </c>
      <c r="U40" s="13">
        <f t="shared" si="34"/>
        <v>2.8250189642934326E-2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25">
      <c r="L41" t="s">
        <v>10</v>
      </c>
      <c r="M41" s="13">
        <f t="shared" si="29"/>
        <v>0</v>
      </c>
      <c r="N41" s="13">
        <f t="shared" si="29"/>
        <v>0</v>
      </c>
      <c r="O41" s="13">
        <f t="shared" si="29"/>
        <v>-5.4610131293859721E-2</v>
      </c>
      <c r="P41" s="13" t="e">
        <f t="shared" si="29"/>
        <v>#DIV/0!</v>
      </c>
      <c r="Q41" s="13">
        <f t="shared" si="30"/>
        <v>-7.4383430202128703E-2</v>
      </c>
      <c r="R41" s="13">
        <f t="shared" si="31"/>
        <v>0</v>
      </c>
      <c r="S41" s="13">
        <f t="shared" si="32"/>
        <v>0</v>
      </c>
      <c r="T41" s="13" t="e">
        <f t="shared" si="33"/>
        <v>#DIV/0!</v>
      </c>
      <c r="U41" s="13">
        <f t="shared" si="34"/>
        <v>-3.2438036675165732E-3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25">
      <c r="L42" t="s">
        <v>51</v>
      </c>
      <c r="M42" s="13">
        <f t="shared" ref="M42:P42" si="35">M25-B25</f>
        <v>0</v>
      </c>
      <c r="N42" s="13">
        <f t="shared" si="35"/>
        <v>0</v>
      </c>
      <c r="O42" s="13">
        <f t="shared" si="35"/>
        <v>0</v>
      </c>
      <c r="P42" s="13" t="e">
        <f t="shared" si="35"/>
        <v>#DIV/0!</v>
      </c>
      <c r="Q42" s="13">
        <f t="shared" si="30"/>
        <v>0.16015297699185882</v>
      </c>
      <c r="R42" s="13">
        <f t="shared" si="31"/>
        <v>0</v>
      </c>
      <c r="S42" s="13">
        <f t="shared" si="32"/>
        <v>0</v>
      </c>
      <c r="T42" s="13" t="e">
        <f t="shared" si="33"/>
        <v>#DIV/0!</v>
      </c>
      <c r="U42" s="13">
        <f t="shared" si="34"/>
        <v>-9.5421642200173087E-3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25">
      <c r="L43" t="s">
        <v>52</v>
      </c>
      <c r="M43" s="13">
        <f t="shared" ref="M43:P43" si="36">M26-B26</f>
        <v>0</v>
      </c>
      <c r="N43" s="13">
        <f t="shared" si="36"/>
        <v>0</v>
      </c>
      <c r="O43" s="13">
        <f t="shared" si="36"/>
        <v>0</v>
      </c>
      <c r="P43" s="13" t="e">
        <f t="shared" si="36"/>
        <v>#DIV/0!</v>
      </c>
      <c r="Q43" s="13">
        <f t="shared" si="30"/>
        <v>-2.1312530308215213E-2</v>
      </c>
      <c r="R43" s="13">
        <f t="shared" si="31"/>
        <v>0</v>
      </c>
      <c r="S43" s="13">
        <f t="shared" si="32"/>
        <v>0</v>
      </c>
      <c r="T43" s="13" t="e">
        <f t="shared" si="33"/>
        <v>#DIV/0!</v>
      </c>
      <c r="U43" s="13">
        <f t="shared" si="34"/>
        <v>-5.9304988455790891E-4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25">
      <c r="L44" t="s">
        <v>53</v>
      </c>
      <c r="M44" s="13">
        <f t="shared" ref="M44:P44" si="37">M27-B27</f>
        <v>0</v>
      </c>
      <c r="N44" s="13">
        <f t="shared" si="37"/>
        <v>0</v>
      </c>
      <c r="O44" s="13">
        <f t="shared" si="37"/>
        <v>0</v>
      </c>
      <c r="P44" s="13" t="e">
        <f t="shared" si="37"/>
        <v>#DIV/0!</v>
      </c>
      <c r="Q44" s="13">
        <f t="shared" si="30"/>
        <v>0</v>
      </c>
      <c r="R44" s="13">
        <f t="shared" si="31"/>
        <v>0</v>
      </c>
      <c r="S44" s="13">
        <f t="shared" si="32"/>
        <v>0</v>
      </c>
      <c r="T44" s="13" t="e">
        <f t="shared" si="33"/>
        <v>#DIV/0!</v>
      </c>
      <c r="U44" s="13">
        <f t="shared" si="34"/>
        <v>0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25">
      <c r="L45" t="s">
        <v>54</v>
      </c>
      <c r="M45" s="13">
        <f t="shared" ref="M45:M47" si="38">M28-B28</f>
        <v>0</v>
      </c>
      <c r="N45" s="13">
        <f t="shared" ref="N45:N47" si="39">N28-C28</f>
        <v>0</v>
      </c>
      <c r="O45" s="13">
        <f t="shared" ref="O45:O47" si="40">O28-D28</f>
        <v>0</v>
      </c>
      <c r="P45" s="13" t="e">
        <f t="shared" ref="P45:P47" si="41">P28-E28</f>
        <v>#DIV/0!</v>
      </c>
      <c r="Q45" s="13">
        <f t="shared" si="30"/>
        <v>0</v>
      </c>
      <c r="R45" s="13">
        <f t="shared" si="31"/>
        <v>0</v>
      </c>
      <c r="S45" s="13">
        <f t="shared" si="32"/>
        <v>0</v>
      </c>
      <c r="T45" s="13" t="e">
        <f t="shared" si="33"/>
        <v>#DIV/0!</v>
      </c>
      <c r="U45" s="13">
        <f t="shared" si="34"/>
        <v>0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25">
      <c r="L46" t="s">
        <v>55</v>
      </c>
      <c r="M46" s="13">
        <f t="shared" si="38"/>
        <v>0</v>
      </c>
      <c r="N46" s="13">
        <f t="shared" si="39"/>
        <v>0</v>
      </c>
      <c r="O46" s="13">
        <f t="shared" si="40"/>
        <v>0</v>
      </c>
      <c r="P46" s="13" t="e">
        <f t="shared" si="41"/>
        <v>#DIV/0!</v>
      </c>
      <c r="Q46" s="13">
        <f t="shared" si="30"/>
        <v>0</v>
      </c>
      <c r="R46" s="13">
        <f t="shared" si="31"/>
        <v>0</v>
      </c>
      <c r="S46" s="13">
        <f t="shared" si="32"/>
        <v>0</v>
      </c>
      <c r="T46" s="13" t="e">
        <f t="shared" si="33"/>
        <v>#DIV/0!</v>
      </c>
      <c r="U46" s="13">
        <f t="shared" si="34"/>
        <v>0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25">
      <c r="L47" t="s">
        <v>24</v>
      </c>
      <c r="M47" s="13">
        <f t="shared" si="38"/>
        <v>0</v>
      </c>
      <c r="N47" s="13">
        <f t="shared" si="39"/>
        <v>0</v>
      </c>
      <c r="O47" s="13">
        <f t="shared" si="40"/>
        <v>0</v>
      </c>
      <c r="P47" s="13" t="e">
        <f t="shared" si="41"/>
        <v>#DIV/0!</v>
      </c>
      <c r="Q47" s="13">
        <f t="shared" si="30"/>
        <v>0</v>
      </c>
      <c r="R47" s="13">
        <f t="shared" si="31"/>
        <v>0</v>
      </c>
      <c r="S47" s="13">
        <f t="shared" si="32"/>
        <v>0</v>
      </c>
      <c r="T47" s="13" t="e">
        <f t="shared" si="33"/>
        <v>#DIV/0!</v>
      </c>
      <c r="U47" s="13">
        <f t="shared" si="34"/>
        <v>-4.9001099139623396E-3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25">
      <c r="L48" t="s">
        <v>4</v>
      </c>
      <c r="M48" s="13">
        <f t="shared" ref="M48:P48" si="42">M31-B31</f>
        <v>3.9688581269970721E-4</v>
      </c>
      <c r="N48" s="13">
        <f t="shared" si="42"/>
        <v>5.854992789476862E-4</v>
      </c>
      <c r="O48" s="13">
        <f t="shared" si="42"/>
        <v>5.6817831495332136E-4</v>
      </c>
      <c r="P48" s="13" t="e">
        <f t="shared" si="42"/>
        <v>#DIV/0!</v>
      </c>
      <c r="Q48" s="13">
        <f t="shared" si="30"/>
        <v>3.9816066405581052E-3</v>
      </c>
      <c r="R48" s="13">
        <f t="shared" si="31"/>
        <v>-2.9903726853145129E-2</v>
      </c>
      <c r="S48" s="13">
        <f t="shared" si="32"/>
        <v>0</v>
      </c>
      <c r="T48" s="13" t="e">
        <f t="shared" si="33"/>
        <v>#DIV/0!</v>
      </c>
      <c r="U48" s="13">
        <f t="shared" si="34"/>
        <v>-2.3623327345178744E-4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25">
      <c r="L49" s="4" t="s">
        <v>5</v>
      </c>
      <c r="M49" s="17">
        <f t="shared" ref="M49:P49" si="43">M32-B32</f>
        <v>1.4111985306786302E-3</v>
      </c>
      <c r="N49" s="17">
        <f t="shared" si="43"/>
        <v>-8.9834352190323666E-3</v>
      </c>
      <c r="O49" s="17">
        <f t="shared" si="43"/>
        <v>9.0195034704368821E-3</v>
      </c>
      <c r="P49" s="17" t="e">
        <f t="shared" si="43"/>
        <v>#DIV/0!</v>
      </c>
      <c r="Q49" s="17">
        <f t="shared" si="30"/>
        <v>-0.21733339126735998</v>
      </c>
      <c r="R49" s="17">
        <f t="shared" si="31"/>
        <v>2.9903726853145091E-2</v>
      </c>
      <c r="S49" s="17">
        <f t="shared" si="32"/>
        <v>0</v>
      </c>
      <c r="T49" s="17" t="e">
        <f t="shared" si="33"/>
        <v>#DIV/0!</v>
      </c>
      <c r="U49" s="13">
        <f t="shared" si="34"/>
        <v>-4.1131274250527927E-2</v>
      </c>
      <c r="X49" s="13"/>
      <c r="Y49" s="13"/>
      <c r="Z49" s="13"/>
      <c r="AA49" s="13"/>
      <c r="AB49" s="13"/>
      <c r="AC49" s="13"/>
      <c r="AD49" s="13"/>
      <c r="AE49" s="13"/>
      <c r="AF49" s="13"/>
    </row>
    <row r="50" spans="12:32" ht="15.75" thickBot="1" x14ac:dyDescent="0.3">
      <c r="L50" s="9" t="s">
        <v>7</v>
      </c>
      <c r="M50" s="15">
        <f t="shared" ref="M50:P50" si="44">M33-B33</f>
        <v>0</v>
      </c>
      <c r="N50" s="15">
        <f t="shared" si="44"/>
        <v>0</v>
      </c>
      <c r="O50" s="15">
        <f t="shared" si="44"/>
        <v>0</v>
      </c>
      <c r="P50" s="15" t="e">
        <f t="shared" si="44"/>
        <v>#DIV/0!</v>
      </c>
      <c r="Q50" s="15">
        <f t="shared" si="30"/>
        <v>0</v>
      </c>
      <c r="R50" s="15">
        <f t="shared" si="31"/>
        <v>0</v>
      </c>
      <c r="S50" s="15">
        <f t="shared" si="32"/>
        <v>0</v>
      </c>
      <c r="T50" s="15" t="e">
        <f t="shared" si="33"/>
        <v>#DIV/0!</v>
      </c>
      <c r="U50" s="15">
        <f t="shared" si="34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AF50"/>
  <sheetViews>
    <sheetView workbookViewId="0"/>
  </sheetViews>
  <sheetFormatPr defaultRowHeight="15" x14ac:dyDescent="0.25"/>
  <cols>
    <col min="1" max="1" width="25" customWidth="1" collapsed="1"/>
    <col min="2" max="10" width="10.7109375" customWidth="1" collapsed="1"/>
    <col min="11" max="11" width="3.7109375" customWidth="1" collapsed="1"/>
    <col min="12" max="12" width="25" customWidth="1" collapsed="1"/>
    <col min="13" max="22" width="10.7109375" customWidth="1" collapsed="1"/>
    <col min="23" max="23" width="17" customWidth="1" collapsed="1"/>
  </cols>
  <sheetData>
    <row r="2" spans="1:21" ht="15.75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26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31" t="s">
        <v>6</v>
      </c>
      <c r="C3" s="31"/>
      <c r="D3" s="31"/>
      <c r="E3" s="31"/>
      <c r="F3" s="31"/>
      <c r="G3" s="31"/>
      <c r="H3" s="31"/>
      <c r="I3" s="31"/>
      <c r="J3" s="11"/>
      <c r="L3" s="3"/>
      <c r="M3" s="32" t="s">
        <v>6</v>
      </c>
      <c r="N3" s="32"/>
      <c r="O3" s="32"/>
      <c r="P3" s="32"/>
      <c r="Q3" s="32"/>
      <c r="R3" s="32"/>
      <c r="S3" s="32"/>
      <c r="T3" s="32"/>
      <c r="U3" s="32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>
        <v>2845985.377555999</v>
      </c>
      <c r="C5" s="6">
        <v>377403.39266122889</v>
      </c>
      <c r="D5" s="6">
        <v>186826.02931685621</v>
      </c>
      <c r="E5" s="6">
        <v>91849.727162148003</v>
      </c>
      <c r="F5" s="6">
        <v>14069.841111945199</v>
      </c>
      <c r="G5" s="6">
        <v>0</v>
      </c>
      <c r="H5" s="6">
        <v>0</v>
      </c>
      <c r="I5" s="6">
        <v>1404.502706476</v>
      </c>
      <c r="J5" s="6">
        <f>SUM(B5:I5)</f>
        <v>3517538.8705146527</v>
      </c>
      <c r="K5" s="6"/>
      <c r="L5" t="s">
        <v>1</v>
      </c>
      <c r="M5" s="6">
        <v>2939177.4031225489</v>
      </c>
      <c r="N5" s="6">
        <v>388742.49279594421</v>
      </c>
      <c r="O5" s="6">
        <v>138023.69567217695</v>
      </c>
      <c r="P5" s="6">
        <v>88313.292349294963</v>
      </c>
      <c r="Q5" s="6">
        <v>16209.985877617637</v>
      </c>
      <c r="R5" s="6">
        <v>0</v>
      </c>
      <c r="S5" s="6">
        <v>0</v>
      </c>
      <c r="T5" s="6">
        <v>0</v>
      </c>
      <c r="U5" s="6">
        <f t="shared" ref="U5:U15" si="0">SUM(M5:T5)</f>
        <v>3570466.8698175824</v>
      </c>
    </row>
    <row r="6" spans="1:21" x14ac:dyDescent="0.25">
      <c r="A6" t="s">
        <v>12</v>
      </c>
      <c r="B6" s="6">
        <v>0</v>
      </c>
      <c r="C6" s="6">
        <v>451123.81745588349</v>
      </c>
      <c r="D6" s="6">
        <v>86027.179725678099</v>
      </c>
      <c r="E6" s="6">
        <v>4704.1750873481997</v>
      </c>
      <c r="F6" s="6">
        <v>48257.426483835698</v>
      </c>
      <c r="G6" s="6">
        <v>0</v>
      </c>
      <c r="H6" s="6">
        <v>0</v>
      </c>
      <c r="I6" s="6">
        <v>0</v>
      </c>
      <c r="J6" s="6">
        <f t="shared" ref="J6:J15" si="1">SUM(B6:I6)</f>
        <v>590112.59875274543</v>
      </c>
      <c r="K6" s="6"/>
      <c r="L6" t="s">
        <v>12</v>
      </c>
      <c r="M6" s="6">
        <v>0</v>
      </c>
      <c r="N6" s="6">
        <v>481032.93167039735</v>
      </c>
      <c r="O6" s="6">
        <v>71849.142020592786</v>
      </c>
      <c r="P6" s="6">
        <v>3014.7777969039339</v>
      </c>
      <c r="Q6" s="6">
        <v>23787.215632489337</v>
      </c>
      <c r="R6" s="6">
        <v>0</v>
      </c>
      <c r="S6" s="6">
        <v>0</v>
      </c>
      <c r="T6" s="6">
        <v>0</v>
      </c>
      <c r="U6" s="6">
        <f t="shared" si="0"/>
        <v>579684.06712038338</v>
      </c>
    </row>
    <row r="7" spans="1:21" x14ac:dyDescent="0.25">
      <c r="A7" t="s">
        <v>56</v>
      </c>
      <c r="B7" s="6">
        <v>0</v>
      </c>
      <c r="C7" s="6">
        <v>0</v>
      </c>
      <c r="D7" s="6">
        <v>207253.55228496829</v>
      </c>
      <c r="E7" s="6">
        <v>3815.516210835</v>
      </c>
      <c r="F7" s="6">
        <v>10656.775478481301</v>
      </c>
      <c r="G7" s="6">
        <v>0</v>
      </c>
      <c r="H7" s="6">
        <v>0</v>
      </c>
      <c r="I7" s="6">
        <v>0</v>
      </c>
      <c r="J7" s="6">
        <f t="shared" si="1"/>
        <v>221725.84397428459</v>
      </c>
      <c r="K7" s="6"/>
      <c r="L7" t="s">
        <v>56</v>
      </c>
      <c r="M7" s="6">
        <v>0</v>
      </c>
      <c r="N7" s="6">
        <v>0</v>
      </c>
      <c r="O7" s="6">
        <v>252010.28446853714</v>
      </c>
      <c r="P7" s="6">
        <v>3358.2747474615931</v>
      </c>
      <c r="Q7" s="6">
        <v>10862.502361153374</v>
      </c>
      <c r="R7" s="6">
        <v>0</v>
      </c>
      <c r="S7" s="6">
        <v>4.7487212276214805</v>
      </c>
      <c r="T7" s="6">
        <v>0</v>
      </c>
      <c r="U7" s="6">
        <f t="shared" si="0"/>
        <v>266235.81029837974</v>
      </c>
    </row>
    <row r="8" spans="1:21" x14ac:dyDescent="0.25">
      <c r="A8" t="s">
        <v>51</v>
      </c>
      <c r="B8" s="6">
        <v>0</v>
      </c>
      <c r="C8" s="6">
        <v>0</v>
      </c>
      <c r="D8" s="6">
        <v>0</v>
      </c>
      <c r="E8" s="6">
        <v>91643.036560731707</v>
      </c>
      <c r="F8" s="6">
        <v>376735.19266770489</v>
      </c>
      <c r="G8" s="6">
        <v>0</v>
      </c>
      <c r="H8" s="6">
        <v>0</v>
      </c>
      <c r="I8" s="6">
        <v>0</v>
      </c>
      <c r="J8" s="6">
        <f t="shared" si="1"/>
        <v>468378.2292284366</v>
      </c>
      <c r="K8" s="6"/>
      <c r="L8" t="s">
        <v>51</v>
      </c>
      <c r="M8" s="6">
        <v>0</v>
      </c>
      <c r="N8" s="6">
        <v>0</v>
      </c>
      <c r="O8" s="6">
        <v>0</v>
      </c>
      <c r="P8" s="6">
        <v>73651.287978604596</v>
      </c>
      <c r="Q8" s="6">
        <v>215194.77915195574</v>
      </c>
      <c r="R8" s="6">
        <v>0</v>
      </c>
      <c r="S8" s="6">
        <v>0</v>
      </c>
      <c r="T8" s="6">
        <v>0</v>
      </c>
      <c r="U8" s="6">
        <f t="shared" si="0"/>
        <v>288846.06713056035</v>
      </c>
    </row>
    <row r="9" spans="1:21" x14ac:dyDescent="0.25">
      <c r="A9" t="s">
        <v>52</v>
      </c>
      <c r="B9" s="6">
        <v>0</v>
      </c>
      <c r="C9" s="6">
        <v>0</v>
      </c>
      <c r="D9" s="6">
        <v>0</v>
      </c>
      <c r="E9" s="6">
        <v>0</v>
      </c>
      <c r="F9" s="6">
        <v>2053.6406139154001</v>
      </c>
      <c r="G9" s="6">
        <v>0</v>
      </c>
      <c r="H9" s="6">
        <v>0</v>
      </c>
      <c r="I9" s="6">
        <v>0</v>
      </c>
      <c r="J9" s="6">
        <f t="shared" si="1"/>
        <v>2053.6406139154001</v>
      </c>
      <c r="K9" s="6"/>
      <c r="L9" t="s">
        <v>52</v>
      </c>
      <c r="M9" s="6">
        <v>0</v>
      </c>
      <c r="N9" s="6">
        <v>0</v>
      </c>
      <c r="O9" s="6">
        <v>0</v>
      </c>
      <c r="P9" s="6">
        <v>0</v>
      </c>
      <c r="Q9" s="6">
        <v>0</v>
      </c>
      <c r="R9" s="6">
        <v>0</v>
      </c>
      <c r="S9" s="6">
        <v>0</v>
      </c>
      <c r="T9" s="6">
        <v>0</v>
      </c>
      <c r="U9" s="6">
        <f t="shared" si="0"/>
        <v>0</v>
      </c>
    </row>
    <row r="10" spans="1:21" x14ac:dyDescent="0.25">
      <c r="A10" t="s">
        <v>53</v>
      </c>
      <c r="B10" s="6">
        <v>0</v>
      </c>
      <c r="C10" s="6">
        <v>0</v>
      </c>
      <c r="D10" s="6">
        <v>0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f t="shared" si="1"/>
        <v>0</v>
      </c>
      <c r="K10" s="6"/>
      <c r="L10" t="s">
        <v>53</v>
      </c>
      <c r="M10" s="6">
        <v>0</v>
      </c>
      <c r="N10" s="6">
        <v>0</v>
      </c>
      <c r="O10" s="6">
        <v>0</v>
      </c>
      <c r="P10" s="6">
        <v>0</v>
      </c>
      <c r="Q10" s="6">
        <v>0</v>
      </c>
      <c r="R10" s="6">
        <v>0</v>
      </c>
      <c r="S10" s="6">
        <v>0</v>
      </c>
      <c r="T10" s="6">
        <v>0</v>
      </c>
      <c r="U10" s="6">
        <f t="shared" si="0"/>
        <v>0</v>
      </c>
    </row>
    <row r="11" spans="1:21" x14ac:dyDescent="0.25">
      <c r="A11" t="s">
        <v>54</v>
      </c>
      <c r="B11" s="6">
        <v>0</v>
      </c>
      <c r="C11" s="6">
        <v>0</v>
      </c>
      <c r="D11" s="6">
        <v>0</v>
      </c>
      <c r="E11" s="6">
        <v>0</v>
      </c>
      <c r="F11" s="6">
        <v>0</v>
      </c>
      <c r="G11" s="6">
        <v>0</v>
      </c>
      <c r="H11" s="6">
        <v>0</v>
      </c>
      <c r="I11" s="6">
        <v>0</v>
      </c>
      <c r="J11" s="6">
        <f t="shared" si="1"/>
        <v>0</v>
      </c>
      <c r="K11" s="6"/>
      <c r="L11" t="s">
        <v>54</v>
      </c>
      <c r="M11" s="6">
        <v>0</v>
      </c>
      <c r="N11" s="6">
        <v>0</v>
      </c>
      <c r="O11" s="6">
        <v>0</v>
      </c>
      <c r="P11" s="6">
        <v>0</v>
      </c>
      <c r="Q11" s="6">
        <v>0</v>
      </c>
      <c r="R11" s="6">
        <v>0</v>
      </c>
      <c r="S11" s="6">
        <v>0</v>
      </c>
      <c r="T11" s="6">
        <v>0</v>
      </c>
      <c r="U11" s="6">
        <f t="shared" si="0"/>
        <v>0</v>
      </c>
    </row>
    <row r="12" spans="1:21" x14ac:dyDescent="0.25">
      <c r="A12" t="s">
        <v>55</v>
      </c>
      <c r="B12" s="6">
        <v>0</v>
      </c>
      <c r="C12" s="6">
        <v>0</v>
      </c>
      <c r="D12" s="6">
        <v>0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f t="shared" si="1"/>
        <v>0</v>
      </c>
      <c r="K12" s="6"/>
      <c r="L12" t="s">
        <v>55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R12" s="6">
        <v>0</v>
      </c>
      <c r="S12" s="6">
        <v>0</v>
      </c>
      <c r="T12" s="6">
        <v>0</v>
      </c>
      <c r="U12" s="6">
        <f t="shared" si="0"/>
        <v>0</v>
      </c>
    </row>
    <row r="13" spans="1:21" x14ac:dyDescent="0.25">
      <c r="A13" t="s">
        <v>24</v>
      </c>
      <c r="B13" s="6">
        <v>0</v>
      </c>
      <c r="C13" s="6">
        <v>0</v>
      </c>
      <c r="D13" s="6">
        <v>0</v>
      </c>
      <c r="E13" s="6">
        <v>0</v>
      </c>
      <c r="F13" s="6">
        <v>0</v>
      </c>
      <c r="G13" s="6">
        <v>0</v>
      </c>
      <c r="H13" s="6">
        <v>0</v>
      </c>
      <c r="I13" s="6">
        <v>3710.067183186</v>
      </c>
      <c r="J13" s="6">
        <f t="shared" si="1"/>
        <v>3710.067183186</v>
      </c>
      <c r="K13" s="6"/>
      <c r="L13" t="s">
        <v>24</v>
      </c>
      <c r="M13" s="6">
        <v>0</v>
      </c>
      <c r="N13" s="6">
        <v>0</v>
      </c>
      <c r="O13" s="6">
        <v>0</v>
      </c>
      <c r="P13" s="6">
        <v>0</v>
      </c>
      <c r="Q13" s="6">
        <v>0</v>
      </c>
      <c r="R13" s="6">
        <v>0</v>
      </c>
      <c r="S13" s="6">
        <v>0</v>
      </c>
      <c r="T13" s="6">
        <v>0</v>
      </c>
      <c r="U13" s="6">
        <f t="shared" si="0"/>
        <v>0</v>
      </c>
    </row>
    <row r="14" spans="1:21" x14ac:dyDescent="0.25">
      <c r="A14" t="s">
        <v>4</v>
      </c>
      <c r="B14" s="6">
        <v>377.85283985900003</v>
      </c>
      <c r="C14" s="6">
        <v>4567.8014431551001</v>
      </c>
      <c r="D14" s="6">
        <v>337.72464772500001</v>
      </c>
      <c r="E14" s="6">
        <v>243.46345759299999</v>
      </c>
      <c r="F14" s="6">
        <v>5584.6387331914002</v>
      </c>
      <c r="G14" s="6">
        <v>95044.755435258194</v>
      </c>
      <c r="H14" s="6">
        <v>0</v>
      </c>
      <c r="I14" s="6">
        <v>0</v>
      </c>
      <c r="J14" s="6">
        <f t="shared" si="1"/>
        <v>106156.23655678169</v>
      </c>
      <c r="K14" s="6"/>
      <c r="L14" t="s">
        <v>4</v>
      </c>
      <c r="M14" s="6">
        <v>2739.8174429888268</v>
      </c>
      <c r="N14" s="6">
        <v>3331.8897098621997</v>
      </c>
      <c r="O14" s="6">
        <v>1708.1412491077926</v>
      </c>
      <c r="P14" s="6">
        <v>0</v>
      </c>
      <c r="Q14" s="6">
        <v>3457.1452696712804</v>
      </c>
      <c r="R14" s="6">
        <v>94719.053934465424</v>
      </c>
      <c r="S14" s="6">
        <v>0</v>
      </c>
      <c r="T14" s="6">
        <v>0</v>
      </c>
      <c r="U14" s="6">
        <f t="shared" si="0"/>
        <v>105956.04760609553</v>
      </c>
    </row>
    <row r="15" spans="1:21" x14ac:dyDescent="0.25">
      <c r="A15" s="4" t="s">
        <v>5</v>
      </c>
      <c r="B15" s="10">
        <v>45690.289298823904</v>
      </c>
      <c r="C15" s="10">
        <v>14140.259574612601</v>
      </c>
      <c r="D15" s="10">
        <v>13080.986892155801</v>
      </c>
      <c r="E15" s="10">
        <v>12213.749578651399</v>
      </c>
      <c r="F15" s="10">
        <v>106914.1949820079</v>
      </c>
      <c r="G15" s="10">
        <v>7699.8421964706004</v>
      </c>
      <c r="H15" s="10">
        <v>96621.9896857204</v>
      </c>
      <c r="I15" s="10">
        <v>0</v>
      </c>
      <c r="J15" s="6">
        <f t="shared" si="1"/>
        <v>296361.3122084426</v>
      </c>
      <c r="K15" s="6"/>
      <c r="L15" s="4" t="s">
        <v>5</v>
      </c>
      <c r="M15" s="8">
        <v>61306.823992979167</v>
      </c>
      <c r="N15" s="8">
        <v>42567.377193699249</v>
      </c>
      <c r="O15" s="8">
        <v>23694.623146832571</v>
      </c>
      <c r="P15" s="8">
        <v>0</v>
      </c>
      <c r="Q15" s="8">
        <v>66433.746942740749</v>
      </c>
      <c r="R15" s="8">
        <v>10797.415371347601</v>
      </c>
      <c r="S15" s="8">
        <v>214371.12629812903</v>
      </c>
      <c r="T15" s="8">
        <v>0</v>
      </c>
      <c r="U15" s="6">
        <f t="shared" si="0"/>
        <v>419171.11294572835</v>
      </c>
    </row>
    <row r="16" spans="1:21" ht="15.75" thickBot="1" x14ac:dyDescent="0.3">
      <c r="A16" s="12" t="s">
        <v>7</v>
      </c>
      <c r="B16" s="16">
        <f t="shared" ref="B16:J16" si="2">SUM(B5:B15)</f>
        <v>2892053.5196946822</v>
      </c>
      <c r="C16" s="16">
        <f t="shared" si="2"/>
        <v>847235.27113488014</v>
      </c>
      <c r="D16" s="16">
        <f t="shared" si="2"/>
        <v>493525.47286738333</v>
      </c>
      <c r="E16" s="16">
        <f t="shared" si="2"/>
        <v>204469.66805730731</v>
      </c>
      <c r="F16" s="16">
        <f t="shared" si="2"/>
        <v>564271.71007108176</v>
      </c>
      <c r="G16" s="16">
        <f t="shared" si="2"/>
        <v>102744.5976317288</v>
      </c>
      <c r="H16" s="16">
        <f t="shared" si="2"/>
        <v>96621.9896857204</v>
      </c>
      <c r="I16" s="16">
        <f t="shared" si="2"/>
        <v>5114.5698896619997</v>
      </c>
      <c r="J16" s="16">
        <f t="shared" si="2"/>
        <v>5206036.799032446</v>
      </c>
      <c r="L16" s="9" t="s">
        <v>7</v>
      </c>
      <c r="M16" s="16">
        <f t="shared" ref="M16:U16" si="3">SUM(M5:M15)</f>
        <v>3003224.0445585172</v>
      </c>
      <c r="N16" s="16">
        <f t="shared" si="3"/>
        <v>915674.69136990292</v>
      </c>
      <c r="O16" s="16">
        <f t="shared" si="3"/>
        <v>487285.88655724726</v>
      </c>
      <c r="P16" s="16">
        <f t="shared" si="3"/>
        <v>168337.63287226507</v>
      </c>
      <c r="Q16" s="16">
        <f t="shared" si="3"/>
        <v>335945.3752356281</v>
      </c>
      <c r="R16" s="16">
        <f t="shared" si="3"/>
        <v>105516.46930581302</v>
      </c>
      <c r="S16" s="16">
        <f t="shared" si="3"/>
        <v>214375.87501935667</v>
      </c>
      <c r="T16" s="16">
        <f t="shared" si="3"/>
        <v>0</v>
      </c>
      <c r="U16" s="16">
        <f t="shared" si="3"/>
        <v>5230359.9749187296</v>
      </c>
    </row>
    <row r="19" spans="1:21" ht="15.75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25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31" t="s">
        <v>6</v>
      </c>
      <c r="C20" s="31"/>
      <c r="D20" s="31"/>
      <c r="E20" s="31"/>
      <c r="F20" s="31"/>
      <c r="G20" s="31"/>
      <c r="H20" s="31"/>
      <c r="I20" s="31"/>
      <c r="J20" s="11"/>
      <c r="L20" s="3"/>
      <c r="M20" s="32" t="s">
        <v>6</v>
      </c>
      <c r="N20" s="32"/>
      <c r="O20" s="32"/>
      <c r="P20" s="32"/>
      <c r="Q20" s="32"/>
      <c r="R20" s="32"/>
      <c r="S20" s="32"/>
      <c r="T20" s="32"/>
      <c r="U20" s="32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t="shared" ref="B22:J22" si="4">B5/B$16</f>
        <v>0.98407078505810408</v>
      </c>
      <c r="C22" s="13">
        <f t="shared" si="4"/>
        <v>0.44545288129434607</v>
      </c>
      <c r="D22" s="13">
        <f t="shared" si="4"/>
        <v>0.37855397459303741</v>
      </c>
      <c r="E22" s="13">
        <f t="shared" si="4"/>
        <v>0.4492095479726852</v>
      </c>
      <c r="F22" s="13">
        <f t="shared" si="4"/>
        <v>2.4934514456116913E-2</v>
      </c>
      <c r="G22" s="13">
        <f t="shared" si="4"/>
        <v>0</v>
      </c>
      <c r="H22" s="13">
        <f t="shared" si="4"/>
        <v>0</v>
      </c>
      <c r="I22" s="13">
        <f t="shared" si="4"/>
        <v>0.27460817561900941</v>
      </c>
      <c r="J22" s="13">
        <f t="shared" si="4"/>
        <v>0.6756653873765156</v>
      </c>
      <c r="K22" s="6"/>
      <c r="L22" t="s">
        <v>1</v>
      </c>
      <c r="M22" s="13">
        <f t="shared" ref="M22:P22" si="5">M5/M$16</f>
        <v>0.97867403813844223</v>
      </c>
      <c r="N22" s="13">
        <f t="shared" si="5"/>
        <v>0.42454213975747512</v>
      </c>
      <c r="O22" s="13">
        <f t="shared" si="5"/>
        <v>0.28324993495571243</v>
      </c>
      <c r="P22" s="13">
        <f t="shared" si="5"/>
        <v>0.52462002014907305</v>
      </c>
      <c r="Q22" s="13">
        <f t="shared" ref="Q22:U33" si="6">Q5/Q$16</f>
        <v>4.8251850070113768E-2</v>
      </c>
      <c r="R22" s="13">
        <f t="shared" si="6"/>
        <v>0</v>
      </c>
      <c r="S22" s="13">
        <f t="shared" si="6"/>
        <v>0</v>
      </c>
      <c r="T22" s="13" t="e">
        <f t="shared" si="6"/>
        <v>#DIV/0!</v>
      </c>
      <c r="U22" s="13">
        <f t="shared" si="6"/>
        <v>0.68264266454682421</v>
      </c>
    </row>
    <row r="23" spans="1:21" x14ac:dyDescent="0.25">
      <c r="A23" t="s">
        <v>12</v>
      </c>
      <c r="B23" s="13">
        <f t="shared" ref="B23:J23" si="7">B6/B$16</f>
        <v>0</v>
      </c>
      <c r="C23" s="13">
        <f t="shared" si="7"/>
        <v>0.53246581301035611</v>
      </c>
      <c r="D23" s="13">
        <f t="shared" si="7"/>
        <v>0.17431152889811366</v>
      </c>
      <c r="E23" s="13">
        <f t="shared" si="7"/>
        <v>2.3006713572938098E-2</v>
      </c>
      <c r="F23" s="13">
        <f t="shared" si="7"/>
        <v>8.5521612412142137E-2</v>
      </c>
      <c r="G23" s="13">
        <f t="shared" si="7"/>
        <v>0</v>
      </c>
      <c r="H23" s="13">
        <f t="shared" si="7"/>
        <v>0</v>
      </c>
      <c r="I23" s="13">
        <f t="shared" si="7"/>
        <v>0</v>
      </c>
      <c r="J23" s="13">
        <f t="shared" si="7"/>
        <v>0.11335159960114366</v>
      </c>
      <c r="K23" s="6"/>
      <c r="L23" t="s">
        <v>12</v>
      </c>
      <c r="M23" s="13">
        <f t="shared" ref="M23:P23" si="8">M6/M$16</f>
        <v>0</v>
      </c>
      <c r="N23" s="13">
        <f t="shared" si="8"/>
        <v>0.5253316884304664</v>
      </c>
      <c r="O23" s="13">
        <f t="shared" si="8"/>
        <v>0.14744761546085086</v>
      </c>
      <c r="P23" s="13">
        <f t="shared" si="8"/>
        <v>1.7909113639441237E-2</v>
      </c>
      <c r="Q23" s="13">
        <f t="shared" si="6"/>
        <v>7.0806795943552631E-2</v>
      </c>
      <c r="R23" s="13">
        <f t="shared" si="6"/>
        <v>0</v>
      </c>
      <c r="S23" s="13">
        <f t="shared" si="6"/>
        <v>0</v>
      </c>
      <c r="T23" s="13" t="e">
        <f t="shared" si="6"/>
        <v>#DIV/0!</v>
      </c>
      <c r="U23" s="13">
        <f t="shared" si="6"/>
        <v>0.11083062540631167</v>
      </c>
    </row>
    <row r="24" spans="1:21" x14ac:dyDescent="0.25">
      <c r="A24" t="s">
        <v>56</v>
      </c>
      <c r="B24" s="13">
        <f t="shared" ref="B24:J24" si="9">B7/B$16</f>
        <v>0</v>
      </c>
      <c r="C24" s="13">
        <f t="shared" si="9"/>
        <v>0</v>
      </c>
      <c r="D24" s="13">
        <f t="shared" si="9"/>
        <v>0.4199449950998983</v>
      </c>
      <c r="E24" s="13">
        <f t="shared" si="9"/>
        <v>1.8660548760540924E-2</v>
      </c>
      <c r="F24" s="13">
        <f t="shared" si="9"/>
        <v>1.8885893601043473E-2</v>
      </c>
      <c r="G24" s="13">
        <f t="shared" si="9"/>
        <v>0</v>
      </c>
      <c r="H24" s="13">
        <f t="shared" si="9"/>
        <v>0</v>
      </c>
      <c r="I24" s="13">
        <f t="shared" si="9"/>
        <v>0</v>
      </c>
      <c r="J24" s="13">
        <f t="shared" si="9"/>
        <v>4.2590141509467022E-2</v>
      </c>
      <c r="K24" s="6"/>
      <c r="L24" t="s">
        <v>56</v>
      </c>
      <c r="M24" s="13">
        <f t="shared" ref="M24:P24" si="10">M7/M$16</f>
        <v>0</v>
      </c>
      <c r="N24" s="13">
        <f t="shared" si="10"/>
        <v>0</v>
      </c>
      <c r="O24" s="13">
        <f t="shared" si="10"/>
        <v>0.51717131856420084</v>
      </c>
      <c r="P24" s="13">
        <f t="shared" si="10"/>
        <v>1.9949637464665188E-2</v>
      </c>
      <c r="Q24" s="13">
        <f t="shared" si="6"/>
        <v>3.2334132754572212E-2</v>
      </c>
      <c r="R24" s="13">
        <f t="shared" si="6"/>
        <v>0</v>
      </c>
      <c r="S24" s="13">
        <f t="shared" si="6"/>
        <v>2.2151378867574085E-5</v>
      </c>
      <c r="T24" s="13" t="e">
        <f t="shared" si="6"/>
        <v>#DIV/0!</v>
      </c>
      <c r="U24" s="13">
        <f t="shared" si="6"/>
        <v>5.0902005134458563E-2</v>
      </c>
    </row>
    <row r="25" spans="1:21" x14ac:dyDescent="0.25">
      <c r="A25" t="s">
        <v>51</v>
      </c>
      <c r="B25" s="13">
        <f t="shared" ref="B25:J25" si="11">B8/B$16</f>
        <v>0</v>
      </c>
      <c r="C25" s="13">
        <f t="shared" si="11"/>
        <v>0</v>
      </c>
      <c r="D25" s="13">
        <f t="shared" si="11"/>
        <v>0</v>
      </c>
      <c r="E25" s="13">
        <f t="shared" si="11"/>
        <v>0.44819868605179447</v>
      </c>
      <c r="F25" s="13">
        <f t="shared" si="11"/>
        <v>0.66764855643790344</v>
      </c>
      <c r="G25" s="13">
        <f t="shared" si="11"/>
        <v>0</v>
      </c>
      <c r="H25" s="13">
        <f t="shared" si="11"/>
        <v>0</v>
      </c>
      <c r="I25" s="13">
        <f t="shared" si="11"/>
        <v>0</v>
      </c>
      <c r="J25" s="13">
        <f t="shared" si="11"/>
        <v>8.9968290142606322E-2</v>
      </c>
      <c r="K25" s="6"/>
      <c r="L25" t="s">
        <v>51</v>
      </c>
      <c r="M25" s="13">
        <f t="shared" ref="M25:P25" si="12">M8/M$16</f>
        <v>0</v>
      </c>
      <c r="N25" s="13">
        <f t="shared" si="12"/>
        <v>0</v>
      </c>
      <c r="O25" s="13">
        <f t="shared" si="12"/>
        <v>0</v>
      </c>
      <c r="P25" s="13">
        <f t="shared" si="12"/>
        <v>0.43752122874682065</v>
      </c>
      <c r="Q25" s="13">
        <f t="shared" si="6"/>
        <v>0.64056479122839738</v>
      </c>
      <c r="R25" s="13">
        <f t="shared" si="6"/>
        <v>0</v>
      </c>
      <c r="S25" s="13">
        <f t="shared" si="6"/>
        <v>0</v>
      </c>
      <c r="T25" s="13" t="e">
        <f t="shared" si="6"/>
        <v>#DIV/0!</v>
      </c>
      <c r="U25" s="13">
        <f t="shared" si="6"/>
        <v>5.5224892457817587E-2</v>
      </c>
    </row>
    <row r="26" spans="1:21" x14ac:dyDescent="0.25">
      <c r="A26" t="s">
        <v>52</v>
      </c>
      <c r="B26" s="13">
        <f t="shared" ref="B26:J26" si="13">B9/B$16</f>
        <v>0</v>
      </c>
      <c r="C26" s="13">
        <f t="shared" si="13"/>
        <v>0</v>
      </c>
      <c r="D26" s="13">
        <f t="shared" si="13"/>
        <v>0</v>
      </c>
      <c r="E26" s="13">
        <f t="shared" si="13"/>
        <v>0</v>
      </c>
      <c r="F26" s="13">
        <f t="shared" si="13"/>
        <v>3.6394534357511938E-3</v>
      </c>
      <c r="G26" s="13">
        <f t="shared" si="13"/>
        <v>0</v>
      </c>
      <c r="H26" s="13">
        <f t="shared" si="13"/>
        <v>0</v>
      </c>
      <c r="I26" s="13">
        <f t="shared" si="13"/>
        <v>0</v>
      </c>
      <c r="J26" s="13">
        <f t="shared" si="13"/>
        <v>3.9447293463178629E-4</v>
      </c>
      <c r="K26" s="6"/>
      <c r="L26" t="s">
        <v>52</v>
      </c>
      <c r="M26" s="13">
        <f t="shared" ref="M26:P26" si="14">M9/M$16</f>
        <v>0</v>
      </c>
      <c r="N26" s="13">
        <f t="shared" si="14"/>
        <v>0</v>
      </c>
      <c r="O26" s="13">
        <f t="shared" si="14"/>
        <v>0</v>
      </c>
      <c r="P26" s="13">
        <f t="shared" si="14"/>
        <v>0</v>
      </c>
      <c r="Q26" s="13">
        <f t="shared" si="6"/>
        <v>0</v>
      </c>
      <c r="R26" s="13">
        <f t="shared" si="6"/>
        <v>0</v>
      </c>
      <c r="S26" s="13">
        <f t="shared" si="6"/>
        <v>0</v>
      </c>
      <c r="T26" s="13" t="e">
        <f t="shared" si="6"/>
        <v>#DIV/0!</v>
      </c>
      <c r="U26" s="13">
        <f t="shared" si="6"/>
        <v>0</v>
      </c>
    </row>
    <row r="27" spans="1:21" x14ac:dyDescent="0.25">
      <c r="A27" t="s">
        <v>53</v>
      </c>
      <c r="B27" s="13">
        <f t="shared" ref="B27:J27" si="15">B10/B$16</f>
        <v>0</v>
      </c>
      <c r="C27" s="13">
        <f t="shared" si="15"/>
        <v>0</v>
      </c>
      <c r="D27" s="13">
        <f t="shared" si="15"/>
        <v>0</v>
      </c>
      <c r="E27" s="13">
        <f t="shared" si="15"/>
        <v>0</v>
      </c>
      <c r="F27" s="13">
        <f t="shared" si="15"/>
        <v>0</v>
      </c>
      <c r="G27" s="13">
        <f t="shared" si="15"/>
        <v>0</v>
      </c>
      <c r="H27" s="13">
        <f t="shared" si="15"/>
        <v>0</v>
      </c>
      <c r="I27" s="13">
        <f t="shared" si="15"/>
        <v>0</v>
      </c>
      <c r="J27" s="13">
        <f t="shared" si="15"/>
        <v>0</v>
      </c>
      <c r="K27" s="6"/>
      <c r="L27" t="s">
        <v>53</v>
      </c>
      <c r="M27" s="13">
        <f t="shared" ref="M27:P27" si="16">M10/M$16</f>
        <v>0</v>
      </c>
      <c r="N27" s="13">
        <f t="shared" si="16"/>
        <v>0</v>
      </c>
      <c r="O27" s="13">
        <f t="shared" si="16"/>
        <v>0</v>
      </c>
      <c r="P27" s="13">
        <f t="shared" si="16"/>
        <v>0</v>
      </c>
      <c r="Q27" s="13">
        <f t="shared" si="6"/>
        <v>0</v>
      </c>
      <c r="R27" s="13">
        <f t="shared" si="6"/>
        <v>0</v>
      </c>
      <c r="S27" s="13">
        <f t="shared" si="6"/>
        <v>0</v>
      </c>
      <c r="T27" s="13" t="e">
        <f t="shared" si="6"/>
        <v>#DIV/0!</v>
      </c>
      <c r="U27" s="13">
        <f t="shared" si="6"/>
        <v>0</v>
      </c>
    </row>
    <row r="28" spans="1:21" x14ac:dyDescent="0.25">
      <c r="A28" t="s">
        <v>54</v>
      </c>
      <c r="B28" s="13">
        <f t="shared" ref="B28:J28" si="17">B11/B$16</f>
        <v>0</v>
      </c>
      <c r="C28" s="13">
        <f t="shared" si="17"/>
        <v>0</v>
      </c>
      <c r="D28" s="13">
        <f t="shared" si="17"/>
        <v>0</v>
      </c>
      <c r="E28" s="13">
        <f t="shared" si="17"/>
        <v>0</v>
      </c>
      <c r="F28" s="13">
        <f t="shared" si="17"/>
        <v>0</v>
      </c>
      <c r="G28" s="13">
        <f t="shared" si="17"/>
        <v>0</v>
      </c>
      <c r="H28" s="13">
        <f t="shared" si="17"/>
        <v>0</v>
      </c>
      <c r="I28" s="13">
        <f t="shared" si="17"/>
        <v>0</v>
      </c>
      <c r="J28" s="13">
        <f t="shared" si="17"/>
        <v>0</v>
      </c>
      <c r="K28" s="6"/>
      <c r="L28" t="s">
        <v>54</v>
      </c>
      <c r="M28" s="13">
        <f t="shared" ref="M28:P28" si="18">M11/M$16</f>
        <v>0</v>
      </c>
      <c r="N28" s="13">
        <f t="shared" si="18"/>
        <v>0</v>
      </c>
      <c r="O28" s="13">
        <f t="shared" si="18"/>
        <v>0</v>
      </c>
      <c r="P28" s="13">
        <f t="shared" si="18"/>
        <v>0</v>
      </c>
      <c r="Q28" s="13">
        <f t="shared" si="6"/>
        <v>0</v>
      </c>
      <c r="R28" s="13">
        <f t="shared" si="6"/>
        <v>0</v>
      </c>
      <c r="S28" s="13">
        <f t="shared" si="6"/>
        <v>0</v>
      </c>
      <c r="T28" s="13" t="e">
        <f t="shared" si="6"/>
        <v>#DIV/0!</v>
      </c>
      <c r="U28" s="13">
        <f t="shared" si="6"/>
        <v>0</v>
      </c>
    </row>
    <row r="29" spans="1:21" x14ac:dyDescent="0.25">
      <c r="A29" t="s">
        <v>55</v>
      </c>
      <c r="B29" s="13">
        <f t="shared" ref="B29:J29" si="19">B12/B$16</f>
        <v>0</v>
      </c>
      <c r="C29" s="13">
        <f t="shared" si="19"/>
        <v>0</v>
      </c>
      <c r="D29" s="13">
        <f t="shared" si="19"/>
        <v>0</v>
      </c>
      <c r="E29" s="13">
        <f t="shared" si="19"/>
        <v>0</v>
      </c>
      <c r="F29" s="13">
        <f t="shared" si="19"/>
        <v>0</v>
      </c>
      <c r="G29" s="13">
        <f t="shared" si="19"/>
        <v>0</v>
      </c>
      <c r="H29" s="13">
        <f t="shared" si="19"/>
        <v>0</v>
      </c>
      <c r="I29" s="13">
        <f t="shared" si="19"/>
        <v>0</v>
      </c>
      <c r="J29" s="13">
        <f t="shared" si="19"/>
        <v>0</v>
      </c>
      <c r="K29" s="6"/>
      <c r="L29" t="s">
        <v>55</v>
      </c>
      <c r="M29" s="13">
        <f t="shared" ref="M29:P29" si="20">M12/M$16</f>
        <v>0</v>
      </c>
      <c r="N29" s="13">
        <f t="shared" si="20"/>
        <v>0</v>
      </c>
      <c r="O29" s="13">
        <f t="shared" si="20"/>
        <v>0</v>
      </c>
      <c r="P29" s="13">
        <f t="shared" si="20"/>
        <v>0</v>
      </c>
      <c r="Q29" s="13">
        <f t="shared" si="6"/>
        <v>0</v>
      </c>
      <c r="R29" s="13">
        <f t="shared" si="6"/>
        <v>0</v>
      </c>
      <c r="S29" s="13">
        <f t="shared" si="6"/>
        <v>0</v>
      </c>
      <c r="T29" s="13" t="e">
        <f t="shared" si="6"/>
        <v>#DIV/0!</v>
      </c>
      <c r="U29" s="13">
        <f t="shared" si="6"/>
        <v>0</v>
      </c>
    </row>
    <row r="30" spans="1:21" x14ac:dyDescent="0.25">
      <c r="A30" t="s">
        <v>24</v>
      </c>
      <c r="B30" s="13">
        <f t="shared" ref="B30:J30" si="21">B13/B$16</f>
        <v>0</v>
      </c>
      <c r="C30" s="13">
        <f t="shared" si="21"/>
        <v>0</v>
      </c>
      <c r="D30" s="13">
        <f t="shared" si="21"/>
        <v>0</v>
      </c>
      <c r="E30" s="13">
        <f t="shared" si="21"/>
        <v>0</v>
      </c>
      <c r="F30" s="13">
        <f t="shared" si="21"/>
        <v>0</v>
      </c>
      <c r="G30" s="13">
        <f t="shared" si="21"/>
        <v>0</v>
      </c>
      <c r="H30" s="13">
        <f t="shared" si="21"/>
        <v>0</v>
      </c>
      <c r="I30" s="13">
        <f t="shared" si="21"/>
        <v>0.72539182438099059</v>
      </c>
      <c r="J30" s="13">
        <f t="shared" si="21"/>
        <v>7.1264712993875199E-4</v>
      </c>
      <c r="K30" s="6"/>
      <c r="L30" t="s">
        <v>24</v>
      </c>
      <c r="M30" s="13">
        <f t="shared" ref="M30:P30" si="22">M13/M$16</f>
        <v>0</v>
      </c>
      <c r="N30" s="13">
        <f t="shared" si="22"/>
        <v>0</v>
      </c>
      <c r="O30" s="13">
        <f t="shared" si="22"/>
        <v>0</v>
      </c>
      <c r="P30" s="13">
        <f t="shared" si="22"/>
        <v>0</v>
      </c>
      <c r="Q30" s="13">
        <f t="shared" si="6"/>
        <v>0</v>
      </c>
      <c r="R30" s="13">
        <f t="shared" si="6"/>
        <v>0</v>
      </c>
      <c r="S30" s="13">
        <f t="shared" si="6"/>
        <v>0</v>
      </c>
      <c r="T30" s="13" t="e">
        <f t="shared" si="6"/>
        <v>#DIV/0!</v>
      </c>
      <c r="U30" s="13">
        <f t="shared" si="6"/>
        <v>0</v>
      </c>
    </row>
    <row r="31" spans="1:21" x14ac:dyDescent="0.25">
      <c r="A31" t="s">
        <v>4</v>
      </c>
      <c r="B31" s="13">
        <f t="shared" ref="B31:J31" si="23">B14/B$16</f>
        <v>1.3065209107848406E-4</v>
      </c>
      <c r="C31" s="13">
        <f t="shared" si="23"/>
        <v>5.3914203041104322E-3</v>
      </c>
      <c r="D31" s="13">
        <f t="shared" si="23"/>
        <v>6.8431046884534572E-4</v>
      </c>
      <c r="E31" s="13">
        <f t="shared" si="23"/>
        <v>1.1907069635617728E-3</v>
      </c>
      <c r="F31" s="13">
        <f t="shared" si="23"/>
        <v>9.8970737563431957E-3</v>
      </c>
      <c r="G31" s="13">
        <f t="shared" si="23"/>
        <v>0.92505842278861772</v>
      </c>
      <c r="H31" s="13">
        <f t="shared" si="23"/>
        <v>0</v>
      </c>
      <c r="I31" s="13">
        <f t="shared" si="23"/>
        <v>0</v>
      </c>
      <c r="J31" s="13">
        <f t="shared" si="23"/>
        <v>2.0390988510974619E-2</v>
      </c>
      <c r="K31" s="6"/>
      <c r="L31" t="s">
        <v>4</v>
      </c>
      <c r="M31" s="13">
        <f t="shared" ref="M31:P31" si="24">M14/M$16</f>
        <v>9.1229205758160082E-4</v>
      </c>
      <c r="N31" s="13">
        <f t="shared" si="24"/>
        <v>3.638726439929772E-3</v>
      </c>
      <c r="O31" s="13">
        <f t="shared" si="24"/>
        <v>3.5054190901691895E-3</v>
      </c>
      <c r="P31" s="13">
        <f t="shared" si="24"/>
        <v>0</v>
      </c>
      <c r="Q31" s="13">
        <f t="shared" si="6"/>
        <v>1.0290795839194034E-2</v>
      </c>
      <c r="R31" s="13">
        <f t="shared" si="6"/>
        <v>0.8976708049237887</v>
      </c>
      <c r="S31" s="13">
        <f t="shared" si="6"/>
        <v>0</v>
      </c>
      <c r="T31" s="13" t="e">
        <f t="shared" si="6"/>
        <v>#DIV/0!</v>
      </c>
      <c r="U31" s="13">
        <f t="shared" si="6"/>
        <v>2.0257888197789273E-2</v>
      </c>
    </row>
    <row r="32" spans="1:21" x14ac:dyDescent="0.25">
      <c r="A32" s="4" t="s">
        <v>5</v>
      </c>
      <c r="B32" s="14">
        <f t="shared" ref="B32:J32" si="25">B15/B$16</f>
        <v>1.5798562850817328E-2</v>
      </c>
      <c r="C32" s="14">
        <f t="shared" si="25"/>
        <v>1.6689885391187244E-2</v>
      </c>
      <c r="D32" s="14">
        <f t="shared" si="25"/>
        <v>2.6505190940105398E-2</v>
      </c>
      <c r="E32" s="14">
        <f t="shared" si="25"/>
        <v>5.9733796678479549E-2</v>
      </c>
      <c r="F32" s="14">
        <f t="shared" si="25"/>
        <v>0.18947289590069974</v>
      </c>
      <c r="G32" s="14">
        <f t="shared" si="25"/>
        <v>7.4941577211382199E-2</v>
      </c>
      <c r="H32" s="14">
        <f t="shared" si="25"/>
        <v>1</v>
      </c>
      <c r="I32" s="14">
        <f t="shared" si="25"/>
        <v>0</v>
      </c>
      <c r="J32" s="14">
        <f t="shared" si="25"/>
        <v>5.6926472794722086E-2</v>
      </c>
      <c r="K32" s="6"/>
      <c r="L32" s="4" t="s">
        <v>5</v>
      </c>
      <c r="M32" s="14">
        <f t="shared" ref="M32:P32" si="26">M15/M$16</f>
        <v>2.0413669803976096E-2</v>
      </c>
      <c r="N32" s="14">
        <f t="shared" si="26"/>
        <v>4.6487445372128788E-2</v>
      </c>
      <c r="O32" s="14">
        <f t="shared" si="26"/>
        <v>4.862571192906668E-2</v>
      </c>
      <c r="P32" s="14">
        <f t="shared" si="26"/>
        <v>0</v>
      </c>
      <c r="Q32" s="14">
        <f t="shared" si="6"/>
        <v>0.19775163416417002</v>
      </c>
      <c r="R32" s="14">
        <f t="shared" si="6"/>
        <v>0.10232919507621129</v>
      </c>
      <c r="S32" s="14">
        <f t="shared" si="6"/>
        <v>0.99997784862113237</v>
      </c>
      <c r="T32" s="14" t="e">
        <f t="shared" si="6"/>
        <v>#DIV/0!</v>
      </c>
      <c r="U32" s="14">
        <f t="shared" si="6"/>
        <v>8.0141924256798697E-2</v>
      </c>
    </row>
    <row r="33" spans="1:32" ht="15.75" thickBot="1" x14ac:dyDescent="0.3">
      <c r="A33" s="12" t="s">
        <v>7</v>
      </c>
      <c r="B33" s="15">
        <f t="shared" ref="B33:J33" si="27">B16/B$16</f>
        <v>1</v>
      </c>
      <c r="C33" s="15">
        <f t="shared" si="27"/>
        <v>1</v>
      </c>
      <c r="D33" s="15">
        <f t="shared" si="27"/>
        <v>1</v>
      </c>
      <c r="E33" s="15">
        <f t="shared" si="27"/>
        <v>1</v>
      </c>
      <c r="F33" s="15">
        <f t="shared" si="27"/>
        <v>1</v>
      </c>
      <c r="G33" s="15">
        <f t="shared" si="27"/>
        <v>1</v>
      </c>
      <c r="H33" s="15">
        <f t="shared" si="27"/>
        <v>1</v>
      </c>
      <c r="I33" s="15">
        <f t="shared" si="27"/>
        <v>1</v>
      </c>
      <c r="J33" s="15">
        <f t="shared" si="27"/>
        <v>1</v>
      </c>
      <c r="L33" s="9" t="s">
        <v>7</v>
      </c>
      <c r="M33" s="15">
        <f t="shared" ref="M33:P33" si="28">M16/M$16</f>
        <v>1</v>
      </c>
      <c r="N33" s="15">
        <f t="shared" si="28"/>
        <v>1</v>
      </c>
      <c r="O33" s="15">
        <f t="shared" si="28"/>
        <v>1</v>
      </c>
      <c r="P33" s="15">
        <f t="shared" si="28"/>
        <v>1</v>
      </c>
      <c r="Q33" s="15">
        <f t="shared" si="6"/>
        <v>1</v>
      </c>
      <c r="R33" s="15">
        <f t="shared" si="6"/>
        <v>1</v>
      </c>
      <c r="S33" s="15">
        <f t="shared" si="6"/>
        <v>1</v>
      </c>
      <c r="T33" s="15" t="e">
        <f t="shared" si="6"/>
        <v>#DIV/0!</v>
      </c>
      <c r="U33" s="15">
        <f t="shared" si="6"/>
        <v>1</v>
      </c>
    </row>
    <row r="36" spans="1:32" ht="15.75" thickBot="1" x14ac:dyDescent="0.3">
      <c r="L36" s="1" t="s">
        <v>17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25">
      <c r="L37" s="3"/>
      <c r="M37" s="32" t="s">
        <v>6</v>
      </c>
      <c r="N37" s="32"/>
      <c r="O37" s="32"/>
      <c r="P37" s="32"/>
      <c r="Q37" s="32"/>
      <c r="R37" s="32"/>
      <c r="S37" s="32"/>
      <c r="T37" s="32"/>
      <c r="U37" s="32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</row>
    <row r="39" spans="1:32" x14ac:dyDescent="0.25">
      <c r="L39" t="s">
        <v>1</v>
      </c>
      <c r="M39" s="13">
        <f t="shared" ref="M39:P44" si="29">M22-B22</f>
        <v>-5.3967469196618545E-3</v>
      </c>
      <c r="N39" s="13">
        <f t="shared" si="29"/>
        <v>-2.0910741536870947E-2</v>
      </c>
      <c r="O39" s="13">
        <f t="shared" si="29"/>
        <v>-9.5304039637324978E-2</v>
      </c>
      <c r="P39" s="13">
        <f t="shared" si="29"/>
        <v>7.5410472176387855E-2</v>
      </c>
      <c r="Q39" s="13">
        <f t="shared" ref="Q39:Q50" si="30">Q22-F22</f>
        <v>2.3317335613996855E-2</v>
      </c>
      <c r="R39" s="13">
        <f t="shared" ref="R39:R50" si="31">R22-G22</f>
        <v>0</v>
      </c>
      <c r="S39" s="13">
        <f t="shared" ref="S39:S50" si="32">S22-H22</f>
        <v>0</v>
      </c>
      <c r="T39" s="13" t="e">
        <f t="shared" ref="T39:T50" si="33">T22-I22</f>
        <v>#DIV/0!</v>
      </c>
      <c r="U39" s="13">
        <f t="shared" ref="U39:U50" si="34">U22-J22</f>
        <v>6.9772771703086045E-3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25">
      <c r="L40" t="s">
        <v>9</v>
      </c>
      <c r="M40" s="13">
        <f t="shared" si="29"/>
        <v>0</v>
      </c>
      <c r="N40" s="13">
        <f t="shared" si="29"/>
        <v>-7.1341245798897113E-3</v>
      </c>
      <c r="O40" s="13">
        <f t="shared" si="29"/>
        <v>-2.6863913437262799E-2</v>
      </c>
      <c r="P40" s="13">
        <f t="shared" si="29"/>
        <v>-5.0975999334968609E-3</v>
      </c>
      <c r="Q40" s="13">
        <f t="shared" si="30"/>
        <v>-1.4714816468589506E-2</v>
      </c>
      <c r="R40" s="13">
        <f t="shared" si="31"/>
        <v>0</v>
      </c>
      <c r="S40" s="13">
        <f t="shared" si="32"/>
        <v>0</v>
      </c>
      <c r="T40" s="13" t="e">
        <f t="shared" si="33"/>
        <v>#DIV/0!</v>
      </c>
      <c r="U40" s="13">
        <f t="shared" si="34"/>
        <v>-2.520974194831993E-3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25">
      <c r="L41" t="s">
        <v>10</v>
      </c>
      <c r="M41" s="13">
        <f t="shared" si="29"/>
        <v>0</v>
      </c>
      <c r="N41" s="13">
        <f t="shared" si="29"/>
        <v>0</v>
      </c>
      <c r="O41" s="13">
        <f t="shared" si="29"/>
        <v>9.7226323464302544E-2</v>
      </c>
      <c r="P41" s="13">
        <f t="shared" si="29"/>
        <v>1.2890887041242631E-3</v>
      </c>
      <c r="Q41" s="13">
        <f t="shared" si="30"/>
        <v>1.3448239153528739E-2</v>
      </c>
      <c r="R41" s="13">
        <f t="shared" si="31"/>
        <v>0</v>
      </c>
      <c r="S41" s="13">
        <f t="shared" si="32"/>
        <v>2.2151378867574085E-5</v>
      </c>
      <c r="T41" s="13" t="e">
        <f t="shared" si="33"/>
        <v>#DIV/0!</v>
      </c>
      <c r="U41" s="13">
        <f t="shared" si="34"/>
        <v>8.3118636249915404E-3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25">
      <c r="L42" t="s">
        <v>51</v>
      </c>
      <c r="M42" s="13">
        <f t="shared" si="29"/>
        <v>0</v>
      </c>
      <c r="N42" s="13">
        <f t="shared" si="29"/>
        <v>0</v>
      </c>
      <c r="O42" s="13">
        <f t="shared" si="29"/>
        <v>0</v>
      </c>
      <c r="P42" s="13">
        <f t="shared" si="29"/>
        <v>-1.0677457304973825E-2</v>
      </c>
      <c r="Q42" s="13">
        <f t="shared" si="30"/>
        <v>-2.7083765209506061E-2</v>
      </c>
      <c r="R42" s="13">
        <f t="shared" si="31"/>
        <v>0</v>
      </c>
      <c r="S42" s="13">
        <f t="shared" si="32"/>
        <v>0</v>
      </c>
      <c r="T42" s="13" t="e">
        <f t="shared" si="33"/>
        <v>#DIV/0!</v>
      </c>
      <c r="U42" s="13">
        <f t="shared" si="34"/>
        <v>-3.4743397684788735E-2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25">
      <c r="L43" t="s">
        <v>52</v>
      </c>
      <c r="M43" s="13">
        <f t="shared" si="29"/>
        <v>0</v>
      </c>
      <c r="N43" s="13">
        <f t="shared" si="29"/>
        <v>0</v>
      </c>
      <c r="O43" s="13">
        <f t="shared" si="29"/>
        <v>0</v>
      </c>
      <c r="P43" s="13">
        <f t="shared" si="29"/>
        <v>0</v>
      </c>
      <c r="Q43" s="13">
        <f t="shared" si="30"/>
        <v>-3.6394534357511938E-3</v>
      </c>
      <c r="R43" s="13">
        <f t="shared" si="31"/>
        <v>0</v>
      </c>
      <c r="S43" s="13">
        <f t="shared" si="32"/>
        <v>0</v>
      </c>
      <c r="T43" s="13" t="e">
        <f t="shared" si="33"/>
        <v>#DIV/0!</v>
      </c>
      <c r="U43" s="13">
        <f t="shared" si="34"/>
        <v>-3.9447293463178629E-4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25">
      <c r="L44" t="s">
        <v>53</v>
      </c>
      <c r="M44" s="13">
        <f t="shared" si="29"/>
        <v>0</v>
      </c>
      <c r="N44" s="13">
        <f t="shared" si="29"/>
        <v>0</v>
      </c>
      <c r="O44" s="13">
        <f t="shared" si="29"/>
        <v>0</v>
      </c>
      <c r="P44" s="13">
        <f t="shared" si="29"/>
        <v>0</v>
      </c>
      <c r="Q44" s="13">
        <f t="shared" si="30"/>
        <v>0</v>
      </c>
      <c r="R44" s="13">
        <f t="shared" si="31"/>
        <v>0</v>
      </c>
      <c r="S44" s="13">
        <f t="shared" si="32"/>
        <v>0</v>
      </c>
      <c r="T44" s="13" t="e">
        <f t="shared" si="33"/>
        <v>#DIV/0!</v>
      </c>
      <c r="U44" s="13">
        <f t="shared" si="34"/>
        <v>0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25">
      <c r="L45" t="s">
        <v>54</v>
      </c>
      <c r="M45" s="13">
        <f t="shared" ref="M45:M47" si="35">M28-B28</f>
        <v>0</v>
      </c>
      <c r="N45" s="13">
        <f t="shared" ref="N45:N47" si="36">N28-C28</f>
        <v>0</v>
      </c>
      <c r="O45" s="13">
        <f t="shared" ref="O45:O47" si="37">O28-D28</f>
        <v>0</v>
      </c>
      <c r="P45" s="13">
        <f t="shared" ref="P45:P47" si="38">P28-E28</f>
        <v>0</v>
      </c>
      <c r="Q45" s="13">
        <f t="shared" si="30"/>
        <v>0</v>
      </c>
      <c r="R45" s="13">
        <f t="shared" si="31"/>
        <v>0</v>
      </c>
      <c r="S45" s="13">
        <f t="shared" si="32"/>
        <v>0</v>
      </c>
      <c r="T45" s="13" t="e">
        <f t="shared" si="33"/>
        <v>#DIV/0!</v>
      </c>
      <c r="U45" s="13">
        <f t="shared" si="34"/>
        <v>0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25">
      <c r="L46" t="s">
        <v>55</v>
      </c>
      <c r="M46" s="13">
        <f t="shared" si="35"/>
        <v>0</v>
      </c>
      <c r="N46" s="13">
        <f t="shared" si="36"/>
        <v>0</v>
      </c>
      <c r="O46" s="13">
        <f t="shared" si="37"/>
        <v>0</v>
      </c>
      <c r="P46" s="13">
        <f t="shared" si="38"/>
        <v>0</v>
      </c>
      <c r="Q46" s="13">
        <f t="shared" si="30"/>
        <v>0</v>
      </c>
      <c r="R46" s="13">
        <f t="shared" si="31"/>
        <v>0</v>
      </c>
      <c r="S46" s="13">
        <f t="shared" si="32"/>
        <v>0</v>
      </c>
      <c r="T46" s="13" t="e">
        <f t="shared" si="33"/>
        <v>#DIV/0!</v>
      </c>
      <c r="U46" s="13">
        <f t="shared" si="34"/>
        <v>0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25">
      <c r="L47" t="s">
        <v>24</v>
      </c>
      <c r="M47" s="13">
        <f t="shared" si="35"/>
        <v>0</v>
      </c>
      <c r="N47" s="13">
        <f t="shared" si="36"/>
        <v>0</v>
      </c>
      <c r="O47" s="13">
        <f t="shared" si="37"/>
        <v>0</v>
      </c>
      <c r="P47" s="13">
        <f t="shared" si="38"/>
        <v>0</v>
      </c>
      <c r="Q47" s="13">
        <f t="shared" si="30"/>
        <v>0</v>
      </c>
      <c r="R47" s="13">
        <f t="shared" si="31"/>
        <v>0</v>
      </c>
      <c r="S47" s="13">
        <f t="shared" si="32"/>
        <v>0</v>
      </c>
      <c r="T47" s="13" t="e">
        <f t="shared" si="33"/>
        <v>#DIV/0!</v>
      </c>
      <c r="U47" s="13">
        <f t="shared" si="34"/>
        <v>-7.1264712993875199E-4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25">
      <c r="L48" t="s">
        <v>4</v>
      </c>
      <c r="M48" s="13">
        <f t="shared" ref="M48:P50" si="39">M31-B31</f>
        <v>7.8163996650311679E-4</v>
      </c>
      <c r="N48" s="13">
        <f t="shared" si="39"/>
        <v>-1.7526938641806602E-3</v>
      </c>
      <c r="O48" s="13">
        <f t="shared" si="39"/>
        <v>2.8211086213238436E-3</v>
      </c>
      <c r="P48" s="13">
        <f t="shared" si="39"/>
        <v>-1.1907069635617728E-3</v>
      </c>
      <c r="Q48" s="13">
        <f t="shared" si="30"/>
        <v>3.9372208285083816E-4</v>
      </c>
      <c r="R48" s="13">
        <f t="shared" si="31"/>
        <v>-2.7387617864829017E-2</v>
      </c>
      <c r="S48" s="13">
        <f t="shared" si="32"/>
        <v>0</v>
      </c>
      <c r="T48" s="13" t="e">
        <f t="shared" si="33"/>
        <v>#DIV/0!</v>
      </c>
      <c r="U48" s="13">
        <f t="shared" si="34"/>
        <v>-1.3310031318534629E-4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25">
      <c r="L49" s="4" t="s">
        <v>5</v>
      </c>
      <c r="M49" s="17">
        <f t="shared" si="39"/>
        <v>4.615106953158768E-3</v>
      </c>
      <c r="N49" s="17">
        <f t="shared" si="39"/>
        <v>2.9797559980941545E-2</v>
      </c>
      <c r="O49" s="17">
        <f t="shared" si="39"/>
        <v>2.2120520988961282E-2</v>
      </c>
      <c r="P49" s="17">
        <f t="shared" si="39"/>
        <v>-5.9733796678479549E-2</v>
      </c>
      <c r="Q49" s="17">
        <f t="shared" si="30"/>
        <v>8.2787382634702811E-3</v>
      </c>
      <c r="R49" s="17">
        <f t="shared" si="31"/>
        <v>2.7387617864829086E-2</v>
      </c>
      <c r="S49" s="17">
        <f t="shared" si="32"/>
        <v>-2.2151378867629745E-5</v>
      </c>
      <c r="T49" s="17" t="e">
        <f t="shared" si="33"/>
        <v>#DIV/0!</v>
      </c>
      <c r="U49" s="13">
        <f t="shared" si="34"/>
        <v>2.3215451462076611E-2</v>
      </c>
      <c r="X49" s="13"/>
      <c r="Y49" s="13"/>
      <c r="Z49" s="13"/>
      <c r="AA49" s="13"/>
      <c r="AB49" s="13"/>
      <c r="AC49" s="13"/>
      <c r="AD49" s="13"/>
      <c r="AE49" s="13"/>
      <c r="AF49" s="13"/>
    </row>
    <row r="50" spans="12:32" ht="15.75" thickBot="1" x14ac:dyDescent="0.3">
      <c r="L50" s="9" t="s">
        <v>7</v>
      </c>
      <c r="M50" s="15">
        <f t="shared" si="39"/>
        <v>0</v>
      </c>
      <c r="N50" s="15">
        <f t="shared" si="39"/>
        <v>0</v>
      </c>
      <c r="O50" s="15">
        <f t="shared" si="39"/>
        <v>0</v>
      </c>
      <c r="P50" s="15">
        <f t="shared" si="39"/>
        <v>0</v>
      </c>
      <c r="Q50" s="15">
        <f t="shared" si="30"/>
        <v>0</v>
      </c>
      <c r="R50" s="15">
        <f t="shared" si="31"/>
        <v>0</v>
      </c>
      <c r="S50" s="15">
        <f t="shared" si="32"/>
        <v>0</v>
      </c>
      <c r="T50" s="15" t="e">
        <f t="shared" si="33"/>
        <v>#DIV/0!</v>
      </c>
      <c r="U50" s="15">
        <f t="shared" si="34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AF50"/>
  <sheetViews>
    <sheetView workbookViewId="0"/>
  </sheetViews>
  <sheetFormatPr defaultRowHeight="15" x14ac:dyDescent="0.25"/>
  <cols>
    <col min="1" max="1" width="25" customWidth="1" collapsed="1"/>
    <col min="2" max="10" width="10.7109375" customWidth="1" collapsed="1"/>
    <col min="11" max="11" width="3.7109375" customWidth="1" collapsed="1"/>
    <col min="12" max="12" width="25" customWidth="1" collapsed="1"/>
    <col min="13" max="22" width="10.7109375" customWidth="1" collapsed="1"/>
    <col min="23" max="23" width="17" customWidth="1" collapsed="1"/>
  </cols>
  <sheetData>
    <row r="2" spans="1:21" ht="15.75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29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31" t="s">
        <v>42</v>
      </c>
      <c r="C3" s="32"/>
      <c r="D3" s="32"/>
      <c r="E3" s="32"/>
      <c r="F3" s="32"/>
      <c r="G3" s="32"/>
      <c r="H3" s="32"/>
      <c r="I3" s="32"/>
      <c r="J3" s="11"/>
      <c r="L3" s="3"/>
      <c r="M3" s="31" t="s">
        <v>42</v>
      </c>
      <c r="N3" s="32"/>
      <c r="O3" s="32"/>
      <c r="P3" s="32"/>
      <c r="Q3" s="32"/>
      <c r="R3" s="32"/>
      <c r="S3" s="32"/>
      <c r="T3" s="32"/>
      <c r="U3" s="32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>
        <v>222521.97658634812</v>
      </c>
      <c r="C5" s="6">
        <v>26014.623946637501</v>
      </c>
      <c r="D5" s="6">
        <v>7727.9109044420002</v>
      </c>
      <c r="E5" s="6">
        <v>14329.393111251</v>
      </c>
      <c r="F5" s="6">
        <v>532.92262500000004</v>
      </c>
      <c r="G5" s="6">
        <v>0</v>
      </c>
      <c r="H5" s="6">
        <v>0</v>
      </c>
      <c r="I5" s="6">
        <v>281.81762500000002</v>
      </c>
      <c r="J5" s="6">
        <f>SUM(B5:I5)</f>
        <v>271408.64479867864</v>
      </c>
      <c r="K5" s="6"/>
      <c r="L5" t="s">
        <v>1</v>
      </c>
      <c r="M5" s="6">
        <v>248601.68827238932</v>
      </c>
      <c r="N5" s="6">
        <v>18319.187050309647</v>
      </c>
      <c r="O5" s="6">
        <v>13677.2384134856</v>
      </c>
      <c r="P5" s="6">
        <v>0</v>
      </c>
      <c r="Q5" s="6">
        <v>2350.508049848122</v>
      </c>
      <c r="R5" s="6">
        <v>0</v>
      </c>
      <c r="S5" s="6">
        <v>0</v>
      </c>
      <c r="T5" s="6">
        <v>1447.5003057232034</v>
      </c>
      <c r="U5" s="6">
        <f t="shared" ref="U5:U15" si="0">SUM(M5:T5)</f>
        <v>284396.12209175591</v>
      </c>
    </row>
    <row r="6" spans="1:21" x14ac:dyDescent="0.25">
      <c r="A6" t="s">
        <v>12</v>
      </c>
      <c r="B6" s="6">
        <v>0</v>
      </c>
      <c r="C6" s="6">
        <v>290332.44550157269</v>
      </c>
      <c r="D6" s="6">
        <v>120633.021810761</v>
      </c>
      <c r="E6" s="6">
        <v>230.48097940399998</v>
      </c>
      <c r="F6" s="6">
        <v>9840.1809882788002</v>
      </c>
      <c r="G6" s="6">
        <v>0</v>
      </c>
      <c r="H6" s="6">
        <v>0</v>
      </c>
      <c r="I6" s="6">
        <v>44390.738604024002</v>
      </c>
      <c r="J6" s="6">
        <f t="shared" ref="J6:J15" si="1">SUM(B6:I6)</f>
        <v>465426.86788404052</v>
      </c>
      <c r="K6" s="6"/>
      <c r="L6" t="s">
        <v>12</v>
      </c>
      <c r="M6" s="6">
        <v>0</v>
      </c>
      <c r="N6" s="6">
        <v>351242.29230145441</v>
      </c>
      <c r="O6" s="6">
        <v>125499.4529931651</v>
      </c>
      <c r="P6" s="6">
        <v>0</v>
      </c>
      <c r="Q6" s="6">
        <v>8276.1234479394298</v>
      </c>
      <c r="R6" s="6">
        <v>0</v>
      </c>
      <c r="S6" s="6">
        <v>0</v>
      </c>
      <c r="T6" s="6">
        <v>63146.248268645038</v>
      </c>
      <c r="U6" s="6">
        <f t="shared" si="0"/>
        <v>548164.11701120401</v>
      </c>
    </row>
    <row r="7" spans="1:21" x14ac:dyDescent="0.25">
      <c r="A7" t="s">
        <v>56</v>
      </c>
      <c r="B7" s="6">
        <v>0</v>
      </c>
      <c r="C7" s="6">
        <v>0</v>
      </c>
      <c r="D7" s="6">
        <v>478701.52482161898</v>
      </c>
      <c r="E7" s="6">
        <v>9.9</v>
      </c>
      <c r="F7" s="6">
        <v>4825.156385366</v>
      </c>
      <c r="G7" s="6">
        <v>0</v>
      </c>
      <c r="H7" s="6">
        <v>0</v>
      </c>
      <c r="I7" s="6">
        <v>70380.923125000001</v>
      </c>
      <c r="J7" s="6">
        <f t="shared" si="1"/>
        <v>553917.50433198502</v>
      </c>
      <c r="K7" s="6"/>
      <c r="L7" t="s">
        <v>56</v>
      </c>
      <c r="M7" s="6">
        <v>0</v>
      </c>
      <c r="N7" s="6">
        <v>0</v>
      </c>
      <c r="O7" s="6">
        <v>498580.29331811535</v>
      </c>
      <c r="P7" s="6">
        <v>0</v>
      </c>
      <c r="Q7" s="6">
        <v>3747.8653139982598</v>
      </c>
      <c r="R7" s="6">
        <v>0</v>
      </c>
      <c r="S7" s="6">
        <v>0</v>
      </c>
      <c r="T7" s="6">
        <v>61534.238444265582</v>
      </c>
      <c r="U7" s="6">
        <f t="shared" si="0"/>
        <v>563862.39707637916</v>
      </c>
    </row>
    <row r="8" spans="1:21" x14ac:dyDescent="0.25">
      <c r="A8" t="s">
        <v>51</v>
      </c>
      <c r="B8" s="6">
        <v>0</v>
      </c>
      <c r="C8" s="6">
        <v>0</v>
      </c>
      <c r="D8" s="6">
        <v>0</v>
      </c>
      <c r="E8" s="6">
        <v>12024.887139576</v>
      </c>
      <c r="F8" s="6">
        <v>90379.797490316705</v>
      </c>
      <c r="G8" s="6">
        <v>0</v>
      </c>
      <c r="H8" s="6">
        <v>0</v>
      </c>
      <c r="I8" s="6">
        <v>10298.046276788</v>
      </c>
      <c r="J8" s="6">
        <f t="shared" si="1"/>
        <v>112702.73090668069</v>
      </c>
      <c r="K8" s="6"/>
      <c r="L8" t="s">
        <v>51</v>
      </c>
      <c r="M8" s="6">
        <v>0</v>
      </c>
      <c r="N8" s="6">
        <v>0</v>
      </c>
      <c r="O8" s="6">
        <v>0</v>
      </c>
      <c r="P8" s="6">
        <v>0</v>
      </c>
      <c r="Q8" s="6">
        <v>48769.103074141312</v>
      </c>
      <c r="R8" s="6">
        <v>0</v>
      </c>
      <c r="S8" s="6">
        <v>0</v>
      </c>
      <c r="T8" s="6">
        <v>196.45909637983232</v>
      </c>
      <c r="U8" s="6">
        <f t="shared" si="0"/>
        <v>48965.562170521145</v>
      </c>
    </row>
    <row r="9" spans="1:21" x14ac:dyDescent="0.25">
      <c r="A9" t="s">
        <v>52</v>
      </c>
      <c r="B9" s="6">
        <v>0</v>
      </c>
      <c r="C9" s="6">
        <v>0</v>
      </c>
      <c r="D9" s="6">
        <v>0</v>
      </c>
      <c r="E9" s="6">
        <v>0</v>
      </c>
      <c r="F9" s="6">
        <v>17.063749999999999</v>
      </c>
      <c r="G9" s="6">
        <v>0</v>
      </c>
      <c r="H9" s="6">
        <v>0</v>
      </c>
      <c r="I9" s="6">
        <v>0</v>
      </c>
      <c r="J9" s="6">
        <f t="shared" si="1"/>
        <v>17.063749999999999</v>
      </c>
      <c r="K9" s="6"/>
      <c r="L9" t="s">
        <v>52</v>
      </c>
      <c r="M9" s="6">
        <v>0</v>
      </c>
      <c r="N9" s="6">
        <v>0</v>
      </c>
      <c r="O9" s="6">
        <v>0</v>
      </c>
      <c r="P9" s="6">
        <v>0</v>
      </c>
      <c r="Q9" s="6">
        <v>0</v>
      </c>
      <c r="R9" s="6">
        <v>0</v>
      </c>
      <c r="S9" s="6">
        <v>0</v>
      </c>
      <c r="T9" s="6">
        <v>0</v>
      </c>
      <c r="U9" s="6">
        <f t="shared" si="0"/>
        <v>0</v>
      </c>
    </row>
    <row r="10" spans="1:21" x14ac:dyDescent="0.25">
      <c r="A10" t="s">
        <v>53</v>
      </c>
      <c r="B10" s="6">
        <v>0</v>
      </c>
      <c r="C10" s="6">
        <v>0</v>
      </c>
      <c r="D10" s="6">
        <v>0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f t="shared" si="1"/>
        <v>0</v>
      </c>
      <c r="K10" s="6"/>
      <c r="L10" t="s">
        <v>53</v>
      </c>
      <c r="M10" s="6">
        <v>0</v>
      </c>
      <c r="N10" s="6">
        <v>0</v>
      </c>
      <c r="O10" s="6">
        <v>0</v>
      </c>
      <c r="P10" s="6">
        <v>0</v>
      </c>
      <c r="Q10" s="6">
        <v>0</v>
      </c>
      <c r="R10" s="6">
        <v>0</v>
      </c>
      <c r="S10" s="6">
        <v>0</v>
      </c>
      <c r="T10" s="6">
        <v>0</v>
      </c>
      <c r="U10" s="6">
        <f t="shared" si="0"/>
        <v>0</v>
      </c>
    </row>
    <row r="11" spans="1:21" x14ac:dyDescent="0.25">
      <c r="A11" t="s">
        <v>54</v>
      </c>
      <c r="B11" s="6">
        <v>0</v>
      </c>
      <c r="C11" s="6">
        <v>0</v>
      </c>
      <c r="D11" s="6">
        <v>0</v>
      </c>
      <c r="E11" s="6">
        <v>0</v>
      </c>
      <c r="F11" s="6">
        <v>0</v>
      </c>
      <c r="G11" s="6">
        <v>0</v>
      </c>
      <c r="H11" s="6">
        <v>0</v>
      </c>
      <c r="I11" s="6">
        <v>0</v>
      </c>
      <c r="J11" s="6">
        <f t="shared" si="1"/>
        <v>0</v>
      </c>
      <c r="K11" s="6"/>
      <c r="L11" t="s">
        <v>54</v>
      </c>
      <c r="M11" s="6">
        <v>0</v>
      </c>
      <c r="N11" s="6">
        <v>0</v>
      </c>
      <c r="O11" s="6">
        <v>0</v>
      </c>
      <c r="P11" s="6">
        <v>0</v>
      </c>
      <c r="Q11" s="6">
        <v>0</v>
      </c>
      <c r="R11" s="6">
        <v>0</v>
      </c>
      <c r="S11" s="6">
        <v>0</v>
      </c>
      <c r="T11" s="6">
        <v>0</v>
      </c>
      <c r="U11" s="6">
        <f t="shared" si="0"/>
        <v>0</v>
      </c>
    </row>
    <row r="12" spans="1:21" x14ac:dyDescent="0.25">
      <c r="A12" t="s">
        <v>55</v>
      </c>
      <c r="B12" s="6">
        <v>0</v>
      </c>
      <c r="C12" s="6">
        <v>0</v>
      </c>
      <c r="D12" s="6">
        <v>0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f t="shared" si="1"/>
        <v>0</v>
      </c>
      <c r="K12" s="6"/>
      <c r="L12" t="s">
        <v>55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R12" s="6">
        <v>0</v>
      </c>
      <c r="S12" s="6">
        <v>0</v>
      </c>
      <c r="T12" s="6">
        <v>0</v>
      </c>
      <c r="U12" s="6">
        <f t="shared" si="0"/>
        <v>0</v>
      </c>
    </row>
    <row r="13" spans="1:21" x14ac:dyDescent="0.25">
      <c r="A13" t="s">
        <v>24</v>
      </c>
      <c r="B13" s="6">
        <v>0</v>
      </c>
      <c r="C13" s="6">
        <v>0</v>
      </c>
      <c r="D13" s="6">
        <v>0</v>
      </c>
      <c r="E13" s="6">
        <v>0</v>
      </c>
      <c r="F13" s="6">
        <v>0</v>
      </c>
      <c r="G13" s="6">
        <v>0</v>
      </c>
      <c r="H13" s="6">
        <v>0</v>
      </c>
      <c r="I13" s="6">
        <v>350566.74608382402</v>
      </c>
      <c r="J13" s="6">
        <f t="shared" si="1"/>
        <v>350566.74608382402</v>
      </c>
      <c r="K13" s="6"/>
      <c r="L13" t="s">
        <v>24</v>
      </c>
      <c r="M13" s="6">
        <v>0</v>
      </c>
      <c r="N13" s="6">
        <v>0</v>
      </c>
      <c r="O13" s="6">
        <v>0</v>
      </c>
      <c r="P13" s="6">
        <v>0</v>
      </c>
      <c r="Q13" s="6">
        <v>0</v>
      </c>
      <c r="R13" s="6">
        <v>0</v>
      </c>
      <c r="S13" s="6">
        <v>0</v>
      </c>
      <c r="T13" s="6">
        <v>354120.28867917665</v>
      </c>
      <c r="U13" s="6">
        <f t="shared" si="0"/>
        <v>354120.28867917665</v>
      </c>
    </row>
    <row r="14" spans="1:21" x14ac:dyDescent="0.25">
      <c r="A14" t="s">
        <v>4</v>
      </c>
      <c r="B14" s="6">
        <v>42.061250000000001</v>
      </c>
      <c r="C14" s="6">
        <v>2965.1305571600001</v>
      </c>
      <c r="D14" s="6">
        <v>996.40350000000001</v>
      </c>
      <c r="E14" s="6">
        <v>0</v>
      </c>
      <c r="F14" s="6">
        <v>1101.497262843</v>
      </c>
      <c r="G14" s="6">
        <v>22263.999937733999</v>
      </c>
      <c r="H14" s="6">
        <v>0</v>
      </c>
      <c r="I14" s="6">
        <v>1548.1312499999999</v>
      </c>
      <c r="J14" s="6">
        <f t="shared" si="1"/>
        <v>28917.223757736996</v>
      </c>
      <c r="K14" s="6"/>
      <c r="L14" t="s">
        <v>4</v>
      </c>
      <c r="M14" s="6">
        <v>606.54092963245205</v>
      </c>
      <c r="N14" s="6">
        <v>3861.988419247416</v>
      </c>
      <c r="O14" s="6">
        <v>4442.9437508992496</v>
      </c>
      <c r="P14" s="6">
        <v>0</v>
      </c>
      <c r="Q14" s="6">
        <v>1613.5235553194307</v>
      </c>
      <c r="R14" s="6">
        <v>23201.964827588068</v>
      </c>
      <c r="S14" s="6">
        <v>0</v>
      </c>
      <c r="T14" s="6">
        <v>3274.3507346248575</v>
      </c>
      <c r="U14" s="6">
        <f t="shared" si="0"/>
        <v>37001.312217311475</v>
      </c>
    </row>
    <row r="15" spans="1:21" x14ac:dyDescent="0.25">
      <c r="A15" s="4" t="s">
        <v>5</v>
      </c>
      <c r="B15" s="10">
        <v>2353.9022836912</v>
      </c>
      <c r="C15" s="10">
        <v>17727.015739480499</v>
      </c>
      <c r="D15" s="10">
        <v>22397.770899833999</v>
      </c>
      <c r="E15" s="10">
        <v>482.93124999999998</v>
      </c>
      <c r="F15" s="10">
        <v>21523.8377664279</v>
      </c>
      <c r="G15" s="10">
        <v>1203.1604532640001</v>
      </c>
      <c r="H15" s="10">
        <v>136201.38256887809</v>
      </c>
      <c r="I15" s="10">
        <v>13143.316485361</v>
      </c>
      <c r="J15" s="6">
        <f t="shared" si="1"/>
        <v>215033.31744693671</v>
      </c>
      <c r="K15" s="6"/>
      <c r="L15" s="4" t="s">
        <v>5</v>
      </c>
      <c r="M15" s="8">
        <v>6633.8394521945565</v>
      </c>
      <c r="N15" s="8">
        <v>31420.753897958941</v>
      </c>
      <c r="O15" s="8">
        <v>38439.189084893966</v>
      </c>
      <c r="P15" s="8">
        <v>0</v>
      </c>
      <c r="Q15" s="8">
        <v>16089.178809736968</v>
      </c>
      <c r="R15" s="8">
        <v>2124.9719120429163</v>
      </c>
      <c r="S15" s="8">
        <v>228225.41368941803</v>
      </c>
      <c r="T15" s="8">
        <v>38049.500871380078</v>
      </c>
      <c r="U15" s="6">
        <f t="shared" si="0"/>
        <v>360982.8477176255</v>
      </c>
    </row>
    <row r="16" spans="1:21" ht="15.75" thickBot="1" x14ac:dyDescent="0.3">
      <c r="A16" s="12" t="s">
        <v>7</v>
      </c>
      <c r="B16" s="16">
        <f t="shared" ref="B16:J16" si="2">SUM(B5:B15)</f>
        <v>224917.9401200393</v>
      </c>
      <c r="C16" s="16">
        <f t="shared" si="2"/>
        <v>337039.21574485069</v>
      </c>
      <c r="D16" s="16">
        <f t="shared" si="2"/>
        <v>630456.63193665596</v>
      </c>
      <c r="E16" s="16">
        <f t="shared" si="2"/>
        <v>27077.592480231</v>
      </c>
      <c r="F16" s="16">
        <f t="shared" si="2"/>
        <v>128220.4562682324</v>
      </c>
      <c r="G16" s="16">
        <f t="shared" si="2"/>
        <v>23467.160390998</v>
      </c>
      <c r="H16" s="16">
        <f t="shared" si="2"/>
        <v>136201.38256887809</v>
      </c>
      <c r="I16" s="16">
        <f t="shared" si="2"/>
        <v>490609.71944999701</v>
      </c>
      <c r="J16" s="16">
        <f t="shared" si="2"/>
        <v>1997990.0989598825</v>
      </c>
      <c r="L16" s="9" t="s">
        <v>7</v>
      </c>
      <c r="M16" s="16">
        <f t="shared" ref="M16:U16" si="3">SUM(M5:M15)</f>
        <v>255842.06865421633</v>
      </c>
      <c r="N16" s="16">
        <f t="shared" si="3"/>
        <v>404844.22166897048</v>
      </c>
      <c r="O16" s="16">
        <f t="shared" si="3"/>
        <v>680639.11756055942</v>
      </c>
      <c r="P16" s="16">
        <f t="shared" si="3"/>
        <v>0</v>
      </c>
      <c r="Q16" s="16">
        <f t="shared" si="3"/>
        <v>80846.302250983514</v>
      </c>
      <c r="R16" s="16">
        <f t="shared" si="3"/>
        <v>25326.936739630983</v>
      </c>
      <c r="S16" s="16">
        <f t="shared" si="3"/>
        <v>228225.41368941803</v>
      </c>
      <c r="T16" s="16">
        <f t="shared" si="3"/>
        <v>521768.5864001952</v>
      </c>
      <c r="U16" s="16">
        <f t="shared" si="3"/>
        <v>2197492.646963974</v>
      </c>
    </row>
    <row r="19" spans="1:21" ht="15.75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30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31" t="s">
        <v>42</v>
      </c>
      <c r="C20" s="32"/>
      <c r="D20" s="32"/>
      <c r="E20" s="32"/>
      <c r="F20" s="32"/>
      <c r="G20" s="32"/>
      <c r="H20" s="32"/>
      <c r="I20" s="32"/>
      <c r="J20" s="11"/>
      <c r="L20" s="3"/>
      <c r="M20" s="31" t="s">
        <v>42</v>
      </c>
      <c r="N20" s="32"/>
      <c r="O20" s="32"/>
      <c r="P20" s="32"/>
      <c r="Q20" s="32"/>
      <c r="R20" s="32"/>
      <c r="S20" s="32"/>
      <c r="T20" s="32"/>
      <c r="U20" s="32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t="shared" ref="B22:J22" si="4">B5/B$16</f>
        <v>0.98934738806334233</v>
      </c>
      <c r="C22" s="13">
        <f t="shared" si="4"/>
        <v>7.7185747922969866E-2</v>
      </c>
      <c r="D22" s="13">
        <f t="shared" si="4"/>
        <v>1.2257640752708346E-2</v>
      </c>
      <c r="E22" s="13">
        <f t="shared" si="4"/>
        <v>0.52919745807212015</v>
      </c>
      <c r="F22" s="13">
        <f t="shared" si="4"/>
        <v>4.1562995524298072E-3</v>
      </c>
      <c r="G22" s="13">
        <f t="shared" si="4"/>
        <v>0</v>
      </c>
      <c r="H22" s="13">
        <f t="shared" si="4"/>
        <v>0</v>
      </c>
      <c r="I22" s="13">
        <f t="shared" si="4"/>
        <v>5.7442324077055487E-4</v>
      </c>
      <c r="J22" s="13">
        <f t="shared" si="4"/>
        <v>0.13584083571783917</v>
      </c>
      <c r="K22" s="6"/>
      <c r="L22" t="s">
        <v>1</v>
      </c>
      <c r="M22" s="13">
        <f t="shared" ref="M22:P22" si="5">M5/M$16</f>
        <v>0.97169980519656929</v>
      </c>
      <c r="N22" s="13">
        <f t="shared" si="5"/>
        <v>4.5249965467677393E-2</v>
      </c>
      <c r="O22" s="13">
        <f t="shared" si="5"/>
        <v>2.0094699320993222E-2</v>
      </c>
      <c r="P22" s="13" t="e">
        <f t="shared" si="5"/>
        <v>#DIV/0!</v>
      </c>
      <c r="Q22" s="13">
        <f t="shared" ref="Q22:U33" si="6">Q5/Q$16</f>
        <v>2.9073785496720447E-2</v>
      </c>
      <c r="R22" s="13">
        <f t="shared" si="6"/>
        <v>0</v>
      </c>
      <c r="S22" s="13">
        <f t="shared" si="6"/>
        <v>0</v>
      </c>
      <c r="T22" s="13">
        <f t="shared" si="6"/>
        <v>2.7742189611487541E-3</v>
      </c>
      <c r="U22" s="13">
        <f t="shared" si="6"/>
        <v>0.12941846357696521</v>
      </c>
    </row>
    <row r="23" spans="1:21" x14ac:dyDescent="0.25">
      <c r="A23" t="s">
        <v>12</v>
      </c>
      <c r="B23" s="13">
        <f t="shared" ref="B23:J23" si="7">B6/B$16</f>
        <v>0</v>
      </c>
      <c r="C23" s="13">
        <f t="shared" si="7"/>
        <v>0.86142036872458039</v>
      </c>
      <c r="D23" s="13">
        <f t="shared" si="7"/>
        <v>0.19134229969188649</v>
      </c>
      <c r="E23" s="13">
        <f t="shared" si="7"/>
        <v>8.5118711928422429E-3</v>
      </c>
      <c r="F23" s="13">
        <f t="shared" si="7"/>
        <v>7.6744236252704559E-2</v>
      </c>
      <c r="G23" s="13">
        <f t="shared" si="7"/>
        <v>0</v>
      </c>
      <c r="H23" s="13">
        <f t="shared" si="7"/>
        <v>0</v>
      </c>
      <c r="I23" s="13">
        <f t="shared" si="7"/>
        <v>9.0480756585476316E-2</v>
      </c>
      <c r="J23" s="13">
        <f t="shared" si="7"/>
        <v>0.23294753468815152</v>
      </c>
      <c r="K23" s="6"/>
      <c r="L23" t="s">
        <v>12</v>
      </c>
      <c r="M23" s="13">
        <f t="shared" ref="M23:P23" si="8">M6/M$16</f>
        <v>0</v>
      </c>
      <c r="N23" s="13">
        <f t="shared" si="8"/>
        <v>0.86759863053857578</v>
      </c>
      <c r="O23" s="13">
        <f t="shared" si="8"/>
        <v>0.18438471982474453</v>
      </c>
      <c r="P23" s="13" t="e">
        <f t="shared" si="8"/>
        <v>#DIV/0!</v>
      </c>
      <c r="Q23" s="13">
        <f t="shared" si="6"/>
        <v>0.1023686083037737</v>
      </c>
      <c r="R23" s="13">
        <f t="shared" si="6"/>
        <v>0</v>
      </c>
      <c r="S23" s="13">
        <f t="shared" si="6"/>
        <v>0</v>
      </c>
      <c r="T23" s="13">
        <f t="shared" si="6"/>
        <v>0.12102347652683718</v>
      </c>
      <c r="U23" s="13">
        <f t="shared" si="6"/>
        <v>0.24944980715568724</v>
      </c>
    </row>
    <row r="24" spans="1:21" x14ac:dyDescent="0.25">
      <c r="A24" t="s">
        <v>56</v>
      </c>
      <c r="B24" s="13">
        <f t="shared" ref="B24:J24" si="9">B7/B$16</f>
        <v>0</v>
      </c>
      <c r="C24" s="13">
        <f t="shared" si="9"/>
        <v>0</v>
      </c>
      <c r="D24" s="13">
        <f t="shared" si="9"/>
        <v>0.75929334481125055</v>
      </c>
      <c r="E24" s="13">
        <f t="shared" si="9"/>
        <v>3.6561596113937611E-4</v>
      </c>
      <c r="F24" s="13">
        <f t="shared" si="9"/>
        <v>3.7631720599027918E-2</v>
      </c>
      <c r="G24" s="13">
        <f t="shared" si="9"/>
        <v>0</v>
      </c>
      <c r="H24" s="13">
        <f t="shared" si="9"/>
        <v>0</v>
      </c>
      <c r="I24" s="13">
        <f t="shared" si="9"/>
        <v>0.14345603100546245</v>
      </c>
      <c r="J24" s="13">
        <f t="shared" si="9"/>
        <v>0.27723736199711124</v>
      </c>
      <c r="K24" s="6"/>
      <c r="L24" t="s">
        <v>56</v>
      </c>
      <c r="M24" s="13">
        <f t="shared" ref="M24:P24" si="10">M7/M$16</f>
        <v>0</v>
      </c>
      <c r="N24" s="13">
        <f t="shared" si="10"/>
        <v>0</v>
      </c>
      <c r="O24" s="13">
        <f t="shared" si="10"/>
        <v>0.73251783574392415</v>
      </c>
      <c r="P24" s="13" t="e">
        <f t="shared" si="10"/>
        <v>#DIV/0!</v>
      </c>
      <c r="Q24" s="13">
        <f t="shared" si="6"/>
        <v>4.6357906418072033E-2</v>
      </c>
      <c r="R24" s="13">
        <f t="shared" si="6"/>
        <v>0</v>
      </c>
      <c r="S24" s="13">
        <f t="shared" si="6"/>
        <v>0</v>
      </c>
      <c r="T24" s="13">
        <f t="shared" si="6"/>
        <v>0.11793396545546146</v>
      </c>
      <c r="U24" s="13">
        <f t="shared" si="6"/>
        <v>0.25659353074760172</v>
      </c>
    </row>
    <row r="25" spans="1:21" x14ac:dyDescent="0.25">
      <c r="A25" t="s">
        <v>51</v>
      </c>
      <c r="B25" s="13">
        <f t="shared" ref="B25:J25" si="11">B8/B$16</f>
        <v>0</v>
      </c>
      <c r="C25" s="13">
        <f t="shared" si="11"/>
        <v>0</v>
      </c>
      <c r="D25" s="13">
        <f t="shared" si="11"/>
        <v>0</v>
      </c>
      <c r="E25" s="13">
        <f t="shared" si="11"/>
        <v>0.44408996657864669</v>
      </c>
      <c r="F25" s="13">
        <f t="shared" si="11"/>
        <v>0.70487814597419263</v>
      </c>
      <c r="G25" s="13">
        <f t="shared" si="11"/>
        <v>0</v>
      </c>
      <c r="H25" s="13">
        <f t="shared" si="11"/>
        <v>0</v>
      </c>
      <c r="I25" s="13">
        <f t="shared" si="11"/>
        <v>2.0990302206676071E-2</v>
      </c>
      <c r="J25" s="13">
        <f t="shared" si="11"/>
        <v>5.640805275529228E-2</v>
      </c>
      <c r="K25" s="6"/>
      <c r="L25" t="s">
        <v>51</v>
      </c>
      <c r="M25" s="13">
        <f t="shared" ref="M25:P25" si="12">M8/M$16</f>
        <v>0</v>
      </c>
      <c r="N25" s="13">
        <f t="shared" si="12"/>
        <v>0</v>
      </c>
      <c r="O25" s="13">
        <f t="shared" si="12"/>
        <v>0</v>
      </c>
      <c r="P25" s="13" t="e">
        <f t="shared" si="12"/>
        <v>#DIV/0!</v>
      </c>
      <c r="Q25" s="13">
        <f t="shared" si="6"/>
        <v>0.60323232746922606</v>
      </c>
      <c r="R25" s="13">
        <f t="shared" si="6"/>
        <v>0</v>
      </c>
      <c r="S25" s="13">
        <f t="shared" si="6"/>
        <v>0</v>
      </c>
      <c r="T25" s="13">
        <f t="shared" si="6"/>
        <v>3.7652534380279592E-4</v>
      </c>
      <c r="U25" s="13">
        <f t="shared" si="6"/>
        <v>2.2282469176027189E-2</v>
      </c>
    </row>
    <row r="26" spans="1:21" x14ac:dyDescent="0.25">
      <c r="A26" t="s">
        <v>52</v>
      </c>
      <c r="B26" s="13">
        <f t="shared" ref="B26:J26" si="13">B9/B$16</f>
        <v>0</v>
      </c>
      <c r="C26" s="13">
        <f t="shared" si="13"/>
        <v>0</v>
      </c>
      <c r="D26" s="13">
        <f t="shared" si="13"/>
        <v>0</v>
      </c>
      <c r="E26" s="13">
        <f t="shared" si="13"/>
        <v>0</v>
      </c>
      <c r="F26" s="13">
        <f t="shared" si="13"/>
        <v>1.3308133894254182E-4</v>
      </c>
      <c r="G26" s="13">
        <f t="shared" si="13"/>
        <v>0</v>
      </c>
      <c r="H26" s="13">
        <f t="shared" si="13"/>
        <v>0</v>
      </c>
      <c r="I26" s="13">
        <f t="shared" si="13"/>
        <v>0</v>
      </c>
      <c r="J26" s="13">
        <f t="shared" si="13"/>
        <v>8.5404577374447847E-6</v>
      </c>
      <c r="K26" s="6"/>
      <c r="L26" t="s">
        <v>52</v>
      </c>
      <c r="M26" s="13">
        <f t="shared" ref="M26:P26" si="14">M9/M$16</f>
        <v>0</v>
      </c>
      <c r="N26" s="13">
        <f t="shared" si="14"/>
        <v>0</v>
      </c>
      <c r="O26" s="13">
        <f t="shared" si="14"/>
        <v>0</v>
      </c>
      <c r="P26" s="13" t="e">
        <f t="shared" si="14"/>
        <v>#DIV/0!</v>
      </c>
      <c r="Q26" s="13">
        <f t="shared" si="6"/>
        <v>0</v>
      </c>
      <c r="R26" s="13">
        <f t="shared" si="6"/>
        <v>0</v>
      </c>
      <c r="S26" s="13">
        <f t="shared" si="6"/>
        <v>0</v>
      </c>
      <c r="T26" s="13">
        <f t="shared" si="6"/>
        <v>0</v>
      </c>
      <c r="U26" s="13">
        <f t="shared" si="6"/>
        <v>0</v>
      </c>
    </row>
    <row r="27" spans="1:21" x14ac:dyDescent="0.25">
      <c r="A27" t="s">
        <v>53</v>
      </c>
      <c r="B27" s="13">
        <f t="shared" ref="B27:J27" si="15">B10/B$16</f>
        <v>0</v>
      </c>
      <c r="C27" s="13">
        <f t="shared" si="15"/>
        <v>0</v>
      </c>
      <c r="D27" s="13">
        <f t="shared" si="15"/>
        <v>0</v>
      </c>
      <c r="E27" s="13">
        <f t="shared" si="15"/>
        <v>0</v>
      </c>
      <c r="F27" s="13">
        <f t="shared" si="15"/>
        <v>0</v>
      </c>
      <c r="G27" s="13">
        <f t="shared" si="15"/>
        <v>0</v>
      </c>
      <c r="H27" s="13">
        <f t="shared" si="15"/>
        <v>0</v>
      </c>
      <c r="I27" s="13">
        <f t="shared" si="15"/>
        <v>0</v>
      </c>
      <c r="J27" s="13">
        <f t="shared" si="15"/>
        <v>0</v>
      </c>
      <c r="K27" s="6"/>
      <c r="L27" t="s">
        <v>53</v>
      </c>
      <c r="M27" s="13">
        <f t="shared" ref="M27:P27" si="16">M10/M$16</f>
        <v>0</v>
      </c>
      <c r="N27" s="13">
        <f t="shared" si="16"/>
        <v>0</v>
      </c>
      <c r="O27" s="13">
        <f t="shared" si="16"/>
        <v>0</v>
      </c>
      <c r="P27" s="13" t="e">
        <f t="shared" si="16"/>
        <v>#DIV/0!</v>
      </c>
      <c r="Q27" s="13">
        <f t="shared" si="6"/>
        <v>0</v>
      </c>
      <c r="R27" s="13">
        <f t="shared" si="6"/>
        <v>0</v>
      </c>
      <c r="S27" s="13">
        <f t="shared" si="6"/>
        <v>0</v>
      </c>
      <c r="T27" s="13">
        <f t="shared" si="6"/>
        <v>0</v>
      </c>
      <c r="U27" s="13">
        <f t="shared" si="6"/>
        <v>0</v>
      </c>
    </row>
    <row r="28" spans="1:21" x14ac:dyDescent="0.25">
      <c r="A28" t="s">
        <v>54</v>
      </c>
      <c r="B28" s="13">
        <f t="shared" ref="B28:J28" si="17">B11/B$16</f>
        <v>0</v>
      </c>
      <c r="C28" s="13">
        <f t="shared" si="17"/>
        <v>0</v>
      </c>
      <c r="D28" s="13">
        <f t="shared" si="17"/>
        <v>0</v>
      </c>
      <c r="E28" s="13">
        <f t="shared" si="17"/>
        <v>0</v>
      </c>
      <c r="F28" s="13">
        <f t="shared" si="17"/>
        <v>0</v>
      </c>
      <c r="G28" s="13">
        <f t="shared" si="17"/>
        <v>0</v>
      </c>
      <c r="H28" s="13">
        <f t="shared" si="17"/>
        <v>0</v>
      </c>
      <c r="I28" s="13">
        <f t="shared" si="17"/>
        <v>0</v>
      </c>
      <c r="J28" s="13">
        <f t="shared" si="17"/>
        <v>0</v>
      </c>
      <c r="K28" s="6"/>
      <c r="L28" t="s">
        <v>54</v>
      </c>
      <c r="M28" s="13">
        <f t="shared" ref="M28:P28" si="18">M11/M$16</f>
        <v>0</v>
      </c>
      <c r="N28" s="13">
        <f t="shared" si="18"/>
        <v>0</v>
      </c>
      <c r="O28" s="13">
        <f t="shared" si="18"/>
        <v>0</v>
      </c>
      <c r="P28" s="13" t="e">
        <f t="shared" si="18"/>
        <v>#DIV/0!</v>
      </c>
      <c r="Q28" s="13">
        <f t="shared" si="6"/>
        <v>0</v>
      </c>
      <c r="R28" s="13">
        <f t="shared" si="6"/>
        <v>0</v>
      </c>
      <c r="S28" s="13">
        <f t="shared" si="6"/>
        <v>0</v>
      </c>
      <c r="T28" s="13">
        <f t="shared" si="6"/>
        <v>0</v>
      </c>
      <c r="U28" s="13">
        <f t="shared" si="6"/>
        <v>0</v>
      </c>
    </row>
    <row r="29" spans="1:21" x14ac:dyDescent="0.25">
      <c r="A29" t="s">
        <v>55</v>
      </c>
      <c r="B29" s="13">
        <f t="shared" ref="B29:J29" si="19">B12/B$16</f>
        <v>0</v>
      </c>
      <c r="C29" s="13">
        <f t="shared" si="19"/>
        <v>0</v>
      </c>
      <c r="D29" s="13">
        <f t="shared" si="19"/>
        <v>0</v>
      </c>
      <c r="E29" s="13">
        <f t="shared" si="19"/>
        <v>0</v>
      </c>
      <c r="F29" s="13">
        <f t="shared" si="19"/>
        <v>0</v>
      </c>
      <c r="G29" s="13">
        <f t="shared" si="19"/>
        <v>0</v>
      </c>
      <c r="H29" s="13">
        <f t="shared" si="19"/>
        <v>0</v>
      </c>
      <c r="I29" s="13">
        <f t="shared" si="19"/>
        <v>0</v>
      </c>
      <c r="J29" s="13">
        <f t="shared" si="19"/>
        <v>0</v>
      </c>
      <c r="K29" s="6"/>
      <c r="L29" t="s">
        <v>55</v>
      </c>
      <c r="M29" s="13">
        <f t="shared" ref="M29:P29" si="20">M12/M$16</f>
        <v>0</v>
      </c>
      <c r="N29" s="13">
        <f t="shared" si="20"/>
        <v>0</v>
      </c>
      <c r="O29" s="13">
        <f t="shared" si="20"/>
        <v>0</v>
      </c>
      <c r="P29" s="13" t="e">
        <f t="shared" si="20"/>
        <v>#DIV/0!</v>
      </c>
      <c r="Q29" s="13">
        <f t="shared" si="6"/>
        <v>0</v>
      </c>
      <c r="R29" s="13">
        <f t="shared" si="6"/>
        <v>0</v>
      </c>
      <c r="S29" s="13">
        <f t="shared" si="6"/>
        <v>0</v>
      </c>
      <c r="T29" s="13">
        <f t="shared" si="6"/>
        <v>0</v>
      </c>
      <c r="U29" s="13">
        <f t="shared" si="6"/>
        <v>0</v>
      </c>
    </row>
    <row r="30" spans="1:21" x14ac:dyDescent="0.25">
      <c r="A30" t="s">
        <v>24</v>
      </c>
      <c r="B30" s="13">
        <f t="shared" ref="B30:J30" si="21">B13/B$16</f>
        <v>0</v>
      </c>
      <c r="C30" s="13">
        <f t="shared" si="21"/>
        <v>0</v>
      </c>
      <c r="D30" s="13">
        <f t="shared" si="21"/>
        <v>0</v>
      </c>
      <c r="E30" s="13">
        <f t="shared" si="21"/>
        <v>0</v>
      </c>
      <c r="F30" s="13">
        <f t="shared" si="21"/>
        <v>0</v>
      </c>
      <c r="G30" s="13">
        <f t="shared" si="21"/>
        <v>0</v>
      </c>
      <c r="H30" s="13">
        <f t="shared" si="21"/>
        <v>0</v>
      </c>
      <c r="I30" s="13">
        <f t="shared" si="21"/>
        <v>0.71455320224155039</v>
      </c>
      <c r="J30" s="13">
        <f t="shared" si="21"/>
        <v>0.17545970136004313</v>
      </c>
      <c r="K30" s="6"/>
      <c r="L30" t="s">
        <v>24</v>
      </c>
      <c r="M30" s="13">
        <f t="shared" ref="M30:P30" si="22">M13/M$16</f>
        <v>0</v>
      </c>
      <c r="N30" s="13">
        <f t="shared" si="22"/>
        <v>0</v>
      </c>
      <c r="O30" s="13">
        <f t="shared" si="22"/>
        <v>0</v>
      </c>
      <c r="P30" s="13" t="e">
        <f t="shared" si="22"/>
        <v>#DIV/0!</v>
      </c>
      <c r="Q30" s="13">
        <f t="shared" si="6"/>
        <v>0</v>
      </c>
      <c r="R30" s="13">
        <f t="shared" si="6"/>
        <v>0</v>
      </c>
      <c r="S30" s="13">
        <f t="shared" si="6"/>
        <v>0</v>
      </c>
      <c r="T30" s="13">
        <f t="shared" si="6"/>
        <v>0.67869223619293795</v>
      </c>
      <c r="U30" s="13">
        <f t="shared" si="6"/>
        <v>0.16114742826030587</v>
      </c>
    </row>
    <row r="31" spans="1:21" x14ac:dyDescent="0.25">
      <c r="A31" t="s">
        <v>4</v>
      </c>
      <c r="B31" s="13">
        <f t="shared" ref="B31:J31" si="23">B14/B$16</f>
        <v>1.8700709235355703E-4</v>
      </c>
      <c r="C31" s="13">
        <f t="shared" si="23"/>
        <v>8.7975832444515817E-3</v>
      </c>
      <c r="D31" s="13">
        <f t="shared" si="23"/>
        <v>1.5804473290085273E-3</v>
      </c>
      <c r="E31" s="13">
        <f t="shared" si="23"/>
        <v>0</v>
      </c>
      <c r="F31" s="13">
        <f t="shared" si="23"/>
        <v>8.590651561391334E-3</v>
      </c>
      <c r="G31" s="13">
        <f t="shared" si="23"/>
        <v>0.94873003664620903</v>
      </c>
      <c r="H31" s="13">
        <f t="shared" si="23"/>
        <v>0</v>
      </c>
      <c r="I31" s="13">
        <f t="shared" si="23"/>
        <v>3.1555250306405428E-3</v>
      </c>
      <c r="J31" s="13">
        <f t="shared" si="23"/>
        <v>1.4473156685206188E-2</v>
      </c>
      <c r="K31" s="6"/>
      <c r="L31" t="s">
        <v>4</v>
      </c>
      <c r="M31" s="13">
        <f t="shared" ref="M31:P31" si="24">M14/M$16</f>
        <v>2.3707630759201809E-3</v>
      </c>
      <c r="N31" s="13">
        <f t="shared" si="24"/>
        <v>9.5394431056132333E-3</v>
      </c>
      <c r="O31" s="13">
        <f t="shared" si="24"/>
        <v>6.5276056522037048E-3</v>
      </c>
      <c r="P31" s="13" t="e">
        <f t="shared" si="24"/>
        <v>#DIV/0!</v>
      </c>
      <c r="Q31" s="13">
        <f t="shared" si="6"/>
        <v>1.995791409618616E-2</v>
      </c>
      <c r="R31" s="13">
        <f t="shared" si="6"/>
        <v>0.91609834486150832</v>
      </c>
      <c r="S31" s="13">
        <f t="shared" si="6"/>
        <v>0</v>
      </c>
      <c r="T31" s="13">
        <f t="shared" si="6"/>
        <v>6.2754846113204652E-3</v>
      </c>
      <c r="U31" s="13">
        <f t="shared" si="6"/>
        <v>1.6837968613197404E-2</v>
      </c>
    </row>
    <row r="32" spans="1:21" x14ac:dyDescent="0.25">
      <c r="A32" s="4" t="s">
        <v>5</v>
      </c>
      <c r="B32" s="14">
        <f t="shared" ref="B32:J32" si="25">B15/B$16</f>
        <v>1.0465604844304177E-2</v>
      </c>
      <c r="C32" s="14">
        <f t="shared" si="25"/>
        <v>5.2596300107998144E-2</v>
      </c>
      <c r="D32" s="14">
        <f t="shared" si="25"/>
        <v>3.5526267415146133E-2</v>
      </c>
      <c r="E32" s="14">
        <f t="shared" si="25"/>
        <v>1.7835088195251547E-2</v>
      </c>
      <c r="F32" s="14">
        <f t="shared" si="25"/>
        <v>0.16786586472131121</v>
      </c>
      <c r="G32" s="14">
        <f t="shared" si="25"/>
        <v>5.1269963353790873E-2</v>
      </c>
      <c r="H32" s="14">
        <f t="shared" si="25"/>
        <v>1</v>
      </c>
      <c r="I32" s="14">
        <f t="shared" si="25"/>
        <v>2.6789759689423698E-2</v>
      </c>
      <c r="J32" s="14">
        <f t="shared" si="25"/>
        <v>0.10762481633861908</v>
      </c>
      <c r="K32" s="6"/>
      <c r="L32" s="4" t="s">
        <v>5</v>
      </c>
      <c r="M32" s="14">
        <f t="shared" ref="M32:P32" si="26">M15/M$16</f>
        <v>2.5929431727510499E-2</v>
      </c>
      <c r="N32" s="14">
        <f t="shared" si="26"/>
        <v>7.7611960888133394E-2</v>
      </c>
      <c r="O32" s="14">
        <f t="shared" si="26"/>
        <v>5.6475139458134163E-2</v>
      </c>
      <c r="P32" s="14" t="e">
        <f t="shared" si="26"/>
        <v>#DIV/0!</v>
      </c>
      <c r="Q32" s="14">
        <f t="shared" si="6"/>
        <v>0.19900945821602176</v>
      </c>
      <c r="R32" s="14">
        <f t="shared" si="6"/>
        <v>8.3901655138491793E-2</v>
      </c>
      <c r="S32" s="14">
        <f t="shared" si="6"/>
        <v>1</v>
      </c>
      <c r="T32" s="14">
        <f t="shared" si="6"/>
        <v>7.2924092908491445E-2</v>
      </c>
      <c r="U32" s="14">
        <f t="shared" si="6"/>
        <v>0.1642703324702153</v>
      </c>
    </row>
    <row r="33" spans="1:32" ht="15.75" thickBot="1" x14ac:dyDescent="0.3">
      <c r="A33" s="12" t="s">
        <v>7</v>
      </c>
      <c r="B33" s="15">
        <f t="shared" ref="B33:J33" si="27">B16/B$16</f>
        <v>1</v>
      </c>
      <c r="C33" s="15">
        <f t="shared" si="27"/>
        <v>1</v>
      </c>
      <c r="D33" s="15">
        <f t="shared" si="27"/>
        <v>1</v>
      </c>
      <c r="E33" s="15">
        <f t="shared" si="27"/>
        <v>1</v>
      </c>
      <c r="F33" s="15">
        <f t="shared" si="27"/>
        <v>1</v>
      </c>
      <c r="G33" s="15">
        <f t="shared" si="27"/>
        <v>1</v>
      </c>
      <c r="H33" s="15">
        <f t="shared" si="27"/>
        <v>1</v>
      </c>
      <c r="I33" s="15">
        <f t="shared" si="27"/>
        <v>1</v>
      </c>
      <c r="J33" s="15">
        <f t="shared" si="27"/>
        <v>1</v>
      </c>
      <c r="L33" s="9" t="s">
        <v>7</v>
      </c>
      <c r="M33" s="15">
        <f t="shared" ref="M33:P33" si="28">M16/M$16</f>
        <v>1</v>
      </c>
      <c r="N33" s="15">
        <f t="shared" si="28"/>
        <v>1</v>
      </c>
      <c r="O33" s="15">
        <f t="shared" si="28"/>
        <v>1</v>
      </c>
      <c r="P33" s="15" t="e">
        <f t="shared" si="28"/>
        <v>#DIV/0!</v>
      </c>
      <c r="Q33" s="15">
        <f t="shared" si="6"/>
        <v>1</v>
      </c>
      <c r="R33" s="15">
        <f t="shared" si="6"/>
        <v>1</v>
      </c>
      <c r="S33" s="15">
        <f t="shared" si="6"/>
        <v>1</v>
      </c>
      <c r="T33" s="15">
        <f t="shared" si="6"/>
        <v>1</v>
      </c>
      <c r="U33" s="15">
        <f t="shared" si="6"/>
        <v>1</v>
      </c>
    </row>
    <row r="36" spans="1:32" ht="15.75" thickBot="1" x14ac:dyDescent="0.3">
      <c r="L36" s="1" t="s">
        <v>18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25">
      <c r="L37" s="3"/>
      <c r="M37" s="31" t="s">
        <v>42</v>
      </c>
      <c r="N37" s="32"/>
      <c r="O37" s="32"/>
      <c r="P37" s="32"/>
      <c r="Q37" s="32"/>
      <c r="R37" s="32"/>
      <c r="S37" s="32"/>
      <c r="T37" s="32"/>
      <c r="U37" s="32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</row>
    <row r="39" spans="1:32" x14ac:dyDescent="0.25">
      <c r="L39" t="s">
        <v>1</v>
      </c>
      <c r="M39" s="13">
        <f t="shared" ref="M39:P44" si="29">M22-B22</f>
        <v>-1.7647582866773037E-2</v>
      </c>
      <c r="N39" s="13">
        <f t="shared" si="29"/>
        <v>-3.1935782455292473E-2</v>
      </c>
      <c r="O39" s="13">
        <f t="shared" si="29"/>
        <v>7.8370585682848767E-3</v>
      </c>
      <c r="P39" s="13" t="e">
        <f t="shared" si="29"/>
        <v>#DIV/0!</v>
      </c>
      <c r="Q39" s="13">
        <f t="shared" ref="Q39:Q50" si="30">Q22-F22</f>
        <v>2.4917485944290642E-2</v>
      </c>
      <c r="R39" s="13">
        <f t="shared" ref="R39:R50" si="31">R22-G22</f>
        <v>0</v>
      </c>
      <c r="S39" s="13">
        <f t="shared" ref="S39:S50" si="32">S22-H22</f>
        <v>0</v>
      </c>
      <c r="T39" s="13">
        <f t="shared" ref="T39:T50" si="33">T22-I22</f>
        <v>2.199795720378199E-3</v>
      </c>
      <c r="U39" s="13">
        <f t="shared" ref="U39:U50" si="34">U22-J22</f>
        <v>-6.4223721408739609E-3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25">
      <c r="L40" t="s">
        <v>12</v>
      </c>
      <c r="M40" s="13">
        <f t="shared" si="29"/>
        <v>0</v>
      </c>
      <c r="N40" s="13">
        <f t="shared" si="29"/>
        <v>6.1782618139953893E-3</v>
      </c>
      <c r="O40" s="13">
        <f t="shared" si="29"/>
        <v>-6.9575798671419609E-3</v>
      </c>
      <c r="P40" s="13" t="e">
        <f t="shared" si="29"/>
        <v>#DIV/0!</v>
      </c>
      <c r="Q40" s="13">
        <f t="shared" si="30"/>
        <v>2.5624372051069141E-2</v>
      </c>
      <c r="R40" s="13">
        <f t="shared" si="31"/>
        <v>0</v>
      </c>
      <c r="S40" s="13">
        <f t="shared" si="32"/>
        <v>0</v>
      </c>
      <c r="T40" s="13">
        <f t="shared" si="33"/>
        <v>3.054271994136086E-2</v>
      </c>
      <c r="U40" s="13">
        <f t="shared" si="34"/>
        <v>1.6502272467535717E-2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25">
      <c r="L41" t="s">
        <v>56</v>
      </c>
      <c r="M41" s="13">
        <f t="shared" si="29"/>
        <v>0</v>
      </c>
      <c r="N41" s="13">
        <f t="shared" si="29"/>
        <v>0</v>
      </c>
      <c r="O41" s="13">
        <f t="shared" si="29"/>
        <v>-2.6775509067326397E-2</v>
      </c>
      <c r="P41" s="13" t="e">
        <f t="shared" si="29"/>
        <v>#DIV/0!</v>
      </c>
      <c r="Q41" s="13">
        <f t="shared" si="30"/>
        <v>8.7261858190441147E-3</v>
      </c>
      <c r="R41" s="13">
        <f t="shared" si="31"/>
        <v>0</v>
      </c>
      <c r="S41" s="13">
        <f t="shared" si="32"/>
        <v>0</v>
      </c>
      <c r="T41" s="13">
        <f t="shared" si="33"/>
        <v>-2.5522065550000986E-2</v>
      </c>
      <c r="U41" s="13">
        <f t="shared" si="34"/>
        <v>-2.0643831249509526E-2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25">
      <c r="L42" t="s">
        <v>51</v>
      </c>
      <c r="M42" s="13">
        <f t="shared" si="29"/>
        <v>0</v>
      </c>
      <c r="N42" s="13">
        <f t="shared" si="29"/>
        <v>0</v>
      </c>
      <c r="O42" s="13">
        <f t="shared" si="29"/>
        <v>0</v>
      </c>
      <c r="P42" s="13" t="e">
        <f t="shared" si="29"/>
        <v>#DIV/0!</v>
      </c>
      <c r="Q42" s="13">
        <f t="shared" si="30"/>
        <v>-0.10164581850496657</v>
      </c>
      <c r="R42" s="13">
        <f t="shared" si="31"/>
        <v>0</v>
      </c>
      <c r="S42" s="13">
        <f t="shared" si="32"/>
        <v>0</v>
      </c>
      <c r="T42" s="13">
        <f t="shared" si="33"/>
        <v>-2.0613776862873277E-2</v>
      </c>
      <c r="U42" s="13">
        <f t="shared" si="34"/>
        <v>-3.4125583579265095E-2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25">
      <c r="L43" t="s">
        <v>52</v>
      </c>
      <c r="M43" s="13">
        <f t="shared" si="29"/>
        <v>0</v>
      </c>
      <c r="N43" s="13">
        <f t="shared" si="29"/>
        <v>0</v>
      </c>
      <c r="O43" s="13">
        <f t="shared" si="29"/>
        <v>0</v>
      </c>
      <c r="P43" s="13" t="e">
        <f t="shared" si="29"/>
        <v>#DIV/0!</v>
      </c>
      <c r="Q43" s="13">
        <f t="shared" si="30"/>
        <v>-1.3308133894254182E-4</v>
      </c>
      <c r="R43" s="13">
        <f t="shared" si="31"/>
        <v>0</v>
      </c>
      <c r="S43" s="13">
        <f t="shared" si="32"/>
        <v>0</v>
      </c>
      <c r="T43" s="13">
        <f t="shared" si="33"/>
        <v>0</v>
      </c>
      <c r="U43" s="13">
        <f t="shared" si="34"/>
        <v>-8.5404577374447847E-6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25">
      <c r="L44" t="s">
        <v>53</v>
      </c>
      <c r="M44" s="13">
        <f t="shared" si="29"/>
        <v>0</v>
      </c>
      <c r="N44" s="13">
        <f t="shared" si="29"/>
        <v>0</v>
      </c>
      <c r="O44" s="13">
        <f t="shared" si="29"/>
        <v>0</v>
      </c>
      <c r="P44" s="13" t="e">
        <f t="shared" si="29"/>
        <v>#DIV/0!</v>
      </c>
      <c r="Q44" s="13">
        <f t="shared" si="30"/>
        <v>0</v>
      </c>
      <c r="R44" s="13">
        <f t="shared" si="31"/>
        <v>0</v>
      </c>
      <c r="S44" s="13">
        <f t="shared" si="32"/>
        <v>0</v>
      </c>
      <c r="T44" s="13">
        <f t="shared" si="33"/>
        <v>0</v>
      </c>
      <c r="U44" s="13">
        <f t="shared" si="34"/>
        <v>0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25">
      <c r="L45" t="s">
        <v>54</v>
      </c>
      <c r="M45" s="13">
        <f t="shared" ref="M45:M47" si="35">M28-B28</f>
        <v>0</v>
      </c>
      <c r="N45" s="13">
        <f t="shared" ref="N45:N47" si="36">N28-C28</f>
        <v>0</v>
      </c>
      <c r="O45" s="13">
        <f t="shared" ref="O45:O47" si="37">O28-D28</f>
        <v>0</v>
      </c>
      <c r="P45" s="13" t="e">
        <f t="shared" ref="P45:P47" si="38">P28-E28</f>
        <v>#DIV/0!</v>
      </c>
      <c r="Q45" s="13">
        <f t="shared" si="30"/>
        <v>0</v>
      </c>
      <c r="R45" s="13">
        <f t="shared" si="31"/>
        <v>0</v>
      </c>
      <c r="S45" s="13">
        <f t="shared" si="32"/>
        <v>0</v>
      </c>
      <c r="T45" s="13">
        <f t="shared" si="33"/>
        <v>0</v>
      </c>
      <c r="U45" s="13">
        <f t="shared" si="34"/>
        <v>0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25">
      <c r="L46" t="s">
        <v>55</v>
      </c>
      <c r="M46" s="13">
        <f t="shared" si="35"/>
        <v>0</v>
      </c>
      <c r="N46" s="13">
        <f t="shared" si="36"/>
        <v>0</v>
      </c>
      <c r="O46" s="13">
        <f t="shared" si="37"/>
        <v>0</v>
      </c>
      <c r="P46" s="13" t="e">
        <f t="shared" si="38"/>
        <v>#DIV/0!</v>
      </c>
      <c r="Q46" s="13">
        <f t="shared" si="30"/>
        <v>0</v>
      </c>
      <c r="R46" s="13">
        <f t="shared" si="31"/>
        <v>0</v>
      </c>
      <c r="S46" s="13">
        <f t="shared" si="32"/>
        <v>0</v>
      </c>
      <c r="T46" s="13">
        <f t="shared" si="33"/>
        <v>0</v>
      </c>
      <c r="U46" s="13">
        <f t="shared" si="34"/>
        <v>0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25">
      <c r="L47" t="s">
        <v>24</v>
      </c>
      <c r="M47" s="13">
        <f t="shared" si="35"/>
        <v>0</v>
      </c>
      <c r="N47" s="13">
        <f t="shared" si="36"/>
        <v>0</v>
      </c>
      <c r="O47" s="13">
        <f t="shared" si="37"/>
        <v>0</v>
      </c>
      <c r="P47" s="13" t="e">
        <f t="shared" si="38"/>
        <v>#DIV/0!</v>
      </c>
      <c r="Q47" s="13">
        <f t="shared" si="30"/>
        <v>0</v>
      </c>
      <c r="R47" s="13">
        <f t="shared" si="31"/>
        <v>0</v>
      </c>
      <c r="S47" s="13">
        <f t="shared" si="32"/>
        <v>0</v>
      </c>
      <c r="T47" s="13">
        <f t="shared" si="33"/>
        <v>-3.5860966048612442E-2</v>
      </c>
      <c r="U47" s="13">
        <f t="shared" si="34"/>
        <v>-1.431227309973726E-2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25">
      <c r="L48" t="s">
        <v>4</v>
      </c>
      <c r="M48" s="13">
        <f t="shared" ref="M48:P50" si="39">M31-B31</f>
        <v>2.1837559835666239E-3</v>
      </c>
      <c r="N48" s="13">
        <f t="shared" si="39"/>
        <v>7.4185986116165163E-4</v>
      </c>
      <c r="O48" s="13">
        <f t="shared" si="39"/>
        <v>4.9471583231951773E-3</v>
      </c>
      <c r="P48" s="13" t="e">
        <f t="shared" si="39"/>
        <v>#DIV/0!</v>
      </c>
      <c r="Q48" s="13">
        <f t="shared" si="30"/>
        <v>1.1367262534794826E-2</v>
      </c>
      <c r="R48" s="13">
        <f t="shared" si="31"/>
        <v>-3.2631691784700712E-2</v>
      </c>
      <c r="S48" s="13">
        <f t="shared" si="32"/>
        <v>0</v>
      </c>
      <c r="T48" s="13">
        <f t="shared" si="33"/>
        <v>3.1199595806799224E-3</v>
      </c>
      <c r="U48" s="13">
        <f t="shared" si="34"/>
        <v>2.3648119279912165E-3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25">
      <c r="L49" s="4" t="s">
        <v>5</v>
      </c>
      <c r="M49" s="17">
        <f t="shared" si="39"/>
        <v>1.5463826883206322E-2</v>
      </c>
      <c r="N49" s="17">
        <f t="shared" si="39"/>
        <v>2.501566078013525E-2</v>
      </c>
      <c r="O49" s="17">
        <f t="shared" si="39"/>
        <v>2.094887204298803E-2</v>
      </c>
      <c r="P49" s="17" t="e">
        <f t="shared" si="39"/>
        <v>#DIV/0!</v>
      </c>
      <c r="Q49" s="17">
        <f t="shared" si="30"/>
        <v>3.1143593494710547E-2</v>
      </c>
      <c r="R49" s="17">
        <f t="shared" si="31"/>
        <v>3.263169178470092E-2</v>
      </c>
      <c r="S49" s="17">
        <f t="shared" si="32"/>
        <v>0</v>
      </c>
      <c r="T49" s="17">
        <f t="shared" si="33"/>
        <v>4.613433321906775E-2</v>
      </c>
      <c r="U49" s="13">
        <f t="shared" si="34"/>
        <v>5.6645516131596227E-2</v>
      </c>
      <c r="X49" s="13"/>
      <c r="Y49" s="13"/>
      <c r="Z49" s="13"/>
      <c r="AA49" s="13"/>
      <c r="AB49" s="13"/>
      <c r="AC49" s="13"/>
      <c r="AD49" s="13"/>
      <c r="AE49" s="13"/>
      <c r="AF49" s="13"/>
    </row>
    <row r="50" spans="12:32" ht="15.75" thickBot="1" x14ac:dyDescent="0.3">
      <c r="L50" s="9" t="s">
        <v>7</v>
      </c>
      <c r="M50" s="15">
        <f t="shared" si="39"/>
        <v>0</v>
      </c>
      <c r="N50" s="15">
        <f t="shared" si="39"/>
        <v>0</v>
      </c>
      <c r="O50" s="15">
        <f t="shared" si="39"/>
        <v>0</v>
      </c>
      <c r="P50" s="15" t="e">
        <f t="shared" si="39"/>
        <v>#DIV/0!</v>
      </c>
      <c r="Q50" s="15">
        <f t="shared" si="30"/>
        <v>0</v>
      </c>
      <c r="R50" s="15">
        <f t="shared" si="31"/>
        <v>0</v>
      </c>
      <c r="S50" s="15">
        <f t="shared" si="32"/>
        <v>0</v>
      </c>
      <c r="T50" s="15">
        <f t="shared" si="33"/>
        <v>0</v>
      </c>
      <c r="U50" s="15">
        <f t="shared" si="34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AF50"/>
  <sheetViews>
    <sheetView zoomScaleNormal="100" workbookViewId="0"/>
  </sheetViews>
  <sheetFormatPr defaultRowHeight="15" x14ac:dyDescent="0.25"/>
  <cols>
    <col min="1" max="1" width="25" customWidth="1" collapsed="1"/>
    <col min="2" max="10" width="10.7109375" customWidth="1" collapsed="1"/>
    <col min="11" max="11" width="3.7109375" customWidth="1" collapsed="1"/>
    <col min="12" max="12" width="25" customWidth="1" collapsed="1"/>
    <col min="13" max="22" width="10.7109375" customWidth="1" collapsed="1"/>
    <col min="23" max="23" width="17" customWidth="1" collapsed="1"/>
  </cols>
  <sheetData>
    <row r="2" spans="1:21" ht="15.75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31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31" t="s">
        <v>43</v>
      </c>
      <c r="C3" s="31"/>
      <c r="D3" s="31"/>
      <c r="E3" s="31"/>
      <c r="F3" s="31"/>
      <c r="G3" s="31"/>
      <c r="H3" s="31"/>
      <c r="I3" s="31"/>
      <c r="J3" s="11"/>
      <c r="L3" s="3"/>
      <c r="M3" s="31" t="s">
        <v>43</v>
      </c>
      <c r="N3" s="31"/>
      <c r="O3" s="31"/>
      <c r="P3" s="31"/>
      <c r="Q3" s="31"/>
      <c r="R3" s="31"/>
      <c r="S3" s="31"/>
      <c r="T3" s="31"/>
      <c r="U3" s="31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>
        <v>52927.360526452401</v>
      </c>
      <c r="C5" s="6">
        <v>396390.4821353514</v>
      </c>
      <c r="D5" s="6">
        <v>146937.1248664695</v>
      </c>
      <c r="E5" s="6">
        <v>373.06785655599998</v>
      </c>
      <c r="F5" s="6">
        <v>298.02645089959998</v>
      </c>
      <c r="G5" s="6">
        <v>0</v>
      </c>
      <c r="H5" s="6">
        <v>0</v>
      </c>
      <c r="I5" s="6">
        <v>0</v>
      </c>
      <c r="J5" s="6">
        <f>SUM(B5:I5)</f>
        <v>596926.06183572893</v>
      </c>
      <c r="K5" s="6"/>
      <c r="L5" t="s">
        <v>1</v>
      </c>
      <c r="M5" s="6">
        <v>27401.805422948677</v>
      </c>
      <c r="N5" s="6">
        <v>279765.50833392411</v>
      </c>
      <c r="O5" s="6">
        <v>163313.27884017772</v>
      </c>
      <c r="P5" s="6">
        <v>0</v>
      </c>
      <c r="Q5" s="6">
        <v>0</v>
      </c>
      <c r="R5" s="6">
        <v>0</v>
      </c>
      <c r="S5" s="6">
        <v>0</v>
      </c>
      <c r="T5" s="6">
        <v>0</v>
      </c>
      <c r="U5" s="6">
        <f t="shared" ref="U5:U15" si="0">SUM(M5:T5)</f>
        <v>470480.59259705048</v>
      </c>
    </row>
    <row r="6" spans="1:21" x14ac:dyDescent="0.25">
      <c r="A6" t="s">
        <v>12</v>
      </c>
      <c r="B6" s="6">
        <v>0</v>
      </c>
      <c r="C6" s="6">
        <v>433849.19646753109</v>
      </c>
      <c r="D6" s="6">
        <v>251550.00972095551</v>
      </c>
      <c r="E6" s="6">
        <v>0</v>
      </c>
      <c r="F6" s="6">
        <v>688.32998415669999</v>
      </c>
      <c r="G6" s="6">
        <v>0</v>
      </c>
      <c r="H6" s="6">
        <v>0</v>
      </c>
      <c r="I6" s="6">
        <v>659.63149999999996</v>
      </c>
      <c r="J6" s="6">
        <f t="shared" ref="J6:J15" si="1">SUM(B6:I6)</f>
        <v>686747.16767264332</v>
      </c>
      <c r="K6" s="6"/>
      <c r="L6" t="s">
        <v>12</v>
      </c>
      <c r="M6" s="6">
        <v>0</v>
      </c>
      <c r="N6" s="6">
        <v>533148.03933326015</v>
      </c>
      <c r="O6" s="6">
        <v>151928.77203486898</v>
      </c>
      <c r="P6" s="6">
        <v>0</v>
      </c>
      <c r="Q6" s="6">
        <v>0</v>
      </c>
      <c r="R6" s="6">
        <v>0</v>
      </c>
      <c r="S6" s="6">
        <v>0</v>
      </c>
      <c r="T6" s="6">
        <v>0</v>
      </c>
      <c r="U6" s="6">
        <f t="shared" si="0"/>
        <v>685076.8113681291</v>
      </c>
    </row>
    <row r="7" spans="1:21" x14ac:dyDescent="0.25">
      <c r="A7" t="s">
        <v>56</v>
      </c>
      <c r="B7" s="6">
        <v>0</v>
      </c>
      <c r="C7" s="6">
        <v>0</v>
      </c>
      <c r="D7" s="6">
        <v>532459.03059259721</v>
      </c>
      <c r="E7" s="6">
        <v>0</v>
      </c>
      <c r="F7" s="6">
        <v>0</v>
      </c>
      <c r="G7" s="6">
        <v>0</v>
      </c>
      <c r="H7" s="6">
        <v>0</v>
      </c>
      <c r="I7" s="6">
        <v>0</v>
      </c>
      <c r="J7" s="6">
        <f t="shared" si="1"/>
        <v>532459.03059259721</v>
      </c>
      <c r="K7" s="6"/>
      <c r="L7" t="s">
        <v>56</v>
      </c>
      <c r="M7" s="6">
        <v>0</v>
      </c>
      <c r="N7" s="6">
        <v>0</v>
      </c>
      <c r="O7" s="6">
        <v>564319.55715387478</v>
      </c>
      <c r="P7" s="6">
        <v>0</v>
      </c>
      <c r="Q7" s="6">
        <v>0</v>
      </c>
      <c r="R7" s="6">
        <v>0</v>
      </c>
      <c r="S7" s="6">
        <v>0</v>
      </c>
      <c r="T7" s="6">
        <v>0</v>
      </c>
      <c r="U7" s="6">
        <f t="shared" si="0"/>
        <v>564319.55715387478</v>
      </c>
    </row>
    <row r="8" spans="1:21" x14ac:dyDescent="0.25">
      <c r="A8" t="s">
        <v>51</v>
      </c>
      <c r="B8" s="6">
        <v>0</v>
      </c>
      <c r="C8" s="6">
        <v>0</v>
      </c>
      <c r="D8" s="6">
        <v>0</v>
      </c>
      <c r="E8" s="6">
        <v>373.06785655599998</v>
      </c>
      <c r="F8" s="6">
        <v>7070.4351366924993</v>
      </c>
      <c r="G8" s="6">
        <v>0</v>
      </c>
      <c r="H8" s="6">
        <v>0</v>
      </c>
      <c r="I8" s="6">
        <v>0</v>
      </c>
      <c r="J8" s="6">
        <f t="shared" si="1"/>
        <v>7443.5029932484995</v>
      </c>
      <c r="K8" s="6"/>
      <c r="L8" t="s">
        <v>51</v>
      </c>
      <c r="M8" s="6">
        <v>0</v>
      </c>
      <c r="N8" s="6">
        <v>0</v>
      </c>
      <c r="O8" s="6">
        <v>0</v>
      </c>
      <c r="P8" s="6">
        <v>0</v>
      </c>
      <c r="Q8" s="6">
        <v>0</v>
      </c>
      <c r="R8" s="6">
        <v>0</v>
      </c>
      <c r="S8" s="6">
        <v>0</v>
      </c>
      <c r="T8" s="6">
        <v>0</v>
      </c>
      <c r="U8" s="6">
        <f t="shared" si="0"/>
        <v>0</v>
      </c>
    </row>
    <row r="9" spans="1:21" x14ac:dyDescent="0.25">
      <c r="A9" t="s">
        <v>52</v>
      </c>
      <c r="B9" s="6">
        <v>0</v>
      </c>
      <c r="C9" s="6">
        <v>0</v>
      </c>
      <c r="D9" s="6">
        <v>0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f t="shared" si="1"/>
        <v>0</v>
      </c>
      <c r="K9" s="6"/>
      <c r="L9" t="s">
        <v>52</v>
      </c>
      <c r="M9" s="6">
        <v>0</v>
      </c>
      <c r="N9" s="6">
        <v>0</v>
      </c>
      <c r="O9" s="6">
        <v>0</v>
      </c>
      <c r="P9" s="6">
        <v>0</v>
      </c>
      <c r="Q9" s="6">
        <v>0</v>
      </c>
      <c r="R9" s="6">
        <v>0</v>
      </c>
      <c r="S9" s="6">
        <v>0</v>
      </c>
      <c r="T9" s="6">
        <v>0</v>
      </c>
      <c r="U9" s="6">
        <f t="shared" si="0"/>
        <v>0</v>
      </c>
    </row>
    <row r="10" spans="1:21" x14ac:dyDescent="0.25">
      <c r="A10" t="s">
        <v>53</v>
      </c>
      <c r="B10" s="6">
        <v>0</v>
      </c>
      <c r="C10" s="6">
        <v>0</v>
      </c>
      <c r="D10" s="6">
        <v>0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f t="shared" si="1"/>
        <v>0</v>
      </c>
      <c r="K10" s="6"/>
      <c r="L10" t="s">
        <v>53</v>
      </c>
      <c r="M10" s="6">
        <v>0</v>
      </c>
      <c r="N10" s="6">
        <v>0</v>
      </c>
      <c r="O10" s="6">
        <v>0</v>
      </c>
      <c r="P10" s="6">
        <v>0</v>
      </c>
      <c r="Q10" s="6">
        <v>0</v>
      </c>
      <c r="R10" s="6">
        <v>0</v>
      </c>
      <c r="S10" s="6">
        <v>0</v>
      </c>
      <c r="T10" s="6">
        <v>0</v>
      </c>
      <c r="U10" s="6">
        <f t="shared" si="0"/>
        <v>0</v>
      </c>
    </row>
    <row r="11" spans="1:21" x14ac:dyDescent="0.25">
      <c r="A11" t="s">
        <v>54</v>
      </c>
      <c r="B11" s="6">
        <v>0</v>
      </c>
      <c r="C11" s="6">
        <v>0</v>
      </c>
      <c r="D11" s="6">
        <v>0</v>
      </c>
      <c r="E11" s="6">
        <v>0</v>
      </c>
      <c r="F11" s="6">
        <v>0</v>
      </c>
      <c r="G11" s="6">
        <v>0</v>
      </c>
      <c r="H11" s="6">
        <v>0</v>
      </c>
      <c r="I11" s="6">
        <v>0</v>
      </c>
      <c r="J11" s="6">
        <f t="shared" si="1"/>
        <v>0</v>
      </c>
      <c r="K11" s="6"/>
      <c r="L11" t="s">
        <v>54</v>
      </c>
      <c r="M11" s="6">
        <v>0</v>
      </c>
      <c r="N11" s="6">
        <v>0</v>
      </c>
      <c r="O11" s="6">
        <v>0</v>
      </c>
      <c r="P11" s="6">
        <v>0</v>
      </c>
      <c r="Q11" s="6">
        <v>0</v>
      </c>
      <c r="R11" s="6">
        <v>0</v>
      </c>
      <c r="S11" s="6">
        <v>0</v>
      </c>
      <c r="T11" s="6">
        <v>0</v>
      </c>
      <c r="U11" s="6">
        <f t="shared" si="0"/>
        <v>0</v>
      </c>
    </row>
    <row r="12" spans="1:21" x14ac:dyDescent="0.25">
      <c r="A12" t="s">
        <v>55</v>
      </c>
      <c r="B12" s="6">
        <v>0</v>
      </c>
      <c r="C12" s="6">
        <v>0</v>
      </c>
      <c r="D12" s="6">
        <v>0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f t="shared" si="1"/>
        <v>0</v>
      </c>
      <c r="K12" s="6"/>
      <c r="L12" t="s">
        <v>55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R12" s="6">
        <v>0</v>
      </c>
      <c r="S12" s="6">
        <v>0</v>
      </c>
      <c r="T12" s="6">
        <v>0</v>
      </c>
      <c r="U12" s="6">
        <f t="shared" si="0"/>
        <v>0</v>
      </c>
    </row>
    <row r="13" spans="1:21" x14ac:dyDescent="0.25">
      <c r="A13" t="s">
        <v>24</v>
      </c>
      <c r="B13" s="6">
        <v>0</v>
      </c>
      <c r="C13" s="6">
        <v>0</v>
      </c>
      <c r="D13" s="6">
        <v>0</v>
      </c>
      <c r="E13" s="6">
        <v>0</v>
      </c>
      <c r="F13" s="6">
        <v>0</v>
      </c>
      <c r="G13" s="6">
        <v>0</v>
      </c>
      <c r="H13" s="6">
        <v>0</v>
      </c>
      <c r="I13" s="6">
        <v>1978.8944999999999</v>
      </c>
      <c r="J13" s="6">
        <f t="shared" si="1"/>
        <v>1978.8944999999999</v>
      </c>
      <c r="K13" s="6"/>
      <c r="L13" t="s">
        <v>24</v>
      </c>
      <c r="M13" s="6">
        <v>0</v>
      </c>
      <c r="N13" s="6">
        <v>0</v>
      </c>
      <c r="O13" s="6">
        <v>0</v>
      </c>
      <c r="P13" s="6">
        <v>0</v>
      </c>
      <c r="Q13" s="6">
        <v>0</v>
      </c>
      <c r="R13" s="6">
        <v>0</v>
      </c>
      <c r="S13" s="6">
        <v>0</v>
      </c>
      <c r="T13" s="6">
        <v>0</v>
      </c>
      <c r="U13" s="6">
        <f t="shared" si="0"/>
        <v>0</v>
      </c>
    </row>
    <row r="14" spans="1:21" x14ac:dyDescent="0.25">
      <c r="A14" t="s">
        <v>4</v>
      </c>
      <c r="B14" s="6">
        <v>0</v>
      </c>
      <c r="C14" s="6">
        <v>5674.0894081837996</v>
      </c>
      <c r="D14" s="6">
        <v>166.03510658900001</v>
      </c>
      <c r="E14" s="6">
        <v>0</v>
      </c>
      <c r="F14" s="6">
        <v>0</v>
      </c>
      <c r="G14" s="6">
        <v>5171.3558293272999</v>
      </c>
      <c r="H14" s="6">
        <v>0</v>
      </c>
      <c r="I14" s="6">
        <v>0</v>
      </c>
      <c r="J14" s="6">
        <f t="shared" si="1"/>
        <v>11011.480344100099</v>
      </c>
      <c r="K14" s="6"/>
      <c r="L14" t="s">
        <v>4</v>
      </c>
      <c r="M14" s="6">
        <v>1.9968152866241999</v>
      </c>
      <c r="N14" s="6">
        <v>5931.5336423993167</v>
      </c>
      <c r="O14" s="6">
        <v>6935.2017066446915</v>
      </c>
      <c r="P14" s="6">
        <v>0</v>
      </c>
      <c r="Q14" s="6">
        <v>0</v>
      </c>
      <c r="R14" s="6">
        <v>9022.8478801018482</v>
      </c>
      <c r="S14" s="6">
        <v>0</v>
      </c>
      <c r="T14" s="6">
        <v>0</v>
      </c>
      <c r="U14" s="6">
        <f t="shared" si="0"/>
        <v>21891.580044432478</v>
      </c>
    </row>
    <row r="15" spans="1:21" x14ac:dyDescent="0.25">
      <c r="A15" s="4" t="s">
        <v>5</v>
      </c>
      <c r="B15" s="10">
        <v>4326.0869408460003</v>
      </c>
      <c r="C15" s="10">
        <v>9552.7248647721008</v>
      </c>
      <c r="D15" s="10">
        <v>32795.038366467197</v>
      </c>
      <c r="E15" s="10">
        <v>373.06785655599998</v>
      </c>
      <c r="F15" s="10">
        <v>234.56112695000002</v>
      </c>
      <c r="G15" s="10">
        <v>369.70305224600003</v>
      </c>
      <c r="H15" s="10">
        <v>71252.322991597801</v>
      </c>
      <c r="I15" s="10">
        <v>0</v>
      </c>
      <c r="J15" s="6">
        <f t="shared" si="1"/>
        <v>118903.50519943509</v>
      </c>
      <c r="K15" s="6"/>
      <c r="L15" s="4" t="s">
        <v>5</v>
      </c>
      <c r="M15" s="8">
        <v>96.654551981782518</v>
      </c>
      <c r="N15" s="8">
        <v>37979.324522162387</v>
      </c>
      <c r="O15" s="8">
        <v>38155.534964551924</v>
      </c>
      <c r="P15" s="8">
        <v>0</v>
      </c>
      <c r="Q15" s="8">
        <v>0</v>
      </c>
      <c r="R15" s="8">
        <v>282.96212153617103</v>
      </c>
      <c r="S15" s="8">
        <v>52761.213925474731</v>
      </c>
      <c r="T15" s="8">
        <v>0</v>
      </c>
      <c r="U15" s="6">
        <f t="shared" si="0"/>
        <v>129275.690085707</v>
      </c>
    </row>
    <row r="16" spans="1:21" ht="15.75" thickBot="1" x14ac:dyDescent="0.3">
      <c r="A16" s="12" t="s">
        <v>7</v>
      </c>
      <c r="B16" s="16">
        <f t="shared" ref="B16:J16" si="2">SUM(B5:B15)</f>
        <v>57253.4474672984</v>
      </c>
      <c r="C16" s="16">
        <f t="shared" si="2"/>
        <v>845466.4928758383</v>
      </c>
      <c r="D16" s="16">
        <f t="shared" si="2"/>
        <v>963907.23865307844</v>
      </c>
      <c r="E16" s="16">
        <f t="shared" si="2"/>
        <v>1119.203569668</v>
      </c>
      <c r="F16" s="16">
        <f t="shared" si="2"/>
        <v>8291.3526986987999</v>
      </c>
      <c r="G16" s="16">
        <f t="shared" si="2"/>
        <v>5541.0588815732999</v>
      </c>
      <c r="H16" s="16">
        <f t="shared" si="2"/>
        <v>71252.322991597801</v>
      </c>
      <c r="I16" s="16">
        <f t="shared" si="2"/>
        <v>2638.5259999999998</v>
      </c>
      <c r="J16" s="16">
        <f t="shared" si="2"/>
        <v>1955469.6431377532</v>
      </c>
      <c r="L16" s="9" t="s">
        <v>7</v>
      </c>
      <c r="M16" s="16">
        <f t="shared" ref="M16:U16" si="3">SUM(M5:M15)</f>
        <v>27500.456790217082</v>
      </c>
      <c r="N16" s="16">
        <f t="shared" si="3"/>
        <v>856824.40583174606</v>
      </c>
      <c r="O16" s="16">
        <f t="shared" si="3"/>
        <v>924652.34470011818</v>
      </c>
      <c r="P16" s="16">
        <f t="shared" si="3"/>
        <v>0</v>
      </c>
      <c r="Q16" s="16">
        <f t="shared" si="3"/>
        <v>0</v>
      </c>
      <c r="R16" s="16">
        <f t="shared" si="3"/>
        <v>9305.8100016380195</v>
      </c>
      <c r="S16" s="16">
        <f t="shared" si="3"/>
        <v>52761.213925474731</v>
      </c>
      <c r="T16" s="16">
        <f t="shared" si="3"/>
        <v>0</v>
      </c>
      <c r="U16" s="16">
        <f t="shared" si="3"/>
        <v>1871044.2312491939</v>
      </c>
    </row>
    <row r="19" spans="1:21" ht="15.75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32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31" t="s">
        <v>43</v>
      </c>
      <c r="C20" s="31"/>
      <c r="D20" s="31"/>
      <c r="E20" s="31"/>
      <c r="F20" s="31"/>
      <c r="G20" s="31"/>
      <c r="H20" s="31"/>
      <c r="I20" s="31"/>
      <c r="J20" s="11"/>
      <c r="L20" s="3"/>
      <c r="M20" s="31" t="s">
        <v>43</v>
      </c>
      <c r="N20" s="31"/>
      <c r="O20" s="31"/>
      <c r="P20" s="31"/>
      <c r="Q20" s="31"/>
      <c r="R20" s="31"/>
      <c r="S20" s="31"/>
      <c r="T20" s="31"/>
      <c r="U20" s="31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t="shared" ref="B22:J22" si="4">B5/B$16</f>
        <v>0.92443971267726821</v>
      </c>
      <c r="C22" s="13">
        <f t="shared" si="4"/>
        <v>0.46884233198531222</v>
      </c>
      <c r="D22" s="13">
        <f t="shared" si="4"/>
        <v>0.15243907190882078</v>
      </c>
      <c r="E22" s="13">
        <f t="shared" si="4"/>
        <v>0.33333333333333331</v>
      </c>
      <c r="F22" s="13">
        <f t="shared" si="4"/>
        <v>3.5944249597097785E-2</v>
      </c>
      <c r="G22" s="13">
        <f t="shared" si="4"/>
        <v>0</v>
      </c>
      <c r="H22" s="13">
        <f t="shared" si="4"/>
        <v>0</v>
      </c>
      <c r="I22" s="13">
        <f t="shared" si="4"/>
        <v>0</v>
      </c>
      <c r="J22" s="13">
        <f t="shared" si="4"/>
        <v>0.30525969243782242</v>
      </c>
      <c r="K22" s="6"/>
      <c r="L22" t="s">
        <v>1</v>
      </c>
      <c r="M22" s="13">
        <f t="shared" ref="M22:P22" si="5">M5/M$16</f>
        <v>0.99641273714029732</v>
      </c>
      <c r="N22" s="13">
        <f t="shared" si="5"/>
        <v>0.32651440181882663</v>
      </c>
      <c r="O22" s="13">
        <f t="shared" si="5"/>
        <v>0.17662127801465019</v>
      </c>
      <c r="P22" s="13" t="e">
        <f t="shared" si="5"/>
        <v>#DIV/0!</v>
      </c>
      <c r="Q22" s="13" t="e">
        <f t="shared" ref="Q22:U33" si="6">Q5/Q$16</f>
        <v>#DIV/0!</v>
      </c>
      <c r="R22" s="13">
        <f t="shared" si="6"/>
        <v>0</v>
      </c>
      <c r="S22" s="13">
        <f t="shared" si="6"/>
        <v>0</v>
      </c>
      <c r="T22" s="13" t="e">
        <f t="shared" si="6"/>
        <v>#DIV/0!</v>
      </c>
      <c r="U22" s="13">
        <f t="shared" si="6"/>
        <v>0.2514534850322252</v>
      </c>
    </row>
    <row r="23" spans="1:21" x14ac:dyDescent="0.25">
      <c r="A23" t="s">
        <v>12</v>
      </c>
      <c r="B23" s="13">
        <f t="shared" ref="B23:J23" si="7">B6/B$16</f>
        <v>0</v>
      </c>
      <c r="C23" s="13">
        <f t="shared" si="7"/>
        <v>0.51314771208945398</v>
      </c>
      <c r="D23" s="13">
        <f t="shared" si="7"/>
        <v>0.26096910535961992</v>
      </c>
      <c r="E23" s="13">
        <f t="shared" si="7"/>
        <v>0</v>
      </c>
      <c r="F23" s="13">
        <f t="shared" si="7"/>
        <v>8.3017814965792344E-2</v>
      </c>
      <c r="G23" s="13">
        <f t="shared" si="7"/>
        <v>0</v>
      </c>
      <c r="H23" s="13">
        <f t="shared" si="7"/>
        <v>0</v>
      </c>
      <c r="I23" s="13">
        <f t="shared" si="7"/>
        <v>0.25</v>
      </c>
      <c r="J23" s="13">
        <f t="shared" si="7"/>
        <v>0.35119295770334052</v>
      </c>
      <c r="K23" s="6"/>
      <c r="L23" t="s">
        <v>12</v>
      </c>
      <c r="M23" s="13">
        <f t="shared" ref="M23:P23" si="8">M6/M$16</f>
        <v>0</v>
      </c>
      <c r="N23" s="13">
        <f t="shared" si="8"/>
        <v>0.62223722352506616</v>
      </c>
      <c r="O23" s="13">
        <f t="shared" si="8"/>
        <v>0.16430907562792402</v>
      </c>
      <c r="P23" s="13" t="e">
        <f t="shared" si="8"/>
        <v>#DIV/0!</v>
      </c>
      <c r="Q23" s="13" t="e">
        <f t="shared" si="6"/>
        <v>#DIV/0!</v>
      </c>
      <c r="R23" s="13">
        <f t="shared" si="6"/>
        <v>0</v>
      </c>
      <c r="S23" s="13">
        <f t="shared" si="6"/>
        <v>0</v>
      </c>
      <c r="T23" s="13" t="e">
        <f t="shared" si="6"/>
        <v>#DIV/0!</v>
      </c>
      <c r="U23" s="13">
        <f t="shared" si="6"/>
        <v>0.36614677511431187</v>
      </c>
    </row>
    <row r="24" spans="1:21" x14ac:dyDescent="0.25">
      <c r="A24" t="s">
        <v>56</v>
      </c>
      <c r="B24" s="13">
        <f t="shared" ref="B24:J24" si="9">B7/B$16</f>
        <v>0</v>
      </c>
      <c r="C24" s="13">
        <f t="shared" si="9"/>
        <v>0</v>
      </c>
      <c r="D24" s="13">
        <f t="shared" si="9"/>
        <v>0.55239654734477561</v>
      </c>
      <c r="E24" s="13">
        <f t="shared" si="9"/>
        <v>0</v>
      </c>
      <c r="F24" s="13">
        <f t="shared" si="9"/>
        <v>0</v>
      </c>
      <c r="G24" s="13">
        <f t="shared" si="9"/>
        <v>0</v>
      </c>
      <c r="H24" s="13">
        <f t="shared" si="9"/>
        <v>0</v>
      </c>
      <c r="I24" s="13">
        <f t="shared" si="9"/>
        <v>0</v>
      </c>
      <c r="J24" s="13">
        <f t="shared" si="9"/>
        <v>0.27229214856959461</v>
      </c>
      <c r="K24" s="6"/>
      <c r="L24" t="s">
        <v>56</v>
      </c>
      <c r="M24" s="13">
        <f t="shared" ref="M24:P24" si="10">M7/M$16</f>
        <v>0</v>
      </c>
      <c r="N24" s="13">
        <f t="shared" si="10"/>
        <v>0</v>
      </c>
      <c r="O24" s="13">
        <f t="shared" si="10"/>
        <v>0.61030457597216603</v>
      </c>
      <c r="P24" s="13" t="e">
        <f t="shared" si="10"/>
        <v>#DIV/0!</v>
      </c>
      <c r="Q24" s="13" t="e">
        <f t="shared" si="6"/>
        <v>#DIV/0!</v>
      </c>
      <c r="R24" s="13">
        <f t="shared" si="6"/>
        <v>0</v>
      </c>
      <c r="S24" s="13">
        <f t="shared" si="6"/>
        <v>0</v>
      </c>
      <c r="T24" s="13" t="e">
        <f t="shared" si="6"/>
        <v>#DIV/0!</v>
      </c>
      <c r="U24" s="13">
        <f t="shared" si="6"/>
        <v>0.3016067432981579</v>
      </c>
    </row>
    <row r="25" spans="1:21" x14ac:dyDescent="0.25">
      <c r="A25" t="s">
        <v>51</v>
      </c>
      <c r="B25" s="13">
        <f t="shared" ref="B25:J25" si="11">B8/B$16</f>
        <v>0</v>
      </c>
      <c r="C25" s="13">
        <f t="shared" si="11"/>
        <v>0</v>
      </c>
      <c r="D25" s="13">
        <f t="shared" si="11"/>
        <v>0</v>
      </c>
      <c r="E25" s="13">
        <f t="shared" si="11"/>
        <v>0.33333333333333331</v>
      </c>
      <c r="F25" s="13">
        <f t="shared" si="11"/>
        <v>0.85274808509859856</v>
      </c>
      <c r="G25" s="13">
        <f t="shared" si="11"/>
        <v>0</v>
      </c>
      <c r="H25" s="13">
        <f t="shared" si="11"/>
        <v>0</v>
      </c>
      <c r="I25" s="13">
        <f t="shared" si="11"/>
        <v>0</v>
      </c>
      <c r="J25" s="13">
        <f t="shared" si="11"/>
        <v>3.8065039870957187E-3</v>
      </c>
      <c r="K25" s="6"/>
      <c r="L25" t="s">
        <v>51</v>
      </c>
      <c r="M25" s="13">
        <f t="shared" ref="M25:P25" si="12">M8/M$16</f>
        <v>0</v>
      </c>
      <c r="N25" s="13">
        <f t="shared" si="12"/>
        <v>0</v>
      </c>
      <c r="O25" s="13">
        <f t="shared" si="12"/>
        <v>0</v>
      </c>
      <c r="P25" s="13" t="e">
        <f t="shared" si="12"/>
        <v>#DIV/0!</v>
      </c>
      <c r="Q25" s="13" t="e">
        <f t="shared" si="6"/>
        <v>#DIV/0!</v>
      </c>
      <c r="R25" s="13">
        <f t="shared" si="6"/>
        <v>0</v>
      </c>
      <c r="S25" s="13">
        <f t="shared" si="6"/>
        <v>0</v>
      </c>
      <c r="T25" s="13" t="e">
        <f t="shared" si="6"/>
        <v>#DIV/0!</v>
      </c>
      <c r="U25" s="13">
        <f t="shared" si="6"/>
        <v>0</v>
      </c>
    </row>
    <row r="26" spans="1:21" x14ac:dyDescent="0.25">
      <c r="A26" t="s">
        <v>52</v>
      </c>
      <c r="B26" s="13">
        <f t="shared" ref="B26:J26" si="13">B9/B$16</f>
        <v>0</v>
      </c>
      <c r="C26" s="13">
        <f t="shared" si="13"/>
        <v>0</v>
      </c>
      <c r="D26" s="13">
        <f t="shared" si="13"/>
        <v>0</v>
      </c>
      <c r="E26" s="13">
        <f t="shared" si="13"/>
        <v>0</v>
      </c>
      <c r="F26" s="13">
        <f t="shared" si="13"/>
        <v>0</v>
      </c>
      <c r="G26" s="13">
        <f t="shared" si="13"/>
        <v>0</v>
      </c>
      <c r="H26" s="13">
        <f t="shared" si="13"/>
        <v>0</v>
      </c>
      <c r="I26" s="13">
        <f t="shared" si="13"/>
        <v>0</v>
      </c>
      <c r="J26" s="13">
        <f t="shared" si="13"/>
        <v>0</v>
      </c>
      <c r="K26" s="6"/>
      <c r="L26" t="s">
        <v>52</v>
      </c>
      <c r="M26" s="13">
        <f t="shared" ref="M26:P26" si="14">M9/M$16</f>
        <v>0</v>
      </c>
      <c r="N26" s="13">
        <f t="shared" si="14"/>
        <v>0</v>
      </c>
      <c r="O26" s="13">
        <f t="shared" si="14"/>
        <v>0</v>
      </c>
      <c r="P26" s="13" t="e">
        <f t="shared" si="14"/>
        <v>#DIV/0!</v>
      </c>
      <c r="Q26" s="13" t="e">
        <f t="shared" si="6"/>
        <v>#DIV/0!</v>
      </c>
      <c r="R26" s="13">
        <f t="shared" si="6"/>
        <v>0</v>
      </c>
      <c r="S26" s="13">
        <f t="shared" si="6"/>
        <v>0</v>
      </c>
      <c r="T26" s="13" t="e">
        <f t="shared" si="6"/>
        <v>#DIV/0!</v>
      </c>
      <c r="U26" s="13">
        <f t="shared" si="6"/>
        <v>0</v>
      </c>
    </row>
    <row r="27" spans="1:21" x14ac:dyDescent="0.25">
      <c r="A27" t="s">
        <v>53</v>
      </c>
      <c r="B27" s="13">
        <f t="shared" ref="B27:J27" si="15">B10/B$16</f>
        <v>0</v>
      </c>
      <c r="C27" s="13">
        <f t="shared" si="15"/>
        <v>0</v>
      </c>
      <c r="D27" s="13">
        <f t="shared" si="15"/>
        <v>0</v>
      </c>
      <c r="E27" s="13">
        <f t="shared" si="15"/>
        <v>0</v>
      </c>
      <c r="F27" s="13">
        <f t="shared" si="15"/>
        <v>0</v>
      </c>
      <c r="G27" s="13">
        <f t="shared" si="15"/>
        <v>0</v>
      </c>
      <c r="H27" s="13">
        <f t="shared" si="15"/>
        <v>0</v>
      </c>
      <c r="I27" s="13">
        <f t="shared" si="15"/>
        <v>0</v>
      </c>
      <c r="J27" s="13">
        <f t="shared" si="15"/>
        <v>0</v>
      </c>
      <c r="K27" s="6"/>
      <c r="L27" t="s">
        <v>53</v>
      </c>
      <c r="M27" s="13">
        <f t="shared" ref="M27:P27" si="16">M10/M$16</f>
        <v>0</v>
      </c>
      <c r="N27" s="13">
        <f t="shared" si="16"/>
        <v>0</v>
      </c>
      <c r="O27" s="13">
        <f t="shared" si="16"/>
        <v>0</v>
      </c>
      <c r="P27" s="13" t="e">
        <f t="shared" si="16"/>
        <v>#DIV/0!</v>
      </c>
      <c r="Q27" s="13" t="e">
        <f t="shared" si="6"/>
        <v>#DIV/0!</v>
      </c>
      <c r="R27" s="13">
        <f t="shared" si="6"/>
        <v>0</v>
      </c>
      <c r="S27" s="13">
        <f t="shared" si="6"/>
        <v>0</v>
      </c>
      <c r="T27" s="13" t="e">
        <f t="shared" si="6"/>
        <v>#DIV/0!</v>
      </c>
      <c r="U27" s="13">
        <f t="shared" si="6"/>
        <v>0</v>
      </c>
    </row>
    <row r="28" spans="1:21" x14ac:dyDescent="0.25">
      <c r="A28" t="s">
        <v>54</v>
      </c>
      <c r="B28" s="13">
        <f t="shared" ref="B28:J28" si="17">B11/B$16</f>
        <v>0</v>
      </c>
      <c r="C28" s="13">
        <f t="shared" si="17"/>
        <v>0</v>
      </c>
      <c r="D28" s="13">
        <f t="shared" si="17"/>
        <v>0</v>
      </c>
      <c r="E28" s="13">
        <f t="shared" si="17"/>
        <v>0</v>
      </c>
      <c r="F28" s="13">
        <f t="shared" si="17"/>
        <v>0</v>
      </c>
      <c r="G28" s="13">
        <f t="shared" si="17"/>
        <v>0</v>
      </c>
      <c r="H28" s="13">
        <f t="shared" si="17"/>
        <v>0</v>
      </c>
      <c r="I28" s="13">
        <f t="shared" si="17"/>
        <v>0</v>
      </c>
      <c r="J28" s="13">
        <f t="shared" si="17"/>
        <v>0</v>
      </c>
      <c r="K28" s="6"/>
      <c r="L28" t="s">
        <v>54</v>
      </c>
      <c r="M28" s="13">
        <f t="shared" ref="M28:P28" si="18">M11/M$16</f>
        <v>0</v>
      </c>
      <c r="N28" s="13">
        <f t="shared" si="18"/>
        <v>0</v>
      </c>
      <c r="O28" s="13">
        <f t="shared" si="18"/>
        <v>0</v>
      </c>
      <c r="P28" s="13" t="e">
        <f t="shared" si="18"/>
        <v>#DIV/0!</v>
      </c>
      <c r="Q28" s="13" t="e">
        <f t="shared" si="6"/>
        <v>#DIV/0!</v>
      </c>
      <c r="R28" s="13">
        <f t="shared" si="6"/>
        <v>0</v>
      </c>
      <c r="S28" s="13">
        <f t="shared" si="6"/>
        <v>0</v>
      </c>
      <c r="T28" s="13" t="e">
        <f t="shared" si="6"/>
        <v>#DIV/0!</v>
      </c>
      <c r="U28" s="13">
        <f t="shared" si="6"/>
        <v>0</v>
      </c>
    </row>
    <row r="29" spans="1:21" x14ac:dyDescent="0.25">
      <c r="A29" t="s">
        <v>55</v>
      </c>
      <c r="B29" s="13">
        <f t="shared" ref="B29:J29" si="19">B12/B$16</f>
        <v>0</v>
      </c>
      <c r="C29" s="13">
        <f t="shared" si="19"/>
        <v>0</v>
      </c>
      <c r="D29" s="13">
        <f t="shared" si="19"/>
        <v>0</v>
      </c>
      <c r="E29" s="13">
        <f t="shared" si="19"/>
        <v>0</v>
      </c>
      <c r="F29" s="13">
        <f t="shared" si="19"/>
        <v>0</v>
      </c>
      <c r="G29" s="13">
        <f t="shared" si="19"/>
        <v>0</v>
      </c>
      <c r="H29" s="13">
        <f t="shared" si="19"/>
        <v>0</v>
      </c>
      <c r="I29" s="13">
        <f t="shared" si="19"/>
        <v>0</v>
      </c>
      <c r="J29" s="13">
        <f t="shared" si="19"/>
        <v>0</v>
      </c>
      <c r="K29" s="6"/>
      <c r="L29" t="s">
        <v>55</v>
      </c>
      <c r="M29" s="13">
        <f t="shared" ref="M29:P29" si="20">M12/M$16</f>
        <v>0</v>
      </c>
      <c r="N29" s="13">
        <f t="shared" si="20"/>
        <v>0</v>
      </c>
      <c r="O29" s="13">
        <f t="shared" si="20"/>
        <v>0</v>
      </c>
      <c r="P29" s="13" t="e">
        <f t="shared" si="20"/>
        <v>#DIV/0!</v>
      </c>
      <c r="Q29" s="13" t="e">
        <f t="shared" si="6"/>
        <v>#DIV/0!</v>
      </c>
      <c r="R29" s="13">
        <f t="shared" si="6"/>
        <v>0</v>
      </c>
      <c r="S29" s="13">
        <f t="shared" si="6"/>
        <v>0</v>
      </c>
      <c r="T29" s="13" t="e">
        <f t="shared" si="6"/>
        <v>#DIV/0!</v>
      </c>
      <c r="U29" s="13">
        <f t="shared" si="6"/>
        <v>0</v>
      </c>
    </row>
    <row r="30" spans="1:21" x14ac:dyDescent="0.25">
      <c r="A30" t="s">
        <v>24</v>
      </c>
      <c r="B30" s="13">
        <f t="shared" ref="B30:J30" si="21">B13/B$16</f>
        <v>0</v>
      </c>
      <c r="C30" s="13">
        <f t="shared" si="21"/>
        <v>0</v>
      </c>
      <c r="D30" s="13">
        <f t="shared" si="21"/>
        <v>0</v>
      </c>
      <c r="E30" s="13">
        <f t="shared" si="21"/>
        <v>0</v>
      </c>
      <c r="F30" s="13">
        <f t="shared" si="21"/>
        <v>0</v>
      </c>
      <c r="G30" s="13">
        <f t="shared" si="21"/>
        <v>0</v>
      </c>
      <c r="H30" s="13">
        <f t="shared" si="21"/>
        <v>0</v>
      </c>
      <c r="I30" s="13">
        <f t="shared" si="21"/>
        <v>0.75</v>
      </c>
      <c r="J30" s="13">
        <f t="shared" si="21"/>
        <v>1.011979146260056E-3</v>
      </c>
      <c r="K30" s="6"/>
      <c r="L30" t="s">
        <v>24</v>
      </c>
      <c r="M30" s="13">
        <f t="shared" ref="M30:P30" si="22">M13/M$16</f>
        <v>0</v>
      </c>
      <c r="N30" s="13">
        <f t="shared" si="22"/>
        <v>0</v>
      </c>
      <c r="O30" s="13">
        <f t="shared" si="22"/>
        <v>0</v>
      </c>
      <c r="P30" s="13" t="e">
        <f t="shared" si="22"/>
        <v>#DIV/0!</v>
      </c>
      <c r="Q30" s="13" t="e">
        <f t="shared" si="6"/>
        <v>#DIV/0!</v>
      </c>
      <c r="R30" s="13">
        <f t="shared" si="6"/>
        <v>0</v>
      </c>
      <c r="S30" s="13">
        <f t="shared" si="6"/>
        <v>0</v>
      </c>
      <c r="T30" s="13" t="e">
        <f t="shared" si="6"/>
        <v>#DIV/0!</v>
      </c>
      <c r="U30" s="13">
        <f t="shared" si="6"/>
        <v>0</v>
      </c>
    </row>
    <row r="31" spans="1:21" x14ac:dyDescent="0.25">
      <c r="A31" t="s">
        <v>4</v>
      </c>
      <c r="B31" s="13">
        <f t="shared" ref="B31:J31" si="23">B14/B$16</f>
        <v>0</v>
      </c>
      <c r="C31" s="13">
        <f t="shared" si="23"/>
        <v>6.7111937090297826E-3</v>
      </c>
      <c r="D31" s="13">
        <f t="shared" si="23"/>
        <v>1.7225216279214808E-4</v>
      </c>
      <c r="E31" s="13">
        <f t="shared" si="23"/>
        <v>0</v>
      </c>
      <c r="F31" s="13">
        <f t="shared" si="23"/>
        <v>0</v>
      </c>
      <c r="G31" s="13">
        <f t="shared" si="23"/>
        <v>0.93327934964281978</v>
      </c>
      <c r="H31" s="13">
        <f t="shared" si="23"/>
        <v>0</v>
      </c>
      <c r="I31" s="13">
        <f t="shared" si="23"/>
        <v>0</v>
      </c>
      <c r="J31" s="13">
        <f t="shared" si="23"/>
        <v>5.6311180195214071E-3</v>
      </c>
      <c r="K31" s="6"/>
      <c r="L31" t="s">
        <v>4</v>
      </c>
      <c r="M31" s="13">
        <f t="shared" ref="M31:P31" si="24">M14/M$16</f>
        <v>7.2610258871574091E-5</v>
      </c>
      <c r="N31" s="13">
        <f t="shared" si="24"/>
        <v>6.9226945474801143E-3</v>
      </c>
      <c r="O31" s="13">
        <f t="shared" si="24"/>
        <v>7.5003343109392162E-3</v>
      </c>
      <c r="P31" s="13" t="e">
        <f t="shared" si="24"/>
        <v>#DIV/0!</v>
      </c>
      <c r="Q31" s="13" t="e">
        <f t="shared" si="6"/>
        <v>#DIV/0!</v>
      </c>
      <c r="R31" s="13">
        <f t="shared" si="6"/>
        <v>0.96959296165660336</v>
      </c>
      <c r="S31" s="13">
        <f t="shared" si="6"/>
        <v>0</v>
      </c>
      <c r="T31" s="13" t="e">
        <f t="shared" si="6"/>
        <v>#DIV/0!</v>
      </c>
      <c r="U31" s="13">
        <f t="shared" si="6"/>
        <v>1.1700193762825514E-2</v>
      </c>
    </row>
    <row r="32" spans="1:21" x14ac:dyDescent="0.25">
      <c r="A32" s="4" t="s">
        <v>5</v>
      </c>
      <c r="B32" s="14">
        <f t="shared" ref="B32:J32" si="25">B15/B$16</f>
        <v>7.5560287322731831E-2</v>
      </c>
      <c r="C32" s="14">
        <f t="shared" si="25"/>
        <v>1.1298762216204083E-2</v>
      </c>
      <c r="D32" s="14">
        <f t="shared" si="25"/>
        <v>3.4023023223991491E-2</v>
      </c>
      <c r="E32" s="14">
        <f t="shared" si="25"/>
        <v>0.33333333333333331</v>
      </c>
      <c r="F32" s="14">
        <f t="shared" si="25"/>
        <v>2.8289850338511204E-2</v>
      </c>
      <c r="G32" s="14">
        <f t="shared" si="25"/>
        <v>6.6720650357180181E-2</v>
      </c>
      <c r="H32" s="14">
        <f t="shared" si="25"/>
        <v>1</v>
      </c>
      <c r="I32" s="14">
        <f t="shared" si="25"/>
        <v>0</v>
      </c>
      <c r="J32" s="14">
        <f t="shared" si="25"/>
        <v>6.0805600136365261E-2</v>
      </c>
      <c r="K32" s="6"/>
      <c r="L32" s="4" t="s">
        <v>5</v>
      </c>
      <c r="M32" s="14">
        <f t="shared" ref="M32:P32" si="26">M15/M$16</f>
        <v>3.5146526008312004E-3</v>
      </c>
      <c r="N32" s="14">
        <f t="shared" si="26"/>
        <v>4.4325680108627016E-2</v>
      </c>
      <c r="O32" s="14">
        <f t="shared" si="26"/>
        <v>4.1264736074320414E-2</v>
      </c>
      <c r="P32" s="14" t="e">
        <f t="shared" si="26"/>
        <v>#DIV/0!</v>
      </c>
      <c r="Q32" s="14" t="e">
        <f t="shared" si="6"/>
        <v>#DIV/0!</v>
      </c>
      <c r="R32" s="14">
        <f t="shared" si="6"/>
        <v>3.0407038343396621E-2</v>
      </c>
      <c r="S32" s="14">
        <f t="shared" si="6"/>
        <v>1</v>
      </c>
      <c r="T32" s="14" t="e">
        <f t="shared" si="6"/>
        <v>#DIV/0!</v>
      </c>
      <c r="U32" s="14">
        <f t="shared" si="6"/>
        <v>6.9092802792479521E-2</v>
      </c>
    </row>
    <row r="33" spans="1:32" ht="15.75" thickBot="1" x14ac:dyDescent="0.3">
      <c r="A33" s="12" t="s">
        <v>7</v>
      </c>
      <c r="B33" s="15">
        <f t="shared" ref="B33:J33" si="27">B16/B$16</f>
        <v>1</v>
      </c>
      <c r="C33" s="15">
        <f t="shared" si="27"/>
        <v>1</v>
      </c>
      <c r="D33" s="15">
        <f t="shared" si="27"/>
        <v>1</v>
      </c>
      <c r="E33" s="15">
        <f t="shared" si="27"/>
        <v>1</v>
      </c>
      <c r="F33" s="15">
        <f t="shared" si="27"/>
        <v>1</v>
      </c>
      <c r="G33" s="15">
        <f t="shared" si="27"/>
        <v>1</v>
      </c>
      <c r="H33" s="15">
        <f t="shared" si="27"/>
        <v>1</v>
      </c>
      <c r="I33" s="15">
        <f t="shared" si="27"/>
        <v>1</v>
      </c>
      <c r="J33" s="15">
        <f t="shared" si="27"/>
        <v>1</v>
      </c>
      <c r="L33" s="9" t="s">
        <v>7</v>
      </c>
      <c r="M33" s="15">
        <f t="shared" ref="M33:P33" si="28">M16/M$16</f>
        <v>1</v>
      </c>
      <c r="N33" s="15">
        <f t="shared" si="28"/>
        <v>1</v>
      </c>
      <c r="O33" s="15">
        <f t="shared" si="28"/>
        <v>1</v>
      </c>
      <c r="P33" s="15" t="e">
        <f t="shared" si="28"/>
        <v>#DIV/0!</v>
      </c>
      <c r="Q33" s="15" t="e">
        <f t="shared" si="6"/>
        <v>#DIV/0!</v>
      </c>
      <c r="R33" s="15">
        <f t="shared" si="6"/>
        <v>1</v>
      </c>
      <c r="S33" s="15">
        <f t="shared" si="6"/>
        <v>1</v>
      </c>
      <c r="T33" s="15" t="e">
        <f t="shared" si="6"/>
        <v>#DIV/0!</v>
      </c>
      <c r="U33" s="15">
        <f t="shared" si="6"/>
        <v>1</v>
      </c>
    </row>
    <row r="36" spans="1:32" ht="15.75" thickBot="1" x14ac:dyDescent="0.3">
      <c r="L36" s="1" t="s">
        <v>19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25">
      <c r="L37" s="3"/>
      <c r="M37" s="31" t="s">
        <v>43</v>
      </c>
      <c r="N37" s="31"/>
      <c r="O37" s="31"/>
      <c r="P37" s="31"/>
      <c r="Q37" s="31"/>
      <c r="R37" s="31"/>
      <c r="S37" s="31"/>
      <c r="T37" s="31"/>
      <c r="U37" s="31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16</v>
      </c>
      <c r="S38" s="5" t="s">
        <v>4</v>
      </c>
      <c r="T38" s="5" t="s">
        <v>5</v>
      </c>
      <c r="U38" s="5" t="s">
        <v>7</v>
      </c>
    </row>
    <row r="39" spans="1:32" x14ac:dyDescent="0.25">
      <c r="L39" t="s">
        <v>1</v>
      </c>
      <c r="M39" s="13">
        <f t="shared" ref="M39:P44" si="29">M22-B22</f>
        <v>7.1973024463029112E-2</v>
      </c>
      <c r="N39" s="13">
        <f t="shared" si="29"/>
        <v>-0.14232793016648559</v>
      </c>
      <c r="O39" s="13">
        <f t="shared" si="29"/>
        <v>2.4182206105829412E-2</v>
      </c>
      <c r="P39" s="13" t="e">
        <f t="shared" si="29"/>
        <v>#DIV/0!</v>
      </c>
      <c r="Q39" s="13" t="e">
        <f t="shared" ref="Q39:Q50" si="30">Q22-F22</f>
        <v>#DIV/0!</v>
      </c>
      <c r="R39" s="13">
        <f t="shared" ref="R39:R50" si="31">R22-G22</f>
        <v>0</v>
      </c>
      <c r="S39" s="13">
        <f t="shared" ref="S39:S50" si="32">S22-H22</f>
        <v>0</v>
      </c>
      <c r="T39" s="13" t="e">
        <f t="shared" ref="T39:T50" si="33">T22-I22</f>
        <v>#DIV/0!</v>
      </c>
      <c r="U39" s="13">
        <f t="shared" ref="U39:U50" si="34">U22-J22</f>
        <v>-5.3806207405597217E-2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25">
      <c r="L40" t="s">
        <v>12</v>
      </c>
      <c r="M40" s="13">
        <f t="shared" si="29"/>
        <v>0</v>
      </c>
      <c r="N40" s="13">
        <f t="shared" si="29"/>
        <v>0.10908951143561219</v>
      </c>
      <c r="O40" s="13">
        <f t="shared" si="29"/>
        <v>-9.6660029731695907E-2</v>
      </c>
      <c r="P40" s="13" t="e">
        <f t="shared" si="29"/>
        <v>#DIV/0!</v>
      </c>
      <c r="Q40" s="13" t="e">
        <f t="shared" si="30"/>
        <v>#DIV/0!</v>
      </c>
      <c r="R40" s="13">
        <f t="shared" si="31"/>
        <v>0</v>
      </c>
      <c r="S40" s="13">
        <f t="shared" si="32"/>
        <v>0</v>
      </c>
      <c r="T40" s="13" t="e">
        <f t="shared" si="33"/>
        <v>#DIV/0!</v>
      </c>
      <c r="U40" s="13">
        <f t="shared" si="34"/>
        <v>1.4953817410971348E-2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25">
      <c r="L41" t="s">
        <v>56</v>
      </c>
      <c r="M41" s="13">
        <f t="shared" si="29"/>
        <v>0</v>
      </c>
      <c r="N41" s="13">
        <f t="shared" si="29"/>
        <v>0</v>
      </c>
      <c r="O41" s="13">
        <f t="shared" si="29"/>
        <v>5.7908028627390418E-2</v>
      </c>
      <c r="P41" s="13" t="e">
        <f t="shared" si="29"/>
        <v>#DIV/0!</v>
      </c>
      <c r="Q41" s="13" t="e">
        <f t="shared" si="30"/>
        <v>#DIV/0!</v>
      </c>
      <c r="R41" s="13">
        <f t="shared" si="31"/>
        <v>0</v>
      </c>
      <c r="S41" s="13">
        <f t="shared" si="32"/>
        <v>0</v>
      </c>
      <c r="T41" s="13" t="e">
        <f t="shared" si="33"/>
        <v>#DIV/0!</v>
      </c>
      <c r="U41" s="13">
        <f t="shared" si="34"/>
        <v>2.9314594728563292E-2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25">
      <c r="L42" t="s">
        <v>51</v>
      </c>
      <c r="M42" s="13">
        <f t="shared" si="29"/>
        <v>0</v>
      </c>
      <c r="N42" s="13">
        <f t="shared" si="29"/>
        <v>0</v>
      </c>
      <c r="O42" s="13">
        <f t="shared" si="29"/>
        <v>0</v>
      </c>
      <c r="P42" s="13" t="e">
        <f t="shared" si="29"/>
        <v>#DIV/0!</v>
      </c>
      <c r="Q42" s="13" t="e">
        <f t="shared" si="30"/>
        <v>#DIV/0!</v>
      </c>
      <c r="R42" s="13">
        <f t="shared" si="31"/>
        <v>0</v>
      </c>
      <c r="S42" s="13">
        <f t="shared" si="32"/>
        <v>0</v>
      </c>
      <c r="T42" s="13" t="e">
        <f t="shared" si="33"/>
        <v>#DIV/0!</v>
      </c>
      <c r="U42" s="13">
        <f t="shared" si="34"/>
        <v>-3.8065039870957187E-3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25">
      <c r="L43" t="s">
        <v>52</v>
      </c>
      <c r="M43" s="13">
        <f t="shared" si="29"/>
        <v>0</v>
      </c>
      <c r="N43" s="13">
        <f t="shared" si="29"/>
        <v>0</v>
      </c>
      <c r="O43" s="13">
        <f t="shared" si="29"/>
        <v>0</v>
      </c>
      <c r="P43" s="13" t="e">
        <f t="shared" si="29"/>
        <v>#DIV/0!</v>
      </c>
      <c r="Q43" s="13" t="e">
        <f t="shared" si="30"/>
        <v>#DIV/0!</v>
      </c>
      <c r="R43" s="13">
        <f t="shared" si="31"/>
        <v>0</v>
      </c>
      <c r="S43" s="13">
        <f t="shared" si="32"/>
        <v>0</v>
      </c>
      <c r="T43" s="13" t="e">
        <f t="shared" si="33"/>
        <v>#DIV/0!</v>
      </c>
      <c r="U43" s="13">
        <f t="shared" si="34"/>
        <v>0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25">
      <c r="L44" t="s">
        <v>53</v>
      </c>
      <c r="M44" s="13">
        <f t="shared" si="29"/>
        <v>0</v>
      </c>
      <c r="N44" s="13">
        <f t="shared" si="29"/>
        <v>0</v>
      </c>
      <c r="O44" s="13">
        <f t="shared" si="29"/>
        <v>0</v>
      </c>
      <c r="P44" s="13" t="e">
        <f t="shared" si="29"/>
        <v>#DIV/0!</v>
      </c>
      <c r="Q44" s="13" t="e">
        <f t="shared" si="30"/>
        <v>#DIV/0!</v>
      </c>
      <c r="R44" s="13">
        <f t="shared" si="31"/>
        <v>0</v>
      </c>
      <c r="S44" s="13">
        <f t="shared" si="32"/>
        <v>0</v>
      </c>
      <c r="T44" s="13" t="e">
        <f t="shared" si="33"/>
        <v>#DIV/0!</v>
      </c>
      <c r="U44" s="13">
        <f t="shared" si="34"/>
        <v>0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25">
      <c r="L45" t="s">
        <v>54</v>
      </c>
      <c r="M45" s="13">
        <f t="shared" ref="M45:M47" si="35">M28-B28</f>
        <v>0</v>
      </c>
      <c r="N45" s="13">
        <f t="shared" ref="N45:N47" si="36">N28-C28</f>
        <v>0</v>
      </c>
      <c r="O45" s="13">
        <f t="shared" ref="O45:O47" si="37">O28-D28</f>
        <v>0</v>
      </c>
      <c r="P45" s="13" t="e">
        <f t="shared" ref="P45:P47" si="38">P28-E28</f>
        <v>#DIV/0!</v>
      </c>
      <c r="Q45" s="13" t="e">
        <f t="shared" si="30"/>
        <v>#DIV/0!</v>
      </c>
      <c r="R45" s="13">
        <f t="shared" si="31"/>
        <v>0</v>
      </c>
      <c r="S45" s="13">
        <f t="shared" si="32"/>
        <v>0</v>
      </c>
      <c r="T45" s="13" t="e">
        <f t="shared" si="33"/>
        <v>#DIV/0!</v>
      </c>
      <c r="U45" s="13">
        <f t="shared" si="34"/>
        <v>0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25">
      <c r="L46" t="s">
        <v>55</v>
      </c>
      <c r="M46" s="13">
        <f t="shared" si="35"/>
        <v>0</v>
      </c>
      <c r="N46" s="13">
        <f t="shared" si="36"/>
        <v>0</v>
      </c>
      <c r="O46" s="13">
        <f t="shared" si="37"/>
        <v>0</v>
      </c>
      <c r="P46" s="13" t="e">
        <f t="shared" si="38"/>
        <v>#DIV/0!</v>
      </c>
      <c r="Q46" s="13" t="e">
        <f t="shared" si="30"/>
        <v>#DIV/0!</v>
      </c>
      <c r="R46" s="13">
        <f t="shared" si="31"/>
        <v>0</v>
      </c>
      <c r="S46" s="13">
        <f t="shared" si="32"/>
        <v>0</v>
      </c>
      <c r="T46" s="13" t="e">
        <f t="shared" si="33"/>
        <v>#DIV/0!</v>
      </c>
      <c r="U46" s="13">
        <f t="shared" si="34"/>
        <v>0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25">
      <c r="L47" t="s">
        <v>24</v>
      </c>
      <c r="M47" s="13">
        <f t="shared" si="35"/>
        <v>0</v>
      </c>
      <c r="N47" s="13">
        <f t="shared" si="36"/>
        <v>0</v>
      </c>
      <c r="O47" s="13">
        <f t="shared" si="37"/>
        <v>0</v>
      </c>
      <c r="P47" s="13" t="e">
        <f t="shared" si="38"/>
        <v>#DIV/0!</v>
      </c>
      <c r="Q47" s="13" t="e">
        <f t="shared" si="30"/>
        <v>#DIV/0!</v>
      </c>
      <c r="R47" s="13">
        <f t="shared" si="31"/>
        <v>0</v>
      </c>
      <c r="S47" s="13">
        <f t="shared" si="32"/>
        <v>0</v>
      </c>
      <c r="T47" s="13" t="e">
        <f t="shared" si="33"/>
        <v>#DIV/0!</v>
      </c>
      <c r="U47" s="13">
        <f t="shared" si="34"/>
        <v>-1.011979146260056E-3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25">
      <c r="L48" t="s">
        <v>4</v>
      </c>
      <c r="M48" s="13">
        <f t="shared" ref="M48:P50" si="39">M31-B31</f>
        <v>7.2610258871574091E-5</v>
      </c>
      <c r="N48" s="13">
        <f t="shared" si="39"/>
        <v>2.1150083845033162E-4</v>
      </c>
      <c r="O48" s="13">
        <f t="shared" si="39"/>
        <v>7.328082148147068E-3</v>
      </c>
      <c r="P48" s="13" t="e">
        <f t="shared" si="39"/>
        <v>#DIV/0!</v>
      </c>
      <c r="Q48" s="13" t="e">
        <f t="shared" si="30"/>
        <v>#DIV/0!</v>
      </c>
      <c r="R48" s="13">
        <f t="shared" si="31"/>
        <v>3.6313612013783581E-2</v>
      </c>
      <c r="S48" s="13">
        <f t="shared" si="32"/>
        <v>0</v>
      </c>
      <c r="T48" s="13" t="e">
        <f t="shared" si="33"/>
        <v>#DIV/0!</v>
      </c>
      <c r="U48" s="13">
        <f t="shared" si="34"/>
        <v>6.0690757433041068E-3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25">
      <c r="L49" s="4" t="s">
        <v>5</v>
      </c>
      <c r="M49" s="17">
        <f t="shared" si="39"/>
        <v>-7.2045634721900634E-2</v>
      </c>
      <c r="N49" s="17">
        <f t="shared" si="39"/>
        <v>3.302691789242293E-2</v>
      </c>
      <c r="O49" s="17">
        <f t="shared" si="39"/>
        <v>7.2417128503289227E-3</v>
      </c>
      <c r="P49" s="17" t="e">
        <f t="shared" si="39"/>
        <v>#DIV/0!</v>
      </c>
      <c r="Q49" s="17" t="e">
        <f t="shared" si="30"/>
        <v>#DIV/0!</v>
      </c>
      <c r="R49" s="17">
        <f t="shared" si="31"/>
        <v>-3.631361201378356E-2</v>
      </c>
      <c r="S49" s="17">
        <f t="shared" si="32"/>
        <v>0</v>
      </c>
      <c r="T49" s="17" t="e">
        <f t="shared" si="33"/>
        <v>#DIV/0!</v>
      </c>
      <c r="U49" s="13">
        <f t="shared" si="34"/>
        <v>8.2872026561142606E-3</v>
      </c>
      <c r="X49" s="13"/>
      <c r="Y49" s="13"/>
      <c r="Z49" s="13"/>
      <c r="AA49" s="13"/>
      <c r="AB49" s="13"/>
      <c r="AC49" s="13"/>
      <c r="AD49" s="13"/>
      <c r="AE49" s="13"/>
      <c r="AF49" s="13"/>
    </row>
    <row r="50" spans="12:32" ht="15.75" thickBot="1" x14ac:dyDescent="0.3">
      <c r="L50" s="9" t="s">
        <v>7</v>
      </c>
      <c r="M50" s="15">
        <f t="shared" si="39"/>
        <v>0</v>
      </c>
      <c r="N50" s="15">
        <f t="shared" si="39"/>
        <v>0</v>
      </c>
      <c r="O50" s="15">
        <f t="shared" si="39"/>
        <v>0</v>
      </c>
      <c r="P50" s="15" t="e">
        <f t="shared" si="39"/>
        <v>#DIV/0!</v>
      </c>
      <c r="Q50" s="15" t="e">
        <f t="shared" si="30"/>
        <v>#DIV/0!</v>
      </c>
      <c r="R50" s="15">
        <f t="shared" si="31"/>
        <v>0</v>
      </c>
      <c r="S50" s="15">
        <f t="shared" si="32"/>
        <v>0</v>
      </c>
      <c r="T50" s="15" t="e">
        <f t="shared" si="33"/>
        <v>#DIV/0!</v>
      </c>
      <c r="U50" s="15">
        <f t="shared" si="34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AF50"/>
  <sheetViews>
    <sheetView workbookViewId="0"/>
  </sheetViews>
  <sheetFormatPr defaultRowHeight="15" x14ac:dyDescent="0.25"/>
  <cols>
    <col min="1" max="1" width="25" customWidth="1" collapsed="1"/>
    <col min="2" max="10" width="10.7109375" customWidth="1" collapsed="1"/>
    <col min="11" max="11" width="3.7109375" customWidth="1" collapsed="1"/>
    <col min="12" max="12" width="25" customWidth="1" collapsed="1"/>
    <col min="13" max="22" width="10.7109375" customWidth="1" collapsed="1"/>
    <col min="23" max="23" width="17" customWidth="1" collapsed="1"/>
  </cols>
  <sheetData>
    <row r="2" spans="1:21" ht="15.75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33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31" t="s">
        <v>44</v>
      </c>
      <c r="C3" s="31"/>
      <c r="D3" s="31"/>
      <c r="E3" s="31"/>
      <c r="F3" s="31"/>
      <c r="G3" s="31"/>
      <c r="H3" s="31"/>
      <c r="I3" s="31"/>
      <c r="J3" s="11"/>
      <c r="L3" s="3"/>
      <c r="M3" s="31" t="s">
        <v>44</v>
      </c>
      <c r="N3" s="31"/>
      <c r="O3" s="31"/>
      <c r="P3" s="31"/>
      <c r="Q3" s="31"/>
      <c r="R3" s="31"/>
      <c r="S3" s="31"/>
      <c r="T3" s="31"/>
      <c r="U3" s="31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>
        <v>696165.87435317622</v>
      </c>
      <c r="C5" s="6">
        <v>28974.159722434801</v>
      </c>
      <c r="D5" s="6">
        <v>14622.1971247273</v>
      </c>
      <c r="E5" s="6">
        <v>3469.9252440959999</v>
      </c>
      <c r="F5" s="6">
        <v>1050.2937161729999</v>
      </c>
      <c r="G5" s="6">
        <v>0</v>
      </c>
      <c r="H5" s="6">
        <v>0</v>
      </c>
      <c r="I5" s="6">
        <v>0</v>
      </c>
      <c r="J5" s="6">
        <f>SUM(B5:I5)</f>
        <v>744282.45016060735</v>
      </c>
      <c r="K5" s="6"/>
      <c r="L5" t="s">
        <v>1</v>
      </c>
      <c r="M5" s="6">
        <v>730693.1065695273</v>
      </c>
      <c r="N5" s="6">
        <v>37820.36125833702</v>
      </c>
      <c r="O5" s="6">
        <v>10401.807766605862</v>
      </c>
      <c r="P5" s="6">
        <v>0</v>
      </c>
      <c r="Q5" s="6">
        <v>445.62045195450395</v>
      </c>
      <c r="R5" s="6">
        <v>0</v>
      </c>
      <c r="S5" s="6">
        <v>0</v>
      </c>
      <c r="T5" s="6">
        <v>0</v>
      </c>
      <c r="U5" s="6">
        <f t="shared" ref="U5:U15" si="0">SUM(M5:T5)</f>
        <v>779360.89604642475</v>
      </c>
    </row>
    <row r="6" spans="1:21" x14ac:dyDescent="0.25">
      <c r="A6" t="s">
        <v>12</v>
      </c>
      <c r="B6" s="6">
        <v>0</v>
      </c>
      <c r="C6" s="6">
        <v>462828.51687087701</v>
      </c>
      <c r="D6" s="6">
        <v>40625.463280501201</v>
      </c>
      <c r="E6" s="6">
        <v>0</v>
      </c>
      <c r="F6" s="6">
        <v>8253.9479754855001</v>
      </c>
      <c r="G6" s="6">
        <v>0</v>
      </c>
      <c r="H6" s="6">
        <v>0</v>
      </c>
      <c r="I6" s="6">
        <v>0</v>
      </c>
      <c r="J6" s="6">
        <f t="shared" ref="J6:J15" si="1">SUM(B6:I6)</f>
        <v>511707.92812686373</v>
      </c>
      <c r="K6" s="6"/>
      <c r="L6" t="s">
        <v>12</v>
      </c>
      <c r="M6" s="6">
        <v>0</v>
      </c>
      <c r="N6" s="6">
        <v>462493.98336376244</v>
      </c>
      <c r="O6" s="6">
        <v>68396.329808233262</v>
      </c>
      <c r="P6" s="6">
        <v>0</v>
      </c>
      <c r="Q6" s="6">
        <v>5267.5883825514329</v>
      </c>
      <c r="R6" s="6">
        <v>0</v>
      </c>
      <c r="S6" s="6">
        <v>0</v>
      </c>
      <c r="T6" s="6">
        <v>0</v>
      </c>
      <c r="U6" s="6">
        <f t="shared" si="0"/>
        <v>536157.90155454713</v>
      </c>
    </row>
    <row r="7" spans="1:21" x14ac:dyDescent="0.25">
      <c r="A7" t="s">
        <v>56</v>
      </c>
      <c r="B7" s="6">
        <v>0</v>
      </c>
      <c r="C7" s="6">
        <v>0</v>
      </c>
      <c r="D7" s="6">
        <v>342634.83680829027</v>
      </c>
      <c r="E7" s="6">
        <v>376.59752303599998</v>
      </c>
      <c r="F7" s="6">
        <v>261.65291355599999</v>
      </c>
      <c r="G7" s="6">
        <v>0</v>
      </c>
      <c r="H7" s="6">
        <v>0</v>
      </c>
      <c r="I7" s="6">
        <v>918.41112499999997</v>
      </c>
      <c r="J7" s="6">
        <f t="shared" si="1"/>
        <v>344191.49836988229</v>
      </c>
      <c r="K7" s="6"/>
      <c r="L7" t="s">
        <v>56</v>
      </c>
      <c r="M7" s="6">
        <v>0</v>
      </c>
      <c r="N7" s="6">
        <v>0</v>
      </c>
      <c r="O7" s="6">
        <v>316786.34405544406</v>
      </c>
      <c r="P7" s="6">
        <v>0</v>
      </c>
      <c r="Q7" s="6">
        <v>2091.6356954302482</v>
      </c>
      <c r="R7" s="6">
        <v>0</v>
      </c>
      <c r="S7" s="6">
        <v>0.25</v>
      </c>
      <c r="T7" s="6">
        <v>0</v>
      </c>
      <c r="U7" s="6">
        <f t="shared" si="0"/>
        <v>318878.22975087434</v>
      </c>
    </row>
    <row r="8" spans="1:21" x14ac:dyDescent="0.25">
      <c r="A8" t="s">
        <v>51</v>
      </c>
      <c r="B8" s="6">
        <v>0</v>
      </c>
      <c r="C8" s="6">
        <v>0</v>
      </c>
      <c r="D8" s="6">
        <v>0</v>
      </c>
      <c r="E8" s="6">
        <v>2793.2312176259998</v>
      </c>
      <c r="F8" s="6">
        <v>75442.259481748202</v>
      </c>
      <c r="G8" s="6">
        <v>0</v>
      </c>
      <c r="H8" s="6">
        <v>0</v>
      </c>
      <c r="I8" s="6">
        <v>0</v>
      </c>
      <c r="J8" s="6">
        <f t="shared" si="1"/>
        <v>78235.490699374204</v>
      </c>
      <c r="K8" s="6"/>
      <c r="L8" t="s">
        <v>51</v>
      </c>
      <c r="M8" s="6">
        <v>0</v>
      </c>
      <c r="N8" s="6">
        <v>0</v>
      </c>
      <c r="O8" s="6">
        <v>0</v>
      </c>
      <c r="P8" s="6">
        <v>0</v>
      </c>
      <c r="Q8" s="6">
        <v>32240.991315545296</v>
      </c>
      <c r="R8" s="6">
        <v>0</v>
      </c>
      <c r="S8" s="6">
        <v>0</v>
      </c>
      <c r="T8" s="6">
        <v>0</v>
      </c>
      <c r="U8" s="6">
        <f t="shared" si="0"/>
        <v>32240.991315545296</v>
      </c>
    </row>
    <row r="9" spans="1:21" x14ac:dyDescent="0.25">
      <c r="A9" t="s">
        <v>52</v>
      </c>
      <c r="B9" s="6">
        <v>0</v>
      </c>
      <c r="C9" s="6">
        <v>0</v>
      </c>
      <c r="D9" s="6">
        <v>0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f t="shared" si="1"/>
        <v>0</v>
      </c>
      <c r="K9" s="6"/>
      <c r="L9" t="s">
        <v>52</v>
      </c>
      <c r="M9" s="6">
        <v>0</v>
      </c>
      <c r="N9" s="6">
        <v>0</v>
      </c>
      <c r="O9" s="6">
        <v>0</v>
      </c>
      <c r="P9" s="6">
        <v>0</v>
      </c>
      <c r="Q9" s="6">
        <v>0</v>
      </c>
      <c r="R9" s="6">
        <v>0</v>
      </c>
      <c r="S9" s="6">
        <v>0</v>
      </c>
      <c r="T9" s="6">
        <v>0</v>
      </c>
      <c r="U9" s="6">
        <f t="shared" si="0"/>
        <v>0</v>
      </c>
    </row>
    <row r="10" spans="1:21" x14ac:dyDescent="0.25">
      <c r="A10" t="s">
        <v>53</v>
      </c>
      <c r="B10" s="6">
        <v>0</v>
      </c>
      <c r="C10" s="6">
        <v>0</v>
      </c>
      <c r="D10" s="6">
        <v>0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f t="shared" si="1"/>
        <v>0</v>
      </c>
      <c r="K10" s="6"/>
      <c r="L10" t="s">
        <v>53</v>
      </c>
      <c r="M10" s="6">
        <v>0</v>
      </c>
      <c r="N10" s="6">
        <v>0</v>
      </c>
      <c r="O10" s="6">
        <v>0</v>
      </c>
      <c r="P10" s="6">
        <v>0</v>
      </c>
      <c r="Q10" s="6">
        <v>0</v>
      </c>
      <c r="R10" s="6">
        <v>0</v>
      </c>
      <c r="S10" s="6">
        <v>0</v>
      </c>
      <c r="T10" s="6">
        <v>0</v>
      </c>
      <c r="U10" s="6">
        <f t="shared" si="0"/>
        <v>0</v>
      </c>
    </row>
    <row r="11" spans="1:21" x14ac:dyDescent="0.25">
      <c r="A11" t="s">
        <v>54</v>
      </c>
      <c r="B11" s="6">
        <v>0</v>
      </c>
      <c r="C11" s="6">
        <v>0</v>
      </c>
      <c r="D11" s="6">
        <v>0</v>
      </c>
      <c r="E11" s="6">
        <v>0</v>
      </c>
      <c r="F11" s="6">
        <v>0</v>
      </c>
      <c r="G11" s="6">
        <v>0</v>
      </c>
      <c r="H11" s="6">
        <v>0</v>
      </c>
      <c r="I11" s="6">
        <v>0</v>
      </c>
      <c r="J11" s="6">
        <f t="shared" si="1"/>
        <v>0</v>
      </c>
      <c r="K11" s="6"/>
      <c r="L11" t="s">
        <v>54</v>
      </c>
      <c r="M11" s="6">
        <v>0</v>
      </c>
      <c r="N11" s="6">
        <v>0</v>
      </c>
      <c r="O11" s="6">
        <v>0</v>
      </c>
      <c r="P11" s="6">
        <v>0</v>
      </c>
      <c r="Q11" s="6">
        <v>0</v>
      </c>
      <c r="R11" s="6">
        <v>0</v>
      </c>
      <c r="S11" s="6">
        <v>0</v>
      </c>
      <c r="T11" s="6">
        <v>0</v>
      </c>
      <c r="U11" s="6">
        <f t="shared" si="0"/>
        <v>0</v>
      </c>
    </row>
    <row r="12" spans="1:21" x14ac:dyDescent="0.25">
      <c r="A12" t="s">
        <v>55</v>
      </c>
      <c r="B12" s="6">
        <v>0</v>
      </c>
      <c r="C12" s="6">
        <v>0</v>
      </c>
      <c r="D12" s="6">
        <v>0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f t="shared" si="1"/>
        <v>0</v>
      </c>
      <c r="K12" s="6"/>
      <c r="L12" t="s">
        <v>55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R12" s="6">
        <v>0</v>
      </c>
      <c r="S12" s="6">
        <v>0</v>
      </c>
      <c r="T12" s="6">
        <v>0</v>
      </c>
      <c r="U12" s="6">
        <f t="shared" si="0"/>
        <v>0</v>
      </c>
    </row>
    <row r="13" spans="1:21" x14ac:dyDescent="0.25">
      <c r="A13" t="s">
        <v>24</v>
      </c>
      <c r="B13" s="6">
        <v>0</v>
      </c>
      <c r="C13" s="6">
        <v>0</v>
      </c>
      <c r="D13" s="6">
        <v>0</v>
      </c>
      <c r="E13" s="6">
        <v>0</v>
      </c>
      <c r="F13" s="6">
        <v>0</v>
      </c>
      <c r="G13" s="6">
        <v>0</v>
      </c>
      <c r="H13" s="6">
        <v>0</v>
      </c>
      <c r="I13" s="6">
        <v>4801.4673750000002</v>
      </c>
      <c r="J13" s="6">
        <f t="shared" si="1"/>
        <v>4801.4673750000002</v>
      </c>
      <c r="K13" s="6"/>
      <c r="L13" t="s">
        <v>24</v>
      </c>
      <c r="M13" s="6">
        <v>0</v>
      </c>
      <c r="N13" s="6">
        <v>0</v>
      </c>
      <c r="O13" s="6">
        <v>0</v>
      </c>
      <c r="P13" s="6">
        <v>0</v>
      </c>
      <c r="Q13" s="6">
        <v>0</v>
      </c>
      <c r="R13" s="6">
        <v>0</v>
      </c>
      <c r="S13" s="6">
        <v>0</v>
      </c>
      <c r="T13" s="6">
        <v>0</v>
      </c>
      <c r="U13" s="6">
        <f t="shared" si="0"/>
        <v>0</v>
      </c>
    </row>
    <row r="14" spans="1:21" x14ac:dyDescent="0.25">
      <c r="A14" t="s">
        <v>4</v>
      </c>
      <c r="B14" s="6">
        <v>1493.612561511</v>
      </c>
      <c r="C14" s="6">
        <v>597.85108061999995</v>
      </c>
      <c r="D14" s="6">
        <v>0</v>
      </c>
      <c r="E14" s="6">
        <v>0</v>
      </c>
      <c r="F14" s="6">
        <v>1500.0824668719999</v>
      </c>
      <c r="G14" s="6">
        <v>14834.572279027601</v>
      </c>
      <c r="H14" s="6">
        <v>0</v>
      </c>
      <c r="I14" s="6">
        <v>0</v>
      </c>
      <c r="J14" s="6">
        <f t="shared" si="1"/>
        <v>18426.118388030602</v>
      </c>
      <c r="K14" s="6"/>
      <c r="L14" t="s">
        <v>4</v>
      </c>
      <c r="M14" s="6">
        <v>956.83903969288883</v>
      </c>
      <c r="N14" s="6">
        <v>1224.1339379127301</v>
      </c>
      <c r="O14" s="6">
        <v>768.81990026044366</v>
      </c>
      <c r="P14" s="6">
        <v>0</v>
      </c>
      <c r="Q14" s="6">
        <v>539.21421034216587</v>
      </c>
      <c r="R14" s="6">
        <v>12830.626867705188</v>
      </c>
      <c r="S14" s="6">
        <v>0</v>
      </c>
      <c r="T14" s="6">
        <v>0</v>
      </c>
      <c r="U14" s="6">
        <f t="shared" si="0"/>
        <v>16319.633955913418</v>
      </c>
    </row>
    <row r="15" spans="1:21" x14ac:dyDescent="0.25">
      <c r="A15" s="4" t="s">
        <v>5</v>
      </c>
      <c r="B15" s="10">
        <v>10978.524697376701</v>
      </c>
      <c r="C15" s="10">
        <v>4407.4861800294002</v>
      </c>
      <c r="D15" s="10">
        <v>4407.5817223415997</v>
      </c>
      <c r="E15" s="10">
        <v>239.33438527199999</v>
      </c>
      <c r="F15" s="10">
        <v>19518.690078103202</v>
      </c>
      <c r="G15" s="10">
        <v>2685.7757221400002</v>
      </c>
      <c r="H15" s="10">
        <v>149584.7963929759</v>
      </c>
      <c r="I15" s="10">
        <v>0</v>
      </c>
      <c r="J15" s="6">
        <f t="shared" si="1"/>
        <v>191822.1891782388</v>
      </c>
      <c r="K15" s="6"/>
      <c r="L15" s="4" t="s">
        <v>5</v>
      </c>
      <c r="M15" s="8">
        <v>12965.565795834274</v>
      </c>
      <c r="N15" s="8">
        <v>7486.8535130876135</v>
      </c>
      <c r="O15" s="8">
        <v>4017.2820721298226</v>
      </c>
      <c r="P15" s="8">
        <v>0</v>
      </c>
      <c r="Q15" s="8">
        <v>8193.8627684641178</v>
      </c>
      <c r="R15" s="8">
        <v>809.19817594973188</v>
      </c>
      <c r="S15" s="8">
        <v>190536.65482643383</v>
      </c>
      <c r="T15" s="8">
        <v>0</v>
      </c>
      <c r="U15" s="6">
        <f t="shared" si="0"/>
        <v>224009.4171518994</v>
      </c>
    </row>
    <row r="16" spans="1:21" ht="15.75" thickBot="1" x14ac:dyDescent="0.3">
      <c r="A16" s="12" t="s">
        <v>7</v>
      </c>
      <c r="B16" s="16">
        <f t="shared" ref="B16:J16" si="2">SUM(B5:B15)</f>
        <v>708638.01161206386</v>
      </c>
      <c r="C16" s="16">
        <f t="shared" si="2"/>
        <v>496808.01385396125</v>
      </c>
      <c r="D16" s="16">
        <f t="shared" si="2"/>
        <v>402290.07893586037</v>
      </c>
      <c r="E16" s="16">
        <f t="shared" si="2"/>
        <v>6879.0883700299992</v>
      </c>
      <c r="F16" s="16">
        <f t="shared" si="2"/>
        <v>106026.92663193791</v>
      </c>
      <c r="G16" s="16">
        <f t="shared" si="2"/>
        <v>17520.3480011676</v>
      </c>
      <c r="H16" s="16">
        <f t="shared" si="2"/>
        <v>149584.7963929759</v>
      </c>
      <c r="I16" s="16">
        <f t="shared" si="2"/>
        <v>5719.8784999999998</v>
      </c>
      <c r="J16" s="16">
        <f t="shared" si="2"/>
        <v>1893467.1422979971</v>
      </c>
      <c r="L16" s="9" t="s">
        <v>7</v>
      </c>
      <c r="M16" s="16">
        <f t="shared" ref="M16:U16" si="3">SUM(M5:M15)</f>
        <v>744615.51140505448</v>
      </c>
      <c r="N16" s="16">
        <f t="shared" si="3"/>
        <v>509025.33207309979</v>
      </c>
      <c r="O16" s="16">
        <f t="shared" si="3"/>
        <v>400370.58360267343</v>
      </c>
      <c r="P16" s="16">
        <f t="shared" si="3"/>
        <v>0</v>
      </c>
      <c r="Q16" s="16">
        <f t="shared" si="3"/>
        <v>48778.912824287763</v>
      </c>
      <c r="R16" s="16">
        <f t="shared" si="3"/>
        <v>13639.825043654921</v>
      </c>
      <c r="S16" s="16">
        <f t="shared" si="3"/>
        <v>190536.90482643383</v>
      </c>
      <c r="T16" s="16">
        <f t="shared" si="3"/>
        <v>0</v>
      </c>
      <c r="U16" s="16">
        <f t="shared" si="3"/>
        <v>1906967.0697752044</v>
      </c>
    </row>
    <row r="19" spans="1:21" ht="15.75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34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31" t="s">
        <v>44</v>
      </c>
      <c r="C20" s="31"/>
      <c r="D20" s="31"/>
      <c r="E20" s="31"/>
      <c r="F20" s="31"/>
      <c r="G20" s="31"/>
      <c r="H20" s="31"/>
      <c r="I20" s="31"/>
      <c r="J20" s="11"/>
      <c r="L20" s="3"/>
      <c r="M20" s="31" t="s">
        <v>44</v>
      </c>
      <c r="N20" s="31"/>
      <c r="O20" s="31"/>
      <c r="P20" s="31"/>
      <c r="Q20" s="31"/>
      <c r="R20" s="31"/>
      <c r="S20" s="31"/>
      <c r="T20" s="31"/>
      <c r="U20" s="31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t="shared" ref="B22:J22" si="4">B5/B$16</f>
        <v>0.98239984723580509</v>
      </c>
      <c r="C22" s="13">
        <f t="shared" si="4"/>
        <v>5.8320636774091716E-2</v>
      </c>
      <c r="D22" s="13">
        <f t="shared" si="4"/>
        <v>3.6347396792399171E-2</v>
      </c>
      <c r="E22" s="13">
        <f t="shared" si="4"/>
        <v>0.50441643680772597</v>
      </c>
      <c r="F22" s="13">
        <f t="shared" si="4"/>
        <v>9.9059149362971891E-3</v>
      </c>
      <c r="G22" s="13">
        <f t="shared" si="4"/>
        <v>0</v>
      </c>
      <c r="H22" s="13">
        <f t="shared" si="4"/>
        <v>0</v>
      </c>
      <c r="I22" s="13">
        <f t="shared" si="4"/>
        <v>0</v>
      </c>
      <c r="J22" s="13">
        <f t="shared" si="4"/>
        <v>0.39307914752474266</v>
      </c>
      <c r="K22" s="6"/>
      <c r="L22" t="s">
        <v>1</v>
      </c>
      <c r="M22" s="13">
        <f t="shared" ref="M22:P22" si="5">M5/M$16</f>
        <v>0.98130255867319194</v>
      </c>
      <c r="N22" s="13">
        <f t="shared" si="5"/>
        <v>7.4299566004518092E-2</v>
      </c>
      <c r="O22" s="13">
        <f t="shared" si="5"/>
        <v>2.5980449594989689E-2</v>
      </c>
      <c r="P22" s="13" t="e">
        <f t="shared" si="5"/>
        <v>#DIV/0!</v>
      </c>
      <c r="Q22" s="13">
        <f t="shared" ref="Q22:U33" si="6">Q5/Q$16</f>
        <v>9.1355142243478363E-3</v>
      </c>
      <c r="R22" s="13">
        <f t="shared" si="6"/>
        <v>0</v>
      </c>
      <c r="S22" s="13">
        <f t="shared" si="6"/>
        <v>0</v>
      </c>
      <c r="T22" s="13" t="e">
        <f t="shared" si="6"/>
        <v>#DIV/0!</v>
      </c>
      <c r="U22" s="13">
        <f t="shared" si="6"/>
        <v>0.40869132372500633</v>
      </c>
    </row>
    <row r="23" spans="1:21" x14ac:dyDescent="0.25">
      <c r="A23" t="s">
        <v>12</v>
      </c>
      <c r="B23" s="13">
        <f t="shared" ref="B23:J23" si="7">B6/B$16</f>
        <v>0</v>
      </c>
      <c r="C23" s="13">
        <f t="shared" si="7"/>
        <v>0.93160437022847087</v>
      </c>
      <c r="D23" s="13">
        <f t="shared" si="7"/>
        <v>0.10098549630645595</v>
      </c>
      <c r="E23" s="13">
        <f t="shared" si="7"/>
        <v>0</v>
      </c>
      <c r="F23" s="13">
        <f t="shared" si="7"/>
        <v>7.7847658492811667E-2</v>
      </c>
      <c r="G23" s="13">
        <f t="shared" si="7"/>
        <v>0</v>
      </c>
      <c r="H23" s="13">
        <f t="shared" si="7"/>
        <v>0</v>
      </c>
      <c r="I23" s="13">
        <f t="shared" si="7"/>
        <v>0</v>
      </c>
      <c r="J23" s="13">
        <f t="shared" si="7"/>
        <v>0.27024917237583107</v>
      </c>
      <c r="K23" s="6"/>
      <c r="L23" t="s">
        <v>12</v>
      </c>
      <c r="M23" s="13">
        <f t="shared" ref="M23:P23" si="8">M6/M$16</f>
        <v>0</v>
      </c>
      <c r="N23" s="13">
        <f t="shared" si="8"/>
        <v>0.9085873614190676</v>
      </c>
      <c r="O23" s="13">
        <f t="shared" si="8"/>
        <v>0.17083255516121928</v>
      </c>
      <c r="P23" s="13" t="e">
        <f t="shared" si="8"/>
        <v>#DIV/0!</v>
      </c>
      <c r="Q23" s="13">
        <f t="shared" si="6"/>
        <v>0.10798904849573893</v>
      </c>
      <c r="R23" s="13">
        <f t="shared" si="6"/>
        <v>0</v>
      </c>
      <c r="S23" s="13">
        <f t="shared" si="6"/>
        <v>0</v>
      </c>
      <c r="T23" s="13" t="e">
        <f t="shared" si="6"/>
        <v>#DIV/0!</v>
      </c>
      <c r="U23" s="13">
        <f t="shared" si="6"/>
        <v>0.28115739912475263</v>
      </c>
    </row>
    <row r="24" spans="1:21" x14ac:dyDescent="0.25">
      <c r="A24" t="s">
        <v>56</v>
      </c>
      <c r="B24" s="13">
        <f t="shared" ref="B24:J24" si="9">B7/B$16</f>
        <v>0</v>
      </c>
      <c r="C24" s="13">
        <f t="shared" si="9"/>
        <v>0</v>
      </c>
      <c r="D24" s="13">
        <f t="shared" si="9"/>
        <v>0.85171087916120025</v>
      </c>
      <c r="E24" s="13">
        <f t="shared" si="9"/>
        <v>5.47452660554145E-2</v>
      </c>
      <c r="F24" s="13">
        <f t="shared" si="9"/>
        <v>2.4677968311229322E-3</v>
      </c>
      <c r="G24" s="13">
        <f t="shared" si="9"/>
        <v>0</v>
      </c>
      <c r="H24" s="13">
        <f t="shared" si="9"/>
        <v>0</v>
      </c>
      <c r="I24" s="13">
        <f t="shared" si="9"/>
        <v>0.16056479608788893</v>
      </c>
      <c r="J24" s="13">
        <f t="shared" si="9"/>
        <v>0.18177843738664298</v>
      </c>
      <c r="K24" s="6"/>
      <c r="L24" t="s">
        <v>56</v>
      </c>
      <c r="M24" s="13">
        <f t="shared" ref="M24:P24" si="10">M7/M$16</f>
        <v>0</v>
      </c>
      <c r="N24" s="13">
        <f t="shared" si="10"/>
        <v>0</v>
      </c>
      <c r="O24" s="13">
        <f t="shared" si="10"/>
        <v>0.79123281537042667</v>
      </c>
      <c r="P24" s="13" t="e">
        <f t="shared" si="10"/>
        <v>#DIV/0!</v>
      </c>
      <c r="Q24" s="13">
        <f t="shared" si="6"/>
        <v>4.2879916224553304E-2</v>
      </c>
      <c r="R24" s="13">
        <f t="shared" si="6"/>
        <v>0</v>
      </c>
      <c r="S24" s="13">
        <f t="shared" si="6"/>
        <v>1.3120817734901961E-6</v>
      </c>
      <c r="T24" s="13" t="e">
        <f t="shared" si="6"/>
        <v>#DIV/0!</v>
      </c>
      <c r="U24" s="13">
        <f t="shared" si="6"/>
        <v>0.16721748099638872</v>
      </c>
    </row>
    <row r="25" spans="1:21" x14ac:dyDescent="0.25">
      <c r="A25" t="s">
        <v>51</v>
      </c>
      <c r="B25" s="13">
        <f t="shared" ref="B25:J25" si="11">B8/B$16</f>
        <v>0</v>
      </c>
      <c r="C25" s="13">
        <f t="shared" si="11"/>
        <v>0</v>
      </c>
      <c r="D25" s="13">
        <f t="shared" si="11"/>
        <v>0</v>
      </c>
      <c r="E25" s="13">
        <f t="shared" si="11"/>
        <v>0.40604671249685059</v>
      </c>
      <c r="F25" s="13">
        <f t="shared" si="11"/>
        <v>0.71153868058100578</v>
      </c>
      <c r="G25" s="13">
        <f t="shared" si="11"/>
        <v>0</v>
      </c>
      <c r="H25" s="13">
        <f t="shared" si="11"/>
        <v>0</v>
      </c>
      <c r="I25" s="13">
        <f t="shared" si="11"/>
        <v>0</v>
      </c>
      <c r="J25" s="13">
        <f t="shared" si="11"/>
        <v>4.1318641845785653E-2</v>
      </c>
      <c r="K25" s="6"/>
      <c r="L25" t="s">
        <v>51</v>
      </c>
      <c r="M25" s="13">
        <f t="shared" ref="M25:P25" si="12">M8/M$16</f>
        <v>0</v>
      </c>
      <c r="N25" s="13">
        <f t="shared" si="12"/>
        <v>0</v>
      </c>
      <c r="O25" s="13">
        <f t="shared" si="12"/>
        <v>0</v>
      </c>
      <c r="P25" s="13" t="e">
        <f t="shared" si="12"/>
        <v>#DIV/0!</v>
      </c>
      <c r="Q25" s="13">
        <f t="shared" si="6"/>
        <v>0.66096166250536059</v>
      </c>
      <c r="R25" s="13">
        <f t="shared" si="6"/>
        <v>0</v>
      </c>
      <c r="S25" s="13">
        <f t="shared" si="6"/>
        <v>0</v>
      </c>
      <c r="T25" s="13" t="e">
        <f t="shared" si="6"/>
        <v>#DIV/0!</v>
      </c>
      <c r="U25" s="13">
        <f t="shared" si="6"/>
        <v>1.6906947071375439E-2</v>
      </c>
    </row>
    <row r="26" spans="1:21" x14ac:dyDescent="0.25">
      <c r="A26" t="s">
        <v>52</v>
      </c>
      <c r="B26" s="13">
        <f t="shared" ref="B26:J26" si="13">B9/B$16</f>
        <v>0</v>
      </c>
      <c r="C26" s="13">
        <f t="shared" si="13"/>
        <v>0</v>
      </c>
      <c r="D26" s="13">
        <f t="shared" si="13"/>
        <v>0</v>
      </c>
      <c r="E26" s="13">
        <f t="shared" si="13"/>
        <v>0</v>
      </c>
      <c r="F26" s="13">
        <f t="shared" si="13"/>
        <v>0</v>
      </c>
      <c r="G26" s="13">
        <f t="shared" si="13"/>
        <v>0</v>
      </c>
      <c r="H26" s="13">
        <f t="shared" si="13"/>
        <v>0</v>
      </c>
      <c r="I26" s="13">
        <f t="shared" si="13"/>
        <v>0</v>
      </c>
      <c r="J26" s="13">
        <f t="shared" si="13"/>
        <v>0</v>
      </c>
      <c r="K26" s="6"/>
      <c r="L26" t="s">
        <v>52</v>
      </c>
      <c r="M26" s="13">
        <f t="shared" ref="M26:P26" si="14">M9/M$16</f>
        <v>0</v>
      </c>
      <c r="N26" s="13">
        <f t="shared" si="14"/>
        <v>0</v>
      </c>
      <c r="O26" s="13">
        <f t="shared" si="14"/>
        <v>0</v>
      </c>
      <c r="P26" s="13" t="e">
        <f t="shared" si="14"/>
        <v>#DIV/0!</v>
      </c>
      <c r="Q26" s="13">
        <f t="shared" si="6"/>
        <v>0</v>
      </c>
      <c r="R26" s="13">
        <f t="shared" si="6"/>
        <v>0</v>
      </c>
      <c r="S26" s="13">
        <f t="shared" si="6"/>
        <v>0</v>
      </c>
      <c r="T26" s="13" t="e">
        <f t="shared" si="6"/>
        <v>#DIV/0!</v>
      </c>
      <c r="U26" s="13">
        <f t="shared" si="6"/>
        <v>0</v>
      </c>
    </row>
    <row r="27" spans="1:21" x14ac:dyDescent="0.25">
      <c r="A27" t="s">
        <v>53</v>
      </c>
      <c r="B27" s="13">
        <f t="shared" ref="B27:J27" si="15">B10/B$16</f>
        <v>0</v>
      </c>
      <c r="C27" s="13">
        <f t="shared" si="15"/>
        <v>0</v>
      </c>
      <c r="D27" s="13">
        <f t="shared" si="15"/>
        <v>0</v>
      </c>
      <c r="E27" s="13">
        <f t="shared" si="15"/>
        <v>0</v>
      </c>
      <c r="F27" s="13">
        <f t="shared" si="15"/>
        <v>0</v>
      </c>
      <c r="G27" s="13">
        <f t="shared" si="15"/>
        <v>0</v>
      </c>
      <c r="H27" s="13">
        <f t="shared" si="15"/>
        <v>0</v>
      </c>
      <c r="I27" s="13">
        <f t="shared" si="15"/>
        <v>0</v>
      </c>
      <c r="J27" s="13">
        <f t="shared" si="15"/>
        <v>0</v>
      </c>
      <c r="K27" s="6"/>
      <c r="L27" t="s">
        <v>53</v>
      </c>
      <c r="M27" s="13">
        <f t="shared" ref="M27:P27" si="16">M10/M$16</f>
        <v>0</v>
      </c>
      <c r="N27" s="13">
        <f t="shared" si="16"/>
        <v>0</v>
      </c>
      <c r="O27" s="13">
        <f t="shared" si="16"/>
        <v>0</v>
      </c>
      <c r="P27" s="13" t="e">
        <f t="shared" si="16"/>
        <v>#DIV/0!</v>
      </c>
      <c r="Q27" s="13">
        <f t="shared" si="6"/>
        <v>0</v>
      </c>
      <c r="R27" s="13">
        <f t="shared" si="6"/>
        <v>0</v>
      </c>
      <c r="S27" s="13">
        <f t="shared" si="6"/>
        <v>0</v>
      </c>
      <c r="T27" s="13" t="e">
        <f t="shared" si="6"/>
        <v>#DIV/0!</v>
      </c>
      <c r="U27" s="13">
        <f t="shared" si="6"/>
        <v>0</v>
      </c>
    </row>
    <row r="28" spans="1:21" x14ac:dyDescent="0.25">
      <c r="A28" t="s">
        <v>54</v>
      </c>
      <c r="B28" s="13">
        <f t="shared" ref="B28:J28" si="17">B11/B$16</f>
        <v>0</v>
      </c>
      <c r="C28" s="13">
        <f t="shared" si="17"/>
        <v>0</v>
      </c>
      <c r="D28" s="13">
        <f t="shared" si="17"/>
        <v>0</v>
      </c>
      <c r="E28" s="13">
        <f t="shared" si="17"/>
        <v>0</v>
      </c>
      <c r="F28" s="13">
        <f t="shared" si="17"/>
        <v>0</v>
      </c>
      <c r="G28" s="13">
        <f t="shared" si="17"/>
        <v>0</v>
      </c>
      <c r="H28" s="13">
        <f t="shared" si="17"/>
        <v>0</v>
      </c>
      <c r="I28" s="13">
        <f t="shared" si="17"/>
        <v>0</v>
      </c>
      <c r="J28" s="13">
        <f t="shared" si="17"/>
        <v>0</v>
      </c>
      <c r="K28" s="6"/>
      <c r="L28" t="s">
        <v>54</v>
      </c>
      <c r="M28" s="13">
        <f t="shared" ref="M28:P28" si="18">M11/M$16</f>
        <v>0</v>
      </c>
      <c r="N28" s="13">
        <f t="shared" si="18"/>
        <v>0</v>
      </c>
      <c r="O28" s="13">
        <f t="shared" si="18"/>
        <v>0</v>
      </c>
      <c r="P28" s="13" t="e">
        <f t="shared" si="18"/>
        <v>#DIV/0!</v>
      </c>
      <c r="Q28" s="13">
        <f t="shared" si="6"/>
        <v>0</v>
      </c>
      <c r="R28" s="13">
        <f t="shared" si="6"/>
        <v>0</v>
      </c>
      <c r="S28" s="13">
        <f t="shared" si="6"/>
        <v>0</v>
      </c>
      <c r="T28" s="13" t="e">
        <f t="shared" si="6"/>
        <v>#DIV/0!</v>
      </c>
      <c r="U28" s="13">
        <f t="shared" si="6"/>
        <v>0</v>
      </c>
    </row>
    <row r="29" spans="1:21" x14ac:dyDescent="0.25">
      <c r="A29" t="s">
        <v>55</v>
      </c>
      <c r="B29" s="13">
        <f t="shared" ref="B29:J29" si="19">B12/B$16</f>
        <v>0</v>
      </c>
      <c r="C29" s="13">
        <f t="shared" si="19"/>
        <v>0</v>
      </c>
      <c r="D29" s="13">
        <f t="shared" si="19"/>
        <v>0</v>
      </c>
      <c r="E29" s="13">
        <f t="shared" si="19"/>
        <v>0</v>
      </c>
      <c r="F29" s="13">
        <f t="shared" si="19"/>
        <v>0</v>
      </c>
      <c r="G29" s="13">
        <f t="shared" si="19"/>
        <v>0</v>
      </c>
      <c r="H29" s="13">
        <f t="shared" si="19"/>
        <v>0</v>
      </c>
      <c r="I29" s="13">
        <f t="shared" si="19"/>
        <v>0</v>
      </c>
      <c r="J29" s="13">
        <f t="shared" si="19"/>
        <v>0</v>
      </c>
      <c r="K29" s="6"/>
      <c r="L29" t="s">
        <v>55</v>
      </c>
      <c r="M29" s="13">
        <f t="shared" ref="M29:P29" si="20">M12/M$16</f>
        <v>0</v>
      </c>
      <c r="N29" s="13">
        <f t="shared" si="20"/>
        <v>0</v>
      </c>
      <c r="O29" s="13">
        <f t="shared" si="20"/>
        <v>0</v>
      </c>
      <c r="P29" s="13" t="e">
        <f t="shared" si="20"/>
        <v>#DIV/0!</v>
      </c>
      <c r="Q29" s="13">
        <f t="shared" si="6"/>
        <v>0</v>
      </c>
      <c r="R29" s="13">
        <f t="shared" si="6"/>
        <v>0</v>
      </c>
      <c r="S29" s="13">
        <f t="shared" si="6"/>
        <v>0</v>
      </c>
      <c r="T29" s="13" t="e">
        <f t="shared" si="6"/>
        <v>#DIV/0!</v>
      </c>
      <c r="U29" s="13">
        <f t="shared" si="6"/>
        <v>0</v>
      </c>
    </row>
    <row r="30" spans="1:21" x14ac:dyDescent="0.25">
      <c r="A30" t="s">
        <v>24</v>
      </c>
      <c r="B30" s="13">
        <f t="shared" ref="B30:J30" si="21">B13/B$16</f>
        <v>0</v>
      </c>
      <c r="C30" s="13">
        <f t="shared" si="21"/>
        <v>0</v>
      </c>
      <c r="D30" s="13">
        <f t="shared" si="21"/>
        <v>0</v>
      </c>
      <c r="E30" s="13">
        <f t="shared" si="21"/>
        <v>0</v>
      </c>
      <c r="F30" s="13">
        <f t="shared" si="21"/>
        <v>0</v>
      </c>
      <c r="G30" s="13">
        <f t="shared" si="21"/>
        <v>0</v>
      </c>
      <c r="H30" s="13">
        <f t="shared" si="21"/>
        <v>0</v>
      </c>
      <c r="I30" s="13">
        <f t="shared" si="21"/>
        <v>0.83943520391211113</v>
      </c>
      <c r="J30" s="13">
        <f t="shared" si="21"/>
        <v>2.5358070746201188E-3</v>
      </c>
      <c r="K30" s="6"/>
      <c r="M30" s="13">
        <f t="shared" ref="M30:P30" si="22">M13/M$16</f>
        <v>0</v>
      </c>
      <c r="N30" s="13">
        <f t="shared" si="22"/>
        <v>0</v>
      </c>
      <c r="O30" s="13">
        <f t="shared" si="22"/>
        <v>0</v>
      </c>
      <c r="P30" s="13" t="e">
        <f t="shared" si="22"/>
        <v>#DIV/0!</v>
      </c>
      <c r="Q30" s="13">
        <f t="shared" si="6"/>
        <v>0</v>
      </c>
      <c r="R30" s="13">
        <f t="shared" si="6"/>
        <v>0</v>
      </c>
      <c r="S30" s="13">
        <f t="shared" si="6"/>
        <v>0</v>
      </c>
      <c r="T30" s="13" t="e">
        <f t="shared" si="6"/>
        <v>#DIV/0!</v>
      </c>
      <c r="U30" s="13">
        <f t="shared" si="6"/>
        <v>0</v>
      </c>
    </row>
    <row r="31" spans="1:21" x14ac:dyDescent="0.25">
      <c r="A31" t="s">
        <v>4</v>
      </c>
      <c r="B31" s="13">
        <f t="shared" ref="B31:J31" si="23">B14/B$16</f>
        <v>2.1077228952384535E-3</v>
      </c>
      <c r="C31" s="13">
        <f t="shared" si="23"/>
        <v>1.2033845347666648E-3</v>
      </c>
      <c r="D31" s="13">
        <f t="shared" si="23"/>
        <v>0</v>
      </c>
      <c r="E31" s="13">
        <f t="shared" si="23"/>
        <v>0</v>
      </c>
      <c r="F31" s="13">
        <f t="shared" si="23"/>
        <v>1.4148127409930397E-2</v>
      </c>
      <c r="G31" s="13">
        <f t="shared" si="23"/>
        <v>0.84670534386868279</v>
      </c>
      <c r="H31" s="13">
        <f t="shared" si="23"/>
        <v>0</v>
      </c>
      <c r="I31" s="13">
        <f t="shared" si="23"/>
        <v>0</v>
      </c>
      <c r="J31" s="13">
        <f t="shared" si="23"/>
        <v>9.7314170266867336E-3</v>
      </c>
      <c r="K31" s="6"/>
      <c r="L31" t="s">
        <v>4</v>
      </c>
      <c r="M31" s="13">
        <f t="shared" ref="M31:P31" si="24">M14/M$16</f>
        <v>1.2850108882198525E-3</v>
      </c>
      <c r="N31" s="13">
        <f t="shared" si="24"/>
        <v>2.4048585812561003E-3</v>
      </c>
      <c r="O31" s="13">
        <f t="shared" si="24"/>
        <v>1.9202706985671511E-3</v>
      </c>
      <c r="P31" s="13" t="e">
        <f t="shared" si="24"/>
        <v>#DIV/0!</v>
      </c>
      <c r="Q31" s="13">
        <f t="shared" si="6"/>
        <v>1.1054248221655381E-2</v>
      </c>
      <c r="R31" s="13">
        <f t="shared" si="6"/>
        <v>0.94067385957225591</v>
      </c>
      <c r="S31" s="13">
        <f t="shared" si="6"/>
        <v>0</v>
      </c>
      <c r="T31" s="13" t="e">
        <f t="shared" si="6"/>
        <v>#DIV/0!</v>
      </c>
      <c r="U31" s="13">
        <f t="shared" si="6"/>
        <v>8.5579002461941816E-3</v>
      </c>
    </row>
    <row r="32" spans="1:21" x14ac:dyDescent="0.25">
      <c r="A32" s="4" t="s">
        <v>5</v>
      </c>
      <c r="B32" s="14">
        <f t="shared" ref="B32:J32" si="25">B15/B$16</f>
        <v>1.5492429868956527E-2</v>
      </c>
      <c r="C32" s="14">
        <f t="shared" si="25"/>
        <v>8.8716084626706496E-3</v>
      </c>
      <c r="D32" s="14">
        <f t="shared" si="25"/>
        <v>1.0956227739944658E-2</v>
      </c>
      <c r="E32" s="14">
        <f t="shared" si="25"/>
        <v>3.4791584640008963E-2</v>
      </c>
      <c r="F32" s="14">
        <f t="shared" si="25"/>
        <v>0.18409182174883199</v>
      </c>
      <c r="G32" s="14">
        <f t="shared" si="25"/>
        <v>0.15329465613131732</v>
      </c>
      <c r="H32" s="14">
        <f t="shared" si="25"/>
        <v>1</v>
      </c>
      <c r="I32" s="14">
        <f t="shared" si="25"/>
        <v>0</v>
      </c>
      <c r="J32" s="14">
        <f t="shared" si="25"/>
        <v>0.10130737676569065</v>
      </c>
      <c r="K32" s="6"/>
      <c r="L32" s="4" t="s">
        <v>5</v>
      </c>
      <c r="M32" s="14">
        <f t="shared" ref="M32:P32" si="26">M15/M$16</f>
        <v>1.7412430438588179E-2</v>
      </c>
      <c r="N32" s="14">
        <f t="shared" si="26"/>
        <v>1.4708213995158193E-2</v>
      </c>
      <c r="O32" s="14">
        <f t="shared" si="26"/>
        <v>1.0033909174797321E-2</v>
      </c>
      <c r="P32" s="14" t="e">
        <f t="shared" si="26"/>
        <v>#DIV/0!</v>
      </c>
      <c r="Q32" s="14">
        <f t="shared" si="6"/>
        <v>0.16797961032834394</v>
      </c>
      <c r="R32" s="14">
        <f t="shared" si="6"/>
        <v>5.9326140427744048E-2</v>
      </c>
      <c r="S32" s="14">
        <f t="shared" si="6"/>
        <v>0.99999868791822655</v>
      </c>
      <c r="T32" s="14" t="e">
        <f t="shared" si="6"/>
        <v>#DIV/0!</v>
      </c>
      <c r="U32" s="14">
        <f t="shared" si="6"/>
        <v>0.11746894883628269</v>
      </c>
    </row>
    <row r="33" spans="1:32" ht="15.75" thickBot="1" x14ac:dyDescent="0.3">
      <c r="A33" s="12" t="s">
        <v>7</v>
      </c>
      <c r="B33" s="15">
        <f t="shared" ref="B33:J33" si="27">B16/B$16</f>
        <v>1</v>
      </c>
      <c r="C33" s="15">
        <f t="shared" si="27"/>
        <v>1</v>
      </c>
      <c r="D33" s="15">
        <f t="shared" si="27"/>
        <v>1</v>
      </c>
      <c r="E33" s="15">
        <f t="shared" si="27"/>
        <v>1</v>
      </c>
      <c r="F33" s="15">
        <f t="shared" si="27"/>
        <v>1</v>
      </c>
      <c r="G33" s="15">
        <f t="shared" si="27"/>
        <v>1</v>
      </c>
      <c r="H33" s="15">
        <f t="shared" si="27"/>
        <v>1</v>
      </c>
      <c r="I33" s="15">
        <f t="shared" si="27"/>
        <v>1</v>
      </c>
      <c r="J33" s="15">
        <f t="shared" si="27"/>
        <v>1</v>
      </c>
      <c r="L33" s="9" t="s">
        <v>7</v>
      </c>
      <c r="M33" s="15">
        <f t="shared" ref="M33:P33" si="28">M16/M$16</f>
        <v>1</v>
      </c>
      <c r="N33" s="15">
        <f t="shared" si="28"/>
        <v>1</v>
      </c>
      <c r="O33" s="15">
        <f t="shared" si="28"/>
        <v>1</v>
      </c>
      <c r="P33" s="15" t="e">
        <f t="shared" si="28"/>
        <v>#DIV/0!</v>
      </c>
      <c r="Q33" s="15">
        <f t="shared" si="6"/>
        <v>1</v>
      </c>
      <c r="R33" s="15">
        <f t="shared" si="6"/>
        <v>1</v>
      </c>
      <c r="S33" s="15">
        <f t="shared" si="6"/>
        <v>1</v>
      </c>
      <c r="T33" s="15" t="e">
        <f t="shared" si="6"/>
        <v>#DIV/0!</v>
      </c>
      <c r="U33" s="15">
        <f t="shared" si="6"/>
        <v>1</v>
      </c>
    </row>
    <row r="36" spans="1:32" ht="15.75" thickBot="1" x14ac:dyDescent="0.3">
      <c r="L36" s="1" t="s">
        <v>20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25">
      <c r="L37" s="3"/>
      <c r="M37" s="31" t="s">
        <v>44</v>
      </c>
      <c r="N37" s="31"/>
      <c r="O37" s="31"/>
      <c r="P37" s="31"/>
      <c r="Q37" s="31"/>
      <c r="R37" s="31"/>
      <c r="S37" s="31"/>
      <c r="T37" s="31"/>
      <c r="U37" s="31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</row>
    <row r="39" spans="1:32" x14ac:dyDescent="0.25">
      <c r="L39" t="s">
        <v>1</v>
      </c>
      <c r="M39" s="13">
        <f t="shared" ref="M39:P44" si="29">M22-B22</f>
        <v>-1.0972885626131523E-3</v>
      </c>
      <c r="N39" s="13">
        <f t="shared" si="29"/>
        <v>1.5978929230426375E-2</v>
      </c>
      <c r="O39" s="13">
        <f t="shared" si="29"/>
        <v>-1.0366947197409482E-2</v>
      </c>
      <c r="P39" s="13" t="e">
        <f t="shared" si="29"/>
        <v>#DIV/0!</v>
      </c>
      <c r="Q39" s="13">
        <f t="shared" ref="Q39:Q50" si="30">Q22-F22</f>
        <v>-7.7040071194935285E-4</v>
      </c>
      <c r="R39" s="13">
        <f t="shared" ref="R39:R50" si="31">R22-G22</f>
        <v>0</v>
      </c>
      <c r="S39" s="13">
        <f t="shared" ref="S39:S50" si="32">S22-H22</f>
        <v>0</v>
      </c>
      <c r="T39" s="13" t="e">
        <f t="shared" ref="T39:T50" si="33">T22-I22</f>
        <v>#DIV/0!</v>
      </c>
      <c r="U39" s="13">
        <f t="shared" ref="U39:U50" si="34">U22-J22</f>
        <v>1.5612176200263672E-2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25">
      <c r="L40" t="s">
        <v>12</v>
      </c>
      <c r="M40" s="13">
        <f t="shared" si="29"/>
        <v>0</v>
      </c>
      <c r="N40" s="13">
        <f t="shared" si="29"/>
        <v>-2.3017008809403272E-2</v>
      </c>
      <c r="O40" s="13">
        <f t="shared" si="29"/>
        <v>6.9847058854763333E-2</v>
      </c>
      <c r="P40" s="13" t="e">
        <f t="shared" si="29"/>
        <v>#DIV/0!</v>
      </c>
      <c r="Q40" s="13">
        <f t="shared" si="30"/>
        <v>3.014139000292726E-2</v>
      </c>
      <c r="R40" s="13">
        <f t="shared" si="31"/>
        <v>0</v>
      </c>
      <c r="S40" s="13">
        <f t="shared" si="32"/>
        <v>0</v>
      </c>
      <c r="T40" s="13" t="e">
        <f t="shared" si="33"/>
        <v>#DIV/0!</v>
      </c>
      <c r="U40" s="13">
        <f t="shared" si="34"/>
        <v>1.0908226748921557E-2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25">
      <c r="L41" t="s">
        <v>56</v>
      </c>
      <c r="M41" s="13">
        <f t="shared" si="29"/>
        <v>0</v>
      </c>
      <c r="N41" s="13">
        <f t="shared" si="29"/>
        <v>0</v>
      </c>
      <c r="O41" s="13">
        <f t="shared" si="29"/>
        <v>-6.0478063790773584E-2</v>
      </c>
      <c r="P41" s="13" t="e">
        <f t="shared" si="29"/>
        <v>#DIV/0!</v>
      </c>
      <c r="Q41" s="13">
        <f t="shared" si="30"/>
        <v>4.0412119393430368E-2</v>
      </c>
      <c r="R41" s="13">
        <f t="shared" si="31"/>
        <v>0</v>
      </c>
      <c r="S41" s="13">
        <f t="shared" si="32"/>
        <v>1.3120817734901961E-6</v>
      </c>
      <c r="T41" s="13" t="e">
        <f t="shared" si="33"/>
        <v>#DIV/0!</v>
      </c>
      <c r="U41" s="13">
        <f t="shared" si="34"/>
        <v>-1.4560956390254259E-2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25">
      <c r="L42" t="s">
        <v>51</v>
      </c>
      <c r="M42" s="13">
        <f t="shared" si="29"/>
        <v>0</v>
      </c>
      <c r="N42" s="13">
        <f t="shared" si="29"/>
        <v>0</v>
      </c>
      <c r="O42" s="13">
        <f t="shared" si="29"/>
        <v>0</v>
      </c>
      <c r="P42" s="13" t="e">
        <f t="shared" si="29"/>
        <v>#DIV/0!</v>
      </c>
      <c r="Q42" s="13">
        <f t="shared" si="30"/>
        <v>-5.0577018075645186E-2</v>
      </c>
      <c r="R42" s="13">
        <f t="shared" si="31"/>
        <v>0</v>
      </c>
      <c r="S42" s="13">
        <f t="shared" si="32"/>
        <v>0</v>
      </c>
      <c r="T42" s="13" t="e">
        <f t="shared" si="33"/>
        <v>#DIV/0!</v>
      </c>
      <c r="U42" s="13">
        <f t="shared" si="34"/>
        <v>-2.4411694774410214E-2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25">
      <c r="L43" t="s">
        <v>52</v>
      </c>
      <c r="M43" s="13">
        <f t="shared" si="29"/>
        <v>0</v>
      </c>
      <c r="N43" s="13">
        <f t="shared" si="29"/>
        <v>0</v>
      </c>
      <c r="O43" s="13">
        <f t="shared" si="29"/>
        <v>0</v>
      </c>
      <c r="P43" s="13" t="e">
        <f t="shared" si="29"/>
        <v>#DIV/0!</v>
      </c>
      <c r="Q43" s="13">
        <f t="shared" si="30"/>
        <v>0</v>
      </c>
      <c r="R43" s="13">
        <f t="shared" si="31"/>
        <v>0</v>
      </c>
      <c r="S43" s="13">
        <f t="shared" si="32"/>
        <v>0</v>
      </c>
      <c r="T43" s="13" t="e">
        <f t="shared" si="33"/>
        <v>#DIV/0!</v>
      </c>
      <c r="U43" s="13">
        <f t="shared" si="34"/>
        <v>0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25">
      <c r="L44" t="s">
        <v>53</v>
      </c>
      <c r="M44" s="13">
        <f t="shared" si="29"/>
        <v>0</v>
      </c>
      <c r="N44" s="13">
        <f t="shared" si="29"/>
        <v>0</v>
      </c>
      <c r="O44" s="13">
        <f t="shared" si="29"/>
        <v>0</v>
      </c>
      <c r="P44" s="13" t="e">
        <f t="shared" si="29"/>
        <v>#DIV/0!</v>
      </c>
      <c r="Q44" s="13">
        <f t="shared" si="30"/>
        <v>0</v>
      </c>
      <c r="R44" s="13">
        <f t="shared" si="31"/>
        <v>0</v>
      </c>
      <c r="S44" s="13">
        <f t="shared" si="32"/>
        <v>0</v>
      </c>
      <c r="T44" s="13" t="e">
        <f t="shared" si="33"/>
        <v>#DIV/0!</v>
      </c>
      <c r="U44" s="13">
        <f t="shared" si="34"/>
        <v>0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25">
      <c r="L45" t="s">
        <v>54</v>
      </c>
      <c r="M45" s="13">
        <f t="shared" ref="M45:M47" si="35">M28-B28</f>
        <v>0</v>
      </c>
      <c r="N45" s="13">
        <f t="shared" ref="N45:N47" si="36">N28-C28</f>
        <v>0</v>
      </c>
      <c r="O45" s="13">
        <f t="shared" ref="O45:O47" si="37">O28-D28</f>
        <v>0</v>
      </c>
      <c r="P45" s="13" t="e">
        <f t="shared" ref="P45:P47" si="38">P28-E28</f>
        <v>#DIV/0!</v>
      </c>
      <c r="Q45" s="13">
        <f t="shared" si="30"/>
        <v>0</v>
      </c>
      <c r="R45" s="13">
        <f t="shared" si="31"/>
        <v>0</v>
      </c>
      <c r="S45" s="13">
        <f t="shared" si="32"/>
        <v>0</v>
      </c>
      <c r="T45" s="13" t="e">
        <f t="shared" si="33"/>
        <v>#DIV/0!</v>
      </c>
      <c r="U45" s="13">
        <f t="shared" si="34"/>
        <v>0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25">
      <c r="L46" t="s">
        <v>55</v>
      </c>
      <c r="M46" s="13">
        <f t="shared" si="35"/>
        <v>0</v>
      </c>
      <c r="N46" s="13">
        <f t="shared" si="36"/>
        <v>0</v>
      </c>
      <c r="O46" s="13">
        <f t="shared" si="37"/>
        <v>0</v>
      </c>
      <c r="P46" s="13" t="e">
        <f t="shared" si="38"/>
        <v>#DIV/0!</v>
      </c>
      <c r="Q46" s="13">
        <f t="shared" si="30"/>
        <v>0</v>
      </c>
      <c r="R46" s="13">
        <f t="shared" si="31"/>
        <v>0</v>
      </c>
      <c r="S46" s="13">
        <f t="shared" si="32"/>
        <v>0</v>
      </c>
      <c r="T46" s="13" t="e">
        <f t="shared" si="33"/>
        <v>#DIV/0!</v>
      </c>
      <c r="U46" s="13">
        <f t="shared" si="34"/>
        <v>0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25">
      <c r="L47" t="s">
        <v>24</v>
      </c>
      <c r="M47" s="13">
        <f t="shared" si="35"/>
        <v>0</v>
      </c>
      <c r="N47" s="13">
        <f t="shared" si="36"/>
        <v>0</v>
      </c>
      <c r="O47" s="13">
        <f t="shared" si="37"/>
        <v>0</v>
      </c>
      <c r="P47" s="13" t="e">
        <f t="shared" si="38"/>
        <v>#DIV/0!</v>
      </c>
      <c r="Q47" s="13">
        <f t="shared" si="30"/>
        <v>0</v>
      </c>
      <c r="R47" s="13">
        <f t="shared" si="31"/>
        <v>0</v>
      </c>
      <c r="S47" s="13">
        <f t="shared" si="32"/>
        <v>0</v>
      </c>
      <c r="T47" s="13" t="e">
        <f t="shared" si="33"/>
        <v>#DIV/0!</v>
      </c>
      <c r="U47" s="13">
        <f t="shared" si="34"/>
        <v>-2.5358070746201188E-3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25">
      <c r="L48" t="s">
        <v>4</v>
      </c>
      <c r="M48" s="13">
        <f t="shared" ref="M48:P50" si="39">M31-B31</f>
        <v>-8.2271200701860094E-4</v>
      </c>
      <c r="N48" s="13">
        <f t="shared" si="39"/>
        <v>1.2014740464894355E-3</v>
      </c>
      <c r="O48" s="13">
        <f t="shared" si="39"/>
        <v>1.9202706985671511E-3</v>
      </c>
      <c r="P48" s="13" t="e">
        <f t="shared" si="39"/>
        <v>#DIV/0!</v>
      </c>
      <c r="Q48" s="13">
        <f t="shared" si="30"/>
        <v>-3.0938791882750161E-3</v>
      </c>
      <c r="R48" s="13">
        <f t="shared" si="31"/>
        <v>9.3968515703573119E-2</v>
      </c>
      <c r="S48" s="13">
        <f t="shared" si="32"/>
        <v>0</v>
      </c>
      <c r="T48" s="13" t="e">
        <f t="shared" si="33"/>
        <v>#DIV/0!</v>
      </c>
      <c r="U48" s="13">
        <f t="shared" si="34"/>
        <v>-1.173516780492552E-3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25">
      <c r="L49" s="4" t="s">
        <v>5</v>
      </c>
      <c r="M49" s="17">
        <f t="shared" si="39"/>
        <v>1.9200005696316524E-3</v>
      </c>
      <c r="N49" s="17">
        <f t="shared" si="39"/>
        <v>5.8366055324875436E-3</v>
      </c>
      <c r="O49" s="17">
        <f t="shared" si="39"/>
        <v>-9.2231856514733701E-4</v>
      </c>
      <c r="P49" s="17" t="e">
        <f t="shared" si="39"/>
        <v>#DIV/0!</v>
      </c>
      <c r="Q49" s="17">
        <f t="shared" si="30"/>
        <v>-1.6112211420488048E-2</v>
      </c>
      <c r="R49" s="17">
        <f t="shared" si="31"/>
        <v>-9.3968515703573272E-2</v>
      </c>
      <c r="S49" s="17">
        <f t="shared" si="32"/>
        <v>-1.3120817734524337E-6</v>
      </c>
      <c r="T49" s="17" t="e">
        <f t="shared" si="33"/>
        <v>#DIV/0!</v>
      </c>
      <c r="U49" s="13">
        <f t="shared" si="34"/>
        <v>1.6161572070592031E-2</v>
      </c>
      <c r="X49" s="13"/>
      <c r="Y49" s="13"/>
      <c r="Z49" s="13"/>
      <c r="AA49" s="13"/>
      <c r="AB49" s="13"/>
      <c r="AC49" s="13"/>
      <c r="AD49" s="13"/>
      <c r="AE49" s="13"/>
      <c r="AF49" s="13"/>
    </row>
    <row r="50" spans="12:32" ht="15.75" thickBot="1" x14ac:dyDescent="0.3">
      <c r="L50" s="9" t="s">
        <v>7</v>
      </c>
      <c r="M50" s="15">
        <f t="shared" si="39"/>
        <v>0</v>
      </c>
      <c r="N50" s="15">
        <f t="shared" si="39"/>
        <v>0</v>
      </c>
      <c r="O50" s="15">
        <f t="shared" si="39"/>
        <v>0</v>
      </c>
      <c r="P50" s="15" t="e">
        <f t="shared" si="39"/>
        <v>#DIV/0!</v>
      </c>
      <c r="Q50" s="15">
        <f t="shared" si="30"/>
        <v>0</v>
      </c>
      <c r="R50" s="15">
        <f t="shared" si="31"/>
        <v>0</v>
      </c>
      <c r="S50" s="15">
        <f t="shared" si="32"/>
        <v>0</v>
      </c>
      <c r="T50" s="15" t="e">
        <f t="shared" si="33"/>
        <v>#DIV/0!</v>
      </c>
      <c r="U50" s="15">
        <f t="shared" si="34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AF50"/>
  <sheetViews>
    <sheetView workbookViewId="0"/>
  </sheetViews>
  <sheetFormatPr defaultRowHeight="15" x14ac:dyDescent="0.25"/>
  <cols>
    <col min="1" max="1" width="25" customWidth="1" collapsed="1"/>
    <col min="2" max="10" width="10.7109375" customWidth="1" collapsed="1"/>
    <col min="11" max="11" width="3.7109375" customWidth="1" collapsed="1"/>
    <col min="12" max="12" width="25" customWidth="1" collapsed="1"/>
    <col min="13" max="22" width="10.7109375" customWidth="1" collapsed="1"/>
    <col min="23" max="23" width="17" customWidth="1" collapsed="1"/>
  </cols>
  <sheetData>
    <row r="2" spans="1:21" ht="15.75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35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31" t="s">
        <v>57</v>
      </c>
      <c r="C3" s="31"/>
      <c r="D3" s="31"/>
      <c r="E3" s="31"/>
      <c r="F3" s="31"/>
      <c r="G3" s="31"/>
      <c r="H3" s="31"/>
      <c r="I3" s="31"/>
      <c r="J3" s="11"/>
      <c r="L3" s="3"/>
      <c r="M3" s="32" t="s">
        <v>57</v>
      </c>
      <c r="N3" s="32"/>
      <c r="O3" s="32"/>
      <c r="P3" s="32"/>
      <c r="Q3" s="32"/>
      <c r="R3" s="32"/>
      <c r="S3" s="32"/>
      <c r="T3" s="32"/>
      <c r="U3" s="32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>
        <v>730719.59968594625</v>
      </c>
      <c r="C5" s="6">
        <v>8759.8979467271001</v>
      </c>
      <c r="D5" s="6">
        <v>1391.45300628</v>
      </c>
      <c r="E5" s="6">
        <v>576.23121301000003</v>
      </c>
      <c r="F5" s="6">
        <v>482.69002964700002</v>
      </c>
      <c r="G5" s="6">
        <v>0</v>
      </c>
      <c r="H5" s="6">
        <v>0</v>
      </c>
      <c r="I5" s="6">
        <v>0</v>
      </c>
      <c r="J5" s="6">
        <f>SUM(B5:I5)</f>
        <v>741929.87188161036</v>
      </c>
      <c r="K5" s="6"/>
      <c r="L5" t="s">
        <v>1</v>
      </c>
      <c r="M5" s="6">
        <v>613098.53112144163</v>
      </c>
      <c r="N5" s="6">
        <v>18526.457088718274</v>
      </c>
      <c r="O5" s="6">
        <v>5096.938231449858</v>
      </c>
      <c r="P5" s="6">
        <v>0</v>
      </c>
      <c r="Q5" s="6">
        <v>146.95974568761895</v>
      </c>
      <c r="R5" s="6">
        <v>0</v>
      </c>
      <c r="S5" s="6">
        <v>0</v>
      </c>
      <c r="T5" s="6">
        <v>0</v>
      </c>
      <c r="U5" s="6">
        <f t="shared" ref="U5:U15" si="0">SUM(M5:T5)</f>
        <v>636868.88618729741</v>
      </c>
    </row>
    <row r="6" spans="1:21" x14ac:dyDescent="0.25">
      <c r="A6" t="s">
        <v>12</v>
      </c>
      <c r="B6" s="6">
        <v>0</v>
      </c>
      <c r="C6" s="6">
        <v>496010.05884487188</v>
      </c>
      <c r="D6" s="6">
        <v>35227.769965072002</v>
      </c>
      <c r="E6" s="6">
        <v>0</v>
      </c>
      <c r="F6" s="6">
        <v>835.83004737600004</v>
      </c>
      <c r="G6" s="6">
        <v>0</v>
      </c>
      <c r="H6" s="6">
        <v>0</v>
      </c>
      <c r="I6" s="6">
        <v>0</v>
      </c>
      <c r="J6" s="6">
        <f t="shared" ref="J6:J15" si="1">SUM(B6:I6)</f>
        <v>532073.65885731985</v>
      </c>
      <c r="K6" s="6"/>
      <c r="L6" t="s">
        <v>12</v>
      </c>
      <c r="M6" s="6">
        <v>0</v>
      </c>
      <c r="N6" s="6">
        <v>464983.18529459042</v>
      </c>
      <c r="O6" s="6">
        <v>71982.25556527148</v>
      </c>
      <c r="P6" s="6">
        <v>0</v>
      </c>
      <c r="Q6" s="6">
        <v>3979.5073450504706</v>
      </c>
      <c r="R6" s="6">
        <v>0</v>
      </c>
      <c r="S6" s="6">
        <v>0</v>
      </c>
      <c r="T6" s="6">
        <v>0</v>
      </c>
      <c r="U6" s="6">
        <f t="shared" si="0"/>
        <v>540944.94820491236</v>
      </c>
    </row>
    <row r="7" spans="1:21" x14ac:dyDescent="0.25">
      <c r="A7" t="s">
        <v>56</v>
      </c>
      <c r="B7" s="6">
        <v>0</v>
      </c>
      <c r="C7" s="6">
        <v>0</v>
      </c>
      <c r="D7" s="6">
        <v>367822.11747350817</v>
      </c>
      <c r="E7" s="6">
        <v>0</v>
      </c>
      <c r="F7" s="6">
        <v>0</v>
      </c>
      <c r="G7" s="6">
        <v>0</v>
      </c>
      <c r="H7" s="6">
        <v>0</v>
      </c>
      <c r="I7" s="6">
        <v>0</v>
      </c>
      <c r="J7" s="6">
        <f t="shared" si="1"/>
        <v>367822.11747350817</v>
      </c>
      <c r="K7" s="6"/>
      <c r="L7" t="s">
        <v>56</v>
      </c>
      <c r="M7" s="6">
        <v>0</v>
      </c>
      <c r="N7" s="6">
        <v>0</v>
      </c>
      <c r="O7" s="6">
        <v>352310.51055958221</v>
      </c>
      <c r="P7" s="6">
        <v>0</v>
      </c>
      <c r="Q7" s="6">
        <v>1648.3033903056796</v>
      </c>
      <c r="R7" s="6">
        <v>0</v>
      </c>
      <c r="S7" s="6">
        <v>1.9995627459554</v>
      </c>
      <c r="T7" s="6">
        <v>0</v>
      </c>
      <c r="U7" s="6">
        <f t="shared" si="0"/>
        <v>353960.81351263385</v>
      </c>
    </row>
    <row r="8" spans="1:21" x14ac:dyDescent="0.25">
      <c r="A8" t="s">
        <v>51</v>
      </c>
      <c r="B8" s="6">
        <v>0</v>
      </c>
      <c r="C8" s="6">
        <v>0</v>
      </c>
      <c r="D8" s="6">
        <v>0</v>
      </c>
      <c r="E8" s="6">
        <v>983.15803261200006</v>
      </c>
      <c r="F8" s="6">
        <v>77355.061935165795</v>
      </c>
      <c r="G8" s="6">
        <v>0</v>
      </c>
      <c r="H8" s="6">
        <v>0</v>
      </c>
      <c r="I8" s="6">
        <v>0</v>
      </c>
      <c r="J8" s="6">
        <f t="shared" si="1"/>
        <v>78338.219967777797</v>
      </c>
      <c r="K8" s="6"/>
      <c r="L8" t="s">
        <v>51</v>
      </c>
      <c r="M8" s="6">
        <v>0</v>
      </c>
      <c r="N8" s="6">
        <v>0</v>
      </c>
      <c r="O8" s="6">
        <v>0</v>
      </c>
      <c r="P8" s="6">
        <v>0</v>
      </c>
      <c r="Q8" s="6">
        <v>18928.861875164395</v>
      </c>
      <c r="R8" s="6">
        <v>0</v>
      </c>
      <c r="S8" s="6">
        <v>0</v>
      </c>
      <c r="T8" s="6">
        <v>0</v>
      </c>
      <c r="U8" s="6">
        <f t="shared" si="0"/>
        <v>18928.861875164395</v>
      </c>
    </row>
    <row r="9" spans="1:21" x14ac:dyDescent="0.25">
      <c r="A9" t="s">
        <v>52</v>
      </c>
      <c r="B9" s="6">
        <v>0</v>
      </c>
      <c r="C9" s="6">
        <v>0</v>
      </c>
      <c r="D9" s="6">
        <v>0</v>
      </c>
      <c r="E9" s="6">
        <v>0</v>
      </c>
      <c r="F9" s="6">
        <v>65.309439390700007</v>
      </c>
      <c r="G9" s="6">
        <v>0</v>
      </c>
      <c r="H9" s="6">
        <v>0</v>
      </c>
      <c r="I9" s="6">
        <v>0</v>
      </c>
      <c r="J9" s="6">
        <f t="shared" si="1"/>
        <v>65.309439390700007</v>
      </c>
      <c r="K9" s="6"/>
      <c r="L9" t="s">
        <v>52</v>
      </c>
      <c r="M9" s="6">
        <v>0</v>
      </c>
      <c r="N9" s="6">
        <v>0</v>
      </c>
      <c r="O9" s="6">
        <v>0</v>
      </c>
      <c r="P9" s="6">
        <v>0</v>
      </c>
      <c r="Q9" s="6">
        <v>0</v>
      </c>
      <c r="R9" s="6">
        <v>0</v>
      </c>
      <c r="S9" s="6">
        <v>0</v>
      </c>
      <c r="T9" s="6">
        <v>0</v>
      </c>
      <c r="U9" s="6">
        <f t="shared" si="0"/>
        <v>0</v>
      </c>
    </row>
    <row r="10" spans="1:21" x14ac:dyDescent="0.25">
      <c r="A10" t="s">
        <v>53</v>
      </c>
      <c r="B10" s="6">
        <v>0</v>
      </c>
      <c r="C10" s="6">
        <v>0</v>
      </c>
      <c r="D10" s="6">
        <v>0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f t="shared" si="1"/>
        <v>0</v>
      </c>
      <c r="K10" s="6"/>
      <c r="L10" t="s">
        <v>53</v>
      </c>
      <c r="M10" s="6">
        <v>0</v>
      </c>
      <c r="N10" s="6">
        <v>0</v>
      </c>
      <c r="O10" s="6">
        <v>0</v>
      </c>
      <c r="P10" s="6">
        <v>0</v>
      </c>
      <c r="Q10" s="6">
        <v>0</v>
      </c>
      <c r="R10" s="6">
        <v>0</v>
      </c>
      <c r="S10" s="6">
        <v>0</v>
      </c>
      <c r="T10" s="6">
        <v>0</v>
      </c>
      <c r="U10" s="6">
        <f t="shared" si="0"/>
        <v>0</v>
      </c>
    </row>
    <row r="11" spans="1:21" x14ac:dyDescent="0.25">
      <c r="A11" t="s">
        <v>54</v>
      </c>
      <c r="B11" s="6">
        <v>0</v>
      </c>
      <c r="C11" s="6">
        <v>0</v>
      </c>
      <c r="D11" s="6">
        <v>0</v>
      </c>
      <c r="E11" s="6">
        <v>0</v>
      </c>
      <c r="F11" s="6">
        <v>0</v>
      </c>
      <c r="G11" s="6">
        <v>0</v>
      </c>
      <c r="H11" s="6">
        <v>0</v>
      </c>
      <c r="I11" s="6">
        <v>0</v>
      </c>
      <c r="J11" s="6">
        <f t="shared" si="1"/>
        <v>0</v>
      </c>
      <c r="K11" s="6"/>
      <c r="L11" t="s">
        <v>54</v>
      </c>
      <c r="M11" s="6">
        <v>0</v>
      </c>
      <c r="N11" s="6">
        <v>0</v>
      </c>
      <c r="O11" s="6">
        <v>0</v>
      </c>
      <c r="P11" s="6">
        <v>0</v>
      </c>
      <c r="Q11" s="6">
        <v>0</v>
      </c>
      <c r="R11" s="6">
        <v>0</v>
      </c>
      <c r="S11" s="6">
        <v>0</v>
      </c>
      <c r="T11" s="6">
        <v>0</v>
      </c>
      <c r="U11" s="6">
        <f t="shared" si="0"/>
        <v>0</v>
      </c>
    </row>
    <row r="12" spans="1:21" x14ac:dyDescent="0.25">
      <c r="A12" t="s">
        <v>55</v>
      </c>
      <c r="B12" s="6">
        <v>0</v>
      </c>
      <c r="C12" s="6">
        <v>0</v>
      </c>
      <c r="D12" s="6">
        <v>0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f t="shared" si="1"/>
        <v>0</v>
      </c>
      <c r="K12" s="6"/>
      <c r="L12" t="s">
        <v>55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R12" s="6">
        <v>0</v>
      </c>
      <c r="S12" s="6">
        <v>0</v>
      </c>
      <c r="T12" s="6">
        <v>0</v>
      </c>
      <c r="U12" s="6">
        <f t="shared" si="0"/>
        <v>0</v>
      </c>
    </row>
    <row r="13" spans="1:21" x14ac:dyDescent="0.25">
      <c r="A13" t="s">
        <v>24</v>
      </c>
      <c r="B13" s="6">
        <v>0</v>
      </c>
      <c r="C13" s="6">
        <v>0</v>
      </c>
      <c r="D13" s="6">
        <v>0</v>
      </c>
      <c r="E13" s="6">
        <v>0</v>
      </c>
      <c r="F13" s="6">
        <v>0</v>
      </c>
      <c r="G13" s="6">
        <v>0</v>
      </c>
      <c r="H13" s="6">
        <v>0</v>
      </c>
      <c r="I13" s="6">
        <v>0</v>
      </c>
      <c r="J13" s="6">
        <f t="shared" si="1"/>
        <v>0</v>
      </c>
      <c r="K13" s="6"/>
      <c r="L13" t="s">
        <v>24</v>
      </c>
      <c r="M13" s="6">
        <v>0</v>
      </c>
      <c r="N13" s="6">
        <v>0</v>
      </c>
      <c r="O13" s="6">
        <v>0</v>
      </c>
      <c r="P13" s="6">
        <v>0</v>
      </c>
      <c r="Q13" s="6">
        <v>0</v>
      </c>
      <c r="R13" s="6">
        <v>0</v>
      </c>
      <c r="S13" s="6">
        <v>0</v>
      </c>
      <c r="T13" s="6">
        <v>0</v>
      </c>
      <c r="U13" s="6">
        <f t="shared" si="0"/>
        <v>0</v>
      </c>
    </row>
    <row r="14" spans="1:21" x14ac:dyDescent="0.25">
      <c r="A14" t="s">
        <v>4</v>
      </c>
      <c r="B14" s="6">
        <v>284.56354383299998</v>
      </c>
      <c r="C14" s="6">
        <v>96.386756749499995</v>
      </c>
      <c r="D14" s="6">
        <v>0</v>
      </c>
      <c r="E14" s="6">
        <v>0</v>
      </c>
      <c r="F14" s="6">
        <v>0</v>
      </c>
      <c r="G14" s="6">
        <v>7785.3744466986</v>
      </c>
      <c r="H14" s="6">
        <v>0</v>
      </c>
      <c r="I14" s="6">
        <v>0</v>
      </c>
      <c r="J14" s="6">
        <f t="shared" si="1"/>
        <v>8166.3247472810999</v>
      </c>
      <c r="K14" s="6"/>
      <c r="L14" t="s">
        <v>4</v>
      </c>
      <c r="M14" s="6">
        <v>824.03591801280083</v>
      </c>
      <c r="N14" s="6">
        <v>865.26725177791207</v>
      </c>
      <c r="O14" s="6">
        <v>436.32216246211755</v>
      </c>
      <c r="P14" s="6">
        <v>0</v>
      </c>
      <c r="Q14" s="6">
        <v>294.97526466637578</v>
      </c>
      <c r="R14" s="6">
        <v>14860.637876373306</v>
      </c>
      <c r="S14" s="6">
        <v>0</v>
      </c>
      <c r="T14" s="6">
        <v>0</v>
      </c>
      <c r="U14" s="6">
        <f t="shared" si="0"/>
        <v>17281.238473292513</v>
      </c>
    </row>
    <row r="15" spans="1:21" x14ac:dyDescent="0.25">
      <c r="A15" s="4" t="s">
        <v>5</v>
      </c>
      <c r="B15" s="10">
        <v>8246.9502218850994</v>
      </c>
      <c r="C15" s="10">
        <v>7917.6446230860001</v>
      </c>
      <c r="D15" s="10">
        <v>12535.3637717784</v>
      </c>
      <c r="E15" s="10">
        <v>169.30439340800001</v>
      </c>
      <c r="F15" s="10">
        <v>41665.334593830899</v>
      </c>
      <c r="G15" s="10">
        <v>96.316421454600004</v>
      </c>
      <c r="H15" s="10">
        <v>175896.83827137441</v>
      </c>
      <c r="I15" s="10">
        <v>0</v>
      </c>
      <c r="J15" s="6">
        <f t="shared" si="1"/>
        <v>246527.7522968174</v>
      </c>
      <c r="K15" s="6"/>
      <c r="L15" s="4" t="s">
        <v>5</v>
      </c>
      <c r="M15" s="8">
        <v>13745.058795226811</v>
      </c>
      <c r="N15" s="8">
        <v>5024.6700531620463</v>
      </c>
      <c r="O15" s="8">
        <v>3047.5821745757089</v>
      </c>
      <c r="P15" s="8">
        <v>0</v>
      </c>
      <c r="Q15" s="8">
        <v>4694.0003814093561</v>
      </c>
      <c r="R15" s="8">
        <v>1029.7641632031634</v>
      </c>
      <c r="S15" s="8">
        <v>236290.42323986578</v>
      </c>
      <c r="T15" s="8">
        <v>0</v>
      </c>
      <c r="U15" s="6">
        <f t="shared" si="0"/>
        <v>263831.49880744284</v>
      </c>
    </row>
    <row r="16" spans="1:21" ht="15.75" thickBot="1" x14ac:dyDescent="0.3">
      <c r="A16" s="12" t="s">
        <v>7</v>
      </c>
      <c r="B16" s="16">
        <f t="shared" ref="B16:J16" si="2">SUM(B5:B15)</f>
        <v>739251.11345166434</v>
      </c>
      <c r="C16" s="16">
        <f t="shared" si="2"/>
        <v>512783.98817143444</v>
      </c>
      <c r="D16" s="16">
        <f t="shared" si="2"/>
        <v>416976.70421663858</v>
      </c>
      <c r="E16" s="16">
        <f t="shared" si="2"/>
        <v>1728.6936390300002</v>
      </c>
      <c r="F16" s="16">
        <f t="shared" si="2"/>
        <v>120404.22604541038</v>
      </c>
      <c r="G16" s="16">
        <f t="shared" si="2"/>
        <v>7881.6908681532004</v>
      </c>
      <c r="H16" s="16">
        <f t="shared" si="2"/>
        <v>175896.83827137441</v>
      </c>
      <c r="I16" s="16">
        <f t="shared" si="2"/>
        <v>0</v>
      </c>
      <c r="J16" s="16">
        <f t="shared" si="2"/>
        <v>1974923.2546637056</v>
      </c>
      <c r="L16" s="9" t="s">
        <v>7</v>
      </c>
      <c r="M16" s="16">
        <f t="shared" ref="M16:U16" si="3">SUM(M5:M15)</f>
        <v>627667.62583468133</v>
      </c>
      <c r="N16" s="16">
        <f t="shared" si="3"/>
        <v>489399.57968824863</v>
      </c>
      <c r="O16" s="16">
        <f t="shared" si="3"/>
        <v>432873.60869334138</v>
      </c>
      <c r="P16" s="16">
        <f t="shared" si="3"/>
        <v>0</v>
      </c>
      <c r="Q16" s="16">
        <f t="shared" si="3"/>
        <v>29692.608002283894</v>
      </c>
      <c r="R16" s="16">
        <f t="shared" si="3"/>
        <v>15890.402039576469</v>
      </c>
      <c r="S16" s="16">
        <f t="shared" si="3"/>
        <v>236292.42280261172</v>
      </c>
      <c r="T16" s="16">
        <f t="shared" si="3"/>
        <v>0</v>
      </c>
      <c r="U16" s="16">
        <f t="shared" si="3"/>
        <v>1831816.2470607432</v>
      </c>
    </row>
    <row r="19" spans="1:21" ht="15.75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36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31" t="s">
        <v>57</v>
      </c>
      <c r="C20" s="31"/>
      <c r="D20" s="31"/>
      <c r="E20" s="31"/>
      <c r="F20" s="31"/>
      <c r="G20" s="31"/>
      <c r="H20" s="31"/>
      <c r="I20" s="31"/>
      <c r="J20" s="11"/>
      <c r="L20" s="3"/>
      <c r="M20" s="32" t="s">
        <v>57</v>
      </c>
      <c r="N20" s="32"/>
      <c r="O20" s="32"/>
      <c r="P20" s="32"/>
      <c r="Q20" s="32"/>
      <c r="R20" s="32"/>
      <c r="S20" s="32"/>
      <c r="T20" s="32"/>
      <c r="U20" s="32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t="shared" ref="B22:J22" si="4">B5/B$16</f>
        <v>0.98845924800047535</v>
      </c>
      <c r="C22" s="13">
        <f t="shared" si="4"/>
        <v>1.7083017701009968E-2</v>
      </c>
      <c r="D22" s="13">
        <f t="shared" si="4"/>
        <v>3.3370041832290853E-3</v>
      </c>
      <c r="E22" s="13">
        <f t="shared" si="4"/>
        <v>0.33333333333333331</v>
      </c>
      <c r="F22" s="13">
        <f t="shared" si="4"/>
        <v>4.008912689368177E-3</v>
      </c>
      <c r="G22" s="13">
        <f t="shared" si="4"/>
        <v>0</v>
      </c>
      <c r="H22" s="13">
        <f t="shared" si="4"/>
        <v>0</v>
      </c>
      <c r="I22" s="13" t="e">
        <f t="shared" si="4"/>
        <v>#DIV/0!</v>
      </c>
      <c r="J22" s="13">
        <f t="shared" si="4"/>
        <v>0.37567529276369166</v>
      </c>
      <c r="K22" s="6"/>
      <c r="L22" t="s">
        <v>1</v>
      </c>
      <c r="M22" s="13">
        <f t="shared" ref="M22:P22" si="5">M5/M$16</f>
        <v>0.97678851972990399</v>
      </c>
      <c r="N22" s="13">
        <f t="shared" si="5"/>
        <v>3.785548222276728E-2</v>
      </c>
      <c r="O22" s="13">
        <f t="shared" si="5"/>
        <v>1.1774656918529441E-2</v>
      </c>
      <c r="P22" s="13" t="e">
        <f t="shared" si="5"/>
        <v>#DIV/0!</v>
      </c>
      <c r="Q22" s="13">
        <f t="shared" ref="Q22:U33" si="6">Q5/Q$16</f>
        <v>4.9493714286166814E-3</v>
      </c>
      <c r="R22" s="13">
        <f t="shared" si="6"/>
        <v>0</v>
      </c>
      <c r="S22" s="13">
        <f t="shared" si="6"/>
        <v>0</v>
      </c>
      <c r="T22" s="13" t="e">
        <f t="shared" si="6"/>
        <v>#DIV/0!</v>
      </c>
      <c r="U22" s="13">
        <f t="shared" si="6"/>
        <v>0.34767072691335221</v>
      </c>
    </row>
    <row r="23" spans="1:21" x14ac:dyDescent="0.25">
      <c r="A23" t="s">
        <v>12</v>
      </c>
      <c r="B23" s="13">
        <f t="shared" ref="B23:J23" si="7">B6/B$16</f>
        <v>0</v>
      </c>
      <c r="C23" s="13">
        <f t="shared" si="7"/>
        <v>0.96728850800045907</v>
      </c>
      <c r="D23" s="13">
        <f t="shared" si="7"/>
        <v>8.4483784366930853E-2</v>
      </c>
      <c r="E23" s="13">
        <f t="shared" si="7"/>
        <v>0</v>
      </c>
      <c r="F23" s="13">
        <f t="shared" si="7"/>
        <v>6.9418663682183981E-3</v>
      </c>
      <c r="G23" s="13">
        <f t="shared" si="7"/>
        <v>0</v>
      </c>
      <c r="H23" s="13">
        <f t="shared" si="7"/>
        <v>0</v>
      </c>
      <c r="I23" s="13" t="e">
        <f t="shared" si="7"/>
        <v>#DIV/0!</v>
      </c>
      <c r="J23" s="13">
        <f t="shared" si="7"/>
        <v>0.26941485326118281</v>
      </c>
      <c r="K23" s="6"/>
      <c r="L23" t="s">
        <v>12</v>
      </c>
      <c r="M23" s="13">
        <f t="shared" ref="M23:P23" si="8">M6/M$16</f>
        <v>0</v>
      </c>
      <c r="N23" s="13">
        <f t="shared" si="8"/>
        <v>0.95010949047154547</v>
      </c>
      <c r="O23" s="13">
        <f t="shared" si="8"/>
        <v>0.1662893142932757</v>
      </c>
      <c r="P23" s="13" t="e">
        <f t="shared" si="8"/>
        <v>#DIV/0!</v>
      </c>
      <c r="Q23" s="13">
        <f t="shared" si="6"/>
        <v>0.1340235032484979</v>
      </c>
      <c r="R23" s="13">
        <f t="shared" si="6"/>
        <v>0</v>
      </c>
      <c r="S23" s="13">
        <f t="shared" si="6"/>
        <v>0</v>
      </c>
      <c r="T23" s="13" t="e">
        <f t="shared" si="6"/>
        <v>#DIV/0!</v>
      </c>
      <c r="U23" s="13">
        <f t="shared" si="6"/>
        <v>0.29530524640388484</v>
      </c>
    </row>
    <row r="24" spans="1:21" x14ac:dyDescent="0.25">
      <c r="A24" t="s">
        <v>56</v>
      </c>
      <c r="B24" s="13">
        <f t="shared" ref="B24:J24" si="9">B7/B$16</f>
        <v>0</v>
      </c>
      <c r="C24" s="13">
        <f t="shared" si="9"/>
        <v>0</v>
      </c>
      <c r="D24" s="13">
        <f t="shared" si="9"/>
        <v>0.88211670760965977</v>
      </c>
      <c r="E24" s="13">
        <f t="shared" si="9"/>
        <v>0</v>
      </c>
      <c r="F24" s="13">
        <f t="shared" si="9"/>
        <v>0</v>
      </c>
      <c r="G24" s="13">
        <f t="shared" si="9"/>
        <v>0</v>
      </c>
      <c r="H24" s="13">
        <f t="shared" si="9"/>
        <v>0</v>
      </c>
      <c r="I24" s="13" t="e">
        <f t="shared" si="9"/>
        <v>#DIV/0!</v>
      </c>
      <c r="J24" s="13">
        <f t="shared" si="9"/>
        <v>0.18624628405428431</v>
      </c>
      <c r="K24" s="6"/>
      <c r="L24" t="s">
        <v>56</v>
      </c>
      <c r="M24" s="13">
        <f t="shared" ref="M24:P24" si="10">M7/M$16</f>
        <v>0</v>
      </c>
      <c r="N24" s="13">
        <f t="shared" si="10"/>
        <v>0</v>
      </c>
      <c r="O24" s="13">
        <f t="shared" si="10"/>
        <v>0.81388771106433488</v>
      </c>
      <c r="P24" s="13" t="e">
        <f t="shared" si="10"/>
        <v>#DIV/0!</v>
      </c>
      <c r="Q24" s="13">
        <f t="shared" si="6"/>
        <v>5.5512247027236394E-2</v>
      </c>
      <c r="R24" s="13">
        <f t="shared" si="6"/>
        <v>0</v>
      </c>
      <c r="S24" s="13">
        <f t="shared" si="6"/>
        <v>8.4622381125853822E-6</v>
      </c>
      <c r="T24" s="13" t="e">
        <f t="shared" si="6"/>
        <v>#DIV/0!</v>
      </c>
      <c r="U24" s="13">
        <f t="shared" si="6"/>
        <v>0.19322943230828135</v>
      </c>
    </row>
    <row r="25" spans="1:21" x14ac:dyDescent="0.25">
      <c r="A25" t="s">
        <v>51</v>
      </c>
      <c r="B25" s="13">
        <f t="shared" ref="B25:J25" si="11">B8/B$16</f>
        <v>0</v>
      </c>
      <c r="C25" s="13">
        <f t="shared" si="11"/>
        <v>0</v>
      </c>
      <c r="D25" s="13">
        <f t="shared" si="11"/>
        <v>0</v>
      </c>
      <c r="E25" s="13">
        <f t="shared" si="11"/>
        <v>0.5687289004913948</v>
      </c>
      <c r="F25" s="13">
        <f t="shared" si="11"/>
        <v>0.64246135269364535</v>
      </c>
      <c r="G25" s="13">
        <f t="shared" si="11"/>
        <v>0</v>
      </c>
      <c r="H25" s="13">
        <f t="shared" si="11"/>
        <v>0</v>
      </c>
      <c r="I25" s="13" t="e">
        <f t="shared" si="11"/>
        <v>#DIV/0!</v>
      </c>
      <c r="J25" s="13">
        <f t="shared" si="11"/>
        <v>3.966646287787897E-2</v>
      </c>
      <c r="K25" s="6"/>
      <c r="L25" t="s">
        <v>51</v>
      </c>
      <c r="M25" s="13">
        <f t="shared" ref="M25:P25" si="12">M8/M$16</f>
        <v>0</v>
      </c>
      <c r="N25" s="13">
        <f t="shared" si="12"/>
        <v>0</v>
      </c>
      <c r="O25" s="13">
        <f t="shared" si="12"/>
        <v>0</v>
      </c>
      <c r="P25" s="13" t="e">
        <f t="shared" si="12"/>
        <v>#DIV/0!</v>
      </c>
      <c r="Q25" s="13">
        <f t="shared" si="6"/>
        <v>0.63749408181687595</v>
      </c>
      <c r="R25" s="13">
        <f t="shared" si="6"/>
        <v>0</v>
      </c>
      <c r="S25" s="13">
        <f t="shared" si="6"/>
        <v>0</v>
      </c>
      <c r="T25" s="13" t="e">
        <f t="shared" si="6"/>
        <v>#DIV/0!</v>
      </c>
      <c r="U25" s="13">
        <f t="shared" si="6"/>
        <v>1.0333384642448099E-2</v>
      </c>
    </row>
    <row r="26" spans="1:21" x14ac:dyDescent="0.25">
      <c r="A26" t="s">
        <v>52</v>
      </c>
      <c r="B26" s="13">
        <f t="shared" ref="B26:J26" si="13">B9/B$16</f>
        <v>0</v>
      </c>
      <c r="C26" s="13">
        <f t="shared" si="13"/>
        <v>0</v>
      </c>
      <c r="D26" s="13">
        <f t="shared" si="13"/>
        <v>0</v>
      </c>
      <c r="E26" s="13">
        <f t="shared" si="13"/>
        <v>0</v>
      </c>
      <c r="F26" s="13">
        <f t="shared" si="13"/>
        <v>5.4241816533971644E-4</v>
      </c>
      <c r="G26" s="13">
        <f t="shared" si="13"/>
        <v>0</v>
      </c>
      <c r="H26" s="13">
        <f t="shared" si="13"/>
        <v>0</v>
      </c>
      <c r="I26" s="13" t="e">
        <f t="shared" si="13"/>
        <v>#DIV/0!</v>
      </c>
      <c r="J26" s="13">
        <f t="shared" si="13"/>
        <v>3.3069355599755213E-5</v>
      </c>
      <c r="K26" s="6"/>
      <c r="L26" t="s">
        <v>52</v>
      </c>
      <c r="M26" s="13">
        <f t="shared" ref="M26:P26" si="14">M9/M$16</f>
        <v>0</v>
      </c>
      <c r="N26" s="13">
        <f t="shared" si="14"/>
        <v>0</v>
      </c>
      <c r="O26" s="13">
        <f t="shared" si="14"/>
        <v>0</v>
      </c>
      <c r="P26" s="13" t="e">
        <f t="shared" si="14"/>
        <v>#DIV/0!</v>
      </c>
      <c r="Q26" s="13">
        <f t="shared" si="6"/>
        <v>0</v>
      </c>
      <c r="R26" s="13">
        <f t="shared" si="6"/>
        <v>0</v>
      </c>
      <c r="S26" s="13">
        <f t="shared" si="6"/>
        <v>0</v>
      </c>
      <c r="T26" s="13" t="e">
        <f t="shared" si="6"/>
        <v>#DIV/0!</v>
      </c>
      <c r="U26" s="13">
        <f t="shared" si="6"/>
        <v>0</v>
      </c>
    </row>
    <row r="27" spans="1:21" x14ac:dyDescent="0.25">
      <c r="A27" t="s">
        <v>53</v>
      </c>
      <c r="B27" s="13">
        <f t="shared" ref="B27:J27" si="15">B10/B$16</f>
        <v>0</v>
      </c>
      <c r="C27" s="13">
        <f t="shared" si="15"/>
        <v>0</v>
      </c>
      <c r="D27" s="13">
        <f t="shared" si="15"/>
        <v>0</v>
      </c>
      <c r="E27" s="13">
        <f t="shared" si="15"/>
        <v>0</v>
      </c>
      <c r="F27" s="13">
        <f t="shared" si="15"/>
        <v>0</v>
      </c>
      <c r="G27" s="13">
        <f t="shared" si="15"/>
        <v>0</v>
      </c>
      <c r="H27" s="13">
        <f t="shared" si="15"/>
        <v>0</v>
      </c>
      <c r="I27" s="13" t="e">
        <f t="shared" si="15"/>
        <v>#DIV/0!</v>
      </c>
      <c r="J27" s="13">
        <f t="shared" si="15"/>
        <v>0</v>
      </c>
      <c r="K27" s="6"/>
      <c r="L27" t="s">
        <v>53</v>
      </c>
      <c r="M27" s="13">
        <f t="shared" ref="M27:P27" si="16">M10/M$16</f>
        <v>0</v>
      </c>
      <c r="N27" s="13">
        <f t="shared" si="16"/>
        <v>0</v>
      </c>
      <c r="O27" s="13">
        <f t="shared" si="16"/>
        <v>0</v>
      </c>
      <c r="P27" s="13" t="e">
        <f t="shared" si="16"/>
        <v>#DIV/0!</v>
      </c>
      <c r="Q27" s="13">
        <f t="shared" si="6"/>
        <v>0</v>
      </c>
      <c r="R27" s="13">
        <f t="shared" si="6"/>
        <v>0</v>
      </c>
      <c r="S27" s="13">
        <f t="shared" si="6"/>
        <v>0</v>
      </c>
      <c r="T27" s="13" t="e">
        <f t="shared" si="6"/>
        <v>#DIV/0!</v>
      </c>
      <c r="U27" s="13">
        <f t="shared" si="6"/>
        <v>0</v>
      </c>
    </row>
    <row r="28" spans="1:21" x14ac:dyDescent="0.25">
      <c r="A28" t="s">
        <v>54</v>
      </c>
      <c r="B28" s="13">
        <f t="shared" ref="B28:J28" si="17">B11/B$16</f>
        <v>0</v>
      </c>
      <c r="C28" s="13">
        <f t="shared" si="17"/>
        <v>0</v>
      </c>
      <c r="D28" s="13">
        <f t="shared" si="17"/>
        <v>0</v>
      </c>
      <c r="E28" s="13">
        <f t="shared" si="17"/>
        <v>0</v>
      </c>
      <c r="F28" s="13">
        <f t="shared" si="17"/>
        <v>0</v>
      </c>
      <c r="G28" s="13">
        <f t="shared" si="17"/>
        <v>0</v>
      </c>
      <c r="H28" s="13">
        <f t="shared" si="17"/>
        <v>0</v>
      </c>
      <c r="I28" s="13" t="e">
        <f t="shared" si="17"/>
        <v>#DIV/0!</v>
      </c>
      <c r="J28" s="13">
        <f t="shared" si="17"/>
        <v>0</v>
      </c>
      <c r="K28" s="6"/>
      <c r="L28" t="s">
        <v>54</v>
      </c>
      <c r="M28" s="13">
        <f t="shared" ref="M28:P28" si="18">M11/M$16</f>
        <v>0</v>
      </c>
      <c r="N28" s="13">
        <f t="shared" si="18"/>
        <v>0</v>
      </c>
      <c r="O28" s="13">
        <f t="shared" si="18"/>
        <v>0</v>
      </c>
      <c r="P28" s="13" t="e">
        <f t="shared" si="18"/>
        <v>#DIV/0!</v>
      </c>
      <c r="Q28" s="13">
        <f t="shared" si="6"/>
        <v>0</v>
      </c>
      <c r="R28" s="13">
        <f t="shared" si="6"/>
        <v>0</v>
      </c>
      <c r="S28" s="13">
        <f t="shared" si="6"/>
        <v>0</v>
      </c>
      <c r="T28" s="13" t="e">
        <f t="shared" si="6"/>
        <v>#DIV/0!</v>
      </c>
      <c r="U28" s="13">
        <f t="shared" si="6"/>
        <v>0</v>
      </c>
    </row>
    <row r="29" spans="1:21" x14ac:dyDescent="0.25">
      <c r="A29" t="s">
        <v>55</v>
      </c>
      <c r="B29" s="13">
        <f t="shared" ref="B29:J29" si="19">B12/B$16</f>
        <v>0</v>
      </c>
      <c r="C29" s="13">
        <f t="shared" si="19"/>
        <v>0</v>
      </c>
      <c r="D29" s="13">
        <f t="shared" si="19"/>
        <v>0</v>
      </c>
      <c r="E29" s="13">
        <f t="shared" si="19"/>
        <v>0</v>
      </c>
      <c r="F29" s="13">
        <f t="shared" si="19"/>
        <v>0</v>
      </c>
      <c r="G29" s="13">
        <f t="shared" si="19"/>
        <v>0</v>
      </c>
      <c r="H29" s="13">
        <f t="shared" si="19"/>
        <v>0</v>
      </c>
      <c r="I29" s="13" t="e">
        <f t="shared" si="19"/>
        <v>#DIV/0!</v>
      </c>
      <c r="J29" s="13">
        <f t="shared" si="19"/>
        <v>0</v>
      </c>
      <c r="K29" s="6"/>
      <c r="L29" t="s">
        <v>55</v>
      </c>
      <c r="M29" s="13">
        <f t="shared" ref="M29:P29" si="20">M12/M$16</f>
        <v>0</v>
      </c>
      <c r="N29" s="13">
        <f t="shared" si="20"/>
        <v>0</v>
      </c>
      <c r="O29" s="13">
        <f t="shared" si="20"/>
        <v>0</v>
      </c>
      <c r="P29" s="13" t="e">
        <f t="shared" si="20"/>
        <v>#DIV/0!</v>
      </c>
      <c r="Q29" s="13">
        <f t="shared" si="6"/>
        <v>0</v>
      </c>
      <c r="R29" s="13">
        <f t="shared" si="6"/>
        <v>0</v>
      </c>
      <c r="S29" s="13">
        <f t="shared" si="6"/>
        <v>0</v>
      </c>
      <c r="T29" s="13" t="e">
        <f t="shared" si="6"/>
        <v>#DIV/0!</v>
      </c>
      <c r="U29" s="13">
        <f t="shared" si="6"/>
        <v>0</v>
      </c>
    </row>
    <row r="30" spans="1:21" x14ac:dyDescent="0.25">
      <c r="A30" t="s">
        <v>24</v>
      </c>
      <c r="B30" s="13">
        <f t="shared" ref="B30:J30" si="21">B13/B$16</f>
        <v>0</v>
      </c>
      <c r="C30" s="13">
        <f t="shared" si="21"/>
        <v>0</v>
      </c>
      <c r="D30" s="13">
        <f t="shared" si="21"/>
        <v>0</v>
      </c>
      <c r="E30" s="13">
        <f t="shared" si="21"/>
        <v>0</v>
      </c>
      <c r="F30" s="13">
        <f t="shared" si="21"/>
        <v>0</v>
      </c>
      <c r="G30" s="13">
        <f t="shared" si="21"/>
        <v>0</v>
      </c>
      <c r="H30" s="13">
        <f t="shared" si="21"/>
        <v>0</v>
      </c>
      <c r="I30" s="13" t="e">
        <f t="shared" si="21"/>
        <v>#DIV/0!</v>
      </c>
      <c r="J30" s="13">
        <f t="shared" si="21"/>
        <v>0</v>
      </c>
      <c r="K30" s="6"/>
      <c r="L30" t="s">
        <v>24</v>
      </c>
      <c r="M30" s="13">
        <f t="shared" ref="M30:P30" si="22">M13/M$16</f>
        <v>0</v>
      </c>
      <c r="N30" s="13">
        <f t="shared" si="22"/>
        <v>0</v>
      </c>
      <c r="O30" s="13">
        <f t="shared" si="22"/>
        <v>0</v>
      </c>
      <c r="P30" s="13" t="e">
        <f t="shared" si="22"/>
        <v>#DIV/0!</v>
      </c>
      <c r="Q30" s="13">
        <f t="shared" si="6"/>
        <v>0</v>
      </c>
      <c r="R30" s="13">
        <f t="shared" si="6"/>
        <v>0</v>
      </c>
      <c r="S30" s="13">
        <f t="shared" si="6"/>
        <v>0</v>
      </c>
      <c r="T30" s="13" t="e">
        <f t="shared" si="6"/>
        <v>#DIV/0!</v>
      </c>
      <c r="U30" s="13">
        <f t="shared" si="6"/>
        <v>0</v>
      </c>
    </row>
    <row r="31" spans="1:21" x14ac:dyDescent="0.25">
      <c r="A31" t="s">
        <v>4</v>
      </c>
      <c r="B31" s="13">
        <f t="shared" ref="B31:J31" si="23">B14/B$16</f>
        <v>3.8493488701604246E-4</v>
      </c>
      <c r="C31" s="13">
        <f t="shared" si="23"/>
        <v>1.8796756328763503E-4</v>
      </c>
      <c r="D31" s="13">
        <f t="shared" si="23"/>
        <v>0</v>
      </c>
      <c r="E31" s="13">
        <f t="shared" si="23"/>
        <v>0</v>
      </c>
      <c r="F31" s="13">
        <f t="shared" si="23"/>
        <v>0</v>
      </c>
      <c r="G31" s="13">
        <f t="shared" si="23"/>
        <v>0.98777972606819975</v>
      </c>
      <c r="H31" s="13">
        <f t="shared" si="23"/>
        <v>0</v>
      </c>
      <c r="I31" s="13" t="e">
        <f t="shared" si="23"/>
        <v>#DIV/0!</v>
      </c>
      <c r="J31" s="13">
        <f t="shared" si="23"/>
        <v>4.1350086531193745E-3</v>
      </c>
      <c r="K31" s="6"/>
      <c r="L31" t="s">
        <v>4</v>
      </c>
      <c r="M31" s="13">
        <f t="shared" ref="M31:P31" si="24">M14/M$16</f>
        <v>1.3128539438639775E-3</v>
      </c>
      <c r="N31" s="13">
        <f t="shared" si="24"/>
        <v>1.7680179707736858E-3</v>
      </c>
      <c r="O31" s="13">
        <f t="shared" si="24"/>
        <v>1.0079666528509E-3</v>
      </c>
      <c r="P31" s="13" t="e">
        <f t="shared" si="24"/>
        <v>#DIV/0!</v>
      </c>
      <c r="Q31" s="13">
        <f t="shared" si="6"/>
        <v>9.9342996291766246E-3</v>
      </c>
      <c r="R31" s="13">
        <f t="shared" si="6"/>
        <v>0.93519583956161445</v>
      </c>
      <c r="S31" s="13">
        <f t="shared" si="6"/>
        <v>0</v>
      </c>
      <c r="T31" s="13" t="e">
        <f t="shared" si="6"/>
        <v>#DIV/0!</v>
      </c>
      <c r="U31" s="13">
        <f t="shared" si="6"/>
        <v>9.4339366740639388E-3</v>
      </c>
    </row>
    <row r="32" spans="1:21" x14ac:dyDescent="0.25">
      <c r="A32" s="4" t="s">
        <v>5</v>
      </c>
      <c r="B32" s="14">
        <f t="shared" ref="B32:J32" si="25">B15/B$16</f>
        <v>1.1155817112508581E-2</v>
      </c>
      <c r="C32" s="14">
        <f t="shared" si="25"/>
        <v>1.544050673524339E-2</v>
      </c>
      <c r="D32" s="14">
        <f t="shared" si="25"/>
        <v>3.0062503840180246E-2</v>
      </c>
      <c r="E32" s="14">
        <f t="shared" si="25"/>
        <v>9.7937766175271876E-2</v>
      </c>
      <c r="F32" s="14">
        <f t="shared" si="25"/>
        <v>0.34604545008342852</v>
      </c>
      <c r="G32" s="14">
        <f t="shared" si="25"/>
        <v>1.222027393180017E-2</v>
      </c>
      <c r="H32" s="14">
        <f t="shared" si="25"/>
        <v>1</v>
      </c>
      <c r="I32" s="14" t="e">
        <f t="shared" si="25"/>
        <v>#DIV/0!</v>
      </c>
      <c r="J32" s="14">
        <f t="shared" si="25"/>
        <v>0.12482902903424301</v>
      </c>
      <c r="K32" s="6"/>
      <c r="L32" s="4" t="s">
        <v>5</v>
      </c>
      <c r="M32" s="14">
        <f t="shared" ref="M32:P32" si="26">M15/M$16</f>
        <v>2.1898626326231876E-2</v>
      </c>
      <c r="N32" s="14">
        <f t="shared" si="26"/>
        <v>1.0267009334913611E-2</v>
      </c>
      <c r="O32" s="14">
        <f t="shared" si="26"/>
        <v>7.0403510710090279E-3</v>
      </c>
      <c r="P32" s="14" t="e">
        <f t="shared" si="26"/>
        <v>#DIV/0!</v>
      </c>
      <c r="Q32" s="14">
        <f t="shared" si="6"/>
        <v>0.15808649684959647</v>
      </c>
      <c r="R32" s="14">
        <f t="shared" si="6"/>
        <v>6.4804160438385605E-2</v>
      </c>
      <c r="S32" s="14">
        <f t="shared" si="6"/>
        <v>0.99999153776188743</v>
      </c>
      <c r="T32" s="14" t="e">
        <f t="shared" si="6"/>
        <v>#DIV/0!</v>
      </c>
      <c r="U32" s="14">
        <f t="shared" si="6"/>
        <v>0.14402727305796964</v>
      </c>
    </row>
    <row r="33" spans="1:32" ht="15.75" thickBot="1" x14ac:dyDescent="0.3">
      <c r="A33" s="12" t="s">
        <v>7</v>
      </c>
      <c r="B33" s="15">
        <f t="shared" ref="B33:J33" si="27">B16/B$16</f>
        <v>1</v>
      </c>
      <c r="C33" s="15">
        <f t="shared" si="27"/>
        <v>1</v>
      </c>
      <c r="D33" s="15">
        <f t="shared" si="27"/>
        <v>1</v>
      </c>
      <c r="E33" s="15">
        <f t="shared" si="27"/>
        <v>1</v>
      </c>
      <c r="F33" s="15">
        <f t="shared" si="27"/>
        <v>1</v>
      </c>
      <c r="G33" s="15">
        <f t="shared" si="27"/>
        <v>1</v>
      </c>
      <c r="H33" s="15">
        <f t="shared" si="27"/>
        <v>1</v>
      </c>
      <c r="I33" s="15" t="e">
        <f t="shared" si="27"/>
        <v>#DIV/0!</v>
      </c>
      <c r="J33" s="15">
        <f t="shared" si="27"/>
        <v>1</v>
      </c>
      <c r="L33" s="9" t="s">
        <v>7</v>
      </c>
      <c r="M33" s="15">
        <f t="shared" ref="M33:P33" si="28">M16/M$16</f>
        <v>1</v>
      </c>
      <c r="N33" s="15">
        <f t="shared" si="28"/>
        <v>1</v>
      </c>
      <c r="O33" s="15">
        <f t="shared" si="28"/>
        <v>1</v>
      </c>
      <c r="P33" s="15" t="e">
        <f t="shared" si="28"/>
        <v>#DIV/0!</v>
      </c>
      <c r="Q33" s="15">
        <f t="shared" si="6"/>
        <v>1</v>
      </c>
      <c r="R33" s="15">
        <f t="shared" si="6"/>
        <v>1</v>
      </c>
      <c r="S33" s="15">
        <f t="shared" si="6"/>
        <v>1</v>
      </c>
      <c r="T33" s="15" t="e">
        <f t="shared" si="6"/>
        <v>#DIV/0!</v>
      </c>
      <c r="U33" s="15">
        <f t="shared" si="6"/>
        <v>1</v>
      </c>
    </row>
    <row r="36" spans="1:32" ht="15.75" thickBot="1" x14ac:dyDescent="0.3">
      <c r="L36" s="1" t="s">
        <v>21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25">
      <c r="L37" s="3"/>
      <c r="M37" s="32" t="s">
        <v>57</v>
      </c>
      <c r="N37" s="32"/>
      <c r="O37" s="32"/>
      <c r="P37" s="32"/>
      <c r="Q37" s="32"/>
      <c r="R37" s="32"/>
      <c r="S37" s="32"/>
      <c r="T37" s="32"/>
      <c r="U37" s="32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</row>
    <row r="39" spans="1:32" x14ac:dyDescent="0.25">
      <c r="L39" t="s">
        <v>1</v>
      </c>
      <c r="M39" s="13">
        <f t="shared" ref="M39:P44" si="29">M22-B22</f>
        <v>-1.1670728270571362E-2</v>
      </c>
      <c r="N39" s="13">
        <f t="shared" si="29"/>
        <v>2.0772464521757312E-2</v>
      </c>
      <c r="O39" s="13">
        <f t="shared" si="29"/>
        <v>8.4376527353003557E-3</v>
      </c>
      <c r="P39" s="13" t="e">
        <f t="shared" si="29"/>
        <v>#DIV/0!</v>
      </c>
      <c r="Q39" s="13">
        <f t="shared" ref="Q39:Q50" si="30">Q22-F22</f>
        <v>9.4045873924850434E-4</v>
      </c>
      <c r="R39" s="13">
        <f t="shared" ref="R39:R50" si="31">R22-G22</f>
        <v>0</v>
      </c>
      <c r="S39" s="13">
        <f t="shared" ref="S39:S50" si="32">S22-H22</f>
        <v>0</v>
      </c>
      <c r="T39" s="13" t="e">
        <f t="shared" ref="T39:T50" si="33">T22-I22</f>
        <v>#DIV/0!</v>
      </c>
      <c r="U39" s="13">
        <f t="shared" ref="U39:U50" si="34">U22-J22</f>
        <v>-2.8004565850339447E-2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25">
      <c r="L40" t="s">
        <v>12</v>
      </c>
      <c r="M40" s="13">
        <f t="shared" si="29"/>
        <v>0</v>
      </c>
      <c r="N40" s="13">
        <f t="shared" si="29"/>
        <v>-1.7179017528913598E-2</v>
      </c>
      <c r="O40" s="13">
        <f t="shared" si="29"/>
        <v>8.180552992634485E-2</v>
      </c>
      <c r="P40" s="13" t="e">
        <f t="shared" si="29"/>
        <v>#DIV/0!</v>
      </c>
      <c r="Q40" s="13">
        <f t="shared" si="30"/>
        <v>0.12708163688027951</v>
      </c>
      <c r="R40" s="13">
        <f t="shared" si="31"/>
        <v>0</v>
      </c>
      <c r="S40" s="13">
        <f t="shared" si="32"/>
        <v>0</v>
      </c>
      <c r="T40" s="13" t="e">
        <f t="shared" si="33"/>
        <v>#DIV/0!</v>
      </c>
      <c r="U40" s="13">
        <f t="shared" si="34"/>
        <v>2.5890393142702028E-2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25">
      <c r="L41" t="s">
        <v>56</v>
      </c>
      <c r="M41" s="13">
        <f t="shared" si="29"/>
        <v>0</v>
      </c>
      <c r="N41" s="13">
        <f t="shared" si="29"/>
        <v>0</v>
      </c>
      <c r="O41" s="13">
        <f t="shared" si="29"/>
        <v>-6.8228996545324883E-2</v>
      </c>
      <c r="P41" s="13" t="e">
        <f t="shared" si="29"/>
        <v>#DIV/0!</v>
      </c>
      <c r="Q41" s="13">
        <f t="shared" si="30"/>
        <v>5.5512247027236394E-2</v>
      </c>
      <c r="R41" s="13">
        <f t="shared" si="31"/>
        <v>0</v>
      </c>
      <c r="S41" s="13">
        <f t="shared" si="32"/>
        <v>8.4622381125853822E-6</v>
      </c>
      <c r="T41" s="13" t="e">
        <f t="shared" si="33"/>
        <v>#DIV/0!</v>
      </c>
      <c r="U41" s="13">
        <f t="shared" si="34"/>
        <v>6.9831482539970402E-3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25">
      <c r="L42" t="s">
        <v>51</v>
      </c>
      <c r="M42" s="13">
        <f t="shared" si="29"/>
        <v>0</v>
      </c>
      <c r="N42" s="13">
        <f t="shared" si="29"/>
        <v>0</v>
      </c>
      <c r="O42" s="13">
        <f t="shared" si="29"/>
        <v>0</v>
      </c>
      <c r="P42" s="13" t="e">
        <f t="shared" si="29"/>
        <v>#DIV/0!</v>
      </c>
      <c r="Q42" s="13">
        <f t="shared" si="30"/>
        <v>-4.9672708767694029E-3</v>
      </c>
      <c r="R42" s="13">
        <f t="shared" si="31"/>
        <v>0</v>
      </c>
      <c r="S42" s="13">
        <f t="shared" si="32"/>
        <v>0</v>
      </c>
      <c r="T42" s="13" t="e">
        <f t="shared" si="33"/>
        <v>#DIV/0!</v>
      </c>
      <c r="U42" s="13">
        <f t="shared" si="34"/>
        <v>-2.9333078235430871E-2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25">
      <c r="L43" t="s">
        <v>52</v>
      </c>
      <c r="M43" s="13">
        <f t="shared" si="29"/>
        <v>0</v>
      </c>
      <c r="N43" s="13">
        <f t="shared" si="29"/>
        <v>0</v>
      </c>
      <c r="O43" s="13">
        <f t="shared" si="29"/>
        <v>0</v>
      </c>
      <c r="P43" s="13" t="e">
        <f t="shared" si="29"/>
        <v>#DIV/0!</v>
      </c>
      <c r="Q43" s="13">
        <f t="shared" si="30"/>
        <v>-5.4241816533971644E-4</v>
      </c>
      <c r="R43" s="13">
        <f t="shared" si="31"/>
        <v>0</v>
      </c>
      <c r="S43" s="13">
        <f t="shared" si="32"/>
        <v>0</v>
      </c>
      <c r="T43" s="13" t="e">
        <f t="shared" si="33"/>
        <v>#DIV/0!</v>
      </c>
      <c r="U43" s="13">
        <f t="shared" si="34"/>
        <v>-3.3069355599755213E-5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25">
      <c r="L44" t="s">
        <v>53</v>
      </c>
      <c r="M44" s="13">
        <f t="shared" si="29"/>
        <v>0</v>
      </c>
      <c r="N44" s="13">
        <f t="shared" si="29"/>
        <v>0</v>
      </c>
      <c r="O44" s="13">
        <f t="shared" si="29"/>
        <v>0</v>
      </c>
      <c r="P44" s="13" t="e">
        <f t="shared" si="29"/>
        <v>#DIV/0!</v>
      </c>
      <c r="Q44" s="13">
        <f t="shared" si="30"/>
        <v>0</v>
      </c>
      <c r="R44" s="13">
        <f t="shared" si="31"/>
        <v>0</v>
      </c>
      <c r="S44" s="13">
        <f t="shared" si="32"/>
        <v>0</v>
      </c>
      <c r="T44" s="13" t="e">
        <f t="shared" si="33"/>
        <v>#DIV/0!</v>
      </c>
      <c r="U44" s="13">
        <f t="shared" si="34"/>
        <v>0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25">
      <c r="L45" t="s">
        <v>54</v>
      </c>
      <c r="M45" s="13">
        <f t="shared" ref="M45:M47" si="35">M28-B28</f>
        <v>0</v>
      </c>
      <c r="N45" s="13">
        <f t="shared" ref="N45:N47" si="36">N28-C28</f>
        <v>0</v>
      </c>
      <c r="O45" s="13">
        <f t="shared" ref="O45:O47" si="37">O28-D28</f>
        <v>0</v>
      </c>
      <c r="P45" s="13" t="e">
        <f t="shared" ref="P45:P47" si="38">P28-E28</f>
        <v>#DIV/0!</v>
      </c>
      <c r="Q45" s="13">
        <f t="shared" si="30"/>
        <v>0</v>
      </c>
      <c r="R45" s="13">
        <f t="shared" si="31"/>
        <v>0</v>
      </c>
      <c r="S45" s="13">
        <f t="shared" si="32"/>
        <v>0</v>
      </c>
      <c r="T45" s="13" t="e">
        <f t="shared" si="33"/>
        <v>#DIV/0!</v>
      </c>
      <c r="U45" s="13">
        <f t="shared" si="34"/>
        <v>0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25">
      <c r="L46" t="s">
        <v>55</v>
      </c>
      <c r="M46" s="13">
        <f t="shared" si="35"/>
        <v>0</v>
      </c>
      <c r="N46" s="13">
        <f t="shared" si="36"/>
        <v>0</v>
      </c>
      <c r="O46" s="13">
        <f t="shared" si="37"/>
        <v>0</v>
      </c>
      <c r="P46" s="13" t="e">
        <f t="shared" si="38"/>
        <v>#DIV/0!</v>
      </c>
      <c r="Q46" s="13">
        <f t="shared" si="30"/>
        <v>0</v>
      </c>
      <c r="R46" s="13">
        <f t="shared" si="31"/>
        <v>0</v>
      </c>
      <c r="S46" s="13">
        <f t="shared" si="32"/>
        <v>0</v>
      </c>
      <c r="T46" s="13" t="e">
        <f t="shared" si="33"/>
        <v>#DIV/0!</v>
      </c>
      <c r="U46" s="13">
        <f t="shared" si="34"/>
        <v>0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25">
      <c r="L47" t="s">
        <v>24</v>
      </c>
      <c r="M47" s="13">
        <f t="shared" si="35"/>
        <v>0</v>
      </c>
      <c r="N47" s="13">
        <f t="shared" si="36"/>
        <v>0</v>
      </c>
      <c r="O47" s="13">
        <f t="shared" si="37"/>
        <v>0</v>
      </c>
      <c r="P47" s="13" t="e">
        <f t="shared" si="38"/>
        <v>#DIV/0!</v>
      </c>
      <c r="Q47" s="13">
        <f t="shared" si="30"/>
        <v>0</v>
      </c>
      <c r="R47" s="13">
        <f t="shared" si="31"/>
        <v>0</v>
      </c>
      <c r="S47" s="13">
        <f t="shared" si="32"/>
        <v>0</v>
      </c>
      <c r="T47" s="13" t="e">
        <f t="shared" si="33"/>
        <v>#DIV/0!</v>
      </c>
      <c r="U47" s="13">
        <f t="shared" si="34"/>
        <v>0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25">
      <c r="L48" t="s">
        <v>4</v>
      </c>
      <c r="M48" s="13">
        <f t="shared" ref="M48:P50" si="39">M31-B31</f>
        <v>9.2791905684793514E-4</v>
      </c>
      <c r="N48" s="13">
        <f t="shared" si="39"/>
        <v>1.5800504074860507E-3</v>
      </c>
      <c r="O48" s="13">
        <f t="shared" si="39"/>
        <v>1.0079666528509E-3</v>
      </c>
      <c r="P48" s="13" t="e">
        <f t="shared" si="39"/>
        <v>#DIV/0!</v>
      </c>
      <c r="Q48" s="13">
        <f t="shared" si="30"/>
        <v>9.9342996291766246E-3</v>
      </c>
      <c r="R48" s="13">
        <f t="shared" si="31"/>
        <v>-5.2583886506585298E-2</v>
      </c>
      <c r="S48" s="13">
        <f t="shared" si="32"/>
        <v>0</v>
      </c>
      <c r="T48" s="13" t="e">
        <f t="shared" si="33"/>
        <v>#DIV/0!</v>
      </c>
      <c r="U48" s="13">
        <f t="shared" si="34"/>
        <v>5.2989280209445643E-3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25">
      <c r="L49" s="4" t="s">
        <v>5</v>
      </c>
      <c r="M49" s="17">
        <f t="shared" si="39"/>
        <v>1.0742809213723295E-2</v>
      </c>
      <c r="N49" s="17">
        <f t="shared" si="39"/>
        <v>-5.1734974003297789E-3</v>
      </c>
      <c r="O49" s="17">
        <f t="shared" si="39"/>
        <v>-2.3022152769171217E-2</v>
      </c>
      <c r="P49" s="17" t="e">
        <f t="shared" si="39"/>
        <v>#DIV/0!</v>
      </c>
      <c r="Q49" s="17">
        <f t="shared" si="30"/>
        <v>-0.18795895323383205</v>
      </c>
      <c r="R49" s="17">
        <f t="shared" si="31"/>
        <v>5.2583886506585437E-2</v>
      </c>
      <c r="S49" s="17">
        <f t="shared" si="32"/>
        <v>-8.4622381125720736E-6</v>
      </c>
      <c r="T49" s="17" t="e">
        <f t="shared" si="33"/>
        <v>#DIV/0!</v>
      </c>
      <c r="U49" s="13">
        <f t="shared" si="34"/>
        <v>1.9198244023726635E-2</v>
      </c>
      <c r="X49" s="13"/>
      <c r="Y49" s="13"/>
      <c r="Z49" s="13"/>
      <c r="AA49" s="13"/>
      <c r="AB49" s="13"/>
      <c r="AC49" s="13"/>
      <c r="AD49" s="13"/>
      <c r="AE49" s="13"/>
      <c r="AF49" s="13"/>
    </row>
    <row r="50" spans="12:32" ht="15.75" thickBot="1" x14ac:dyDescent="0.3">
      <c r="L50" s="9" t="s">
        <v>7</v>
      </c>
      <c r="M50" s="15">
        <f t="shared" si="39"/>
        <v>0</v>
      </c>
      <c r="N50" s="15">
        <f t="shared" si="39"/>
        <v>0</v>
      </c>
      <c r="O50" s="15">
        <f t="shared" si="39"/>
        <v>0</v>
      </c>
      <c r="P50" s="15" t="e">
        <f t="shared" si="39"/>
        <v>#DIV/0!</v>
      </c>
      <c r="Q50" s="15">
        <f t="shared" si="30"/>
        <v>0</v>
      </c>
      <c r="R50" s="15">
        <f t="shared" si="31"/>
        <v>0</v>
      </c>
      <c r="S50" s="15">
        <f t="shared" si="32"/>
        <v>0</v>
      </c>
      <c r="T50" s="15" t="e">
        <f t="shared" si="33"/>
        <v>#DIV/0!</v>
      </c>
      <c r="U50" s="15">
        <f t="shared" si="34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AF50"/>
  <sheetViews>
    <sheetView workbookViewId="0"/>
  </sheetViews>
  <sheetFormatPr defaultRowHeight="15" x14ac:dyDescent="0.25"/>
  <cols>
    <col min="1" max="1" width="25" customWidth="1" collapsed="1"/>
    <col min="2" max="10" width="10.7109375" customWidth="1" collapsed="1"/>
    <col min="11" max="11" width="3.7109375" customWidth="1" collapsed="1"/>
    <col min="12" max="12" width="25" customWidth="1" collapsed="1"/>
    <col min="13" max="22" width="10.7109375" customWidth="1" collapsed="1"/>
    <col min="23" max="23" width="17" customWidth="1" collapsed="1"/>
  </cols>
  <sheetData>
    <row r="2" spans="1:21" ht="15.75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38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31" t="s">
        <v>45</v>
      </c>
      <c r="C3" s="32"/>
      <c r="D3" s="32"/>
      <c r="E3" s="32"/>
      <c r="F3" s="32"/>
      <c r="G3" s="32"/>
      <c r="H3" s="32"/>
      <c r="I3" s="32"/>
      <c r="J3" s="11"/>
      <c r="L3" s="3"/>
      <c r="M3" s="31" t="s">
        <v>45</v>
      </c>
      <c r="N3" s="32"/>
      <c r="O3" s="32"/>
      <c r="P3" s="32"/>
      <c r="Q3" s="32"/>
      <c r="R3" s="32"/>
      <c r="S3" s="32"/>
      <c r="T3" s="32"/>
      <c r="U3" s="32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>
        <v>140661.53318992691</v>
      </c>
      <c r="C5" s="6">
        <v>6655.0399255760003</v>
      </c>
      <c r="D5" s="6">
        <v>368.20444616600003</v>
      </c>
      <c r="E5" s="6">
        <v>576.64822477799999</v>
      </c>
      <c r="F5" s="6">
        <v>0</v>
      </c>
      <c r="G5" s="6">
        <v>0</v>
      </c>
      <c r="H5" s="6">
        <v>0</v>
      </c>
      <c r="I5" s="6">
        <v>0</v>
      </c>
      <c r="J5" s="6">
        <f>SUM(B5:I5)</f>
        <v>148261.42578644693</v>
      </c>
      <c r="K5" s="6"/>
      <c r="L5" t="s">
        <v>1</v>
      </c>
      <c r="M5" s="6">
        <v>103333.72538718361</v>
      </c>
      <c r="N5" s="6">
        <v>11508.675882940308</v>
      </c>
      <c r="O5" s="6">
        <v>3044.0298156919193</v>
      </c>
      <c r="P5" s="6">
        <v>0</v>
      </c>
      <c r="Q5" s="6">
        <v>90.743166523904492</v>
      </c>
      <c r="R5" s="6">
        <v>0</v>
      </c>
      <c r="S5" s="6">
        <v>0</v>
      </c>
      <c r="T5" s="6">
        <v>0</v>
      </c>
      <c r="U5" s="6">
        <f t="shared" ref="U5:U15" si="0">SUM(M5:T5)</f>
        <v>117977.17425233974</v>
      </c>
    </row>
    <row r="6" spans="1:21" x14ac:dyDescent="0.25">
      <c r="A6" t="s">
        <v>12</v>
      </c>
      <c r="B6" s="6">
        <v>0</v>
      </c>
      <c r="C6" s="6">
        <v>227764.4292491815</v>
      </c>
      <c r="D6" s="6">
        <v>1344.7482971880002</v>
      </c>
      <c r="E6" s="6">
        <v>0</v>
      </c>
      <c r="F6" s="6">
        <v>287.33853496419999</v>
      </c>
      <c r="G6" s="6">
        <v>0</v>
      </c>
      <c r="H6" s="6">
        <v>0</v>
      </c>
      <c r="I6" s="6">
        <v>0</v>
      </c>
      <c r="J6" s="6">
        <f t="shared" ref="J6:J15" si="1">SUM(B6:I6)</f>
        <v>229396.51608133368</v>
      </c>
      <c r="K6" s="6"/>
      <c r="L6" t="s">
        <v>12</v>
      </c>
      <c r="M6" s="6">
        <v>0</v>
      </c>
      <c r="N6" s="6">
        <v>187245.10539603935</v>
      </c>
      <c r="O6" s="6">
        <v>26559.445899259361</v>
      </c>
      <c r="P6" s="6">
        <v>0</v>
      </c>
      <c r="Q6" s="6">
        <v>1443.9482089715407</v>
      </c>
      <c r="R6" s="6">
        <v>0</v>
      </c>
      <c r="S6" s="6">
        <v>0</v>
      </c>
      <c r="T6" s="6">
        <v>0</v>
      </c>
      <c r="U6" s="6">
        <f t="shared" si="0"/>
        <v>215248.49950427024</v>
      </c>
    </row>
    <row r="7" spans="1:21" x14ac:dyDescent="0.25">
      <c r="A7" t="s">
        <v>56</v>
      </c>
      <c r="B7" s="6">
        <v>0</v>
      </c>
      <c r="C7" s="6">
        <v>0</v>
      </c>
      <c r="D7" s="6">
        <v>102340.01354171991</v>
      </c>
      <c r="E7" s="6">
        <v>0</v>
      </c>
      <c r="F7" s="6">
        <v>248.97111705</v>
      </c>
      <c r="G7" s="6">
        <v>0</v>
      </c>
      <c r="H7" s="6">
        <v>0</v>
      </c>
      <c r="I7" s="6">
        <v>0</v>
      </c>
      <c r="J7" s="6">
        <f t="shared" si="1"/>
        <v>102588.9846587699</v>
      </c>
      <c r="K7" s="6"/>
      <c r="L7" t="s">
        <v>56</v>
      </c>
      <c r="M7" s="6">
        <v>0</v>
      </c>
      <c r="N7" s="6">
        <v>0</v>
      </c>
      <c r="O7" s="6">
        <v>121681.52986484214</v>
      </c>
      <c r="P7" s="6">
        <v>0</v>
      </c>
      <c r="Q7" s="6">
        <v>593.27641793976272</v>
      </c>
      <c r="R7" s="6">
        <v>0</v>
      </c>
      <c r="S7" s="6">
        <v>0</v>
      </c>
      <c r="T7" s="6">
        <v>0</v>
      </c>
      <c r="U7" s="6">
        <f t="shared" si="0"/>
        <v>122274.80628278191</v>
      </c>
    </row>
    <row r="8" spans="1:21" x14ac:dyDescent="0.25">
      <c r="A8" t="s">
        <v>51</v>
      </c>
      <c r="B8" s="6">
        <v>0</v>
      </c>
      <c r="C8" s="6">
        <v>0</v>
      </c>
      <c r="D8" s="6">
        <v>0</v>
      </c>
      <c r="E8" s="6">
        <v>864.97233716700009</v>
      </c>
      <c r="F8" s="6">
        <v>25218.636807620398</v>
      </c>
      <c r="G8" s="6">
        <v>0</v>
      </c>
      <c r="H8" s="6">
        <v>0</v>
      </c>
      <c r="I8" s="6">
        <v>0</v>
      </c>
      <c r="J8" s="6">
        <f t="shared" si="1"/>
        <v>26083.609144787399</v>
      </c>
      <c r="K8" s="6"/>
      <c r="L8" t="s">
        <v>51</v>
      </c>
      <c r="M8" s="6">
        <v>0</v>
      </c>
      <c r="N8" s="6">
        <v>0</v>
      </c>
      <c r="O8" s="6">
        <v>0</v>
      </c>
      <c r="P8" s="6">
        <v>0</v>
      </c>
      <c r="Q8" s="6">
        <v>6644.9461688471256</v>
      </c>
      <c r="R8" s="6">
        <v>0</v>
      </c>
      <c r="S8" s="6">
        <v>0</v>
      </c>
      <c r="T8" s="6">
        <v>0</v>
      </c>
      <c r="U8" s="6">
        <f t="shared" si="0"/>
        <v>6644.9461688471256</v>
      </c>
    </row>
    <row r="9" spans="1:21" x14ac:dyDescent="0.25">
      <c r="A9" t="s">
        <v>52</v>
      </c>
      <c r="B9" s="6">
        <v>0</v>
      </c>
      <c r="C9" s="6">
        <v>0</v>
      </c>
      <c r="D9" s="6">
        <v>0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f t="shared" si="1"/>
        <v>0</v>
      </c>
      <c r="K9" s="6"/>
      <c r="L9" t="s">
        <v>52</v>
      </c>
      <c r="M9" s="6">
        <v>0</v>
      </c>
      <c r="N9" s="6">
        <v>0</v>
      </c>
      <c r="O9" s="6">
        <v>0</v>
      </c>
      <c r="P9" s="6">
        <v>0</v>
      </c>
      <c r="Q9" s="6">
        <v>0</v>
      </c>
      <c r="R9" s="6">
        <v>0</v>
      </c>
      <c r="S9" s="6">
        <v>0</v>
      </c>
      <c r="T9" s="6">
        <v>0</v>
      </c>
      <c r="U9" s="6">
        <f t="shared" si="0"/>
        <v>0</v>
      </c>
    </row>
    <row r="10" spans="1:21" x14ac:dyDescent="0.25">
      <c r="A10" t="s">
        <v>53</v>
      </c>
      <c r="B10" s="6">
        <v>0</v>
      </c>
      <c r="C10" s="6">
        <v>0</v>
      </c>
      <c r="D10" s="6">
        <v>0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f t="shared" si="1"/>
        <v>0</v>
      </c>
      <c r="K10" s="6"/>
      <c r="L10" t="s">
        <v>53</v>
      </c>
      <c r="M10" s="6">
        <v>0</v>
      </c>
      <c r="N10" s="6">
        <v>0</v>
      </c>
      <c r="O10" s="6">
        <v>0</v>
      </c>
      <c r="P10" s="6">
        <v>0</v>
      </c>
      <c r="Q10" s="6">
        <v>0</v>
      </c>
      <c r="R10" s="6">
        <v>0</v>
      </c>
      <c r="S10" s="6">
        <v>0</v>
      </c>
      <c r="T10" s="6">
        <v>0</v>
      </c>
      <c r="U10" s="6">
        <f t="shared" si="0"/>
        <v>0</v>
      </c>
    </row>
    <row r="11" spans="1:21" x14ac:dyDescent="0.25">
      <c r="A11" t="s">
        <v>54</v>
      </c>
      <c r="B11" s="6">
        <v>0</v>
      </c>
      <c r="C11" s="6">
        <v>0</v>
      </c>
      <c r="D11" s="6">
        <v>0</v>
      </c>
      <c r="E11" s="6">
        <v>0</v>
      </c>
      <c r="F11" s="6">
        <v>0</v>
      </c>
      <c r="G11" s="6">
        <v>0</v>
      </c>
      <c r="H11" s="6">
        <v>0</v>
      </c>
      <c r="I11" s="6">
        <v>0</v>
      </c>
      <c r="J11" s="6">
        <f t="shared" si="1"/>
        <v>0</v>
      </c>
      <c r="K11" s="6"/>
      <c r="L11" t="s">
        <v>54</v>
      </c>
      <c r="M11" s="6">
        <v>0</v>
      </c>
      <c r="N11" s="6">
        <v>0</v>
      </c>
      <c r="O11" s="6">
        <v>0</v>
      </c>
      <c r="P11" s="6">
        <v>0</v>
      </c>
      <c r="Q11" s="6">
        <v>0</v>
      </c>
      <c r="R11" s="6">
        <v>0</v>
      </c>
      <c r="S11" s="6">
        <v>0</v>
      </c>
      <c r="T11" s="6">
        <v>0</v>
      </c>
      <c r="U11" s="6">
        <f t="shared" si="0"/>
        <v>0</v>
      </c>
    </row>
    <row r="12" spans="1:21" x14ac:dyDescent="0.25">
      <c r="A12" t="s">
        <v>55</v>
      </c>
      <c r="B12" s="6">
        <v>0</v>
      </c>
      <c r="C12" s="6">
        <v>0</v>
      </c>
      <c r="D12" s="6">
        <v>0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f t="shared" si="1"/>
        <v>0</v>
      </c>
      <c r="K12" s="6"/>
      <c r="L12" t="s">
        <v>55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R12" s="6">
        <v>0</v>
      </c>
      <c r="S12" s="6">
        <v>0</v>
      </c>
      <c r="T12" s="6">
        <v>0</v>
      </c>
      <c r="U12" s="6">
        <f t="shared" si="0"/>
        <v>0</v>
      </c>
    </row>
    <row r="13" spans="1:21" x14ac:dyDescent="0.25">
      <c r="A13" t="s">
        <v>24</v>
      </c>
      <c r="B13" s="6">
        <v>0</v>
      </c>
      <c r="C13" s="6">
        <v>0</v>
      </c>
      <c r="D13" s="6">
        <v>0</v>
      </c>
      <c r="E13" s="6">
        <v>0</v>
      </c>
      <c r="F13" s="6">
        <v>0</v>
      </c>
      <c r="G13" s="6">
        <v>0</v>
      </c>
      <c r="H13" s="6">
        <v>0</v>
      </c>
      <c r="I13" s="6">
        <v>0</v>
      </c>
      <c r="J13" s="6">
        <f t="shared" si="1"/>
        <v>0</v>
      </c>
      <c r="K13" s="6"/>
      <c r="L13" t="s">
        <v>24</v>
      </c>
      <c r="M13" s="6">
        <v>0</v>
      </c>
      <c r="N13" s="6">
        <v>0</v>
      </c>
      <c r="O13" s="6">
        <v>0</v>
      </c>
      <c r="P13" s="6">
        <v>0</v>
      </c>
      <c r="Q13" s="6">
        <v>0</v>
      </c>
      <c r="R13" s="6">
        <v>0</v>
      </c>
      <c r="S13" s="6">
        <v>0</v>
      </c>
      <c r="T13" s="6">
        <v>0</v>
      </c>
      <c r="U13" s="6">
        <f t="shared" si="0"/>
        <v>0</v>
      </c>
    </row>
    <row r="14" spans="1:21" x14ac:dyDescent="0.25">
      <c r="A14" t="s">
        <v>4</v>
      </c>
      <c r="B14" s="6">
        <v>0</v>
      </c>
      <c r="C14" s="6">
        <v>0</v>
      </c>
      <c r="D14" s="6">
        <v>9355.1044948800009</v>
      </c>
      <c r="E14" s="6">
        <v>0</v>
      </c>
      <c r="F14" s="6">
        <v>154.98434974439999</v>
      </c>
      <c r="G14" s="6">
        <v>7262.5157185102998</v>
      </c>
      <c r="H14" s="6">
        <v>0</v>
      </c>
      <c r="I14" s="6">
        <v>0</v>
      </c>
      <c r="J14" s="6">
        <f t="shared" si="1"/>
        <v>16772.604563134701</v>
      </c>
      <c r="K14" s="6"/>
      <c r="L14" t="s">
        <v>4</v>
      </c>
      <c r="M14" s="6">
        <v>150.22785567782094</v>
      </c>
      <c r="N14" s="6">
        <v>338.1909060958194</v>
      </c>
      <c r="O14" s="6">
        <v>197.37242031933957</v>
      </c>
      <c r="P14" s="6">
        <v>0</v>
      </c>
      <c r="Q14" s="6">
        <v>76.485953660883098</v>
      </c>
      <c r="R14" s="6">
        <v>1536.4116156162625</v>
      </c>
      <c r="S14" s="6">
        <v>0</v>
      </c>
      <c r="T14" s="6">
        <v>0</v>
      </c>
      <c r="U14" s="6">
        <f t="shared" si="0"/>
        <v>2298.6887513701254</v>
      </c>
    </row>
    <row r="15" spans="1:21" x14ac:dyDescent="0.25">
      <c r="A15" s="4" t="s">
        <v>5</v>
      </c>
      <c r="B15" s="10">
        <v>229.46485907099998</v>
      </c>
      <c r="C15" s="10">
        <v>2618.0333936714001</v>
      </c>
      <c r="D15" s="10">
        <v>3365.5155601639999</v>
      </c>
      <c r="E15" s="10">
        <v>0</v>
      </c>
      <c r="F15" s="10">
        <v>3753.8568361770003</v>
      </c>
      <c r="G15" s="10">
        <v>1578.8049141097999</v>
      </c>
      <c r="H15" s="10">
        <v>75599.428950870395</v>
      </c>
      <c r="I15" s="10">
        <v>0</v>
      </c>
      <c r="J15" s="6">
        <f t="shared" si="1"/>
        <v>87145.104514063598</v>
      </c>
      <c r="K15" s="6"/>
      <c r="L15" s="4" t="s">
        <v>5</v>
      </c>
      <c r="M15" s="8">
        <v>2224.9443727288522</v>
      </c>
      <c r="N15" s="8">
        <v>2433.3538929811107</v>
      </c>
      <c r="O15" s="8">
        <v>1345.9549219023572</v>
      </c>
      <c r="P15" s="8">
        <v>0</v>
      </c>
      <c r="Q15" s="8">
        <v>1622.6342807924018</v>
      </c>
      <c r="R15" s="8">
        <v>102.51656764280567</v>
      </c>
      <c r="S15" s="8">
        <v>82515.97715604541</v>
      </c>
      <c r="T15" s="8">
        <v>0</v>
      </c>
      <c r="U15" s="6">
        <f t="shared" si="0"/>
        <v>90245.381192092944</v>
      </c>
    </row>
    <row r="16" spans="1:21" ht="15.75" thickBot="1" x14ac:dyDescent="0.3">
      <c r="A16" s="12" t="s">
        <v>7</v>
      </c>
      <c r="B16" s="16">
        <f t="shared" ref="B16:J16" si="2">SUM(B5:B15)</f>
        <v>140890.99804899792</v>
      </c>
      <c r="C16" s="16">
        <f t="shared" si="2"/>
        <v>237037.5025684289</v>
      </c>
      <c r="D16" s="16">
        <f t="shared" si="2"/>
        <v>116773.58634011791</v>
      </c>
      <c r="E16" s="16">
        <f t="shared" si="2"/>
        <v>1441.6205619450002</v>
      </c>
      <c r="F16" s="16">
        <f t="shared" si="2"/>
        <v>29663.787645556</v>
      </c>
      <c r="G16" s="16">
        <f t="shared" si="2"/>
        <v>8841.3206326200998</v>
      </c>
      <c r="H16" s="16">
        <f t="shared" si="2"/>
        <v>75599.428950870395</v>
      </c>
      <c r="I16" s="16">
        <f t="shared" si="2"/>
        <v>0</v>
      </c>
      <c r="J16" s="16">
        <f t="shared" si="2"/>
        <v>610248.24474853626</v>
      </c>
      <c r="L16" s="9" t="s">
        <v>7</v>
      </c>
      <c r="M16" s="16">
        <f t="shared" ref="M16:U16" si="3">SUM(M5:M15)</f>
        <v>105708.89761559028</v>
      </c>
      <c r="N16" s="16">
        <f t="shared" si="3"/>
        <v>201525.32607805656</v>
      </c>
      <c r="O16" s="16">
        <f t="shared" si="3"/>
        <v>152828.33292201511</v>
      </c>
      <c r="P16" s="16">
        <f t="shared" si="3"/>
        <v>0</v>
      </c>
      <c r="Q16" s="16">
        <f t="shared" si="3"/>
        <v>10472.034196735618</v>
      </c>
      <c r="R16" s="16">
        <f t="shared" si="3"/>
        <v>1638.9281832590682</v>
      </c>
      <c r="S16" s="16">
        <f t="shared" si="3"/>
        <v>82515.97715604541</v>
      </c>
      <c r="T16" s="16">
        <f t="shared" si="3"/>
        <v>0</v>
      </c>
      <c r="U16" s="16">
        <f t="shared" si="3"/>
        <v>554689.49615170213</v>
      </c>
    </row>
    <row r="19" spans="1:21" ht="15.75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37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31" t="s">
        <v>45</v>
      </c>
      <c r="C20" s="32"/>
      <c r="D20" s="32"/>
      <c r="E20" s="32"/>
      <c r="F20" s="32"/>
      <c r="G20" s="32"/>
      <c r="H20" s="32"/>
      <c r="I20" s="32"/>
      <c r="J20" s="11"/>
      <c r="L20" s="3"/>
      <c r="M20" s="31" t="s">
        <v>45</v>
      </c>
      <c r="N20" s="32"/>
      <c r="O20" s="32"/>
      <c r="P20" s="32"/>
      <c r="Q20" s="32"/>
      <c r="R20" s="32"/>
      <c r="S20" s="32"/>
      <c r="T20" s="32"/>
      <c r="U20" s="32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t="shared" ref="B22:J22" si="4">B5/B$16</f>
        <v>0.99837133058713079</v>
      </c>
      <c r="C22" s="13">
        <f t="shared" si="4"/>
        <v>2.8075894546074193E-2</v>
      </c>
      <c r="D22" s="13">
        <f t="shared" si="4"/>
        <v>3.1531483934522471E-3</v>
      </c>
      <c r="E22" s="13">
        <f t="shared" si="4"/>
        <v>0.39999999999999991</v>
      </c>
      <c r="F22" s="13">
        <f t="shared" si="4"/>
        <v>0</v>
      </c>
      <c r="G22" s="13">
        <f t="shared" si="4"/>
        <v>0</v>
      </c>
      <c r="H22" s="13">
        <f t="shared" si="4"/>
        <v>0</v>
      </c>
      <c r="I22" s="13" t="e">
        <f t="shared" si="4"/>
        <v>#DIV/0!</v>
      </c>
      <c r="J22" s="13">
        <f t="shared" si="4"/>
        <v>0.24295264601300198</v>
      </c>
      <c r="K22" s="6"/>
      <c r="L22" t="s">
        <v>1</v>
      </c>
      <c r="M22" s="13">
        <f t="shared" ref="M22:P22" si="5">M5/M$16</f>
        <v>0.97753100938537874</v>
      </c>
      <c r="N22" s="13">
        <f t="shared" si="5"/>
        <v>5.7107839034001448E-2</v>
      </c>
      <c r="O22" s="13">
        <f t="shared" si="5"/>
        <v>1.991796781062331E-2</v>
      </c>
      <c r="P22" s="13" t="e">
        <f t="shared" si="5"/>
        <v>#DIV/0!</v>
      </c>
      <c r="Q22" s="13">
        <f t="shared" ref="Q22:U33" si="6">Q5/Q$16</f>
        <v>8.6652855423439406E-3</v>
      </c>
      <c r="R22" s="13">
        <f t="shared" si="6"/>
        <v>0</v>
      </c>
      <c r="S22" s="13">
        <f t="shared" si="6"/>
        <v>0</v>
      </c>
      <c r="T22" s="13" t="e">
        <f t="shared" si="6"/>
        <v>#DIV/0!</v>
      </c>
      <c r="U22" s="13">
        <f t="shared" si="6"/>
        <v>0.21269047831414883</v>
      </c>
    </row>
    <row r="23" spans="1:21" x14ac:dyDescent="0.25">
      <c r="A23" t="s">
        <v>9</v>
      </c>
      <c r="B23" s="13">
        <f t="shared" ref="B23:J23" si="7">B6/B$16</f>
        <v>0</v>
      </c>
      <c r="C23" s="13">
        <f t="shared" si="7"/>
        <v>0.96087929876593936</v>
      </c>
      <c r="D23" s="13">
        <f t="shared" si="7"/>
        <v>1.1515860215779019E-2</v>
      </c>
      <c r="E23" s="13">
        <f t="shared" si="7"/>
        <v>0</v>
      </c>
      <c r="F23" s="13">
        <f t="shared" si="7"/>
        <v>9.6865086278773594E-3</v>
      </c>
      <c r="G23" s="13">
        <f t="shared" si="7"/>
        <v>0</v>
      </c>
      <c r="H23" s="13">
        <f t="shared" si="7"/>
        <v>0</v>
      </c>
      <c r="I23" s="13" t="e">
        <f t="shared" si="7"/>
        <v>#DIV/0!</v>
      </c>
      <c r="J23" s="13">
        <f t="shared" si="7"/>
        <v>0.37590688388765564</v>
      </c>
      <c r="K23" s="6"/>
      <c r="L23" t="s">
        <v>12</v>
      </c>
      <c r="M23" s="13">
        <f t="shared" ref="M23:P23" si="8">M6/M$16</f>
        <v>0</v>
      </c>
      <c r="N23" s="13">
        <f t="shared" si="8"/>
        <v>0.92913932476910588</v>
      </c>
      <c r="O23" s="13">
        <f t="shared" si="8"/>
        <v>0.17378613894069012</v>
      </c>
      <c r="P23" s="13" t="e">
        <f t="shared" si="8"/>
        <v>#DIV/0!</v>
      </c>
      <c r="Q23" s="13">
        <f t="shared" si="6"/>
        <v>0.13788612430445019</v>
      </c>
      <c r="R23" s="13">
        <f t="shared" si="6"/>
        <v>0</v>
      </c>
      <c r="S23" s="13">
        <f t="shared" si="6"/>
        <v>0</v>
      </c>
      <c r="T23" s="13" t="e">
        <f t="shared" si="6"/>
        <v>#DIV/0!</v>
      </c>
      <c r="U23" s="13">
        <f t="shared" si="6"/>
        <v>0.38805223642706566</v>
      </c>
    </row>
    <row r="24" spans="1:21" x14ac:dyDescent="0.25">
      <c r="A24" t="s">
        <v>10</v>
      </c>
      <c r="B24" s="13">
        <f t="shared" ref="B24:J24" si="9">B7/B$16</f>
        <v>0</v>
      </c>
      <c r="C24" s="13">
        <f t="shared" si="9"/>
        <v>0</v>
      </c>
      <c r="D24" s="13">
        <f t="shared" si="9"/>
        <v>0.87639693829083587</v>
      </c>
      <c r="E24" s="13">
        <f t="shared" si="9"/>
        <v>0</v>
      </c>
      <c r="F24" s="13">
        <f t="shared" si="9"/>
        <v>8.3930993582102091E-3</v>
      </c>
      <c r="G24" s="13">
        <f t="shared" si="9"/>
        <v>0</v>
      </c>
      <c r="H24" s="13">
        <f t="shared" si="9"/>
        <v>0</v>
      </c>
      <c r="I24" s="13" t="e">
        <f t="shared" si="9"/>
        <v>#DIV/0!</v>
      </c>
      <c r="J24" s="13">
        <f t="shared" si="9"/>
        <v>0.16811024946256672</v>
      </c>
      <c r="K24" s="6"/>
      <c r="L24" t="s">
        <v>56</v>
      </c>
      <c r="M24" s="13">
        <f t="shared" ref="M24:P24" si="10">M7/M$16</f>
        <v>0</v>
      </c>
      <c r="N24" s="13">
        <f t="shared" si="10"/>
        <v>0</v>
      </c>
      <c r="O24" s="13">
        <f t="shared" si="10"/>
        <v>0.79619745591894608</v>
      </c>
      <c r="P24" s="13" t="e">
        <f t="shared" si="10"/>
        <v>#DIV/0!</v>
      </c>
      <c r="Q24" s="13">
        <f t="shared" si="6"/>
        <v>5.6653407236265621E-2</v>
      </c>
      <c r="R24" s="13">
        <f t="shared" si="6"/>
        <v>0</v>
      </c>
      <c r="S24" s="13">
        <f t="shared" si="6"/>
        <v>0</v>
      </c>
      <c r="T24" s="13" t="e">
        <f t="shared" si="6"/>
        <v>#DIV/0!</v>
      </c>
      <c r="U24" s="13">
        <f t="shared" si="6"/>
        <v>0.22043829409263044</v>
      </c>
    </row>
    <row r="25" spans="1:21" x14ac:dyDescent="0.25">
      <c r="A25" t="s">
        <v>51</v>
      </c>
      <c r="B25" s="13">
        <f t="shared" ref="B25:J25" si="11">B8/B$16</f>
        <v>0</v>
      </c>
      <c r="C25" s="13">
        <f t="shared" si="11"/>
        <v>0</v>
      </c>
      <c r="D25" s="13">
        <f t="shared" si="11"/>
        <v>0</v>
      </c>
      <c r="E25" s="13">
        <f t="shared" si="11"/>
        <v>0.6</v>
      </c>
      <c r="F25" s="13">
        <f t="shared" si="11"/>
        <v>0.85014891250404634</v>
      </c>
      <c r="G25" s="13">
        <f t="shared" si="11"/>
        <v>0</v>
      </c>
      <c r="H25" s="13">
        <f t="shared" si="11"/>
        <v>0</v>
      </c>
      <c r="I25" s="13" t="e">
        <f t="shared" si="11"/>
        <v>#DIV/0!</v>
      </c>
      <c r="J25" s="13">
        <f t="shared" si="11"/>
        <v>4.2742620514272217E-2</v>
      </c>
      <c r="K25" s="6"/>
      <c r="L25" t="s">
        <v>51</v>
      </c>
      <c r="M25" s="13">
        <f t="shared" ref="M25:P25" si="12">M8/M$16</f>
        <v>0</v>
      </c>
      <c r="N25" s="13">
        <f t="shared" si="12"/>
        <v>0</v>
      </c>
      <c r="O25" s="13">
        <f t="shared" si="12"/>
        <v>0</v>
      </c>
      <c r="P25" s="13" t="e">
        <f t="shared" si="12"/>
        <v>#DIV/0!</v>
      </c>
      <c r="Q25" s="13">
        <f t="shared" si="6"/>
        <v>0.63454206164820526</v>
      </c>
      <c r="R25" s="13">
        <f t="shared" si="6"/>
        <v>0</v>
      </c>
      <c r="S25" s="13">
        <f t="shared" si="6"/>
        <v>0</v>
      </c>
      <c r="T25" s="13" t="e">
        <f t="shared" si="6"/>
        <v>#DIV/0!</v>
      </c>
      <c r="U25" s="13">
        <f t="shared" si="6"/>
        <v>1.1979578151286641E-2</v>
      </c>
    </row>
    <row r="26" spans="1:21" x14ac:dyDescent="0.25">
      <c r="A26" t="s">
        <v>52</v>
      </c>
      <c r="B26" s="13">
        <f t="shared" ref="B26:J26" si="13">B9/B$16</f>
        <v>0</v>
      </c>
      <c r="C26" s="13">
        <f t="shared" si="13"/>
        <v>0</v>
      </c>
      <c r="D26" s="13">
        <f t="shared" si="13"/>
        <v>0</v>
      </c>
      <c r="E26" s="13">
        <f t="shared" si="13"/>
        <v>0</v>
      </c>
      <c r="F26" s="13">
        <f t="shared" si="13"/>
        <v>0</v>
      </c>
      <c r="G26" s="13">
        <f t="shared" si="13"/>
        <v>0</v>
      </c>
      <c r="H26" s="13">
        <f t="shared" si="13"/>
        <v>0</v>
      </c>
      <c r="I26" s="13" t="e">
        <f t="shared" si="13"/>
        <v>#DIV/0!</v>
      </c>
      <c r="J26" s="13">
        <f t="shared" si="13"/>
        <v>0</v>
      </c>
      <c r="K26" s="6"/>
      <c r="L26" t="s">
        <v>52</v>
      </c>
      <c r="M26" s="13">
        <f t="shared" ref="M26:P26" si="14">M9/M$16</f>
        <v>0</v>
      </c>
      <c r="N26" s="13">
        <f t="shared" si="14"/>
        <v>0</v>
      </c>
      <c r="O26" s="13">
        <f t="shared" si="14"/>
        <v>0</v>
      </c>
      <c r="P26" s="13" t="e">
        <f t="shared" si="14"/>
        <v>#DIV/0!</v>
      </c>
      <c r="Q26" s="13">
        <f t="shared" si="6"/>
        <v>0</v>
      </c>
      <c r="R26" s="13">
        <f t="shared" si="6"/>
        <v>0</v>
      </c>
      <c r="S26" s="13">
        <f t="shared" si="6"/>
        <v>0</v>
      </c>
      <c r="T26" s="13" t="e">
        <f t="shared" si="6"/>
        <v>#DIV/0!</v>
      </c>
      <c r="U26" s="13">
        <f t="shared" si="6"/>
        <v>0</v>
      </c>
    </row>
    <row r="27" spans="1:21" x14ac:dyDescent="0.25">
      <c r="A27" t="s">
        <v>53</v>
      </c>
      <c r="B27" s="13">
        <f t="shared" ref="B27:J27" si="15">B10/B$16</f>
        <v>0</v>
      </c>
      <c r="C27" s="13">
        <f t="shared" si="15"/>
        <v>0</v>
      </c>
      <c r="D27" s="13">
        <f t="shared" si="15"/>
        <v>0</v>
      </c>
      <c r="E27" s="13">
        <f t="shared" si="15"/>
        <v>0</v>
      </c>
      <c r="F27" s="13">
        <f t="shared" si="15"/>
        <v>0</v>
      </c>
      <c r="G27" s="13">
        <f t="shared" si="15"/>
        <v>0</v>
      </c>
      <c r="H27" s="13">
        <f t="shared" si="15"/>
        <v>0</v>
      </c>
      <c r="I27" s="13" t="e">
        <f t="shared" si="15"/>
        <v>#DIV/0!</v>
      </c>
      <c r="J27" s="13">
        <f t="shared" si="15"/>
        <v>0</v>
      </c>
      <c r="K27" s="6"/>
      <c r="L27" t="s">
        <v>53</v>
      </c>
      <c r="M27" s="13">
        <f t="shared" ref="M27:P27" si="16">M10/M$16</f>
        <v>0</v>
      </c>
      <c r="N27" s="13">
        <f t="shared" si="16"/>
        <v>0</v>
      </c>
      <c r="O27" s="13">
        <f t="shared" si="16"/>
        <v>0</v>
      </c>
      <c r="P27" s="13" t="e">
        <f t="shared" si="16"/>
        <v>#DIV/0!</v>
      </c>
      <c r="Q27" s="13">
        <f t="shared" si="6"/>
        <v>0</v>
      </c>
      <c r="R27" s="13">
        <f t="shared" si="6"/>
        <v>0</v>
      </c>
      <c r="S27" s="13">
        <f t="shared" si="6"/>
        <v>0</v>
      </c>
      <c r="T27" s="13" t="e">
        <f t="shared" si="6"/>
        <v>#DIV/0!</v>
      </c>
      <c r="U27" s="13">
        <f t="shared" si="6"/>
        <v>0</v>
      </c>
    </row>
    <row r="28" spans="1:21" x14ac:dyDescent="0.25">
      <c r="A28" t="s">
        <v>54</v>
      </c>
      <c r="B28" s="13">
        <f t="shared" ref="B28:J28" si="17">B11/B$16</f>
        <v>0</v>
      </c>
      <c r="C28" s="13">
        <f t="shared" si="17"/>
        <v>0</v>
      </c>
      <c r="D28" s="13">
        <f t="shared" si="17"/>
        <v>0</v>
      </c>
      <c r="E28" s="13">
        <f t="shared" si="17"/>
        <v>0</v>
      </c>
      <c r="F28" s="13">
        <f t="shared" si="17"/>
        <v>0</v>
      </c>
      <c r="G28" s="13">
        <f t="shared" si="17"/>
        <v>0</v>
      </c>
      <c r="H28" s="13">
        <f t="shared" si="17"/>
        <v>0</v>
      </c>
      <c r="I28" s="13" t="e">
        <f t="shared" si="17"/>
        <v>#DIV/0!</v>
      </c>
      <c r="J28" s="13">
        <f t="shared" si="17"/>
        <v>0</v>
      </c>
      <c r="K28" s="6"/>
      <c r="L28" t="s">
        <v>54</v>
      </c>
      <c r="M28" s="13">
        <f t="shared" ref="M28:P28" si="18">M11/M$16</f>
        <v>0</v>
      </c>
      <c r="N28" s="13">
        <f t="shared" si="18"/>
        <v>0</v>
      </c>
      <c r="O28" s="13">
        <f t="shared" si="18"/>
        <v>0</v>
      </c>
      <c r="P28" s="13" t="e">
        <f t="shared" si="18"/>
        <v>#DIV/0!</v>
      </c>
      <c r="Q28" s="13">
        <f t="shared" si="6"/>
        <v>0</v>
      </c>
      <c r="R28" s="13">
        <f t="shared" si="6"/>
        <v>0</v>
      </c>
      <c r="S28" s="13">
        <f t="shared" si="6"/>
        <v>0</v>
      </c>
      <c r="T28" s="13" t="e">
        <f t="shared" si="6"/>
        <v>#DIV/0!</v>
      </c>
      <c r="U28" s="13">
        <f t="shared" si="6"/>
        <v>0</v>
      </c>
    </row>
    <row r="29" spans="1:21" x14ac:dyDescent="0.25">
      <c r="A29" t="s">
        <v>55</v>
      </c>
      <c r="B29" s="13">
        <f t="shared" ref="B29:J29" si="19">B12/B$16</f>
        <v>0</v>
      </c>
      <c r="C29" s="13">
        <f t="shared" si="19"/>
        <v>0</v>
      </c>
      <c r="D29" s="13">
        <f t="shared" si="19"/>
        <v>0</v>
      </c>
      <c r="E29" s="13">
        <f t="shared" si="19"/>
        <v>0</v>
      </c>
      <c r="F29" s="13">
        <f t="shared" si="19"/>
        <v>0</v>
      </c>
      <c r="G29" s="13">
        <f t="shared" si="19"/>
        <v>0</v>
      </c>
      <c r="H29" s="13">
        <f t="shared" si="19"/>
        <v>0</v>
      </c>
      <c r="I29" s="13" t="e">
        <f t="shared" si="19"/>
        <v>#DIV/0!</v>
      </c>
      <c r="J29" s="13">
        <f t="shared" si="19"/>
        <v>0</v>
      </c>
      <c r="K29" s="6"/>
      <c r="L29" t="s">
        <v>55</v>
      </c>
      <c r="M29" s="13">
        <f t="shared" ref="M29:P29" si="20">M12/M$16</f>
        <v>0</v>
      </c>
      <c r="N29" s="13">
        <f t="shared" si="20"/>
        <v>0</v>
      </c>
      <c r="O29" s="13">
        <f t="shared" si="20"/>
        <v>0</v>
      </c>
      <c r="P29" s="13" t="e">
        <f t="shared" si="20"/>
        <v>#DIV/0!</v>
      </c>
      <c r="Q29" s="13">
        <f t="shared" si="6"/>
        <v>0</v>
      </c>
      <c r="R29" s="13">
        <f t="shared" si="6"/>
        <v>0</v>
      </c>
      <c r="S29" s="13">
        <f t="shared" si="6"/>
        <v>0</v>
      </c>
      <c r="T29" s="13" t="e">
        <f t="shared" si="6"/>
        <v>#DIV/0!</v>
      </c>
      <c r="U29" s="13">
        <f t="shared" si="6"/>
        <v>0</v>
      </c>
    </row>
    <row r="30" spans="1:21" x14ac:dyDescent="0.25">
      <c r="A30" t="s">
        <v>24</v>
      </c>
      <c r="B30" s="13">
        <f t="shared" ref="B30:J30" si="21">B13/B$16</f>
        <v>0</v>
      </c>
      <c r="C30" s="13">
        <f t="shared" si="21"/>
        <v>0</v>
      </c>
      <c r="D30" s="13">
        <f t="shared" si="21"/>
        <v>0</v>
      </c>
      <c r="E30" s="13">
        <f t="shared" si="21"/>
        <v>0</v>
      </c>
      <c r="F30" s="13">
        <f t="shared" si="21"/>
        <v>0</v>
      </c>
      <c r="G30" s="13">
        <f t="shared" si="21"/>
        <v>0</v>
      </c>
      <c r="H30" s="13">
        <f t="shared" si="21"/>
        <v>0</v>
      </c>
      <c r="I30" s="13" t="e">
        <f t="shared" si="21"/>
        <v>#DIV/0!</v>
      </c>
      <c r="J30" s="13">
        <f t="shared" si="21"/>
        <v>0</v>
      </c>
      <c r="K30" s="6"/>
      <c r="L30" t="s">
        <v>24</v>
      </c>
      <c r="M30" s="13">
        <f t="shared" ref="M30:P30" si="22">M13/M$16</f>
        <v>0</v>
      </c>
      <c r="N30" s="13">
        <f t="shared" si="22"/>
        <v>0</v>
      </c>
      <c r="O30" s="13">
        <f t="shared" si="22"/>
        <v>0</v>
      </c>
      <c r="P30" s="13" t="e">
        <f t="shared" si="22"/>
        <v>#DIV/0!</v>
      </c>
      <c r="Q30" s="13">
        <f t="shared" si="6"/>
        <v>0</v>
      </c>
      <c r="R30" s="13">
        <f t="shared" si="6"/>
        <v>0</v>
      </c>
      <c r="S30" s="13">
        <f t="shared" si="6"/>
        <v>0</v>
      </c>
      <c r="T30" s="13" t="e">
        <f t="shared" si="6"/>
        <v>#DIV/0!</v>
      </c>
      <c r="U30" s="13">
        <f t="shared" si="6"/>
        <v>0</v>
      </c>
    </row>
    <row r="31" spans="1:21" x14ac:dyDescent="0.25">
      <c r="A31" t="s">
        <v>4</v>
      </c>
      <c r="B31" s="13">
        <f t="shared" ref="B31:J31" si="23">B14/B$16</f>
        <v>0</v>
      </c>
      <c r="C31" s="13">
        <f t="shared" si="23"/>
        <v>0</v>
      </c>
      <c r="D31" s="13">
        <f t="shared" si="23"/>
        <v>8.0113189875252011E-2</v>
      </c>
      <c r="E31" s="13">
        <f t="shared" si="23"/>
        <v>0</v>
      </c>
      <c r="F31" s="13">
        <f t="shared" si="23"/>
        <v>5.2246985987178399E-3</v>
      </c>
      <c r="G31" s="13">
        <f t="shared" si="23"/>
        <v>0.82142883628891472</v>
      </c>
      <c r="H31" s="13">
        <f t="shared" si="23"/>
        <v>0</v>
      </c>
      <c r="I31" s="13" t="e">
        <f t="shared" si="23"/>
        <v>#DIV/0!</v>
      </c>
      <c r="J31" s="13">
        <f t="shared" si="23"/>
        <v>2.7484887842727269E-2</v>
      </c>
      <c r="K31" s="6"/>
      <c r="L31" t="s">
        <v>4</v>
      </c>
      <c r="M31" s="13">
        <f t="shared" ref="M31:P31" si="24">M14/M$16</f>
        <v>1.4211467441853718E-3</v>
      </c>
      <c r="N31" s="13">
        <f t="shared" si="24"/>
        <v>1.6781558560278837E-3</v>
      </c>
      <c r="O31" s="13">
        <f t="shared" si="24"/>
        <v>1.2914648517435201E-3</v>
      </c>
      <c r="P31" s="13" t="e">
        <f t="shared" si="24"/>
        <v>#DIV/0!</v>
      </c>
      <c r="Q31" s="13">
        <f t="shared" si="6"/>
        <v>7.3038296308013959E-3</v>
      </c>
      <c r="R31" s="13">
        <f t="shared" si="6"/>
        <v>0.93744901778493561</v>
      </c>
      <c r="S31" s="13">
        <f t="shared" si="6"/>
        <v>0</v>
      </c>
      <c r="T31" s="13" t="e">
        <f t="shared" si="6"/>
        <v>#DIV/0!</v>
      </c>
      <c r="U31" s="13">
        <f t="shared" si="6"/>
        <v>4.1441000186912798E-3</v>
      </c>
    </row>
    <row r="32" spans="1:21" x14ac:dyDescent="0.25">
      <c r="A32" s="4" t="s">
        <v>5</v>
      </c>
      <c r="B32" s="14">
        <f t="shared" ref="B32:J32" si="25">B15/B$16</f>
        <v>1.6286694128690789E-3</v>
      </c>
      <c r="C32" s="14">
        <f t="shared" si="25"/>
        <v>1.1044806687986497E-2</v>
      </c>
      <c r="D32" s="14">
        <f t="shared" si="25"/>
        <v>2.8820863224680863E-2</v>
      </c>
      <c r="E32" s="14">
        <f t="shared" si="25"/>
        <v>0</v>
      </c>
      <c r="F32" s="14">
        <f t="shared" si="25"/>
        <v>0.12654678091114821</v>
      </c>
      <c r="G32" s="14">
        <f t="shared" si="25"/>
        <v>0.17857116371108528</v>
      </c>
      <c r="H32" s="14">
        <f t="shared" si="25"/>
        <v>1</v>
      </c>
      <c r="I32" s="14" t="e">
        <f t="shared" si="25"/>
        <v>#DIV/0!</v>
      </c>
      <c r="J32" s="14">
        <f t="shared" si="25"/>
        <v>0.14280271227977609</v>
      </c>
      <c r="K32" s="6"/>
      <c r="L32" s="4" t="s">
        <v>5</v>
      </c>
      <c r="M32" s="14">
        <f t="shared" ref="M32:P32" si="26">M15/M$16</f>
        <v>2.1047843870436036E-2</v>
      </c>
      <c r="N32" s="14">
        <f t="shared" si="26"/>
        <v>1.2074680340864962E-2</v>
      </c>
      <c r="O32" s="14">
        <f t="shared" si="26"/>
        <v>8.8069724779970479E-3</v>
      </c>
      <c r="P32" s="14" t="e">
        <f t="shared" si="26"/>
        <v>#DIV/0!</v>
      </c>
      <c r="Q32" s="14">
        <f t="shared" si="6"/>
        <v>0.15494929163793367</v>
      </c>
      <c r="R32" s="14">
        <f t="shared" si="6"/>
        <v>6.2550982215064332E-2</v>
      </c>
      <c r="S32" s="14">
        <f t="shared" si="6"/>
        <v>1</v>
      </c>
      <c r="T32" s="14" t="e">
        <f t="shared" si="6"/>
        <v>#DIV/0!</v>
      </c>
      <c r="U32" s="14">
        <f t="shared" si="6"/>
        <v>0.16269531299617709</v>
      </c>
    </row>
    <row r="33" spans="1:32" ht="15.75" thickBot="1" x14ac:dyDescent="0.3">
      <c r="A33" s="12" t="s">
        <v>7</v>
      </c>
      <c r="B33" s="15">
        <f t="shared" ref="B33:J33" si="27">B16/B$16</f>
        <v>1</v>
      </c>
      <c r="C33" s="15">
        <f t="shared" si="27"/>
        <v>1</v>
      </c>
      <c r="D33" s="15">
        <f t="shared" si="27"/>
        <v>1</v>
      </c>
      <c r="E33" s="15">
        <f t="shared" si="27"/>
        <v>1</v>
      </c>
      <c r="F33" s="15">
        <f t="shared" si="27"/>
        <v>1</v>
      </c>
      <c r="G33" s="15">
        <f t="shared" si="27"/>
        <v>1</v>
      </c>
      <c r="H33" s="15">
        <f t="shared" si="27"/>
        <v>1</v>
      </c>
      <c r="I33" s="15" t="e">
        <f t="shared" si="27"/>
        <v>#DIV/0!</v>
      </c>
      <c r="J33" s="15">
        <f t="shared" si="27"/>
        <v>1</v>
      </c>
      <c r="L33" s="9" t="s">
        <v>7</v>
      </c>
      <c r="M33" s="15">
        <f t="shared" ref="M33:P33" si="28">M16/M$16</f>
        <v>1</v>
      </c>
      <c r="N33" s="15">
        <f t="shared" si="28"/>
        <v>1</v>
      </c>
      <c r="O33" s="15">
        <f t="shared" si="28"/>
        <v>1</v>
      </c>
      <c r="P33" s="15" t="e">
        <f t="shared" si="28"/>
        <v>#DIV/0!</v>
      </c>
      <c r="Q33" s="15">
        <f t="shared" si="6"/>
        <v>1</v>
      </c>
      <c r="R33" s="15">
        <f t="shared" si="6"/>
        <v>1</v>
      </c>
      <c r="S33" s="15">
        <f t="shared" si="6"/>
        <v>1</v>
      </c>
      <c r="T33" s="15" t="e">
        <f t="shared" si="6"/>
        <v>#DIV/0!</v>
      </c>
      <c r="U33" s="15">
        <f t="shared" si="6"/>
        <v>1</v>
      </c>
    </row>
    <row r="36" spans="1:32" ht="15.75" thickBot="1" x14ac:dyDescent="0.3">
      <c r="L36" s="1" t="s">
        <v>22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25">
      <c r="L37" s="3"/>
      <c r="M37" s="31" t="s">
        <v>45</v>
      </c>
      <c r="N37" s="32"/>
      <c r="O37" s="32"/>
      <c r="P37" s="32"/>
      <c r="Q37" s="32"/>
      <c r="R37" s="32"/>
      <c r="S37" s="32"/>
      <c r="T37" s="32"/>
      <c r="U37" s="32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</row>
    <row r="39" spans="1:32" x14ac:dyDescent="0.25">
      <c r="L39" t="s">
        <v>1</v>
      </c>
      <c r="M39" s="13">
        <f t="shared" ref="M39:P44" si="29">M22-B22</f>
        <v>-2.0840321201752054E-2</v>
      </c>
      <c r="N39" s="13">
        <f t="shared" si="29"/>
        <v>2.9031944487927255E-2</v>
      </c>
      <c r="O39" s="13">
        <f t="shared" si="29"/>
        <v>1.6764819417171062E-2</v>
      </c>
      <c r="P39" s="13" t="e">
        <f t="shared" si="29"/>
        <v>#DIV/0!</v>
      </c>
      <c r="Q39" s="13">
        <f t="shared" ref="Q39:Q50" si="30">Q22-F22</f>
        <v>8.6652855423439406E-3</v>
      </c>
      <c r="R39" s="13">
        <f t="shared" ref="R39:R50" si="31">R22-G22</f>
        <v>0</v>
      </c>
      <c r="S39" s="13">
        <f t="shared" ref="S39:S50" si="32">S22-H22</f>
        <v>0</v>
      </c>
      <c r="T39" s="13" t="e">
        <f t="shared" ref="T39:T50" si="33">T22-I22</f>
        <v>#DIV/0!</v>
      </c>
      <c r="U39" s="13">
        <f t="shared" ref="U39:U50" si="34">U22-J22</f>
        <v>-3.0262167698853149E-2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25">
      <c r="L40" t="s">
        <v>12</v>
      </c>
      <c r="M40" s="13">
        <f t="shared" si="29"/>
        <v>0</v>
      </c>
      <c r="N40" s="13">
        <f t="shared" si="29"/>
        <v>-3.1739973996833482E-2</v>
      </c>
      <c r="O40" s="13">
        <f t="shared" si="29"/>
        <v>0.16227027872491109</v>
      </c>
      <c r="P40" s="13" t="e">
        <f t="shared" si="29"/>
        <v>#DIV/0!</v>
      </c>
      <c r="Q40" s="13">
        <f t="shared" si="30"/>
        <v>0.12819961567657281</v>
      </c>
      <c r="R40" s="13">
        <f t="shared" si="31"/>
        <v>0</v>
      </c>
      <c r="S40" s="13">
        <f t="shared" si="32"/>
        <v>0</v>
      </c>
      <c r="T40" s="13" t="e">
        <f t="shared" si="33"/>
        <v>#DIV/0!</v>
      </c>
      <c r="U40" s="13">
        <f t="shared" si="34"/>
        <v>1.2145352539410015E-2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25">
      <c r="L41" t="s">
        <v>56</v>
      </c>
      <c r="M41" s="13">
        <f t="shared" si="29"/>
        <v>0</v>
      </c>
      <c r="N41" s="13">
        <f t="shared" si="29"/>
        <v>0</v>
      </c>
      <c r="O41" s="13">
        <f t="shared" si="29"/>
        <v>-8.0199482371889785E-2</v>
      </c>
      <c r="P41" s="13" t="e">
        <f t="shared" si="29"/>
        <v>#DIV/0!</v>
      </c>
      <c r="Q41" s="13">
        <f t="shared" si="30"/>
        <v>4.8260307878055408E-2</v>
      </c>
      <c r="R41" s="13">
        <f t="shared" si="31"/>
        <v>0</v>
      </c>
      <c r="S41" s="13">
        <f t="shared" si="32"/>
        <v>0</v>
      </c>
      <c r="T41" s="13" t="e">
        <f t="shared" si="33"/>
        <v>#DIV/0!</v>
      </c>
      <c r="U41" s="13">
        <f t="shared" si="34"/>
        <v>5.2328044630063714E-2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25">
      <c r="L42" t="s">
        <v>51</v>
      </c>
      <c r="M42" s="13">
        <f t="shared" si="29"/>
        <v>0</v>
      </c>
      <c r="N42" s="13">
        <f t="shared" si="29"/>
        <v>0</v>
      </c>
      <c r="O42" s="13">
        <f t="shared" si="29"/>
        <v>0</v>
      </c>
      <c r="P42" s="13" t="e">
        <f t="shared" si="29"/>
        <v>#DIV/0!</v>
      </c>
      <c r="Q42" s="13">
        <f t="shared" si="30"/>
        <v>-0.21560685085584108</v>
      </c>
      <c r="R42" s="13">
        <f t="shared" si="31"/>
        <v>0</v>
      </c>
      <c r="S42" s="13">
        <f t="shared" si="32"/>
        <v>0</v>
      </c>
      <c r="T42" s="13" t="e">
        <f t="shared" si="33"/>
        <v>#DIV/0!</v>
      </c>
      <c r="U42" s="13">
        <f t="shared" si="34"/>
        <v>-3.0763042362985576E-2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25">
      <c r="L43" t="s">
        <v>52</v>
      </c>
      <c r="M43" s="13">
        <f t="shared" si="29"/>
        <v>0</v>
      </c>
      <c r="N43" s="13">
        <f t="shared" si="29"/>
        <v>0</v>
      </c>
      <c r="O43" s="13">
        <f t="shared" si="29"/>
        <v>0</v>
      </c>
      <c r="P43" s="13" t="e">
        <f t="shared" si="29"/>
        <v>#DIV/0!</v>
      </c>
      <c r="Q43" s="13">
        <f t="shared" si="30"/>
        <v>0</v>
      </c>
      <c r="R43" s="13">
        <f t="shared" si="31"/>
        <v>0</v>
      </c>
      <c r="S43" s="13">
        <f t="shared" si="32"/>
        <v>0</v>
      </c>
      <c r="T43" s="13" t="e">
        <f t="shared" si="33"/>
        <v>#DIV/0!</v>
      </c>
      <c r="U43" s="13">
        <f t="shared" si="34"/>
        <v>0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25">
      <c r="L44" t="s">
        <v>53</v>
      </c>
      <c r="M44" s="13">
        <f t="shared" si="29"/>
        <v>0</v>
      </c>
      <c r="N44" s="13">
        <f t="shared" si="29"/>
        <v>0</v>
      </c>
      <c r="O44" s="13">
        <f t="shared" si="29"/>
        <v>0</v>
      </c>
      <c r="P44" s="13" t="e">
        <f t="shared" si="29"/>
        <v>#DIV/0!</v>
      </c>
      <c r="Q44" s="13">
        <f t="shared" si="30"/>
        <v>0</v>
      </c>
      <c r="R44" s="13">
        <f t="shared" si="31"/>
        <v>0</v>
      </c>
      <c r="S44" s="13">
        <f t="shared" si="32"/>
        <v>0</v>
      </c>
      <c r="T44" s="13" t="e">
        <f t="shared" si="33"/>
        <v>#DIV/0!</v>
      </c>
      <c r="U44" s="13">
        <f t="shared" si="34"/>
        <v>0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25">
      <c r="L45" t="s">
        <v>54</v>
      </c>
      <c r="M45" s="13">
        <f t="shared" ref="M45:M47" si="35">M28-B28</f>
        <v>0</v>
      </c>
      <c r="N45" s="13">
        <f t="shared" ref="N45:N47" si="36">N28-C28</f>
        <v>0</v>
      </c>
      <c r="O45" s="13">
        <f t="shared" ref="O45:O47" si="37">O28-D28</f>
        <v>0</v>
      </c>
      <c r="P45" s="13" t="e">
        <f t="shared" ref="P45:P47" si="38">P28-E28</f>
        <v>#DIV/0!</v>
      </c>
      <c r="Q45" s="13">
        <f t="shared" si="30"/>
        <v>0</v>
      </c>
      <c r="R45" s="13">
        <f t="shared" si="31"/>
        <v>0</v>
      </c>
      <c r="S45" s="13">
        <f t="shared" si="32"/>
        <v>0</v>
      </c>
      <c r="T45" s="13" t="e">
        <f t="shared" si="33"/>
        <v>#DIV/0!</v>
      </c>
      <c r="U45" s="13">
        <f t="shared" si="34"/>
        <v>0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25">
      <c r="L46" t="s">
        <v>55</v>
      </c>
      <c r="M46" s="13">
        <f t="shared" si="35"/>
        <v>0</v>
      </c>
      <c r="N46" s="13">
        <f t="shared" si="36"/>
        <v>0</v>
      </c>
      <c r="O46" s="13">
        <f t="shared" si="37"/>
        <v>0</v>
      </c>
      <c r="P46" s="13" t="e">
        <f t="shared" si="38"/>
        <v>#DIV/0!</v>
      </c>
      <c r="Q46" s="13">
        <f t="shared" si="30"/>
        <v>0</v>
      </c>
      <c r="R46" s="13">
        <f t="shared" si="31"/>
        <v>0</v>
      </c>
      <c r="S46" s="13">
        <f t="shared" si="32"/>
        <v>0</v>
      </c>
      <c r="T46" s="13" t="e">
        <f t="shared" si="33"/>
        <v>#DIV/0!</v>
      </c>
      <c r="U46" s="13">
        <f t="shared" si="34"/>
        <v>0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25">
      <c r="L47" t="s">
        <v>24</v>
      </c>
      <c r="M47" s="13">
        <f t="shared" si="35"/>
        <v>0</v>
      </c>
      <c r="N47" s="13">
        <f t="shared" si="36"/>
        <v>0</v>
      </c>
      <c r="O47" s="13">
        <f t="shared" si="37"/>
        <v>0</v>
      </c>
      <c r="P47" s="13" t="e">
        <f t="shared" si="38"/>
        <v>#DIV/0!</v>
      </c>
      <c r="Q47" s="13">
        <f t="shared" si="30"/>
        <v>0</v>
      </c>
      <c r="R47" s="13">
        <f t="shared" si="31"/>
        <v>0</v>
      </c>
      <c r="S47" s="13">
        <f t="shared" si="32"/>
        <v>0</v>
      </c>
      <c r="T47" s="13" t="e">
        <f t="shared" si="33"/>
        <v>#DIV/0!</v>
      </c>
      <c r="U47" s="13">
        <f t="shared" si="34"/>
        <v>0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25">
      <c r="L48" t="s">
        <v>4</v>
      </c>
      <c r="M48" s="13">
        <f t="shared" ref="M48:P50" si="39">M31-B31</f>
        <v>1.4211467441853718E-3</v>
      </c>
      <c r="N48" s="13">
        <f t="shared" si="39"/>
        <v>1.6781558560278837E-3</v>
      </c>
      <c r="O48" s="13">
        <f t="shared" si="39"/>
        <v>-7.8821725023508496E-2</v>
      </c>
      <c r="P48" s="13" t="e">
        <f t="shared" si="39"/>
        <v>#DIV/0!</v>
      </c>
      <c r="Q48" s="13">
        <f t="shared" si="30"/>
        <v>2.079131032083556E-3</v>
      </c>
      <c r="R48" s="13">
        <f t="shared" si="31"/>
        <v>0.11602018149602089</v>
      </c>
      <c r="S48" s="13">
        <f t="shared" si="32"/>
        <v>0</v>
      </c>
      <c r="T48" s="13" t="e">
        <f t="shared" si="33"/>
        <v>#DIV/0!</v>
      </c>
      <c r="U48" s="13">
        <f t="shared" si="34"/>
        <v>-2.334078782403599E-2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25">
      <c r="L49" s="4" t="s">
        <v>5</v>
      </c>
      <c r="M49" s="17">
        <f t="shared" si="39"/>
        <v>1.9419174457566957E-2</v>
      </c>
      <c r="N49" s="17">
        <f t="shared" si="39"/>
        <v>1.0298736528784654E-3</v>
      </c>
      <c r="O49" s="17">
        <f t="shared" si="39"/>
        <v>-2.0013890746683815E-2</v>
      </c>
      <c r="P49" s="17" t="e">
        <f t="shared" si="39"/>
        <v>#DIV/0!</v>
      </c>
      <c r="Q49" s="17">
        <f t="shared" si="30"/>
        <v>2.8402510726785457E-2</v>
      </c>
      <c r="R49" s="17">
        <f t="shared" si="31"/>
        <v>-0.11602018149602095</v>
      </c>
      <c r="S49" s="17">
        <f t="shared" si="32"/>
        <v>0</v>
      </c>
      <c r="T49" s="17" t="e">
        <f t="shared" si="33"/>
        <v>#DIV/0!</v>
      </c>
      <c r="U49" s="13">
        <f t="shared" si="34"/>
        <v>1.9892600716401004E-2</v>
      </c>
      <c r="X49" s="13"/>
      <c r="Y49" s="13"/>
      <c r="Z49" s="13"/>
      <c r="AA49" s="13"/>
      <c r="AB49" s="13"/>
      <c r="AC49" s="13"/>
      <c r="AD49" s="13"/>
      <c r="AE49" s="13"/>
      <c r="AF49" s="13"/>
    </row>
    <row r="50" spans="12:32" ht="15.75" thickBot="1" x14ac:dyDescent="0.3">
      <c r="L50" s="9" t="s">
        <v>7</v>
      </c>
      <c r="M50" s="15">
        <f t="shared" si="39"/>
        <v>0</v>
      </c>
      <c r="N50" s="15">
        <f t="shared" si="39"/>
        <v>0</v>
      </c>
      <c r="O50" s="15">
        <f t="shared" si="39"/>
        <v>0</v>
      </c>
      <c r="P50" s="15" t="e">
        <f t="shared" si="39"/>
        <v>#DIV/0!</v>
      </c>
      <c r="Q50" s="15">
        <f t="shared" si="30"/>
        <v>0</v>
      </c>
      <c r="R50" s="15">
        <f t="shared" si="31"/>
        <v>0</v>
      </c>
      <c r="S50" s="15">
        <f t="shared" si="32"/>
        <v>0</v>
      </c>
      <c r="T50" s="15" t="e">
        <f t="shared" si="33"/>
        <v>#DIV/0!</v>
      </c>
      <c r="U50" s="15">
        <f t="shared" si="34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AF50"/>
  <sheetViews>
    <sheetView workbookViewId="0"/>
  </sheetViews>
  <sheetFormatPr defaultRowHeight="15" x14ac:dyDescent="0.25"/>
  <cols>
    <col min="1" max="1" width="25" customWidth="1" collapsed="1"/>
    <col min="2" max="10" width="10.7109375" customWidth="1" collapsed="1"/>
    <col min="11" max="11" width="3.7109375" customWidth="1" collapsed="1"/>
    <col min="12" max="12" width="25" customWidth="1" collapsed="1"/>
    <col min="13" max="22" width="10.7109375" customWidth="1" collapsed="1"/>
    <col min="23" max="23" width="17" customWidth="1" collapsed="1"/>
  </cols>
  <sheetData>
    <row r="2" spans="1:21" ht="15.75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39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31" t="s">
        <v>46</v>
      </c>
      <c r="C3" s="31"/>
      <c r="D3" s="31"/>
      <c r="E3" s="31"/>
      <c r="F3" s="31"/>
      <c r="G3" s="31"/>
      <c r="H3" s="31"/>
      <c r="I3" s="31"/>
      <c r="J3" s="11"/>
      <c r="L3" s="3"/>
      <c r="M3" s="31" t="s">
        <v>46</v>
      </c>
      <c r="N3" s="31"/>
      <c r="O3" s="31"/>
      <c r="P3" s="31"/>
      <c r="Q3" s="31"/>
      <c r="R3" s="31"/>
      <c r="S3" s="31"/>
      <c r="T3" s="31"/>
      <c r="U3" s="31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>
        <v>634099.7974480316</v>
      </c>
      <c r="C5" s="6">
        <v>22207.488195710001</v>
      </c>
      <c r="D5" s="6">
        <v>8175.4429283834997</v>
      </c>
      <c r="E5" s="6">
        <v>2380.8644758418</v>
      </c>
      <c r="F5" s="6">
        <v>1170.9767563398</v>
      </c>
      <c r="G5" s="6">
        <v>0</v>
      </c>
      <c r="H5" s="6">
        <v>0</v>
      </c>
      <c r="I5" s="6">
        <v>0</v>
      </c>
      <c r="J5" s="6">
        <f>SUM(B5:I5)</f>
        <v>668034.56980430661</v>
      </c>
      <c r="K5" s="6"/>
      <c r="L5" t="s">
        <v>1</v>
      </c>
      <c r="M5" s="6">
        <v>772040.82004726282</v>
      </c>
      <c r="N5" s="6">
        <v>48858.708316816854</v>
      </c>
      <c r="O5" s="6">
        <v>14337.70042280859</v>
      </c>
      <c r="P5" s="6">
        <v>0</v>
      </c>
      <c r="Q5" s="6">
        <v>278.70728903948356</v>
      </c>
      <c r="R5" s="6">
        <v>0</v>
      </c>
      <c r="S5" s="6">
        <v>0</v>
      </c>
      <c r="T5" s="6">
        <v>0</v>
      </c>
      <c r="U5" s="6">
        <f t="shared" ref="U5:U15" si="0">SUM(M5:T5)</f>
        <v>835515.93607592781</v>
      </c>
    </row>
    <row r="6" spans="1:21" x14ac:dyDescent="0.25">
      <c r="A6" t="s">
        <v>12</v>
      </c>
      <c r="B6" s="6">
        <v>0</v>
      </c>
      <c r="C6" s="6">
        <v>594836.70868358761</v>
      </c>
      <c r="D6" s="6">
        <v>42728.308887213701</v>
      </c>
      <c r="E6" s="6">
        <v>262.3473390995</v>
      </c>
      <c r="F6" s="6">
        <v>8407.9361075647994</v>
      </c>
      <c r="G6" s="6">
        <v>0</v>
      </c>
      <c r="H6" s="6">
        <v>0</v>
      </c>
      <c r="I6" s="6">
        <v>0</v>
      </c>
      <c r="J6" s="6">
        <f t="shared" ref="J6:J15" si="1">SUM(B6:I6)</f>
        <v>646235.30101746565</v>
      </c>
      <c r="K6" s="6"/>
      <c r="L6" t="s">
        <v>12</v>
      </c>
      <c r="M6" s="6">
        <v>0</v>
      </c>
      <c r="N6" s="6">
        <v>663956.56369573926</v>
      </c>
      <c r="O6" s="6">
        <v>88709.604543213558</v>
      </c>
      <c r="P6" s="6">
        <v>0</v>
      </c>
      <c r="Q6" s="6">
        <v>3962.7213738523815</v>
      </c>
      <c r="R6" s="6">
        <v>0</v>
      </c>
      <c r="S6" s="6">
        <v>0</v>
      </c>
      <c r="T6" s="6">
        <v>0</v>
      </c>
      <c r="U6" s="6">
        <f t="shared" si="0"/>
        <v>756628.8896128051</v>
      </c>
    </row>
    <row r="7" spans="1:21" x14ac:dyDescent="0.25">
      <c r="A7" t="s">
        <v>56</v>
      </c>
      <c r="B7" s="6">
        <v>0</v>
      </c>
      <c r="C7" s="6">
        <v>0</v>
      </c>
      <c r="D7" s="6">
        <v>497781.41764103452</v>
      </c>
      <c r="E7" s="6">
        <v>0</v>
      </c>
      <c r="F7" s="6">
        <v>3158.3612664017</v>
      </c>
      <c r="G7" s="6">
        <v>0</v>
      </c>
      <c r="H7" s="6">
        <v>0</v>
      </c>
      <c r="I7" s="6">
        <v>0</v>
      </c>
      <c r="J7" s="6">
        <f t="shared" si="1"/>
        <v>500939.77890743624</v>
      </c>
      <c r="K7" s="6"/>
      <c r="L7" t="s">
        <v>56</v>
      </c>
      <c r="M7" s="6">
        <v>0</v>
      </c>
      <c r="N7" s="6">
        <v>0</v>
      </c>
      <c r="O7" s="6">
        <v>465191.96243473556</v>
      </c>
      <c r="P7" s="6">
        <v>0</v>
      </c>
      <c r="Q7" s="6">
        <v>1546.0995684258758</v>
      </c>
      <c r="R7" s="6">
        <v>0</v>
      </c>
      <c r="S7" s="6">
        <v>0</v>
      </c>
      <c r="T7" s="6">
        <v>0</v>
      </c>
      <c r="U7" s="6">
        <f t="shared" si="0"/>
        <v>466738.06200316141</v>
      </c>
    </row>
    <row r="8" spans="1:21" x14ac:dyDescent="0.25">
      <c r="A8" t="s">
        <v>51</v>
      </c>
      <c r="B8" s="6">
        <v>0</v>
      </c>
      <c r="C8" s="6">
        <v>0</v>
      </c>
      <c r="D8" s="6">
        <v>0</v>
      </c>
      <c r="E8" s="6">
        <v>2621.1857803257999</v>
      </c>
      <c r="F8" s="6">
        <v>35578.696868472798</v>
      </c>
      <c r="G8" s="6">
        <v>0</v>
      </c>
      <c r="H8" s="6">
        <v>0</v>
      </c>
      <c r="I8" s="6">
        <v>0</v>
      </c>
      <c r="J8" s="6">
        <f t="shared" si="1"/>
        <v>38199.882648798601</v>
      </c>
      <c r="K8" s="6"/>
      <c r="L8" t="s">
        <v>51</v>
      </c>
      <c r="M8" s="6">
        <v>0</v>
      </c>
      <c r="N8" s="6">
        <v>0</v>
      </c>
      <c r="O8" s="6">
        <v>0</v>
      </c>
      <c r="P8" s="6">
        <v>0</v>
      </c>
      <c r="Q8" s="6">
        <v>22492.86926055701</v>
      </c>
      <c r="R8" s="6">
        <v>0</v>
      </c>
      <c r="S8" s="6">
        <v>0</v>
      </c>
      <c r="T8" s="6">
        <v>0</v>
      </c>
      <c r="U8" s="6">
        <f t="shared" si="0"/>
        <v>22492.86926055701</v>
      </c>
    </row>
    <row r="9" spans="1:21" x14ac:dyDescent="0.25">
      <c r="A9" t="s">
        <v>52</v>
      </c>
      <c r="B9" s="6">
        <v>0</v>
      </c>
      <c r="C9" s="6">
        <v>0</v>
      </c>
      <c r="D9" s="6">
        <v>0</v>
      </c>
      <c r="E9" s="6">
        <v>0</v>
      </c>
      <c r="F9" s="6">
        <v>107.691391212</v>
      </c>
      <c r="G9" s="6">
        <v>0</v>
      </c>
      <c r="H9" s="6">
        <v>0</v>
      </c>
      <c r="I9" s="6">
        <v>0</v>
      </c>
      <c r="J9" s="6">
        <f t="shared" si="1"/>
        <v>107.691391212</v>
      </c>
      <c r="K9" s="6"/>
      <c r="L9" t="s">
        <v>52</v>
      </c>
      <c r="M9" s="6">
        <v>0</v>
      </c>
      <c r="N9" s="6">
        <v>0</v>
      </c>
      <c r="O9" s="6">
        <v>0</v>
      </c>
      <c r="P9" s="6">
        <v>0</v>
      </c>
      <c r="Q9" s="6">
        <v>0</v>
      </c>
      <c r="R9" s="6">
        <v>0</v>
      </c>
      <c r="S9" s="6">
        <v>0</v>
      </c>
      <c r="T9" s="6">
        <v>0</v>
      </c>
      <c r="U9" s="6">
        <f t="shared" si="0"/>
        <v>0</v>
      </c>
    </row>
    <row r="10" spans="1:21" x14ac:dyDescent="0.25">
      <c r="A10" t="s">
        <v>53</v>
      </c>
      <c r="B10" s="6">
        <v>0</v>
      </c>
      <c r="C10" s="6">
        <v>0</v>
      </c>
      <c r="D10" s="6">
        <v>0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f t="shared" si="1"/>
        <v>0</v>
      </c>
      <c r="K10" s="6"/>
      <c r="L10" t="s">
        <v>53</v>
      </c>
      <c r="M10" s="6">
        <v>0</v>
      </c>
      <c r="N10" s="6">
        <v>0</v>
      </c>
      <c r="O10" s="6">
        <v>0</v>
      </c>
      <c r="P10" s="6">
        <v>0</v>
      </c>
      <c r="Q10" s="6">
        <v>0</v>
      </c>
      <c r="R10" s="6">
        <v>0</v>
      </c>
      <c r="S10" s="6">
        <v>0</v>
      </c>
      <c r="T10" s="6">
        <v>0</v>
      </c>
      <c r="U10" s="6">
        <f t="shared" si="0"/>
        <v>0</v>
      </c>
    </row>
    <row r="11" spans="1:21" x14ac:dyDescent="0.25">
      <c r="A11" t="s">
        <v>54</v>
      </c>
      <c r="B11" s="6">
        <v>0</v>
      </c>
      <c r="C11" s="6">
        <v>0</v>
      </c>
      <c r="D11" s="6">
        <v>0</v>
      </c>
      <c r="E11" s="6">
        <v>0</v>
      </c>
      <c r="F11" s="6">
        <v>0</v>
      </c>
      <c r="G11" s="6">
        <v>0</v>
      </c>
      <c r="H11" s="6">
        <v>0</v>
      </c>
      <c r="I11" s="6">
        <v>0</v>
      </c>
      <c r="J11" s="6">
        <f t="shared" si="1"/>
        <v>0</v>
      </c>
      <c r="K11" s="6"/>
      <c r="L11" t="s">
        <v>54</v>
      </c>
      <c r="M11" s="6">
        <v>0</v>
      </c>
      <c r="N11" s="6">
        <v>0</v>
      </c>
      <c r="O11" s="6">
        <v>0</v>
      </c>
      <c r="P11" s="6">
        <v>0</v>
      </c>
      <c r="Q11" s="6">
        <v>0</v>
      </c>
      <c r="R11" s="6">
        <v>0</v>
      </c>
      <c r="S11" s="6">
        <v>0</v>
      </c>
      <c r="T11" s="6">
        <v>0</v>
      </c>
      <c r="U11" s="6">
        <f t="shared" si="0"/>
        <v>0</v>
      </c>
    </row>
    <row r="12" spans="1:21" x14ac:dyDescent="0.25">
      <c r="A12" t="s">
        <v>55</v>
      </c>
      <c r="B12" s="6">
        <v>0</v>
      </c>
      <c r="C12" s="6">
        <v>0</v>
      </c>
      <c r="D12" s="6">
        <v>0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f t="shared" si="1"/>
        <v>0</v>
      </c>
      <c r="K12" s="6"/>
      <c r="L12" t="s">
        <v>55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R12" s="6">
        <v>0</v>
      </c>
      <c r="S12" s="6">
        <v>0</v>
      </c>
      <c r="T12" s="6">
        <v>0</v>
      </c>
      <c r="U12" s="6">
        <f t="shared" si="0"/>
        <v>0</v>
      </c>
    </row>
    <row r="13" spans="1:21" x14ac:dyDescent="0.25">
      <c r="A13" t="s">
        <v>24</v>
      </c>
      <c r="B13" s="6">
        <v>0</v>
      </c>
      <c r="C13" s="6">
        <v>0</v>
      </c>
      <c r="D13" s="6">
        <v>0</v>
      </c>
      <c r="E13" s="6">
        <v>0</v>
      </c>
      <c r="F13" s="6">
        <v>0</v>
      </c>
      <c r="G13" s="6">
        <v>0</v>
      </c>
      <c r="H13" s="6">
        <v>0</v>
      </c>
      <c r="I13" s="6">
        <v>1490.528010836</v>
      </c>
      <c r="J13" s="6">
        <f t="shared" si="1"/>
        <v>1490.528010836</v>
      </c>
      <c r="K13" s="6"/>
      <c r="L13" t="s">
        <v>24</v>
      </c>
      <c r="M13" s="6">
        <v>0</v>
      </c>
      <c r="N13" s="6">
        <v>0</v>
      </c>
      <c r="O13" s="6">
        <v>0</v>
      </c>
      <c r="P13" s="6">
        <v>0</v>
      </c>
      <c r="Q13" s="6">
        <v>0</v>
      </c>
      <c r="R13" s="6">
        <v>0</v>
      </c>
      <c r="S13" s="6">
        <v>0</v>
      </c>
      <c r="T13" s="6">
        <v>0</v>
      </c>
      <c r="U13" s="6">
        <f t="shared" si="0"/>
        <v>0</v>
      </c>
    </row>
    <row r="14" spans="1:21" x14ac:dyDescent="0.25">
      <c r="A14" t="s">
        <v>4</v>
      </c>
      <c r="B14" s="6">
        <v>1934.8127018780001</v>
      </c>
      <c r="C14" s="6">
        <v>34.415792955299999</v>
      </c>
      <c r="D14" s="6">
        <v>0</v>
      </c>
      <c r="E14" s="6">
        <v>0</v>
      </c>
      <c r="F14" s="6">
        <v>285.06561485399999</v>
      </c>
      <c r="G14" s="6">
        <v>32298.994152833598</v>
      </c>
      <c r="H14" s="6">
        <v>0</v>
      </c>
      <c r="I14" s="6">
        <v>1490.528010836</v>
      </c>
      <c r="J14" s="6">
        <f t="shared" si="1"/>
        <v>36043.816273356904</v>
      </c>
      <c r="K14" s="6"/>
      <c r="L14" t="s">
        <v>4</v>
      </c>
      <c r="M14" s="6">
        <v>947.51482666122808</v>
      </c>
      <c r="N14" s="6">
        <v>1082.8431934503697</v>
      </c>
      <c r="O14" s="6">
        <v>682.90825380453396</v>
      </c>
      <c r="P14" s="6">
        <v>0</v>
      </c>
      <c r="Q14" s="6">
        <v>357.57763694082001</v>
      </c>
      <c r="R14" s="6">
        <v>42124.011454370731</v>
      </c>
      <c r="S14" s="6">
        <v>0</v>
      </c>
      <c r="T14" s="6">
        <v>0</v>
      </c>
      <c r="U14" s="6">
        <f t="shared" si="0"/>
        <v>45194.855365227682</v>
      </c>
    </row>
    <row r="15" spans="1:21" x14ac:dyDescent="0.25">
      <c r="A15" s="4" t="s">
        <v>5</v>
      </c>
      <c r="B15" s="10">
        <v>12459.226212028399</v>
      </c>
      <c r="C15" s="10">
        <v>10613.4108320905</v>
      </c>
      <c r="D15" s="10">
        <v>13268.834465829799</v>
      </c>
      <c r="E15" s="10">
        <v>314.436122055</v>
      </c>
      <c r="F15" s="10">
        <v>11918.2195557219</v>
      </c>
      <c r="G15" s="10">
        <v>529.99356523180006</v>
      </c>
      <c r="H15" s="10">
        <v>709943.07410627138</v>
      </c>
      <c r="I15" s="10">
        <v>0</v>
      </c>
      <c r="J15" s="6">
        <f t="shared" si="1"/>
        <v>759047.1948592288</v>
      </c>
      <c r="K15" s="6"/>
      <c r="L15" s="4" t="s">
        <v>5</v>
      </c>
      <c r="M15" s="8">
        <v>7717.9582734594533</v>
      </c>
      <c r="N15" s="8">
        <v>5445.6037389461781</v>
      </c>
      <c r="O15" s="8">
        <v>3137.2885501294581</v>
      </c>
      <c r="P15" s="8">
        <v>0</v>
      </c>
      <c r="Q15" s="8">
        <v>3621.1759079640551</v>
      </c>
      <c r="R15" s="8">
        <v>1383.7481977995974</v>
      </c>
      <c r="S15" s="8">
        <v>478963.2264597062</v>
      </c>
      <c r="T15" s="8">
        <v>0</v>
      </c>
      <c r="U15" s="6">
        <f t="shared" si="0"/>
        <v>500269.00112800492</v>
      </c>
    </row>
    <row r="16" spans="1:21" ht="15.75" thickBot="1" x14ac:dyDescent="0.3">
      <c r="A16" s="12" t="s">
        <v>7</v>
      </c>
      <c r="B16" s="16">
        <f t="shared" ref="B16:J16" si="2">SUM(B5:B15)</f>
        <v>648493.83636193804</v>
      </c>
      <c r="C16" s="16">
        <f t="shared" si="2"/>
        <v>627692.02350434347</v>
      </c>
      <c r="D16" s="16">
        <f t="shared" si="2"/>
        <v>561954.00392246153</v>
      </c>
      <c r="E16" s="16">
        <f t="shared" si="2"/>
        <v>5578.8337173220998</v>
      </c>
      <c r="F16" s="16">
        <f t="shared" si="2"/>
        <v>60626.947560567001</v>
      </c>
      <c r="G16" s="16">
        <f t="shared" si="2"/>
        <v>32828.9877180654</v>
      </c>
      <c r="H16" s="16">
        <f t="shared" si="2"/>
        <v>709943.07410627138</v>
      </c>
      <c r="I16" s="16">
        <f t="shared" si="2"/>
        <v>2981.056021672</v>
      </c>
      <c r="J16" s="16">
        <f t="shared" si="2"/>
        <v>2650098.7629126403</v>
      </c>
      <c r="L16" s="9" t="s">
        <v>7</v>
      </c>
      <c r="M16" s="16">
        <f t="shared" ref="M16:U16" si="3">SUM(M5:M15)</f>
        <v>780706.29314738349</v>
      </c>
      <c r="N16" s="16">
        <f t="shared" si="3"/>
        <v>719343.71894495259</v>
      </c>
      <c r="O16" s="16">
        <f t="shared" si="3"/>
        <v>572059.4642046917</v>
      </c>
      <c r="P16" s="16">
        <f t="shared" si="3"/>
        <v>0</v>
      </c>
      <c r="Q16" s="16">
        <f t="shared" si="3"/>
        <v>32259.151036779625</v>
      </c>
      <c r="R16" s="16">
        <f t="shared" si="3"/>
        <v>43507.759652170331</v>
      </c>
      <c r="S16" s="16">
        <f t="shared" si="3"/>
        <v>478963.2264597062</v>
      </c>
      <c r="T16" s="16">
        <f t="shared" si="3"/>
        <v>0</v>
      </c>
      <c r="U16" s="16">
        <f t="shared" si="3"/>
        <v>2626839.6134456838</v>
      </c>
    </row>
    <row r="19" spans="1:21" ht="15.75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40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31" t="s">
        <v>46</v>
      </c>
      <c r="C20" s="31"/>
      <c r="D20" s="31"/>
      <c r="E20" s="31"/>
      <c r="F20" s="31"/>
      <c r="G20" s="31"/>
      <c r="H20" s="31"/>
      <c r="I20" s="31"/>
      <c r="J20" s="11"/>
      <c r="L20" s="3"/>
      <c r="M20" s="31" t="s">
        <v>46</v>
      </c>
      <c r="N20" s="31"/>
      <c r="O20" s="31"/>
      <c r="P20" s="31"/>
      <c r="Q20" s="31"/>
      <c r="R20" s="31"/>
      <c r="S20" s="31"/>
      <c r="T20" s="31"/>
      <c r="U20" s="31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t="shared" ref="B22:J22" si="4">B5/B$16</f>
        <v>0.97780389248623045</v>
      </c>
      <c r="C22" s="13">
        <f t="shared" si="4"/>
        <v>3.5379592800507093E-2</v>
      </c>
      <c r="D22" s="13">
        <f t="shared" si="4"/>
        <v>1.4548242153839246E-2</v>
      </c>
      <c r="E22" s="13">
        <f t="shared" si="4"/>
        <v>0.42676742066165052</v>
      </c>
      <c r="F22" s="13">
        <f t="shared" si="4"/>
        <v>1.9314460045509976E-2</v>
      </c>
      <c r="G22" s="13">
        <f t="shared" si="4"/>
        <v>0</v>
      </c>
      <c r="H22" s="13">
        <f t="shared" si="4"/>
        <v>0</v>
      </c>
      <c r="I22" s="13">
        <f t="shared" si="4"/>
        <v>0</v>
      </c>
      <c r="J22" s="13">
        <f t="shared" si="4"/>
        <v>0.25207912216452294</v>
      </c>
      <c r="K22" s="6"/>
      <c r="L22" t="s">
        <v>1</v>
      </c>
      <c r="M22" s="13">
        <f t="shared" ref="M22:P22" si="5">M5/M$16</f>
        <v>0.98890046977181878</v>
      </c>
      <c r="N22" s="13">
        <f t="shared" si="5"/>
        <v>6.7921227404997661E-2</v>
      </c>
      <c r="O22" s="13">
        <f t="shared" si="5"/>
        <v>2.5063304289077087E-2</v>
      </c>
      <c r="P22" s="13" t="e">
        <f t="shared" si="5"/>
        <v>#DIV/0!</v>
      </c>
      <c r="Q22" s="13">
        <f t="shared" ref="Q22:U33" si="6">Q5/Q$16</f>
        <v>8.6396349588283034E-3</v>
      </c>
      <c r="R22" s="13">
        <f t="shared" si="6"/>
        <v>0</v>
      </c>
      <c r="S22" s="13">
        <f t="shared" si="6"/>
        <v>0</v>
      </c>
      <c r="T22" s="13" t="e">
        <f t="shared" si="6"/>
        <v>#DIV/0!</v>
      </c>
      <c r="U22" s="13">
        <f t="shared" si="6"/>
        <v>0.31806888087086632</v>
      </c>
    </row>
    <row r="23" spans="1:21" x14ac:dyDescent="0.25">
      <c r="A23" t="s">
        <v>12</v>
      </c>
      <c r="B23" s="13">
        <f t="shared" ref="B23:J23" si="7">B6/B$16</f>
        <v>0</v>
      </c>
      <c r="C23" s="13">
        <f t="shared" si="7"/>
        <v>0.94765695023918284</v>
      </c>
      <c r="D23" s="13">
        <f t="shared" si="7"/>
        <v>7.6035242366756683E-2</v>
      </c>
      <c r="E23" s="13">
        <f t="shared" si="7"/>
        <v>4.7025481022121153E-2</v>
      </c>
      <c r="F23" s="13">
        <f t="shared" si="7"/>
        <v>0.13868315074192342</v>
      </c>
      <c r="G23" s="13">
        <f t="shared" si="7"/>
        <v>0</v>
      </c>
      <c r="H23" s="13">
        <f t="shared" si="7"/>
        <v>0</v>
      </c>
      <c r="I23" s="13">
        <f t="shared" si="7"/>
        <v>0</v>
      </c>
      <c r="J23" s="13">
        <f t="shared" si="7"/>
        <v>0.24385328956842678</v>
      </c>
      <c r="K23" s="6"/>
      <c r="L23" t="s">
        <v>12</v>
      </c>
      <c r="M23" s="13">
        <f t="shared" ref="M23:P23" si="8">M6/M$16</f>
        <v>0</v>
      </c>
      <c r="N23" s="13">
        <f t="shared" si="8"/>
        <v>0.9230032128028467</v>
      </c>
      <c r="O23" s="13">
        <f t="shared" si="8"/>
        <v>0.15507060033792552</v>
      </c>
      <c r="P23" s="13" t="e">
        <f t="shared" si="8"/>
        <v>#DIV/0!</v>
      </c>
      <c r="Q23" s="13">
        <f t="shared" si="6"/>
        <v>0.12284022506774478</v>
      </c>
      <c r="R23" s="13">
        <f t="shared" si="6"/>
        <v>0</v>
      </c>
      <c r="S23" s="13">
        <f t="shared" si="6"/>
        <v>0</v>
      </c>
      <c r="T23" s="13" t="e">
        <f t="shared" si="6"/>
        <v>#DIV/0!</v>
      </c>
      <c r="U23" s="13">
        <f t="shared" si="6"/>
        <v>0.28803771868672184</v>
      </c>
    </row>
    <row r="24" spans="1:21" x14ac:dyDescent="0.25">
      <c r="A24" t="s">
        <v>56</v>
      </c>
      <c r="B24" s="13">
        <f t="shared" ref="B24:J24" si="9">B7/B$16</f>
        <v>0</v>
      </c>
      <c r="C24" s="13">
        <f t="shared" si="9"/>
        <v>0</v>
      </c>
      <c r="D24" s="13">
        <f t="shared" si="9"/>
        <v>0.88580455725290719</v>
      </c>
      <c r="E24" s="13">
        <f t="shared" si="9"/>
        <v>0</v>
      </c>
      <c r="F24" s="13">
        <f t="shared" si="9"/>
        <v>5.2095007145897647E-2</v>
      </c>
      <c r="G24" s="13">
        <f t="shared" si="9"/>
        <v>0</v>
      </c>
      <c r="H24" s="13">
        <f t="shared" si="9"/>
        <v>0</v>
      </c>
      <c r="I24" s="13">
        <f t="shared" si="9"/>
        <v>0</v>
      </c>
      <c r="J24" s="13">
        <f t="shared" si="9"/>
        <v>0.18902683398745074</v>
      </c>
      <c r="K24" s="6"/>
      <c r="L24" t="s">
        <v>56</v>
      </c>
      <c r="M24" s="13">
        <f t="shared" ref="M24:P24" si="10">M7/M$16</f>
        <v>0</v>
      </c>
      <c r="N24" s="13">
        <f t="shared" si="10"/>
        <v>0</v>
      </c>
      <c r="O24" s="13">
        <f t="shared" si="10"/>
        <v>0.81318812386308614</v>
      </c>
      <c r="P24" s="13" t="e">
        <f t="shared" si="10"/>
        <v>#DIV/0!</v>
      </c>
      <c r="Q24" s="13">
        <f t="shared" si="6"/>
        <v>4.7927472321361506E-2</v>
      </c>
      <c r="R24" s="13">
        <f t="shared" si="6"/>
        <v>0</v>
      </c>
      <c r="S24" s="13">
        <f t="shared" si="6"/>
        <v>0</v>
      </c>
      <c r="T24" s="13" t="e">
        <f t="shared" si="6"/>
        <v>#DIV/0!</v>
      </c>
      <c r="U24" s="13">
        <f t="shared" si="6"/>
        <v>0.17768045662709142</v>
      </c>
    </row>
    <row r="25" spans="1:21" x14ac:dyDescent="0.25">
      <c r="A25" t="s">
        <v>51</v>
      </c>
      <c r="B25" s="13">
        <f t="shared" ref="B25:J25" si="11">B8/B$16</f>
        <v>0</v>
      </c>
      <c r="C25" s="13">
        <f t="shared" si="11"/>
        <v>0</v>
      </c>
      <c r="D25" s="13">
        <f t="shared" si="11"/>
        <v>0</v>
      </c>
      <c r="E25" s="13">
        <f t="shared" si="11"/>
        <v>0.46984475844603546</v>
      </c>
      <c r="F25" s="13">
        <f t="shared" si="11"/>
        <v>0.58684625071927432</v>
      </c>
      <c r="G25" s="13">
        <f t="shared" si="11"/>
        <v>0</v>
      </c>
      <c r="H25" s="13">
        <f t="shared" si="11"/>
        <v>0</v>
      </c>
      <c r="I25" s="13">
        <f t="shared" si="11"/>
        <v>0</v>
      </c>
      <c r="J25" s="13">
        <f t="shared" si="11"/>
        <v>1.4414512841330603E-2</v>
      </c>
      <c r="K25" s="6"/>
      <c r="L25" t="s">
        <v>51</v>
      </c>
      <c r="M25" s="13">
        <f t="shared" ref="M25:P25" si="12">M8/M$16</f>
        <v>0</v>
      </c>
      <c r="N25" s="13">
        <f t="shared" si="12"/>
        <v>0</v>
      </c>
      <c r="O25" s="13">
        <f t="shared" si="12"/>
        <v>0</v>
      </c>
      <c r="P25" s="13" t="e">
        <f t="shared" si="12"/>
        <v>#DIV/0!</v>
      </c>
      <c r="Q25" s="13">
        <f t="shared" si="6"/>
        <v>0.69725546202106237</v>
      </c>
      <c r="R25" s="13">
        <f t="shared" si="6"/>
        <v>0</v>
      </c>
      <c r="S25" s="13">
        <f t="shared" si="6"/>
        <v>0</v>
      </c>
      <c r="T25" s="13" t="e">
        <f t="shared" si="6"/>
        <v>#DIV/0!</v>
      </c>
      <c r="U25" s="13">
        <f t="shared" si="6"/>
        <v>8.562711307316024E-3</v>
      </c>
    </row>
    <row r="26" spans="1:21" x14ac:dyDescent="0.25">
      <c r="A26" t="s">
        <v>52</v>
      </c>
      <c r="B26" s="13">
        <f t="shared" ref="B26:J26" si="13">B9/B$16</f>
        <v>0</v>
      </c>
      <c r="C26" s="13">
        <f t="shared" si="13"/>
        <v>0</v>
      </c>
      <c r="D26" s="13">
        <f t="shared" si="13"/>
        <v>0</v>
      </c>
      <c r="E26" s="13">
        <f t="shared" si="13"/>
        <v>0</v>
      </c>
      <c r="F26" s="13">
        <f t="shared" si="13"/>
        <v>1.7762957817464766E-3</v>
      </c>
      <c r="G26" s="13">
        <f t="shared" si="13"/>
        <v>0</v>
      </c>
      <c r="H26" s="13">
        <f t="shared" si="13"/>
        <v>0</v>
      </c>
      <c r="I26" s="13">
        <f t="shared" si="13"/>
        <v>0</v>
      </c>
      <c r="J26" s="13">
        <f t="shared" si="13"/>
        <v>4.0636746342856964E-5</v>
      </c>
      <c r="K26" s="6"/>
      <c r="L26" t="s">
        <v>52</v>
      </c>
      <c r="M26" s="13">
        <f t="shared" ref="M26:P26" si="14">M9/M$16</f>
        <v>0</v>
      </c>
      <c r="N26" s="13">
        <f t="shared" si="14"/>
        <v>0</v>
      </c>
      <c r="O26" s="13">
        <f t="shared" si="14"/>
        <v>0</v>
      </c>
      <c r="P26" s="13" t="e">
        <f t="shared" si="14"/>
        <v>#DIV/0!</v>
      </c>
      <c r="Q26" s="13">
        <f t="shared" si="6"/>
        <v>0</v>
      </c>
      <c r="R26" s="13">
        <f t="shared" si="6"/>
        <v>0</v>
      </c>
      <c r="S26" s="13">
        <f t="shared" si="6"/>
        <v>0</v>
      </c>
      <c r="T26" s="13" t="e">
        <f t="shared" si="6"/>
        <v>#DIV/0!</v>
      </c>
      <c r="U26" s="13">
        <f t="shared" si="6"/>
        <v>0</v>
      </c>
    </row>
    <row r="27" spans="1:21" x14ac:dyDescent="0.25">
      <c r="A27" t="s">
        <v>53</v>
      </c>
      <c r="B27" s="13">
        <f t="shared" ref="B27:J27" si="15">B10/B$16</f>
        <v>0</v>
      </c>
      <c r="C27" s="13">
        <f t="shared" si="15"/>
        <v>0</v>
      </c>
      <c r="D27" s="13">
        <f t="shared" si="15"/>
        <v>0</v>
      </c>
      <c r="E27" s="13">
        <f t="shared" si="15"/>
        <v>0</v>
      </c>
      <c r="F27" s="13">
        <f t="shared" si="15"/>
        <v>0</v>
      </c>
      <c r="G27" s="13">
        <f t="shared" si="15"/>
        <v>0</v>
      </c>
      <c r="H27" s="13">
        <f t="shared" si="15"/>
        <v>0</v>
      </c>
      <c r="I27" s="13">
        <f t="shared" si="15"/>
        <v>0</v>
      </c>
      <c r="J27" s="13">
        <f t="shared" si="15"/>
        <v>0</v>
      </c>
      <c r="K27" s="6"/>
      <c r="L27" t="s">
        <v>53</v>
      </c>
      <c r="M27" s="13">
        <f t="shared" ref="M27:P27" si="16">M10/M$16</f>
        <v>0</v>
      </c>
      <c r="N27" s="13">
        <f t="shared" si="16"/>
        <v>0</v>
      </c>
      <c r="O27" s="13">
        <f t="shared" si="16"/>
        <v>0</v>
      </c>
      <c r="P27" s="13" t="e">
        <f t="shared" si="16"/>
        <v>#DIV/0!</v>
      </c>
      <c r="Q27" s="13">
        <f t="shared" si="6"/>
        <v>0</v>
      </c>
      <c r="R27" s="13">
        <f t="shared" si="6"/>
        <v>0</v>
      </c>
      <c r="S27" s="13">
        <f t="shared" si="6"/>
        <v>0</v>
      </c>
      <c r="T27" s="13" t="e">
        <f t="shared" si="6"/>
        <v>#DIV/0!</v>
      </c>
      <c r="U27" s="13">
        <f t="shared" si="6"/>
        <v>0</v>
      </c>
    </row>
    <row r="28" spans="1:21" x14ac:dyDescent="0.25">
      <c r="A28" t="s">
        <v>54</v>
      </c>
      <c r="B28" s="13">
        <f t="shared" ref="B28:J28" si="17">B11/B$16</f>
        <v>0</v>
      </c>
      <c r="C28" s="13">
        <f t="shared" si="17"/>
        <v>0</v>
      </c>
      <c r="D28" s="13">
        <f t="shared" si="17"/>
        <v>0</v>
      </c>
      <c r="E28" s="13">
        <f t="shared" si="17"/>
        <v>0</v>
      </c>
      <c r="F28" s="13">
        <f t="shared" si="17"/>
        <v>0</v>
      </c>
      <c r="G28" s="13">
        <f t="shared" si="17"/>
        <v>0</v>
      </c>
      <c r="H28" s="13">
        <f t="shared" si="17"/>
        <v>0</v>
      </c>
      <c r="I28" s="13">
        <f t="shared" si="17"/>
        <v>0</v>
      </c>
      <c r="J28" s="13">
        <f t="shared" si="17"/>
        <v>0</v>
      </c>
      <c r="K28" s="6"/>
      <c r="L28" t="s">
        <v>54</v>
      </c>
      <c r="M28" s="13">
        <f t="shared" ref="M28:P28" si="18">M11/M$16</f>
        <v>0</v>
      </c>
      <c r="N28" s="13">
        <f t="shared" si="18"/>
        <v>0</v>
      </c>
      <c r="O28" s="13">
        <f t="shared" si="18"/>
        <v>0</v>
      </c>
      <c r="P28" s="13" t="e">
        <f t="shared" si="18"/>
        <v>#DIV/0!</v>
      </c>
      <c r="Q28" s="13">
        <f t="shared" si="6"/>
        <v>0</v>
      </c>
      <c r="R28" s="13">
        <f t="shared" si="6"/>
        <v>0</v>
      </c>
      <c r="S28" s="13">
        <f t="shared" si="6"/>
        <v>0</v>
      </c>
      <c r="T28" s="13" t="e">
        <f t="shared" si="6"/>
        <v>#DIV/0!</v>
      </c>
      <c r="U28" s="13">
        <f t="shared" si="6"/>
        <v>0</v>
      </c>
    </row>
    <row r="29" spans="1:21" x14ac:dyDescent="0.25">
      <c r="A29" t="s">
        <v>55</v>
      </c>
      <c r="B29" s="13">
        <f t="shared" ref="B29:J29" si="19">B12/B$16</f>
        <v>0</v>
      </c>
      <c r="C29" s="13">
        <f t="shared" si="19"/>
        <v>0</v>
      </c>
      <c r="D29" s="13">
        <f t="shared" si="19"/>
        <v>0</v>
      </c>
      <c r="E29" s="13">
        <f t="shared" si="19"/>
        <v>0</v>
      </c>
      <c r="F29" s="13">
        <f t="shared" si="19"/>
        <v>0</v>
      </c>
      <c r="G29" s="13">
        <f t="shared" si="19"/>
        <v>0</v>
      </c>
      <c r="H29" s="13">
        <f t="shared" si="19"/>
        <v>0</v>
      </c>
      <c r="I29" s="13">
        <f t="shared" si="19"/>
        <v>0</v>
      </c>
      <c r="J29" s="13">
        <f t="shared" si="19"/>
        <v>0</v>
      </c>
      <c r="K29" s="6"/>
      <c r="L29" t="s">
        <v>55</v>
      </c>
      <c r="M29" s="13">
        <f t="shared" ref="M29:P29" si="20">M12/M$16</f>
        <v>0</v>
      </c>
      <c r="N29" s="13">
        <f t="shared" si="20"/>
        <v>0</v>
      </c>
      <c r="O29" s="13">
        <f t="shared" si="20"/>
        <v>0</v>
      </c>
      <c r="P29" s="13" t="e">
        <f t="shared" si="20"/>
        <v>#DIV/0!</v>
      </c>
      <c r="Q29" s="13">
        <f t="shared" si="6"/>
        <v>0</v>
      </c>
      <c r="R29" s="13">
        <f t="shared" si="6"/>
        <v>0</v>
      </c>
      <c r="S29" s="13">
        <f t="shared" si="6"/>
        <v>0</v>
      </c>
      <c r="T29" s="13" t="e">
        <f t="shared" si="6"/>
        <v>#DIV/0!</v>
      </c>
      <c r="U29" s="13">
        <f t="shared" si="6"/>
        <v>0</v>
      </c>
    </row>
    <row r="30" spans="1:21" x14ac:dyDescent="0.25">
      <c r="A30" t="s">
        <v>24</v>
      </c>
      <c r="B30" s="13">
        <f t="shared" ref="B30:J30" si="21">B13/B$16</f>
        <v>0</v>
      </c>
      <c r="C30" s="13">
        <f t="shared" si="21"/>
        <v>0</v>
      </c>
      <c r="D30" s="13">
        <f t="shared" si="21"/>
        <v>0</v>
      </c>
      <c r="E30" s="13">
        <f t="shared" si="21"/>
        <v>0</v>
      </c>
      <c r="F30" s="13">
        <f t="shared" si="21"/>
        <v>0</v>
      </c>
      <c r="G30" s="13">
        <f t="shared" si="21"/>
        <v>0</v>
      </c>
      <c r="H30" s="13">
        <f t="shared" si="21"/>
        <v>0</v>
      </c>
      <c r="I30" s="13">
        <f t="shared" si="21"/>
        <v>0.5</v>
      </c>
      <c r="J30" s="13">
        <f t="shared" si="21"/>
        <v>5.6244243863493124E-4</v>
      </c>
      <c r="K30" s="6"/>
      <c r="L30" t="s">
        <v>24</v>
      </c>
      <c r="M30" s="13">
        <f t="shared" ref="M30:P30" si="22">M13/M$16</f>
        <v>0</v>
      </c>
      <c r="N30" s="13">
        <f t="shared" si="22"/>
        <v>0</v>
      </c>
      <c r="O30" s="13">
        <f t="shared" si="22"/>
        <v>0</v>
      </c>
      <c r="P30" s="13" t="e">
        <f t="shared" si="22"/>
        <v>#DIV/0!</v>
      </c>
      <c r="Q30" s="13">
        <f t="shared" si="6"/>
        <v>0</v>
      </c>
      <c r="R30" s="13">
        <f t="shared" si="6"/>
        <v>0</v>
      </c>
      <c r="S30" s="13">
        <f t="shared" si="6"/>
        <v>0</v>
      </c>
      <c r="T30" s="13" t="e">
        <f t="shared" si="6"/>
        <v>#DIV/0!</v>
      </c>
      <c r="U30" s="13">
        <f t="shared" si="6"/>
        <v>0</v>
      </c>
    </row>
    <row r="31" spans="1:21" x14ac:dyDescent="0.25">
      <c r="A31" t="s">
        <v>4</v>
      </c>
      <c r="B31" s="13">
        <f t="shared" ref="B31:J31" si="23">B14/B$16</f>
        <v>2.9835483290517207E-3</v>
      </c>
      <c r="C31" s="13">
        <f t="shared" si="23"/>
        <v>5.482910673798271E-5</v>
      </c>
      <c r="D31" s="13">
        <f t="shared" si="23"/>
        <v>0</v>
      </c>
      <c r="E31" s="13">
        <f t="shared" si="23"/>
        <v>0</v>
      </c>
      <c r="F31" s="13">
        <f t="shared" si="23"/>
        <v>4.7019621855317103E-3</v>
      </c>
      <c r="G31" s="13">
        <f t="shared" si="23"/>
        <v>0.98385592727429261</v>
      </c>
      <c r="H31" s="13">
        <f t="shared" si="23"/>
        <v>0</v>
      </c>
      <c r="I31" s="13">
        <f t="shared" si="23"/>
        <v>0.5</v>
      </c>
      <c r="J31" s="13">
        <f t="shared" si="23"/>
        <v>1.3600933209652262E-2</v>
      </c>
      <c r="K31" s="6"/>
      <c r="L31" t="s">
        <v>4</v>
      </c>
      <c r="M31" s="13">
        <f t="shared" ref="M31:P31" si="24">M14/M$16</f>
        <v>1.213663620977568E-3</v>
      </c>
      <c r="N31" s="13">
        <f t="shared" si="24"/>
        <v>1.5053209820731523E-3</v>
      </c>
      <c r="O31" s="13">
        <f t="shared" si="24"/>
        <v>1.1937714460400551E-3</v>
      </c>
      <c r="P31" s="13" t="e">
        <f t="shared" si="24"/>
        <v>#DIV/0!</v>
      </c>
      <c r="Q31" s="13">
        <f t="shared" si="6"/>
        <v>1.1084533394357931E-2</v>
      </c>
      <c r="R31" s="13">
        <f t="shared" si="6"/>
        <v>0.96819537000153089</v>
      </c>
      <c r="S31" s="13">
        <f t="shared" si="6"/>
        <v>0</v>
      </c>
      <c r="T31" s="13" t="e">
        <f t="shared" si="6"/>
        <v>#DIV/0!</v>
      </c>
      <c r="U31" s="13">
        <f t="shared" si="6"/>
        <v>1.7205030384761323E-2</v>
      </c>
    </row>
    <row r="32" spans="1:21" x14ac:dyDescent="0.25">
      <c r="A32" s="4" t="s">
        <v>5</v>
      </c>
      <c r="B32" s="14">
        <f t="shared" ref="B32:J32" si="25">B15/B$16</f>
        <v>1.9212559184717745E-2</v>
      </c>
      <c r="C32" s="14">
        <f t="shared" si="25"/>
        <v>1.6908627853571979E-2</v>
      </c>
      <c r="D32" s="14">
        <f t="shared" si="25"/>
        <v>2.3611958226496834E-2</v>
      </c>
      <c r="E32" s="14">
        <f t="shared" si="25"/>
        <v>5.6362339870192929E-2</v>
      </c>
      <c r="F32" s="14">
        <f t="shared" si="25"/>
        <v>0.1965828733801164</v>
      </c>
      <c r="G32" s="14">
        <f t="shared" si="25"/>
        <v>1.6144072725707316E-2</v>
      </c>
      <c r="H32" s="14">
        <f t="shared" si="25"/>
        <v>1</v>
      </c>
      <c r="I32" s="14">
        <f t="shared" si="25"/>
        <v>0</v>
      </c>
      <c r="J32" s="14">
        <f t="shared" si="25"/>
        <v>0.28642222904363906</v>
      </c>
      <c r="K32" s="6"/>
      <c r="L32" s="4" t="s">
        <v>5</v>
      </c>
      <c r="M32" s="14">
        <f t="shared" ref="M32:P32" si="26">M15/M$16</f>
        <v>9.8858666072036382E-3</v>
      </c>
      <c r="N32" s="14">
        <f t="shared" si="26"/>
        <v>7.5702388100825279E-3</v>
      </c>
      <c r="O32" s="14">
        <f t="shared" si="26"/>
        <v>5.4842000638711365E-3</v>
      </c>
      <c r="P32" s="14" t="e">
        <f t="shared" si="26"/>
        <v>#DIV/0!</v>
      </c>
      <c r="Q32" s="14">
        <f t="shared" si="6"/>
        <v>0.11225267223664516</v>
      </c>
      <c r="R32" s="14">
        <f t="shared" si="6"/>
        <v>3.1804629998469038E-2</v>
      </c>
      <c r="S32" s="14">
        <f t="shared" si="6"/>
        <v>1</v>
      </c>
      <c r="T32" s="14" t="e">
        <f t="shared" si="6"/>
        <v>#DIV/0!</v>
      </c>
      <c r="U32" s="14">
        <f t="shared" si="6"/>
        <v>0.19044520212324306</v>
      </c>
    </row>
    <row r="33" spans="1:32" ht="15.75" thickBot="1" x14ac:dyDescent="0.3">
      <c r="A33" s="12" t="s">
        <v>7</v>
      </c>
      <c r="B33" s="15">
        <f t="shared" ref="B33:J33" si="27">B16/B$16</f>
        <v>1</v>
      </c>
      <c r="C33" s="15">
        <f t="shared" si="27"/>
        <v>1</v>
      </c>
      <c r="D33" s="15">
        <f t="shared" si="27"/>
        <v>1</v>
      </c>
      <c r="E33" s="15">
        <f t="shared" si="27"/>
        <v>1</v>
      </c>
      <c r="F33" s="15">
        <f t="shared" si="27"/>
        <v>1</v>
      </c>
      <c r="G33" s="15">
        <f t="shared" si="27"/>
        <v>1</v>
      </c>
      <c r="H33" s="15">
        <f t="shared" si="27"/>
        <v>1</v>
      </c>
      <c r="I33" s="15">
        <f t="shared" si="27"/>
        <v>1</v>
      </c>
      <c r="J33" s="15">
        <f t="shared" si="27"/>
        <v>1</v>
      </c>
      <c r="L33" s="9" t="s">
        <v>7</v>
      </c>
      <c r="M33" s="15">
        <f t="shared" ref="M33:P33" si="28">M16/M$16</f>
        <v>1</v>
      </c>
      <c r="N33" s="15">
        <f t="shared" si="28"/>
        <v>1</v>
      </c>
      <c r="O33" s="15">
        <f t="shared" si="28"/>
        <v>1</v>
      </c>
      <c r="P33" s="15" t="e">
        <f t="shared" si="28"/>
        <v>#DIV/0!</v>
      </c>
      <c r="Q33" s="15">
        <f t="shared" si="6"/>
        <v>1</v>
      </c>
      <c r="R33" s="15">
        <f t="shared" si="6"/>
        <v>1</v>
      </c>
      <c r="S33" s="15">
        <f t="shared" si="6"/>
        <v>1</v>
      </c>
      <c r="T33" s="15" t="e">
        <f t="shared" si="6"/>
        <v>#DIV/0!</v>
      </c>
      <c r="U33" s="15">
        <f t="shared" si="6"/>
        <v>1</v>
      </c>
    </row>
    <row r="36" spans="1:32" ht="15.75" thickBot="1" x14ac:dyDescent="0.3">
      <c r="L36" s="1" t="s">
        <v>23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25">
      <c r="L37" s="3"/>
      <c r="M37" s="31" t="s">
        <v>46</v>
      </c>
      <c r="N37" s="31"/>
      <c r="O37" s="31"/>
      <c r="P37" s="31"/>
      <c r="Q37" s="31"/>
      <c r="R37" s="31"/>
      <c r="S37" s="31"/>
      <c r="T37" s="31"/>
      <c r="U37" s="31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</row>
    <row r="39" spans="1:32" x14ac:dyDescent="0.25">
      <c r="L39" t="s">
        <v>1</v>
      </c>
      <c r="M39" s="13">
        <f t="shared" ref="M39:P44" si="29">M22-B22</f>
        <v>1.1096577285588327E-2</v>
      </c>
      <c r="N39" s="13">
        <f t="shared" si="29"/>
        <v>3.2541634604490569E-2</v>
      </c>
      <c r="O39" s="13">
        <f t="shared" si="29"/>
        <v>1.051506213523784E-2</v>
      </c>
      <c r="P39" s="13" t="e">
        <f t="shared" si="29"/>
        <v>#DIV/0!</v>
      </c>
      <c r="Q39" s="13">
        <f t="shared" ref="Q39:Q50" si="30">Q22-F22</f>
        <v>-1.0674825086681673E-2</v>
      </c>
      <c r="R39" s="13">
        <f t="shared" ref="R39:R50" si="31">R22-G22</f>
        <v>0</v>
      </c>
      <c r="S39" s="13">
        <f t="shared" ref="S39:S50" si="32">S22-H22</f>
        <v>0</v>
      </c>
      <c r="T39" s="13" t="e">
        <f t="shared" ref="T39:T50" si="33">T22-I22</f>
        <v>#DIV/0!</v>
      </c>
      <c r="U39" s="13">
        <f t="shared" ref="U39:U50" si="34">U22-J22</f>
        <v>6.5989758706343382E-2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25">
      <c r="L40" t="s">
        <v>12</v>
      </c>
      <c r="M40" s="13">
        <f t="shared" si="29"/>
        <v>0</v>
      </c>
      <c r="N40" s="13">
        <f t="shared" si="29"/>
        <v>-2.4653737436336143E-2</v>
      </c>
      <c r="O40" s="13">
        <f t="shared" si="29"/>
        <v>7.903535797116884E-2</v>
      </c>
      <c r="P40" s="13" t="e">
        <f t="shared" si="29"/>
        <v>#DIV/0!</v>
      </c>
      <c r="Q40" s="13">
        <f t="shared" si="30"/>
        <v>-1.5842925674178637E-2</v>
      </c>
      <c r="R40" s="13">
        <f t="shared" si="31"/>
        <v>0</v>
      </c>
      <c r="S40" s="13">
        <f t="shared" si="32"/>
        <v>0</v>
      </c>
      <c r="T40" s="13" t="e">
        <f t="shared" si="33"/>
        <v>#DIV/0!</v>
      </c>
      <c r="U40" s="13">
        <f t="shared" si="34"/>
        <v>4.4184429118295065E-2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25">
      <c r="L41" t="s">
        <v>56</v>
      </c>
      <c r="M41" s="13">
        <f t="shared" si="29"/>
        <v>0</v>
      </c>
      <c r="N41" s="13">
        <f t="shared" si="29"/>
        <v>0</v>
      </c>
      <c r="O41" s="13">
        <f t="shared" si="29"/>
        <v>-7.2616433389821045E-2</v>
      </c>
      <c r="P41" s="13" t="e">
        <f t="shared" si="29"/>
        <v>#DIV/0!</v>
      </c>
      <c r="Q41" s="13">
        <f t="shared" si="30"/>
        <v>-4.1675348245361413E-3</v>
      </c>
      <c r="R41" s="13">
        <f t="shared" si="31"/>
        <v>0</v>
      </c>
      <c r="S41" s="13">
        <f t="shared" si="32"/>
        <v>0</v>
      </c>
      <c r="T41" s="13" t="e">
        <f t="shared" si="33"/>
        <v>#DIV/0!</v>
      </c>
      <c r="U41" s="13">
        <f t="shared" si="34"/>
        <v>-1.1346377360359317E-2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25">
      <c r="L42" t="s">
        <v>51</v>
      </c>
      <c r="M42" s="13">
        <f t="shared" si="29"/>
        <v>0</v>
      </c>
      <c r="N42" s="13">
        <f t="shared" si="29"/>
        <v>0</v>
      </c>
      <c r="O42" s="13">
        <f t="shared" si="29"/>
        <v>0</v>
      </c>
      <c r="P42" s="13" t="e">
        <f t="shared" si="29"/>
        <v>#DIV/0!</v>
      </c>
      <c r="Q42" s="13">
        <f t="shared" si="30"/>
        <v>0.11040921130178805</v>
      </c>
      <c r="R42" s="13">
        <f t="shared" si="31"/>
        <v>0</v>
      </c>
      <c r="S42" s="13">
        <f t="shared" si="32"/>
        <v>0</v>
      </c>
      <c r="T42" s="13" t="e">
        <f t="shared" si="33"/>
        <v>#DIV/0!</v>
      </c>
      <c r="U42" s="13">
        <f t="shared" si="34"/>
        <v>-5.8518015340145793E-3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25">
      <c r="L43" t="s">
        <v>52</v>
      </c>
      <c r="M43" s="13">
        <f t="shared" si="29"/>
        <v>0</v>
      </c>
      <c r="N43" s="13">
        <f t="shared" si="29"/>
        <v>0</v>
      </c>
      <c r="O43" s="13">
        <f t="shared" si="29"/>
        <v>0</v>
      </c>
      <c r="P43" s="13" t="e">
        <f t="shared" si="29"/>
        <v>#DIV/0!</v>
      </c>
      <c r="Q43" s="13">
        <f t="shared" si="30"/>
        <v>-1.7762957817464766E-3</v>
      </c>
      <c r="R43" s="13">
        <f t="shared" si="31"/>
        <v>0</v>
      </c>
      <c r="S43" s="13">
        <f t="shared" si="32"/>
        <v>0</v>
      </c>
      <c r="T43" s="13" t="e">
        <f t="shared" si="33"/>
        <v>#DIV/0!</v>
      </c>
      <c r="U43" s="13">
        <f t="shared" si="34"/>
        <v>-4.0636746342856964E-5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25">
      <c r="L44" t="s">
        <v>53</v>
      </c>
      <c r="M44" s="13">
        <f t="shared" si="29"/>
        <v>0</v>
      </c>
      <c r="N44" s="13">
        <f t="shared" si="29"/>
        <v>0</v>
      </c>
      <c r="O44" s="13">
        <f t="shared" si="29"/>
        <v>0</v>
      </c>
      <c r="P44" s="13" t="e">
        <f t="shared" si="29"/>
        <v>#DIV/0!</v>
      </c>
      <c r="Q44" s="13">
        <f t="shared" si="30"/>
        <v>0</v>
      </c>
      <c r="R44" s="13">
        <f t="shared" si="31"/>
        <v>0</v>
      </c>
      <c r="S44" s="13">
        <f t="shared" si="32"/>
        <v>0</v>
      </c>
      <c r="T44" s="13" t="e">
        <f t="shared" si="33"/>
        <v>#DIV/0!</v>
      </c>
      <c r="U44" s="13">
        <f t="shared" si="34"/>
        <v>0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25">
      <c r="L45" t="s">
        <v>54</v>
      </c>
      <c r="M45" s="13">
        <f t="shared" ref="M45:M47" si="35">M28-B28</f>
        <v>0</v>
      </c>
      <c r="N45" s="13">
        <f t="shared" ref="N45:N47" si="36">N28-C28</f>
        <v>0</v>
      </c>
      <c r="O45" s="13">
        <f t="shared" ref="O45:O47" si="37">O28-D28</f>
        <v>0</v>
      </c>
      <c r="P45" s="13" t="e">
        <f t="shared" ref="P45:P47" si="38">P28-E28</f>
        <v>#DIV/0!</v>
      </c>
      <c r="Q45" s="13">
        <f t="shared" si="30"/>
        <v>0</v>
      </c>
      <c r="R45" s="13">
        <f t="shared" si="31"/>
        <v>0</v>
      </c>
      <c r="S45" s="13">
        <f t="shared" si="32"/>
        <v>0</v>
      </c>
      <c r="T45" s="13" t="e">
        <f t="shared" si="33"/>
        <v>#DIV/0!</v>
      </c>
      <c r="U45" s="13">
        <f t="shared" si="34"/>
        <v>0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25">
      <c r="L46" t="s">
        <v>55</v>
      </c>
      <c r="M46" s="13">
        <f t="shared" si="35"/>
        <v>0</v>
      </c>
      <c r="N46" s="13">
        <f t="shared" si="36"/>
        <v>0</v>
      </c>
      <c r="O46" s="13">
        <f t="shared" si="37"/>
        <v>0</v>
      </c>
      <c r="P46" s="13" t="e">
        <f t="shared" si="38"/>
        <v>#DIV/0!</v>
      </c>
      <c r="Q46" s="13">
        <f t="shared" si="30"/>
        <v>0</v>
      </c>
      <c r="R46" s="13">
        <f t="shared" si="31"/>
        <v>0</v>
      </c>
      <c r="S46" s="13">
        <f t="shared" si="32"/>
        <v>0</v>
      </c>
      <c r="T46" s="13" t="e">
        <f t="shared" si="33"/>
        <v>#DIV/0!</v>
      </c>
      <c r="U46" s="13">
        <f t="shared" si="34"/>
        <v>0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25">
      <c r="L47" t="s">
        <v>24</v>
      </c>
      <c r="M47" s="13">
        <f t="shared" si="35"/>
        <v>0</v>
      </c>
      <c r="N47" s="13">
        <f t="shared" si="36"/>
        <v>0</v>
      </c>
      <c r="O47" s="13">
        <f t="shared" si="37"/>
        <v>0</v>
      </c>
      <c r="P47" s="13" t="e">
        <f t="shared" si="38"/>
        <v>#DIV/0!</v>
      </c>
      <c r="Q47" s="13">
        <f t="shared" si="30"/>
        <v>0</v>
      </c>
      <c r="R47" s="13">
        <f t="shared" si="31"/>
        <v>0</v>
      </c>
      <c r="S47" s="13">
        <f t="shared" si="32"/>
        <v>0</v>
      </c>
      <c r="T47" s="13" t="e">
        <f t="shared" si="33"/>
        <v>#DIV/0!</v>
      </c>
      <c r="U47" s="13">
        <f t="shared" si="34"/>
        <v>-5.6244243863493124E-4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25">
      <c r="L48" t="s">
        <v>4</v>
      </c>
      <c r="M48" s="13">
        <f t="shared" ref="M48:P50" si="39">M31-B31</f>
        <v>-1.7698847080741527E-3</v>
      </c>
      <c r="N48" s="13">
        <f t="shared" si="39"/>
        <v>1.4504918753351695E-3</v>
      </c>
      <c r="O48" s="13">
        <f t="shared" si="39"/>
        <v>1.1937714460400551E-3</v>
      </c>
      <c r="P48" s="13" t="e">
        <f t="shared" si="39"/>
        <v>#DIV/0!</v>
      </c>
      <c r="Q48" s="13">
        <f t="shared" si="30"/>
        <v>6.3825712088262203E-3</v>
      </c>
      <c r="R48" s="13">
        <f t="shared" si="31"/>
        <v>-1.5660557272761721E-2</v>
      </c>
      <c r="S48" s="13">
        <f t="shared" si="32"/>
        <v>0</v>
      </c>
      <c r="T48" s="13" t="e">
        <f t="shared" si="33"/>
        <v>#DIV/0!</v>
      </c>
      <c r="U48" s="13">
        <f t="shared" si="34"/>
        <v>3.6040971751090615E-3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25">
      <c r="L49" s="4" t="s">
        <v>5</v>
      </c>
      <c r="M49" s="17">
        <f t="shared" si="39"/>
        <v>-9.326692577514107E-3</v>
      </c>
      <c r="N49" s="17">
        <f t="shared" si="39"/>
        <v>-9.3383890434894506E-3</v>
      </c>
      <c r="O49" s="17">
        <f t="shared" si="39"/>
        <v>-1.8127758162625698E-2</v>
      </c>
      <c r="P49" s="17" t="e">
        <f t="shared" si="39"/>
        <v>#DIV/0!</v>
      </c>
      <c r="Q49" s="17">
        <f t="shared" si="30"/>
        <v>-8.4330201143471242E-2</v>
      </c>
      <c r="R49" s="17">
        <f t="shared" si="31"/>
        <v>1.5660557272761721E-2</v>
      </c>
      <c r="S49" s="17">
        <f t="shared" si="32"/>
        <v>0</v>
      </c>
      <c r="T49" s="17" t="e">
        <f t="shared" si="33"/>
        <v>#DIV/0!</v>
      </c>
      <c r="U49" s="13">
        <f t="shared" si="34"/>
        <v>-9.5977026920396002E-2</v>
      </c>
      <c r="X49" s="13"/>
      <c r="Y49" s="13"/>
      <c r="Z49" s="13"/>
      <c r="AA49" s="13"/>
      <c r="AB49" s="13"/>
      <c r="AC49" s="13"/>
      <c r="AD49" s="13"/>
      <c r="AE49" s="13"/>
      <c r="AF49" s="13"/>
    </row>
    <row r="50" spans="12:32" ht="15.75" thickBot="1" x14ac:dyDescent="0.3">
      <c r="L50" s="9" t="s">
        <v>7</v>
      </c>
      <c r="M50" s="15">
        <f t="shared" si="39"/>
        <v>0</v>
      </c>
      <c r="N50" s="15">
        <f t="shared" si="39"/>
        <v>0</v>
      </c>
      <c r="O50" s="15">
        <f t="shared" si="39"/>
        <v>0</v>
      </c>
      <c r="P50" s="15" t="e">
        <f t="shared" si="39"/>
        <v>#DIV/0!</v>
      </c>
      <c r="Q50" s="15">
        <f t="shared" si="30"/>
        <v>0</v>
      </c>
      <c r="R50" s="15">
        <f t="shared" si="31"/>
        <v>0</v>
      </c>
      <c r="S50" s="15">
        <f t="shared" si="32"/>
        <v>0</v>
      </c>
      <c r="T50" s="15" t="e">
        <f t="shared" si="33"/>
        <v>#DIV/0!</v>
      </c>
      <c r="U50" s="15">
        <f t="shared" si="34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B3"/>
  <sheetViews>
    <sheetView workbookViewId="0"/>
  </sheetViews>
  <sheetFormatPr defaultRowHeight="15" x14ac:dyDescent="0.25"/>
  <sheetData>
    <row r="2" spans="2:2" x14ac:dyDescent="0.25">
      <c r="B2" t="s">
        <v>50</v>
      </c>
    </row>
    <row r="3" spans="2:2" x14ac:dyDescent="0.25">
      <c r="B3" t="s">
        <v>49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24</vt:i4>
      </vt:variant>
    </vt:vector>
  </HeadingPairs>
  <TitlesOfParts>
    <vt:vector size="34" baseType="lpstr">
      <vt:lpstr>All Purposes</vt:lpstr>
      <vt:lpstr>Workbased</vt:lpstr>
      <vt:lpstr>Work</vt:lpstr>
      <vt:lpstr>School</vt:lpstr>
      <vt:lpstr>Escort</vt:lpstr>
      <vt:lpstr>Personal_Business</vt:lpstr>
      <vt:lpstr>Shop</vt:lpstr>
      <vt:lpstr>Meal</vt:lpstr>
      <vt:lpstr>SocRec</vt:lpstr>
      <vt:lpstr>Documentation</vt:lpstr>
      <vt:lpstr>out1</vt:lpstr>
      <vt:lpstr>out10</vt:lpstr>
      <vt:lpstr>out11</vt:lpstr>
      <vt:lpstr>out12</vt:lpstr>
      <vt:lpstr>out13</vt:lpstr>
      <vt:lpstr>out14</vt:lpstr>
      <vt:lpstr>out15</vt:lpstr>
      <vt:lpstr>out16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purp1</vt:lpstr>
      <vt:lpstr>purp2</vt:lpstr>
      <vt:lpstr>purp3</vt:lpstr>
      <vt:lpstr>purp4</vt:lpstr>
      <vt:lpstr>purp5</vt:lpstr>
      <vt:lpstr>purp6</vt:lpstr>
      <vt:lpstr>purp7</vt:lpstr>
      <vt:lpstr>purp8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Bhargava Sana</dc:creator>
  <cp:lastModifiedBy>Nagendra Dhakar</cp:lastModifiedBy>
  <dcterms:created xsi:type="dcterms:W3CDTF">2011-03-29T15:31:17Z</dcterms:created>
  <dcterms:modified xsi:type="dcterms:W3CDTF">2017-06-23T18:06:05Z</dcterms:modified>
</cp:coreProperties>
</file>